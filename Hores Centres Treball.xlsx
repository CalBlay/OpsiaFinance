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A5CB6A74-470F-45CB-ACE2-F1CBCCBF73DB}" xr6:coauthVersionLast="47" xr6:coauthVersionMax="47" xr10:uidLastSave="{00000000-0000-0000-0000-000000000000}"/>
  <bookViews>
    <workbookView xWindow="1884" yWindow="1884" windowWidth="30960" windowHeight="12120" xr2:uid="{00000000-000D-0000-FFFF-FFFF00000000}"/>
  </bookViews>
  <sheets>
    <sheet name="Traspas hores centres" sheetId="2" r:id="rId1"/>
    <sheet name="employee_by_project_costs-2026-" sheetId="1" r:id="rId2"/>
    <sheet name="Conversio" sheetId="3" r:id="rId3"/>
  </sheets>
  <definedNames>
    <definedName name="_xlnm._FilterDatabase" localSheetId="1" hidden="1">'employee_by_project_costs-2026-'!$A$1:$L$108</definedName>
    <definedName name="_xlnm._FilterDatabase" localSheetId="0" hidden="1">'Traspas hores centres'!$A$1:$M$299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1" i="2" l="1"/>
  <c r="J255" i="2"/>
  <c r="L255" i="2" s="1"/>
  <c r="J256" i="2"/>
  <c r="L256" i="2" s="1"/>
  <c r="J257" i="2"/>
  <c r="L257" i="2" s="1"/>
  <c r="J258" i="2"/>
  <c r="L258" i="2" s="1"/>
  <c r="J259" i="2"/>
  <c r="L259" i="2" s="1"/>
  <c r="J260" i="2"/>
  <c r="L260" i="2" s="1"/>
  <c r="J261" i="2"/>
  <c r="L261" i="2" s="1"/>
  <c r="J262" i="2"/>
  <c r="L262" i="2" s="1"/>
  <c r="J263" i="2"/>
  <c r="L263" i="2" s="1"/>
  <c r="J264" i="2"/>
  <c r="L264" i="2" s="1"/>
  <c r="J265" i="2"/>
  <c r="L265" i="2" s="1"/>
  <c r="J266" i="2"/>
  <c r="L266" i="2" s="1"/>
  <c r="J267" i="2"/>
  <c r="L267" i="2" s="1"/>
  <c r="J268" i="2"/>
  <c r="L268" i="2" s="1"/>
  <c r="J269" i="2"/>
  <c r="L269" i="2" s="1"/>
  <c r="J270" i="2"/>
  <c r="L270" i="2" s="1"/>
  <c r="J271" i="2"/>
  <c r="L271" i="2" s="1"/>
  <c r="J272" i="2"/>
  <c r="L272" i="2" s="1"/>
  <c r="J273" i="2"/>
  <c r="L273" i="2" s="1"/>
  <c r="J274" i="2"/>
  <c r="L274" i="2" s="1"/>
  <c r="J275" i="2"/>
  <c r="L275" i="2" s="1"/>
  <c r="J276" i="2"/>
  <c r="L276" i="2" s="1"/>
  <c r="J277" i="2"/>
  <c r="L277" i="2" s="1"/>
  <c r="J278" i="2"/>
  <c r="L278" i="2" s="1"/>
  <c r="J279" i="2"/>
  <c r="L279" i="2" s="1"/>
  <c r="J280" i="2"/>
  <c r="L280" i="2" s="1"/>
  <c r="J281" i="2"/>
  <c r="L281" i="2" s="1"/>
  <c r="J282" i="2"/>
  <c r="L282" i="2" s="1"/>
  <c r="J283" i="2"/>
  <c r="L283" i="2" s="1"/>
  <c r="J284" i="2"/>
  <c r="L284" i="2" s="1"/>
  <c r="J285" i="2"/>
  <c r="L285" i="2" s="1"/>
  <c r="J286" i="2"/>
  <c r="L286" i="2" s="1"/>
  <c r="J287" i="2"/>
  <c r="L287" i="2" s="1"/>
  <c r="J288" i="2"/>
  <c r="L288" i="2" s="1"/>
  <c r="J289" i="2"/>
  <c r="L289" i="2" s="1"/>
  <c r="J290" i="2"/>
  <c r="L290" i="2" s="1"/>
  <c r="J291" i="2"/>
  <c r="L291" i="2" s="1"/>
  <c r="J292" i="2"/>
  <c r="L292" i="2" s="1"/>
  <c r="J293" i="2"/>
  <c r="L293" i="2" s="1"/>
  <c r="J294" i="2"/>
  <c r="L294" i="2" s="1"/>
  <c r="J295" i="2"/>
  <c r="L295" i="2" s="1"/>
  <c r="J296" i="2"/>
  <c r="L296" i="2" s="1"/>
  <c r="J297" i="2"/>
  <c r="L297" i="2" s="1"/>
  <c r="J298" i="2"/>
  <c r="L298" i="2" s="1"/>
  <c r="J299" i="2"/>
  <c r="L299" i="2" s="1"/>
  <c r="G255" i="2"/>
  <c r="H255" i="2" s="1"/>
  <c r="G256" i="2"/>
  <c r="H256" i="2" s="1"/>
  <c r="G257" i="2"/>
  <c r="H257" i="2" s="1"/>
  <c r="G258" i="2"/>
  <c r="H258" i="2" s="1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H288" i="2" s="1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6" i="2"/>
  <c r="H296" i="2" s="1"/>
  <c r="G297" i="2"/>
  <c r="H297" i="2" s="1"/>
  <c r="G298" i="2"/>
  <c r="H298" i="2" s="1"/>
  <c r="G299" i="2"/>
  <c r="H299" i="2" s="1"/>
  <c r="D178" i="2"/>
  <c r="E178" i="2" s="1"/>
  <c r="D179" i="2"/>
  <c r="E179" i="2" s="1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E195" i="2" s="1"/>
  <c r="D196" i="2"/>
  <c r="E196" i="2" s="1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E231" i="2" s="1"/>
  <c r="D232" i="2"/>
  <c r="E232" i="2" s="1"/>
  <c r="D233" i="2"/>
  <c r="E233" i="2" s="1"/>
  <c r="D234" i="2"/>
  <c r="E234" i="2" s="1"/>
  <c r="D235" i="2"/>
  <c r="E235" i="2" s="1"/>
  <c r="D236" i="2"/>
  <c r="E236" i="2" s="1"/>
  <c r="D237" i="2"/>
  <c r="E237" i="2" s="1"/>
  <c r="D238" i="2"/>
  <c r="E238" i="2" s="1"/>
  <c r="D239" i="2"/>
  <c r="E239" i="2" s="1"/>
  <c r="D240" i="2"/>
  <c r="E240" i="2" s="1"/>
  <c r="D241" i="2"/>
  <c r="E241" i="2" s="1"/>
  <c r="D242" i="2"/>
  <c r="E242" i="2" s="1"/>
  <c r="D243" i="2"/>
  <c r="E243" i="2" s="1"/>
  <c r="D244" i="2"/>
  <c r="E244" i="2" s="1"/>
  <c r="D245" i="2"/>
  <c r="E245" i="2" s="1"/>
  <c r="D246" i="2"/>
  <c r="E246" i="2" s="1"/>
  <c r="D247" i="2"/>
  <c r="E247" i="2" s="1"/>
  <c r="D248" i="2"/>
  <c r="E248" i="2" s="1"/>
  <c r="D249" i="2"/>
  <c r="E249" i="2" s="1"/>
  <c r="D250" i="2"/>
  <c r="E250" i="2" s="1"/>
  <c r="D251" i="2"/>
  <c r="E251" i="2" s="1"/>
  <c r="D252" i="2"/>
  <c r="E252" i="2" s="1"/>
  <c r="D253" i="2"/>
  <c r="E253" i="2" s="1"/>
  <c r="D254" i="2"/>
  <c r="E254" i="2" s="1"/>
  <c r="D255" i="2"/>
  <c r="E255" i="2" s="1"/>
  <c r="D256" i="2"/>
  <c r="E256" i="2" s="1"/>
  <c r="D257" i="2"/>
  <c r="E257" i="2" s="1"/>
  <c r="D258" i="2"/>
  <c r="E258" i="2" s="1"/>
  <c r="D259" i="2"/>
  <c r="E259" i="2" s="1"/>
  <c r="D260" i="2"/>
  <c r="E260" i="2" s="1"/>
  <c r="D261" i="2"/>
  <c r="E261" i="2" s="1"/>
  <c r="D262" i="2"/>
  <c r="E262" i="2" s="1"/>
  <c r="D263" i="2"/>
  <c r="E263" i="2" s="1"/>
  <c r="D264" i="2"/>
  <c r="E264" i="2" s="1"/>
  <c r="D265" i="2"/>
  <c r="E265" i="2" s="1"/>
  <c r="D266" i="2"/>
  <c r="E266" i="2" s="1"/>
  <c r="D267" i="2"/>
  <c r="E267" i="2" s="1"/>
  <c r="D268" i="2"/>
  <c r="E268" i="2" s="1"/>
  <c r="D269" i="2"/>
  <c r="E269" i="2" s="1"/>
  <c r="D270" i="2"/>
  <c r="E270" i="2" s="1"/>
  <c r="D271" i="2"/>
  <c r="E271" i="2" s="1"/>
  <c r="D272" i="2"/>
  <c r="E272" i="2" s="1"/>
  <c r="D273" i="2"/>
  <c r="E273" i="2" s="1"/>
  <c r="D274" i="2"/>
  <c r="E274" i="2" s="1"/>
  <c r="D275" i="2"/>
  <c r="E275" i="2" s="1"/>
  <c r="D276" i="2"/>
  <c r="E276" i="2" s="1"/>
  <c r="D277" i="2"/>
  <c r="E277" i="2" s="1"/>
  <c r="D278" i="2"/>
  <c r="E278" i="2" s="1"/>
  <c r="D279" i="2"/>
  <c r="E279" i="2" s="1"/>
  <c r="D280" i="2"/>
  <c r="E280" i="2" s="1"/>
  <c r="D281" i="2"/>
  <c r="E281" i="2" s="1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E287" i="2" s="1"/>
  <c r="D288" i="2"/>
  <c r="E288" i="2" s="1"/>
  <c r="D289" i="2"/>
  <c r="E289" i="2" s="1"/>
  <c r="D290" i="2"/>
  <c r="E290" i="2" s="1"/>
  <c r="D291" i="2"/>
  <c r="E291" i="2" s="1"/>
  <c r="D292" i="2"/>
  <c r="E292" i="2" s="1"/>
  <c r="D293" i="2"/>
  <c r="E293" i="2" s="1"/>
  <c r="D294" i="2"/>
  <c r="E294" i="2" s="1"/>
  <c r="D295" i="2"/>
  <c r="E295" i="2" s="1"/>
  <c r="D296" i="2"/>
  <c r="E296" i="2" s="1"/>
  <c r="D297" i="2"/>
  <c r="E297" i="2" s="1"/>
  <c r="D298" i="2"/>
  <c r="E298" i="2" s="1"/>
  <c r="D299" i="2"/>
  <c r="E299" i="2" s="1"/>
  <c r="G198" i="2"/>
  <c r="H198" i="2" s="1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G239" i="2"/>
  <c r="H239" i="2" s="1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J181" i="2"/>
  <c r="L181" i="2" s="1"/>
  <c r="J182" i="2"/>
  <c r="L182" i="2" s="1"/>
  <c r="J183" i="2"/>
  <c r="L183" i="2" s="1"/>
  <c r="J184" i="2"/>
  <c r="L184" i="2" s="1"/>
  <c r="J185" i="2"/>
  <c r="L185" i="2" s="1"/>
  <c r="J186" i="2"/>
  <c r="L186" i="2" s="1"/>
  <c r="J187" i="2"/>
  <c r="L187" i="2" s="1"/>
  <c r="J188" i="2"/>
  <c r="L188" i="2" s="1"/>
  <c r="J189" i="2"/>
  <c r="L189" i="2" s="1"/>
  <c r="J190" i="2"/>
  <c r="L190" i="2" s="1"/>
  <c r="J191" i="2"/>
  <c r="L191" i="2" s="1"/>
  <c r="J192" i="2"/>
  <c r="L192" i="2" s="1"/>
  <c r="J193" i="2"/>
  <c r="L193" i="2" s="1"/>
  <c r="J194" i="2"/>
  <c r="L194" i="2" s="1"/>
  <c r="J195" i="2"/>
  <c r="L195" i="2" s="1"/>
  <c r="J196" i="2"/>
  <c r="L196" i="2" s="1"/>
  <c r="J197" i="2"/>
  <c r="L197" i="2" s="1"/>
  <c r="J198" i="2"/>
  <c r="L198" i="2" s="1"/>
  <c r="J199" i="2"/>
  <c r="L199" i="2" s="1"/>
  <c r="J200" i="2"/>
  <c r="L200" i="2" s="1"/>
  <c r="J201" i="2"/>
  <c r="L201" i="2" s="1"/>
  <c r="J202" i="2"/>
  <c r="L202" i="2" s="1"/>
  <c r="J203" i="2"/>
  <c r="L203" i="2" s="1"/>
  <c r="J204" i="2"/>
  <c r="L204" i="2" s="1"/>
  <c r="J205" i="2"/>
  <c r="L205" i="2" s="1"/>
  <c r="J206" i="2"/>
  <c r="L206" i="2" s="1"/>
  <c r="J207" i="2"/>
  <c r="L207" i="2" s="1"/>
  <c r="J208" i="2"/>
  <c r="L208" i="2" s="1"/>
  <c r="J209" i="2"/>
  <c r="L209" i="2" s="1"/>
  <c r="J210" i="2"/>
  <c r="L210" i="2" s="1"/>
  <c r="J211" i="2"/>
  <c r="L211" i="2" s="1"/>
  <c r="J212" i="2"/>
  <c r="L212" i="2" s="1"/>
  <c r="J213" i="2"/>
  <c r="L213" i="2" s="1"/>
  <c r="J214" i="2"/>
  <c r="L214" i="2" s="1"/>
  <c r="J215" i="2"/>
  <c r="L215" i="2" s="1"/>
  <c r="J216" i="2"/>
  <c r="L216" i="2" s="1"/>
  <c r="J217" i="2"/>
  <c r="L217" i="2" s="1"/>
  <c r="J218" i="2"/>
  <c r="L218" i="2" s="1"/>
  <c r="J219" i="2"/>
  <c r="L219" i="2" s="1"/>
  <c r="J220" i="2"/>
  <c r="L220" i="2" s="1"/>
  <c r="J221" i="2"/>
  <c r="L221" i="2" s="1"/>
  <c r="J222" i="2"/>
  <c r="L222" i="2" s="1"/>
  <c r="J223" i="2"/>
  <c r="L223" i="2" s="1"/>
  <c r="J224" i="2"/>
  <c r="L224" i="2" s="1"/>
  <c r="J225" i="2"/>
  <c r="L225" i="2" s="1"/>
  <c r="J226" i="2"/>
  <c r="L226" i="2" s="1"/>
  <c r="J227" i="2"/>
  <c r="L227" i="2" s="1"/>
  <c r="J228" i="2"/>
  <c r="L228" i="2" s="1"/>
  <c r="J229" i="2"/>
  <c r="L229" i="2" s="1"/>
  <c r="J230" i="2"/>
  <c r="L230" i="2" s="1"/>
  <c r="J231" i="2"/>
  <c r="L231" i="2" s="1"/>
  <c r="J232" i="2"/>
  <c r="L232" i="2" s="1"/>
  <c r="J233" i="2"/>
  <c r="L233" i="2" s="1"/>
  <c r="J234" i="2"/>
  <c r="L234" i="2" s="1"/>
  <c r="J235" i="2"/>
  <c r="L235" i="2" s="1"/>
  <c r="J236" i="2"/>
  <c r="L236" i="2" s="1"/>
  <c r="J237" i="2"/>
  <c r="L237" i="2" s="1"/>
  <c r="J238" i="2"/>
  <c r="L238" i="2" s="1"/>
  <c r="J239" i="2"/>
  <c r="L239" i="2" s="1"/>
  <c r="J240" i="2"/>
  <c r="L240" i="2" s="1"/>
  <c r="J241" i="2"/>
  <c r="L241" i="2" s="1"/>
  <c r="J242" i="2"/>
  <c r="L242" i="2" s="1"/>
  <c r="J243" i="2"/>
  <c r="L243" i="2" s="1"/>
  <c r="J244" i="2"/>
  <c r="L244" i="2" s="1"/>
  <c r="J245" i="2"/>
  <c r="L245" i="2" s="1"/>
  <c r="J246" i="2"/>
  <c r="L246" i="2" s="1"/>
  <c r="J247" i="2"/>
  <c r="L247" i="2" s="1"/>
  <c r="J248" i="2"/>
  <c r="L248" i="2" s="1"/>
  <c r="J249" i="2"/>
  <c r="L249" i="2" s="1"/>
  <c r="J250" i="2"/>
  <c r="L250" i="2" s="1"/>
  <c r="J251" i="2"/>
  <c r="L251" i="2" s="1"/>
  <c r="J252" i="2"/>
  <c r="L252" i="2" s="1"/>
  <c r="J253" i="2"/>
  <c r="L253" i="2" s="1"/>
  <c r="J254" i="2"/>
  <c r="L254" i="2" s="1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3" i="2" l="1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G141" i="2"/>
  <c r="H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H191" i="2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2" i="2"/>
  <c r="H2" i="2" s="1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2" i="2"/>
  <c r="E2" i="2" s="1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J2" i="2"/>
  <c r="L2" i="2" s="1"/>
  <c r="J79" i="2"/>
  <c r="L79" i="2" s="1"/>
  <c r="J107" i="2"/>
  <c r="L107" i="2" s="1"/>
  <c r="J104" i="2"/>
  <c r="L104" i="2" s="1"/>
  <c r="J26" i="2"/>
  <c r="L26" i="2" s="1"/>
  <c r="J77" i="2"/>
  <c r="L77" i="2" s="1"/>
  <c r="J72" i="2"/>
  <c r="L72" i="2" s="1"/>
  <c r="J25" i="2"/>
  <c r="L25" i="2" s="1"/>
  <c r="J24" i="2"/>
  <c r="L24" i="2" s="1"/>
  <c r="J100" i="2"/>
  <c r="L100" i="2" s="1"/>
  <c r="J23" i="2"/>
  <c r="L23" i="2" s="1"/>
  <c r="J68" i="2"/>
  <c r="L68" i="2" s="1"/>
  <c r="J103" i="2"/>
  <c r="L103" i="2" s="1"/>
  <c r="J67" i="2"/>
  <c r="L67" i="2" s="1"/>
  <c r="J84" i="2"/>
  <c r="L84" i="2" s="1"/>
  <c r="J66" i="2"/>
  <c r="L66" i="2" s="1"/>
  <c r="J65" i="2"/>
  <c r="L65" i="2" s="1"/>
  <c r="J64" i="2"/>
  <c r="L64" i="2" s="1"/>
  <c r="J89" i="2"/>
  <c r="L89" i="2" s="1"/>
  <c r="J88" i="2"/>
  <c r="L88" i="2" s="1"/>
  <c r="J63" i="2"/>
  <c r="L63" i="2" s="1"/>
  <c r="J76" i="2"/>
  <c r="L76" i="2" s="1"/>
  <c r="J87" i="2"/>
  <c r="L87" i="2" s="1"/>
  <c r="J62" i="2"/>
  <c r="L62" i="2" s="1"/>
  <c r="J61" i="2"/>
  <c r="L61" i="2" s="1"/>
  <c r="J99" i="2"/>
  <c r="L99" i="2" s="1"/>
  <c r="J60" i="2"/>
  <c r="L60" i="2" s="1"/>
  <c r="J22" i="2"/>
  <c r="L22" i="2" s="1"/>
  <c r="J93" i="2"/>
  <c r="L93" i="2" s="1"/>
  <c r="J74" i="2"/>
  <c r="L74" i="2" s="1"/>
  <c r="J59" i="2"/>
  <c r="L59" i="2" s="1"/>
  <c r="J21" i="2"/>
  <c r="L21" i="2" s="1"/>
  <c r="J20" i="2"/>
  <c r="L20" i="2" s="1"/>
  <c r="J83" i="2"/>
  <c r="L83" i="2" s="1"/>
  <c r="J19" i="2"/>
  <c r="L19" i="2" s="1"/>
  <c r="J18" i="2"/>
  <c r="L18" i="2" s="1"/>
  <c r="J78" i="2"/>
  <c r="L78" i="2" s="1"/>
  <c r="M78" i="2" s="1"/>
  <c r="J58" i="2"/>
  <c r="L58" i="2" s="1"/>
  <c r="J17" i="2"/>
  <c r="L17" i="2" s="1"/>
  <c r="J92" i="2"/>
  <c r="L92" i="2" s="1"/>
  <c r="J82" i="2"/>
  <c r="L82" i="2" s="1"/>
  <c r="J57" i="2"/>
  <c r="L57" i="2" s="1"/>
  <c r="J16" i="2"/>
  <c r="L16" i="2" s="1"/>
  <c r="J15" i="2"/>
  <c r="L15" i="2" s="1"/>
  <c r="J5" i="2"/>
  <c r="L5" i="2" s="1"/>
  <c r="J56" i="2"/>
  <c r="L56" i="2" s="1"/>
  <c r="J102" i="2"/>
  <c r="L102" i="2" s="1"/>
  <c r="J55" i="2"/>
  <c r="L55" i="2" s="1"/>
  <c r="J54" i="2"/>
  <c r="L54" i="2" s="1"/>
  <c r="J53" i="2"/>
  <c r="L53" i="2" s="1"/>
  <c r="J52" i="2"/>
  <c r="L52" i="2" s="1"/>
  <c r="J4" i="2"/>
  <c r="L4" i="2" s="1"/>
  <c r="J51" i="2"/>
  <c r="L51" i="2" s="1"/>
  <c r="J98" i="2"/>
  <c r="L98" i="2" s="1"/>
  <c r="J96" i="2"/>
  <c r="L96" i="2" s="1"/>
  <c r="J91" i="2"/>
  <c r="L91" i="2" s="1"/>
  <c r="J86" i="2"/>
  <c r="L86" i="2" s="1"/>
  <c r="J50" i="2"/>
  <c r="L50" i="2" s="1"/>
  <c r="J49" i="2"/>
  <c r="L49" i="2" s="1"/>
  <c r="J48" i="2"/>
  <c r="L48" i="2" s="1"/>
  <c r="J14" i="2"/>
  <c r="L14" i="2" s="1"/>
  <c r="J73" i="2"/>
  <c r="L73" i="2" s="1"/>
  <c r="J47" i="2"/>
  <c r="L47" i="2" s="1"/>
  <c r="J46" i="2"/>
  <c r="L46" i="2" s="1"/>
  <c r="J3" i="2"/>
  <c r="L3" i="2" s="1"/>
  <c r="J97" i="2"/>
  <c r="L97" i="2" s="1"/>
  <c r="M97" i="2" s="1"/>
  <c r="J71" i="2"/>
  <c r="L71" i="2" s="1"/>
  <c r="J13" i="2"/>
  <c r="L13" i="2" s="1"/>
  <c r="J45" i="2"/>
  <c r="L45" i="2" s="1"/>
  <c r="J12" i="2"/>
  <c r="L12" i="2" s="1"/>
  <c r="J44" i="2"/>
  <c r="L44" i="2" s="1"/>
  <c r="J43" i="2"/>
  <c r="L43" i="2" s="1"/>
  <c r="J101" i="2"/>
  <c r="L101" i="2" s="1"/>
  <c r="J42" i="2"/>
  <c r="L42" i="2" s="1"/>
  <c r="J41" i="2"/>
  <c r="L41" i="2" s="1"/>
  <c r="J105" i="2"/>
  <c r="L105" i="2" s="1"/>
  <c r="J106" i="2"/>
  <c r="L106" i="2" s="1"/>
  <c r="J81" i="2"/>
  <c r="L81" i="2" s="1"/>
  <c r="J40" i="2"/>
  <c r="L40" i="2" s="1"/>
  <c r="J95" i="2"/>
  <c r="L95" i="2" s="1"/>
  <c r="J39" i="2"/>
  <c r="L39" i="2" s="1"/>
  <c r="J11" i="2"/>
  <c r="L11" i="2" s="1"/>
  <c r="J38" i="2"/>
  <c r="L38" i="2" s="1"/>
  <c r="J75" i="2"/>
  <c r="L75" i="2" s="1"/>
  <c r="J10" i="2"/>
  <c r="L10" i="2" s="1"/>
  <c r="J80" i="2"/>
  <c r="L80" i="2" s="1"/>
  <c r="J70" i="2"/>
  <c r="L70" i="2" s="1"/>
  <c r="J9" i="2"/>
  <c r="L9" i="2" s="1"/>
  <c r="J94" i="2"/>
  <c r="L94" i="2" s="1"/>
  <c r="J69" i="2"/>
  <c r="L69" i="2" s="1"/>
  <c r="M69" i="2" s="1"/>
  <c r="J37" i="2"/>
  <c r="L37" i="2" s="1"/>
  <c r="J8" i="2"/>
  <c r="L8" i="2" s="1"/>
  <c r="J36" i="2"/>
  <c r="L36" i="2" s="1"/>
  <c r="J35" i="2"/>
  <c r="L35" i="2" s="1"/>
  <c r="J34" i="2"/>
  <c r="L34" i="2" s="1"/>
  <c r="J33" i="2"/>
  <c r="L33" i="2" s="1"/>
  <c r="J7" i="2"/>
  <c r="L7" i="2" s="1"/>
  <c r="J32" i="2"/>
  <c r="L32" i="2" s="1"/>
  <c r="J31" i="2"/>
  <c r="L31" i="2" s="1"/>
  <c r="J30" i="2"/>
  <c r="L30" i="2" s="1"/>
  <c r="J6" i="2"/>
  <c r="L6" i="2" s="1"/>
  <c r="J29" i="2"/>
  <c r="L29" i="2" s="1"/>
  <c r="J90" i="2"/>
  <c r="L90" i="2" s="1"/>
  <c r="J85" i="2"/>
  <c r="L85" i="2" s="1"/>
  <c r="J28" i="2"/>
  <c r="L28" i="2" s="1"/>
  <c r="J27" i="2"/>
  <c r="L27" i="2" s="1"/>
  <c r="M107" i="2" l="1"/>
  <c r="M100" i="2"/>
  <c r="M93" i="2"/>
  <c r="M90" i="2"/>
  <c r="M84" i="2"/>
  <c r="M77" i="2"/>
  <c r="M74" i="2"/>
  <c r="M72" i="2"/>
</calcChain>
</file>

<file path=xl/sharedStrings.xml><?xml version="1.0" encoding="utf-8"?>
<sst xmlns="http://schemas.openxmlformats.org/spreadsheetml/2006/main" count="1954" uniqueCount="228">
  <si>
    <t>Empleado</t>
  </si>
  <si>
    <t>ID externo de empleado</t>
  </si>
  <si>
    <t>Organizaciones</t>
  </si>
  <si>
    <t>ID de proyecto</t>
  </si>
  <si>
    <t>ID del proyecto padre</t>
  </si>
  <si>
    <t>Proyecto</t>
  </si>
  <si>
    <t>Minutos</t>
  </si>
  <si>
    <t>Coste total</t>
  </si>
  <si>
    <t>Coste medio hora</t>
  </si>
  <si>
    <t>Gastos - Total</t>
  </si>
  <si>
    <t>Gastos - Despeses gestió empresa</t>
  </si>
  <si>
    <t>Gastos - Kilometraje</t>
  </si>
  <si>
    <t>AIDA JACKELINE PUCHA LAIÑO</t>
  </si>
  <si>
    <t>Cuina adminsitració, Cuina adminsitració</t>
  </si>
  <si>
    <t>Cuina Càtering</t>
  </si>
  <si>
    <t/>
  </si>
  <si>
    <t>AISSA RABBOUH</t>
  </si>
  <si>
    <t>Mirador cuina, Cuiner/a Mirador</t>
  </si>
  <si>
    <t>Mirador</t>
  </si>
  <si>
    <t>Nàutic</t>
  </si>
  <si>
    <t>ALAN GARCIA SANCHEZ</t>
  </si>
  <si>
    <t>Recepció cuina central, Recepció cuina central</t>
  </si>
  <si>
    <t>ANA ISABEL CABELLO RODRIGUEZ</t>
  </si>
  <si>
    <t>Soliver sala, Cambrer/a Soliver</t>
  </si>
  <si>
    <t>Càtering</t>
  </si>
  <si>
    <t>ANDREA MARGARITA AMPOSTA MERO</t>
  </si>
  <si>
    <t>Events cuina central, Events cuina central</t>
  </si>
  <si>
    <t>ANGELA ESTELA FLORES MEDRANO</t>
  </si>
  <si>
    <t>Precuinats cuina central, Precuinats cuina central</t>
  </si>
  <si>
    <t>ANTONIO JOSE PEREZ MARIN</t>
  </si>
  <si>
    <t>Sortides càtering, Sortides càtering</t>
  </si>
  <si>
    <t>ARAYA SAEZ LIDON</t>
  </si>
  <si>
    <t>Plural sala, Cambrer/a Plural</t>
  </si>
  <si>
    <t>Camp Nou</t>
  </si>
  <si>
    <t>Masia</t>
  </si>
  <si>
    <t>AURELIO MONGE CANO</t>
  </si>
  <si>
    <t>AXEL JOVER TRUJILLO</t>
  </si>
  <si>
    <t>CARLOS PIEDRA LARA</t>
  </si>
  <si>
    <t>CHAYMA EL HADIOUI ELMAANAOUI</t>
  </si>
  <si>
    <t>CHAYMAE BIBIH KAMROUCHI</t>
  </si>
  <si>
    <t>Orígens cuina, Cuiner/a Orígens</t>
  </si>
  <si>
    <t>Cuina Central</t>
  </si>
  <si>
    <t>Orígens</t>
  </si>
  <si>
    <t>CHRISTIAN OMAR ROJAS DE LA CRUZ</t>
  </si>
  <si>
    <t>Plural cuina, Greenvita cuina, Responsable cuina Plural</t>
  </si>
  <si>
    <t>Fira BCN</t>
  </si>
  <si>
    <t>CYNTHIA OSARU</t>
  </si>
  <si>
    <t>Camp Nou cuina, Cuiner/a Camp Nou</t>
  </si>
  <si>
    <t>Juno</t>
  </si>
  <si>
    <t>DAMIAN GUSTAVO BAJERSKI</t>
  </si>
  <si>
    <t>Bases cuina central, Bases cuina central</t>
  </si>
  <si>
    <t>DANIELA MARIN MUÑOZ</t>
  </si>
  <si>
    <t>Juno sala, Cambrer/a Juno, Juno House, Serveis externs</t>
  </si>
  <si>
    <t>DAVID PLA GALTES</t>
  </si>
  <si>
    <t>Soliver cuina, Cuiner/a Soliver</t>
  </si>
  <si>
    <t>EDGAR MARIN JIMENEZ</t>
  </si>
  <si>
    <t>Orígens sala, Cambrer/a Orígens</t>
  </si>
  <si>
    <t>EDUARD GARZON PRIETO</t>
  </si>
  <si>
    <t>ERIKA ALEJANDRA MERCHAN VALENCIA</t>
  </si>
  <si>
    <t>Camp Nou sala, Cambrer/a Camp Nou</t>
  </si>
  <si>
    <t>ESTHER ANDRES BUSTOS</t>
  </si>
  <si>
    <t>Foodlovers, Administrativa foodlovers</t>
  </si>
  <si>
    <t>Tarraco Festivals</t>
  </si>
  <si>
    <t>EVA CAMPOY AVILÉS</t>
  </si>
  <si>
    <t>Compres, Administrativa compres</t>
  </si>
  <si>
    <t>Festivals</t>
  </si>
  <si>
    <t>EVA MARIA SANCHEZ RODRIGUEZ</t>
  </si>
  <si>
    <t>EVER MATIAS MONZON CUBILLA</t>
  </si>
  <si>
    <t>FATIMA ZAHRA RAISSI</t>
  </si>
  <si>
    <t>Tarraco cuina, Cuiner/a Tarraco</t>
  </si>
  <si>
    <t>Tarraco</t>
  </si>
  <si>
    <t>FRANCESC BENAIGES ORTEGA</t>
  </si>
  <si>
    <t>FREDERICK AUBERT</t>
  </si>
  <si>
    <t>Cuina adminsitració, Responsable administració cuina central</t>
  </si>
  <si>
    <t>GABRIEL ALEXIS IBACACHE ARAYA</t>
  </si>
  <si>
    <t>GEORGIANA-IULIA LUCHIAN</t>
  </si>
  <si>
    <t>GERARDO ANTONIO PEREZ LOPEZ</t>
  </si>
  <si>
    <t>La Masia cuina, La Masia, Cuiner/a Masia</t>
  </si>
  <si>
    <t>Plural</t>
  </si>
  <si>
    <t>GISLENE GOMES RIBEIRO POTRATZ</t>
  </si>
  <si>
    <t>Juno sala, Cambrer/a Juno, Juno House</t>
  </si>
  <si>
    <t>GUILLERMINA GADELLA ALONSO</t>
  </si>
  <si>
    <t>HANNA BURMYCH</t>
  </si>
  <si>
    <t>HASSANA ABDALESS</t>
  </si>
  <si>
    <t>Font de la Canya</t>
  </si>
  <si>
    <t>HENRY DANIEL PEREDA ARIAS</t>
  </si>
  <si>
    <t>Cuina Central, Sortides càtering</t>
  </si>
  <si>
    <t>IBTISSAM BIBIH KAMROUCHI</t>
  </si>
  <si>
    <t>IMEDA LATSABIDZE SHEKILADZE</t>
  </si>
  <si>
    <t>ISABEL FLO ESTEVE</t>
  </si>
  <si>
    <t>Sala restaurants, Restauració sala</t>
  </si>
  <si>
    <t>Soliver</t>
  </si>
  <si>
    <t>ISABELLE LOZZI DA SILVA BISPO</t>
  </si>
  <si>
    <t>JAIME SALOM I MERCE</t>
  </si>
  <si>
    <t>La Masia sala, La Masia, Cambrer/a Masia</t>
  </si>
  <si>
    <t>JAUME SOLE ARNAN</t>
  </si>
  <si>
    <t>JORDI SOLER BLAZQUEZ</t>
  </si>
  <si>
    <t>JOSE ANTONIO OCHOA SANCHEZ</t>
  </si>
  <si>
    <t>JOSE DELIO REYES GUZMAN</t>
  </si>
  <si>
    <t>JUAN MARTIN GOMEZ VASQUEZ</t>
  </si>
  <si>
    <t>Tarraco cuina, Responsable cuina Tarraco</t>
  </si>
  <si>
    <t>LESYA MANKO</t>
  </si>
  <si>
    <t>Soliver cuina, Responsable cuina Soliver</t>
  </si>
  <si>
    <t>LIDA LILIAN SIGAS NIETO</t>
  </si>
  <si>
    <t>Juno sala, Responsable sala Juno, Juno House</t>
  </si>
  <si>
    <t>LUIS FERNANDO GOMEZ FLOREZ</t>
  </si>
  <si>
    <t>MARC DOMENECH VILA</t>
  </si>
  <si>
    <t>MARIA BEGOÑA GUILLEN BORBOLLA</t>
  </si>
  <si>
    <t>MARIA BEGOÑA PINILLOS ARAGAY</t>
  </si>
  <si>
    <t>MARIA ISABEL GONZALEZ FERNANDEZ</t>
  </si>
  <si>
    <t>Mirador sala, Cambrer/a Mirador</t>
  </si>
  <si>
    <t>MAURICIO DIAS GRILLO</t>
  </si>
  <si>
    <t>MELVIN ALBERTO SANCHEZ RODRIGUEZ</t>
  </si>
  <si>
    <t>Producció, Tècnic/a producció</t>
  </si>
  <si>
    <t>Logística</t>
  </si>
  <si>
    <t>MIRIAM CASTRO ORTIZ</t>
  </si>
  <si>
    <t>Decoració</t>
  </si>
  <si>
    <t>MIRNA BEATRIZ TORRES ZAVALA</t>
  </si>
  <si>
    <t>Plural cuina, Cuiner/a Plural</t>
  </si>
  <si>
    <t>MOHAMED BOUFARCHA CHERRADI</t>
  </si>
  <si>
    <t>MOHAMMED CHAATOUF BOUFTILA</t>
  </si>
  <si>
    <t>Font de la Canya cuina, Responsable cuina FDLC</t>
  </si>
  <si>
    <t>NADIA MANKO</t>
  </si>
  <si>
    <t>NANCY ESMERALDA AGUILAR PALMA</t>
  </si>
  <si>
    <t>NEUS JUVÉ MARTINEZ</t>
  </si>
  <si>
    <t>NORA ARANDA ROSELL</t>
  </si>
  <si>
    <t>PATRICIA PORTILLO TERENCIO</t>
  </si>
  <si>
    <t>RACHID BAKALI ALLOUCHI</t>
  </si>
  <si>
    <t>ROGER FERNANDEZ GUXENS</t>
  </si>
  <si>
    <t>Comercials grups, Comercial grups restauració</t>
  </si>
  <si>
    <t>ROGER GISBERT JUVE</t>
  </si>
  <si>
    <t>SABAH NOUNOUH</t>
  </si>
  <si>
    <t>SARA GUTIERREZ GARCIA</t>
  </si>
  <si>
    <t>SERGIO DELGADO ACOSTA</t>
  </si>
  <si>
    <t>SERGIO MARTINEZ MOLEDO</t>
  </si>
  <si>
    <t>SERGIO MARTINEZ SEPULVEDA</t>
  </si>
  <si>
    <t>Tarraco sala, Cambrer/a Tarraco</t>
  </si>
  <si>
    <t>SOULAIMANE EL BOUZIDI JABBARI</t>
  </si>
  <si>
    <t>Events cuina central, Responsable events cuina central</t>
  </si>
  <si>
    <t>TAMARA GALA COSTA MATEOS</t>
  </si>
  <si>
    <t>Soliver sala, Responsable sala Soliver</t>
  </si>
  <si>
    <t>VEREDIANA APARECIDA IATSKI</t>
  </si>
  <si>
    <t>Plural sala, Responsable sala Plural</t>
  </si>
  <si>
    <t>VICENTE ALBORNOZ</t>
  </si>
  <si>
    <t>VICTOR HUMBERTO CELESTINO LARCO CHAVEZ</t>
  </si>
  <si>
    <t>La Masia sala, Cambrer/a Masia</t>
  </si>
  <si>
    <t>YASSINE CHARA</t>
  </si>
  <si>
    <t>Tarraco sala, Responsable sala Tarraco</t>
  </si>
  <si>
    <t>CCR00009</t>
  </si>
  <si>
    <t>RESTAURANT VALKIRIA</t>
  </si>
  <si>
    <t>CCR00007</t>
  </si>
  <si>
    <t>RESTAURANT JUNO HOUSE</t>
  </si>
  <si>
    <t>CCR00003</t>
  </si>
  <si>
    <t>RESTAURANT LA MASIA D'ESPLUGUES</t>
  </si>
  <si>
    <t>CCR00010</t>
  </si>
  <si>
    <t>RESTAURANT SOLIVER</t>
  </si>
  <si>
    <t>CCR00001</t>
  </si>
  <si>
    <t>RESTAURANT ORIGENS</t>
  </si>
  <si>
    <t>CCR00004</t>
  </si>
  <si>
    <t>RESTAURANT CAMP NOU</t>
  </si>
  <si>
    <t>CCC00007</t>
  </si>
  <si>
    <t>CUINA CENTRAL</t>
  </si>
  <si>
    <t>CCP00014</t>
  </si>
  <si>
    <t>CENTRE PRODUCCIO</t>
  </si>
  <si>
    <t>CCC00003</t>
  </si>
  <si>
    <t>DECORACIO</t>
  </si>
  <si>
    <t>CCR00008</t>
  </si>
  <si>
    <t>RESTAURANT FONT  DE LA CANYA</t>
  </si>
  <si>
    <t>CCR00006</t>
  </si>
  <si>
    <t>RESTAURANT MIRADOR DE LES CAVES</t>
  </si>
  <si>
    <t>CCC00008</t>
  </si>
  <si>
    <t>SERVEIS EXTERNS</t>
  </si>
  <si>
    <t>CCC00005</t>
  </si>
  <si>
    <t>OFICINES CAL BLAY</t>
  </si>
  <si>
    <t>CCR00000</t>
  </si>
  <si>
    <t>ADMINISTRACIO RESTAURANTS</t>
  </si>
  <si>
    <t>CCR00005</t>
  </si>
  <si>
    <t>RESTAURANT TARRACO</t>
  </si>
  <si>
    <t>CCF00001</t>
  </si>
  <si>
    <t>FIRES I FESTIVALS</t>
  </si>
  <si>
    <t>CCE00000</t>
  </si>
  <si>
    <t>ADMINISTRACIO EMPRESA</t>
  </si>
  <si>
    <t>CCR00011</t>
  </si>
  <si>
    <t xml:space="preserve"> GREEN VITA</t>
  </si>
  <si>
    <t>CCC00004</t>
  </si>
  <si>
    <t>LOGISTICA</t>
  </si>
  <si>
    <t>CCR00002</t>
  </si>
  <si>
    <t>RESTAURANT NAUTIC</t>
  </si>
  <si>
    <t>CCF00002</t>
  </si>
  <si>
    <t>FESTIVAL TARRACO</t>
  </si>
  <si>
    <t>Orígens cuina, Responsable cuina Orígens</t>
  </si>
  <si>
    <t>Valkiria cuina, Greenvita cuina, Responsable cuina Valkiria</t>
  </si>
  <si>
    <t>Valkiria cuina, Greenvita cuina, Cuiner/a Valkiria</t>
  </si>
  <si>
    <t>Juno sala, Cambrer/a Juno</t>
  </si>
  <si>
    <t>Data</t>
  </si>
  <si>
    <t>Origen  Codi</t>
  </si>
  <si>
    <t>Origen Nom</t>
  </si>
  <si>
    <t>Desti codi</t>
  </si>
  <si>
    <t>Desti Nom</t>
  </si>
  <si>
    <t>hores</t>
  </si>
  <si>
    <t>Preu hora</t>
  </si>
  <si>
    <t xml:space="preserve">TOTAL </t>
  </si>
  <si>
    <t>CARLES AULLON SANSON</t>
  </si>
  <si>
    <t>JULIA GRANADOS ALCARAZ</t>
  </si>
  <si>
    <t>CLAUDIA GUILLEN VILLACORTA</t>
  </si>
  <si>
    <t>TANIA MOROS CAPARROS</t>
  </si>
  <si>
    <t>Valkiria sala, Cambrer/a Valkiria</t>
  </si>
  <si>
    <t>Juno sala, Responsable sala Juno</t>
  </si>
  <si>
    <t>DANIELA LORENA MUÑOZ BAUDANA</t>
  </si>
  <si>
    <t>Cambrer/a càtering, Serveis externs</t>
  </si>
  <si>
    <t>IKRAM BOUDERRA</t>
  </si>
  <si>
    <t>JEMAA CHELLI</t>
  </si>
  <si>
    <t>ZOHRA BOUZRIBA</t>
  </si>
  <si>
    <t>Neteja cuina central, Neteja cuina central</t>
  </si>
  <si>
    <t>SILVIA PACHECO LAGUNA</t>
  </si>
  <si>
    <t>Administració logística, Administrativa logística</t>
  </si>
  <si>
    <t>ALBA VIZCAINO TORRES</t>
  </si>
  <si>
    <t>ANGIE DANIELA RIVERA BENAVIDES</t>
  </si>
  <si>
    <t>NOELIA PALOMARES SOROLLA</t>
  </si>
  <si>
    <t>Magatzem, Mosso/a magatzem</t>
  </si>
  <si>
    <t>JUANA PEREIRA NUÑEZ</t>
  </si>
  <si>
    <t>AINA NIETO MUNNE</t>
  </si>
  <si>
    <t>MOSTAFA ATRIH HADDOU</t>
  </si>
  <si>
    <t>JUAN FERNANDO SALVATIERRA RAMOS</t>
  </si>
  <si>
    <t>TSOVINAR PETROSYAN</t>
  </si>
  <si>
    <t>ARNAU ESQUERRER BERTRAN</t>
  </si>
  <si>
    <t>LUCIA BONILLA AGUILAR</t>
  </si>
  <si>
    <t>Màrqueting - Comunicació, Tècnica disseny gràfic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</si>
</sst>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 applyAlignment="1">
      <alignment horizontal="center"/>
    </xf>
    <xf numFmtId="0" fontId="2" fillId="0" borderId="0" xfId="0" applyFont="1"/>
    <xf numFmtId="44" fontId="0" fillId="0" borderId="0" xfId="2" applyFont="1"/>
    <xf numFmtId="164" fontId="0" fillId="0" borderId="0" xfId="1" applyNumberFormat="1" applyFont="1"/>
    <xf numFmtId="17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0" fillId="2" borderId="0" xfId="0" applyFill="1"/>
    <xf numFmtId="0" fontId="6" fillId="0" borderId="0" xfId="0" applyFont="1"/>
    <xf numFmtId="0" fontId="0" fillId="0" borderId="0" xfId="0" applyAlignment="1">
      <alignment horizontal="center"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B2B3-D675-432E-82F8-F633DF833AB7}">
  <sheetPr filterMode="1"/>
  <dimension ref="A1:M299"/>
  <sheetViews>
    <sheetView tabSelected="1" topLeftCell="B71" workbookViewId="0">
      <selection activeCell="L90" sqref="L90:L93"/>
    </sheetView>
  </sheetViews>
  <sheetFormatPr baseColWidth="10" defaultColWidth="9.109375" defaultRowHeight="14.4" x14ac:dyDescent="0.3"/>
  <cols>
    <col min="1" max="1" width="11.33203125" customWidth="1"/>
    <col min="2" max="2" width="42.44140625" customWidth="1"/>
    <col min="3" max="3" width="56" hidden="1" customWidth="1"/>
    <col min="4" max="4" width="35" customWidth="1"/>
    <col min="5" max="5" width="34.33203125" bestFit="1" customWidth="1"/>
    <col min="6" max="6" width="15.5546875" bestFit="1" customWidth="1"/>
    <col min="7" max="7" width="18.33203125" customWidth="1"/>
    <col min="8" max="8" width="32.33203125" customWidth="1"/>
    <col min="9" max="9" width="9.6640625" hidden="1" customWidth="1"/>
    <col min="10" max="10" width="7.6640625" style="2" customWidth="1"/>
    <col min="11" max="11" width="9.6640625" customWidth="1"/>
    <col min="12" max="12" width="17" customWidth="1"/>
    <col min="13" max="13" width="0" hidden="1" customWidth="1"/>
  </cols>
  <sheetData>
    <row r="1" spans="1:13" s="1" customFormat="1" x14ac:dyDescent="0.3">
      <c r="A1" s="1" t="s">
        <v>194</v>
      </c>
      <c r="B1" s="1" t="s">
        <v>0</v>
      </c>
      <c r="C1" s="1" t="s">
        <v>2</v>
      </c>
      <c r="D1" s="1" t="s">
        <v>195</v>
      </c>
      <c r="E1" s="1" t="s">
        <v>196</v>
      </c>
      <c r="F1" s="1" t="s">
        <v>5</v>
      </c>
      <c r="G1" s="1" t="s">
        <v>197</v>
      </c>
      <c r="H1" s="1" t="s">
        <v>198</v>
      </c>
      <c r="I1" s="1" t="s">
        <v>6</v>
      </c>
      <c r="J1" s="3" t="s">
        <v>199</v>
      </c>
      <c r="K1" s="1" t="s">
        <v>200</v>
      </c>
      <c r="L1" s="1" t="s">
        <v>201</v>
      </c>
    </row>
    <row r="2" spans="1:13" x14ac:dyDescent="0.3">
      <c r="A2" s="7">
        <v>46143</v>
      </c>
      <c r="B2" t="s">
        <v>31</v>
      </c>
      <c r="C2" t="s">
        <v>32</v>
      </c>
      <c r="D2" t="str">
        <f>_xlfn.XLOOKUP(C2,Conversio!$B:$B,Conversio!$C:$C,"No trobat",0)</f>
        <v>CCR00009</v>
      </c>
      <c r="E2" t="str">
        <f>_xlfn.XLOOKUP(D2,Conversio!$C:$C,Conversio!$D:$D,"No trobat",0)</f>
        <v>RESTAURANT VALKIRIA</v>
      </c>
      <c r="F2" t="s">
        <v>33</v>
      </c>
      <c r="G2" t="str">
        <f>_xlfn.XLOOKUP(F2,Conversio!$B:$B,Conversio!$C:$C,"No trobat",0)</f>
        <v>CCR00004</v>
      </c>
      <c r="H2" t="str">
        <f>_xlfn.XLOOKUP(G2,Conversio!$C:$C,Conversio!$D:$D,"No trobat",0)</f>
        <v>RESTAURANT CAMP NOU</v>
      </c>
      <c r="I2">
        <v>360</v>
      </c>
      <c r="J2" s="2">
        <f t="shared" ref="J2:J33" si="0">I2/60</f>
        <v>6</v>
      </c>
      <c r="K2" s="6">
        <v>18</v>
      </c>
      <c r="L2" s="5">
        <f>J2*K2</f>
        <v>108</v>
      </c>
    </row>
    <row r="3" spans="1:13" x14ac:dyDescent="0.3">
      <c r="A3" s="7">
        <v>46143</v>
      </c>
      <c r="B3" t="s">
        <v>79</v>
      </c>
      <c r="C3" t="s">
        <v>80</v>
      </c>
      <c r="D3" t="str">
        <f>_xlfn.XLOOKUP(C3,Conversio!$B:$B,Conversio!$C:$C,"No trobat",0)</f>
        <v>CCR00007</v>
      </c>
      <c r="E3" t="str">
        <f>_xlfn.XLOOKUP(D3,Conversio!$C:$C,Conversio!$D:$D,"No trobat",0)</f>
        <v>RESTAURANT JUNO HOUSE</v>
      </c>
      <c r="F3" t="s">
        <v>33</v>
      </c>
      <c r="G3" t="str">
        <f>_xlfn.XLOOKUP(F3,Conversio!$B:$B,Conversio!$C:$C,"No trobat",0)</f>
        <v>CCR00004</v>
      </c>
      <c r="H3" t="str">
        <f>_xlfn.XLOOKUP(G3,Conversio!$C:$C,Conversio!$D:$D,"No trobat",0)</f>
        <v>RESTAURANT CAMP NOU</v>
      </c>
      <c r="I3">
        <v>811</v>
      </c>
      <c r="J3" s="2">
        <f t="shared" si="0"/>
        <v>13.516666666666667</v>
      </c>
      <c r="K3" s="6">
        <v>18</v>
      </c>
      <c r="L3" s="5">
        <f t="shared" ref="L3:L66" si="1">J3*K3</f>
        <v>243.3</v>
      </c>
    </row>
    <row r="4" spans="1:13" ht="12.75" customHeight="1" x14ac:dyDescent="0.3">
      <c r="A4" s="7">
        <v>46143</v>
      </c>
      <c r="B4" t="s">
        <v>93</v>
      </c>
      <c r="C4" t="s">
        <v>94</v>
      </c>
      <c r="D4" t="str">
        <f>_xlfn.XLOOKUP(C4,Conversio!$B:$B,Conversio!$C:$C,"No trobat",0)</f>
        <v>CCR00003</v>
      </c>
      <c r="E4" t="str">
        <f>_xlfn.XLOOKUP(D4,Conversio!$C:$C,Conversio!$D:$D,"No trobat",0)</f>
        <v>RESTAURANT LA MASIA D'ESPLUGUES</v>
      </c>
      <c r="F4" t="s">
        <v>33</v>
      </c>
      <c r="G4" t="str">
        <f>_xlfn.XLOOKUP(F4,Conversio!$B:$B,Conversio!$C:$C,"No trobat",0)</f>
        <v>CCR00004</v>
      </c>
      <c r="H4" t="str">
        <f>_xlfn.XLOOKUP(G4,Conversio!$C:$C,Conversio!$D:$D,"No trobat",0)</f>
        <v>RESTAURANT CAMP NOU</v>
      </c>
      <c r="I4">
        <v>380</v>
      </c>
      <c r="J4" s="2">
        <f t="shared" si="0"/>
        <v>6.333333333333333</v>
      </c>
      <c r="K4" s="6">
        <v>18</v>
      </c>
      <c r="L4" s="5">
        <f t="shared" si="1"/>
        <v>114</v>
      </c>
    </row>
    <row r="5" spans="1:13" ht="12" customHeight="1" x14ac:dyDescent="0.3">
      <c r="A5" s="7">
        <v>46143</v>
      </c>
      <c r="B5" t="s">
        <v>103</v>
      </c>
      <c r="C5" t="s">
        <v>104</v>
      </c>
      <c r="D5" t="str">
        <f>_xlfn.XLOOKUP(C5,Conversio!$B:$B,Conversio!$C:$C,"No trobat",0)</f>
        <v>CCR00007</v>
      </c>
      <c r="E5" t="str">
        <f>_xlfn.XLOOKUP(D5,Conversio!$C:$C,Conversio!$D:$D,"No trobat",0)</f>
        <v>RESTAURANT JUNO HOUSE</v>
      </c>
      <c r="F5" t="s">
        <v>33</v>
      </c>
      <c r="G5" t="str">
        <f>_xlfn.XLOOKUP(F5,Conversio!$B:$B,Conversio!$C:$C,"No trobat",0)</f>
        <v>CCR00004</v>
      </c>
      <c r="H5" t="str">
        <f>_xlfn.XLOOKUP(G5,Conversio!$C:$C,Conversio!$D:$D,"No trobat",0)</f>
        <v>RESTAURANT CAMP NOU</v>
      </c>
      <c r="I5">
        <v>442</v>
      </c>
      <c r="J5" s="2">
        <f t="shared" si="0"/>
        <v>7.3666666666666663</v>
      </c>
      <c r="K5" s="6">
        <v>18</v>
      </c>
      <c r="L5" s="5">
        <f t="shared" si="1"/>
        <v>132.6</v>
      </c>
      <c r="M5" s="4"/>
    </row>
    <row r="6" spans="1:13" ht="12" customHeight="1" x14ac:dyDescent="0.3">
      <c r="A6" s="7">
        <v>46143</v>
      </c>
      <c r="B6" t="s">
        <v>22</v>
      </c>
      <c r="C6" t="s">
        <v>23</v>
      </c>
      <c r="D6" t="str">
        <f>_xlfn.XLOOKUP(C6,Conversio!$B:$B,Conversio!$C:$C,"No trobat",0)</f>
        <v>CCR00010</v>
      </c>
      <c r="E6" t="str">
        <f>_xlfn.XLOOKUP(D6,Conversio!$C:$C,Conversio!$D:$D,"No trobat",0)</f>
        <v>RESTAURANT SOLIVER</v>
      </c>
      <c r="F6" t="s">
        <v>24</v>
      </c>
      <c r="G6" t="str">
        <f>_xlfn.XLOOKUP(F6,Conversio!$B:$B,Conversio!$C:$C,"No trobat",0)</f>
        <v>CCE00000</v>
      </c>
      <c r="H6" t="str">
        <f>_xlfn.XLOOKUP(G6,Conversio!$C:$C,Conversio!$D:$D,"No trobat",0)</f>
        <v>ADMINISTRACIO EMPRESA</v>
      </c>
      <c r="I6">
        <v>3081</v>
      </c>
      <c r="J6" s="2">
        <f t="shared" si="0"/>
        <v>51.35</v>
      </c>
      <c r="K6" s="6">
        <v>18</v>
      </c>
      <c r="L6" s="5">
        <f t="shared" si="1"/>
        <v>924.30000000000007</v>
      </c>
    </row>
    <row r="7" spans="1:13" ht="12" customHeight="1" x14ac:dyDescent="0.3">
      <c r="A7" s="7">
        <v>46143</v>
      </c>
      <c r="B7" t="s">
        <v>31</v>
      </c>
      <c r="C7" t="s">
        <v>32</v>
      </c>
      <c r="D7" t="str">
        <f>_xlfn.XLOOKUP(C7,Conversio!$B:$B,Conversio!$C:$C,"No trobat",0)</f>
        <v>CCR00009</v>
      </c>
      <c r="E7" t="str">
        <f>_xlfn.XLOOKUP(D7,Conversio!$C:$C,Conversio!$D:$D,"No trobat",0)</f>
        <v>RESTAURANT VALKIRIA</v>
      </c>
      <c r="F7" t="s">
        <v>24</v>
      </c>
      <c r="G7" t="str">
        <f>_xlfn.XLOOKUP(F7,Conversio!$B:$B,Conversio!$C:$C,"No trobat",0)</f>
        <v>CCE00000</v>
      </c>
      <c r="H7" t="str">
        <f>_xlfn.XLOOKUP(G7,Conversio!$C:$C,Conversio!$D:$D,"No trobat",0)</f>
        <v>ADMINISTRACIO EMPRESA</v>
      </c>
      <c r="I7">
        <v>970</v>
      </c>
      <c r="J7" s="2">
        <f t="shared" si="0"/>
        <v>16.166666666666668</v>
      </c>
      <c r="K7" s="6">
        <v>18</v>
      </c>
      <c r="L7" s="5">
        <f t="shared" si="1"/>
        <v>291</v>
      </c>
    </row>
    <row r="8" spans="1:13" ht="12" customHeight="1" x14ac:dyDescent="0.3">
      <c r="A8" s="7">
        <v>46143</v>
      </c>
      <c r="B8" t="s">
        <v>39</v>
      </c>
      <c r="C8" t="s">
        <v>40</v>
      </c>
      <c r="D8" t="str">
        <f>_xlfn.XLOOKUP(C8,Conversio!$B:$B,Conversio!$C:$C,"No trobat",0)</f>
        <v>CCR00001</v>
      </c>
      <c r="E8" t="str">
        <f>_xlfn.XLOOKUP(D8,Conversio!$C:$C,Conversio!$D:$D,"No trobat",0)</f>
        <v>RESTAURANT ORIGENS</v>
      </c>
      <c r="F8" t="s">
        <v>24</v>
      </c>
      <c r="G8" t="str">
        <f>_xlfn.XLOOKUP(F8,Conversio!$B:$B,Conversio!$C:$C,"No trobat",0)</f>
        <v>CCE00000</v>
      </c>
      <c r="H8" t="str">
        <f>_xlfn.XLOOKUP(G8,Conversio!$C:$C,Conversio!$D:$D,"No trobat",0)</f>
        <v>ADMINISTRACIO EMPRESA</v>
      </c>
      <c r="I8">
        <v>541</v>
      </c>
      <c r="J8" s="2">
        <f t="shared" si="0"/>
        <v>9.0166666666666675</v>
      </c>
      <c r="K8" s="6">
        <v>18</v>
      </c>
      <c r="L8" s="5">
        <f t="shared" si="1"/>
        <v>162.30000000000001</v>
      </c>
    </row>
    <row r="9" spans="1:13" ht="12" customHeight="1" x14ac:dyDescent="0.3">
      <c r="A9" s="7">
        <v>46143</v>
      </c>
      <c r="B9" t="s">
        <v>43</v>
      </c>
      <c r="C9" t="s">
        <v>44</v>
      </c>
      <c r="D9" t="str">
        <f>_xlfn.XLOOKUP(C9,Conversio!$B:$B,Conversio!$C:$C,"No trobat",0)</f>
        <v>CCR00009</v>
      </c>
      <c r="E9" t="str">
        <f>_xlfn.XLOOKUP(D9,Conversio!$C:$C,Conversio!$D:$D,"No trobat",0)</f>
        <v>RESTAURANT VALKIRIA</v>
      </c>
      <c r="F9" t="s">
        <v>24</v>
      </c>
      <c r="G9" t="str">
        <f>_xlfn.XLOOKUP(F9,Conversio!$B:$B,Conversio!$C:$C,"No trobat",0)</f>
        <v>CCE00000</v>
      </c>
      <c r="H9" t="str">
        <f>_xlfn.XLOOKUP(G9,Conversio!$C:$C,Conversio!$D:$D,"No trobat",0)</f>
        <v>ADMINISTRACIO EMPRESA</v>
      </c>
      <c r="I9">
        <v>1290</v>
      </c>
      <c r="J9" s="2">
        <f t="shared" si="0"/>
        <v>21.5</v>
      </c>
      <c r="K9" s="6">
        <v>18</v>
      </c>
      <c r="L9" s="5">
        <f t="shared" si="1"/>
        <v>387</v>
      </c>
    </row>
    <row r="10" spans="1:13" ht="12" customHeight="1" x14ac:dyDescent="0.3">
      <c r="A10" s="7">
        <v>46143</v>
      </c>
      <c r="B10" t="s">
        <v>46</v>
      </c>
      <c r="C10" t="s">
        <v>47</v>
      </c>
      <c r="D10" t="str">
        <f>_xlfn.XLOOKUP(C10,Conversio!$B:$B,Conversio!$C:$C,"No trobat",0)</f>
        <v>CCR00004</v>
      </c>
      <c r="E10" t="str">
        <f>_xlfn.XLOOKUP(D10,Conversio!$C:$C,Conversio!$D:$D,"No trobat",0)</f>
        <v>RESTAURANT CAMP NOU</v>
      </c>
      <c r="F10" t="s">
        <v>24</v>
      </c>
      <c r="G10" t="str">
        <f>_xlfn.XLOOKUP(F10,Conversio!$B:$B,Conversio!$C:$C,"No trobat",0)</f>
        <v>CCE00000</v>
      </c>
      <c r="H10" t="str">
        <f>_xlfn.XLOOKUP(G10,Conversio!$C:$C,Conversio!$D:$D,"No trobat",0)</f>
        <v>ADMINISTRACIO EMPRESA</v>
      </c>
      <c r="I10">
        <v>540</v>
      </c>
      <c r="J10" s="2">
        <f t="shared" si="0"/>
        <v>9</v>
      </c>
      <c r="K10" s="6">
        <v>18</v>
      </c>
      <c r="L10" s="5">
        <f t="shared" si="1"/>
        <v>162</v>
      </c>
    </row>
    <row r="11" spans="1:13" ht="12" customHeight="1" x14ac:dyDescent="0.3">
      <c r="A11" s="7">
        <v>46143</v>
      </c>
      <c r="B11" t="s">
        <v>51</v>
      </c>
      <c r="C11" t="s">
        <v>52</v>
      </c>
      <c r="D11" t="str">
        <f>_xlfn.XLOOKUP(C11,Conversio!$B:$B,Conversio!$C:$C,"No trobat",0)</f>
        <v>CCR00009</v>
      </c>
      <c r="E11" t="str">
        <f>_xlfn.XLOOKUP(D11,Conversio!$C:$C,Conversio!$D:$D,"No trobat",0)</f>
        <v>RESTAURANT VALKIRIA</v>
      </c>
      <c r="F11" t="s">
        <v>24</v>
      </c>
      <c r="G11" t="str">
        <f>_xlfn.XLOOKUP(F11,Conversio!$B:$B,Conversio!$C:$C,"No trobat",0)</f>
        <v>CCE00000</v>
      </c>
      <c r="H11" t="str">
        <f>_xlfn.XLOOKUP(G11,Conversio!$C:$C,Conversio!$D:$D,"No trobat",0)</f>
        <v>ADMINISTRACIO EMPRESA</v>
      </c>
      <c r="I11">
        <v>1844</v>
      </c>
      <c r="J11" s="2">
        <f t="shared" si="0"/>
        <v>30.733333333333334</v>
      </c>
      <c r="K11" s="6">
        <v>18</v>
      </c>
      <c r="L11" s="5">
        <f t="shared" si="1"/>
        <v>553.20000000000005</v>
      </c>
    </row>
    <row r="12" spans="1:13" ht="12" customHeight="1" x14ac:dyDescent="0.3">
      <c r="A12" s="7">
        <v>46143</v>
      </c>
      <c r="B12" t="s">
        <v>74</v>
      </c>
      <c r="C12" t="s">
        <v>23</v>
      </c>
      <c r="D12" t="str">
        <f>_xlfn.XLOOKUP(C12,Conversio!$B:$B,Conversio!$C:$C,"No trobat",0)</f>
        <v>CCR00010</v>
      </c>
      <c r="E12" t="str">
        <f>_xlfn.XLOOKUP(D12,Conversio!$C:$C,Conversio!$D:$D,"No trobat",0)</f>
        <v>RESTAURANT SOLIVER</v>
      </c>
      <c r="F12" t="s">
        <v>24</v>
      </c>
      <c r="G12" t="str">
        <f>_xlfn.XLOOKUP(F12,Conversio!$B:$B,Conversio!$C:$C,"No trobat",0)</f>
        <v>CCE00000</v>
      </c>
      <c r="H12" t="str">
        <f>_xlfn.XLOOKUP(G12,Conversio!$C:$C,Conversio!$D:$D,"No trobat",0)</f>
        <v>ADMINISTRACIO EMPRESA</v>
      </c>
      <c r="I12">
        <v>3822</v>
      </c>
      <c r="J12" s="2">
        <f t="shared" si="0"/>
        <v>63.7</v>
      </c>
      <c r="K12" s="6">
        <v>18</v>
      </c>
      <c r="L12" s="5">
        <f t="shared" si="1"/>
        <v>1146.6000000000001</v>
      </c>
    </row>
    <row r="13" spans="1:13" ht="12" customHeight="1" x14ac:dyDescent="0.3">
      <c r="A13" s="7">
        <v>46143</v>
      </c>
      <c r="B13" t="s">
        <v>76</v>
      </c>
      <c r="C13" t="s">
        <v>77</v>
      </c>
      <c r="D13" t="str">
        <f>_xlfn.XLOOKUP(C13,Conversio!$B:$B,Conversio!$C:$C,"No trobat",0)</f>
        <v>CCR00003</v>
      </c>
      <c r="E13" t="str">
        <f>_xlfn.XLOOKUP(D13,Conversio!$C:$C,Conversio!$D:$D,"No trobat",0)</f>
        <v>RESTAURANT LA MASIA D'ESPLUGUES</v>
      </c>
      <c r="F13" t="s">
        <v>24</v>
      </c>
      <c r="G13" t="str">
        <f>_xlfn.XLOOKUP(F13,Conversio!$B:$B,Conversio!$C:$C,"No trobat",0)</f>
        <v>CCE00000</v>
      </c>
      <c r="H13" t="str">
        <f>_xlfn.XLOOKUP(G13,Conversio!$C:$C,Conversio!$D:$D,"No trobat",0)</f>
        <v>ADMINISTRACIO EMPRESA</v>
      </c>
      <c r="I13">
        <v>300</v>
      </c>
      <c r="J13" s="2">
        <f t="shared" si="0"/>
        <v>5</v>
      </c>
      <c r="K13" s="6">
        <v>18</v>
      </c>
      <c r="L13" s="5">
        <f t="shared" si="1"/>
        <v>90</v>
      </c>
    </row>
    <row r="14" spans="1:13" ht="12" customHeight="1" x14ac:dyDescent="0.3">
      <c r="A14" s="7">
        <v>46143</v>
      </c>
      <c r="B14" t="s">
        <v>85</v>
      </c>
      <c r="C14" t="s">
        <v>86</v>
      </c>
      <c r="D14" t="str">
        <f>_xlfn.XLOOKUP(C14,Conversio!$B:$B,Conversio!$C:$C,"No trobat",0)</f>
        <v>CCC00007</v>
      </c>
      <c r="E14" t="str">
        <f>_xlfn.XLOOKUP(D14,Conversio!$C:$C,Conversio!$D:$D,"No trobat",0)</f>
        <v>CUINA CENTRAL</v>
      </c>
      <c r="F14" t="s">
        <v>24</v>
      </c>
      <c r="G14" t="str">
        <f>_xlfn.XLOOKUP(F14,Conversio!$B:$B,Conversio!$C:$C,"No trobat",0)</f>
        <v>CCE00000</v>
      </c>
      <c r="H14" t="str">
        <f>_xlfn.XLOOKUP(G14,Conversio!$C:$C,Conversio!$D:$D,"No trobat",0)</f>
        <v>ADMINISTRACIO EMPRESA</v>
      </c>
      <c r="I14">
        <v>7691</v>
      </c>
      <c r="J14" s="2">
        <f t="shared" si="0"/>
        <v>128.18333333333334</v>
      </c>
      <c r="K14" s="6">
        <v>18</v>
      </c>
      <c r="L14" s="5">
        <f t="shared" si="1"/>
        <v>2307.3000000000002</v>
      </c>
    </row>
    <row r="15" spans="1:13" ht="12" customHeight="1" x14ac:dyDescent="0.3">
      <c r="A15" s="7">
        <v>46143</v>
      </c>
      <c r="B15" t="s">
        <v>105</v>
      </c>
      <c r="C15" t="s">
        <v>94</v>
      </c>
      <c r="D15" t="str">
        <f>_xlfn.XLOOKUP(C15,Conversio!$B:$B,Conversio!$C:$C,"No trobat",0)</f>
        <v>CCR00003</v>
      </c>
      <c r="E15" t="str">
        <f>_xlfn.XLOOKUP(D15,Conversio!$C:$C,Conversio!$D:$D,"No trobat",0)</f>
        <v>RESTAURANT LA MASIA D'ESPLUGUES</v>
      </c>
      <c r="F15" t="s">
        <v>24</v>
      </c>
      <c r="G15" t="str">
        <f>_xlfn.XLOOKUP(F15,Conversio!$B:$B,Conversio!$C:$C,"No trobat",0)</f>
        <v>CCE00000</v>
      </c>
      <c r="H15" t="str">
        <f>_xlfn.XLOOKUP(G15,Conversio!$C:$C,Conversio!$D:$D,"No trobat",0)</f>
        <v>ADMINISTRACIO EMPRESA</v>
      </c>
      <c r="I15">
        <v>2173</v>
      </c>
      <c r="J15" s="2">
        <f t="shared" si="0"/>
        <v>36.216666666666669</v>
      </c>
      <c r="K15" s="6">
        <v>18</v>
      </c>
      <c r="L15" s="5">
        <f t="shared" si="1"/>
        <v>651.90000000000009</v>
      </c>
    </row>
    <row r="16" spans="1:13" ht="12" customHeight="1" x14ac:dyDescent="0.3">
      <c r="A16" s="7">
        <v>46143</v>
      </c>
      <c r="B16" t="s">
        <v>106</v>
      </c>
      <c r="C16" t="s">
        <v>77</v>
      </c>
      <c r="D16" t="str">
        <f>_xlfn.XLOOKUP(C16,Conversio!$B:$B,Conversio!$C:$C,"No trobat",0)</f>
        <v>CCR00003</v>
      </c>
      <c r="E16" t="str">
        <f>_xlfn.XLOOKUP(D16,Conversio!$C:$C,Conversio!$D:$D,"No trobat",0)</f>
        <v>RESTAURANT LA MASIA D'ESPLUGUES</v>
      </c>
      <c r="F16" t="s">
        <v>24</v>
      </c>
      <c r="G16" t="str">
        <f>_xlfn.XLOOKUP(F16,Conversio!$B:$B,Conversio!$C:$C,"No trobat",0)</f>
        <v>CCE00000</v>
      </c>
      <c r="H16" t="str">
        <f>_xlfn.XLOOKUP(G16,Conversio!$C:$C,Conversio!$D:$D,"No trobat",0)</f>
        <v>ADMINISTRACIO EMPRESA</v>
      </c>
      <c r="I16">
        <v>270</v>
      </c>
      <c r="J16" s="2">
        <f t="shared" si="0"/>
        <v>4.5</v>
      </c>
      <c r="K16" s="6">
        <v>18</v>
      </c>
      <c r="L16" s="5">
        <f t="shared" si="1"/>
        <v>81</v>
      </c>
    </row>
    <row r="17" spans="1:12" ht="12" customHeight="1" x14ac:dyDescent="0.3">
      <c r="A17" s="7">
        <v>46143</v>
      </c>
      <c r="B17" t="s">
        <v>111</v>
      </c>
      <c r="C17" t="s">
        <v>28</v>
      </c>
      <c r="D17" t="str">
        <f>_xlfn.XLOOKUP(C17,Conversio!$B:$B,Conversio!$C:$C,"No trobat",0)</f>
        <v>CCP00014</v>
      </c>
      <c r="E17" t="str">
        <f>_xlfn.XLOOKUP(D17,Conversio!$C:$C,Conversio!$D:$D,"No trobat",0)</f>
        <v>CENTRE PRODUCCIO</v>
      </c>
      <c r="F17" t="s">
        <v>24</v>
      </c>
      <c r="G17" t="str">
        <f>_xlfn.XLOOKUP(F17,Conversio!$B:$B,Conversio!$C:$C,"No trobat",0)</f>
        <v>CCE00000</v>
      </c>
      <c r="H17" t="str">
        <f>_xlfn.XLOOKUP(G17,Conversio!$C:$C,Conversio!$D:$D,"No trobat",0)</f>
        <v>ADMINISTRACIO EMPRESA</v>
      </c>
      <c r="I17">
        <v>3863</v>
      </c>
      <c r="J17" s="2">
        <f t="shared" si="0"/>
        <v>64.38333333333334</v>
      </c>
      <c r="K17" s="6">
        <v>18</v>
      </c>
      <c r="L17" s="5">
        <f t="shared" si="1"/>
        <v>1158.9000000000001</v>
      </c>
    </row>
    <row r="18" spans="1:12" ht="12" customHeight="1" x14ac:dyDescent="0.3">
      <c r="A18" s="7">
        <v>46143</v>
      </c>
      <c r="B18" t="s">
        <v>115</v>
      </c>
      <c r="C18" t="s">
        <v>116</v>
      </c>
      <c r="D18" t="str">
        <f>_xlfn.XLOOKUP(C18,Conversio!$B:$B,Conversio!$C:$C,"No trobat",0)</f>
        <v>CCC00003</v>
      </c>
      <c r="E18" t="str">
        <f>_xlfn.XLOOKUP(D18,Conversio!$C:$C,Conversio!$D:$D,"No trobat",0)</f>
        <v>DECORACIO</v>
      </c>
      <c r="F18" t="s">
        <v>24</v>
      </c>
      <c r="G18" t="str">
        <f>_xlfn.XLOOKUP(F18,Conversio!$B:$B,Conversio!$C:$C,"No trobat",0)</f>
        <v>CCE00000</v>
      </c>
      <c r="H18" t="str">
        <f>_xlfn.XLOOKUP(G18,Conversio!$C:$C,Conversio!$D:$D,"No trobat",0)</f>
        <v>ADMINISTRACIO EMPRESA</v>
      </c>
      <c r="I18">
        <v>1399</v>
      </c>
      <c r="J18" s="2">
        <f t="shared" si="0"/>
        <v>23.316666666666666</v>
      </c>
      <c r="K18" s="6">
        <v>18</v>
      </c>
      <c r="L18" s="5">
        <f t="shared" si="1"/>
        <v>419.7</v>
      </c>
    </row>
    <row r="19" spans="1:12" ht="12" customHeight="1" x14ac:dyDescent="0.3">
      <c r="A19" s="7">
        <v>46143</v>
      </c>
      <c r="B19" t="s">
        <v>117</v>
      </c>
      <c r="C19" t="s">
        <v>118</v>
      </c>
      <c r="D19" t="str">
        <f>_xlfn.XLOOKUP(C19,Conversio!$B:$B,Conversio!$C:$C,"No trobat",0)</f>
        <v>CCR00009</v>
      </c>
      <c r="E19" t="str">
        <f>_xlfn.XLOOKUP(D19,Conversio!$C:$C,Conversio!$D:$D,"No trobat",0)</f>
        <v>RESTAURANT VALKIRIA</v>
      </c>
      <c r="F19" t="s">
        <v>24</v>
      </c>
      <c r="G19" t="str">
        <f>_xlfn.XLOOKUP(F19,Conversio!$B:$B,Conversio!$C:$C,"No trobat",0)</f>
        <v>CCE00000</v>
      </c>
      <c r="H19" t="str">
        <f>_xlfn.XLOOKUP(G19,Conversio!$C:$C,Conversio!$D:$D,"No trobat",0)</f>
        <v>ADMINISTRACIO EMPRESA</v>
      </c>
      <c r="I19">
        <v>720</v>
      </c>
      <c r="J19" s="2">
        <f t="shared" si="0"/>
        <v>12</v>
      </c>
      <c r="K19" s="6">
        <v>18</v>
      </c>
      <c r="L19" s="5">
        <f t="shared" si="1"/>
        <v>216</v>
      </c>
    </row>
    <row r="20" spans="1:12" ht="12" customHeight="1" x14ac:dyDescent="0.3">
      <c r="A20" s="7">
        <v>46143</v>
      </c>
      <c r="B20" t="s">
        <v>119</v>
      </c>
      <c r="C20" t="s">
        <v>77</v>
      </c>
      <c r="D20" t="str">
        <f>_xlfn.XLOOKUP(C20,Conversio!$B:$B,Conversio!$C:$C,"No trobat",0)</f>
        <v>CCR00003</v>
      </c>
      <c r="E20" t="str">
        <f>_xlfn.XLOOKUP(D20,Conversio!$C:$C,Conversio!$D:$D,"No trobat",0)</f>
        <v>RESTAURANT LA MASIA D'ESPLUGUES</v>
      </c>
      <c r="F20" t="s">
        <v>24</v>
      </c>
      <c r="G20" t="str">
        <f>_xlfn.XLOOKUP(F20,Conversio!$B:$B,Conversio!$C:$C,"No trobat",0)</f>
        <v>CCE00000</v>
      </c>
      <c r="H20" t="str">
        <f>_xlfn.XLOOKUP(G20,Conversio!$C:$C,Conversio!$D:$D,"No trobat",0)</f>
        <v>ADMINISTRACIO EMPRESA</v>
      </c>
      <c r="I20">
        <v>330</v>
      </c>
      <c r="J20" s="2">
        <f t="shared" si="0"/>
        <v>5.5</v>
      </c>
      <c r="K20" s="6">
        <v>18</v>
      </c>
      <c r="L20" s="5">
        <f t="shared" si="1"/>
        <v>99</v>
      </c>
    </row>
    <row r="21" spans="1:12" ht="12" customHeight="1" x14ac:dyDescent="0.3">
      <c r="A21" s="7">
        <v>46143</v>
      </c>
      <c r="B21" t="s">
        <v>120</v>
      </c>
      <c r="C21" t="s">
        <v>121</v>
      </c>
      <c r="D21" t="str">
        <f>_xlfn.XLOOKUP(C21,Conversio!$B:$B,Conversio!$C:$C,"No trobat",0)</f>
        <v>CCR00008</v>
      </c>
      <c r="E21" t="str">
        <f>_xlfn.XLOOKUP(D21,Conversio!$C:$C,Conversio!$D:$D,"No trobat",0)</f>
        <v>RESTAURANT FONT  DE LA CANYA</v>
      </c>
      <c r="F21" t="s">
        <v>24</v>
      </c>
      <c r="G21" t="str">
        <f>_xlfn.XLOOKUP(F21,Conversio!$B:$B,Conversio!$C:$C,"No trobat",0)</f>
        <v>CCE00000</v>
      </c>
      <c r="H21" t="str">
        <f>_xlfn.XLOOKUP(G21,Conversio!$C:$C,Conversio!$D:$D,"No trobat",0)</f>
        <v>ADMINISTRACIO EMPRESA</v>
      </c>
      <c r="I21">
        <v>2704</v>
      </c>
      <c r="J21" s="2">
        <f t="shared" si="0"/>
        <v>45.06666666666667</v>
      </c>
      <c r="K21" s="6">
        <v>18</v>
      </c>
      <c r="L21" s="5">
        <f t="shared" si="1"/>
        <v>811.2</v>
      </c>
    </row>
    <row r="22" spans="1:12" ht="12" customHeight="1" x14ac:dyDescent="0.3">
      <c r="A22" s="7">
        <v>46143</v>
      </c>
      <c r="B22" t="s">
        <v>122</v>
      </c>
      <c r="C22" t="s">
        <v>54</v>
      </c>
      <c r="D22" t="str">
        <f>_xlfn.XLOOKUP(C22,Conversio!$B:$B,Conversio!$C:$C,"No trobat",0)</f>
        <v>CCR00010</v>
      </c>
      <c r="E22" t="str">
        <f>_xlfn.XLOOKUP(D22,Conversio!$C:$C,Conversio!$D:$D,"No trobat",0)</f>
        <v>RESTAURANT SOLIVER</v>
      </c>
      <c r="F22" t="s">
        <v>24</v>
      </c>
      <c r="G22" t="str">
        <f>_xlfn.XLOOKUP(F22,Conversio!$B:$B,Conversio!$C:$C,"No trobat",0)</f>
        <v>CCE00000</v>
      </c>
      <c r="H22" t="str">
        <f>_xlfn.XLOOKUP(G22,Conversio!$C:$C,Conversio!$D:$D,"No trobat",0)</f>
        <v>ADMINISTRACIO EMPRESA</v>
      </c>
      <c r="I22">
        <v>387</v>
      </c>
      <c r="J22" s="2">
        <f t="shared" si="0"/>
        <v>6.45</v>
      </c>
      <c r="K22" s="6">
        <v>18</v>
      </c>
      <c r="L22" s="5">
        <f t="shared" si="1"/>
        <v>116.10000000000001</v>
      </c>
    </row>
    <row r="23" spans="1:12" ht="12" customHeight="1" x14ac:dyDescent="0.3">
      <c r="A23" s="7">
        <v>46143</v>
      </c>
      <c r="B23" t="s">
        <v>139</v>
      </c>
      <c r="C23" t="s">
        <v>140</v>
      </c>
      <c r="D23" t="str">
        <f>_xlfn.XLOOKUP(C23,Conversio!$B:$B,Conversio!$C:$C,"No trobat",0)</f>
        <v>CCR00010</v>
      </c>
      <c r="E23" t="str">
        <f>_xlfn.XLOOKUP(D23,Conversio!$C:$C,Conversio!$D:$D,"No trobat",0)</f>
        <v>RESTAURANT SOLIVER</v>
      </c>
      <c r="F23" t="s">
        <v>24</v>
      </c>
      <c r="G23" t="str">
        <f>_xlfn.XLOOKUP(F23,Conversio!$B:$B,Conversio!$C:$C,"No trobat",0)</f>
        <v>CCE00000</v>
      </c>
      <c r="H23" t="str">
        <f>_xlfn.XLOOKUP(G23,Conversio!$C:$C,Conversio!$D:$D,"No trobat",0)</f>
        <v>ADMINISTRACIO EMPRESA</v>
      </c>
      <c r="I23">
        <v>745</v>
      </c>
      <c r="J23" s="2">
        <f t="shared" si="0"/>
        <v>12.416666666666666</v>
      </c>
      <c r="K23" s="6">
        <v>18</v>
      </c>
      <c r="L23" s="5">
        <f t="shared" si="1"/>
        <v>223.5</v>
      </c>
    </row>
    <row r="24" spans="1:12" ht="12" customHeight="1" x14ac:dyDescent="0.3">
      <c r="A24" s="7">
        <v>46143</v>
      </c>
      <c r="B24" t="s">
        <v>141</v>
      </c>
      <c r="C24" t="s">
        <v>142</v>
      </c>
      <c r="D24" t="str">
        <f>_xlfn.XLOOKUP(C24,Conversio!$B:$B,Conversio!$C:$C,"No trobat",0)</f>
        <v>CCR00009</v>
      </c>
      <c r="E24" t="str">
        <f>_xlfn.XLOOKUP(D24,Conversio!$C:$C,Conversio!$D:$D,"No trobat",0)</f>
        <v>RESTAURANT VALKIRIA</v>
      </c>
      <c r="F24" t="s">
        <v>24</v>
      </c>
      <c r="G24" t="str">
        <f>_xlfn.XLOOKUP(F24,Conversio!$B:$B,Conversio!$C:$C,"No trobat",0)</f>
        <v>CCE00000</v>
      </c>
      <c r="H24" t="str">
        <f>_xlfn.XLOOKUP(G24,Conversio!$C:$C,Conversio!$D:$D,"No trobat",0)</f>
        <v>ADMINISTRACIO EMPRESA</v>
      </c>
      <c r="I24">
        <v>600</v>
      </c>
      <c r="J24" s="2">
        <f t="shared" si="0"/>
        <v>10</v>
      </c>
      <c r="K24" s="6">
        <v>18</v>
      </c>
      <c r="L24" s="5">
        <f t="shared" si="1"/>
        <v>180</v>
      </c>
    </row>
    <row r="25" spans="1:12" ht="12" customHeight="1" x14ac:dyDescent="0.3">
      <c r="A25" s="7">
        <v>46143</v>
      </c>
      <c r="B25" t="s">
        <v>143</v>
      </c>
      <c r="C25" t="s">
        <v>47</v>
      </c>
      <c r="D25" t="str">
        <f>_xlfn.XLOOKUP(C25,Conversio!$B:$B,Conversio!$C:$C,"No trobat",0)</f>
        <v>CCR00004</v>
      </c>
      <c r="E25" t="str">
        <f>_xlfn.XLOOKUP(D25,Conversio!$C:$C,Conversio!$D:$D,"No trobat",0)</f>
        <v>RESTAURANT CAMP NOU</v>
      </c>
      <c r="F25" t="s">
        <v>24</v>
      </c>
      <c r="G25" t="str">
        <f>_xlfn.XLOOKUP(F25,Conversio!$B:$B,Conversio!$C:$C,"No trobat",0)</f>
        <v>CCE00000</v>
      </c>
      <c r="H25" t="str">
        <f>_xlfn.XLOOKUP(G25,Conversio!$C:$C,Conversio!$D:$D,"No trobat",0)</f>
        <v>ADMINISTRACIO EMPRESA</v>
      </c>
      <c r="I25">
        <v>240</v>
      </c>
      <c r="J25" s="2">
        <f t="shared" si="0"/>
        <v>4</v>
      </c>
      <c r="K25" s="6">
        <v>18</v>
      </c>
      <c r="L25" s="5">
        <f t="shared" si="1"/>
        <v>72</v>
      </c>
    </row>
    <row r="26" spans="1:12" ht="12" customHeight="1" x14ac:dyDescent="0.3">
      <c r="A26" s="7">
        <v>46143</v>
      </c>
      <c r="B26" t="s">
        <v>144</v>
      </c>
      <c r="C26" t="s">
        <v>145</v>
      </c>
      <c r="D26" t="str">
        <f>_xlfn.XLOOKUP(C26,Conversio!$B:$B,Conversio!$C:$C,"No trobat",0)</f>
        <v>CCR00003</v>
      </c>
      <c r="E26" t="str">
        <f>_xlfn.XLOOKUP(D26,Conversio!$C:$C,Conversio!$D:$D,"No trobat",0)</f>
        <v>RESTAURANT LA MASIA D'ESPLUGUES</v>
      </c>
      <c r="F26" t="s">
        <v>24</v>
      </c>
      <c r="G26" t="str">
        <f>_xlfn.XLOOKUP(F26,Conversio!$B:$B,Conversio!$C:$C,"No trobat",0)</f>
        <v>CCE00000</v>
      </c>
      <c r="H26" t="str">
        <f>_xlfn.XLOOKUP(G26,Conversio!$C:$C,Conversio!$D:$D,"No trobat",0)</f>
        <v>ADMINISTRACIO EMPRESA</v>
      </c>
      <c r="I26">
        <v>1699</v>
      </c>
      <c r="J26" s="2">
        <f t="shared" si="0"/>
        <v>28.316666666666666</v>
      </c>
      <c r="K26" s="6">
        <v>18</v>
      </c>
      <c r="L26" s="5">
        <f t="shared" si="1"/>
        <v>509.7</v>
      </c>
    </row>
    <row r="27" spans="1:12" ht="12" customHeight="1" x14ac:dyDescent="0.3">
      <c r="A27" s="7">
        <v>46143</v>
      </c>
      <c r="B27" t="s">
        <v>12</v>
      </c>
      <c r="C27" t="s">
        <v>13</v>
      </c>
      <c r="D27" t="str">
        <f>_xlfn.XLOOKUP(C27,Conversio!$B:$B,Conversio!$C:$C,"No trobat",0)</f>
        <v>CCC00007</v>
      </c>
      <c r="E27" t="str">
        <f>_xlfn.XLOOKUP(D27,Conversio!$C:$C,Conversio!$D:$D,"No trobat",0)</f>
        <v>CUINA CENTRAL</v>
      </c>
      <c r="F27" t="s">
        <v>14</v>
      </c>
      <c r="G27" t="str">
        <f>_xlfn.XLOOKUP(F27,Conversio!$B:$B,Conversio!$C:$C,"No trobat",0)</f>
        <v>CCE00000</v>
      </c>
      <c r="H27" t="str">
        <f>_xlfn.XLOOKUP(G27,Conversio!$C:$C,Conversio!$D:$D,"No trobat",0)</f>
        <v>ADMINISTRACIO EMPRESA</v>
      </c>
      <c r="I27">
        <v>3435</v>
      </c>
      <c r="J27" s="2">
        <f t="shared" si="0"/>
        <v>57.25</v>
      </c>
      <c r="K27" s="6">
        <v>18</v>
      </c>
      <c r="L27" s="5">
        <f t="shared" si="1"/>
        <v>1030.5</v>
      </c>
    </row>
    <row r="28" spans="1:12" ht="12" customHeight="1" x14ac:dyDescent="0.3">
      <c r="A28" s="7">
        <v>46143</v>
      </c>
      <c r="B28" t="s">
        <v>16</v>
      </c>
      <c r="C28" t="s">
        <v>17</v>
      </c>
      <c r="D28" t="str">
        <f>_xlfn.XLOOKUP(C28,Conversio!$B:$B,Conversio!$C:$C,"No trobat",0)</f>
        <v>CCR00006</v>
      </c>
      <c r="E28" t="str">
        <f>_xlfn.XLOOKUP(D28,Conversio!$C:$C,Conversio!$D:$D,"No trobat",0)</f>
        <v>RESTAURANT MIRADOR DE LES CAVES</v>
      </c>
      <c r="F28" t="s">
        <v>14</v>
      </c>
      <c r="G28" t="str">
        <f>_xlfn.XLOOKUP(F28,Conversio!$B:$B,Conversio!$C:$C,"No trobat",0)</f>
        <v>CCE00000</v>
      </c>
      <c r="H28" t="str">
        <f>_xlfn.XLOOKUP(G28,Conversio!$C:$C,Conversio!$D:$D,"No trobat",0)</f>
        <v>ADMINISTRACIO EMPRESA</v>
      </c>
      <c r="I28">
        <v>600</v>
      </c>
      <c r="J28" s="2">
        <f t="shared" si="0"/>
        <v>10</v>
      </c>
      <c r="K28" s="6">
        <v>18</v>
      </c>
      <c r="L28" s="5">
        <f t="shared" si="1"/>
        <v>180</v>
      </c>
    </row>
    <row r="29" spans="1:12" ht="12" customHeight="1" x14ac:dyDescent="0.3">
      <c r="A29" s="7">
        <v>46143</v>
      </c>
      <c r="B29" t="s">
        <v>20</v>
      </c>
      <c r="C29" t="s">
        <v>21</v>
      </c>
      <c r="D29" t="str">
        <f>_xlfn.XLOOKUP(C29,Conversio!$B:$B,Conversio!$C:$C,"No trobat",0)</f>
        <v>CCC00007</v>
      </c>
      <c r="E29" t="str">
        <f>_xlfn.XLOOKUP(D29,Conversio!$C:$C,Conversio!$D:$D,"No trobat",0)</f>
        <v>CUINA CENTRAL</v>
      </c>
      <c r="F29" t="s">
        <v>14</v>
      </c>
      <c r="G29" t="str">
        <f>_xlfn.XLOOKUP(F29,Conversio!$B:$B,Conversio!$C:$C,"No trobat",0)</f>
        <v>CCE00000</v>
      </c>
      <c r="H29" t="str">
        <f>_xlfn.XLOOKUP(G29,Conversio!$C:$C,Conversio!$D:$D,"No trobat",0)</f>
        <v>ADMINISTRACIO EMPRESA</v>
      </c>
      <c r="I29">
        <v>2888</v>
      </c>
      <c r="J29" s="2">
        <f t="shared" si="0"/>
        <v>48.133333333333333</v>
      </c>
      <c r="K29" s="6">
        <v>18</v>
      </c>
      <c r="L29" s="5">
        <f t="shared" si="1"/>
        <v>866.4</v>
      </c>
    </row>
    <row r="30" spans="1:12" ht="12" customHeight="1" x14ac:dyDescent="0.3">
      <c r="A30" s="7">
        <v>46143</v>
      </c>
      <c r="B30" t="s">
        <v>25</v>
      </c>
      <c r="C30" t="s">
        <v>26</v>
      </c>
      <c r="D30" t="str">
        <f>_xlfn.XLOOKUP(C30,Conversio!$B:$B,Conversio!$C:$C,"No trobat",0)</f>
        <v>CCC00007</v>
      </c>
      <c r="E30" t="str">
        <f>_xlfn.XLOOKUP(D30,Conversio!$C:$C,Conversio!$D:$D,"No trobat",0)</f>
        <v>CUINA CENTRAL</v>
      </c>
      <c r="F30" t="s">
        <v>14</v>
      </c>
      <c r="G30" t="str">
        <f>_xlfn.XLOOKUP(F30,Conversio!$B:$B,Conversio!$C:$C,"No trobat",0)</f>
        <v>CCE00000</v>
      </c>
      <c r="H30" t="str">
        <f>_xlfn.XLOOKUP(G30,Conversio!$C:$C,Conversio!$D:$D,"No trobat",0)</f>
        <v>ADMINISTRACIO EMPRESA</v>
      </c>
      <c r="I30">
        <v>1841</v>
      </c>
      <c r="J30" s="2">
        <f t="shared" si="0"/>
        <v>30.683333333333334</v>
      </c>
      <c r="K30" s="6">
        <v>18</v>
      </c>
      <c r="L30" s="5">
        <f t="shared" si="1"/>
        <v>552.29999999999995</v>
      </c>
    </row>
    <row r="31" spans="1:12" ht="12" customHeight="1" x14ac:dyDescent="0.3">
      <c r="A31" s="7">
        <v>46143</v>
      </c>
      <c r="B31" t="s">
        <v>27</v>
      </c>
      <c r="C31" t="s">
        <v>28</v>
      </c>
      <c r="D31" t="str">
        <f>_xlfn.XLOOKUP(C31,Conversio!$B:$B,Conversio!$C:$C,"No trobat",0)</f>
        <v>CCP00014</v>
      </c>
      <c r="E31" t="str">
        <f>_xlfn.XLOOKUP(D31,Conversio!$C:$C,Conversio!$D:$D,"No trobat",0)</f>
        <v>CENTRE PRODUCCIO</v>
      </c>
      <c r="F31" t="s">
        <v>14</v>
      </c>
      <c r="G31" t="str">
        <f>_xlfn.XLOOKUP(F31,Conversio!$B:$B,Conversio!$C:$C,"No trobat",0)</f>
        <v>CCE00000</v>
      </c>
      <c r="H31" t="str">
        <f>_xlfn.XLOOKUP(G31,Conversio!$C:$C,Conversio!$D:$D,"No trobat",0)</f>
        <v>ADMINISTRACIO EMPRESA</v>
      </c>
      <c r="I31">
        <v>583</v>
      </c>
      <c r="J31" s="2">
        <f t="shared" si="0"/>
        <v>9.7166666666666668</v>
      </c>
      <c r="K31" s="6">
        <v>18</v>
      </c>
      <c r="L31" s="5">
        <f t="shared" si="1"/>
        <v>174.9</v>
      </c>
    </row>
    <row r="32" spans="1:12" ht="12" customHeight="1" x14ac:dyDescent="0.3">
      <c r="A32" s="7">
        <v>46143</v>
      </c>
      <c r="B32" t="s">
        <v>29</v>
      </c>
      <c r="C32" t="s">
        <v>30</v>
      </c>
      <c r="D32" t="str">
        <f>_xlfn.XLOOKUP(C32,Conversio!$B:$B,Conversio!$C:$C,"No trobat",0)</f>
        <v>CCC00007</v>
      </c>
      <c r="E32" t="str">
        <f>_xlfn.XLOOKUP(D32,Conversio!$C:$C,Conversio!$D:$D,"No trobat",0)</f>
        <v>CUINA CENTRAL</v>
      </c>
      <c r="F32" t="s">
        <v>14</v>
      </c>
      <c r="G32" t="str">
        <f>_xlfn.XLOOKUP(F32,Conversio!$B:$B,Conversio!$C:$C,"No trobat",0)</f>
        <v>CCE00000</v>
      </c>
      <c r="H32" t="str">
        <f>_xlfn.XLOOKUP(G32,Conversio!$C:$C,Conversio!$D:$D,"No trobat",0)</f>
        <v>ADMINISTRACIO EMPRESA</v>
      </c>
      <c r="I32">
        <v>14703</v>
      </c>
      <c r="J32" s="2">
        <f t="shared" si="0"/>
        <v>245.05</v>
      </c>
      <c r="K32" s="6">
        <v>18</v>
      </c>
      <c r="L32" s="5">
        <f t="shared" si="1"/>
        <v>4410.9000000000005</v>
      </c>
    </row>
    <row r="33" spans="1:12" ht="12" customHeight="1" x14ac:dyDescent="0.3">
      <c r="A33" s="7">
        <v>46143</v>
      </c>
      <c r="B33" t="s">
        <v>35</v>
      </c>
      <c r="C33" t="s">
        <v>26</v>
      </c>
      <c r="D33" t="str">
        <f>_xlfn.XLOOKUP(C33,Conversio!$B:$B,Conversio!$C:$C,"No trobat",0)</f>
        <v>CCC00007</v>
      </c>
      <c r="E33" t="str">
        <f>_xlfn.XLOOKUP(D33,Conversio!$C:$C,Conversio!$D:$D,"No trobat",0)</f>
        <v>CUINA CENTRAL</v>
      </c>
      <c r="F33" t="s">
        <v>14</v>
      </c>
      <c r="G33" t="str">
        <f>_xlfn.XLOOKUP(F33,Conversio!$B:$B,Conversio!$C:$C,"No trobat",0)</f>
        <v>CCE00000</v>
      </c>
      <c r="H33" t="str">
        <f>_xlfn.XLOOKUP(G33,Conversio!$C:$C,Conversio!$D:$D,"No trobat",0)</f>
        <v>ADMINISTRACIO EMPRESA</v>
      </c>
      <c r="I33">
        <v>3709</v>
      </c>
      <c r="J33" s="2">
        <f t="shared" si="0"/>
        <v>61.81666666666667</v>
      </c>
      <c r="K33" s="6">
        <v>18</v>
      </c>
      <c r="L33" s="5">
        <f t="shared" si="1"/>
        <v>1112.7</v>
      </c>
    </row>
    <row r="34" spans="1:12" ht="12" customHeight="1" x14ac:dyDescent="0.3">
      <c r="A34" s="7">
        <v>46143</v>
      </c>
      <c r="B34" t="s">
        <v>36</v>
      </c>
      <c r="C34" t="s">
        <v>30</v>
      </c>
      <c r="D34" t="str">
        <f>_xlfn.XLOOKUP(C34,Conversio!$B:$B,Conversio!$C:$C,"No trobat",0)</f>
        <v>CCC00007</v>
      </c>
      <c r="E34" t="str">
        <f>_xlfn.XLOOKUP(D34,Conversio!$C:$C,Conversio!$D:$D,"No trobat",0)</f>
        <v>CUINA CENTRAL</v>
      </c>
      <c r="F34" t="s">
        <v>14</v>
      </c>
      <c r="G34" t="str">
        <f>_xlfn.XLOOKUP(F34,Conversio!$B:$B,Conversio!$C:$C,"No trobat",0)</f>
        <v>CCE00000</v>
      </c>
      <c r="H34" t="str">
        <f>_xlfn.XLOOKUP(G34,Conversio!$C:$C,Conversio!$D:$D,"No trobat",0)</f>
        <v>ADMINISTRACIO EMPRESA</v>
      </c>
      <c r="I34">
        <v>11228</v>
      </c>
      <c r="J34" s="2">
        <f t="shared" ref="J34:J65" si="2">I34/60</f>
        <v>187.13333333333333</v>
      </c>
      <c r="K34" s="6">
        <v>18</v>
      </c>
      <c r="L34" s="5">
        <f t="shared" si="1"/>
        <v>3368.3999999999996</v>
      </c>
    </row>
    <row r="35" spans="1:12" ht="12" customHeight="1" x14ac:dyDescent="0.3">
      <c r="A35" s="7">
        <v>46143</v>
      </c>
      <c r="B35" t="s">
        <v>37</v>
      </c>
      <c r="C35" t="s">
        <v>26</v>
      </c>
      <c r="D35" t="str">
        <f>_xlfn.XLOOKUP(C35,Conversio!$B:$B,Conversio!$C:$C,"No trobat",0)</f>
        <v>CCC00007</v>
      </c>
      <c r="E35" t="str">
        <f>_xlfn.XLOOKUP(D35,Conversio!$C:$C,Conversio!$D:$D,"No trobat",0)</f>
        <v>CUINA CENTRAL</v>
      </c>
      <c r="F35" t="s">
        <v>14</v>
      </c>
      <c r="G35" t="str">
        <f>_xlfn.XLOOKUP(F35,Conversio!$B:$B,Conversio!$C:$C,"No trobat",0)</f>
        <v>CCE00000</v>
      </c>
      <c r="H35" t="str">
        <f>_xlfn.XLOOKUP(G35,Conversio!$C:$C,Conversio!$D:$D,"No trobat",0)</f>
        <v>ADMINISTRACIO EMPRESA</v>
      </c>
      <c r="I35">
        <v>2781</v>
      </c>
      <c r="J35" s="2">
        <f t="shared" si="2"/>
        <v>46.35</v>
      </c>
      <c r="K35" s="6">
        <v>18</v>
      </c>
      <c r="L35" s="5">
        <f t="shared" si="1"/>
        <v>834.30000000000007</v>
      </c>
    </row>
    <row r="36" spans="1:12" ht="12" customHeight="1" x14ac:dyDescent="0.3">
      <c r="A36" s="7">
        <v>46143</v>
      </c>
      <c r="B36" t="s">
        <v>38</v>
      </c>
      <c r="C36" t="s">
        <v>26</v>
      </c>
      <c r="D36" t="str">
        <f>_xlfn.XLOOKUP(C36,Conversio!$B:$B,Conversio!$C:$C,"No trobat",0)</f>
        <v>CCC00007</v>
      </c>
      <c r="E36" t="str">
        <f>_xlfn.XLOOKUP(D36,Conversio!$C:$C,Conversio!$D:$D,"No trobat",0)</f>
        <v>CUINA CENTRAL</v>
      </c>
      <c r="F36" t="s">
        <v>14</v>
      </c>
      <c r="G36" t="str">
        <f>_xlfn.XLOOKUP(F36,Conversio!$B:$B,Conversio!$C:$C,"No trobat",0)</f>
        <v>CCE00000</v>
      </c>
      <c r="H36" t="str">
        <f>_xlfn.XLOOKUP(G36,Conversio!$C:$C,Conversio!$D:$D,"No trobat",0)</f>
        <v>ADMINISTRACIO EMPRESA</v>
      </c>
      <c r="I36">
        <v>3516</v>
      </c>
      <c r="J36" s="2">
        <f t="shared" si="2"/>
        <v>58.6</v>
      </c>
      <c r="K36" s="6">
        <v>18</v>
      </c>
      <c r="L36" s="5">
        <f t="shared" si="1"/>
        <v>1054.8</v>
      </c>
    </row>
    <row r="37" spans="1:12" ht="12" customHeight="1" x14ac:dyDescent="0.3">
      <c r="A37" s="7">
        <v>46143</v>
      </c>
      <c r="B37" t="s">
        <v>39</v>
      </c>
      <c r="C37" t="s">
        <v>40</v>
      </c>
      <c r="D37" t="str">
        <f>_xlfn.XLOOKUP(C37,Conversio!$B:$B,Conversio!$C:$C,"No trobat",0)</f>
        <v>CCR00001</v>
      </c>
      <c r="E37" t="str">
        <f>_xlfn.XLOOKUP(D37,Conversio!$C:$C,Conversio!$D:$D,"No trobat",0)</f>
        <v>RESTAURANT ORIGENS</v>
      </c>
      <c r="F37" t="s">
        <v>14</v>
      </c>
      <c r="G37" t="str">
        <f>_xlfn.XLOOKUP(F37,Conversio!$B:$B,Conversio!$C:$C,"No trobat",0)</f>
        <v>CCE00000</v>
      </c>
      <c r="H37" t="str">
        <f>_xlfn.XLOOKUP(G37,Conversio!$C:$C,Conversio!$D:$D,"No trobat",0)</f>
        <v>ADMINISTRACIO EMPRESA</v>
      </c>
      <c r="I37">
        <v>835</v>
      </c>
      <c r="J37" s="2">
        <f t="shared" si="2"/>
        <v>13.916666666666666</v>
      </c>
      <c r="K37" s="6">
        <v>18</v>
      </c>
      <c r="L37" s="5">
        <f t="shared" si="1"/>
        <v>250.5</v>
      </c>
    </row>
    <row r="38" spans="1:12" ht="12" customHeight="1" x14ac:dyDescent="0.3">
      <c r="A38" s="7">
        <v>46143</v>
      </c>
      <c r="B38" t="s">
        <v>49</v>
      </c>
      <c r="C38" t="s">
        <v>50</v>
      </c>
      <c r="D38" t="str">
        <f>_xlfn.XLOOKUP(C38,Conversio!$B:$B,Conversio!$C:$C,"No trobat",0)</f>
        <v>CCC00007</v>
      </c>
      <c r="E38" t="str">
        <f>_xlfn.XLOOKUP(D38,Conversio!$C:$C,Conversio!$D:$D,"No trobat",0)</f>
        <v>CUINA CENTRAL</v>
      </c>
      <c r="F38" t="s">
        <v>14</v>
      </c>
      <c r="G38" t="str">
        <f>_xlfn.XLOOKUP(F38,Conversio!$B:$B,Conversio!$C:$C,"No trobat",0)</f>
        <v>CCE00000</v>
      </c>
      <c r="H38" t="str">
        <f>_xlfn.XLOOKUP(G38,Conversio!$C:$C,Conversio!$D:$D,"No trobat",0)</f>
        <v>ADMINISTRACIO EMPRESA</v>
      </c>
      <c r="I38">
        <v>3800</v>
      </c>
      <c r="J38" s="2">
        <f t="shared" si="2"/>
        <v>63.333333333333336</v>
      </c>
      <c r="K38" s="6">
        <v>18</v>
      </c>
      <c r="L38" s="5">
        <f t="shared" si="1"/>
        <v>1140</v>
      </c>
    </row>
    <row r="39" spans="1:12" ht="12" customHeight="1" x14ac:dyDescent="0.3">
      <c r="A39" s="7">
        <v>46143</v>
      </c>
      <c r="B39" t="s">
        <v>53</v>
      </c>
      <c r="C39" t="s">
        <v>54</v>
      </c>
      <c r="D39" t="str">
        <f>_xlfn.XLOOKUP(C39,Conversio!$B:$B,Conversio!$C:$C,"No trobat",0)</f>
        <v>CCR00010</v>
      </c>
      <c r="E39" t="str">
        <f>_xlfn.XLOOKUP(D39,Conversio!$C:$C,Conversio!$D:$D,"No trobat",0)</f>
        <v>RESTAURANT SOLIVER</v>
      </c>
      <c r="F39" t="s">
        <v>14</v>
      </c>
      <c r="G39" t="str">
        <f>_xlfn.XLOOKUP(F39,Conversio!$B:$B,Conversio!$C:$C,"No trobat",0)</f>
        <v>CCE00000</v>
      </c>
      <c r="H39" t="str">
        <f>_xlfn.XLOOKUP(G39,Conversio!$C:$C,Conversio!$D:$D,"No trobat",0)</f>
        <v>ADMINISTRACIO EMPRESA</v>
      </c>
      <c r="I39">
        <v>5665</v>
      </c>
      <c r="J39" s="2">
        <f t="shared" si="2"/>
        <v>94.416666666666671</v>
      </c>
      <c r="K39" s="6">
        <v>18</v>
      </c>
      <c r="L39" s="5">
        <f t="shared" si="1"/>
        <v>1699.5</v>
      </c>
    </row>
    <row r="40" spans="1:12" ht="12" customHeight="1" x14ac:dyDescent="0.3">
      <c r="A40" s="7">
        <v>46143</v>
      </c>
      <c r="B40" t="s">
        <v>57</v>
      </c>
      <c r="C40" t="s">
        <v>30</v>
      </c>
      <c r="D40" t="str">
        <f>_xlfn.XLOOKUP(C40,Conversio!$B:$B,Conversio!$C:$C,"No trobat",0)</f>
        <v>CCC00007</v>
      </c>
      <c r="E40" t="str">
        <f>_xlfn.XLOOKUP(D40,Conversio!$C:$C,Conversio!$D:$D,"No trobat",0)</f>
        <v>CUINA CENTRAL</v>
      </c>
      <c r="F40" t="s">
        <v>14</v>
      </c>
      <c r="G40" t="str">
        <f>_xlfn.XLOOKUP(F40,Conversio!$B:$B,Conversio!$C:$C,"No trobat",0)</f>
        <v>CCE00000</v>
      </c>
      <c r="H40" t="str">
        <f>_xlfn.XLOOKUP(G40,Conversio!$C:$C,Conversio!$D:$D,"No trobat",0)</f>
        <v>ADMINISTRACIO EMPRESA</v>
      </c>
      <c r="I40">
        <v>13514</v>
      </c>
      <c r="J40" s="2">
        <f t="shared" si="2"/>
        <v>225.23333333333332</v>
      </c>
      <c r="K40" s="6">
        <v>18</v>
      </c>
      <c r="L40" s="5">
        <f t="shared" si="1"/>
        <v>4054.2</v>
      </c>
    </row>
    <row r="41" spans="1:12" ht="12" customHeight="1" x14ac:dyDescent="0.3">
      <c r="A41" s="7">
        <v>46143</v>
      </c>
      <c r="B41" t="s">
        <v>66</v>
      </c>
      <c r="C41" t="s">
        <v>26</v>
      </c>
      <c r="D41" t="str">
        <f>_xlfn.XLOOKUP(C41,Conversio!$B:$B,Conversio!$C:$C,"No trobat",0)</f>
        <v>CCC00007</v>
      </c>
      <c r="E41" t="str">
        <f>_xlfn.XLOOKUP(D41,Conversio!$C:$C,Conversio!$D:$D,"No trobat",0)</f>
        <v>CUINA CENTRAL</v>
      </c>
      <c r="F41" t="s">
        <v>14</v>
      </c>
      <c r="G41" t="str">
        <f>_xlfn.XLOOKUP(F41,Conversio!$B:$B,Conversio!$C:$C,"No trobat",0)</f>
        <v>CCE00000</v>
      </c>
      <c r="H41" t="str">
        <f>_xlfn.XLOOKUP(G41,Conversio!$C:$C,Conversio!$D:$D,"No trobat",0)</f>
        <v>ADMINISTRACIO EMPRESA</v>
      </c>
      <c r="I41">
        <v>2219</v>
      </c>
      <c r="J41" s="2">
        <f t="shared" si="2"/>
        <v>36.983333333333334</v>
      </c>
      <c r="K41" s="6">
        <v>18</v>
      </c>
      <c r="L41" s="5">
        <f t="shared" si="1"/>
        <v>665.7</v>
      </c>
    </row>
    <row r="42" spans="1:12" ht="12" customHeight="1" x14ac:dyDescent="0.3">
      <c r="A42" s="7">
        <v>46143</v>
      </c>
      <c r="B42" t="s">
        <v>67</v>
      </c>
      <c r="C42" t="s">
        <v>30</v>
      </c>
      <c r="D42" t="str">
        <f>_xlfn.XLOOKUP(C42,Conversio!$B:$B,Conversio!$C:$C,"No trobat",0)</f>
        <v>CCC00007</v>
      </c>
      <c r="E42" t="str">
        <f>_xlfn.XLOOKUP(D42,Conversio!$C:$C,Conversio!$D:$D,"No trobat",0)</f>
        <v>CUINA CENTRAL</v>
      </c>
      <c r="F42" t="s">
        <v>14</v>
      </c>
      <c r="G42" t="str">
        <f>_xlfn.XLOOKUP(F42,Conversio!$B:$B,Conversio!$C:$C,"No trobat",0)</f>
        <v>CCE00000</v>
      </c>
      <c r="H42" t="str">
        <f>_xlfn.XLOOKUP(G42,Conversio!$C:$C,Conversio!$D:$D,"No trobat",0)</f>
        <v>ADMINISTRACIO EMPRESA</v>
      </c>
      <c r="I42">
        <v>14708</v>
      </c>
      <c r="J42" s="2">
        <f t="shared" si="2"/>
        <v>245.13333333333333</v>
      </c>
      <c r="K42" s="6">
        <v>18</v>
      </c>
      <c r="L42" s="5">
        <f t="shared" si="1"/>
        <v>4412.3999999999996</v>
      </c>
    </row>
    <row r="43" spans="1:12" ht="12" customHeight="1" x14ac:dyDescent="0.3">
      <c r="A43" s="7">
        <v>46143</v>
      </c>
      <c r="B43" t="s">
        <v>71</v>
      </c>
      <c r="C43" t="s">
        <v>30</v>
      </c>
      <c r="D43" t="str">
        <f>_xlfn.XLOOKUP(C43,Conversio!$B:$B,Conversio!$C:$C,"No trobat",0)</f>
        <v>CCC00007</v>
      </c>
      <c r="E43" t="str">
        <f>_xlfn.XLOOKUP(D43,Conversio!$C:$C,Conversio!$D:$D,"No trobat",0)</f>
        <v>CUINA CENTRAL</v>
      </c>
      <c r="F43" t="s">
        <v>14</v>
      </c>
      <c r="G43" t="str">
        <f>_xlfn.XLOOKUP(F43,Conversio!$B:$B,Conversio!$C:$C,"No trobat",0)</f>
        <v>CCE00000</v>
      </c>
      <c r="H43" t="str">
        <f>_xlfn.XLOOKUP(G43,Conversio!$C:$C,Conversio!$D:$D,"No trobat",0)</f>
        <v>ADMINISTRACIO EMPRESA</v>
      </c>
      <c r="I43">
        <v>12956</v>
      </c>
      <c r="J43" s="2">
        <f t="shared" si="2"/>
        <v>215.93333333333334</v>
      </c>
      <c r="K43" s="6">
        <v>18</v>
      </c>
      <c r="L43" s="5">
        <f t="shared" si="1"/>
        <v>3886.8</v>
      </c>
    </row>
    <row r="44" spans="1:12" ht="12" customHeight="1" x14ac:dyDescent="0.3">
      <c r="A44" s="7">
        <v>46143</v>
      </c>
      <c r="B44" t="s">
        <v>72</v>
      </c>
      <c r="C44" t="s">
        <v>73</v>
      </c>
      <c r="D44" t="str">
        <f>_xlfn.XLOOKUP(C44,Conversio!$B:$B,Conversio!$C:$C,"No trobat",0)</f>
        <v>CCC00007</v>
      </c>
      <c r="E44" t="str">
        <f>_xlfn.XLOOKUP(D44,Conversio!$C:$C,Conversio!$D:$D,"No trobat",0)</f>
        <v>CUINA CENTRAL</v>
      </c>
      <c r="F44" t="s">
        <v>14</v>
      </c>
      <c r="G44" t="str">
        <f>_xlfn.XLOOKUP(F44,Conversio!$B:$B,Conversio!$C:$C,"No trobat",0)</f>
        <v>CCE00000</v>
      </c>
      <c r="H44" t="str">
        <f>_xlfn.XLOOKUP(G44,Conversio!$C:$C,Conversio!$D:$D,"No trobat",0)</f>
        <v>ADMINISTRACIO EMPRESA</v>
      </c>
      <c r="I44">
        <v>1095</v>
      </c>
      <c r="J44" s="2">
        <f t="shared" si="2"/>
        <v>18.25</v>
      </c>
      <c r="K44" s="6">
        <v>18</v>
      </c>
      <c r="L44" s="5">
        <f t="shared" si="1"/>
        <v>328.5</v>
      </c>
    </row>
    <row r="45" spans="1:12" ht="12" customHeight="1" x14ac:dyDescent="0.3">
      <c r="A45" s="7">
        <v>46143</v>
      </c>
      <c r="B45" t="s">
        <v>75</v>
      </c>
      <c r="C45" t="s">
        <v>26</v>
      </c>
      <c r="D45" t="str">
        <f>_xlfn.XLOOKUP(C45,Conversio!$B:$B,Conversio!$C:$C,"No trobat",0)</f>
        <v>CCC00007</v>
      </c>
      <c r="E45" t="str">
        <f>_xlfn.XLOOKUP(D45,Conversio!$C:$C,Conversio!$D:$D,"No trobat",0)</f>
        <v>CUINA CENTRAL</v>
      </c>
      <c r="F45" t="s">
        <v>14</v>
      </c>
      <c r="G45" t="str">
        <f>_xlfn.XLOOKUP(F45,Conversio!$B:$B,Conversio!$C:$C,"No trobat",0)</f>
        <v>CCE00000</v>
      </c>
      <c r="H45" t="str">
        <f>_xlfn.XLOOKUP(G45,Conversio!$C:$C,Conversio!$D:$D,"No trobat",0)</f>
        <v>ADMINISTRACIO EMPRESA</v>
      </c>
      <c r="I45">
        <v>555</v>
      </c>
      <c r="J45" s="2">
        <f t="shared" si="2"/>
        <v>9.25</v>
      </c>
      <c r="K45" s="6">
        <v>18</v>
      </c>
      <c r="L45" s="5">
        <f t="shared" si="1"/>
        <v>166.5</v>
      </c>
    </row>
    <row r="46" spans="1:12" ht="12" customHeight="1" x14ac:dyDescent="0.3">
      <c r="A46" s="7">
        <v>46143</v>
      </c>
      <c r="B46" t="s">
        <v>81</v>
      </c>
      <c r="C46" t="s">
        <v>54</v>
      </c>
      <c r="D46" t="str">
        <f>_xlfn.XLOOKUP(C46,Conversio!$B:$B,Conversio!$C:$C,"No trobat",0)</f>
        <v>CCR00010</v>
      </c>
      <c r="E46" t="str">
        <f>_xlfn.XLOOKUP(D46,Conversio!$C:$C,Conversio!$D:$D,"No trobat",0)</f>
        <v>RESTAURANT SOLIVER</v>
      </c>
      <c r="F46" t="s">
        <v>14</v>
      </c>
      <c r="G46" t="str">
        <f>_xlfn.XLOOKUP(F46,Conversio!$B:$B,Conversio!$C:$C,"No trobat",0)</f>
        <v>CCE00000</v>
      </c>
      <c r="H46" t="str">
        <f>_xlfn.XLOOKUP(G46,Conversio!$C:$C,Conversio!$D:$D,"No trobat",0)</f>
        <v>ADMINISTRACIO EMPRESA</v>
      </c>
      <c r="I46">
        <v>4084</v>
      </c>
      <c r="J46" s="2">
        <f t="shared" si="2"/>
        <v>68.066666666666663</v>
      </c>
      <c r="K46" s="6">
        <v>18</v>
      </c>
      <c r="L46" s="5">
        <f t="shared" si="1"/>
        <v>1225.1999999999998</v>
      </c>
    </row>
    <row r="47" spans="1:12" ht="12" customHeight="1" x14ac:dyDescent="0.3">
      <c r="A47" s="7">
        <v>46143</v>
      </c>
      <c r="B47" t="s">
        <v>82</v>
      </c>
      <c r="C47" t="s">
        <v>54</v>
      </c>
      <c r="D47" t="str">
        <f>_xlfn.XLOOKUP(C47,Conversio!$B:$B,Conversio!$C:$C,"No trobat",0)</f>
        <v>CCR00010</v>
      </c>
      <c r="E47" t="str">
        <f>_xlfn.XLOOKUP(D47,Conversio!$C:$C,Conversio!$D:$D,"No trobat",0)</f>
        <v>RESTAURANT SOLIVER</v>
      </c>
      <c r="F47" t="s">
        <v>14</v>
      </c>
      <c r="G47" t="str">
        <f>_xlfn.XLOOKUP(F47,Conversio!$B:$B,Conversio!$C:$C,"No trobat",0)</f>
        <v>CCE00000</v>
      </c>
      <c r="H47" t="str">
        <f>_xlfn.XLOOKUP(G47,Conversio!$C:$C,Conversio!$D:$D,"No trobat",0)</f>
        <v>ADMINISTRACIO EMPRESA</v>
      </c>
      <c r="I47">
        <v>3266</v>
      </c>
      <c r="J47" s="2">
        <f t="shared" si="2"/>
        <v>54.43333333333333</v>
      </c>
      <c r="K47" s="6">
        <v>18</v>
      </c>
      <c r="L47" s="5">
        <f t="shared" si="1"/>
        <v>979.8</v>
      </c>
    </row>
    <row r="48" spans="1:12" ht="12" customHeight="1" x14ac:dyDescent="0.3">
      <c r="A48" s="7">
        <v>46143</v>
      </c>
      <c r="B48" t="s">
        <v>85</v>
      </c>
      <c r="C48" t="s">
        <v>86</v>
      </c>
      <c r="D48" t="str">
        <f>_xlfn.XLOOKUP(C48,Conversio!$B:$B,Conversio!$C:$C,"No trobat",0)</f>
        <v>CCC00007</v>
      </c>
      <c r="E48" t="str">
        <f>_xlfn.XLOOKUP(D48,Conversio!$C:$C,Conversio!$D:$D,"No trobat",0)</f>
        <v>CUINA CENTRAL</v>
      </c>
      <c r="F48" t="s">
        <v>14</v>
      </c>
      <c r="G48" t="str">
        <f>_xlfn.XLOOKUP(F48,Conversio!$B:$B,Conversio!$C:$C,"No trobat",0)</f>
        <v>CCE00000</v>
      </c>
      <c r="H48" t="str">
        <f>_xlfn.XLOOKUP(G48,Conversio!$C:$C,Conversio!$D:$D,"No trobat",0)</f>
        <v>ADMINISTRACIO EMPRESA</v>
      </c>
      <c r="I48">
        <v>1475</v>
      </c>
      <c r="J48" s="2">
        <f t="shared" si="2"/>
        <v>24.583333333333332</v>
      </c>
      <c r="K48" s="6">
        <v>18</v>
      </c>
      <c r="L48" s="5">
        <f t="shared" si="1"/>
        <v>442.5</v>
      </c>
    </row>
    <row r="49" spans="1:12" ht="12" customHeight="1" x14ac:dyDescent="0.3">
      <c r="A49" s="7">
        <v>46143</v>
      </c>
      <c r="B49" t="s">
        <v>87</v>
      </c>
      <c r="C49" t="s">
        <v>26</v>
      </c>
      <c r="D49" t="str">
        <f>_xlfn.XLOOKUP(C49,Conversio!$B:$B,Conversio!$C:$C,"No trobat",0)</f>
        <v>CCC00007</v>
      </c>
      <c r="E49" t="str">
        <f>_xlfn.XLOOKUP(D49,Conversio!$C:$C,Conversio!$D:$D,"No trobat",0)</f>
        <v>CUINA CENTRAL</v>
      </c>
      <c r="F49" t="s">
        <v>14</v>
      </c>
      <c r="G49" t="str">
        <f>_xlfn.XLOOKUP(F49,Conversio!$B:$B,Conversio!$C:$C,"No trobat",0)</f>
        <v>CCE00000</v>
      </c>
      <c r="H49" t="str">
        <f>_xlfn.XLOOKUP(G49,Conversio!$C:$C,Conversio!$D:$D,"No trobat",0)</f>
        <v>ADMINISTRACIO EMPRESA</v>
      </c>
      <c r="I49">
        <v>2447</v>
      </c>
      <c r="J49" s="2">
        <f t="shared" si="2"/>
        <v>40.783333333333331</v>
      </c>
      <c r="K49" s="6">
        <v>18</v>
      </c>
      <c r="L49" s="5">
        <f t="shared" si="1"/>
        <v>734.09999999999991</v>
      </c>
    </row>
    <row r="50" spans="1:12" ht="12" customHeight="1" x14ac:dyDescent="0.3">
      <c r="A50" s="7">
        <v>46143</v>
      </c>
      <c r="B50" t="s">
        <v>88</v>
      </c>
      <c r="C50" t="s">
        <v>30</v>
      </c>
      <c r="D50" t="str">
        <f>_xlfn.XLOOKUP(C50,Conversio!$B:$B,Conversio!$C:$C,"No trobat",0)</f>
        <v>CCC00007</v>
      </c>
      <c r="E50" t="str">
        <f>_xlfn.XLOOKUP(D50,Conversio!$C:$C,Conversio!$D:$D,"No trobat",0)</f>
        <v>CUINA CENTRAL</v>
      </c>
      <c r="F50" t="s">
        <v>14</v>
      </c>
      <c r="G50" t="str">
        <f>_xlfn.XLOOKUP(F50,Conversio!$B:$B,Conversio!$C:$C,"No trobat",0)</f>
        <v>CCE00000</v>
      </c>
      <c r="H50" t="str">
        <f>_xlfn.XLOOKUP(G50,Conversio!$C:$C,Conversio!$D:$D,"No trobat",0)</f>
        <v>ADMINISTRACIO EMPRESA</v>
      </c>
      <c r="I50">
        <v>13166</v>
      </c>
      <c r="J50" s="2">
        <f t="shared" si="2"/>
        <v>219.43333333333334</v>
      </c>
      <c r="K50" s="6">
        <v>18</v>
      </c>
      <c r="L50" s="5">
        <f t="shared" si="1"/>
        <v>3949.8</v>
      </c>
    </row>
    <row r="51" spans="1:12" ht="12" customHeight="1" x14ac:dyDescent="0.3">
      <c r="A51" s="7">
        <v>46143</v>
      </c>
      <c r="B51" t="s">
        <v>92</v>
      </c>
      <c r="C51" t="s">
        <v>28</v>
      </c>
      <c r="D51" t="str">
        <f>_xlfn.XLOOKUP(C51,Conversio!$B:$B,Conversio!$C:$C,"No trobat",0)</f>
        <v>CCP00014</v>
      </c>
      <c r="E51" t="str">
        <f>_xlfn.XLOOKUP(D51,Conversio!$C:$C,Conversio!$D:$D,"No trobat",0)</f>
        <v>CENTRE PRODUCCIO</v>
      </c>
      <c r="F51" t="s">
        <v>14</v>
      </c>
      <c r="G51" t="str">
        <f>_xlfn.XLOOKUP(F51,Conversio!$B:$B,Conversio!$C:$C,"No trobat",0)</f>
        <v>CCE00000</v>
      </c>
      <c r="H51" t="str">
        <f>_xlfn.XLOOKUP(G51,Conversio!$C:$C,Conversio!$D:$D,"No trobat",0)</f>
        <v>ADMINISTRACIO EMPRESA</v>
      </c>
      <c r="I51">
        <v>600</v>
      </c>
      <c r="J51" s="2">
        <f t="shared" si="2"/>
        <v>10</v>
      </c>
      <c r="K51" s="6">
        <v>18</v>
      </c>
      <c r="L51" s="5">
        <f t="shared" si="1"/>
        <v>180</v>
      </c>
    </row>
    <row r="52" spans="1:12" ht="12" customHeight="1" x14ac:dyDescent="0.3">
      <c r="A52" s="7">
        <v>46143</v>
      </c>
      <c r="B52" t="s">
        <v>95</v>
      </c>
      <c r="C52" t="s">
        <v>30</v>
      </c>
      <c r="D52" t="str">
        <f>_xlfn.XLOOKUP(C52,Conversio!$B:$B,Conversio!$C:$C,"No trobat",0)</f>
        <v>CCC00007</v>
      </c>
      <c r="E52" t="str">
        <f>_xlfn.XLOOKUP(D52,Conversio!$C:$C,Conversio!$D:$D,"No trobat",0)</f>
        <v>CUINA CENTRAL</v>
      </c>
      <c r="F52" t="s">
        <v>14</v>
      </c>
      <c r="G52" t="str">
        <f>_xlfn.XLOOKUP(F52,Conversio!$B:$B,Conversio!$C:$C,"No trobat",0)</f>
        <v>CCE00000</v>
      </c>
      <c r="H52" t="str">
        <f>_xlfn.XLOOKUP(G52,Conversio!$C:$C,Conversio!$D:$D,"No trobat",0)</f>
        <v>ADMINISTRACIO EMPRESA</v>
      </c>
      <c r="I52">
        <v>10314</v>
      </c>
      <c r="J52" s="2">
        <f t="shared" si="2"/>
        <v>171.9</v>
      </c>
      <c r="K52" s="6">
        <v>18</v>
      </c>
      <c r="L52" s="5">
        <f t="shared" si="1"/>
        <v>3094.2000000000003</v>
      </c>
    </row>
    <row r="53" spans="1:12" ht="12" customHeight="1" x14ac:dyDescent="0.3">
      <c r="A53" s="7">
        <v>46143</v>
      </c>
      <c r="B53" t="s">
        <v>96</v>
      </c>
      <c r="C53" t="s">
        <v>30</v>
      </c>
      <c r="D53" t="str">
        <f>_xlfn.XLOOKUP(C53,Conversio!$B:$B,Conversio!$C:$C,"No trobat",0)</f>
        <v>CCC00007</v>
      </c>
      <c r="E53" t="str">
        <f>_xlfn.XLOOKUP(D53,Conversio!$C:$C,Conversio!$D:$D,"No trobat",0)</f>
        <v>CUINA CENTRAL</v>
      </c>
      <c r="F53" t="s">
        <v>14</v>
      </c>
      <c r="G53" t="str">
        <f>_xlfn.XLOOKUP(F53,Conversio!$B:$B,Conversio!$C:$C,"No trobat",0)</f>
        <v>CCE00000</v>
      </c>
      <c r="H53" t="str">
        <f>_xlfn.XLOOKUP(G53,Conversio!$C:$C,Conversio!$D:$D,"No trobat",0)</f>
        <v>ADMINISTRACIO EMPRESA</v>
      </c>
      <c r="I53">
        <v>12968</v>
      </c>
      <c r="J53" s="2">
        <f t="shared" si="2"/>
        <v>216.13333333333333</v>
      </c>
      <c r="K53" s="6">
        <v>18</v>
      </c>
      <c r="L53" s="5">
        <f t="shared" si="1"/>
        <v>3890.3999999999996</v>
      </c>
    </row>
    <row r="54" spans="1:12" ht="12" customHeight="1" x14ac:dyDescent="0.3">
      <c r="A54" s="7">
        <v>46143</v>
      </c>
      <c r="B54" t="s">
        <v>97</v>
      </c>
      <c r="C54" t="s">
        <v>50</v>
      </c>
      <c r="D54" t="str">
        <f>_xlfn.XLOOKUP(C54,Conversio!$B:$B,Conversio!$C:$C,"No trobat",0)</f>
        <v>CCC00007</v>
      </c>
      <c r="E54" t="str">
        <f>_xlfn.XLOOKUP(D54,Conversio!$C:$C,Conversio!$D:$D,"No trobat",0)</f>
        <v>CUINA CENTRAL</v>
      </c>
      <c r="F54" t="s">
        <v>14</v>
      </c>
      <c r="G54" t="str">
        <f>_xlfn.XLOOKUP(F54,Conversio!$B:$B,Conversio!$C:$C,"No trobat",0)</f>
        <v>CCE00000</v>
      </c>
      <c r="H54" t="str">
        <f>_xlfn.XLOOKUP(G54,Conversio!$C:$C,Conversio!$D:$D,"No trobat",0)</f>
        <v>ADMINISTRACIO EMPRESA</v>
      </c>
      <c r="I54">
        <v>14311</v>
      </c>
      <c r="J54" s="2">
        <f t="shared" si="2"/>
        <v>238.51666666666668</v>
      </c>
      <c r="K54" s="6">
        <v>18</v>
      </c>
      <c r="L54" s="5">
        <f t="shared" si="1"/>
        <v>4293.3</v>
      </c>
    </row>
    <row r="55" spans="1:12" ht="12" customHeight="1" x14ac:dyDescent="0.3">
      <c r="A55" s="7">
        <v>46143</v>
      </c>
      <c r="B55" t="s">
        <v>98</v>
      </c>
      <c r="C55" t="s">
        <v>15</v>
      </c>
      <c r="D55" t="str">
        <f>_xlfn.XLOOKUP(C55,Conversio!$B:$B,Conversio!$C:$C,"No trobat",0)</f>
        <v>No trobat</v>
      </c>
      <c r="E55" t="str">
        <f>_xlfn.XLOOKUP(D55,Conversio!$C:$C,Conversio!$D:$D,"No trobat",0)</f>
        <v>No trobat</v>
      </c>
      <c r="F55" t="s">
        <v>14</v>
      </c>
      <c r="G55" t="str">
        <f>_xlfn.XLOOKUP(F55,Conversio!$B:$B,Conversio!$C:$C,"No trobat",0)</f>
        <v>CCE00000</v>
      </c>
      <c r="H55" t="str">
        <f>_xlfn.XLOOKUP(G55,Conversio!$C:$C,Conversio!$D:$D,"No trobat",0)</f>
        <v>ADMINISTRACIO EMPRESA</v>
      </c>
      <c r="I55">
        <v>1125</v>
      </c>
      <c r="J55" s="2">
        <f t="shared" si="2"/>
        <v>18.75</v>
      </c>
      <c r="K55" s="6">
        <v>18</v>
      </c>
      <c r="L55" s="5">
        <f t="shared" si="1"/>
        <v>337.5</v>
      </c>
    </row>
    <row r="56" spans="1:12" ht="12" customHeight="1" x14ac:dyDescent="0.3">
      <c r="A56" s="7">
        <v>46143</v>
      </c>
      <c r="B56" t="s">
        <v>101</v>
      </c>
      <c r="C56" t="s">
        <v>102</v>
      </c>
      <c r="D56" t="str">
        <f>_xlfn.XLOOKUP(C56,Conversio!$B:$B,Conversio!$C:$C,"No trobat",0)</f>
        <v>CCR00010</v>
      </c>
      <c r="E56" t="str">
        <f>_xlfn.XLOOKUP(D56,Conversio!$C:$C,Conversio!$D:$D,"No trobat",0)</f>
        <v>RESTAURANT SOLIVER</v>
      </c>
      <c r="F56" t="s">
        <v>14</v>
      </c>
      <c r="G56" t="str">
        <f>_xlfn.XLOOKUP(F56,Conversio!$B:$B,Conversio!$C:$C,"No trobat",0)</f>
        <v>CCE00000</v>
      </c>
      <c r="H56" t="str">
        <f>_xlfn.XLOOKUP(G56,Conversio!$C:$C,Conversio!$D:$D,"No trobat",0)</f>
        <v>ADMINISTRACIO EMPRESA</v>
      </c>
      <c r="I56">
        <v>2950</v>
      </c>
      <c r="J56" s="2">
        <f t="shared" si="2"/>
        <v>49.166666666666664</v>
      </c>
      <c r="K56" s="6">
        <v>18</v>
      </c>
      <c r="L56" s="5">
        <f t="shared" si="1"/>
        <v>885</v>
      </c>
    </row>
    <row r="57" spans="1:12" ht="12" customHeight="1" x14ac:dyDescent="0.3">
      <c r="A57" s="7">
        <v>46143</v>
      </c>
      <c r="B57" t="s">
        <v>107</v>
      </c>
      <c r="C57" t="s">
        <v>26</v>
      </c>
      <c r="D57" t="str">
        <f>_xlfn.XLOOKUP(C57,Conversio!$B:$B,Conversio!$C:$C,"No trobat",0)</f>
        <v>CCC00007</v>
      </c>
      <c r="E57" t="str">
        <f>_xlfn.XLOOKUP(D57,Conversio!$C:$C,Conversio!$D:$D,"No trobat",0)</f>
        <v>CUINA CENTRAL</v>
      </c>
      <c r="F57" t="s">
        <v>14</v>
      </c>
      <c r="G57" t="str">
        <f>_xlfn.XLOOKUP(F57,Conversio!$B:$B,Conversio!$C:$C,"No trobat",0)</f>
        <v>CCE00000</v>
      </c>
      <c r="H57" t="str">
        <f>_xlfn.XLOOKUP(G57,Conversio!$C:$C,Conversio!$D:$D,"No trobat",0)</f>
        <v>ADMINISTRACIO EMPRESA</v>
      </c>
      <c r="I57">
        <v>3707</v>
      </c>
      <c r="J57" s="2">
        <f t="shared" si="2"/>
        <v>61.783333333333331</v>
      </c>
      <c r="K57" s="6">
        <v>18</v>
      </c>
      <c r="L57" s="5">
        <f t="shared" si="1"/>
        <v>1112.0999999999999</v>
      </c>
    </row>
    <row r="58" spans="1:12" ht="12" customHeight="1" x14ac:dyDescent="0.3">
      <c r="A58" s="7">
        <v>46143</v>
      </c>
      <c r="B58" t="s">
        <v>111</v>
      </c>
      <c r="C58" t="s">
        <v>28</v>
      </c>
      <c r="D58" t="str">
        <f>_xlfn.XLOOKUP(C58,Conversio!$B:$B,Conversio!$C:$C,"No trobat",0)</f>
        <v>CCP00014</v>
      </c>
      <c r="E58" t="str">
        <f>_xlfn.XLOOKUP(D58,Conversio!$C:$C,Conversio!$D:$D,"No trobat",0)</f>
        <v>CENTRE PRODUCCIO</v>
      </c>
      <c r="F58" t="s">
        <v>14</v>
      </c>
      <c r="G58" t="str">
        <f>_xlfn.XLOOKUP(F58,Conversio!$B:$B,Conversio!$C:$C,"No trobat",0)</f>
        <v>CCE00000</v>
      </c>
      <c r="H58" t="str">
        <f>_xlfn.XLOOKUP(G58,Conversio!$C:$C,Conversio!$D:$D,"No trobat",0)</f>
        <v>ADMINISTRACIO EMPRESA</v>
      </c>
      <c r="I58">
        <v>1081</v>
      </c>
      <c r="J58" s="2">
        <f t="shared" si="2"/>
        <v>18.016666666666666</v>
      </c>
      <c r="K58" s="6">
        <v>18</v>
      </c>
      <c r="L58" s="5">
        <f t="shared" si="1"/>
        <v>324.29999999999995</v>
      </c>
    </row>
    <row r="59" spans="1:12" ht="12" customHeight="1" x14ac:dyDescent="0.3">
      <c r="A59" s="7">
        <v>46143</v>
      </c>
      <c r="B59" t="s">
        <v>120</v>
      </c>
      <c r="C59" t="s">
        <v>121</v>
      </c>
      <c r="D59" t="str">
        <f>_xlfn.XLOOKUP(C59,Conversio!$B:$B,Conversio!$C:$C,"No trobat",0)</f>
        <v>CCR00008</v>
      </c>
      <c r="E59" t="str">
        <f>_xlfn.XLOOKUP(D59,Conversio!$C:$C,Conversio!$D:$D,"No trobat",0)</f>
        <v>RESTAURANT FONT  DE LA CANYA</v>
      </c>
      <c r="F59" t="s">
        <v>14</v>
      </c>
      <c r="G59" t="str">
        <f>_xlfn.XLOOKUP(F59,Conversio!$B:$B,Conversio!$C:$C,"No trobat",0)</f>
        <v>CCE00000</v>
      </c>
      <c r="H59" t="str">
        <f>_xlfn.XLOOKUP(G59,Conversio!$C:$C,Conversio!$D:$D,"No trobat",0)</f>
        <v>ADMINISTRACIO EMPRESA</v>
      </c>
      <c r="I59">
        <v>608</v>
      </c>
      <c r="J59" s="2">
        <f t="shared" si="2"/>
        <v>10.133333333333333</v>
      </c>
      <c r="K59" s="6">
        <v>18</v>
      </c>
      <c r="L59" s="5">
        <f t="shared" si="1"/>
        <v>182.39999999999998</v>
      </c>
    </row>
    <row r="60" spans="1:12" ht="12" customHeight="1" x14ac:dyDescent="0.3">
      <c r="A60" s="7">
        <v>46143</v>
      </c>
      <c r="B60" t="s">
        <v>122</v>
      </c>
      <c r="C60" t="s">
        <v>54</v>
      </c>
      <c r="D60" t="str">
        <f>_xlfn.XLOOKUP(C60,Conversio!$B:$B,Conversio!$C:$C,"No trobat",0)</f>
        <v>CCR00010</v>
      </c>
      <c r="E60" t="str">
        <f>_xlfn.XLOOKUP(D60,Conversio!$C:$C,Conversio!$D:$D,"No trobat",0)</f>
        <v>RESTAURANT SOLIVER</v>
      </c>
      <c r="F60" t="s">
        <v>14</v>
      </c>
      <c r="G60" t="str">
        <f>_xlfn.XLOOKUP(F60,Conversio!$B:$B,Conversio!$C:$C,"No trobat",0)</f>
        <v>CCE00000</v>
      </c>
      <c r="H60" t="str">
        <f>_xlfn.XLOOKUP(G60,Conversio!$C:$C,Conversio!$D:$D,"No trobat",0)</f>
        <v>ADMINISTRACIO EMPRESA</v>
      </c>
      <c r="I60">
        <v>2689</v>
      </c>
      <c r="J60" s="2">
        <f t="shared" si="2"/>
        <v>44.81666666666667</v>
      </c>
      <c r="K60" s="6">
        <v>18</v>
      </c>
      <c r="L60" s="5">
        <f t="shared" si="1"/>
        <v>806.7</v>
      </c>
    </row>
    <row r="61" spans="1:12" ht="12" customHeight="1" x14ac:dyDescent="0.3">
      <c r="A61" s="7">
        <v>46143</v>
      </c>
      <c r="B61" t="s">
        <v>123</v>
      </c>
      <c r="C61" t="s">
        <v>50</v>
      </c>
      <c r="D61" t="str">
        <f>_xlfn.XLOOKUP(C61,Conversio!$B:$B,Conversio!$C:$C,"No trobat",0)</f>
        <v>CCC00007</v>
      </c>
      <c r="E61" t="str">
        <f>_xlfn.XLOOKUP(D61,Conversio!$C:$C,Conversio!$D:$D,"No trobat",0)</f>
        <v>CUINA CENTRAL</v>
      </c>
      <c r="F61" t="s">
        <v>14</v>
      </c>
      <c r="G61" t="str">
        <f>_xlfn.XLOOKUP(F61,Conversio!$B:$B,Conversio!$C:$C,"No trobat",0)</f>
        <v>CCE00000</v>
      </c>
      <c r="H61" t="str">
        <f>_xlfn.XLOOKUP(G61,Conversio!$C:$C,Conversio!$D:$D,"No trobat",0)</f>
        <v>ADMINISTRACIO EMPRESA</v>
      </c>
      <c r="I61">
        <v>691</v>
      </c>
      <c r="J61" s="2">
        <f t="shared" si="2"/>
        <v>11.516666666666667</v>
      </c>
      <c r="K61" s="6">
        <v>18</v>
      </c>
      <c r="L61" s="5">
        <f t="shared" si="1"/>
        <v>207.3</v>
      </c>
    </row>
    <row r="62" spans="1:12" ht="12" customHeight="1" x14ac:dyDescent="0.3">
      <c r="A62" s="7">
        <v>46143</v>
      </c>
      <c r="B62" t="s">
        <v>124</v>
      </c>
      <c r="C62" t="s">
        <v>26</v>
      </c>
      <c r="D62" t="str">
        <f>_xlfn.XLOOKUP(C62,Conversio!$B:$B,Conversio!$C:$C,"No trobat",0)</f>
        <v>CCC00007</v>
      </c>
      <c r="E62" t="str">
        <f>_xlfn.XLOOKUP(D62,Conversio!$C:$C,Conversio!$D:$D,"No trobat",0)</f>
        <v>CUINA CENTRAL</v>
      </c>
      <c r="F62" t="s">
        <v>14</v>
      </c>
      <c r="G62" t="str">
        <f>_xlfn.XLOOKUP(F62,Conversio!$B:$B,Conversio!$C:$C,"No trobat",0)</f>
        <v>CCE00000</v>
      </c>
      <c r="H62" t="str">
        <f>_xlfn.XLOOKUP(G62,Conversio!$C:$C,Conversio!$D:$D,"No trobat",0)</f>
        <v>ADMINISTRACIO EMPRESA</v>
      </c>
      <c r="I62">
        <v>3556</v>
      </c>
      <c r="J62" s="2">
        <f t="shared" si="2"/>
        <v>59.266666666666666</v>
      </c>
      <c r="K62" s="6">
        <v>18</v>
      </c>
      <c r="L62" s="5">
        <f t="shared" si="1"/>
        <v>1066.8</v>
      </c>
    </row>
    <row r="63" spans="1:12" ht="12" customHeight="1" x14ac:dyDescent="0.3">
      <c r="A63" s="7">
        <v>46143</v>
      </c>
      <c r="B63" t="s">
        <v>127</v>
      </c>
      <c r="C63" t="s">
        <v>26</v>
      </c>
      <c r="D63" t="str">
        <f>_xlfn.XLOOKUP(C63,Conversio!$B:$B,Conversio!$C:$C,"No trobat",0)</f>
        <v>CCC00007</v>
      </c>
      <c r="E63" t="str">
        <f>_xlfn.XLOOKUP(D63,Conversio!$C:$C,Conversio!$D:$D,"No trobat",0)</f>
        <v>CUINA CENTRAL</v>
      </c>
      <c r="F63" t="s">
        <v>14</v>
      </c>
      <c r="G63" t="str">
        <f>_xlfn.XLOOKUP(F63,Conversio!$B:$B,Conversio!$C:$C,"No trobat",0)</f>
        <v>CCE00000</v>
      </c>
      <c r="H63" t="str">
        <f>_xlfn.XLOOKUP(G63,Conversio!$C:$C,Conversio!$D:$D,"No trobat",0)</f>
        <v>ADMINISTRACIO EMPRESA</v>
      </c>
      <c r="I63">
        <v>3054</v>
      </c>
      <c r="J63" s="2">
        <f t="shared" si="2"/>
        <v>50.9</v>
      </c>
      <c r="K63" s="6">
        <v>18</v>
      </c>
      <c r="L63" s="5">
        <f t="shared" si="1"/>
        <v>916.19999999999993</v>
      </c>
    </row>
    <row r="64" spans="1:12" ht="12" customHeight="1" x14ac:dyDescent="0.3">
      <c r="A64" s="7">
        <v>46143</v>
      </c>
      <c r="B64" t="s">
        <v>131</v>
      </c>
      <c r="C64" t="s">
        <v>26</v>
      </c>
      <c r="D64" t="str">
        <f>_xlfn.XLOOKUP(C64,Conversio!$B:$B,Conversio!$C:$C,"No trobat",0)</f>
        <v>CCC00007</v>
      </c>
      <c r="E64" t="str">
        <f>_xlfn.XLOOKUP(D64,Conversio!$C:$C,Conversio!$D:$D,"No trobat",0)</f>
        <v>CUINA CENTRAL</v>
      </c>
      <c r="F64" t="s">
        <v>14</v>
      </c>
      <c r="G64" t="str">
        <f>_xlfn.XLOOKUP(F64,Conversio!$B:$B,Conversio!$C:$C,"No trobat",0)</f>
        <v>CCE00000</v>
      </c>
      <c r="H64" t="str">
        <f>_xlfn.XLOOKUP(G64,Conversio!$C:$C,Conversio!$D:$D,"No trobat",0)</f>
        <v>ADMINISTRACIO EMPRESA</v>
      </c>
      <c r="I64">
        <v>1876</v>
      </c>
      <c r="J64" s="2">
        <f t="shared" si="2"/>
        <v>31.266666666666666</v>
      </c>
      <c r="K64" s="6">
        <v>18</v>
      </c>
      <c r="L64" s="5">
        <f t="shared" si="1"/>
        <v>562.79999999999995</v>
      </c>
    </row>
    <row r="65" spans="1:13" ht="12" customHeight="1" x14ac:dyDescent="0.3">
      <c r="A65" s="7">
        <v>46143</v>
      </c>
      <c r="B65" t="s">
        <v>132</v>
      </c>
      <c r="C65" t="s">
        <v>26</v>
      </c>
      <c r="D65" t="str">
        <f>_xlfn.XLOOKUP(C65,Conversio!$B:$B,Conversio!$C:$C,"No trobat",0)</f>
        <v>CCC00007</v>
      </c>
      <c r="E65" t="str">
        <f>_xlfn.XLOOKUP(D65,Conversio!$C:$C,Conversio!$D:$D,"No trobat",0)</f>
        <v>CUINA CENTRAL</v>
      </c>
      <c r="F65" t="s">
        <v>14</v>
      </c>
      <c r="G65" t="str">
        <f>_xlfn.XLOOKUP(F65,Conversio!$B:$B,Conversio!$C:$C,"No trobat",0)</f>
        <v>CCE00000</v>
      </c>
      <c r="H65" t="str">
        <f>_xlfn.XLOOKUP(G65,Conversio!$C:$C,Conversio!$D:$D,"No trobat",0)</f>
        <v>ADMINISTRACIO EMPRESA</v>
      </c>
      <c r="I65">
        <v>1327</v>
      </c>
      <c r="J65" s="2">
        <f t="shared" si="2"/>
        <v>22.116666666666667</v>
      </c>
      <c r="K65" s="6">
        <v>18</v>
      </c>
      <c r="L65" s="5">
        <f t="shared" si="1"/>
        <v>398.1</v>
      </c>
    </row>
    <row r="66" spans="1:13" ht="12" customHeight="1" x14ac:dyDescent="0.3">
      <c r="A66" s="7">
        <v>46143</v>
      </c>
      <c r="B66" t="s">
        <v>133</v>
      </c>
      <c r="C66" t="s">
        <v>47</v>
      </c>
      <c r="D66" t="str">
        <f>_xlfn.XLOOKUP(C66,Conversio!$B:$B,Conversio!$C:$C,"No trobat",0)</f>
        <v>CCR00004</v>
      </c>
      <c r="E66" t="str">
        <f>_xlfn.XLOOKUP(D66,Conversio!$C:$C,Conversio!$D:$D,"No trobat",0)</f>
        <v>RESTAURANT CAMP NOU</v>
      </c>
      <c r="F66" t="s">
        <v>14</v>
      </c>
      <c r="G66" t="str">
        <f>_xlfn.XLOOKUP(F66,Conversio!$B:$B,Conversio!$C:$C,"No trobat",0)</f>
        <v>CCE00000</v>
      </c>
      <c r="H66" t="str">
        <f>_xlfn.XLOOKUP(G66,Conversio!$C:$C,Conversio!$D:$D,"No trobat",0)</f>
        <v>ADMINISTRACIO EMPRESA</v>
      </c>
      <c r="I66">
        <v>360</v>
      </c>
      <c r="J66" s="2">
        <f t="shared" ref="J66:J96" si="3">I66/60</f>
        <v>6</v>
      </c>
      <c r="K66" s="6">
        <v>18</v>
      </c>
      <c r="L66" s="5">
        <f t="shared" si="1"/>
        <v>108</v>
      </c>
    </row>
    <row r="67" spans="1:13" ht="12" customHeight="1" x14ac:dyDescent="0.3">
      <c r="A67" s="7">
        <v>46143</v>
      </c>
      <c r="B67" t="s">
        <v>134</v>
      </c>
      <c r="C67" t="s">
        <v>40</v>
      </c>
      <c r="D67" t="str">
        <f>_xlfn.XLOOKUP(C67,Conversio!$B:$B,Conversio!$C:$C,"No trobat",0)</f>
        <v>CCR00001</v>
      </c>
      <c r="E67" t="str">
        <f>_xlfn.XLOOKUP(D67,Conversio!$C:$C,Conversio!$D:$D,"No trobat",0)</f>
        <v>RESTAURANT ORIGENS</v>
      </c>
      <c r="F67" t="s">
        <v>14</v>
      </c>
      <c r="G67" t="str">
        <f>_xlfn.XLOOKUP(F67,Conversio!$B:$B,Conversio!$C:$C,"No trobat",0)</f>
        <v>CCE00000</v>
      </c>
      <c r="H67" t="str">
        <f>_xlfn.XLOOKUP(G67,Conversio!$C:$C,Conversio!$D:$D,"No trobat",0)</f>
        <v>ADMINISTRACIO EMPRESA</v>
      </c>
      <c r="I67">
        <v>720</v>
      </c>
      <c r="J67" s="2">
        <f t="shared" si="3"/>
        <v>12</v>
      </c>
      <c r="K67" s="6">
        <v>18</v>
      </c>
      <c r="L67" s="5">
        <f t="shared" ref="L67:L127" si="4">J67*K67</f>
        <v>216</v>
      </c>
    </row>
    <row r="68" spans="1:13" x14ac:dyDescent="0.3">
      <c r="A68" s="7">
        <v>46143</v>
      </c>
      <c r="B68" t="s">
        <v>137</v>
      </c>
      <c r="C68" t="s">
        <v>138</v>
      </c>
      <c r="D68" t="str">
        <f>_xlfn.XLOOKUP(C68,Conversio!$B:$B,Conversio!$C:$C,"No trobat",0)</f>
        <v>CCC00008</v>
      </c>
      <c r="E68" t="str">
        <f>_xlfn.XLOOKUP(D68,Conversio!$C:$C,Conversio!$D:$D,"No trobat",0)</f>
        <v>SERVEIS EXTERNS</v>
      </c>
      <c r="F68" t="s">
        <v>14</v>
      </c>
      <c r="G68" t="str">
        <f>_xlfn.XLOOKUP(F68,Conversio!$B:$B,Conversio!$C:$C,"No trobat",0)</f>
        <v>CCE00000</v>
      </c>
      <c r="H68" t="str">
        <f>_xlfn.XLOOKUP(G68,Conversio!$C:$C,Conversio!$D:$D,"No trobat",0)</f>
        <v>ADMINISTRACIO EMPRESA</v>
      </c>
      <c r="I68">
        <v>1168</v>
      </c>
      <c r="J68" s="2">
        <f t="shared" si="3"/>
        <v>19.466666666666665</v>
      </c>
      <c r="K68" s="6">
        <v>18</v>
      </c>
      <c r="L68" s="5">
        <f t="shared" si="4"/>
        <v>350.4</v>
      </c>
      <c r="M68" s="4"/>
    </row>
    <row r="69" spans="1:13" x14ac:dyDescent="0.3">
      <c r="A69" s="7">
        <v>46143</v>
      </c>
      <c r="B69" t="s">
        <v>39</v>
      </c>
      <c r="C69" t="s">
        <v>40</v>
      </c>
      <c r="D69" t="str">
        <f>_xlfn.XLOOKUP(C69,Conversio!$B:$B,Conversio!$C:$C,"No trobat",0)</f>
        <v>CCR00001</v>
      </c>
      <c r="E69" t="str">
        <f>_xlfn.XLOOKUP(D69,Conversio!$C:$C,Conversio!$D:$D,"No trobat",0)</f>
        <v>RESTAURANT ORIGENS</v>
      </c>
      <c r="F69" t="s">
        <v>41</v>
      </c>
      <c r="G69" t="str">
        <f>_xlfn.XLOOKUP(F69,Conversio!$B:$B,Conversio!$C:$C,"No trobat",0)</f>
        <v>CCC00007</v>
      </c>
      <c r="H69" t="str">
        <f>_xlfn.XLOOKUP(G69,Conversio!$C:$C,Conversio!$D:$D,"No trobat",0)</f>
        <v>CUINA CENTRAL</v>
      </c>
      <c r="I69">
        <v>7206</v>
      </c>
      <c r="J69" s="2">
        <f t="shared" si="3"/>
        <v>120.1</v>
      </c>
      <c r="K69" s="6">
        <v>18</v>
      </c>
      <c r="L69" s="5">
        <f t="shared" si="4"/>
        <v>2161.7999999999997</v>
      </c>
      <c r="M69" s="4">
        <f>K69*L69</f>
        <v>38912.399999999994</v>
      </c>
    </row>
    <row r="70" spans="1:13" x14ac:dyDescent="0.3">
      <c r="A70" s="7">
        <v>46143</v>
      </c>
      <c r="B70" t="s">
        <v>43</v>
      </c>
      <c r="C70" t="s">
        <v>44</v>
      </c>
      <c r="D70" t="str">
        <f>_xlfn.XLOOKUP(C70,Conversio!$B:$B,Conversio!$C:$C,"No trobat",0)</f>
        <v>CCR00009</v>
      </c>
      <c r="E70" t="str">
        <f>_xlfn.XLOOKUP(D70,Conversio!$C:$C,Conversio!$D:$D,"No trobat",0)</f>
        <v>RESTAURANT VALKIRIA</v>
      </c>
      <c r="F70" t="s">
        <v>45</v>
      </c>
      <c r="G70" t="str">
        <f>_xlfn.XLOOKUP(F70,Conversio!$B:$B,Conversio!$C:$C,"No trobat",0)</f>
        <v>CCR00011</v>
      </c>
      <c r="H70" t="str">
        <f>_xlfn.XLOOKUP(G70,Conversio!$C:$C,Conversio!$D:$D,"No trobat",0)</f>
        <v xml:space="preserve"> GREEN VITA</v>
      </c>
      <c r="I70">
        <v>5700</v>
      </c>
      <c r="J70" s="2">
        <f t="shared" si="3"/>
        <v>95</v>
      </c>
      <c r="K70" s="6">
        <v>18</v>
      </c>
      <c r="L70" s="5">
        <f t="shared" si="4"/>
        <v>1710</v>
      </c>
    </row>
    <row r="71" spans="1:13" x14ac:dyDescent="0.3">
      <c r="A71" s="7">
        <v>46143</v>
      </c>
      <c r="B71" t="s">
        <v>76</v>
      </c>
      <c r="C71" t="s">
        <v>77</v>
      </c>
      <c r="D71" t="str">
        <f>_xlfn.XLOOKUP(C71,Conversio!$B:$B,Conversio!$C:$C,"No trobat",0)</f>
        <v>CCR00003</v>
      </c>
      <c r="E71" t="str">
        <f>_xlfn.XLOOKUP(D71,Conversio!$C:$C,Conversio!$D:$D,"No trobat",0)</f>
        <v>RESTAURANT LA MASIA D'ESPLUGUES</v>
      </c>
      <c r="F71" t="s">
        <v>45</v>
      </c>
      <c r="G71" t="str">
        <f>_xlfn.XLOOKUP(F71,Conversio!$B:$B,Conversio!$C:$C,"No trobat",0)</f>
        <v>CCR00011</v>
      </c>
      <c r="H71" t="str">
        <f>_xlfn.XLOOKUP(G71,Conversio!$C:$C,Conversio!$D:$D,"No trobat",0)</f>
        <v xml:space="preserve"> GREEN VITA</v>
      </c>
      <c r="I71">
        <v>1440</v>
      </c>
      <c r="J71" s="2">
        <f t="shared" si="3"/>
        <v>24</v>
      </c>
      <c r="K71" s="6">
        <v>18</v>
      </c>
      <c r="L71" s="5">
        <f t="shared" si="4"/>
        <v>432</v>
      </c>
    </row>
    <row r="72" spans="1:13" x14ac:dyDescent="0.3">
      <c r="A72" s="7">
        <v>46143</v>
      </c>
      <c r="B72" t="s">
        <v>143</v>
      </c>
      <c r="C72" t="s">
        <v>47</v>
      </c>
      <c r="D72" t="str">
        <f>_xlfn.XLOOKUP(C72,Conversio!$B:$B,Conversio!$C:$C,"No trobat",0)</f>
        <v>CCR00004</v>
      </c>
      <c r="E72" t="str">
        <f>_xlfn.XLOOKUP(D72,Conversio!$C:$C,Conversio!$D:$D,"No trobat",0)</f>
        <v>RESTAURANT CAMP NOU</v>
      </c>
      <c r="F72" t="s">
        <v>45</v>
      </c>
      <c r="G72" t="str">
        <f>_xlfn.XLOOKUP(F72,Conversio!$B:$B,Conversio!$C:$C,"No trobat",0)</f>
        <v>CCR00011</v>
      </c>
      <c r="H72" t="str">
        <f>_xlfn.XLOOKUP(G72,Conversio!$C:$C,Conversio!$D:$D,"No trobat",0)</f>
        <v xml:space="preserve"> GREEN VITA</v>
      </c>
      <c r="I72">
        <v>1500</v>
      </c>
      <c r="J72" s="2">
        <f t="shared" si="3"/>
        <v>25</v>
      </c>
      <c r="K72" s="6">
        <v>18</v>
      </c>
      <c r="L72" s="5">
        <f t="shared" si="4"/>
        <v>450</v>
      </c>
      <c r="M72" s="4">
        <f>K72*L72</f>
        <v>8100</v>
      </c>
    </row>
    <row r="73" spans="1:13" x14ac:dyDescent="0.3">
      <c r="A73" s="7">
        <v>46143</v>
      </c>
      <c r="B73" t="s">
        <v>83</v>
      </c>
      <c r="C73" t="s">
        <v>17</v>
      </c>
      <c r="D73" t="str">
        <f>_xlfn.XLOOKUP(C73,Conversio!$B:$B,Conversio!$C:$C,"No trobat",0)</f>
        <v>CCR00006</v>
      </c>
      <c r="E73" t="str">
        <f>_xlfn.XLOOKUP(D73,Conversio!$C:$C,Conversio!$D:$D,"No trobat",0)</f>
        <v>RESTAURANT MIRADOR DE LES CAVES</v>
      </c>
      <c r="F73" t="s">
        <v>84</v>
      </c>
      <c r="G73" t="str">
        <f>_xlfn.XLOOKUP(F73,Conversio!$B:$B,Conversio!$C:$C,"No trobat",0)</f>
        <v>CCR00008</v>
      </c>
      <c r="H73" t="str">
        <f>_xlfn.XLOOKUP(G73,Conversio!$C:$C,Conversio!$D:$D,"No trobat",0)</f>
        <v>RESTAURANT FONT  DE LA CANYA</v>
      </c>
      <c r="I73">
        <v>789</v>
      </c>
      <c r="J73" s="2">
        <f t="shared" si="3"/>
        <v>13.15</v>
      </c>
      <c r="K73" s="6">
        <v>18</v>
      </c>
      <c r="L73" s="5">
        <f t="shared" si="4"/>
        <v>236.70000000000002</v>
      </c>
    </row>
    <row r="74" spans="1:13" x14ac:dyDescent="0.3">
      <c r="A74" s="7">
        <v>46143</v>
      </c>
      <c r="B74" t="s">
        <v>120</v>
      </c>
      <c r="C74" t="s">
        <v>121</v>
      </c>
      <c r="D74" t="str">
        <f>_xlfn.XLOOKUP(C74,Conversio!$B:$B,Conversio!$C:$C,"No trobat",0)</f>
        <v>CCR00008</v>
      </c>
      <c r="E74" t="str">
        <f>_xlfn.XLOOKUP(D74,Conversio!$C:$C,Conversio!$D:$D,"No trobat",0)</f>
        <v>RESTAURANT FONT  DE LA CANYA</v>
      </c>
      <c r="F74" t="s">
        <v>84</v>
      </c>
      <c r="G74" t="str">
        <f>_xlfn.XLOOKUP(F74,Conversio!$B:$B,Conversio!$C:$C,"No trobat",0)</f>
        <v>CCR00008</v>
      </c>
      <c r="H74" t="str">
        <f>_xlfn.XLOOKUP(G74,Conversio!$C:$C,Conversio!$D:$D,"No trobat",0)</f>
        <v>RESTAURANT FONT  DE LA CANYA</v>
      </c>
      <c r="I74">
        <v>388</v>
      </c>
      <c r="J74" s="2">
        <f t="shared" si="3"/>
        <v>6.4666666666666668</v>
      </c>
      <c r="K74" s="6">
        <v>18</v>
      </c>
      <c r="L74" s="5">
        <f t="shared" si="4"/>
        <v>116.4</v>
      </c>
      <c r="M74" s="4">
        <f t="shared" ref="M74:M107" si="5">K74*L74</f>
        <v>2095.2000000000003</v>
      </c>
    </row>
    <row r="75" spans="1:13" x14ac:dyDescent="0.3">
      <c r="A75" s="7">
        <v>46143</v>
      </c>
      <c r="B75" t="s">
        <v>46</v>
      </c>
      <c r="C75" t="s">
        <v>47</v>
      </c>
      <c r="D75" t="str">
        <f>_xlfn.XLOOKUP(C75,Conversio!$B:$B,Conversio!$C:$C,"No trobat",0)</f>
        <v>CCR00004</v>
      </c>
      <c r="E75" t="str">
        <f>_xlfn.XLOOKUP(D75,Conversio!$C:$C,Conversio!$D:$D,"No trobat",0)</f>
        <v>RESTAURANT CAMP NOU</v>
      </c>
      <c r="F75" t="s">
        <v>48</v>
      </c>
      <c r="G75" t="str">
        <f>_xlfn.XLOOKUP(F75,Conversio!$B:$B,Conversio!$C:$C,"No trobat",0)</f>
        <v>CCR00007</v>
      </c>
      <c r="H75" t="str">
        <f>_xlfn.XLOOKUP(G75,Conversio!$C:$C,Conversio!$D:$D,"No trobat",0)</f>
        <v>RESTAURANT JUNO HOUSE</v>
      </c>
      <c r="I75">
        <v>300</v>
      </c>
      <c r="J75" s="2">
        <f t="shared" si="3"/>
        <v>5</v>
      </c>
      <c r="K75" s="6">
        <v>18</v>
      </c>
      <c r="L75" s="5">
        <f t="shared" si="4"/>
        <v>90</v>
      </c>
    </row>
    <row r="76" spans="1:13" x14ac:dyDescent="0.3">
      <c r="A76" s="7">
        <v>46143</v>
      </c>
      <c r="B76" t="s">
        <v>126</v>
      </c>
      <c r="C76" t="s">
        <v>59</v>
      </c>
      <c r="D76" t="str">
        <f>_xlfn.XLOOKUP(C76,Conversio!$B:$B,Conversio!$C:$C,"No trobat",0)</f>
        <v>CCR00004</v>
      </c>
      <c r="E76" t="str">
        <f>_xlfn.XLOOKUP(D76,Conversio!$C:$C,Conversio!$D:$D,"No trobat",0)</f>
        <v>RESTAURANT CAMP NOU</v>
      </c>
      <c r="F76" t="s">
        <v>48</v>
      </c>
      <c r="G76" t="str">
        <f>_xlfn.XLOOKUP(F76,Conversio!$B:$B,Conversio!$C:$C,"No trobat",0)</f>
        <v>CCR00007</v>
      </c>
      <c r="H76" t="str">
        <f>_xlfn.XLOOKUP(G76,Conversio!$C:$C,Conversio!$D:$D,"No trobat",0)</f>
        <v>RESTAURANT JUNO HOUSE</v>
      </c>
      <c r="I76">
        <v>565</v>
      </c>
      <c r="J76" s="2">
        <f t="shared" si="3"/>
        <v>9.4166666666666661</v>
      </c>
      <c r="K76" s="6">
        <v>18</v>
      </c>
      <c r="L76" s="5">
        <f t="shared" si="4"/>
        <v>169.5</v>
      </c>
    </row>
    <row r="77" spans="1:13" x14ac:dyDescent="0.3">
      <c r="A77" s="7">
        <v>46143</v>
      </c>
      <c r="B77" t="s">
        <v>143</v>
      </c>
      <c r="C77" t="s">
        <v>47</v>
      </c>
      <c r="D77" t="str">
        <f>_xlfn.XLOOKUP(C77,Conversio!$B:$B,Conversio!$C:$C,"No trobat",0)</f>
        <v>CCR00004</v>
      </c>
      <c r="E77" t="str">
        <f>_xlfn.XLOOKUP(D77,Conversio!$C:$C,Conversio!$D:$D,"No trobat",0)</f>
        <v>RESTAURANT CAMP NOU</v>
      </c>
      <c r="F77" t="s">
        <v>48</v>
      </c>
      <c r="G77" t="str">
        <f>_xlfn.XLOOKUP(F77,Conversio!$B:$B,Conversio!$C:$C,"No trobat",0)</f>
        <v>CCR00007</v>
      </c>
      <c r="H77" t="str">
        <f>_xlfn.XLOOKUP(G77,Conversio!$C:$C,Conversio!$D:$D,"No trobat",0)</f>
        <v>RESTAURANT JUNO HOUSE</v>
      </c>
      <c r="I77">
        <v>300</v>
      </c>
      <c r="J77" s="2">
        <f t="shared" si="3"/>
        <v>5</v>
      </c>
      <c r="K77" s="6">
        <v>18</v>
      </c>
      <c r="L77" s="5">
        <f t="shared" si="4"/>
        <v>90</v>
      </c>
      <c r="M77" s="4">
        <f t="shared" si="5"/>
        <v>1620</v>
      </c>
    </row>
    <row r="78" spans="1:13" x14ac:dyDescent="0.3">
      <c r="A78" s="7">
        <v>46143</v>
      </c>
      <c r="B78" t="s">
        <v>112</v>
      </c>
      <c r="C78" t="s">
        <v>113</v>
      </c>
      <c r="D78" t="str">
        <f>_xlfn.XLOOKUP(C78,Conversio!$B:$B,Conversio!$C:$C,"No trobat",0)</f>
        <v>CCC00005</v>
      </c>
      <c r="E78" t="str">
        <f>_xlfn.XLOOKUP(D78,Conversio!$C:$C,Conversio!$D:$D,"No trobat",0)</f>
        <v>OFICINES CAL BLAY</v>
      </c>
      <c r="F78" t="s">
        <v>114</v>
      </c>
      <c r="G78" t="str">
        <f>_xlfn.XLOOKUP(F78,Conversio!$B:$B,Conversio!$C:$C,"No trobat",0)</f>
        <v>CCC00004</v>
      </c>
      <c r="H78" t="str">
        <f>_xlfn.XLOOKUP(G78,Conversio!$C:$C,Conversio!$D:$D,"No trobat",0)</f>
        <v>LOGISTICA</v>
      </c>
      <c r="I78">
        <v>851</v>
      </c>
      <c r="J78" s="2">
        <f t="shared" si="3"/>
        <v>14.183333333333334</v>
      </c>
      <c r="K78" s="6">
        <v>18</v>
      </c>
      <c r="L78" s="5">
        <f t="shared" si="4"/>
        <v>255.3</v>
      </c>
      <c r="M78" s="4">
        <f t="shared" si="5"/>
        <v>4595.4000000000005</v>
      </c>
    </row>
    <row r="79" spans="1:13" x14ac:dyDescent="0.3">
      <c r="A79" s="7">
        <v>46143</v>
      </c>
      <c r="B79" t="s">
        <v>31</v>
      </c>
      <c r="C79" t="s">
        <v>32</v>
      </c>
      <c r="D79" t="str">
        <f>_xlfn.XLOOKUP(C79,Conversio!$B:$B,Conversio!$C:$C,"No trobat",0)</f>
        <v>CCR00009</v>
      </c>
      <c r="E79" t="str">
        <f>_xlfn.XLOOKUP(D79,Conversio!$C:$C,Conversio!$D:$D,"No trobat",0)</f>
        <v>RESTAURANT VALKIRIA</v>
      </c>
      <c r="F79" t="s">
        <v>34</v>
      </c>
      <c r="G79" t="str">
        <f>_xlfn.XLOOKUP(F79,Conversio!$B:$B,Conversio!$C:$C,"No trobat",0)</f>
        <v>CCR00003</v>
      </c>
      <c r="H79" t="str">
        <f>_xlfn.XLOOKUP(G79,Conversio!$C:$C,Conversio!$D:$D,"No trobat",0)</f>
        <v>RESTAURANT LA MASIA D'ESPLUGUES</v>
      </c>
      <c r="I79">
        <v>1650</v>
      </c>
      <c r="J79" s="2">
        <f t="shared" si="3"/>
        <v>27.5</v>
      </c>
      <c r="K79" s="6">
        <v>18</v>
      </c>
      <c r="L79" s="5">
        <f t="shared" si="4"/>
        <v>495</v>
      </c>
    </row>
    <row r="80" spans="1:13" x14ac:dyDescent="0.3">
      <c r="A80" s="7">
        <v>46143</v>
      </c>
      <c r="B80" t="s">
        <v>43</v>
      </c>
      <c r="C80" t="s">
        <v>44</v>
      </c>
      <c r="D80" t="str">
        <f>_xlfn.XLOOKUP(C80,Conversio!$B:$B,Conversio!$C:$C,"No trobat",0)</f>
        <v>CCR00009</v>
      </c>
      <c r="E80" t="str">
        <f>_xlfn.XLOOKUP(D80,Conversio!$C:$C,Conversio!$D:$D,"No trobat",0)</f>
        <v>RESTAURANT VALKIRIA</v>
      </c>
      <c r="F80" t="s">
        <v>34</v>
      </c>
      <c r="G80" t="str">
        <f>_xlfn.XLOOKUP(F80,Conversio!$B:$B,Conversio!$C:$C,"No trobat",0)</f>
        <v>CCR00003</v>
      </c>
      <c r="H80" t="str">
        <f>_xlfn.XLOOKUP(G80,Conversio!$C:$C,Conversio!$D:$D,"No trobat",0)</f>
        <v>RESTAURANT LA MASIA D'ESPLUGUES</v>
      </c>
      <c r="I80">
        <v>960</v>
      </c>
      <c r="J80" s="2">
        <f t="shared" si="3"/>
        <v>16</v>
      </c>
      <c r="K80" s="6">
        <v>18</v>
      </c>
      <c r="L80" s="5">
        <f t="shared" si="4"/>
        <v>288</v>
      </c>
    </row>
    <row r="81" spans="1:13" x14ac:dyDescent="0.3">
      <c r="A81" s="7">
        <v>46143</v>
      </c>
      <c r="B81" t="s">
        <v>58</v>
      </c>
      <c r="C81" t="s">
        <v>59</v>
      </c>
      <c r="D81" t="str">
        <f>_xlfn.XLOOKUP(C81,Conversio!$B:$B,Conversio!$C:$C,"No trobat",0)</f>
        <v>CCR00004</v>
      </c>
      <c r="E81" t="str">
        <f>_xlfn.XLOOKUP(D81,Conversio!$C:$C,Conversio!$D:$D,"No trobat",0)</f>
        <v>RESTAURANT CAMP NOU</v>
      </c>
      <c r="F81" t="s">
        <v>34</v>
      </c>
      <c r="G81" t="str">
        <f>_xlfn.XLOOKUP(F81,Conversio!$B:$B,Conversio!$C:$C,"No trobat",0)</f>
        <v>CCR00003</v>
      </c>
      <c r="H81" t="str">
        <f>_xlfn.XLOOKUP(G81,Conversio!$C:$C,Conversio!$D:$D,"No trobat",0)</f>
        <v>RESTAURANT LA MASIA D'ESPLUGUES</v>
      </c>
      <c r="I81">
        <v>810</v>
      </c>
      <c r="J81" s="2">
        <f t="shared" si="3"/>
        <v>13.5</v>
      </c>
      <c r="K81" s="6">
        <v>18</v>
      </c>
      <c r="L81" s="5">
        <f t="shared" si="4"/>
        <v>243</v>
      </c>
    </row>
    <row r="82" spans="1:13" x14ac:dyDescent="0.3">
      <c r="A82" s="7">
        <v>46143</v>
      </c>
      <c r="B82" t="s">
        <v>108</v>
      </c>
      <c r="C82" t="s">
        <v>80</v>
      </c>
      <c r="D82" t="str">
        <f>_xlfn.XLOOKUP(C82,Conversio!$B:$B,Conversio!$C:$C,"No trobat",0)</f>
        <v>CCR00007</v>
      </c>
      <c r="E82" t="str">
        <f>_xlfn.XLOOKUP(D82,Conversio!$C:$C,Conversio!$D:$D,"No trobat",0)</f>
        <v>RESTAURANT JUNO HOUSE</v>
      </c>
      <c r="F82" t="s">
        <v>34</v>
      </c>
      <c r="G82" t="str">
        <f>_xlfn.XLOOKUP(F82,Conversio!$B:$B,Conversio!$C:$C,"No trobat",0)</f>
        <v>CCR00003</v>
      </c>
      <c r="H82" t="str">
        <f>_xlfn.XLOOKUP(G82,Conversio!$C:$C,Conversio!$D:$D,"No trobat",0)</f>
        <v>RESTAURANT LA MASIA D'ESPLUGUES</v>
      </c>
      <c r="I82">
        <v>808</v>
      </c>
      <c r="J82" s="2">
        <f t="shared" si="3"/>
        <v>13.466666666666667</v>
      </c>
      <c r="K82" s="6">
        <v>18</v>
      </c>
      <c r="L82" s="5">
        <f t="shared" si="4"/>
        <v>242.4</v>
      </c>
    </row>
    <row r="83" spans="1:13" x14ac:dyDescent="0.3">
      <c r="A83" s="7">
        <v>46143</v>
      </c>
      <c r="B83" t="s">
        <v>117</v>
      </c>
      <c r="C83" t="s">
        <v>118</v>
      </c>
      <c r="D83" t="str">
        <f>_xlfn.XLOOKUP(C83,Conversio!$B:$B,Conversio!$C:$C,"No trobat",0)</f>
        <v>CCR00009</v>
      </c>
      <c r="E83" t="str">
        <f>_xlfn.XLOOKUP(D83,Conversio!$C:$C,Conversio!$D:$D,"No trobat",0)</f>
        <v>RESTAURANT VALKIRIA</v>
      </c>
      <c r="F83" t="s">
        <v>34</v>
      </c>
      <c r="G83" t="str">
        <f>_xlfn.XLOOKUP(F83,Conversio!$B:$B,Conversio!$C:$C,"No trobat",0)</f>
        <v>CCR00003</v>
      </c>
      <c r="H83" t="str">
        <f>_xlfn.XLOOKUP(G83,Conversio!$C:$C,Conversio!$D:$D,"No trobat",0)</f>
        <v>RESTAURANT LA MASIA D'ESPLUGUES</v>
      </c>
      <c r="I83">
        <v>1890</v>
      </c>
      <c r="J83" s="2">
        <f t="shared" si="3"/>
        <v>31.5</v>
      </c>
      <c r="K83" s="6">
        <v>18</v>
      </c>
      <c r="L83" s="5">
        <f t="shared" si="4"/>
        <v>567</v>
      </c>
    </row>
    <row r="84" spans="1:13" x14ac:dyDescent="0.3">
      <c r="A84" s="7">
        <v>46143</v>
      </c>
      <c r="B84" t="s">
        <v>133</v>
      </c>
      <c r="C84" t="s">
        <v>47</v>
      </c>
      <c r="D84" t="str">
        <f>_xlfn.XLOOKUP(C84,Conversio!$B:$B,Conversio!$C:$C,"No trobat",0)</f>
        <v>CCR00004</v>
      </c>
      <c r="E84" t="str">
        <f>_xlfn.XLOOKUP(D84,Conversio!$C:$C,Conversio!$D:$D,"No trobat",0)</f>
        <v>RESTAURANT CAMP NOU</v>
      </c>
      <c r="F84" t="s">
        <v>34</v>
      </c>
      <c r="G84" t="str">
        <f>_xlfn.XLOOKUP(F84,Conversio!$B:$B,Conversio!$C:$C,"No trobat",0)</f>
        <v>CCR00003</v>
      </c>
      <c r="H84" t="str">
        <f>_xlfn.XLOOKUP(G84,Conversio!$C:$C,Conversio!$D:$D,"No trobat",0)</f>
        <v>RESTAURANT LA MASIA D'ESPLUGUES</v>
      </c>
      <c r="I84">
        <v>360</v>
      </c>
      <c r="J84" s="2">
        <f t="shared" si="3"/>
        <v>6</v>
      </c>
      <c r="K84" s="6">
        <v>18</v>
      </c>
      <c r="L84" s="5">
        <f t="shared" si="4"/>
        <v>108</v>
      </c>
      <c r="M84" s="4">
        <f t="shared" si="5"/>
        <v>1944</v>
      </c>
    </row>
    <row r="85" spans="1:13" x14ac:dyDescent="0.3">
      <c r="A85" s="7">
        <v>46143</v>
      </c>
      <c r="B85" t="s">
        <v>16</v>
      </c>
      <c r="C85" t="s">
        <v>17</v>
      </c>
      <c r="D85" t="str">
        <f>_xlfn.XLOOKUP(C85,Conversio!$B:$B,Conversio!$C:$C,"No trobat",0)</f>
        <v>CCR00006</v>
      </c>
      <c r="E85" t="str">
        <f>_xlfn.XLOOKUP(D85,Conversio!$C:$C,Conversio!$D:$D,"No trobat",0)</f>
        <v>RESTAURANT MIRADOR DE LES CAVES</v>
      </c>
      <c r="F85" t="s">
        <v>18</v>
      </c>
      <c r="G85" t="str">
        <f>_xlfn.XLOOKUP(F85,Conversio!$B:$B,Conversio!$C:$C,"No trobat",0)</f>
        <v>CCR00006</v>
      </c>
      <c r="H85" t="str">
        <f>_xlfn.XLOOKUP(G85,Conversio!$C:$C,Conversio!$D:$D,"No trobat",0)</f>
        <v>RESTAURANT MIRADOR DE LES CAVES</v>
      </c>
      <c r="I85">
        <v>472</v>
      </c>
      <c r="J85" s="2">
        <f t="shared" si="3"/>
        <v>7.8666666666666663</v>
      </c>
      <c r="K85" s="6">
        <v>18</v>
      </c>
      <c r="L85" s="5">
        <f t="shared" si="4"/>
        <v>141.6</v>
      </c>
    </row>
    <row r="86" spans="1:13" x14ac:dyDescent="0.3">
      <c r="A86" s="7">
        <v>46143</v>
      </c>
      <c r="B86" t="s">
        <v>89</v>
      </c>
      <c r="C86" t="s">
        <v>90</v>
      </c>
      <c r="D86" t="str">
        <f>_xlfn.XLOOKUP(C86,Conversio!$B:$B,Conversio!$C:$C,"No trobat",0)</f>
        <v>CCR00000</v>
      </c>
      <c r="E86" t="str">
        <f>_xlfn.XLOOKUP(D86,Conversio!$C:$C,Conversio!$D:$D,"No trobat",0)</f>
        <v>ADMINISTRACIO RESTAURANTS</v>
      </c>
      <c r="F86" t="s">
        <v>18</v>
      </c>
      <c r="G86" t="str">
        <f>_xlfn.XLOOKUP(F86,Conversio!$B:$B,Conversio!$C:$C,"No trobat",0)</f>
        <v>CCR00006</v>
      </c>
      <c r="H86" t="str">
        <f>_xlfn.XLOOKUP(G86,Conversio!$C:$C,Conversio!$D:$D,"No trobat",0)</f>
        <v>RESTAURANT MIRADOR DE LES CAVES</v>
      </c>
      <c r="I86">
        <v>1042</v>
      </c>
      <c r="J86" s="2">
        <f t="shared" si="3"/>
        <v>17.366666666666667</v>
      </c>
      <c r="K86" s="6">
        <v>18</v>
      </c>
      <c r="L86" s="5">
        <f t="shared" si="4"/>
        <v>312.60000000000002</v>
      </c>
    </row>
    <row r="87" spans="1:13" x14ac:dyDescent="0.3">
      <c r="A87" s="7">
        <v>46143</v>
      </c>
      <c r="B87" t="s">
        <v>125</v>
      </c>
      <c r="C87" t="s">
        <v>110</v>
      </c>
      <c r="D87" t="str">
        <f>_xlfn.XLOOKUP(C87,Conversio!$B:$B,Conversio!$C:$C,"No trobat",0)</f>
        <v>CCR00006</v>
      </c>
      <c r="E87" t="str">
        <f>_xlfn.XLOOKUP(D87,Conversio!$C:$C,Conversio!$D:$D,"No trobat",0)</f>
        <v>RESTAURANT MIRADOR DE LES CAVES</v>
      </c>
      <c r="F87" t="s">
        <v>18</v>
      </c>
      <c r="G87" t="str">
        <f>_xlfn.XLOOKUP(F87,Conversio!$B:$B,Conversio!$C:$C,"No trobat",0)</f>
        <v>CCR00006</v>
      </c>
      <c r="H87" t="str">
        <f>_xlfn.XLOOKUP(G87,Conversio!$C:$C,Conversio!$D:$D,"No trobat",0)</f>
        <v>RESTAURANT MIRADOR DE LES CAVES</v>
      </c>
      <c r="I87">
        <v>2488</v>
      </c>
      <c r="J87" s="2">
        <f t="shared" si="3"/>
        <v>41.466666666666669</v>
      </c>
      <c r="K87" s="6">
        <v>18</v>
      </c>
      <c r="L87" s="5">
        <f t="shared" si="4"/>
        <v>746.40000000000009</v>
      </c>
    </row>
    <row r="88" spans="1:13" x14ac:dyDescent="0.3">
      <c r="A88" s="7">
        <v>46143</v>
      </c>
      <c r="B88" t="s">
        <v>128</v>
      </c>
      <c r="C88" t="s">
        <v>129</v>
      </c>
      <c r="D88" t="str">
        <f>_xlfn.XLOOKUP(C88,Conversio!$B:$B,Conversio!$C:$C,"No trobat",0)</f>
        <v>CCR00000</v>
      </c>
      <c r="E88" t="str">
        <f>_xlfn.XLOOKUP(D88,Conversio!$C:$C,Conversio!$D:$D,"No trobat",0)</f>
        <v>ADMINISTRACIO RESTAURANTS</v>
      </c>
      <c r="F88" t="s">
        <v>18</v>
      </c>
      <c r="G88" t="str">
        <f>_xlfn.XLOOKUP(F88,Conversio!$B:$B,Conversio!$C:$C,"No trobat",0)</f>
        <v>CCR00006</v>
      </c>
      <c r="H88" t="str">
        <f>_xlfn.XLOOKUP(G88,Conversio!$C:$C,Conversio!$D:$D,"No trobat",0)</f>
        <v>RESTAURANT MIRADOR DE LES CAVES</v>
      </c>
      <c r="I88">
        <v>375</v>
      </c>
      <c r="J88" s="2">
        <f t="shared" si="3"/>
        <v>6.25</v>
      </c>
      <c r="K88" s="6">
        <v>18</v>
      </c>
      <c r="L88" s="5">
        <f t="shared" si="4"/>
        <v>112.5</v>
      </c>
    </row>
    <row r="89" spans="1:13" x14ac:dyDescent="0.3">
      <c r="A89" s="7">
        <v>46143</v>
      </c>
      <c r="B89" t="s">
        <v>130</v>
      </c>
      <c r="C89" t="s">
        <v>110</v>
      </c>
      <c r="D89" t="str">
        <f>_xlfn.XLOOKUP(C89,Conversio!$B:$B,Conversio!$C:$C,"No trobat",0)</f>
        <v>CCR00006</v>
      </c>
      <c r="E89" t="str">
        <f>_xlfn.XLOOKUP(D89,Conversio!$C:$C,Conversio!$D:$D,"No trobat",0)</f>
        <v>RESTAURANT MIRADOR DE LES CAVES</v>
      </c>
      <c r="F89" t="s">
        <v>18</v>
      </c>
      <c r="G89" t="str">
        <f>_xlfn.XLOOKUP(F89,Conversio!$B:$B,Conversio!$C:$C,"No trobat",0)</f>
        <v>CCR00006</v>
      </c>
      <c r="H89" t="str">
        <f>_xlfn.XLOOKUP(G89,Conversio!$C:$C,Conversio!$D:$D,"No trobat",0)</f>
        <v>RESTAURANT MIRADOR DE LES CAVES</v>
      </c>
      <c r="I89">
        <v>2852</v>
      </c>
      <c r="J89" s="2">
        <f t="shared" si="3"/>
        <v>47.533333333333331</v>
      </c>
      <c r="K89" s="6">
        <v>18</v>
      </c>
      <c r="L89" s="5">
        <f t="shared" si="4"/>
        <v>855.59999999999991</v>
      </c>
    </row>
    <row r="90" spans="1:13" x14ac:dyDescent="0.3">
      <c r="A90" s="7">
        <v>46143</v>
      </c>
      <c r="B90" t="s">
        <v>16</v>
      </c>
      <c r="C90" t="s">
        <v>17</v>
      </c>
      <c r="D90" t="str">
        <f>_xlfn.XLOOKUP(C90,Conversio!$B:$B,Conversio!$C:$C,"No trobat",0)</f>
        <v>CCR00006</v>
      </c>
      <c r="E90" t="str">
        <f>_xlfn.XLOOKUP(D90,Conversio!$C:$C,Conversio!$D:$D,"No trobat",0)</f>
        <v>RESTAURANT MIRADOR DE LES CAVES</v>
      </c>
      <c r="F90" t="s">
        <v>19</v>
      </c>
      <c r="G90" t="str">
        <f>_xlfn.XLOOKUP(F90,Conversio!$B:$B,Conversio!$C:$C,"No trobat",0)</f>
        <v>CCR00002</v>
      </c>
      <c r="H90" t="str">
        <f>_xlfn.XLOOKUP(G90,Conversio!$C:$C,Conversio!$D:$D,"No trobat",0)</f>
        <v>RESTAURANT NAUTIC</v>
      </c>
      <c r="I90">
        <v>1578</v>
      </c>
      <c r="J90" s="2">
        <f t="shared" si="3"/>
        <v>26.3</v>
      </c>
      <c r="K90" s="6">
        <v>18</v>
      </c>
      <c r="L90" s="5">
        <f t="shared" si="4"/>
        <v>473.40000000000003</v>
      </c>
      <c r="M90" s="4">
        <f t="shared" si="5"/>
        <v>8521.2000000000007</v>
      </c>
    </row>
    <row r="91" spans="1:13" x14ac:dyDescent="0.3">
      <c r="A91" s="7">
        <v>46143</v>
      </c>
      <c r="B91" t="s">
        <v>89</v>
      </c>
      <c r="C91" t="s">
        <v>90</v>
      </c>
      <c r="D91" t="str">
        <f>_xlfn.XLOOKUP(C91,Conversio!$B:$B,Conversio!$C:$C,"No trobat",0)</f>
        <v>CCR00000</v>
      </c>
      <c r="E91" t="str">
        <f>_xlfn.XLOOKUP(D91,Conversio!$C:$C,Conversio!$D:$D,"No trobat",0)</f>
        <v>ADMINISTRACIO RESTAURANTS</v>
      </c>
      <c r="F91" t="s">
        <v>19</v>
      </c>
      <c r="G91" t="str">
        <f>_xlfn.XLOOKUP(F91,Conversio!$B:$B,Conversio!$C:$C,"No trobat",0)</f>
        <v>CCR00002</v>
      </c>
      <c r="H91" t="str">
        <f>_xlfn.XLOOKUP(G91,Conversio!$C:$C,Conversio!$D:$D,"No trobat",0)</f>
        <v>RESTAURANT NAUTIC</v>
      </c>
      <c r="I91">
        <v>953</v>
      </c>
      <c r="J91" s="2">
        <f t="shared" si="3"/>
        <v>15.883333333333333</v>
      </c>
      <c r="K91" s="6">
        <v>18</v>
      </c>
      <c r="L91" s="5">
        <f t="shared" si="4"/>
        <v>285.89999999999998</v>
      </c>
    </row>
    <row r="92" spans="1:13" x14ac:dyDescent="0.3">
      <c r="A92" s="7">
        <v>46143</v>
      </c>
      <c r="B92" t="s">
        <v>109</v>
      </c>
      <c r="C92" t="s">
        <v>110</v>
      </c>
      <c r="D92" t="str">
        <f>_xlfn.XLOOKUP(C92,Conversio!$B:$B,Conversio!$C:$C,"No trobat",0)</f>
        <v>CCR00006</v>
      </c>
      <c r="E92" t="str">
        <f>_xlfn.XLOOKUP(D92,Conversio!$C:$C,Conversio!$D:$D,"No trobat",0)</f>
        <v>RESTAURANT MIRADOR DE LES CAVES</v>
      </c>
      <c r="F92" t="s">
        <v>19</v>
      </c>
      <c r="G92" t="str">
        <f>_xlfn.XLOOKUP(F92,Conversio!$B:$B,Conversio!$C:$C,"No trobat",0)</f>
        <v>CCR00002</v>
      </c>
      <c r="H92" t="str">
        <f>_xlfn.XLOOKUP(G92,Conversio!$C:$C,Conversio!$D:$D,"No trobat",0)</f>
        <v>RESTAURANT NAUTIC</v>
      </c>
      <c r="I92">
        <v>632</v>
      </c>
      <c r="J92" s="2">
        <f t="shared" si="3"/>
        <v>10.533333333333333</v>
      </c>
      <c r="K92" s="6">
        <v>18</v>
      </c>
      <c r="L92" s="5">
        <f t="shared" si="4"/>
        <v>189.6</v>
      </c>
    </row>
    <row r="93" spans="1:13" x14ac:dyDescent="0.3">
      <c r="A93" s="7">
        <v>46143</v>
      </c>
      <c r="B93" t="s">
        <v>120</v>
      </c>
      <c r="C93" t="s">
        <v>121</v>
      </c>
      <c r="D93" t="str">
        <f>_xlfn.XLOOKUP(C93,Conversio!$B:$B,Conversio!$C:$C,"No trobat",0)</f>
        <v>CCR00008</v>
      </c>
      <c r="E93" t="str">
        <f>_xlfn.XLOOKUP(D93,Conversio!$C:$C,Conversio!$D:$D,"No trobat",0)</f>
        <v>RESTAURANT FONT  DE LA CANYA</v>
      </c>
      <c r="F93" t="s">
        <v>19</v>
      </c>
      <c r="G93" t="str">
        <f>_xlfn.XLOOKUP(F93,Conversio!$B:$B,Conversio!$C:$C,"No trobat",0)</f>
        <v>CCR00002</v>
      </c>
      <c r="H93" t="str">
        <f>_xlfn.XLOOKUP(G93,Conversio!$C:$C,Conversio!$D:$D,"No trobat",0)</f>
        <v>RESTAURANT NAUTIC</v>
      </c>
      <c r="I93">
        <v>1971</v>
      </c>
      <c r="J93" s="2">
        <f t="shared" si="3"/>
        <v>32.85</v>
      </c>
      <c r="K93" s="6">
        <v>18</v>
      </c>
      <c r="L93" s="5">
        <f t="shared" si="4"/>
        <v>591.30000000000007</v>
      </c>
      <c r="M93" s="4">
        <f t="shared" si="5"/>
        <v>10643.400000000001</v>
      </c>
    </row>
    <row r="94" spans="1:13" x14ac:dyDescent="0.3">
      <c r="A94" s="7">
        <v>46143</v>
      </c>
      <c r="B94" t="s">
        <v>39</v>
      </c>
      <c r="C94" t="s">
        <v>40</v>
      </c>
      <c r="D94" t="str">
        <f>_xlfn.XLOOKUP(C94,Conversio!$B:$B,Conversio!$C:$C,"No trobat",0)</f>
        <v>CCR00001</v>
      </c>
      <c r="E94" t="str">
        <f>_xlfn.XLOOKUP(D94,Conversio!$C:$C,Conversio!$D:$D,"No trobat",0)</f>
        <v>RESTAURANT ORIGENS</v>
      </c>
      <c r="F94" t="s">
        <v>42</v>
      </c>
      <c r="G94" t="str">
        <f>_xlfn.XLOOKUP(F94,Conversio!$B:$B,Conversio!$C:$C,"No trobat",0)</f>
        <v>CCR00001</v>
      </c>
      <c r="H94" t="str">
        <f>_xlfn.XLOOKUP(G94,Conversio!$C:$C,Conversio!$D:$D,"No trobat",0)</f>
        <v>RESTAURANT ORIGENS</v>
      </c>
      <c r="I94">
        <v>494</v>
      </c>
      <c r="J94" s="2">
        <f t="shared" si="3"/>
        <v>8.2333333333333325</v>
      </c>
      <c r="K94" s="6">
        <v>18</v>
      </c>
      <c r="L94" s="5">
        <f t="shared" si="4"/>
        <v>148.19999999999999</v>
      </c>
    </row>
    <row r="95" spans="1:13" x14ac:dyDescent="0.3">
      <c r="A95" s="7">
        <v>46143</v>
      </c>
      <c r="B95" t="s">
        <v>55</v>
      </c>
      <c r="C95" t="s">
        <v>56</v>
      </c>
      <c r="D95" t="str">
        <f>_xlfn.XLOOKUP(C95,Conversio!$B:$B,Conversio!$C:$C,"No trobat",0)</f>
        <v>CCR00001</v>
      </c>
      <c r="E95" t="str">
        <f>_xlfn.XLOOKUP(D95,Conversio!$C:$C,Conversio!$D:$D,"No trobat",0)</f>
        <v>RESTAURANT ORIGENS</v>
      </c>
      <c r="F95" t="s">
        <v>42</v>
      </c>
      <c r="G95" t="str">
        <f>_xlfn.XLOOKUP(F95,Conversio!$B:$B,Conversio!$C:$C,"No trobat",0)</f>
        <v>CCR00001</v>
      </c>
      <c r="H95" t="str">
        <f>_xlfn.XLOOKUP(G95,Conversio!$C:$C,Conversio!$D:$D,"No trobat",0)</f>
        <v>RESTAURANT ORIGENS</v>
      </c>
      <c r="I95">
        <v>10353</v>
      </c>
      <c r="J95" s="2">
        <f t="shared" si="3"/>
        <v>172.55</v>
      </c>
      <c r="K95" s="6">
        <v>18</v>
      </c>
      <c r="L95" s="5">
        <f t="shared" si="4"/>
        <v>3105.9</v>
      </c>
    </row>
    <row r="96" spans="1:13" x14ac:dyDescent="0.3">
      <c r="A96" s="7">
        <v>46143</v>
      </c>
      <c r="B96" t="s">
        <v>89</v>
      </c>
      <c r="C96" t="s">
        <v>90</v>
      </c>
      <c r="D96" t="str">
        <f>_xlfn.XLOOKUP(C96,Conversio!$B:$B,Conversio!$C:$C,"No trobat",0)</f>
        <v>CCR00000</v>
      </c>
      <c r="E96" t="str">
        <f>_xlfn.XLOOKUP(D96,Conversio!$C:$C,Conversio!$D:$D,"No trobat",0)</f>
        <v>ADMINISTRACIO RESTAURANTS</v>
      </c>
      <c r="F96" t="s">
        <v>42</v>
      </c>
      <c r="G96" t="str">
        <f>_xlfn.XLOOKUP(F96,Conversio!$B:$B,Conversio!$C:$C,"No trobat",0)</f>
        <v>CCR00001</v>
      </c>
      <c r="H96" t="str">
        <f>_xlfn.XLOOKUP(G96,Conversio!$C:$C,Conversio!$D:$D,"No trobat",0)</f>
        <v>RESTAURANT ORIGENS</v>
      </c>
      <c r="I96">
        <v>2400</v>
      </c>
      <c r="J96" s="2">
        <f t="shared" si="3"/>
        <v>40</v>
      </c>
      <c r="K96" s="6">
        <v>18</v>
      </c>
      <c r="L96" s="5">
        <f t="shared" si="4"/>
        <v>720</v>
      </c>
      <c r="M96" s="4"/>
    </row>
    <row r="97" spans="1:13" x14ac:dyDescent="0.3">
      <c r="A97" s="7">
        <v>46143</v>
      </c>
      <c r="B97" t="s">
        <v>76</v>
      </c>
      <c r="C97" t="s">
        <v>77</v>
      </c>
      <c r="D97" t="str">
        <f>_xlfn.XLOOKUP(C97,Conversio!$B:$B,Conversio!$C:$C,"No trobat",0)</f>
        <v>CCR00003</v>
      </c>
      <c r="E97" t="str">
        <f>_xlfn.XLOOKUP(D97,Conversio!$C:$C,Conversio!$D:$D,"No trobat",0)</f>
        <v>RESTAURANT LA MASIA D'ESPLUGUES</v>
      </c>
      <c r="F97" t="s">
        <v>78</v>
      </c>
      <c r="G97" t="str">
        <f>_xlfn.XLOOKUP(F97,Conversio!$B:$B,Conversio!$C:$C,"No trobat",0)</f>
        <v>CCR00009</v>
      </c>
      <c r="H97" t="str">
        <f>_xlfn.XLOOKUP(G97,Conversio!$C:$C,Conversio!$D:$D,"No trobat",0)</f>
        <v>RESTAURANT VALKIRIA</v>
      </c>
      <c r="I97">
        <v>1185</v>
      </c>
      <c r="J97" s="2">
        <f t="shared" ref="J97:J100" si="6">I97/60</f>
        <v>19.75</v>
      </c>
      <c r="K97" s="6">
        <v>18</v>
      </c>
      <c r="L97" s="5">
        <f t="shared" si="4"/>
        <v>355.5</v>
      </c>
      <c r="M97" s="4">
        <f t="shared" si="5"/>
        <v>6399</v>
      </c>
    </row>
    <row r="98" spans="1:13" x14ac:dyDescent="0.3">
      <c r="A98" s="7">
        <v>46143</v>
      </c>
      <c r="B98" t="s">
        <v>89</v>
      </c>
      <c r="C98" t="s">
        <v>90</v>
      </c>
      <c r="D98" t="str">
        <f>_xlfn.XLOOKUP(C98,Conversio!$B:$B,Conversio!$C:$C,"No trobat",0)</f>
        <v>CCR00000</v>
      </c>
      <c r="E98" t="str">
        <f>_xlfn.XLOOKUP(D98,Conversio!$C:$C,Conversio!$D:$D,"No trobat",0)</f>
        <v>ADMINISTRACIO RESTAURANTS</v>
      </c>
      <c r="F98" t="s">
        <v>91</v>
      </c>
      <c r="G98" t="str">
        <f>_xlfn.XLOOKUP(F98,Conversio!$B:$B,Conversio!$C:$C,"No trobat",0)</f>
        <v>CCR00010</v>
      </c>
      <c r="H98" t="str">
        <f>_xlfn.XLOOKUP(G98,Conversio!$C:$C,Conversio!$D:$D,"No trobat",0)</f>
        <v>RESTAURANT SOLIVER</v>
      </c>
      <c r="I98">
        <v>1919</v>
      </c>
      <c r="J98" s="2">
        <f t="shared" si="6"/>
        <v>31.983333333333334</v>
      </c>
      <c r="K98" s="6">
        <v>18</v>
      </c>
      <c r="L98" s="5">
        <f t="shared" si="4"/>
        <v>575.70000000000005</v>
      </c>
    </row>
    <row r="99" spans="1:13" x14ac:dyDescent="0.3">
      <c r="A99" s="7">
        <v>46143</v>
      </c>
      <c r="B99" t="s">
        <v>122</v>
      </c>
      <c r="C99" t="s">
        <v>54</v>
      </c>
      <c r="D99" t="str">
        <f>_xlfn.XLOOKUP(C99,Conversio!$B:$B,Conversio!$C:$C,"No trobat",0)</f>
        <v>CCR00010</v>
      </c>
      <c r="E99" t="str">
        <f>_xlfn.XLOOKUP(D99,Conversio!$C:$C,Conversio!$D:$D,"No trobat",0)</f>
        <v>RESTAURANT SOLIVER</v>
      </c>
      <c r="F99" t="s">
        <v>91</v>
      </c>
      <c r="G99" t="str">
        <f>_xlfn.XLOOKUP(F99,Conversio!$B:$B,Conversio!$C:$C,"No trobat",0)</f>
        <v>CCR00010</v>
      </c>
      <c r="H99" t="str">
        <f>_xlfn.XLOOKUP(G99,Conversio!$C:$C,Conversio!$D:$D,"No trobat",0)</f>
        <v>RESTAURANT SOLIVER</v>
      </c>
      <c r="I99">
        <v>65</v>
      </c>
      <c r="J99" s="2">
        <f t="shared" si="6"/>
        <v>1.0833333333333333</v>
      </c>
      <c r="K99" s="6">
        <v>18</v>
      </c>
      <c r="L99" s="5">
        <f t="shared" si="4"/>
        <v>19.5</v>
      </c>
    </row>
    <row r="100" spans="1:13" x14ac:dyDescent="0.3">
      <c r="A100" s="7">
        <v>46143</v>
      </c>
      <c r="B100" t="s">
        <v>139</v>
      </c>
      <c r="C100" t="s">
        <v>140</v>
      </c>
      <c r="D100" t="str">
        <f>_xlfn.XLOOKUP(C100,Conversio!$B:$B,Conversio!$C:$C,"No trobat",0)</f>
        <v>CCR00010</v>
      </c>
      <c r="E100" t="str">
        <f>_xlfn.XLOOKUP(D100,Conversio!$C:$C,Conversio!$D:$D,"No trobat",0)</f>
        <v>RESTAURANT SOLIVER</v>
      </c>
      <c r="F100" t="s">
        <v>91</v>
      </c>
      <c r="G100" t="str">
        <f>_xlfn.XLOOKUP(F100,Conversio!$B:$B,Conversio!$C:$C,"No trobat",0)</f>
        <v>CCR00010</v>
      </c>
      <c r="H100" t="str">
        <f>_xlfn.XLOOKUP(G100,Conversio!$C:$C,Conversio!$D:$D,"No trobat",0)</f>
        <v>RESTAURANT SOLIVER</v>
      </c>
      <c r="I100">
        <v>433</v>
      </c>
      <c r="J100" s="2">
        <f t="shared" si="6"/>
        <v>7.2166666666666668</v>
      </c>
      <c r="K100" s="6">
        <v>18</v>
      </c>
      <c r="L100" s="5">
        <f t="shared" si="4"/>
        <v>129.9</v>
      </c>
      <c r="M100" s="4">
        <f t="shared" si="5"/>
        <v>2338.2000000000003</v>
      </c>
    </row>
    <row r="101" spans="1:13" x14ac:dyDescent="0.3">
      <c r="A101" s="7">
        <v>46143</v>
      </c>
      <c r="B101" t="s">
        <v>68</v>
      </c>
      <c r="C101" t="s">
        <v>69</v>
      </c>
      <c r="D101" t="str">
        <f>_xlfn.XLOOKUP(C101,Conversio!$B:$B,Conversio!$C:$C,"No trobat",0)</f>
        <v>CCR00005</v>
      </c>
      <c r="E101" t="str">
        <f>_xlfn.XLOOKUP(D101,Conversio!$C:$C,Conversio!$D:$D,"No trobat",0)</f>
        <v>RESTAURANT TARRACO</v>
      </c>
      <c r="F101" t="s">
        <v>70</v>
      </c>
      <c r="G101" t="str">
        <f>_xlfn.XLOOKUP(F101,Conversio!$B:$B,Conversio!$C:$C,"No trobat",0)</f>
        <v>CCR00005</v>
      </c>
      <c r="H101" t="str">
        <f>_xlfn.XLOOKUP(G101,Conversio!$C:$C,Conversio!$D:$D,"No trobat",0)</f>
        <v>RESTAURANT TARRACO</v>
      </c>
      <c r="I101">
        <v>5076</v>
      </c>
      <c r="J101" s="2">
        <f t="shared" ref="J101:J149" si="7">I101/60</f>
        <v>84.6</v>
      </c>
      <c r="K101" s="6">
        <v>18</v>
      </c>
      <c r="L101" s="5">
        <f t="shared" si="4"/>
        <v>1522.8</v>
      </c>
    </row>
    <row r="102" spans="1:13" x14ac:dyDescent="0.3">
      <c r="A102" s="7">
        <v>46143</v>
      </c>
      <c r="B102" t="s">
        <v>99</v>
      </c>
      <c r="C102" t="s">
        <v>100</v>
      </c>
      <c r="D102" t="str">
        <f>_xlfn.XLOOKUP(C102,Conversio!$B:$B,Conversio!$C:$C,"No trobat",0)</f>
        <v>CCR00005</v>
      </c>
      <c r="E102" t="str">
        <f>_xlfn.XLOOKUP(D102,Conversio!$C:$C,Conversio!$D:$D,"No trobat",0)</f>
        <v>RESTAURANT TARRACO</v>
      </c>
      <c r="F102" t="s">
        <v>70</v>
      </c>
      <c r="G102" t="str">
        <f>_xlfn.XLOOKUP(F102,Conversio!$B:$B,Conversio!$C:$C,"No trobat",0)</f>
        <v>CCR00005</v>
      </c>
      <c r="H102" t="str">
        <f>_xlfn.XLOOKUP(G102,Conversio!$C:$C,Conversio!$D:$D,"No trobat",0)</f>
        <v>RESTAURANT TARRACO</v>
      </c>
      <c r="I102">
        <v>6173</v>
      </c>
      <c r="J102" s="2">
        <f t="shared" si="7"/>
        <v>102.88333333333334</v>
      </c>
      <c r="K102" s="6">
        <v>18</v>
      </c>
      <c r="L102" s="5">
        <f t="shared" si="4"/>
        <v>1851.9</v>
      </c>
    </row>
    <row r="103" spans="1:13" x14ac:dyDescent="0.3">
      <c r="A103" s="7">
        <v>46143</v>
      </c>
      <c r="B103" t="s">
        <v>135</v>
      </c>
      <c r="C103" t="s">
        <v>136</v>
      </c>
      <c r="D103" t="str">
        <f>_xlfn.XLOOKUP(C103,Conversio!$B:$B,Conversio!$C:$C,"No trobat",0)</f>
        <v>CCR00005</v>
      </c>
      <c r="E103" t="str">
        <f>_xlfn.XLOOKUP(D103,Conversio!$C:$C,Conversio!$D:$D,"No trobat",0)</f>
        <v>RESTAURANT TARRACO</v>
      </c>
      <c r="F103" t="s">
        <v>70</v>
      </c>
      <c r="G103" t="str">
        <f>_xlfn.XLOOKUP(F103,Conversio!$B:$B,Conversio!$C:$C,"No trobat",0)</f>
        <v>CCR00005</v>
      </c>
      <c r="H103" t="str">
        <f>_xlfn.XLOOKUP(G103,Conversio!$C:$C,Conversio!$D:$D,"No trobat",0)</f>
        <v>RESTAURANT TARRACO</v>
      </c>
      <c r="I103">
        <v>9279</v>
      </c>
      <c r="J103" s="2">
        <f t="shared" si="7"/>
        <v>154.65</v>
      </c>
      <c r="K103" s="6">
        <v>18</v>
      </c>
      <c r="L103" s="5">
        <f t="shared" si="4"/>
        <v>2783.7000000000003</v>
      </c>
    </row>
    <row r="104" spans="1:13" x14ac:dyDescent="0.3">
      <c r="A104" s="7">
        <v>46143</v>
      </c>
      <c r="B104" t="s">
        <v>146</v>
      </c>
      <c r="C104" t="s">
        <v>147</v>
      </c>
      <c r="D104" t="str">
        <f>_xlfn.XLOOKUP(C104,Conversio!$B:$B,Conversio!$C:$C,"No trobat",0)</f>
        <v>CCR00005</v>
      </c>
      <c r="E104" t="str">
        <f>_xlfn.XLOOKUP(D104,Conversio!$C:$C,Conversio!$D:$D,"No trobat",0)</f>
        <v>RESTAURANT TARRACO</v>
      </c>
      <c r="F104" t="s">
        <v>70</v>
      </c>
      <c r="G104" t="str">
        <f>_xlfn.XLOOKUP(F104,Conversio!$B:$B,Conversio!$C:$C,"No trobat",0)</f>
        <v>CCR00005</v>
      </c>
      <c r="H104" t="str">
        <f>_xlfn.XLOOKUP(G104,Conversio!$C:$C,Conversio!$D:$D,"No trobat",0)</f>
        <v>RESTAURANT TARRACO</v>
      </c>
      <c r="I104">
        <v>8132</v>
      </c>
      <c r="J104" s="2">
        <f t="shared" si="7"/>
        <v>135.53333333333333</v>
      </c>
      <c r="K104" s="6">
        <v>18</v>
      </c>
      <c r="L104" s="5">
        <f t="shared" si="4"/>
        <v>2439.6</v>
      </c>
    </row>
    <row r="105" spans="1:13" x14ac:dyDescent="0.3">
      <c r="A105" s="7">
        <v>46143</v>
      </c>
      <c r="B105" t="s">
        <v>63</v>
      </c>
      <c r="C105" t="s">
        <v>64</v>
      </c>
      <c r="D105" t="str">
        <f>_xlfn.XLOOKUP(C105,Conversio!$B:$B,Conversio!$C:$C,"No trobat",0)</f>
        <v>CCC00005</v>
      </c>
      <c r="E105" t="str">
        <f>_xlfn.XLOOKUP(D105,Conversio!$C:$C,Conversio!$D:$D,"No trobat",0)</f>
        <v>OFICINES CAL BLAY</v>
      </c>
      <c r="F105" t="s">
        <v>62</v>
      </c>
      <c r="G105" t="str">
        <f>_xlfn.XLOOKUP(F105,Conversio!$B:$B,Conversio!$C:$C,"No trobat",0)</f>
        <v>CCF00002</v>
      </c>
      <c r="H105" t="str">
        <f>_xlfn.XLOOKUP(G105,Conversio!$C:$C,Conversio!$D:$D,"No trobat",0)</f>
        <v>FESTIVAL TARRACO</v>
      </c>
      <c r="I105">
        <v>945</v>
      </c>
      <c r="J105" s="2">
        <f t="shared" si="7"/>
        <v>15.75</v>
      </c>
      <c r="K105" s="6">
        <v>18</v>
      </c>
      <c r="L105" s="5">
        <f t="shared" si="4"/>
        <v>283.5</v>
      </c>
    </row>
    <row r="106" spans="1:13" x14ac:dyDescent="0.3">
      <c r="A106" s="7">
        <v>46143</v>
      </c>
      <c r="B106" t="s">
        <v>60</v>
      </c>
      <c r="C106" t="s">
        <v>61</v>
      </c>
      <c r="D106" t="str">
        <f>_xlfn.XLOOKUP(C106,Conversio!$B:$B,Conversio!$C:$C,"No trobat",0)</f>
        <v>CCF00001</v>
      </c>
      <c r="E106" t="str">
        <f>_xlfn.XLOOKUP(D106,Conversio!$C:$C,Conversio!$D:$D,"No trobat",0)</f>
        <v>FIRES I FESTIVALS</v>
      </c>
      <c r="F106" t="s">
        <v>62</v>
      </c>
      <c r="G106" t="str">
        <f>_xlfn.XLOOKUP(F106,Conversio!$B:$B,Conversio!$C:$C,"No trobat",0)</f>
        <v>CCF00002</v>
      </c>
      <c r="H106" t="str">
        <f>_xlfn.XLOOKUP(G106,Conversio!$C:$C,Conversio!$D:$D,"No trobat",0)</f>
        <v>FESTIVAL TARRACO</v>
      </c>
      <c r="I106">
        <v>945</v>
      </c>
      <c r="J106" s="2">
        <f t="shared" si="7"/>
        <v>15.75</v>
      </c>
      <c r="K106" s="6">
        <v>18</v>
      </c>
      <c r="L106" s="5">
        <f t="shared" si="4"/>
        <v>283.5</v>
      </c>
    </row>
    <row r="107" spans="1:13" x14ac:dyDescent="0.3">
      <c r="A107" s="7">
        <v>46143</v>
      </c>
      <c r="B107" t="s">
        <v>146</v>
      </c>
      <c r="C107" t="s">
        <v>147</v>
      </c>
      <c r="D107" t="str">
        <f>_xlfn.XLOOKUP(C107,Conversio!$B:$B,Conversio!$C:$C,"No trobat",0)</f>
        <v>CCR00005</v>
      </c>
      <c r="E107" t="str">
        <f>_xlfn.XLOOKUP(D107,Conversio!$C:$C,Conversio!$D:$D,"No trobat",0)</f>
        <v>RESTAURANT TARRACO</v>
      </c>
      <c r="F107" t="s">
        <v>62</v>
      </c>
      <c r="G107" t="str">
        <f>_xlfn.XLOOKUP(F107,Conversio!$B:$B,Conversio!$C:$C,"No trobat",0)</f>
        <v>CCF00002</v>
      </c>
      <c r="H107" t="str">
        <f>_xlfn.XLOOKUP(G107,Conversio!$C:$C,Conversio!$D:$D,"No trobat",0)</f>
        <v>FESTIVAL TARRACO</v>
      </c>
      <c r="I107">
        <v>252</v>
      </c>
      <c r="J107" s="2">
        <f t="shared" si="7"/>
        <v>4.2</v>
      </c>
      <c r="K107" s="6">
        <v>18</v>
      </c>
      <c r="L107" s="5">
        <f t="shared" si="4"/>
        <v>75.600000000000009</v>
      </c>
      <c r="M107" s="4">
        <f t="shared" si="5"/>
        <v>1360.8000000000002</v>
      </c>
    </row>
    <row r="108" spans="1:13" hidden="1" x14ac:dyDescent="0.3">
      <c r="A108" s="7">
        <v>46023</v>
      </c>
      <c r="B108" s="8" t="s">
        <v>12</v>
      </c>
      <c r="C108" s="8" t="s">
        <v>21</v>
      </c>
      <c r="D108" t="str">
        <f>_xlfn.XLOOKUP(C108,Conversio!$B:$B,Conversio!$C:$C,"No trobat",0)</f>
        <v>CCC00007</v>
      </c>
      <c r="E108" t="str">
        <f>_xlfn.XLOOKUP(D108,Conversio!$C:$C,Conversio!$D:$D,"No trobat",0)</f>
        <v>CUINA CENTRAL</v>
      </c>
      <c r="F108" s="9" t="s">
        <v>24</v>
      </c>
      <c r="G108" t="str">
        <f>_xlfn.XLOOKUP(F108,Conversio!$B:$B,Conversio!$C:$C,"No trobat",0)</f>
        <v>CCE00000</v>
      </c>
      <c r="H108" t="str">
        <f>_xlfn.XLOOKUP(G108,Conversio!$C:$C,Conversio!$D:$D,"No trobat",0)</f>
        <v>ADMINISTRACIO EMPRESA</v>
      </c>
      <c r="I108" s="10">
        <v>2154</v>
      </c>
      <c r="J108" s="2">
        <f t="shared" si="7"/>
        <v>35.9</v>
      </c>
      <c r="K108" s="6">
        <v>18</v>
      </c>
      <c r="L108" s="5">
        <f t="shared" si="4"/>
        <v>646.19999999999993</v>
      </c>
    </row>
    <row r="109" spans="1:13" hidden="1" x14ac:dyDescent="0.3">
      <c r="A109" s="7">
        <v>46023</v>
      </c>
      <c r="B109" s="8" t="s">
        <v>25</v>
      </c>
      <c r="C109" s="8" t="s">
        <v>26</v>
      </c>
      <c r="D109" t="str">
        <f>_xlfn.XLOOKUP(C109,Conversio!$B:$B,Conversio!$C:$C,"No trobat",0)</f>
        <v>CCC00007</v>
      </c>
      <c r="E109" t="str">
        <f>_xlfn.XLOOKUP(D109,Conversio!$C:$C,Conversio!$D:$D,"No trobat",0)</f>
        <v>CUINA CENTRAL</v>
      </c>
      <c r="F109" s="9" t="s">
        <v>24</v>
      </c>
      <c r="G109" t="str">
        <f>_xlfn.XLOOKUP(F109,Conversio!$B:$B,Conversio!$C:$C,"No trobat",0)</f>
        <v>CCE00000</v>
      </c>
      <c r="H109" t="str">
        <f>_xlfn.XLOOKUP(G109,Conversio!$C:$C,Conversio!$D:$D,"No trobat",0)</f>
        <v>ADMINISTRACIO EMPRESA</v>
      </c>
      <c r="I109" s="10">
        <v>1275</v>
      </c>
      <c r="J109" s="2">
        <f t="shared" si="7"/>
        <v>21.25</v>
      </c>
      <c r="K109" s="6">
        <v>18</v>
      </c>
      <c r="L109" s="5">
        <f t="shared" si="4"/>
        <v>382.5</v>
      </c>
    </row>
    <row r="110" spans="1:13" hidden="1" x14ac:dyDescent="0.3">
      <c r="A110" s="7">
        <v>46023</v>
      </c>
      <c r="B110" s="8" t="s">
        <v>29</v>
      </c>
      <c r="C110" s="8" t="s">
        <v>30</v>
      </c>
      <c r="D110" t="str">
        <f>_xlfn.XLOOKUP(C110,Conversio!$B:$B,Conversio!$C:$C,"No trobat",0)</f>
        <v>CCC00007</v>
      </c>
      <c r="E110" t="str">
        <f>_xlfn.XLOOKUP(D110,Conversio!$C:$C,Conversio!$D:$D,"No trobat",0)</f>
        <v>CUINA CENTRAL</v>
      </c>
      <c r="F110" s="9" t="s">
        <v>24</v>
      </c>
      <c r="G110" t="str">
        <f>_xlfn.XLOOKUP(F110,Conversio!$B:$B,Conversio!$C:$C,"No trobat",0)</f>
        <v>CCE00000</v>
      </c>
      <c r="H110" t="str">
        <f>_xlfn.XLOOKUP(G110,Conversio!$C:$C,Conversio!$D:$D,"No trobat",0)</f>
        <v>ADMINISTRACIO EMPRESA</v>
      </c>
      <c r="I110" s="10">
        <v>9601</v>
      </c>
      <c r="J110" s="2">
        <f t="shared" si="7"/>
        <v>160.01666666666668</v>
      </c>
      <c r="K110" s="6">
        <v>18</v>
      </c>
      <c r="L110" s="5">
        <f t="shared" si="4"/>
        <v>2880.3</v>
      </c>
    </row>
    <row r="111" spans="1:13" hidden="1" x14ac:dyDescent="0.3">
      <c r="A111" s="7">
        <v>46023</v>
      </c>
      <c r="B111" s="8" t="s">
        <v>35</v>
      </c>
      <c r="C111" s="8" t="s">
        <v>26</v>
      </c>
      <c r="D111" t="str">
        <f>_xlfn.XLOOKUP(C111,Conversio!$B:$B,Conversio!$C:$C,"No trobat",0)</f>
        <v>CCC00007</v>
      </c>
      <c r="E111" t="str">
        <f>_xlfn.XLOOKUP(D111,Conversio!$C:$C,Conversio!$D:$D,"No trobat",0)</f>
        <v>CUINA CENTRAL</v>
      </c>
      <c r="F111" s="9" t="s">
        <v>24</v>
      </c>
      <c r="G111" t="str">
        <f>_xlfn.XLOOKUP(F111,Conversio!$B:$B,Conversio!$C:$C,"No trobat",0)</f>
        <v>CCE00000</v>
      </c>
      <c r="H111" t="str">
        <f>_xlfn.XLOOKUP(G111,Conversio!$C:$C,Conversio!$D:$D,"No trobat",0)</f>
        <v>ADMINISTRACIO EMPRESA</v>
      </c>
      <c r="I111" s="10">
        <v>450</v>
      </c>
      <c r="J111" s="2">
        <f t="shared" si="7"/>
        <v>7.5</v>
      </c>
      <c r="K111" s="6">
        <v>18</v>
      </c>
      <c r="L111" s="5">
        <f t="shared" si="4"/>
        <v>135</v>
      </c>
    </row>
    <row r="112" spans="1:13" hidden="1" x14ac:dyDescent="0.3">
      <c r="A112" s="7">
        <v>46023</v>
      </c>
      <c r="B112" s="8" t="s">
        <v>36</v>
      </c>
      <c r="C112" s="8" t="s">
        <v>30</v>
      </c>
      <c r="D112" t="str">
        <f>_xlfn.XLOOKUP(C112,Conversio!$B:$B,Conversio!$C:$C,"No trobat",0)</f>
        <v>CCC00007</v>
      </c>
      <c r="E112" t="str">
        <f>_xlfn.XLOOKUP(D112,Conversio!$C:$C,Conversio!$D:$D,"No trobat",0)</f>
        <v>CUINA CENTRAL</v>
      </c>
      <c r="F112" s="9" t="s">
        <v>24</v>
      </c>
      <c r="G112" t="str">
        <f>_xlfn.XLOOKUP(F112,Conversio!$B:$B,Conversio!$C:$C,"No trobat",0)</f>
        <v>CCE00000</v>
      </c>
      <c r="H112" t="str">
        <f>_xlfn.XLOOKUP(G112,Conversio!$C:$C,Conversio!$D:$D,"No trobat",0)</f>
        <v>ADMINISTRACIO EMPRESA</v>
      </c>
      <c r="I112" s="10">
        <v>5616</v>
      </c>
      <c r="J112" s="2">
        <f t="shared" si="7"/>
        <v>93.6</v>
      </c>
      <c r="K112" s="6">
        <v>18</v>
      </c>
      <c r="L112" s="5">
        <f t="shared" si="4"/>
        <v>1684.8</v>
      </c>
    </row>
    <row r="113" spans="1:12" hidden="1" x14ac:dyDescent="0.3">
      <c r="A113" s="7">
        <v>46023</v>
      </c>
      <c r="B113" s="8" t="s">
        <v>37</v>
      </c>
      <c r="C113" s="8" t="s">
        <v>26</v>
      </c>
      <c r="D113" t="str">
        <f>_xlfn.XLOOKUP(C113,Conversio!$B:$B,Conversio!$C:$C,"No trobat",0)</f>
        <v>CCC00007</v>
      </c>
      <c r="E113" t="str">
        <f>_xlfn.XLOOKUP(D113,Conversio!$C:$C,Conversio!$D:$D,"No trobat",0)</f>
        <v>CUINA CENTRAL</v>
      </c>
      <c r="F113" s="9" t="s">
        <v>24</v>
      </c>
      <c r="G113" t="str">
        <f>_xlfn.XLOOKUP(F113,Conversio!$B:$B,Conversio!$C:$C,"No trobat",0)</f>
        <v>CCE00000</v>
      </c>
      <c r="H113" t="str">
        <f>_xlfn.XLOOKUP(G113,Conversio!$C:$C,Conversio!$D:$D,"No trobat",0)</f>
        <v>ADMINISTRACIO EMPRESA</v>
      </c>
      <c r="I113" s="10">
        <v>554</v>
      </c>
      <c r="J113" s="2">
        <f t="shared" si="7"/>
        <v>9.2333333333333325</v>
      </c>
      <c r="K113" s="6">
        <v>18</v>
      </c>
      <c r="L113" s="5">
        <f t="shared" si="4"/>
        <v>166.2</v>
      </c>
    </row>
    <row r="114" spans="1:12" hidden="1" x14ac:dyDescent="0.3">
      <c r="A114" s="7">
        <v>46023</v>
      </c>
      <c r="B114" s="8" t="s">
        <v>57</v>
      </c>
      <c r="C114" s="8" t="s">
        <v>30</v>
      </c>
      <c r="D114" t="str">
        <f>_xlfn.XLOOKUP(C114,Conversio!$B:$B,Conversio!$C:$C,"No trobat",0)</f>
        <v>CCC00007</v>
      </c>
      <c r="E114" t="str">
        <f>_xlfn.XLOOKUP(D114,Conversio!$C:$C,Conversio!$D:$D,"No trobat",0)</f>
        <v>CUINA CENTRAL</v>
      </c>
      <c r="F114" s="9" t="s">
        <v>24</v>
      </c>
      <c r="G114" t="str">
        <f>_xlfn.XLOOKUP(F114,Conversio!$B:$B,Conversio!$C:$C,"No trobat",0)</f>
        <v>CCE00000</v>
      </c>
      <c r="H114" t="str">
        <f>_xlfn.XLOOKUP(G114,Conversio!$C:$C,Conversio!$D:$D,"No trobat",0)</f>
        <v>ADMINISTRACIO EMPRESA</v>
      </c>
      <c r="I114" s="10">
        <v>4712</v>
      </c>
      <c r="J114" s="2">
        <f t="shared" si="7"/>
        <v>78.533333333333331</v>
      </c>
      <c r="K114" s="6">
        <v>18</v>
      </c>
      <c r="L114" s="5">
        <f t="shared" si="4"/>
        <v>1413.6</v>
      </c>
    </row>
    <row r="115" spans="1:12" hidden="1" x14ac:dyDescent="0.3">
      <c r="A115" s="7">
        <v>46023</v>
      </c>
      <c r="B115" s="8" t="s">
        <v>66</v>
      </c>
      <c r="C115" s="8" t="s">
        <v>26</v>
      </c>
      <c r="D115" t="str">
        <f>_xlfn.XLOOKUP(C115,Conversio!$B:$B,Conversio!$C:$C,"No trobat",0)</f>
        <v>CCC00007</v>
      </c>
      <c r="E115" t="str">
        <f>_xlfn.XLOOKUP(D115,Conversio!$C:$C,Conversio!$D:$D,"No trobat",0)</f>
        <v>CUINA CENTRAL</v>
      </c>
      <c r="F115" s="9" t="s">
        <v>24</v>
      </c>
      <c r="G115" t="str">
        <f>_xlfn.XLOOKUP(F115,Conversio!$B:$B,Conversio!$C:$C,"No trobat",0)</f>
        <v>CCE00000</v>
      </c>
      <c r="H115" t="str">
        <f>_xlfn.XLOOKUP(G115,Conversio!$C:$C,Conversio!$D:$D,"No trobat",0)</f>
        <v>ADMINISTRACIO EMPRESA</v>
      </c>
      <c r="I115" s="10">
        <v>2930</v>
      </c>
      <c r="J115" s="2">
        <f t="shared" si="7"/>
        <v>48.833333333333336</v>
      </c>
      <c r="K115" s="6">
        <v>18</v>
      </c>
      <c r="L115" s="5">
        <f t="shared" si="4"/>
        <v>879</v>
      </c>
    </row>
    <row r="116" spans="1:12" hidden="1" x14ac:dyDescent="0.3">
      <c r="A116" s="7">
        <v>46023</v>
      </c>
      <c r="B116" s="8" t="s">
        <v>67</v>
      </c>
      <c r="C116" s="8" t="s">
        <v>30</v>
      </c>
      <c r="D116" t="str">
        <f>_xlfn.XLOOKUP(C116,Conversio!$B:$B,Conversio!$C:$C,"No trobat",0)</f>
        <v>CCC00007</v>
      </c>
      <c r="E116" t="str">
        <f>_xlfn.XLOOKUP(D116,Conversio!$C:$C,Conversio!$D:$D,"No trobat",0)</f>
        <v>CUINA CENTRAL</v>
      </c>
      <c r="F116" s="9" t="s">
        <v>24</v>
      </c>
      <c r="G116" t="str">
        <f>_xlfn.XLOOKUP(F116,Conversio!$B:$B,Conversio!$C:$C,"No trobat",0)</f>
        <v>CCE00000</v>
      </c>
      <c r="H116" t="str">
        <f>_xlfn.XLOOKUP(G116,Conversio!$C:$C,Conversio!$D:$D,"No trobat",0)</f>
        <v>ADMINISTRACIO EMPRESA</v>
      </c>
      <c r="I116" s="10">
        <v>5166</v>
      </c>
      <c r="J116" s="2">
        <f t="shared" si="7"/>
        <v>86.1</v>
      </c>
      <c r="K116" s="6">
        <v>18</v>
      </c>
      <c r="L116" s="5">
        <f t="shared" si="4"/>
        <v>1549.8</v>
      </c>
    </row>
    <row r="117" spans="1:12" hidden="1" x14ac:dyDescent="0.3">
      <c r="A117" s="7">
        <v>46023</v>
      </c>
      <c r="B117" s="8" t="s">
        <v>71</v>
      </c>
      <c r="C117" s="8" t="s">
        <v>30</v>
      </c>
      <c r="D117" t="str">
        <f>_xlfn.XLOOKUP(C117,Conversio!$B:$B,Conversio!$C:$C,"No trobat",0)</f>
        <v>CCC00007</v>
      </c>
      <c r="E117" t="str">
        <f>_xlfn.XLOOKUP(D117,Conversio!$C:$C,Conversio!$D:$D,"No trobat",0)</f>
        <v>CUINA CENTRAL</v>
      </c>
      <c r="F117" s="9" t="s">
        <v>24</v>
      </c>
      <c r="G117" t="str">
        <f>_xlfn.XLOOKUP(F117,Conversio!$B:$B,Conversio!$C:$C,"No trobat",0)</f>
        <v>CCE00000</v>
      </c>
      <c r="H117" t="str">
        <f>_xlfn.XLOOKUP(G117,Conversio!$C:$C,Conversio!$D:$D,"No trobat",0)</f>
        <v>ADMINISTRACIO EMPRESA</v>
      </c>
      <c r="I117" s="10">
        <v>4226</v>
      </c>
      <c r="J117" s="2">
        <f t="shared" si="7"/>
        <v>70.433333333333337</v>
      </c>
      <c r="K117" s="6">
        <v>18</v>
      </c>
      <c r="L117" s="5">
        <f t="shared" si="4"/>
        <v>1267.8000000000002</v>
      </c>
    </row>
    <row r="118" spans="1:12" hidden="1" x14ac:dyDescent="0.3">
      <c r="A118" s="7">
        <v>46023</v>
      </c>
      <c r="B118" s="8" t="s">
        <v>87</v>
      </c>
      <c r="C118" s="8" t="s">
        <v>26</v>
      </c>
      <c r="D118" t="str">
        <f>_xlfn.XLOOKUP(C118,Conversio!$B:$B,Conversio!$C:$C,"No trobat",0)</f>
        <v>CCC00007</v>
      </c>
      <c r="E118" t="str">
        <f>_xlfn.XLOOKUP(D118,Conversio!$C:$C,Conversio!$D:$D,"No trobat",0)</f>
        <v>CUINA CENTRAL</v>
      </c>
      <c r="F118" s="9" t="s">
        <v>24</v>
      </c>
      <c r="G118" t="str">
        <f>_xlfn.XLOOKUP(F118,Conversio!$B:$B,Conversio!$C:$C,"No trobat",0)</f>
        <v>CCE00000</v>
      </c>
      <c r="H118" t="str">
        <f>_xlfn.XLOOKUP(G118,Conversio!$C:$C,Conversio!$D:$D,"No trobat",0)</f>
        <v>ADMINISTRACIO EMPRESA</v>
      </c>
      <c r="I118" s="10">
        <v>994</v>
      </c>
      <c r="J118" s="2">
        <f t="shared" si="7"/>
        <v>16.566666666666666</v>
      </c>
      <c r="K118" s="6">
        <v>18</v>
      </c>
      <c r="L118" s="5">
        <f t="shared" si="4"/>
        <v>298.2</v>
      </c>
    </row>
    <row r="119" spans="1:12" hidden="1" x14ac:dyDescent="0.3">
      <c r="A119" s="7">
        <v>46023</v>
      </c>
      <c r="B119" s="8" t="s">
        <v>88</v>
      </c>
      <c r="C119" s="8" t="s">
        <v>30</v>
      </c>
      <c r="D119" t="str">
        <f>_xlfn.XLOOKUP(C119,Conversio!$B:$B,Conversio!$C:$C,"No trobat",0)</f>
        <v>CCC00007</v>
      </c>
      <c r="E119" t="str">
        <f>_xlfn.XLOOKUP(D119,Conversio!$C:$C,Conversio!$D:$D,"No trobat",0)</f>
        <v>CUINA CENTRAL</v>
      </c>
      <c r="F119" s="9" t="s">
        <v>24</v>
      </c>
      <c r="G119" t="str">
        <f>_xlfn.XLOOKUP(F119,Conversio!$B:$B,Conversio!$C:$C,"No trobat",0)</f>
        <v>CCE00000</v>
      </c>
      <c r="H119" t="str">
        <f>_xlfn.XLOOKUP(G119,Conversio!$C:$C,Conversio!$D:$D,"No trobat",0)</f>
        <v>ADMINISTRACIO EMPRESA</v>
      </c>
      <c r="I119" s="10">
        <v>2606</v>
      </c>
      <c r="J119" s="2">
        <f t="shared" si="7"/>
        <v>43.43333333333333</v>
      </c>
      <c r="K119" s="6">
        <v>18</v>
      </c>
      <c r="L119" s="5">
        <f t="shared" si="4"/>
        <v>781.8</v>
      </c>
    </row>
    <row r="120" spans="1:12" hidden="1" x14ac:dyDescent="0.3">
      <c r="A120" s="7">
        <v>46023</v>
      </c>
      <c r="B120" s="8" t="s">
        <v>95</v>
      </c>
      <c r="C120" s="8" t="s">
        <v>30</v>
      </c>
      <c r="D120" t="str">
        <f>_xlfn.XLOOKUP(C120,Conversio!$B:$B,Conversio!$C:$C,"No trobat",0)</f>
        <v>CCC00007</v>
      </c>
      <c r="E120" t="str">
        <f>_xlfn.XLOOKUP(D120,Conversio!$C:$C,Conversio!$D:$D,"No trobat",0)</f>
        <v>CUINA CENTRAL</v>
      </c>
      <c r="F120" s="9" t="s">
        <v>24</v>
      </c>
      <c r="G120" t="str">
        <f>_xlfn.XLOOKUP(F120,Conversio!$B:$B,Conversio!$C:$C,"No trobat",0)</f>
        <v>CCE00000</v>
      </c>
      <c r="H120" t="str">
        <f>_xlfn.XLOOKUP(G120,Conversio!$C:$C,Conversio!$D:$D,"No trobat",0)</f>
        <v>ADMINISTRACIO EMPRESA</v>
      </c>
      <c r="I120" s="10">
        <v>811</v>
      </c>
      <c r="J120" s="2">
        <f t="shared" si="7"/>
        <v>13.516666666666667</v>
      </c>
      <c r="K120" s="6">
        <v>18</v>
      </c>
      <c r="L120" s="5">
        <f t="shared" si="4"/>
        <v>243.3</v>
      </c>
    </row>
    <row r="121" spans="1:12" hidden="1" x14ac:dyDescent="0.3">
      <c r="A121" s="7">
        <v>46023</v>
      </c>
      <c r="B121" s="8" t="s">
        <v>96</v>
      </c>
      <c r="C121" s="8" t="s">
        <v>30</v>
      </c>
      <c r="D121" t="str">
        <f>_xlfn.XLOOKUP(C121,Conversio!$B:$B,Conversio!$C:$C,"No trobat",0)</f>
        <v>CCC00007</v>
      </c>
      <c r="E121" t="str">
        <f>_xlfn.XLOOKUP(D121,Conversio!$C:$C,Conversio!$D:$D,"No trobat",0)</f>
        <v>CUINA CENTRAL</v>
      </c>
      <c r="F121" s="9" t="s">
        <v>24</v>
      </c>
      <c r="G121" t="str">
        <f>_xlfn.XLOOKUP(F121,Conversio!$B:$B,Conversio!$C:$C,"No trobat",0)</f>
        <v>CCE00000</v>
      </c>
      <c r="H121" t="str">
        <f>_xlfn.XLOOKUP(G121,Conversio!$C:$C,Conversio!$D:$D,"No trobat",0)</f>
        <v>ADMINISTRACIO EMPRESA</v>
      </c>
      <c r="I121" s="10">
        <v>5398</v>
      </c>
      <c r="J121" s="2">
        <f t="shared" si="7"/>
        <v>89.966666666666669</v>
      </c>
      <c r="K121" s="6">
        <v>18</v>
      </c>
      <c r="L121" s="5">
        <f t="shared" si="4"/>
        <v>1619.4</v>
      </c>
    </row>
    <row r="122" spans="1:12" hidden="1" x14ac:dyDescent="0.3">
      <c r="A122" s="7">
        <v>46023</v>
      </c>
      <c r="B122" s="8" t="s">
        <v>97</v>
      </c>
      <c r="C122" s="8" t="s">
        <v>50</v>
      </c>
      <c r="D122" t="str">
        <f>_xlfn.XLOOKUP(C122,Conversio!$B:$B,Conversio!$C:$C,"No trobat",0)</f>
        <v>CCC00007</v>
      </c>
      <c r="E122" t="str">
        <f>_xlfn.XLOOKUP(D122,Conversio!$C:$C,Conversio!$D:$D,"No trobat",0)</f>
        <v>CUINA CENTRAL</v>
      </c>
      <c r="F122" s="9" t="s">
        <v>24</v>
      </c>
      <c r="G122" t="str">
        <f>_xlfn.XLOOKUP(F122,Conversio!$B:$B,Conversio!$C:$C,"No trobat",0)</f>
        <v>CCE00000</v>
      </c>
      <c r="H122" t="str">
        <f>_xlfn.XLOOKUP(G122,Conversio!$C:$C,Conversio!$D:$D,"No trobat",0)</f>
        <v>ADMINISTRACIO EMPRESA</v>
      </c>
      <c r="I122" s="10">
        <v>3626</v>
      </c>
      <c r="J122" s="2">
        <f t="shared" si="7"/>
        <v>60.43333333333333</v>
      </c>
      <c r="K122" s="6">
        <v>18</v>
      </c>
      <c r="L122" s="5">
        <f t="shared" si="4"/>
        <v>1087.8</v>
      </c>
    </row>
    <row r="123" spans="1:12" hidden="1" x14ac:dyDescent="0.3">
      <c r="A123" s="7">
        <v>46023</v>
      </c>
      <c r="B123" s="8" t="s">
        <v>107</v>
      </c>
      <c r="C123" s="8" t="s">
        <v>26</v>
      </c>
      <c r="D123" t="str">
        <f>_xlfn.XLOOKUP(C123,Conversio!$B:$B,Conversio!$C:$C,"No trobat",0)</f>
        <v>CCC00007</v>
      </c>
      <c r="E123" t="str">
        <f>_xlfn.XLOOKUP(D123,Conversio!$C:$C,Conversio!$D:$D,"No trobat",0)</f>
        <v>CUINA CENTRAL</v>
      </c>
      <c r="F123" s="9" t="s">
        <v>24</v>
      </c>
      <c r="G123" t="str">
        <f>_xlfn.XLOOKUP(F123,Conversio!$B:$B,Conversio!$C:$C,"No trobat",0)</f>
        <v>CCE00000</v>
      </c>
      <c r="H123" t="str">
        <f>_xlfn.XLOOKUP(G123,Conversio!$C:$C,Conversio!$D:$D,"No trobat",0)</f>
        <v>ADMINISTRACIO EMPRESA</v>
      </c>
      <c r="I123" s="10">
        <v>455</v>
      </c>
      <c r="J123" s="2">
        <f t="shared" si="7"/>
        <v>7.583333333333333</v>
      </c>
      <c r="K123" s="6">
        <v>18</v>
      </c>
      <c r="L123" s="5">
        <f t="shared" si="4"/>
        <v>136.5</v>
      </c>
    </row>
    <row r="124" spans="1:12" hidden="1" x14ac:dyDescent="0.3">
      <c r="A124" s="7">
        <v>46023</v>
      </c>
      <c r="B124" s="8" t="s">
        <v>124</v>
      </c>
      <c r="C124" s="8" t="s">
        <v>26</v>
      </c>
      <c r="D124" t="str">
        <f>_xlfn.XLOOKUP(C124,Conversio!$B:$B,Conversio!$C:$C,"No trobat",0)</f>
        <v>CCC00007</v>
      </c>
      <c r="E124" t="str">
        <f>_xlfn.XLOOKUP(D124,Conversio!$C:$C,Conversio!$D:$D,"No trobat",0)</f>
        <v>CUINA CENTRAL</v>
      </c>
      <c r="F124" s="9" t="s">
        <v>24</v>
      </c>
      <c r="G124" t="str">
        <f>_xlfn.XLOOKUP(F124,Conversio!$B:$B,Conversio!$C:$C,"No trobat",0)</f>
        <v>CCE00000</v>
      </c>
      <c r="H124" t="str">
        <f>_xlfn.XLOOKUP(G124,Conversio!$C:$C,Conversio!$D:$D,"No trobat",0)</f>
        <v>ADMINISTRACIO EMPRESA</v>
      </c>
      <c r="I124" s="10">
        <v>1447</v>
      </c>
      <c r="J124" s="2">
        <f t="shared" si="7"/>
        <v>24.116666666666667</v>
      </c>
      <c r="K124" s="6">
        <v>18</v>
      </c>
      <c r="L124" s="5">
        <f t="shared" si="4"/>
        <v>434.1</v>
      </c>
    </row>
    <row r="125" spans="1:12" hidden="1" x14ac:dyDescent="0.3">
      <c r="A125" s="7">
        <v>46023</v>
      </c>
      <c r="B125" s="8" t="s">
        <v>127</v>
      </c>
      <c r="C125" s="8" t="s">
        <v>26</v>
      </c>
      <c r="D125" t="str">
        <f>_xlfn.XLOOKUP(C125,Conversio!$B:$B,Conversio!$C:$C,"No trobat",0)</f>
        <v>CCC00007</v>
      </c>
      <c r="E125" t="str">
        <f>_xlfn.XLOOKUP(D125,Conversio!$C:$C,Conversio!$D:$D,"No trobat",0)</f>
        <v>CUINA CENTRAL</v>
      </c>
      <c r="F125" s="9" t="s">
        <v>24</v>
      </c>
      <c r="G125" t="str">
        <f>_xlfn.XLOOKUP(F125,Conversio!$B:$B,Conversio!$C:$C,"No trobat",0)</f>
        <v>CCE00000</v>
      </c>
      <c r="H125" t="str">
        <f>_xlfn.XLOOKUP(G125,Conversio!$C:$C,Conversio!$D:$D,"No trobat",0)</f>
        <v>ADMINISTRACIO EMPRESA</v>
      </c>
      <c r="I125" s="10">
        <v>998</v>
      </c>
      <c r="J125" s="2">
        <f t="shared" si="7"/>
        <v>16.633333333333333</v>
      </c>
      <c r="K125" s="6">
        <v>18</v>
      </c>
      <c r="L125" s="5">
        <f t="shared" si="4"/>
        <v>299.39999999999998</v>
      </c>
    </row>
    <row r="126" spans="1:12" hidden="1" x14ac:dyDescent="0.3">
      <c r="A126" s="7">
        <v>46023</v>
      </c>
      <c r="B126" s="8" t="s">
        <v>137</v>
      </c>
      <c r="C126" s="8" t="s">
        <v>138</v>
      </c>
      <c r="D126" t="str">
        <f>_xlfn.XLOOKUP(C126,Conversio!$B:$B,Conversio!$C:$C,"No trobat",0)</f>
        <v>CCC00008</v>
      </c>
      <c r="E126" t="str">
        <f>_xlfn.XLOOKUP(D126,Conversio!$C:$C,Conversio!$D:$D,"No trobat",0)</f>
        <v>SERVEIS EXTERNS</v>
      </c>
      <c r="F126" s="9" t="s">
        <v>24</v>
      </c>
      <c r="G126" t="str">
        <f>_xlfn.XLOOKUP(F126,Conversio!$B:$B,Conversio!$C:$C,"No trobat",0)</f>
        <v>CCE00000</v>
      </c>
      <c r="H126" t="str">
        <f>_xlfn.XLOOKUP(G126,Conversio!$C:$C,Conversio!$D:$D,"No trobat",0)</f>
        <v>ADMINISTRACIO EMPRESA</v>
      </c>
      <c r="I126" s="10">
        <v>930</v>
      </c>
      <c r="J126" s="2">
        <f t="shared" si="7"/>
        <v>15.5</v>
      </c>
      <c r="K126" s="6">
        <v>18</v>
      </c>
      <c r="L126" s="5">
        <f t="shared" si="4"/>
        <v>279</v>
      </c>
    </row>
    <row r="127" spans="1:12" hidden="1" x14ac:dyDescent="0.3">
      <c r="A127" s="7">
        <v>46023</v>
      </c>
      <c r="B127" s="8" t="s">
        <v>202</v>
      </c>
      <c r="C127" s="8" t="s">
        <v>190</v>
      </c>
      <c r="D127" t="str">
        <f>_xlfn.XLOOKUP(C127,Conversio!$B:$B,Conversio!$C:$C,"No trobat",0)</f>
        <v>CCR00001</v>
      </c>
      <c r="E127" t="str">
        <f>_xlfn.XLOOKUP(D127,Conversio!$C:$C,Conversio!$D:$D,"No trobat",0)</f>
        <v>RESTAURANT ORIGENS</v>
      </c>
      <c r="F127" s="9" t="s">
        <v>19</v>
      </c>
      <c r="G127" t="str">
        <f>_xlfn.XLOOKUP(F127,Conversio!$B:$B,Conversio!$C:$C,"No trobat",0)</f>
        <v>CCR00002</v>
      </c>
      <c r="H127" t="str">
        <f>_xlfn.XLOOKUP(G127,Conversio!$C:$C,Conversio!$D:$D,"No trobat",0)</f>
        <v>RESTAURANT NAUTIC</v>
      </c>
      <c r="I127" s="10">
        <v>480</v>
      </c>
      <c r="J127" s="2">
        <f t="shared" si="7"/>
        <v>8</v>
      </c>
      <c r="K127" s="6">
        <v>18</v>
      </c>
      <c r="L127" s="5">
        <f t="shared" si="4"/>
        <v>144</v>
      </c>
    </row>
    <row r="128" spans="1:12" hidden="1" x14ac:dyDescent="0.3">
      <c r="A128" s="7">
        <v>46023</v>
      </c>
      <c r="B128" s="8" t="s">
        <v>43</v>
      </c>
      <c r="C128" s="8" t="s">
        <v>191</v>
      </c>
      <c r="D128" t="str">
        <f>_xlfn.XLOOKUP(C128,Conversio!$B:$B,Conversio!$C:$C,"No trobat",0)</f>
        <v>CCR00009</v>
      </c>
      <c r="E128" t="str">
        <f>_xlfn.XLOOKUP(D128,Conversio!$C:$C,Conversio!$D:$D,"No trobat",0)</f>
        <v>RESTAURANT VALKIRIA</v>
      </c>
      <c r="F128" s="9" t="s">
        <v>34</v>
      </c>
      <c r="G128" t="str">
        <f>_xlfn.XLOOKUP(F128,Conversio!$B:$B,Conversio!$C:$C,"No trobat",0)</f>
        <v>CCR00003</v>
      </c>
      <c r="H128" t="str">
        <f>_xlfn.XLOOKUP(G128,Conversio!$C:$C,Conversio!$D:$D,"No trobat",0)</f>
        <v>RESTAURANT LA MASIA D'ESPLUGUES</v>
      </c>
      <c r="I128" s="10">
        <v>480</v>
      </c>
      <c r="J128" s="2">
        <f t="shared" si="7"/>
        <v>8</v>
      </c>
      <c r="K128" s="6">
        <v>18</v>
      </c>
      <c r="L128" s="5">
        <f t="shared" ref="L128:L176" si="8">J128*K128</f>
        <v>144</v>
      </c>
    </row>
    <row r="129" spans="1:12" hidden="1" x14ac:dyDescent="0.3">
      <c r="A129" s="7">
        <v>46023</v>
      </c>
      <c r="B129" s="8" t="s">
        <v>203</v>
      </c>
      <c r="C129" s="8" t="s">
        <v>192</v>
      </c>
      <c r="D129" t="str">
        <f>_xlfn.XLOOKUP(C129,Conversio!$B:$B,Conversio!$C:$C,"No trobat",0)</f>
        <v>CCR00009</v>
      </c>
      <c r="E129" t="str">
        <f>_xlfn.XLOOKUP(D129,Conversio!$C:$C,Conversio!$D:$D,"No trobat",0)</f>
        <v>RESTAURANT VALKIRIA</v>
      </c>
      <c r="F129" s="9" t="s">
        <v>34</v>
      </c>
      <c r="G129" t="str">
        <f>_xlfn.XLOOKUP(F129,Conversio!$B:$B,Conversio!$C:$C,"No trobat",0)</f>
        <v>CCR00003</v>
      </c>
      <c r="H129" t="str">
        <f>_xlfn.XLOOKUP(G129,Conversio!$C:$C,Conversio!$D:$D,"No trobat",0)</f>
        <v>RESTAURANT LA MASIA D'ESPLUGUES</v>
      </c>
      <c r="I129" s="10">
        <v>1320</v>
      </c>
      <c r="J129" s="2">
        <f t="shared" si="7"/>
        <v>22</v>
      </c>
      <c r="K129" s="6">
        <v>18</v>
      </c>
      <c r="L129" s="5">
        <f t="shared" si="8"/>
        <v>396</v>
      </c>
    </row>
    <row r="130" spans="1:12" hidden="1" x14ac:dyDescent="0.3">
      <c r="A130" s="7">
        <v>46023</v>
      </c>
      <c r="B130" s="8" t="s">
        <v>108</v>
      </c>
      <c r="C130" s="8" t="s">
        <v>193</v>
      </c>
      <c r="D130" t="str">
        <f>_xlfn.XLOOKUP(C130,Conversio!$B:$B,Conversio!$C:$C,"No trobat",0)</f>
        <v>CCR00007</v>
      </c>
      <c r="E130" t="str">
        <f>_xlfn.XLOOKUP(D130,Conversio!$C:$C,Conversio!$D:$D,"No trobat",0)</f>
        <v>RESTAURANT JUNO HOUSE</v>
      </c>
      <c r="F130" s="9" t="s">
        <v>34</v>
      </c>
      <c r="G130" t="str">
        <f>_xlfn.XLOOKUP(F130,Conversio!$B:$B,Conversio!$C:$C,"No trobat",0)</f>
        <v>CCR00003</v>
      </c>
      <c r="H130" t="str">
        <f>_xlfn.XLOOKUP(G130,Conversio!$C:$C,Conversio!$D:$D,"No trobat",0)</f>
        <v>RESTAURANT LA MASIA D'ESPLUGUES</v>
      </c>
      <c r="I130" s="10">
        <v>1458</v>
      </c>
      <c r="J130" s="2">
        <f t="shared" si="7"/>
        <v>24.3</v>
      </c>
      <c r="K130" s="6">
        <v>18</v>
      </c>
      <c r="L130" s="5">
        <f t="shared" si="8"/>
        <v>437.40000000000003</v>
      </c>
    </row>
    <row r="131" spans="1:12" hidden="1" x14ac:dyDescent="0.3">
      <c r="A131" s="7">
        <v>46023</v>
      </c>
      <c r="B131" s="8" t="s">
        <v>108</v>
      </c>
      <c r="C131" s="8" t="s">
        <v>193</v>
      </c>
      <c r="D131" t="str">
        <f>_xlfn.XLOOKUP(C131,Conversio!$B:$B,Conversio!$C:$C,"No trobat",0)</f>
        <v>CCR00007</v>
      </c>
      <c r="E131" t="str">
        <f>_xlfn.XLOOKUP(D131,Conversio!$C:$C,Conversio!$D:$D,"No trobat",0)</f>
        <v>RESTAURANT JUNO HOUSE</v>
      </c>
      <c r="F131" s="9" t="s">
        <v>34</v>
      </c>
      <c r="G131" t="str">
        <f>_xlfn.XLOOKUP(F131,Conversio!$B:$B,Conversio!$C:$C,"No trobat",0)</f>
        <v>CCR00003</v>
      </c>
      <c r="H131" t="str">
        <f>_xlfn.XLOOKUP(G131,Conversio!$C:$C,Conversio!$D:$D,"No trobat",0)</f>
        <v>RESTAURANT LA MASIA D'ESPLUGUES</v>
      </c>
      <c r="I131" s="10">
        <v>1458</v>
      </c>
      <c r="J131" s="2">
        <f t="shared" si="7"/>
        <v>24.3</v>
      </c>
      <c r="K131" s="6">
        <v>18</v>
      </c>
      <c r="L131" s="5">
        <f t="shared" si="8"/>
        <v>437.40000000000003</v>
      </c>
    </row>
    <row r="132" spans="1:12" hidden="1" x14ac:dyDescent="0.3">
      <c r="A132" s="7">
        <v>46023</v>
      </c>
      <c r="B132" s="8" t="s">
        <v>143</v>
      </c>
      <c r="C132" s="8" t="s">
        <v>47</v>
      </c>
      <c r="D132" t="str">
        <f>_xlfn.XLOOKUP(C132,Conversio!$B:$B,Conversio!$C:$C,"No trobat",0)</f>
        <v>CCR00004</v>
      </c>
      <c r="E132" t="str">
        <f>_xlfn.XLOOKUP(D132,Conversio!$C:$C,Conversio!$D:$D,"No trobat",0)</f>
        <v>RESTAURANT CAMP NOU</v>
      </c>
      <c r="F132" s="9" t="s">
        <v>34</v>
      </c>
      <c r="G132" t="str">
        <f>_xlfn.XLOOKUP(F132,Conversio!$B:$B,Conversio!$C:$C,"No trobat",0)</f>
        <v>CCR00003</v>
      </c>
      <c r="H132" t="str">
        <f>_xlfn.XLOOKUP(G132,Conversio!$C:$C,Conversio!$D:$D,"No trobat",0)</f>
        <v>RESTAURANT LA MASIA D'ESPLUGUES</v>
      </c>
      <c r="I132" s="10">
        <v>2880</v>
      </c>
      <c r="J132" s="2">
        <f t="shared" si="7"/>
        <v>48</v>
      </c>
      <c r="K132" s="6">
        <v>18</v>
      </c>
      <c r="L132" s="5">
        <f t="shared" si="8"/>
        <v>864</v>
      </c>
    </row>
    <row r="133" spans="1:12" hidden="1" x14ac:dyDescent="0.3">
      <c r="A133" s="7">
        <v>46023</v>
      </c>
      <c r="B133" s="8" t="s">
        <v>204</v>
      </c>
      <c r="C133" s="8" t="s">
        <v>56</v>
      </c>
      <c r="D133" t="str">
        <f>_xlfn.XLOOKUP(C133,Conversio!$B:$B,Conversio!$C:$C,"No trobat",0)</f>
        <v>CCR00001</v>
      </c>
      <c r="E133" t="str">
        <f>_xlfn.XLOOKUP(D133,Conversio!$C:$C,Conversio!$D:$D,"No trobat",0)</f>
        <v>RESTAURANT ORIGENS</v>
      </c>
      <c r="F133" s="9" t="s">
        <v>18</v>
      </c>
      <c r="G133" t="str">
        <f>_xlfn.XLOOKUP(F133,Conversio!$B:$B,Conversio!$C:$C,"No trobat",0)</f>
        <v>CCR00006</v>
      </c>
      <c r="H133" t="str">
        <f>_xlfn.XLOOKUP(G133,Conversio!$C:$C,Conversio!$D:$D,"No trobat",0)</f>
        <v>RESTAURANT MIRADOR DE LES CAVES</v>
      </c>
      <c r="I133" s="10">
        <v>300</v>
      </c>
      <c r="J133" s="2">
        <f t="shared" si="7"/>
        <v>5</v>
      </c>
      <c r="K133" s="6">
        <v>18</v>
      </c>
      <c r="L133" s="5">
        <f t="shared" si="8"/>
        <v>90</v>
      </c>
    </row>
    <row r="134" spans="1:12" hidden="1" x14ac:dyDescent="0.3">
      <c r="A134" s="7">
        <v>46023</v>
      </c>
      <c r="B134" s="8" t="s">
        <v>134</v>
      </c>
      <c r="C134" s="8" t="s">
        <v>40</v>
      </c>
      <c r="D134" t="str">
        <f>_xlfn.XLOOKUP(C134,Conversio!$B:$B,Conversio!$C:$C,"No trobat",0)</f>
        <v>CCR00001</v>
      </c>
      <c r="E134" t="str">
        <f>_xlfn.XLOOKUP(D134,Conversio!$C:$C,Conversio!$D:$D,"No trobat",0)</f>
        <v>RESTAURANT ORIGENS</v>
      </c>
      <c r="F134" s="9" t="s">
        <v>18</v>
      </c>
      <c r="G134" t="str">
        <f>_xlfn.XLOOKUP(F134,Conversio!$B:$B,Conversio!$C:$C,"No trobat",0)</f>
        <v>CCR00006</v>
      </c>
      <c r="H134" t="str">
        <f>_xlfn.XLOOKUP(G134,Conversio!$C:$C,Conversio!$D:$D,"No trobat",0)</f>
        <v>RESTAURANT MIRADOR DE LES CAVES</v>
      </c>
      <c r="I134" s="10">
        <v>511</v>
      </c>
      <c r="J134" s="2">
        <f t="shared" si="7"/>
        <v>8.5166666666666675</v>
      </c>
      <c r="K134" s="6">
        <v>18</v>
      </c>
      <c r="L134" s="5">
        <f t="shared" si="8"/>
        <v>153.30000000000001</v>
      </c>
    </row>
    <row r="135" spans="1:12" hidden="1" x14ac:dyDescent="0.3">
      <c r="A135" s="7">
        <v>46023</v>
      </c>
      <c r="B135" s="8" t="s">
        <v>46</v>
      </c>
      <c r="C135" s="8" t="s">
        <v>47</v>
      </c>
      <c r="D135" t="str">
        <f>_xlfn.XLOOKUP(C135,Conversio!$B:$B,Conversio!$C:$C,"No trobat",0)</f>
        <v>CCR00004</v>
      </c>
      <c r="E135" t="str">
        <f>_xlfn.XLOOKUP(D135,Conversio!$C:$C,Conversio!$D:$D,"No trobat",0)</f>
        <v>RESTAURANT CAMP NOU</v>
      </c>
      <c r="F135" s="9" t="s">
        <v>78</v>
      </c>
      <c r="G135" t="str">
        <f>_xlfn.XLOOKUP(F135,Conversio!$B:$B,Conversio!$C:$C,"No trobat",0)</f>
        <v>CCR00009</v>
      </c>
      <c r="H135" t="str">
        <f>_xlfn.XLOOKUP(G135,Conversio!$C:$C,Conversio!$D:$D,"No trobat",0)</f>
        <v>RESTAURANT VALKIRIA</v>
      </c>
      <c r="I135" s="10">
        <v>360</v>
      </c>
      <c r="J135" s="2">
        <f t="shared" si="7"/>
        <v>6</v>
      </c>
      <c r="K135" s="6">
        <v>18</v>
      </c>
      <c r="L135" s="5">
        <f t="shared" si="8"/>
        <v>108</v>
      </c>
    </row>
    <row r="136" spans="1:12" hidden="1" x14ac:dyDescent="0.3">
      <c r="A136" s="7">
        <v>46023</v>
      </c>
      <c r="B136" s="8" t="s">
        <v>55</v>
      </c>
      <c r="C136" s="8" t="s">
        <v>56</v>
      </c>
      <c r="D136" t="str">
        <f>_xlfn.XLOOKUP(C136,Conversio!$B:$B,Conversio!$C:$C,"No trobat",0)</f>
        <v>CCR00001</v>
      </c>
      <c r="E136" t="str">
        <f>_xlfn.XLOOKUP(D136,Conversio!$C:$C,Conversio!$D:$D,"No trobat",0)</f>
        <v>RESTAURANT ORIGENS</v>
      </c>
      <c r="F136" s="9" t="s">
        <v>18</v>
      </c>
      <c r="G136" t="str">
        <f>_xlfn.XLOOKUP(F136,Conversio!$B:$B,Conversio!$C:$C,"No trobat",0)</f>
        <v>CCR00006</v>
      </c>
      <c r="H136" t="str">
        <f>_xlfn.XLOOKUP(G136,Conversio!$C:$C,Conversio!$D:$D,"No trobat",0)</f>
        <v>RESTAURANT MIRADOR DE LES CAVES</v>
      </c>
      <c r="I136" s="10">
        <v>457</v>
      </c>
      <c r="J136" s="2">
        <f t="shared" si="7"/>
        <v>7.6166666666666663</v>
      </c>
      <c r="K136" s="6">
        <v>18</v>
      </c>
      <c r="L136" s="5">
        <f t="shared" si="8"/>
        <v>137.1</v>
      </c>
    </row>
    <row r="137" spans="1:12" hidden="1" x14ac:dyDescent="0.3">
      <c r="A137" s="7">
        <v>46023</v>
      </c>
      <c r="B137" s="8" t="s">
        <v>203</v>
      </c>
      <c r="C137" s="8" t="s">
        <v>192</v>
      </c>
      <c r="D137" t="str">
        <f>_xlfn.XLOOKUP(C137,Conversio!$B:$B,Conversio!$C:$C,"No trobat",0)</f>
        <v>CCR00009</v>
      </c>
      <c r="E137" t="str">
        <f>_xlfn.XLOOKUP(D137,Conversio!$C:$C,Conversio!$D:$D,"No trobat",0)</f>
        <v>RESTAURANT VALKIRIA</v>
      </c>
      <c r="F137" s="9" t="s">
        <v>45</v>
      </c>
      <c r="G137" t="str">
        <f>_xlfn.XLOOKUP(F137,Conversio!$B:$B,Conversio!$C:$C,"No trobat",0)</f>
        <v>CCR00011</v>
      </c>
      <c r="H137" t="str">
        <f>_xlfn.XLOOKUP(G137,Conversio!$C:$C,Conversio!$D:$D,"No trobat",0)</f>
        <v xml:space="preserve"> GREEN VITA</v>
      </c>
      <c r="I137" s="10">
        <v>2700</v>
      </c>
      <c r="J137" s="2">
        <f t="shared" si="7"/>
        <v>45</v>
      </c>
      <c r="K137" s="6">
        <v>18</v>
      </c>
      <c r="L137" s="5">
        <f t="shared" si="8"/>
        <v>810</v>
      </c>
    </row>
    <row r="138" spans="1:12" hidden="1" x14ac:dyDescent="0.3">
      <c r="A138" s="7">
        <v>46023</v>
      </c>
      <c r="B138" s="8" t="s">
        <v>108</v>
      </c>
      <c r="C138" s="8" t="s">
        <v>193</v>
      </c>
      <c r="D138" t="str">
        <f>_xlfn.XLOOKUP(C138,Conversio!$B:$B,Conversio!$C:$C,"No trobat",0)</f>
        <v>CCR00007</v>
      </c>
      <c r="E138" t="str">
        <f>_xlfn.XLOOKUP(D138,Conversio!$C:$C,Conversio!$D:$D,"No trobat",0)</f>
        <v>RESTAURANT JUNO HOUSE</v>
      </c>
      <c r="F138" s="9" t="s">
        <v>45</v>
      </c>
      <c r="G138" t="str">
        <f>_xlfn.XLOOKUP(F138,Conversio!$B:$B,Conversio!$C:$C,"No trobat",0)</f>
        <v>CCR00011</v>
      </c>
      <c r="H138" t="str">
        <f>_xlfn.XLOOKUP(G138,Conversio!$C:$C,Conversio!$D:$D,"No trobat",0)</f>
        <v xml:space="preserve"> GREEN VITA</v>
      </c>
      <c r="I138" s="10">
        <v>439</v>
      </c>
      <c r="J138" s="2">
        <f t="shared" si="7"/>
        <v>7.3166666666666664</v>
      </c>
      <c r="K138" s="6">
        <v>18</v>
      </c>
      <c r="L138" s="5">
        <f t="shared" si="8"/>
        <v>131.69999999999999</v>
      </c>
    </row>
    <row r="139" spans="1:12" hidden="1" x14ac:dyDescent="0.3">
      <c r="A139" s="7">
        <v>46023</v>
      </c>
      <c r="B139" s="8" t="s">
        <v>205</v>
      </c>
      <c r="C139" s="8" t="s">
        <v>206</v>
      </c>
      <c r="D139" t="str">
        <f>_xlfn.XLOOKUP(C139,Conversio!$B:$B,Conversio!$C:$C,"No trobat",0)</f>
        <v>No trobat</v>
      </c>
      <c r="E139" t="str">
        <f>_xlfn.XLOOKUP(D139,Conversio!$C:$C,Conversio!$D:$D,"No trobat",0)</f>
        <v>No trobat</v>
      </c>
      <c r="F139" s="9" t="s">
        <v>45</v>
      </c>
      <c r="G139" t="str">
        <f>_xlfn.XLOOKUP(F139,Conversio!$B:$B,Conversio!$C:$C,"No trobat",0)</f>
        <v>CCR00011</v>
      </c>
      <c r="H139" t="str">
        <f>_xlfn.XLOOKUP(G139,Conversio!$C:$C,Conversio!$D:$D,"No trobat",0)</f>
        <v xml:space="preserve"> GREEN VITA</v>
      </c>
      <c r="I139" s="10">
        <v>1935</v>
      </c>
      <c r="J139" s="2">
        <f t="shared" si="7"/>
        <v>32.25</v>
      </c>
      <c r="K139" s="6">
        <v>18</v>
      </c>
      <c r="L139" s="5">
        <f t="shared" si="8"/>
        <v>580.5</v>
      </c>
    </row>
    <row r="140" spans="1:12" hidden="1" x14ac:dyDescent="0.3">
      <c r="A140" s="7">
        <v>46023</v>
      </c>
      <c r="B140" s="8" t="s">
        <v>103</v>
      </c>
      <c r="C140" s="8" t="s">
        <v>207</v>
      </c>
      <c r="D140" t="str">
        <f>_xlfn.XLOOKUP(C140,Conversio!$B:$B,Conversio!$C:$C,"No trobat",0)</f>
        <v>No trobat</v>
      </c>
      <c r="E140" t="str">
        <f>_xlfn.XLOOKUP(D140,Conversio!$C:$C,Conversio!$D:$D,"No trobat",0)</f>
        <v>No trobat</v>
      </c>
      <c r="F140" s="9" t="s">
        <v>33</v>
      </c>
      <c r="G140" t="str">
        <f>_xlfn.XLOOKUP(F140,Conversio!$B:$B,Conversio!$C:$C,"No trobat",0)</f>
        <v>CCR00004</v>
      </c>
      <c r="H140" t="str">
        <f>_xlfn.XLOOKUP(G140,Conversio!$C:$C,Conversio!$D:$D,"No trobat",0)</f>
        <v>RESTAURANT CAMP NOU</v>
      </c>
      <c r="I140" s="10">
        <v>683</v>
      </c>
      <c r="J140" s="2">
        <f t="shared" si="7"/>
        <v>11.383333333333333</v>
      </c>
      <c r="K140" s="6">
        <v>18</v>
      </c>
      <c r="L140" s="5">
        <f t="shared" si="8"/>
        <v>204.89999999999998</v>
      </c>
    </row>
    <row r="141" spans="1:12" hidden="1" x14ac:dyDescent="0.3">
      <c r="A141" s="7">
        <v>46054</v>
      </c>
      <c r="B141" s="11" t="s">
        <v>103</v>
      </c>
      <c r="C141" s="11" t="s">
        <v>207</v>
      </c>
      <c r="D141" t="str">
        <f>_xlfn.XLOOKUP(C141,Conversio!$B:$B,Conversio!$C:$C,"No trobat",0)</f>
        <v>No trobat</v>
      </c>
      <c r="E141" t="str">
        <f>_xlfn.XLOOKUP(D141,Conversio!$C:$C,Conversio!$D:$D,"No trobat",0)</f>
        <v>No trobat</v>
      </c>
      <c r="F141" s="11" t="s">
        <v>33</v>
      </c>
      <c r="G141" t="str">
        <f>_xlfn.XLOOKUP(F141,Conversio!$B:$B,Conversio!$C:$C,"No trobat",0)</f>
        <v>CCR00004</v>
      </c>
      <c r="H141" t="str">
        <f>_xlfn.XLOOKUP(G141,Conversio!$C:$C,Conversio!$D:$D,"No trobat",0)</f>
        <v>RESTAURANT CAMP NOU</v>
      </c>
      <c r="I141" s="11">
        <v>792</v>
      </c>
      <c r="J141" s="2">
        <f t="shared" si="7"/>
        <v>13.2</v>
      </c>
      <c r="K141" s="6">
        <v>18</v>
      </c>
      <c r="L141" s="5">
        <f t="shared" si="8"/>
        <v>237.6</v>
      </c>
    </row>
    <row r="142" spans="1:12" hidden="1" x14ac:dyDescent="0.3">
      <c r="A142" s="7">
        <v>46054</v>
      </c>
      <c r="B142" s="11" t="s">
        <v>12</v>
      </c>
      <c r="C142" s="11" t="s">
        <v>13</v>
      </c>
      <c r="D142" t="str">
        <f>_xlfn.XLOOKUP(C142,Conversio!$B:$B,Conversio!$C:$C,"No trobat",0)</f>
        <v>CCC00007</v>
      </c>
      <c r="E142" t="str">
        <f>_xlfn.XLOOKUP(D142,Conversio!$C:$C,Conversio!$D:$D,"No trobat",0)</f>
        <v>CUINA CENTRAL</v>
      </c>
      <c r="F142" s="11" t="s">
        <v>24</v>
      </c>
      <c r="G142" t="str">
        <f>_xlfn.XLOOKUP(F142,Conversio!$B:$B,Conversio!$C:$C,"No trobat",0)</f>
        <v>CCE00000</v>
      </c>
      <c r="H142" t="str">
        <f>_xlfn.XLOOKUP(G142,Conversio!$C:$C,Conversio!$D:$D,"No trobat",0)</f>
        <v>ADMINISTRACIO EMPRESA</v>
      </c>
      <c r="I142" s="11">
        <v>1530</v>
      </c>
      <c r="J142" s="2">
        <f t="shared" si="7"/>
        <v>25.5</v>
      </c>
      <c r="K142" s="6">
        <v>18</v>
      </c>
      <c r="L142" s="5">
        <f t="shared" si="8"/>
        <v>459</v>
      </c>
    </row>
    <row r="143" spans="1:12" hidden="1" x14ac:dyDescent="0.3">
      <c r="A143" s="7">
        <v>46054</v>
      </c>
      <c r="B143" s="11" t="s">
        <v>25</v>
      </c>
      <c r="C143" s="11" t="s">
        <v>26</v>
      </c>
      <c r="D143" t="str">
        <f>_xlfn.XLOOKUP(C143,Conversio!$B:$B,Conversio!$C:$C,"No trobat",0)</f>
        <v>CCC00007</v>
      </c>
      <c r="E143" t="str">
        <f>_xlfn.XLOOKUP(D143,Conversio!$C:$C,Conversio!$D:$D,"No trobat",0)</f>
        <v>CUINA CENTRAL</v>
      </c>
      <c r="F143" s="11" t="s">
        <v>24</v>
      </c>
      <c r="G143" t="str">
        <f>_xlfn.XLOOKUP(F143,Conversio!$B:$B,Conversio!$C:$C,"No trobat",0)</f>
        <v>CCE00000</v>
      </c>
      <c r="H143" t="str">
        <f>_xlfn.XLOOKUP(G143,Conversio!$C:$C,Conversio!$D:$D,"No trobat",0)</f>
        <v>ADMINISTRACIO EMPRESA</v>
      </c>
      <c r="I143" s="11">
        <v>1121</v>
      </c>
      <c r="J143" s="2">
        <f t="shared" si="7"/>
        <v>18.683333333333334</v>
      </c>
      <c r="K143" s="6">
        <v>18</v>
      </c>
      <c r="L143" s="5">
        <f t="shared" si="8"/>
        <v>336.3</v>
      </c>
    </row>
    <row r="144" spans="1:12" hidden="1" x14ac:dyDescent="0.3">
      <c r="A144" s="7">
        <v>46054</v>
      </c>
      <c r="B144" s="11" t="s">
        <v>29</v>
      </c>
      <c r="C144" s="11" t="s">
        <v>30</v>
      </c>
      <c r="D144" t="str">
        <f>_xlfn.XLOOKUP(C144,Conversio!$B:$B,Conversio!$C:$C,"No trobat",0)</f>
        <v>CCC00007</v>
      </c>
      <c r="E144" t="str">
        <f>_xlfn.XLOOKUP(D144,Conversio!$C:$C,Conversio!$D:$D,"No trobat",0)</f>
        <v>CUINA CENTRAL</v>
      </c>
      <c r="F144" s="11" t="s">
        <v>24</v>
      </c>
      <c r="G144" t="str">
        <f>_xlfn.XLOOKUP(F144,Conversio!$B:$B,Conversio!$C:$C,"No trobat",0)</f>
        <v>CCE00000</v>
      </c>
      <c r="H144" t="str">
        <f>_xlfn.XLOOKUP(G144,Conversio!$C:$C,Conversio!$D:$D,"No trobat",0)</f>
        <v>ADMINISTRACIO EMPRESA</v>
      </c>
      <c r="I144" s="11">
        <v>13625</v>
      </c>
      <c r="J144" s="2">
        <f t="shared" si="7"/>
        <v>227.08333333333334</v>
      </c>
      <c r="K144" s="6">
        <v>18</v>
      </c>
      <c r="L144" s="5">
        <f t="shared" si="8"/>
        <v>4087.5</v>
      </c>
    </row>
    <row r="145" spans="1:12" hidden="1" x14ac:dyDescent="0.3">
      <c r="A145" s="7">
        <v>46054</v>
      </c>
      <c r="B145" s="11" t="s">
        <v>35</v>
      </c>
      <c r="C145" s="11" t="s">
        <v>26</v>
      </c>
      <c r="D145" t="str">
        <f>_xlfn.XLOOKUP(C145,Conversio!$B:$B,Conversio!$C:$C,"No trobat",0)</f>
        <v>CCC00007</v>
      </c>
      <c r="E145" t="str">
        <f>_xlfn.XLOOKUP(D145,Conversio!$C:$C,Conversio!$D:$D,"No trobat",0)</f>
        <v>CUINA CENTRAL</v>
      </c>
      <c r="F145" s="11" t="s">
        <v>24</v>
      </c>
      <c r="G145" t="str">
        <f>_xlfn.XLOOKUP(F145,Conversio!$B:$B,Conversio!$C:$C,"No trobat",0)</f>
        <v>CCE00000</v>
      </c>
      <c r="H145" t="str">
        <f>_xlfn.XLOOKUP(G145,Conversio!$C:$C,Conversio!$D:$D,"No trobat",0)</f>
        <v>ADMINISTRACIO EMPRESA</v>
      </c>
      <c r="I145" s="11">
        <v>3025</v>
      </c>
      <c r="J145" s="2">
        <f t="shared" si="7"/>
        <v>50.416666666666664</v>
      </c>
      <c r="K145" s="6">
        <v>18</v>
      </c>
      <c r="L145" s="5">
        <f t="shared" si="8"/>
        <v>907.5</v>
      </c>
    </row>
    <row r="146" spans="1:12" hidden="1" x14ac:dyDescent="0.3">
      <c r="A146" s="7">
        <v>46054</v>
      </c>
      <c r="B146" s="11" t="s">
        <v>36</v>
      </c>
      <c r="C146" s="11" t="s">
        <v>30</v>
      </c>
      <c r="D146" t="str">
        <f>_xlfn.XLOOKUP(C146,Conversio!$B:$B,Conversio!$C:$C,"No trobat",0)</f>
        <v>CCC00007</v>
      </c>
      <c r="E146" t="str">
        <f>_xlfn.XLOOKUP(D146,Conversio!$C:$C,Conversio!$D:$D,"No trobat",0)</f>
        <v>CUINA CENTRAL</v>
      </c>
      <c r="F146" s="11" t="s">
        <v>24</v>
      </c>
      <c r="G146" t="str">
        <f>_xlfn.XLOOKUP(F146,Conversio!$B:$B,Conversio!$C:$C,"No trobat",0)</f>
        <v>CCE00000</v>
      </c>
      <c r="H146" t="str">
        <f>_xlfn.XLOOKUP(G146,Conversio!$C:$C,Conversio!$D:$D,"No trobat",0)</f>
        <v>ADMINISTRACIO EMPRESA</v>
      </c>
      <c r="I146" s="11">
        <v>8803</v>
      </c>
      <c r="J146" s="2">
        <f t="shared" si="7"/>
        <v>146.71666666666667</v>
      </c>
      <c r="K146" s="6">
        <v>18</v>
      </c>
      <c r="L146" s="5">
        <f t="shared" si="8"/>
        <v>2640.9</v>
      </c>
    </row>
    <row r="147" spans="1:12" hidden="1" x14ac:dyDescent="0.3">
      <c r="A147" s="7">
        <v>46054</v>
      </c>
      <c r="B147" s="11" t="s">
        <v>202</v>
      </c>
      <c r="C147" s="11" t="s">
        <v>190</v>
      </c>
      <c r="D147" t="str">
        <f>_xlfn.XLOOKUP(C147,Conversio!$B:$B,Conversio!$C:$C,"No trobat",0)</f>
        <v>CCR00001</v>
      </c>
      <c r="E147" t="str">
        <f>_xlfn.XLOOKUP(D147,Conversio!$C:$C,Conversio!$D:$D,"No trobat",0)</f>
        <v>RESTAURANT ORIGENS</v>
      </c>
      <c r="F147" s="11" t="s">
        <v>24</v>
      </c>
      <c r="G147" t="str">
        <f>_xlfn.XLOOKUP(F147,Conversio!$B:$B,Conversio!$C:$C,"No trobat",0)</f>
        <v>CCE00000</v>
      </c>
      <c r="H147" t="str">
        <f>_xlfn.XLOOKUP(G147,Conversio!$C:$C,Conversio!$D:$D,"No trobat",0)</f>
        <v>ADMINISTRACIO EMPRESA</v>
      </c>
      <c r="I147" s="11">
        <v>2593</v>
      </c>
      <c r="J147" s="2">
        <f t="shared" si="7"/>
        <v>43.216666666666669</v>
      </c>
      <c r="K147" s="6">
        <v>18</v>
      </c>
      <c r="L147" s="5">
        <f t="shared" si="8"/>
        <v>777.90000000000009</v>
      </c>
    </row>
    <row r="148" spans="1:12" hidden="1" x14ac:dyDescent="0.3">
      <c r="A148" s="7">
        <v>46054</v>
      </c>
      <c r="B148" s="11" t="s">
        <v>37</v>
      </c>
      <c r="C148" s="11" t="s">
        <v>26</v>
      </c>
      <c r="D148" t="str">
        <f>_xlfn.XLOOKUP(C148,Conversio!$B:$B,Conversio!$C:$C,"No trobat",0)</f>
        <v>CCC00007</v>
      </c>
      <c r="E148" t="str">
        <f>_xlfn.XLOOKUP(D148,Conversio!$C:$C,Conversio!$D:$D,"No trobat",0)</f>
        <v>CUINA CENTRAL</v>
      </c>
      <c r="F148" s="11" t="s">
        <v>24</v>
      </c>
      <c r="G148" t="str">
        <f>_xlfn.XLOOKUP(F148,Conversio!$B:$B,Conversio!$C:$C,"No trobat",0)</f>
        <v>CCE00000</v>
      </c>
      <c r="H148" t="str">
        <f>_xlfn.XLOOKUP(G148,Conversio!$C:$C,Conversio!$D:$D,"No trobat",0)</f>
        <v>ADMINISTRACIO EMPRESA</v>
      </c>
      <c r="I148" s="11">
        <v>1710</v>
      </c>
      <c r="J148" s="2">
        <f t="shared" si="7"/>
        <v>28.5</v>
      </c>
      <c r="K148" s="6">
        <v>18</v>
      </c>
      <c r="L148" s="5">
        <f t="shared" si="8"/>
        <v>513</v>
      </c>
    </row>
    <row r="149" spans="1:12" hidden="1" x14ac:dyDescent="0.3">
      <c r="A149" s="7">
        <v>46054</v>
      </c>
      <c r="B149" s="11" t="s">
        <v>39</v>
      </c>
      <c r="C149" s="11" t="s">
        <v>40</v>
      </c>
      <c r="D149" t="str">
        <f>_xlfn.XLOOKUP(C149,Conversio!$B:$B,Conversio!$C:$C,"No trobat",0)</f>
        <v>CCR00001</v>
      </c>
      <c r="E149" t="str">
        <f>_xlfn.XLOOKUP(D149,Conversio!$C:$C,Conversio!$D:$D,"No trobat",0)</f>
        <v>RESTAURANT ORIGENS</v>
      </c>
      <c r="F149" s="11" t="s">
        <v>24</v>
      </c>
      <c r="G149" t="str">
        <f>_xlfn.XLOOKUP(F149,Conversio!$B:$B,Conversio!$C:$C,"No trobat",0)</f>
        <v>CCE00000</v>
      </c>
      <c r="H149" t="str">
        <f>_xlfn.XLOOKUP(G149,Conversio!$C:$C,Conversio!$D:$D,"No trobat",0)</f>
        <v>ADMINISTRACIO EMPRESA</v>
      </c>
      <c r="I149" s="11">
        <v>1541</v>
      </c>
      <c r="J149" s="2">
        <f t="shared" si="7"/>
        <v>25.683333333333334</v>
      </c>
      <c r="K149" s="6">
        <v>18</v>
      </c>
      <c r="L149" s="5">
        <f t="shared" si="8"/>
        <v>462.3</v>
      </c>
    </row>
    <row r="150" spans="1:12" hidden="1" x14ac:dyDescent="0.3">
      <c r="A150" s="7">
        <v>46054</v>
      </c>
      <c r="B150" s="11" t="s">
        <v>46</v>
      </c>
      <c r="C150" s="11" t="s">
        <v>47</v>
      </c>
      <c r="D150" t="str">
        <f>_xlfn.XLOOKUP(C150,Conversio!$B:$B,Conversio!$C:$C,"No trobat",0)</f>
        <v>CCR00004</v>
      </c>
      <c r="E150" t="str">
        <f>_xlfn.XLOOKUP(D150,Conversio!$C:$C,Conversio!$D:$D,"No trobat",0)</f>
        <v>RESTAURANT CAMP NOU</v>
      </c>
      <c r="F150" s="11" t="s">
        <v>24</v>
      </c>
      <c r="G150" t="str">
        <f>_xlfn.XLOOKUP(F150,Conversio!$B:$B,Conversio!$C:$C,"No trobat",0)</f>
        <v>CCE00000</v>
      </c>
      <c r="H150" t="str">
        <f>_xlfn.XLOOKUP(G150,Conversio!$C:$C,Conversio!$D:$D,"No trobat",0)</f>
        <v>ADMINISTRACIO EMPRESA</v>
      </c>
      <c r="I150" s="11">
        <v>390</v>
      </c>
      <c r="J150" s="2">
        <f t="shared" ref="J150:J180" si="9">I150/60</f>
        <v>6.5</v>
      </c>
      <c r="K150" s="6">
        <v>18</v>
      </c>
      <c r="L150" s="5">
        <f t="shared" si="8"/>
        <v>117</v>
      </c>
    </row>
    <row r="151" spans="1:12" hidden="1" x14ac:dyDescent="0.3">
      <c r="A151" s="7">
        <v>46054</v>
      </c>
      <c r="B151" s="11" t="s">
        <v>208</v>
      </c>
      <c r="C151" s="11" t="s">
        <v>209</v>
      </c>
      <c r="D151" t="str">
        <f>_xlfn.XLOOKUP(C151,Conversio!$B:$B,Conversio!$C:$C,"No trobat",0)</f>
        <v>No trobat</v>
      </c>
      <c r="E151" t="str">
        <f>_xlfn.XLOOKUP(D151,Conversio!$C:$C,Conversio!$D:$D,"No trobat",0)</f>
        <v>No trobat</v>
      </c>
      <c r="F151" s="11" t="s">
        <v>24</v>
      </c>
      <c r="G151" t="str">
        <f>_xlfn.XLOOKUP(F151,Conversio!$B:$B,Conversio!$C:$C,"No trobat",0)</f>
        <v>CCE00000</v>
      </c>
      <c r="H151" t="str">
        <f>_xlfn.XLOOKUP(G151,Conversio!$C:$C,Conversio!$D:$D,"No trobat",0)</f>
        <v>ADMINISTRACIO EMPRESA</v>
      </c>
      <c r="I151" s="11">
        <v>585</v>
      </c>
      <c r="J151" s="2">
        <f t="shared" si="9"/>
        <v>9.75</v>
      </c>
      <c r="K151" s="6">
        <v>18</v>
      </c>
      <c r="L151" s="5">
        <f t="shared" si="8"/>
        <v>175.5</v>
      </c>
    </row>
    <row r="152" spans="1:12" hidden="1" x14ac:dyDescent="0.3">
      <c r="A152" s="7">
        <v>46054</v>
      </c>
      <c r="B152" s="11" t="s">
        <v>57</v>
      </c>
      <c r="C152" s="11" t="s">
        <v>30</v>
      </c>
      <c r="D152" t="str">
        <f>_xlfn.XLOOKUP(C152,Conversio!$B:$B,Conversio!$C:$C,"No trobat",0)</f>
        <v>CCC00007</v>
      </c>
      <c r="E152" t="str">
        <f>_xlfn.XLOOKUP(D152,Conversio!$C:$C,Conversio!$D:$D,"No trobat",0)</f>
        <v>CUINA CENTRAL</v>
      </c>
      <c r="F152" s="11" t="s">
        <v>24</v>
      </c>
      <c r="G152" t="str">
        <f>_xlfn.XLOOKUP(F152,Conversio!$B:$B,Conversio!$C:$C,"No trobat",0)</f>
        <v>CCE00000</v>
      </c>
      <c r="H152" t="str">
        <f>_xlfn.XLOOKUP(G152,Conversio!$C:$C,Conversio!$D:$D,"No trobat",0)</f>
        <v>ADMINISTRACIO EMPRESA</v>
      </c>
      <c r="I152" s="11">
        <v>4527</v>
      </c>
      <c r="J152" s="2">
        <f t="shared" si="9"/>
        <v>75.45</v>
      </c>
      <c r="K152" s="6">
        <v>18</v>
      </c>
      <c r="L152" s="5">
        <f t="shared" si="8"/>
        <v>1358.1000000000001</v>
      </c>
    </row>
    <row r="153" spans="1:12" hidden="1" x14ac:dyDescent="0.3">
      <c r="A153" s="7">
        <v>46054</v>
      </c>
      <c r="B153" s="11" t="s">
        <v>66</v>
      </c>
      <c r="C153" s="11" t="s">
        <v>26</v>
      </c>
      <c r="D153" t="str">
        <f>_xlfn.XLOOKUP(C153,Conversio!$B:$B,Conversio!$C:$C,"No trobat",0)</f>
        <v>CCC00007</v>
      </c>
      <c r="E153" t="str">
        <f>_xlfn.XLOOKUP(D153,Conversio!$C:$C,Conversio!$D:$D,"No trobat",0)</f>
        <v>CUINA CENTRAL</v>
      </c>
      <c r="F153" s="11" t="s">
        <v>24</v>
      </c>
      <c r="G153" t="str">
        <f>_xlfn.XLOOKUP(F153,Conversio!$B:$B,Conversio!$C:$C,"No trobat",0)</f>
        <v>CCE00000</v>
      </c>
      <c r="H153" t="str">
        <f>_xlfn.XLOOKUP(G153,Conversio!$C:$C,Conversio!$D:$D,"No trobat",0)</f>
        <v>ADMINISTRACIO EMPRESA</v>
      </c>
      <c r="I153" s="11">
        <v>1828</v>
      </c>
      <c r="J153" s="2">
        <f t="shared" si="9"/>
        <v>30.466666666666665</v>
      </c>
      <c r="K153" s="6">
        <v>18</v>
      </c>
      <c r="L153" s="5">
        <f t="shared" si="8"/>
        <v>548.4</v>
      </c>
    </row>
    <row r="154" spans="1:12" hidden="1" x14ac:dyDescent="0.3">
      <c r="A154" s="7">
        <v>46054</v>
      </c>
      <c r="B154" s="11" t="s">
        <v>67</v>
      </c>
      <c r="C154" s="11" t="s">
        <v>30</v>
      </c>
      <c r="D154" t="str">
        <f>_xlfn.XLOOKUP(C154,Conversio!$B:$B,Conversio!$C:$C,"No trobat",0)</f>
        <v>CCC00007</v>
      </c>
      <c r="E154" t="str">
        <f>_xlfn.XLOOKUP(D154,Conversio!$C:$C,Conversio!$D:$D,"No trobat",0)</f>
        <v>CUINA CENTRAL</v>
      </c>
      <c r="F154" s="11" t="s">
        <v>24</v>
      </c>
      <c r="G154" t="str">
        <f>_xlfn.XLOOKUP(F154,Conversio!$B:$B,Conversio!$C:$C,"No trobat",0)</f>
        <v>CCE00000</v>
      </c>
      <c r="H154" t="str">
        <f>_xlfn.XLOOKUP(G154,Conversio!$C:$C,Conversio!$D:$D,"No trobat",0)</f>
        <v>ADMINISTRACIO EMPRESA</v>
      </c>
      <c r="I154" s="11">
        <v>7984</v>
      </c>
      <c r="J154" s="2">
        <f t="shared" si="9"/>
        <v>133.06666666666666</v>
      </c>
      <c r="K154" s="6">
        <v>18</v>
      </c>
      <c r="L154" s="5">
        <f t="shared" si="8"/>
        <v>2395.1999999999998</v>
      </c>
    </row>
    <row r="155" spans="1:12" hidden="1" x14ac:dyDescent="0.3">
      <c r="A155" s="7">
        <v>46054</v>
      </c>
      <c r="B155" s="11" t="s">
        <v>71</v>
      </c>
      <c r="C155" s="11" t="s">
        <v>30</v>
      </c>
      <c r="D155" t="str">
        <f>_xlfn.XLOOKUP(C155,Conversio!$B:$B,Conversio!$C:$C,"No trobat",0)</f>
        <v>CCC00007</v>
      </c>
      <c r="E155" t="str">
        <f>_xlfn.XLOOKUP(D155,Conversio!$C:$C,Conversio!$D:$D,"No trobat",0)</f>
        <v>CUINA CENTRAL</v>
      </c>
      <c r="F155" s="11" t="s">
        <v>24</v>
      </c>
      <c r="G155" t="str">
        <f>_xlfn.XLOOKUP(F155,Conversio!$B:$B,Conversio!$C:$C,"No trobat",0)</f>
        <v>CCE00000</v>
      </c>
      <c r="H155" t="str">
        <f>_xlfn.XLOOKUP(G155,Conversio!$C:$C,Conversio!$D:$D,"No trobat",0)</f>
        <v>ADMINISTRACIO EMPRESA</v>
      </c>
      <c r="I155" s="11">
        <v>10589</v>
      </c>
      <c r="J155" s="2">
        <f t="shared" si="9"/>
        <v>176.48333333333332</v>
      </c>
      <c r="K155" s="6">
        <v>18</v>
      </c>
      <c r="L155" s="5">
        <f t="shared" si="8"/>
        <v>3176.7</v>
      </c>
    </row>
    <row r="156" spans="1:12" hidden="1" x14ac:dyDescent="0.3">
      <c r="A156" s="7">
        <v>46054</v>
      </c>
      <c r="B156" s="11" t="s">
        <v>72</v>
      </c>
      <c r="C156" s="11" t="s">
        <v>73</v>
      </c>
      <c r="D156" t="str">
        <f>_xlfn.XLOOKUP(C156,Conversio!$B:$B,Conversio!$C:$C,"No trobat",0)</f>
        <v>CCC00007</v>
      </c>
      <c r="E156" t="str">
        <f>_xlfn.XLOOKUP(D156,Conversio!$C:$C,Conversio!$D:$D,"No trobat",0)</f>
        <v>CUINA CENTRAL</v>
      </c>
      <c r="F156" s="11" t="s">
        <v>24</v>
      </c>
      <c r="G156" t="str">
        <f>_xlfn.XLOOKUP(F156,Conversio!$B:$B,Conversio!$C:$C,"No trobat",0)</f>
        <v>CCE00000</v>
      </c>
      <c r="H156" t="str">
        <f>_xlfn.XLOOKUP(G156,Conversio!$C:$C,Conversio!$D:$D,"No trobat",0)</f>
        <v>ADMINISTRACIO EMPRESA</v>
      </c>
      <c r="I156" s="11">
        <v>542</v>
      </c>
      <c r="J156" s="2">
        <f t="shared" si="9"/>
        <v>9.0333333333333332</v>
      </c>
      <c r="K156" s="6">
        <v>18</v>
      </c>
      <c r="L156" s="5">
        <f t="shared" si="8"/>
        <v>162.6</v>
      </c>
    </row>
    <row r="157" spans="1:12" hidden="1" x14ac:dyDescent="0.3">
      <c r="A157" s="7">
        <v>46054</v>
      </c>
      <c r="B157" s="11" t="s">
        <v>87</v>
      </c>
      <c r="C157" s="11" t="s">
        <v>26</v>
      </c>
      <c r="D157" t="str">
        <f>_xlfn.XLOOKUP(C157,Conversio!$B:$B,Conversio!$C:$C,"No trobat",0)</f>
        <v>CCC00007</v>
      </c>
      <c r="E157" t="str">
        <f>_xlfn.XLOOKUP(D157,Conversio!$C:$C,Conversio!$D:$D,"No trobat",0)</f>
        <v>CUINA CENTRAL</v>
      </c>
      <c r="F157" s="11" t="s">
        <v>24</v>
      </c>
      <c r="G157" t="str">
        <f>_xlfn.XLOOKUP(F157,Conversio!$B:$B,Conversio!$C:$C,"No trobat",0)</f>
        <v>CCE00000</v>
      </c>
      <c r="H157" t="str">
        <f>_xlfn.XLOOKUP(G157,Conversio!$C:$C,Conversio!$D:$D,"No trobat",0)</f>
        <v>ADMINISTRACIO EMPRESA</v>
      </c>
      <c r="I157" s="11">
        <v>2278</v>
      </c>
      <c r="J157" s="2">
        <f t="shared" si="9"/>
        <v>37.966666666666669</v>
      </c>
      <c r="K157" s="6">
        <v>18</v>
      </c>
      <c r="L157" s="5">
        <f t="shared" si="8"/>
        <v>683.40000000000009</v>
      </c>
    </row>
    <row r="158" spans="1:12" hidden="1" x14ac:dyDescent="0.3">
      <c r="A158" s="7">
        <v>46054</v>
      </c>
      <c r="B158" s="11" t="s">
        <v>210</v>
      </c>
      <c r="C158" s="11" t="s">
        <v>28</v>
      </c>
      <c r="D158" t="str">
        <f>_xlfn.XLOOKUP(C158,Conversio!$B:$B,Conversio!$C:$C,"No trobat",0)</f>
        <v>CCP00014</v>
      </c>
      <c r="E158" t="str">
        <f>_xlfn.XLOOKUP(D158,Conversio!$C:$C,Conversio!$D:$D,"No trobat",0)</f>
        <v>CENTRE PRODUCCIO</v>
      </c>
      <c r="F158" s="11" t="s">
        <v>24</v>
      </c>
      <c r="G158" t="str">
        <f>_xlfn.XLOOKUP(F158,Conversio!$B:$B,Conversio!$C:$C,"No trobat",0)</f>
        <v>CCE00000</v>
      </c>
      <c r="H158" t="str">
        <f>_xlfn.XLOOKUP(G158,Conversio!$C:$C,Conversio!$D:$D,"No trobat",0)</f>
        <v>ADMINISTRACIO EMPRESA</v>
      </c>
      <c r="I158" s="11">
        <v>480</v>
      </c>
      <c r="J158" s="2">
        <f t="shared" si="9"/>
        <v>8</v>
      </c>
      <c r="K158" s="6">
        <v>18</v>
      </c>
      <c r="L158" s="5">
        <f t="shared" si="8"/>
        <v>144</v>
      </c>
    </row>
    <row r="159" spans="1:12" hidden="1" x14ac:dyDescent="0.3">
      <c r="A159" s="7">
        <v>46054</v>
      </c>
      <c r="B159" s="11" t="s">
        <v>88</v>
      </c>
      <c r="C159" s="11" t="s">
        <v>30</v>
      </c>
      <c r="D159" t="str">
        <f>_xlfn.XLOOKUP(C159,Conversio!$B:$B,Conversio!$C:$C,"No trobat",0)</f>
        <v>CCC00007</v>
      </c>
      <c r="E159" t="str">
        <f>_xlfn.XLOOKUP(D159,Conversio!$C:$C,Conversio!$D:$D,"No trobat",0)</f>
        <v>CUINA CENTRAL</v>
      </c>
      <c r="F159" s="11" t="s">
        <v>24</v>
      </c>
      <c r="G159" t="str">
        <f>_xlfn.XLOOKUP(F159,Conversio!$B:$B,Conversio!$C:$C,"No trobat",0)</f>
        <v>CCE00000</v>
      </c>
      <c r="H159" t="str">
        <f>_xlfn.XLOOKUP(G159,Conversio!$C:$C,Conversio!$D:$D,"No trobat",0)</f>
        <v>ADMINISTRACIO EMPRESA</v>
      </c>
      <c r="I159" s="11">
        <v>7765</v>
      </c>
      <c r="J159" s="2">
        <f t="shared" si="9"/>
        <v>129.41666666666666</v>
      </c>
      <c r="K159" s="6">
        <v>18</v>
      </c>
      <c r="L159" s="5">
        <f t="shared" si="8"/>
        <v>2329.5</v>
      </c>
    </row>
    <row r="160" spans="1:12" hidden="1" x14ac:dyDescent="0.3">
      <c r="A160" s="7">
        <v>46054</v>
      </c>
      <c r="B160" s="11" t="s">
        <v>95</v>
      </c>
      <c r="C160" s="11" t="s">
        <v>30</v>
      </c>
      <c r="D160" t="str">
        <f>_xlfn.XLOOKUP(C160,Conversio!$B:$B,Conversio!$C:$C,"No trobat",0)</f>
        <v>CCC00007</v>
      </c>
      <c r="E160" t="str">
        <f>_xlfn.XLOOKUP(D160,Conversio!$C:$C,Conversio!$D:$D,"No trobat",0)</f>
        <v>CUINA CENTRAL</v>
      </c>
      <c r="F160" s="11" t="s">
        <v>24</v>
      </c>
      <c r="G160" t="str">
        <f>_xlfn.XLOOKUP(F160,Conversio!$B:$B,Conversio!$C:$C,"No trobat",0)</f>
        <v>CCE00000</v>
      </c>
      <c r="H160" t="str">
        <f>_xlfn.XLOOKUP(G160,Conversio!$C:$C,Conversio!$D:$D,"No trobat",0)</f>
        <v>ADMINISTRACIO EMPRESA</v>
      </c>
      <c r="I160" s="11">
        <v>10522</v>
      </c>
      <c r="J160" s="2">
        <f t="shared" si="9"/>
        <v>175.36666666666667</v>
      </c>
      <c r="K160" s="6">
        <v>18</v>
      </c>
      <c r="L160" s="5">
        <f t="shared" si="8"/>
        <v>3156.6000000000004</v>
      </c>
    </row>
    <row r="161" spans="1:12" hidden="1" x14ac:dyDescent="0.3">
      <c r="A161" s="7">
        <v>46054</v>
      </c>
      <c r="B161" s="11" t="s">
        <v>211</v>
      </c>
      <c r="C161" s="11" t="s">
        <v>40</v>
      </c>
      <c r="D161" t="str">
        <f>_xlfn.XLOOKUP(C161,Conversio!$B:$B,Conversio!$C:$C,"No trobat",0)</f>
        <v>CCR00001</v>
      </c>
      <c r="E161" t="str">
        <f>_xlfn.XLOOKUP(D161,Conversio!$C:$C,Conversio!$D:$D,"No trobat",0)</f>
        <v>RESTAURANT ORIGENS</v>
      </c>
      <c r="F161" s="11" t="s">
        <v>24</v>
      </c>
      <c r="G161" t="str">
        <f>_xlfn.XLOOKUP(F161,Conversio!$B:$B,Conversio!$C:$C,"No trobat",0)</f>
        <v>CCE00000</v>
      </c>
      <c r="H161" t="str">
        <f>_xlfn.XLOOKUP(G161,Conversio!$C:$C,Conversio!$D:$D,"No trobat",0)</f>
        <v>ADMINISTRACIO EMPRESA</v>
      </c>
      <c r="I161" s="11">
        <v>390</v>
      </c>
      <c r="J161" s="2">
        <f t="shared" si="9"/>
        <v>6.5</v>
      </c>
      <c r="K161" s="6">
        <v>18</v>
      </c>
      <c r="L161" s="5">
        <f t="shared" si="8"/>
        <v>117</v>
      </c>
    </row>
    <row r="162" spans="1:12" hidden="1" x14ac:dyDescent="0.3">
      <c r="A162" s="7">
        <v>46054</v>
      </c>
      <c r="B162" s="11" t="s">
        <v>96</v>
      </c>
      <c r="C162" s="11" t="s">
        <v>30</v>
      </c>
      <c r="D162" t="str">
        <f>_xlfn.XLOOKUP(C162,Conversio!$B:$B,Conversio!$C:$C,"No trobat",0)</f>
        <v>CCC00007</v>
      </c>
      <c r="E162" t="str">
        <f>_xlfn.XLOOKUP(D162,Conversio!$C:$C,Conversio!$D:$D,"No trobat",0)</f>
        <v>CUINA CENTRAL</v>
      </c>
      <c r="F162" s="11" t="s">
        <v>24</v>
      </c>
      <c r="G162" t="str">
        <f>_xlfn.XLOOKUP(F162,Conversio!$B:$B,Conversio!$C:$C,"No trobat",0)</f>
        <v>CCE00000</v>
      </c>
      <c r="H162" t="str">
        <f>_xlfn.XLOOKUP(G162,Conversio!$C:$C,Conversio!$D:$D,"No trobat",0)</f>
        <v>ADMINISTRACIO EMPRESA</v>
      </c>
      <c r="I162" s="11">
        <v>5469</v>
      </c>
      <c r="J162" s="2">
        <f t="shared" si="9"/>
        <v>91.15</v>
      </c>
      <c r="K162" s="6">
        <v>18</v>
      </c>
      <c r="L162" s="5">
        <f t="shared" si="8"/>
        <v>1640.7</v>
      </c>
    </row>
    <row r="163" spans="1:12" hidden="1" x14ac:dyDescent="0.3">
      <c r="A163" s="7">
        <v>46054</v>
      </c>
      <c r="B163" s="11" t="s">
        <v>97</v>
      </c>
      <c r="C163" s="11" t="s">
        <v>50</v>
      </c>
      <c r="D163" t="str">
        <f>_xlfn.XLOOKUP(C163,Conversio!$B:$B,Conversio!$C:$C,"No trobat",0)</f>
        <v>CCC00007</v>
      </c>
      <c r="E163" t="str">
        <f>_xlfn.XLOOKUP(D163,Conversio!$C:$C,Conversio!$D:$D,"No trobat",0)</f>
        <v>CUINA CENTRAL</v>
      </c>
      <c r="F163" s="11" t="s">
        <v>24</v>
      </c>
      <c r="G163" t="str">
        <f>_xlfn.XLOOKUP(F163,Conversio!$B:$B,Conversio!$C:$C,"No trobat",0)</f>
        <v>CCE00000</v>
      </c>
      <c r="H163" t="str">
        <f>_xlfn.XLOOKUP(G163,Conversio!$C:$C,Conversio!$D:$D,"No trobat",0)</f>
        <v>ADMINISTRACIO EMPRESA</v>
      </c>
      <c r="I163" s="11">
        <v>9891</v>
      </c>
      <c r="J163" s="2">
        <f t="shared" si="9"/>
        <v>164.85</v>
      </c>
      <c r="K163" s="6">
        <v>18</v>
      </c>
      <c r="L163" s="5">
        <f t="shared" si="8"/>
        <v>2967.2999999999997</v>
      </c>
    </row>
    <row r="164" spans="1:12" hidden="1" x14ac:dyDescent="0.3">
      <c r="A164" s="7">
        <v>46054</v>
      </c>
      <c r="B164" s="11" t="s">
        <v>107</v>
      </c>
      <c r="C164" s="11" t="s">
        <v>26</v>
      </c>
      <c r="D164" t="str">
        <f>_xlfn.XLOOKUP(C164,Conversio!$B:$B,Conversio!$C:$C,"No trobat",0)</f>
        <v>CCC00007</v>
      </c>
      <c r="E164" t="str">
        <f>_xlfn.XLOOKUP(D164,Conversio!$C:$C,Conversio!$D:$D,"No trobat",0)</f>
        <v>CUINA CENTRAL</v>
      </c>
      <c r="F164" s="11" t="s">
        <v>24</v>
      </c>
      <c r="G164" t="str">
        <f>_xlfn.XLOOKUP(F164,Conversio!$B:$B,Conversio!$C:$C,"No trobat",0)</f>
        <v>CCE00000</v>
      </c>
      <c r="H164" t="str">
        <f>_xlfn.XLOOKUP(G164,Conversio!$C:$C,Conversio!$D:$D,"No trobat",0)</f>
        <v>ADMINISTRACIO EMPRESA</v>
      </c>
      <c r="I164" s="11">
        <v>3602</v>
      </c>
      <c r="J164" s="2">
        <f t="shared" si="9"/>
        <v>60.033333333333331</v>
      </c>
      <c r="K164" s="6">
        <v>18</v>
      </c>
      <c r="L164" s="5">
        <f t="shared" si="8"/>
        <v>1080.5999999999999</v>
      </c>
    </row>
    <row r="165" spans="1:12" hidden="1" x14ac:dyDescent="0.3">
      <c r="A165" s="7">
        <v>46054</v>
      </c>
      <c r="B165" s="11" t="s">
        <v>117</v>
      </c>
      <c r="C165" s="11" t="s">
        <v>118</v>
      </c>
      <c r="D165" t="str">
        <f>_xlfn.XLOOKUP(C165,Conversio!$B:$B,Conversio!$C:$C,"No trobat",0)</f>
        <v>CCR00009</v>
      </c>
      <c r="E165" t="str">
        <f>_xlfn.XLOOKUP(D165,Conversio!$C:$C,Conversio!$D:$D,"No trobat",0)</f>
        <v>RESTAURANT VALKIRIA</v>
      </c>
      <c r="F165" s="11" t="s">
        <v>24</v>
      </c>
      <c r="G165" t="str">
        <f>_xlfn.XLOOKUP(F165,Conversio!$B:$B,Conversio!$C:$C,"No trobat",0)</f>
        <v>CCE00000</v>
      </c>
      <c r="H165" t="str">
        <f>_xlfn.XLOOKUP(G165,Conversio!$C:$C,Conversio!$D:$D,"No trobat",0)</f>
        <v>ADMINISTRACIO EMPRESA</v>
      </c>
      <c r="I165" s="11">
        <v>225</v>
      </c>
      <c r="J165" s="2">
        <f t="shared" si="9"/>
        <v>3.75</v>
      </c>
      <c r="K165" s="6">
        <v>18</v>
      </c>
      <c r="L165" s="5">
        <f t="shared" si="8"/>
        <v>67.5</v>
      </c>
    </row>
    <row r="166" spans="1:12" hidden="1" x14ac:dyDescent="0.3">
      <c r="A166" s="7">
        <v>46054</v>
      </c>
      <c r="B166" s="11" t="s">
        <v>120</v>
      </c>
      <c r="C166" s="11" t="s">
        <v>121</v>
      </c>
      <c r="D166" t="str">
        <f>_xlfn.XLOOKUP(C166,Conversio!$B:$B,Conversio!$C:$C,"No trobat",0)</f>
        <v>CCR00008</v>
      </c>
      <c r="E166" t="str">
        <f>_xlfn.XLOOKUP(D166,Conversio!$C:$C,Conversio!$D:$D,"No trobat",0)</f>
        <v>RESTAURANT FONT  DE LA CANYA</v>
      </c>
      <c r="F166" s="11" t="s">
        <v>24</v>
      </c>
      <c r="G166" t="str">
        <f>_xlfn.XLOOKUP(F166,Conversio!$B:$B,Conversio!$C:$C,"No trobat",0)</f>
        <v>CCE00000</v>
      </c>
      <c r="H166" t="str">
        <f>_xlfn.XLOOKUP(G166,Conversio!$C:$C,Conversio!$D:$D,"No trobat",0)</f>
        <v>ADMINISTRACIO EMPRESA</v>
      </c>
      <c r="I166" s="11">
        <v>1680</v>
      </c>
      <c r="J166" s="2">
        <f t="shared" si="9"/>
        <v>28</v>
      </c>
      <c r="K166" s="6">
        <v>18</v>
      </c>
      <c r="L166" s="5">
        <f t="shared" si="8"/>
        <v>504</v>
      </c>
    </row>
    <row r="167" spans="1:12" hidden="1" x14ac:dyDescent="0.3">
      <c r="A167" s="7">
        <v>46054</v>
      </c>
      <c r="B167" s="11" t="s">
        <v>124</v>
      </c>
      <c r="C167" s="11" t="s">
        <v>26</v>
      </c>
      <c r="D167" t="str">
        <f>_xlfn.XLOOKUP(C167,Conversio!$B:$B,Conversio!$C:$C,"No trobat",0)</f>
        <v>CCC00007</v>
      </c>
      <c r="E167" t="str">
        <f>_xlfn.XLOOKUP(D167,Conversio!$C:$C,Conversio!$D:$D,"No trobat",0)</f>
        <v>CUINA CENTRAL</v>
      </c>
      <c r="F167" s="11" t="s">
        <v>24</v>
      </c>
      <c r="G167" t="str">
        <f>_xlfn.XLOOKUP(F167,Conversio!$B:$B,Conversio!$C:$C,"No trobat",0)</f>
        <v>CCE00000</v>
      </c>
      <c r="H167" t="str">
        <f>_xlfn.XLOOKUP(G167,Conversio!$C:$C,Conversio!$D:$D,"No trobat",0)</f>
        <v>ADMINISTRACIO EMPRESA</v>
      </c>
      <c r="I167" s="11">
        <v>1935</v>
      </c>
      <c r="J167" s="2">
        <f t="shared" si="9"/>
        <v>32.25</v>
      </c>
      <c r="K167" s="6">
        <v>18</v>
      </c>
      <c r="L167" s="5">
        <f t="shared" si="8"/>
        <v>580.5</v>
      </c>
    </row>
    <row r="168" spans="1:12" hidden="1" x14ac:dyDescent="0.3">
      <c r="A168" s="7">
        <v>46054</v>
      </c>
      <c r="B168" s="11" t="s">
        <v>127</v>
      </c>
      <c r="C168" s="11" t="s">
        <v>26</v>
      </c>
      <c r="D168" t="str">
        <f>_xlfn.XLOOKUP(C168,Conversio!$B:$B,Conversio!$C:$C,"No trobat",0)</f>
        <v>CCC00007</v>
      </c>
      <c r="E168" t="str">
        <f>_xlfn.XLOOKUP(D:D,Conversio!C:C,Conversio!D:D,"No trobat")</f>
        <v>CUINA CENTRAL</v>
      </c>
      <c r="F168" s="11" t="s">
        <v>24</v>
      </c>
      <c r="G168" t="str">
        <f>_xlfn.XLOOKUP(F168,Conversio!$B:$B,Conversio!$C:$C,"No trobat",0)</f>
        <v>CCE00000</v>
      </c>
      <c r="H168" t="str">
        <f>_xlfn.XLOOKUP(G168,Conversio!$C:$C,Conversio!$D:$D,"No trobat",0)</f>
        <v>ADMINISTRACIO EMPRESA</v>
      </c>
      <c r="I168" s="11">
        <v>585</v>
      </c>
      <c r="J168" s="2">
        <f t="shared" si="9"/>
        <v>9.75</v>
      </c>
      <c r="K168" s="6">
        <v>18</v>
      </c>
      <c r="L168" s="5">
        <f t="shared" si="8"/>
        <v>175.5</v>
      </c>
    </row>
    <row r="169" spans="1:12" hidden="1" x14ac:dyDescent="0.3">
      <c r="A169" s="7">
        <v>46054</v>
      </c>
      <c r="B169" s="11" t="s">
        <v>137</v>
      </c>
      <c r="C169" s="11" t="s">
        <v>138</v>
      </c>
      <c r="D169" t="str">
        <f>_xlfn.XLOOKUP(C169,Conversio!$B:$B,Conversio!$C:$C,"No trobat",0)</f>
        <v>CCC00008</v>
      </c>
      <c r="E169" t="str">
        <f>_xlfn.XLOOKUP(D:D,Conversio!C:C,Conversio!D:D,"No trobat")</f>
        <v>SERVEIS EXTERNS</v>
      </c>
      <c r="F169" s="11" t="s">
        <v>24</v>
      </c>
      <c r="G169" t="str">
        <f>_xlfn.XLOOKUP(F169,Conversio!$B:$B,Conversio!$C:$C,"No trobat",0)</f>
        <v>CCE00000</v>
      </c>
      <c r="H169" t="str">
        <f>_xlfn.XLOOKUP(G169,Conversio!$C:$C,Conversio!$D:$D,"No trobat",0)</f>
        <v>ADMINISTRACIO EMPRESA</v>
      </c>
      <c r="I169" s="11">
        <v>966</v>
      </c>
      <c r="J169" s="2">
        <f t="shared" si="9"/>
        <v>16.100000000000001</v>
      </c>
      <c r="K169" s="6">
        <v>18</v>
      </c>
      <c r="L169" s="5">
        <f t="shared" si="8"/>
        <v>289.8</v>
      </c>
    </row>
    <row r="170" spans="1:12" hidden="1" x14ac:dyDescent="0.3">
      <c r="A170" s="7">
        <v>46054</v>
      </c>
      <c r="B170" s="11" t="s">
        <v>143</v>
      </c>
      <c r="C170" s="11" t="s">
        <v>47</v>
      </c>
      <c r="D170" t="str">
        <f>_xlfn.XLOOKUP(C170,Conversio!$B:$B,Conversio!$C:$C,"No trobat",0)</f>
        <v>CCR00004</v>
      </c>
      <c r="E170" t="str">
        <f>_xlfn.XLOOKUP(D:D,Conversio!C:C,Conversio!D:D,"No trobat")</f>
        <v>RESTAURANT CAMP NOU</v>
      </c>
      <c r="F170" s="11" t="s">
        <v>24</v>
      </c>
      <c r="G170" t="str">
        <f>_xlfn.XLOOKUP(F170,Conversio!$B:$B,Conversio!$C:$C,"No trobat",0)</f>
        <v>CCE00000</v>
      </c>
      <c r="H170" t="str">
        <f>_xlfn.XLOOKUP(G170,Conversio!$C:$C,Conversio!$D:$D,"No trobat",0)</f>
        <v>ADMINISTRACIO EMPRESA</v>
      </c>
      <c r="I170" s="11">
        <v>1110</v>
      </c>
      <c r="J170" s="2">
        <f t="shared" si="9"/>
        <v>18.5</v>
      </c>
      <c r="K170" s="6">
        <v>18</v>
      </c>
      <c r="L170" s="5">
        <f t="shared" si="8"/>
        <v>333</v>
      </c>
    </row>
    <row r="171" spans="1:12" hidden="1" x14ac:dyDescent="0.3">
      <c r="A171" s="7">
        <v>46054</v>
      </c>
      <c r="B171" s="11" t="s">
        <v>212</v>
      </c>
      <c r="C171" s="11" t="s">
        <v>213</v>
      </c>
      <c r="D171" t="str">
        <f>_xlfn.XLOOKUP(C171,Conversio!$B:$B,Conversio!$C:$C,"No trobat",0)</f>
        <v>No trobat</v>
      </c>
      <c r="E171" t="str">
        <f>_xlfn.XLOOKUP(D:D,Conversio!C:C,Conversio!D:D,"No trobat")</f>
        <v>No trobat</v>
      </c>
      <c r="F171" s="11" t="s">
        <v>24</v>
      </c>
      <c r="G171" t="str">
        <f>_xlfn.XLOOKUP(F171,Conversio!$B:$B,Conversio!$C:$C,"No trobat",0)</f>
        <v>CCE00000</v>
      </c>
      <c r="H171" t="str">
        <f>_xlfn.XLOOKUP(G171,Conversio!$C:$C,Conversio!$D:$D,"No trobat",0)</f>
        <v>ADMINISTRACIO EMPRESA</v>
      </c>
      <c r="I171" s="11">
        <v>570</v>
      </c>
      <c r="J171" s="2">
        <f t="shared" si="9"/>
        <v>9.5</v>
      </c>
      <c r="K171" s="6">
        <v>18</v>
      </c>
      <c r="L171" s="5">
        <f t="shared" si="8"/>
        <v>171</v>
      </c>
    </row>
    <row r="172" spans="1:12" hidden="1" x14ac:dyDescent="0.3">
      <c r="A172" s="7">
        <v>46054</v>
      </c>
      <c r="B172" s="12" t="s">
        <v>203</v>
      </c>
      <c r="C172" s="12" t="s">
        <v>90</v>
      </c>
      <c r="D172" t="str">
        <f>_xlfn.XLOOKUP(C172,Conversio!$B:$B,Conversio!$C:$C,"No trobat",0)</f>
        <v>CCR00000</v>
      </c>
      <c r="E172" t="str">
        <f>_xlfn.XLOOKUP(D:D,Conversio!C:C,Conversio!D:D,"No trobat")</f>
        <v>ADMINISTRACIO RESTAURANTS</v>
      </c>
      <c r="F172" s="12" t="s">
        <v>45</v>
      </c>
      <c r="G172" t="str">
        <f>_xlfn.XLOOKUP(F172,Conversio!$B:$B,Conversio!$C:$C,"No trobat",0)</f>
        <v>CCR00011</v>
      </c>
      <c r="H172" t="str">
        <f>_xlfn.XLOOKUP(G172,Conversio!$C:$C,Conversio!$D:$D,"No trobat",0)</f>
        <v xml:space="preserve"> GREEN VITA</v>
      </c>
      <c r="I172">
        <v>3090</v>
      </c>
      <c r="J172" s="2">
        <f t="shared" si="9"/>
        <v>51.5</v>
      </c>
      <c r="K172" s="6">
        <v>18</v>
      </c>
      <c r="L172" s="5">
        <f t="shared" si="8"/>
        <v>927</v>
      </c>
    </row>
    <row r="173" spans="1:12" hidden="1" x14ac:dyDescent="0.3">
      <c r="A173" s="7">
        <v>46054</v>
      </c>
      <c r="B173" s="12" t="s">
        <v>108</v>
      </c>
      <c r="C173" s="12" t="s">
        <v>193</v>
      </c>
      <c r="D173" t="str">
        <f>_xlfn.XLOOKUP(C173,Conversio!$B:$B,Conversio!$C:$C,"No trobat",0)</f>
        <v>CCR00007</v>
      </c>
      <c r="E173" t="str">
        <f>_xlfn.XLOOKUP(D:D,Conversio!C:C,Conversio!D:D,"No trobat")</f>
        <v>RESTAURANT JUNO HOUSE</v>
      </c>
      <c r="F173" s="12" t="s">
        <v>45</v>
      </c>
      <c r="G173" t="str">
        <f>_xlfn.XLOOKUP(F173,Conversio!$B:$B,Conversio!$C:$C,"No trobat",0)</f>
        <v>CCR00011</v>
      </c>
      <c r="H173" t="str">
        <f>_xlfn.XLOOKUP(G173,Conversio!$C:$C,Conversio!$D:$D,"No trobat",0)</f>
        <v xml:space="preserve"> GREEN VITA</v>
      </c>
      <c r="I173">
        <v>1869</v>
      </c>
      <c r="J173" s="2">
        <f t="shared" si="9"/>
        <v>31.15</v>
      </c>
      <c r="K173" s="6">
        <v>18</v>
      </c>
      <c r="L173" s="5">
        <f t="shared" si="8"/>
        <v>560.69999999999993</v>
      </c>
    </row>
    <row r="174" spans="1:12" hidden="1" x14ac:dyDescent="0.3">
      <c r="A174" s="7">
        <v>46054</v>
      </c>
      <c r="B174" s="12" t="s">
        <v>143</v>
      </c>
      <c r="C174" s="12" t="s">
        <v>47</v>
      </c>
      <c r="D174" t="str">
        <f>_xlfn.XLOOKUP(C174,Conversio!$B:$B,Conversio!$C:$C,"No trobat",0)</f>
        <v>CCR00004</v>
      </c>
      <c r="E174" t="str">
        <f>_xlfn.XLOOKUP(D:D,Conversio!C:C,Conversio!D:D,"No trobat")</f>
        <v>RESTAURANT CAMP NOU</v>
      </c>
      <c r="F174" s="12" t="s">
        <v>45</v>
      </c>
      <c r="G174" t="str">
        <f>_xlfn.XLOOKUP(F174,Conversio!$B:$B,Conversio!$C:$C,"No trobat",0)</f>
        <v>CCR00011</v>
      </c>
      <c r="H174" t="str">
        <f>_xlfn.XLOOKUP(G174,Conversio!$C:$C,Conversio!$D:$D,"No trobat",0)</f>
        <v xml:space="preserve"> GREEN VITA</v>
      </c>
      <c r="I174">
        <v>3480</v>
      </c>
      <c r="J174" s="2">
        <f t="shared" si="9"/>
        <v>58</v>
      </c>
      <c r="K174" s="6">
        <v>18</v>
      </c>
      <c r="L174" s="5">
        <f t="shared" si="8"/>
        <v>1044</v>
      </c>
    </row>
    <row r="175" spans="1:12" hidden="1" x14ac:dyDescent="0.3">
      <c r="A175" s="7">
        <v>46054</v>
      </c>
      <c r="B175" s="12" t="s">
        <v>43</v>
      </c>
      <c r="C175" s="12" t="s">
        <v>44</v>
      </c>
      <c r="D175" t="str">
        <f>_xlfn.XLOOKUP(C175,Conversio!$B:$B,Conversio!$C:$C,"No trobat",0)</f>
        <v>CCR00009</v>
      </c>
      <c r="E175" t="str">
        <f>_xlfn.XLOOKUP(D:D,Conversio!C:C,Conversio!D:D,"No trobat")</f>
        <v>RESTAURANT VALKIRIA</v>
      </c>
      <c r="F175" s="12" t="s">
        <v>45</v>
      </c>
      <c r="G175" t="str">
        <f>_xlfn.XLOOKUP(F175,Conversio!$B:$B,Conversio!$C:$C,"No trobat",0)</f>
        <v>CCR00011</v>
      </c>
      <c r="H175" t="str">
        <f>_xlfn.XLOOKUP(G175,Conversio!$C:$C,Conversio!$D:$D,"No trobat",0)</f>
        <v xml:space="preserve"> GREEN VITA</v>
      </c>
      <c r="I175">
        <v>3570</v>
      </c>
      <c r="J175" s="2">
        <f t="shared" si="9"/>
        <v>59.5</v>
      </c>
      <c r="K175" s="6">
        <v>18</v>
      </c>
      <c r="L175" s="5">
        <f t="shared" si="8"/>
        <v>1071</v>
      </c>
    </row>
    <row r="176" spans="1:12" hidden="1" x14ac:dyDescent="0.3">
      <c r="A176" s="7">
        <v>46054</v>
      </c>
      <c r="B176" s="11" t="s">
        <v>79</v>
      </c>
      <c r="C176" s="11" t="s">
        <v>59</v>
      </c>
      <c r="D176" t="str">
        <f>_xlfn.XLOOKUP(C176,Conversio!$B:$B,Conversio!$C:$C,"No trobat",0)</f>
        <v>CCR00004</v>
      </c>
      <c r="E176" t="str">
        <f>_xlfn.XLOOKUP(D:D,Conversio!C:C,Conversio!D:D,"No trobat")</f>
        <v>RESTAURANT CAMP NOU</v>
      </c>
      <c r="F176" s="11" t="s">
        <v>48</v>
      </c>
      <c r="G176" t="str">
        <f>_xlfn.XLOOKUP(F176,Conversio!$B:$B,Conversio!$C:$C,"No trobat",0)</f>
        <v>CCR00007</v>
      </c>
      <c r="H176" t="str">
        <f>_xlfn.XLOOKUP(G176,Conversio!$C:$C,Conversio!$D:$D,"No trobat",0)</f>
        <v>RESTAURANT JUNO HOUSE</v>
      </c>
      <c r="I176">
        <v>90</v>
      </c>
      <c r="J176" s="2">
        <f t="shared" si="9"/>
        <v>1.5</v>
      </c>
      <c r="K176" s="6">
        <v>18</v>
      </c>
      <c r="L176" s="5">
        <f t="shared" si="8"/>
        <v>27</v>
      </c>
    </row>
    <row r="177" spans="1:12" hidden="1" x14ac:dyDescent="0.3">
      <c r="A177" s="7">
        <v>46054</v>
      </c>
      <c r="B177" s="11" t="s">
        <v>43</v>
      </c>
      <c r="C177" s="11" t="s">
        <v>44</v>
      </c>
      <c r="D177" t="str">
        <f>_xlfn.XLOOKUP(C177,Conversio!$B:$B,Conversio!$C:$C,"No trobat",0)</f>
        <v>CCR00009</v>
      </c>
      <c r="E177" t="str">
        <f>_xlfn.XLOOKUP(D:D,Conversio!C:C,Conversio!D:D,"No trobat")</f>
        <v>RESTAURANT VALKIRIA</v>
      </c>
      <c r="F177" s="11" t="s">
        <v>34</v>
      </c>
      <c r="G177" t="str">
        <f>_xlfn.XLOOKUP(F177,Conversio!$B:$B,Conversio!$C:$C,"No trobat",0)</f>
        <v>CCR00003</v>
      </c>
      <c r="H177" t="str">
        <f>_xlfn.XLOOKUP(G177,Conversio!$C:$C,Conversio!$D:$D,"No trobat",0)</f>
        <v>RESTAURANT LA MASIA D'ESPLUGUES</v>
      </c>
      <c r="I177">
        <v>690</v>
      </c>
      <c r="J177" s="2">
        <f t="shared" si="9"/>
        <v>11.5</v>
      </c>
      <c r="K177" s="6">
        <v>18</v>
      </c>
      <c r="L177" s="5">
        <f t="shared" ref="L177:L180" si="10">J177*K177</f>
        <v>207</v>
      </c>
    </row>
    <row r="178" spans="1:12" hidden="1" x14ac:dyDescent="0.3">
      <c r="A178" s="7">
        <v>46054</v>
      </c>
      <c r="B178" s="11" t="s">
        <v>108</v>
      </c>
      <c r="C178" s="11" t="s">
        <v>193</v>
      </c>
      <c r="D178" t="str">
        <f>_xlfn.XLOOKUP(C178,Conversio!$B:$B,Conversio!$C:$C,"No trobat",0)</f>
        <v>CCR00007</v>
      </c>
      <c r="E178" t="str">
        <f>_xlfn.XLOOKUP(D:D,Conversio!C:C,Conversio!D:D,"No trobat")</f>
        <v>RESTAURANT JUNO HOUSE</v>
      </c>
      <c r="F178" s="11" t="s">
        <v>34</v>
      </c>
      <c r="G178" t="str">
        <f>_xlfn.XLOOKUP(F178,Conversio!$B:$B,Conversio!$C:$C,"No trobat",0)</f>
        <v>CCR00003</v>
      </c>
      <c r="H178" t="str">
        <f>_xlfn.XLOOKUP(G178,Conversio!$C:$C,Conversio!$D:$D,"No trobat",0)</f>
        <v>RESTAURANT LA MASIA D'ESPLUGUES</v>
      </c>
      <c r="I178">
        <v>1860</v>
      </c>
      <c r="J178" s="2">
        <f t="shared" si="9"/>
        <v>31</v>
      </c>
      <c r="K178" s="6">
        <v>18</v>
      </c>
      <c r="L178" s="5">
        <f t="shared" si="10"/>
        <v>558</v>
      </c>
    </row>
    <row r="179" spans="1:12" hidden="1" x14ac:dyDescent="0.3">
      <c r="A179" s="7">
        <v>46054</v>
      </c>
      <c r="B179" s="11" t="s">
        <v>117</v>
      </c>
      <c r="C179" s="11" t="s">
        <v>118</v>
      </c>
      <c r="D179" t="str">
        <f>_xlfn.XLOOKUP(C179,Conversio!$B:$B,Conversio!$C:$C,"No trobat",0)</f>
        <v>CCR00009</v>
      </c>
      <c r="E179" t="str">
        <f>_xlfn.XLOOKUP(D:D,Conversio!C:C,Conversio!D:D,"No trobat")</f>
        <v>RESTAURANT VALKIRIA</v>
      </c>
      <c r="F179" s="11" t="s">
        <v>34</v>
      </c>
      <c r="G179" t="str">
        <f>_xlfn.XLOOKUP(F179,Conversio!$B:$B,Conversio!$C:$C,"No trobat",0)</f>
        <v>CCR00003</v>
      </c>
      <c r="H179" t="str">
        <f>_xlfn.XLOOKUP(G179,Conversio!$C:$C,Conversio!$D:$D,"No trobat",0)</f>
        <v>RESTAURANT LA MASIA D'ESPLUGUES</v>
      </c>
      <c r="I179">
        <v>480</v>
      </c>
      <c r="J179" s="2">
        <f t="shared" si="9"/>
        <v>8</v>
      </c>
      <c r="K179" s="6">
        <v>18</v>
      </c>
      <c r="L179" s="5">
        <f t="shared" si="10"/>
        <v>144</v>
      </c>
    </row>
    <row r="180" spans="1:12" hidden="1" x14ac:dyDescent="0.3">
      <c r="A180" s="7">
        <v>46054</v>
      </c>
      <c r="B180" s="11" t="s">
        <v>133</v>
      </c>
      <c r="C180" s="11" t="s">
        <v>47</v>
      </c>
      <c r="D180" t="str">
        <f>_xlfn.XLOOKUP(C180,Conversio!$B:$B,Conversio!$C:$C,"No trobat",0)</f>
        <v>CCR00004</v>
      </c>
      <c r="E180" t="str">
        <f>_xlfn.XLOOKUP(D:D,Conversio!C:C,Conversio!D:D,"No trobat")</f>
        <v>RESTAURANT CAMP NOU</v>
      </c>
      <c r="F180" s="11" t="s">
        <v>34</v>
      </c>
      <c r="G180" t="str">
        <f>_xlfn.XLOOKUP(F180,Conversio!$B:$B,Conversio!$C:$C,"No trobat",0)</f>
        <v>CCR00003</v>
      </c>
      <c r="H180" t="str">
        <f>_xlfn.XLOOKUP(G180,Conversio!$C:$C,Conversio!$D:$D,"No trobat",0)</f>
        <v>RESTAURANT LA MASIA D'ESPLUGUES</v>
      </c>
      <c r="I180">
        <v>450</v>
      </c>
      <c r="J180" s="2">
        <f t="shared" si="9"/>
        <v>7.5</v>
      </c>
      <c r="K180" s="6">
        <v>18</v>
      </c>
      <c r="L180" s="5">
        <f t="shared" si="10"/>
        <v>135</v>
      </c>
    </row>
    <row r="181" spans="1:12" hidden="1" x14ac:dyDescent="0.3">
      <c r="A181" s="7">
        <v>46054</v>
      </c>
      <c r="B181" s="11" t="s">
        <v>143</v>
      </c>
      <c r="C181" s="11" t="s">
        <v>47</v>
      </c>
      <c r="D181" t="str">
        <f>_xlfn.XLOOKUP(C181,Conversio!$B:$B,Conversio!$C:$C,"No trobat",0)</f>
        <v>CCR00004</v>
      </c>
      <c r="E181" t="str">
        <f>_xlfn.XLOOKUP(D:D,Conversio!C:C,Conversio!D:D,"No trobat")</f>
        <v>RESTAURANT CAMP NOU</v>
      </c>
      <c r="F181" s="11" t="s">
        <v>34</v>
      </c>
      <c r="G181" t="str">
        <f>_xlfn.XLOOKUP(F181,Conversio!$B:$B,Conversio!$C:$C,"No trobat",0)</f>
        <v>CCR00003</v>
      </c>
      <c r="H181" t="str">
        <f>_xlfn.XLOOKUP(G181,Conversio!$C:$C,Conversio!$D:$D,"No trobat",0)</f>
        <v>RESTAURANT LA MASIA D'ESPLUGUES</v>
      </c>
      <c r="I181">
        <v>450</v>
      </c>
      <c r="J181" s="2">
        <f t="shared" ref="J181:J237" si="11">I181/60</f>
        <v>7.5</v>
      </c>
      <c r="K181" s="6">
        <v>18</v>
      </c>
      <c r="L181" s="5">
        <f t="shared" ref="L181:L237" si="12">J181*K181</f>
        <v>135</v>
      </c>
    </row>
    <row r="182" spans="1:12" hidden="1" x14ac:dyDescent="0.3">
      <c r="A182" s="7">
        <v>46054</v>
      </c>
      <c r="B182" s="11" t="s">
        <v>46</v>
      </c>
      <c r="C182" s="11" t="s">
        <v>47</v>
      </c>
      <c r="D182" t="str">
        <f>_xlfn.XLOOKUP(C182,Conversio!$B:$B,Conversio!$C:$C,"No trobat",0)</f>
        <v>CCR00004</v>
      </c>
      <c r="E182" t="str">
        <f>_xlfn.XLOOKUP(D:D,Conversio!C:C,Conversio!D:D,"No trobat")</f>
        <v>RESTAURANT CAMP NOU</v>
      </c>
      <c r="F182" s="11" t="s">
        <v>34</v>
      </c>
      <c r="G182" t="str">
        <f>_xlfn.XLOOKUP(F182,Conversio!$B:$B,Conversio!$C:$C,"No trobat",0)</f>
        <v>CCR00003</v>
      </c>
      <c r="H182" t="str">
        <f>_xlfn.XLOOKUP(G182,Conversio!$C:$C,Conversio!$D:$D,"No trobat",0)</f>
        <v>RESTAURANT LA MASIA D'ESPLUGUES</v>
      </c>
      <c r="I182">
        <v>480</v>
      </c>
      <c r="J182" s="2">
        <f t="shared" si="11"/>
        <v>8</v>
      </c>
      <c r="K182" s="6">
        <v>18</v>
      </c>
      <c r="L182" s="5">
        <f t="shared" si="12"/>
        <v>144</v>
      </c>
    </row>
    <row r="183" spans="1:12" hidden="1" x14ac:dyDescent="0.3">
      <c r="A183" s="7">
        <v>46054</v>
      </c>
      <c r="B183" s="11" t="s">
        <v>134</v>
      </c>
      <c r="C183" s="11" t="s">
        <v>40</v>
      </c>
      <c r="D183" t="str">
        <f>_xlfn.XLOOKUP(C183,Conversio!$B:$B,Conversio!$C:$C,"No trobat",0)</f>
        <v>CCR00001</v>
      </c>
      <c r="E183" t="str">
        <f>_xlfn.XLOOKUP(D:D,Conversio!C:C,Conversio!D:D,"No trobat")</f>
        <v>RESTAURANT ORIGENS</v>
      </c>
      <c r="F183" s="11" t="s">
        <v>18</v>
      </c>
      <c r="G183" t="str">
        <f>_xlfn.XLOOKUP(F183,Conversio!$B:$B,Conversio!$C:$C,"No trobat",0)</f>
        <v>CCR00006</v>
      </c>
      <c r="H183" t="str">
        <f>_xlfn.XLOOKUP(G183,Conversio!$C:$C,Conversio!$D:$D,"No trobat",0)</f>
        <v>RESTAURANT MIRADOR DE LES CAVES</v>
      </c>
      <c r="I183">
        <v>2021</v>
      </c>
      <c r="J183" s="2">
        <f t="shared" si="11"/>
        <v>33.68333333333333</v>
      </c>
      <c r="K183" s="6">
        <v>18</v>
      </c>
      <c r="L183" s="5">
        <f t="shared" si="12"/>
        <v>606.29999999999995</v>
      </c>
    </row>
    <row r="184" spans="1:12" hidden="1" x14ac:dyDescent="0.3">
      <c r="A184" s="7">
        <v>46054</v>
      </c>
      <c r="B184" s="11" t="s">
        <v>214</v>
      </c>
      <c r="C184" s="11" t="s">
        <v>215</v>
      </c>
      <c r="D184" t="str">
        <f>_xlfn.XLOOKUP(C184,Conversio!$B:$B,Conversio!$C:$C,"No trobat",0)</f>
        <v>No trobat</v>
      </c>
      <c r="E184" t="str">
        <f>_xlfn.XLOOKUP(D:D,Conversio!C:C,Conversio!D:D,"No trobat")</f>
        <v>No trobat</v>
      </c>
      <c r="F184" s="11" t="s">
        <v>18</v>
      </c>
      <c r="G184" t="str">
        <f>_xlfn.XLOOKUP(F184,Conversio!$B:$B,Conversio!$C:$C,"No trobat",0)</f>
        <v>CCR00006</v>
      </c>
      <c r="H184" t="str">
        <f>_xlfn.XLOOKUP(G184,Conversio!$C:$C,Conversio!$D:$D,"No trobat",0)</f>
        <v>RESTAURANT MIRADOR DE LES CAVES</v>
      </c>
      <c r="I184">
        <v>395</v>
      </c>
      <c r="J184" s="2">
        <f t="shared" si="11"/>
        <v>6.583333333333333</v>
      </c>
      <c r="K184" s="6">
        <v>18</v>
      </c>
      <c r="L184" s="5">
        <f t="shared" si="12"/>
        <v>118.5</v>
      </c>
    </row>
    <row r="185" spans="1:12" hidden="1" x14ac:dyDescent="0.3">
      <c r="A185" s="7">
        <v>46054</v>
      </c>
      <c r="B185" s="11" t="s">
        <v>216</v>
      </c>
      <c r="C185" s="11" t="s">
        <v>61</v>
      </c>
      <c r="D185" t="str">
        <f>_xlfn.XLOOKUP(C185,Conversio!$B:$B,Conversio!$C:$C,"No trobat",0)</f>
        <v>CCF00001</v>
      </c>
      <c r="E185" t="str">
        <f>_xlfn.XLOOKUP(D:D,Conversio!C:C,Conversio!D:D,"No trobat")</f>
        <v>FIRES I FESTIVALS</v>
      </c>
      <c r="F185" s="11" t="s">
        <v>62</v>
      </c>
      <c r="G185" t="str">
        <f>_xlfn.XLOOKUP(F185,Conversio!$B:$B,Conversio!$C:$C,"No trobat",0)</f>
        <v>CCF00002</v>
      </c>
      <c r="H185" t="str">
        <f>_xlfn.XLOOKUP(G185,Conversio!$C:$C,Conversio!$D:$D,"No trobat",0)</f>
        <v>FESTIVAL TARRACO</v>
      </c>
      <c r="I185">
        <v>480</v>
      </c>
      <c r="J185" s="2">
        <f t="shared" si="11"/>
        <v>8</v>
      </c>
      <c r="K185" s="6">
        <v>18</v>
      </c>
      <c r="L185" s="5">
        <f t="shared" si="12"/>
        <v>144</v>
      </c>
    </row>
    <row r="186" spans="1:12" hidden="1" x14ac:dyDescent="0.3">
      <c r="A186" s="7">
        <v>46054</v>
      </c>
      <c r="B186" s="11" t="s">
        <v>217</v>
      </c>
      <c r="C186" s="11" t="s">
        <v>116</v>
      </c>
      <c r="D186" t="str">
        <f>_xlfn.XLOOKUP(C186,Conversio!$B:$B,Conversio!$C:$C,"No trobat",0)</f>
        <v>CCC00003</v>
      </c>
      <c r="E186" t="str">
        <f>_xlfn.XLOOKUP(D:D,Conversio!C:C,Conversio!D:D,"No trobat")</f>
        <v>DECORACIO</v>
      </c>
      <c r="F186" s="11" t="s">
        <v>62</v>
      </c>
      <c r="G186" t="str">
        <f>_xlfn.XLOOKUP(F186,Conversio!$B:$B,Conversio!$C:$C,"No trobat",0)</f>
        <v>CCF00002</v>
      </c>
      <c r="H186" t="str">
        <f>_xlfn.XLOOKUP(G186,Conversio!$C:$C,Conversio!$D:$D,"No trobat",0)</f>
        <v>FESTIVAL TARRACO</v>
      </c>
      <c r="I186">
        <v>450</v>
      </c>
      <c r="J186" s="2">
        <f t="shared" si="11"/>
        <v>7.5</v>
      </c>
      <c r="K186" s="6">
        <v>18</v>
      </c>
      <c r="L186" s="5">
        <f t="shared" si="12"/>
        <v>135</v>
      </c>
    </row>
    <row r="187" spans="1:12" hidden="1" x14ac:dyDescent="0.3">
      <c r="A187" s="7">
        <v>46054</v>
      </c>
      <c r="B187" s="11" t="s">
        <v>63</v>
      </c>
      <c r="C187" s="11" t="s">
        <v>64</v>
      </c>
      <c r="D187" t="str">
        <f>_xlfn.XLOOKUP(C187,Conversio!$B:$B,Conversio!$C:$C,"No trobat",0)</f>
        <v>CCC00005</v>
      </c>
      <c r="E187" t="str">
        <f>_xlfn.XLOOKUP(D:D,Conversio!C:C,Conversio!D:D,"No trobat")</f>
        <v>OFICINES CAL BLAY</v>
      </c>
      <c r="F187" s="11" t="s">
        <v>62</v>
      </c>
      <c r="G187" t="str">
        <f>_xlfn.XLOOKUP(F187,Conversio!$B:$B,Conversio!$C:$C,"No trobat",0)</f>
        <v>CCF00002</v>
      </c>
      <c r="H187" t="str">
        <f>_xlfn.XLOOKUP(G187,Conversio!$C:$C,Conversio!$D:$D,"No trobat",0)</f>
        <v>FESTIVAL TARRACO</v>
      </c>
      <c r="I187">
        <v>450</v>
      </c>
      <c r="J187" s="2">
        <f t="shared" si="11"/>
        <v>7.5</v>
      </c>
      <c r="K187" s="6">
        <v>18</v>
      </c>
      <c r="L187" s="5">
        <f t="shared" si="12"/>
        <v>135</v>
      </c>
    </row>
    <row r="188" spans="1:12" hidden="1" x14ac:dyDescent="0.3">
      <c r="A188" s="7">
        <v>46054</v>
      </c>
      <c r="B188" s="11" t="s">
        <v>218</v>
      </c>
      <c r="C188" s="11" t="s">
        <v>219</v>
      </c>
      <c r="D188" t="str">
        <f>_xlfn.XLOOKUP(C188,Conversio!$B:$B,Conversio!$C:$C,"No trobat",0)</f>
        <v>No trobat</v>
      </c>
      <c r="E188" t="str">
        <f>_xlfn.XLOOKUP(D:D,Conversio!C:C,Conversio!D:D,"No trobat")</f>
        <v>No trobat</v>
      </c>
      <c r="F188" s="11" t="s">
        <v>62</v>
      </c>
      <c r="G188" t="str">
        <f>_xlfn.XLOOKUP(F188,Conversio!$B:$B,Conversio!$C:$C,"No trobat",0)</f>
        <v>CCF00002</v>
      </c>
      <c r="H188" t="str">
        <f>_xlfn.XLOOKUP(G188,Conversio!$C:$C,Conversio!$D:$D,"No trobat",0)</f>
        <v>FESTIVAL TARRACO</v>
      </c>
      <c r="I188">
        <v>450</v>
      </c>
      <c r="J188" s="2">
        <f t="shared" si="11"/>
        <v>7.5</v>
      </c>
      <c r="K188" s="6">
        <v>18</v>
      </c>
      <c r="L188" s="5">
        <f t="shared" si="12"/>
        <v>135</v>
      </c>
    </row>
    <row r="189" spans="1:12" hidden="1" x14ac:dyDescent="0.3">
      <c r="A189" s="7">
        <v>46054</v>
      </c>
      <c r="B189" s="11" t="s">
        <v>214</v>
      </c>
      <c r="C189" s="11" t="s">
        <v>215</v>
      </c>
      <c r="D189" t="str">
        <f>_xlfn.XLOOKUP(C189,Conversio!$B:$B,Conversio!$C:$C,"No trobat",0)</f>
        <v>No trobat</v>
      </c>
      <c r="E189" t="str">
        <f>_xlfn.XLOOKUP(D:D,Conversio!C:C,Conversio!D:D,"No trobat")</f>
        <v>No trobat</v>
      </c>
      <c r="F189" s="11" t="s">
        <v>62</v>
      </c>
      <c r="G189" t="str">
        <f>_xlfn.XLOOKUP(F189,Conversio!$B:$B,Conversio!$C:$C,"No trobat",0)</f>
        <v>CCF00002</v>
      </c>
      <c r="H189" t="str">
        <f>_xlfn.XLOOKUP(G189,Conversio!$C:$C,Conversio!$D:$D,"No trobat",0)</f>
        <v>FESTIVAL TARRACO</v>
      </c>
      <c r="I189">
        <v>450</v>
      </c>
      <c r="J189" s="2">
        <f t="shared" si="11"/>
        <v>7.5</v>
      </c>
      <c r="K189" s="6">
        <v>18</v>
      </c>
      <c r="L189" s="5">
        <f t="shared" si="12"/>
        <v>135</v>
      </c>
    </row>
    <row r="190" spans="1:12" hidden="1" x14ac:dyDescent="0.3">
      <c r="A190" s="7">
        <v>46082</v>
      </c>
      <c r="B190" t="s">
        <v>103</v>
      </c>
      <c r="C190" t="s">
        <v>104</v>
      </c>
      <c r="D190" t="str">
        <f>_xlfn.XLOOKUP(C190,Conversio!$B:$B,Conversio!$C:$C,"No trobat",0)</f>
        <v>CCR00007</v>
      </c>
      <c r="E190" t="str">
        <f>_xlfn.XLOOKUP(D:D,Conversio!C:C,Conversio!D:D,"No trobat")</f>
        <v>RESTAURANT JUNO HOUSE</v>
      </c>
      <c r="F190" t="s">
        <v>33</v>
      </c>
      <c r="G190" t="str">
        <f>_xlfn.XLOOKUP(F190,Conversio!$B:$B,Conversio!$C:$C,"No trobat",0)</f>
        <v>CCR00004</v>
      </c>
      <c r="H190" t="str">
        <f>_xlfn.XLOOKUP(G190,Conversio!$C:$C,Conversio!$D:$D,"No trobat",0)</f>
        <v>RESTAURANT CAMP NOU</v>
      </c>
      <c r="I190" s="13">
        <v>423</v>
      </c>
      <c r="J190" s="2">
        <f t="shared" si="11"/>
        <v>7.05</v>
      </c>
      <c r="K190" s="6">
        <v>18</v>
      </c>
      <c r="L190" s="5">
        <f t="shared" si="12"/>
        <v>126.89999999999999</v>
      </c>
    </row>
    <row r="191" spans="1:12" hidden="1" x14ac:dyDescent="0.3">
      <c r="A191" s="7">
        <v>46082</v>
      </c>
      <c r="B191" t="s">
        <v>12</v>
      </c>
      <c r="C191" t="s">
        <v>13</v>
      </c>
      <c r="D191" t="str">
        <f>_xlfn.XLOOKUP(C191,Conversio!$B:$B,Conversio!$C:$C,"No trobat",0)</f>
        <v>CCC00007</v>
      </c>
      <c r="E191" t="str">
        <f>_xlfn.XLOOKUP(D:D,Conversio!C:C,Conversio!D:D,"No trobat")</f>
        <v>CUINA CENTRAL</v>
      </c>
      <c r="F191" t="s">
        <v>14</v>
      </c>
      <c r="G191" t="e">
        <f>_xlfn.XLOOKUP(#REF!,Conversio!$B:$B,Conversio!$C:$C,"No trobat",0)</f>
        <v>#REF!</v>
      </c>
      <c r="H191" t="e">
        <f>_xlfn.XLOOKUP(G191,Conversio!$C:$C,Conversio!$D:$D,"No trobat",0)</f>
        <v>#REF!</v>
      </c>
      <c r="I191" s="13">
        <v>3955</v>
      </c>
      <c r="J191" s="2">
        <f t="shared" si="11"/>
        <v>65.916666666666671</v>
      </c>
      <c r="K191" s="6">
        <v>18</v>
      </c>
      <c r="L191" s="5">
        <f t="shared" si="12"/>
        <v>1186.5</v>
      </c>
    </row>
    <row r="192" spans="1:12" hidden="1" x14ac:dyDescent="0.3">
      <c r="A192" s="7">
        <v>46082</v>
      </c>
      <c r="B192" t="s">
        <v>25</v>
      </c>
      <c r="C192" t="s">
        <v>26</v>
      </c>
      <c r="D192" t="str">
        <f>_xlfn.XLOOKUP(C192,Conversio!$B:$B,Conversio!$C:$C,"No trobat",0)</f>
        <v>CCC00007</v>
      </c>
      <c r="E192" t="str">
        <f>_xlfn.XLOOKUP(D:D,Conversio!C:C,Conversio!D:D,"No trobat")</f>
        <v>CUINA CENTRAL</v>
      </c>
      <c r="F192" t="s">
        <v>14</v>
      </c>
      <c r="G192" t="str">
        <f>_xlfn.XLOOKUP(F192,Conversio!$B:$B,Conversio!$C:$C,"No trobat",0)</f>
        <v>CCE00000</v>
      </c>
      <c r="H192" t="str">
        <f>_xlfn.XLOOKUP(G192,Conversio!$C:$C,Conversio!$D:$D,"No trobat",0)</f>
        <v>ADMINISTRACIO EMPRESA</v>
      </c>
      <c r="I192" s="13">
        <v>3623</v>
      </c>
      <c r="J192" s="2">
        <f t="shared" si="11"/>
        <v>60.383333333333333</v>
      </c>
      <c r="K192" s="6">
        <v>18</v>
      </c>
      <c r="L192" s="5">
        <f t="shared" si="12"/>
        <v>1086.9000000000001</v>
      </c>
    </row>
    <row r="193" spans="1:12" hidden="1" x14ac:dyDescent="0.3">
      <c r="A193" s="7">
        <v>46082</v>
      </c>
      <c r="B193" t="s">
        <v>29</v>
      </c>
      <c r="C193" t="s">
        <v>30</v>
      </c>
      <c r="D193" t="str">
        <f>_xlfn.XLOOKUP(C193,Conversio!$B:$B,Conversio!$C:$C,"No trobat",0)</f>
        <v>CCC00007</v>
      </c>
      <c r="E193" t="str">
        <f>_xlfn.XLOOKUP(D:D,Conversio!C:C,Conversio!D:D,"No trobat")</f>
        <v>CUINA CENTRAL</v>
      </c>
      <c r="F193" t="s">
        <v>14</v>
      </c>
      <c r="G193" t="str">
        <f>_xlfn.XLOOKUP(F193,Conversio!$B:$B,Conversio!$C:$C,"No trobat",0)</f>
        <v>CCE00000</v>
      </c>
      <c r="H193" t="str">
        <f>_xlfn.XLOOKUP(G193,Conversio!$C:$C,Conversio!$D:$D,"No trobat",0)</f>
        <v>ADMINISTRACIO EMPRESA</v>
      </c>
      <c r="I193" s="13">
        <v>14198</v>
      </c>
      <c r="J193" s="2">
        <f t="shared" si="11"/>
        <v>236.63333333333333</v>
      </c>
      <c r="K193" s="6">
        <v>18</v>
      </c>
      <c r="L193" s="5">
        <f t="shared" si="12"/>
        <v>4259.3999999999996</v>
      </c>
    </row>
    <row r="194" spans="1:12" hidden="1" x14ac:dyDescent="0.3">
      <c r="A194" s="7">
        <v>46082</v>
      </c>
      <c r="B194" t="s">
        <v>35</v>
      </c>
      <c r="C194" t="s">
        <v>26</v>
      </c>
      <c r="D194" t="str">
        <f>_xlfn.XLOOKUP(C194,Conversio!$B:$B,Conversio!$C:$C,"No trobat",0)</f>
        <v>CCC00007</v>
      </c>
      <c r="E194" t="str">
        <f>_xlfn.XLOOKUP(D:D,Conversio!C:C,Conversio!D:D,"No trobat")</f>
        <v>CUINA CENTRAL</v>
      </c>
      <c r="F194" t="s">
        <v>14</v>
      </c>
      <c r="G194" t="str">
        <f>_xlfn.XLOOKUP(F194,Conversio!$B:$B,Conversio!$C:$C,"No trobat",0)</f>
        <v>CCE00000</v>
      </c>
      <c r="H194" t="str">
        <f>_xlfn.XLOOKUP(G194,Conversio!$C:$C,Conversio!$D:$D,"No trobat",0)</f>
        <v>ADMINISTRACIO EMPRESA</v>
      </c>
      <c r="I194" s="13">
        <v>1357</v>
      </c>
      <c r="J194" s="2">
        <f t="shared" si="11"/>
        <v>22.616666666666667</v>
      </c>
      <c r="K194" s="6">
        <v>18</v>
      </c>
      <c r="L194" s="5">
        <f t="shared" si="12"/>
        <v>407.1</v>
      </c>
    </row>
    <row r="195" spans="1:12" hidden="1" x14ac:dyDescent="0.3">
      <c r="A195" s="7">
        <v>46082</v>
      </c>
      <c r="B195" t="s">
        <v>36</v>
      </c>
      <c r="C195" t="s">
        <v>30</v>
      </c>
      <c r="D195" t="str">
        <f>_xlfn.XLOOKUP(C195,Conversio!$B:$B,Conversio!$C:$C,"No trobat",0)</f>
        <v>CCC00007</v>
      </c>
      <c r="E195" t="str">
        <f>_xlfn.XLOOKUP(D:D,Conversio!C:C,Conversio!D:D,"No trobat")</f>
        <v>CUINA CENTRAL</v>
      </c>
      <c r="F195" t="s">
        <v>14</v>
      </c>
      <c r="G195" t="str">
        <f>_xlfn.XLOOKUP(F195,Conversio!$B:$B,Conversio!$C:$C,"No trobat",0)</f>
        <v>CCE00000</v>
      </c>
      <c r="H195" t="str">
        <f>_xlfn.XLOOKUP(G195,Conversio!$C:$C,Conversio!$D:$D,"No trobat",0)</f>
        <v>ADMINISTRACIO EMPRESA</v>
      </c>
      <c r="I195" s="13">
        <v>9445</v>
      </c>
      <c r="J195" s="2">
        <f t="shared" si="11"/>
        <v>157.41666666666666</v>
      </c>
      <c r="K195" s="6">
        <v>18</v>
      </c>
      <c r="L195" s="5">
        <f t="shared" si="12"/>
        <v>2833.5</v>
      </c>
    </row>
    <row r="196" spans="1:12" hidden="1" x14ac:dyDescent="0.3">
      <c r="A196" s="7">
        <v>46082</v>
      </c>
      <c r="B196" t="s">
        <v>202</v>
      </c>
      <c r="C196" t="s">
        <v>190</v>
      </c>
      <c r="D196" t="str">
        <f>_xlfn.XLOOKUP(C196,Conversio!$B:$B,Conversio!$C:$C,"No trobat",0)</f>
        <v>CCR00001</v>
      </c>
      <c r="E196" t="str">
        <f>_xlfn.XLOOKUP(D:D,Conversio!C:C,Conversio!D:D,"No trobat")</f>
        <v>RESTAURANT ORIGENS</v>
      </c>
      <c r="F196" t="s">
        <v>14</v>
      </c>
      <c r="G196" t="str">
        <f>_xlfn.XLOOKUP(F196,Conversio!$B:$B,Conversio!$C:$C,"No trobat",0)</f>
        <v>CCE00000</v>
      </c>
      <c r="H196" t="str">
        <f>_xlfn.XLOOKUP(G196,Conversio!$C:$C,Conversio!$D:$D,"No trobat",0)</f>
        <v>ADMINISTRACIO EMPRESA</v>
      </c>
      <c r="I196" s="13">
        <v>3109</v>
      </c>
      <c r="J196" s="2">
        <f t="shared" si="11"/>
        <v>51.81666666666667</v>
      </c>
      <c r="K196" s="6">
        <v>18</v>
      </c>
      <c r="L196" s="5">
        <f t="shared" si="12"/>
        <v>932.7</v>
      </c>
    </row>
    <row r="197" spans="1:12" hidden="1" x14ac:dyDescent="0.3">
      <c r="A197" s="7">
        <v>46082</v>
      </c>
      <c r="B197" t="s">
        <v>37</v>
      </c>
      <c r="C197" t="s">
        <v>26</v>
      </c>
      <c r="D197" t="str">
        <f>_xlfn.XLOOKUP(C197,Conversio!$B:$B,Conversio!$C:$C,"No trobat",0)</f>
        <v>CCC00007</v>
      </c>
      <c r="E197" t="str">
        <f>_xlfn.XLOOKUP(D:D,Conversio!C:C,Conversio!D:D,"No trobat")</f>
        <v>CUINA CENTRAL</v>
      </c>
      <c r="F197" t="s">
        <v>14</v>
      </c>
      <c r="G197" t="str">
        <f>_xlfn.XLOOKUP(F197,Conversio!$B:$B,Conversio!$C:$C,"No trobat",0)</f>
        <v>CCE00000</v>
      </c>
      <c r="H197" t="str">
        <f>_xlfn.XLOOKUP(G197,Conversio!$C:$C,Conversio!$D:$D,"No trobat",0)</f>
        <v>ADMINISTRACIO EMPRESA</v>
      </c>
      <c r="I197" s="13">
        <v>2243</v>
      </c>
      <c r="J197" s="2">
        <f t="shared" si="11"/>
        <v>37.383333333333333</v>
      </c>
      <c r="K197" s="6">
        <v>18</v>
      </c>
      <c r="L197" s="5">
        <f t="shared" si="12"/>
        <v>672.9</v>
      </c>
    </row>
    <row r="198" spans="1:12" hidden="1" x14ac:dyDescent="0.3">
      <c r="A198" s="7">
        <v>46082</v>
      </c>
      <c r="B198" t="s">
        <v>38</v>
      </c>
      <c r="C198" t="s">
        <v>26</v>
      </c>
      <c r="D198" t="str">
        <f>_xlfn.XLOOKUP(C198,Conversio!$B:$B,Conversio!$C:$C,"No trobat",0)</f>
        <v>CCC00007</v>
      </c>
      <c r="E198" t="str">
        <f>_xlfn.XLOOKUP(D:D,Conversio!C:C,Conversio!D:D,"No trobat")</f>
        <v>CUINA CENTRAL</v>
      </c>
      <c r="F198" t="s">
        <v>14</v>
      </c>
      <c r="G198" t="str">
        <f>_xlfn.XLOOKUP(F198,Conversio!$B:$B,Conversio!$C:$C,"No trobat",0)</f>
        <v>CCE00000</v>
      </c>
      <c r="H198" t="str">
        <f>_xlfn.XLOOKUP(G198,Conversio!$C:$C,Conversio!$D:$D,"No trobat",0)</f>
        <v>ADMINISTRACIO EMPRESA</v>
      </c>
      <c r="I198" s="13">
        <v>1552</v>
      </c>
      <c r="J198" s="2">
        <f t="shared" si="11"/>
        <v>25.866666666666667</v>
      </c>
      <c r="K198" s="6">
        <v>18</v>
      </c>
      <c r="L198" s="5">
        <f t="shared" si="12"/>
        <v>465.6</v>
      </c>
    </row>
    <row r="199" spans="1:12" hidden="1" x14ac:dyDescent="0.3">
      <c r="A199" s="7">
        <v>46082</v>
      </c>
      <c r="B199" t="s">
        <v>39</v>
      </c>
      <c r="C199" t="s">
        <v>40</v>
      </c>
      <c r="D199" t="str">
        <f>_xlfn.XLOOKUP(C199,Conversio!$B:$B,Conversio!$C:$C,"No trobat",0)</f>
        <v>CCR00001</v>
      </c>
      <c r="E199" t="str">
        <f>_xlfn.XLOOKUP(D:D,Conversio!C:C,Conversio!D:D,"No trobat")</f>
        <v>RESTAURANT ORIGENS</v>
      </c>
      <c r="F199" t="s">
        <v>14</v>
      </c>
      <c r="G199" t="str">
        <f>_xlfn.XLOOKUP(F199,Conversio!$B:$B,Conversio!$C:$C,"No trobat",0)</f>
        <v>CCE00000</v>
      </c>
      <c r="H199" t="str">
        <f>_xlfn.XLOOKUP(G199,Conversio!$C:$C,Conversio!$D:$D,"No trobat",0)</f>
        <v>ADMINISTRACIO EMPRESA</v>
      </c>
      <c r="I199" s="13">
        <v>3672</v>
      </c>
      <c r="J199" s="2">
        <f t="shared" si="11"/>
        <v>61.2</v>
      </c>
      <c r="K199" s="6">
        <v>18</v>
      </c>
      <c r="L199" s="5">
        <f t="shared" si="12"/>
        <v>1101.6000000000001</v>
      </c>
    </row>
    <row r="200" spans="1:12" hidden="1" x14ac:dyDescent="0.3">
      <c r="A200" s="7">
        <v>46082</v>
      </c>
      <c r="B200" t="s">
        <v>43</v>
      </c>
      <c r="C200" t="s">
        <v>44</v>
      </c>
      <c r="D200" t="str">
        <f>_xlfn.XLOOKUP(C200,Conversio!$B:$B,Conversio!$C:$C,"No trobat",0)</f>
        <v>CCR00009</v>
      </c>
      <c r="E200" t="str">
        <f>_xlfn.XLOOKUP(D:D,Conversio!C:C,Conversio!D:D,"No trobat")</f>
        <v>RESTAURANT VALKIRIA</v>
      </c>
      <c r="F200" t="s">
        <v>14</v>
      </c>
      <c r="G200" t="str">
        <f>_xlfn.XLOOKUP(F200,Conversio!$B:$B,Conversio!$C:$C,"No trobat",0)</f>
        <v>CCE00000</v>
      </c>
      <c r="H200" t="str">
        <f>_xlfn.XLOOKUP(G200,Conversio!$C:$C,Conversio!$D:$D,"No trobat",0)</f>
        <v>ADMINISTRACIO EMPRESA</v>
      </c>
      <c r="I200" s="13">
        <v>450</v>
      </c>
      <c r="J200" s="2">
        <f t="shared" si="11"/>
        <v>7.5</v>
      </c>
      <c r="K200" s="6">
        <v>18</v>
      </c>
      <c r="L200" s="5">
        <f t="shared" si="12"/>
        <v>135</v>
      </c>
    </row>
    <row r="201" spans="1:12" ht="15.75" hidden="1" customHeight="1" x14ac:dyDescent="0.3">
      <c r="A201" s="7">
        <v>46082</v>
      </c>
      <c r="B201" t="s">
        <v>46</v>
      </c>
      <c r="C201" t="s">
        <v>47</v>
      </c>
      <c r="D201" t="str">
        <f>_xlfn.XLOOKUP(C201,Conversio!$B:$B,Conversio!$C:$C,"No trobat",0)</f>
        <v>CCR00004</v>
      </c>
      <c r="E201" t="str">
        <f>_xlfn.XLOOKUP(D:D,Conversio!C:C,Conversio!D:D,"No trobat")</f>
        <v>RESTAURANT CAMP NOU</v>
      </c>
      <c r="F201" t="s">
        <v>14</v>
      </c>
      <c r="G201" t="str">
        <f>_xlfn.XLOOKUP(F201,Conversio!$B:$B,Conversio!$C:$C,"No trobat",0)</f>
        <v>CCE00000</v>
      </c>
      <c r="H201" t="str">
        <f>_xlfn.XLOOKUP(G201,Conversio!$C:$C,Conversio!$D:$D,"No trobat",0)</f>
        <v>ADMINISTRACIO EMPRESA</v>
      </c>
      <c r="I201" s="13">
        <v>300</v>
      </c>
      <c r="J201" s="2">
        <f t="shared" si="11"/>
        <v>5</v>
      </c>
      <c r="K201" s="6">
        <v>18</v>
      </c>
      <c r="L201" s="5">
        <f t="shared" si="12"/>
        <v>90</v>
      </c>
    </row>
    <row r="202" spans="1:12" ht="12" hidden="1" customHeight="1" x14ac:dyDescent="0.3">
      <c r="A202" s="7">
        <v>46082</v>
      </c>
      <c r="B202" t="s">
        <v>49</v>
      </c>
      <c r="C202" t="s">
        <v>50</v>
      </c>
      <c r="D202" t="str">
        <f>_xlfn.XLOOKUP(C202,Conversio!$B:$B,Conversio!$C:$C,"No trobat",0)</f>
        <v>CCC00007</v>
      </c>
      <c r="E202" t="str">
        <f>_xlfn.XLOOKUP(D:D,Conversio!C:C,Conversio!D:D,"No trobat")</f>
        <v>CUINA CENTRAL</v>
      </c>
      <c r="F202" t="s">
        <v>14</v>
      </c>
      <c r="G202" t="str">
        <f>_xlfn.XLOOKUP(F202,Conversio!$B:$B,Conversio!$C:$C,"No trobat",0)</f>
        <v>CCE00000</v>
      </c>
      <c r="H202" t="str">
        <f>_xlfn.XLOOKUP(G202,Conversio!$C:$C,Conversio!$D:$D,"No trobat",0)</f>
        <v>ADMINISTRACIO EMPRESA</v>
      </c>
      <c r="I202" s="13">
        <v>671</v>
      </c>
      <c r="J202" s="2">
        <f t="shared" si="11"/>
        <v>11.183333333333334</v>
      </c>
      <c r="K202" s="6">
        <v>18</v>
      </c>
      <c r="L202" s="5">
        <f t="shared" si="12"/>
        <v>201.3</v>
      </c>
    </row>
    <row r="203" spans="1:12" hidden="1" x14ac:dyDescent="0.3">
      <c r="A203" s="7">
        <v>46082</v>
      </c>
      <c r="B203" t="s">
        <v>208</v>
      </c>
      <c r="C203" t="s">
        <v>209</v>
      </c>
      <c r="D203" t="str">
        <f>_xlfn.XLOOKUP(C203,Conversio!$B:$B,Conversio!$C:$C,"No trobat",0)</f>
        <v>No trobat</v>
      </c>
      <c r="E203" t="str">
        <f>_xlfn.XLOOKUP(D:D,Conversio!C:C,Conversio!D:D,"No trobat")</f>
        <v>No trobat</v>
      </c>
      <c r="F203" t="s">
        <v>14</v>
      </c>
      <c r="G203" t="str">
        <f>_xlfn.XLOOKUP(F203,Conversio!$B:$B,Conversio!$C:$C,"No trobat",0)</f>
        <v>CCE00000</v>
      </c>
      <c r="H203" t="str">
        <f>_xlfn.XLOOKUP(G203,Conversio!$C:$C,Conversio!$D:$D,"No trobat",0)</f>
        <v>ADMINISTRACIO EMPRESA</v>
      </c>
      <c r="I203" s="13">
        <v>482</v>
      </c>
      <c r="J203" s="2">
        <f t="shared" si="11"/>
        <v>8.0333333333333332</v>
      </c>
      <c r="K203" s="6">
        <v>18</v>
      </c>
      <c r="L203" s="5">
        <f t="shared" si="12"/>
        <v>144.6</v>
      </c>
    </row>
    <row r="204" spans="1:12" hidden="1" x14ac:dyDescent="0.3">
      <c r="A204" s="7">
        <v>46082</v>
      </c>
      <c r="B204" t="s">
        <v>57</v>
      </c>
      <c r="C204" t="s">
        <v>30</v>
      </c>
      <c r="D204" t="str">
        <f>_xlfn.XLOOKUP(C204,Conversio!$B:$B,Conversio!$C:$C,"No trobat",0)</f>
        <v>CCC00007</v>
      </c>
      <c r="E204" t="str">
        <f>_xlfn.XLOOKUP(D:D,Conversio!C:C,Conversio!D:D,"No trobat")</f>
        <v>CUINA CENTRAL</v>
      </c>
      <c r="F204" t="s">
        <v>14</v>
      </c>
      <c r="G204" t="str">
        <f>_xlfn.XLOOKUP(F204,Conversio!$B:$B,Conversio!$C:$C,"No trobat",0)</f>
        <v>CCE00000</v>
      </c>
      <c r="H204" t="str">
        <f>_xlfn.XLOOKUP(G204,Conversio!$C:$C,Conversio!$D:$D,"No trobat",0)</f>
        <v>ADMINISTRACIO EMPRESA</v>
      </c>
      <c r="I204" s="13">
        <v>10023</v>
      </c>
      <c r="J204" s="2">
        <f t="shared" si="11"/>
        <v>167.05</v>
      </c>
      <c r="K204" s="6">
        <v>18</v>
      </c>
      <c r="L204" s="5">
        <f t="shared" si="12"/>
        <v>3006.9</v>
      </c>
    </row>
    <row r="205" spans="1:12" hidden="1" x14ac:dyDescent="0.3">
      <c r="A205" s="7">
        <v>46082</v>
      </c>
      <c r="B205" t="s">
        <v>66</v>
      </c>
      <c r="C205" t="s">
        <v>26</v>
      </c>
      <c r="D205" t="str">
        <f>_xlfn.XLOOKUP(C205,Conversio!$B:$B,Conversio!$C:$C,"No trobat",0)</f>
        <v>CCC00007</v>
      </c>
      <c r="E205" t="str">
        <f>_xlfn.XLOOKUP(D:D,Conversio!C:C,Conversio!D:D,"No trobat")</f>
        <v>CUINA CENTRAL</v>
      </c>
      <c r="F205" t="s">
        <v>14</v>
      </c>
      <c r="G205" t="str">
        <f>_xlfn.XLOOKUP(F205,Conversio!$B:$B,Conversio!$C:$C,"No trobat",0)</f>
        <v>CCE00000</v>
      </c>
      <c r="H205" t="str">
        <f>_xlfn.XLOOKUP(G205,Conversio!$C:$C,Conversio!$D:$D,"No trobat",0)</f>
        <v>ADMINISTRACIO EMPRESA</v>
      </c>
      <c r="I205" s="13">
        <v>656</v>
      </c>
      <c r="J205" s="2">
        <f t="shared" si="11"/>
        <v>10.933333333333334</v>
      </c>
      <c r="K205" s="6">
        <v>18</v>
      </c>
      <c r="L205" s="5">
        <f t="shared" si="12"/>
        <v>196.8</v>
      </c>
    </row>
    <row r="206" spans="1:12" hidden="1" x14ac:dyDescent="0.3">
      <c r="A206" s="7">
        <v>46082</v>
      </c>
      <c r="B206" t="s">
        <v>67</v>
      </c>
      <c r="C206" t="s">
        <v>30</v>
      </c>
      <c r="D206" t="str">
        <f>_xlfn.XLOOKUP(C206,Conversio!$B:$B,Conversio!$C:$C,"No trobat",0)</f>
        <v>CCC00007</v>
      </c>
      <c r="E206" t="str">
        <f>_xlfn.XLOOKUP(D:D,Conversio!C:C,Conversio!D:D,"No trobat")</f>
        <v>CUINA CENTRAL</v>
      </c>
      <c r="F206" t="s">
        <v>14</v>
      </c>
      <c r="G206" t="str">
        <f>_xlfn.XLOOKUP(F206,Conversio!$B:$B,Conversio!$C:$C,"No trobat",0)</f>
        <v>CCE00000</v>
      </c>
      <c r="H206" t="str">
        <f>_xlfn.XLOOKUP(G206,Conversio!$C:$C,Conversio!$D:$D,"No trobat",0)</f>
        <v>ADMINISTRACIO EMPRESA</v>
      </c>
      <c r="I206" s="13">
        <v>12708</v>
      </c>
      <c r="J206" s="2">
        <f t="shared" si="11"/>
        <v>211.8</v>
      </c>
      <c r="K206" s="6">
        <v>18</v>
      </c>
      <c r="L206" s="5">
        <f t="shared" si="12"/>
        <v>3812.4</v>
      </c>
    </row>
    <row r="207" spans="1:12" hidden="1" x14ac:dyDescent="0.3">
      <c r="A207" s="7">
        <v>46082</v>
      </c>
      <c r="B207" t="s">
        <v>71</v>
      </c>
      <c r="C207" t="s">
        <v>30</v>
      </c>
      <c r="D207" t="str">
        <f>_xlfn.XLOOKUP(C207,Conversio!$B:$B,Conversio!$C:$C,"No trobat",0)</f>
        <v>CCC00007</v>
      </c>
      <c r="E207" t="str">
        <f>_xlfn.XLOOKUP(D:D,Conversio!C:C,Conversio!D:D,"No trobat")</f>
        <v>CUINA CENTRAL</v>
      </c>
      <c r="F207" t="s">
        <v>14</v>
      </c>
      <c r="G207" t="str">
        <f>_xlfn.XLOOKUP(F207,Conversio!$B:$B,Conversio!$C:$C,"No trobat",0)</f>
        <v>CCE00000</v>
      </c>
      <c r="H207" t="str">
        <f>_xlfn.XLOOKUP(G207,Conversio!$C:$C,Conversio!$D:$D,"No trobat",0)</f>
        <v>ADMINISTRACIO EMPRESA</v>
      </c>
      <c r="I207" s="13">
        <v>11955</v>
      </c>
      <c r="J207" s="2">
        <f t="shared" si="11"/>
        <v>199.25</v>
      </c>
      <c r="K207" s="6">
        <v>18</v>
      </c>
      <c r="L207" s="5">
        <f t="shared" si="12"/>
        <v>3586.5</v>
      </c>
    </row>
    <row r="208" spans="1:12" hidden="1" x14ac:dyDescent="0.3">
      <c r="A208" s="7">
        <v>46082</v>
      </c>
      <c r="B208" t="s">
        <v>87</v>
      </c>
      <c r="C208" t="s">
        <v>26</v>
      </c>
      <c r="D208" t="str">
        <f>_xlfn.XLOOKUP(C208,Conversio!$B:$B,Conversio!$C:$C,"No trobat",0)</f>
        <v>CCC00007</v>
      </c>
      <c r="E208" t="str">
        <f>_xlfn.XLOOKUP(D:D,Conversio!C:C,Conversio!D:D,"No trobat")</f>
        <v>CUINA CENTRAL</v>
      </c>
      <c r="F208" t="s">
        <v>14</v>
      </c>
      <c r="G208" t="str">
        <f>_xlfn.XLOOKUP(F208,Conversio!$B:$B,Conversio!$C:$C,"No trobat",0)</f>
        <v>CCE00000</v>
      </c>
      <c r="H208" t="str">
        <f>_xlfn.XLOOKUP(G208,Conversio!$C:$C,Conversio!$D:$D,"No trobat",0)</f>
        <v>ADMINISTRACIO EMPRESA</v>
      </c>
      <c r="I208" s="13">
        <v>360</v>
      </c>
      <c r="J208" s="2">
        <f t="shared" si="11"/>
        <v>6</v>
      </c>
      <c r="K208" s="6">
        <v>18</v>
      </c>
      <c r="L208" s="5">
        <f t="shared" si="12"/>
        <v>108</v>
      </c>
    </row>
    <row r="209" spans="1:12" hidden="1" x14ac:dyDescent="0.3">
      <c r="A209" s="7">
        <v>46082</v>
      </c>
      <c r="B209" t="s">
        <v>88</v>
      </c>
      <c r="C209" t="s">
        <v>30</v>
      </c>
      <c r="D209" t="str">
        <f>_xlfn.XLOOKUP(C209,Conversio!$B:$B,Conversio!$C:$C,"No trobat",0)</f>
        <v>CCC00007</v>
      </c>
      <c r="E209" t="str">
        <f>_xlfn.XLOOKUP(D:D,Conversio!C:C,Conversio!D:D,"No trobat")</f>
        <v>CUINA CENTRAL</v>
      </c>
      <c r="F209" t="s">
        <v>14</v>
      </c>
      <c r="G209" t="str">
        <f>_xlfn.XLOOKUP(F209,Conversio!$B:$B,Conversio!$C:$C,"No trobat",0)</f>
        <v>CCE00000</v>
      </c>
      <c r="H209" t="str">
        <f>_xlfn.XLOOKUP(G209,Conversio!$C:$C,Conversio!$D:$D,"No trobat",0)</f>
        <v>ADMINISTRACIO EMPRESA</v>
      </c>
      <c r="I209" s="13">
        <v>11907</v>
      </c>
      <c r="J209" s="2">
        <f t="shared" si="11"/>
        <v>198.45</v>
      </c>
      <c r="K209" s="6">
        <v>18</v>
      </c>
      <c r="L209" s="5">
        <f t="shared" si="12"/>
        <v>3572.1</v>
      </c>
    </row>
    <row r="210" spans="1:12" hidden="1" x14ac:dyDescent="0.3">
      <c r="A210" s="7">
        <v>46082</v>
      </c>
      <c r="B210" t="s">
        <v>95</v>
      </c>
      <c r="C210" t="s">
        <v>30</v>
      </c>
      <c r="D210" t="str">
        <f>_xlfn.XLOOKUP(C210,Conversio!$B:$B,Conversio!$C:$C,"No trobat",0)</f>
        <v>CCC00007</v>
      </c>
      <c r="E210" t="str">
        <f>_xlfn.XLOOKUP(D:D,Conversio!C:C,Conversio!D:D,"No trobat")</f>
        <v>CUINA CENTRAL</v>
      </c>
      <c r="F210" t="s">
        <v>14</v>
      </c>
      <c r="G210" t="str">
        <f>_xlfn.XLOOKUP(F210,Conversio!$B:$B,Conversio!$C:$C,"No trobat",0)</f>
        <v>CCE00000</v>
      </c>
      <c r="H210" t="str">
        <f>_xlfn.XLOOKUP(G210,Conversio!$C:$C,Conversio!$D:$D,"No trobat",0)</f>
        <v>ADMINISTRACIO EMPRESA</v>
      </c>
      <c r="I210" s="13">
        <v>9996</v>
      </c>
      <c r="J210" s="2">
        <f t="shared" si="11"/>
        <v>166.6</v>
      </c>
      <c r="K210" s="6">
        <v>18</v>
      </c>
      <c r="L210" s="5">
        <f t="shared" si="12"/>
        <v>2998.7999999999997</v>
      </c>
    </row>
    <row r="211" spans="1:12" hidden="1" x14ac:dyDescent="0.3">
      <c r="A211" s="7">
        <v>46082</v>
      </c>
      <c r="B211" t="s">
        <v>211</v>
      </c>
      <c r="C211" t="s">
        <v>40</v>
      </c>
      <c r="D211" t="str">
        <f>_xlfn.XLOOKUP(C211,Conversio!$B:$B,Conversio!$C:$C,"No trobat",0)</f>
        <v>CCR00001</v>
      </c>
      <c r="E211" t="str">
        <f>_xlfn.XLOOKUP(D:D,Conversio!C:C,Conversio!D:D,"No trobat")</f>
        <v>RESTAURANT ORIGENS</v>
      </c>
      <c r="F211" t="s">
        <v>14</v>
      </c>
      <c r="G211" t="str">
        <f>_xlfn.XLOOKUP(F211,Conversio!$B:$B,Conversio!$C:$C,"No trobat",0)</f>
        <v>CCE00000</v>
      </c>
      <c r="H211" t="str">
        <f>_xlfn.XLOOKUP(G211,Conversio!$C:$C,Conversio!$D:$D,"No trobat",0)</f>
        <v>ADMINISTRACIO EMPRESA</v>
      </c>
      <c r="I211" s="13">
        <v>1116</v>
      </c>
      <c r="J211" s="2">
        <f t="shared" si="11"/>
        <v>18.600000000000001</v>
      </c>
      <c r="K211" s="6">
        <v>18</v>
      </c>
      <c r="L211" s="5">
        <f t="shared" si="12"/>
        <v>334.8</v>
      </c>
    </row>
    <row r="212" spans="1:12" hidden="1" x14ac:dyDescent="0.3">
      <c r="A212" s="7">
        <v>46082</v>
      </c>
      <c r="B212" t="s">
        <v>96</v>
      </c>
      <c r="C212" t="s">
        <v>30</v>
      </c>
      <c r="D212" t="str">
        <f>_xlfn.XLOOKUP(C212,Conversio!$B:$B,Conversio!$C:$C,"No trobat",0)</f>
        <v>CCC00007</v>
      </c>
      <c r="E212" t="str">
        <f>_xlfn.XLOOKUP(D:D,Conversio!C:C,Conversio!D:D,"No trobat")</f>
        <v>CUINA CENTRAL</v>
      </c>
      <c r="F212" t="s">
        <v>14</v>
      </c>
      <c r="G212" t="str">
        <f>_xlfn.XLOOKUP(F212,Conversio!$B:$B,Conversio!$C:$C,"No trobat",0)</f>
        <v>CCE00000</v>
      </c>
      <c r="H212" t="str">
        <f>_xlfn.XLOOKUP(G212,Conversio!$C:$C,Conversio!$D:$D,"No trobat",0)</f>
        <v>ADMINISTRACIO EMPRESA</v>
      </c>
      <c r="I212" s="13">
        <v>11089</v>
      </c>
      <c r="J212" s="2">
        <f t="shared" si="11"/>
        <v>184.81666666666666</v>
      </c>
      <c r="K212" s="6">
        <v>18</v>
      </c>
      <c r="L212" s="5">
        <f t="shared" si="12"/>
        <v>3326.7</v>
      </c>
    </row>
    <row r="213" spans="1:12" hidden="1" x14ac:dyDescent="0.3">
      <c r="A213" s="7">
        <v>46082</v>
      </c>
      <c r="B213" t="s">
        <v>97</v>
      </c>
      <c r="C213" t="s">
        <v>50</v>
      </c>
      <c r="D213" t="str">
        <f>_xlfn.XLOOKUP(C213,Conversio!$B:$B,Conversio!$C:$C,"No trobat",0)</f>
        <v>CCC00007</v>
      </c>
      <c r="E213" t="str">
        <f>_xlfn.XLOOKUP(D:D,Conversio!C:C,Conversio!D:D,"No trobat")</f>
        <v>CUINA CENTRAL</v>
      </c>
      <c r="F213" t="s">
        <v>14</v>
      </c>
      <c r="G213" t="str">
        <f>_xlfn.XLOOKUP(F213,Conversio!$B:$B,Conversio!$C:$C,"No trobat",0)</f>
        <v>CCE00000</v>
      </c>
      <c r="H213" t="str">
        <f>_xlfn.XLOOKUP(G213,Conversio!$C:$C,Conversio!$D:$D,"No trobat",0)</f>
        <v>ADMINISTRACIO EMPRESA</v>
      </c>
      <c r="I213" s="13">
        <v>7951</v>
      </c>
      <c r="J213" s="2">
        <f t="shared" si="11"/>
        <v>132.51666666666668</v>
      </c>
      <c r="K213" s="6">
        <v>18</v>
      </c>
      <c r="L213" s="5">
        <f t="shared" si="12"/>
        <v>2385.3000000000002</v>
      </c>
    </row>
    <row r="214" spans="1:12" hidden="1" x14ac:dyDescent="0.3">
      <c r="A214" s="7">
        <v>46082</v>
      </c>
      <c r="B214" t="s">
        <v>98</v>
      </c>
      <c r="C214" t="s">
        <v>21</v>
      </c>
      <c r="D214" t="str">
        <f>_xlfn.XLOOKUP(C214,Conversio!$B:$B,Conversio!$C:$C,"No trobat",0)</f>
        <v>CCC00007</v>
      </c>
      <c r="E214" t="str">
        <f>_xlfn.XLOOKUP(D:D,Conversio!C:C,Conversio!D:D,"No trobat")</f>
        <v>CUINA CENTRAL</v>
      </c>
      <c r="F214" t="s">
        <v>14</v>
      </c>
      <c r="G214" t="str">
        <f>_xlfn.XLOOKUP(F214,Conversio!$B:$B,Conversio!$C:$C,"No trobat",0)</f>
        <v>CCE00000</v>
      </c>
      <c r="H214" t="str">
        <f>_xlfn.XLOOKUP(G214,Conversio!$C:$C,Conversio!$D:$D,"No trobat",0)</f>
        <v>ADMINISTRACIO EMPRESA</v>
      </c>
      <c r="I214" s="13">
        <v>560</v>
      </c>
      <c r="J214" s="2">
        <f t="shared" si="11"/>
        <v>9.3333333333333339</v>
      </c>
      <c r="K214" s="6">
        <v>18</v>
      </c>
      <c r="L214" s="5">
        <f t="shared" si="12"/>
        <v>168</v>
      </c>
    </row>
    <row r="215" spans="1:12" hidden="1" x14ac:dyDescent="0.3">
      <c r="A215" s="7">
        <v>46082</v>
      </c>
      <c r="B215" t="s">
        <v>107</v>
      </c>
      <c r="C215" t="s">
        <v>26</v>
      </c>
      <c r="D215" t="str">
        <f>_xlfn.XLOOKUP(C215,Conversio!$B:$B,Conversio!$C:$C,"No trobat",0)</f>
        <v>CCC00007</v>
      </c>
      <c r="E215" t="str">
        <f>_xlfn.XLOOKUP(D:D,Conversio!C:C,Conversio!D:D,"No trobat")</f>
        <v>CUINA CENTRAL</v>
      </c>
      <c r="F215" t="s">
        <v>14</v>
      </c>
      <c r="G215" t="str">
        <f>_xlfn.XLOOKUP(F215,Conversio!$B:$B,Conversio!$C:$C,"No trobat",0)</f>
        <v>CCE00000</v>
      </c>
      <c r="H215" t="str">
        <f>_xlfn.XLOOKUP(G215,Conversio!$C:$C,Conversio!$D:$D,"No trobat",0)</f>
        <v>ADMINISTRACIO EMPRESA</v>
      </c>
      <c r="I215" s="13">
        <v>4244</v>
      </c>
      <c r="J215" s="2">
        <f t="shared" si="11"/>
        <v>70.733333333333334</v>
      </c>
      <c r="K215" s="6">
        <v>18</v>
      </c>
      <c r="L215" s="5">
        <f t="shared" si="12"/>
        <v>1273.2</v>
      </c>
    </row>
    <row r="216" spans="1:12" hidden="1" x14ac:dyDescent="0.3">
      <c r="A216" s="7">
        <v>46082</v>
      </c>
      <c r="B216" t="s">
        <v>120</v>
      </c>
      <c r="C216" t="s">
        <v>121</v>
      </c>
      <c r="D216" t="str">
        <f>_xlfn.XLOOKUP(C216,Conversio!$B:$B,Conversio!$C:$C,"No trobat",0)</f>
        <v>CCR00008</v>
      </c>
      <c r="E216" t="str">
        <f>_xlfn.XLOOKUP(D:D,Conversio!C:C,Conversio!D:D,"No trobat")</f>
        <v>RESTAURANT FONT  DE LA CANYA</v>
      </c>
      <c r="F216" t="s">
        <v>14</v>
      </c>
      <c r="G216" t="str">
        <f>_xlfn.XLOOKUP(F216,Conversio!$B:$B,Conversio!$C:$C,"No trobat",0)</f>
        <v>CCE00000</v>
      </c>
      <c r="H216" t="str">
        <f>_xlfn.XLOOKUP(G216,Conversio!$C:$C,Conversio!$D:$D,"No trobat",0)</f>
        <v>ADMINISTRACIO EMPRESA</v>
      </c>
      <c r="I216" s="13">
        <v>1444</v>
      </c>
      <c r="J216" s="2">
        <f t="shared" si="11"/>
        <v>24.066666666666666</v>
      </c>
      <c r="K216" s="6">
        <v>18</v>
      </c>
      <c r="L216" s="5">
        <f t="shared" si="12"/>
        <v>433.2</v>
      </c>
    </row>
    <row r="217" spans="1:12" hidden="1" x14ac:dyDescent="0.3">
      <c r="A217" s="7">
        <v>46082</v>
      </c>
      <c r="B217" t="s">
        <v>124</v>
      </c>
      <c r="C217" t="s">
        <v>26</v>
      </c>
      <c r="D217" t="str">
        <f>_xlfn.XLOOKUP(C217,Conversio!$B:$B,Conversio!$C:$C,"No trobat",0)</f>
        <v>CCC00007</v>
      </c>
      <c r="E217" t="str">
        <f>_xlfn.XLOOKUP(D:D,Conversio!C:C,Conversio!D:D,"No trobat")</f>
        <v>CUINA CENTRAL</v>
      </c>
      <c r="F217" t="s">
        <v>14</v>
      </c>
      <c r="G217" t="str">
        <f>_xlfn.XLOOKUP(F217,Conversio!$B:$B,Conversio!$C:$C,"No trobat",0)</f>
        <v>CCE00000</v>
      </c>
      <c r="H217" t="str">
        <f>_xlfn.XLOOKUP(G217,Conversio!$C:$C,Conversio!$D:$D,"No trobat",0)</f>
        <v>ADMINISTRACIO EMPRESA</v>
      </c>
      <c r="I217" s="13">
        <v>2874</v>
      </c>
      <c r="J217" s="2">
        <f t="shared" si="11"/>
        <v>47.9</v>
      </c>
      <c r="K217" s="6">
        <v>18</v>
      </c>
      <c r="L217" s="5">
        <f t="shared" si="12"/>
        <v>862.19999999999993</v>
      </c>
    </row>
    <row r="218" spans="1:12" hidden="1" x14ac:dyDescent="0.3">
      <c r="A218" s="7">
        <v>46082</v>
      </c>
      <c r="B218" t="s">
        <v>127</v>
      </c>
      <c r="C218" t="s">
        <v>26</v>
      </c>
      <c r="D218" t="str">
        <f>_xlfn.XLOOKUP(C218,Conversio!$B:$B,Conversio!$C:$C,"No trobat",0)</f>
        <v>CCC00007</v>
      </c>
      <c r="E218" t="str">
        <f>_xlfn.XLOOKUP(D:D,Conversio!C:C,Conversio!D:D,"No trobat")</f>
        <v>CUINA CENTRAL</v>
      </c>
      <c r="F218" t="s">
        <v>14</v>
      </c>
      <c r="G218" t="str">
        <f>_xlfn.XLOOKUP(F218,Conversio!$B:$B,Conversio!$C:$C,"No trobat",0)</f>
        <v>CCE00000</v>
      </c>
      <c r="H218" t="str">
        <f>_xlfn.XLOOKUP(G218,Conversio!$C:$C,Conversio!$D:$D,"No trobat",0)</f>
        <v>ADMINISTRACIO EMPRESA</v>
      </c>
      <c r="I218" s="13">
        <v>1486</v>
      </c>
      <c r="J218" s="2">
        <f t="shared" si="11"/>
        <v>24.766666666666666</v>
      </c>
      <c r="K218" s="6">
        <v>18</v>
      </c>
      <c r="L218" s="5">
        <f t="shared" si="12"/>
        <v>445.79999999999995</v>
      </c>
    </row>
    <row r="219" spans="1:12" hidden="1" x14ac:dyDescent="0.3">
      <c r="A219" s="7">
        <v>46082</v>
      </c>
      <c r="B219" t="s">
        <v>137</v>
      </c>
      <c r="C219" t="s">
        <v>138</v>
      </c>
      <c r="D219" t="str">
        <f>_xlfn.XLOOKUP(C219,Conversio!$B:$B,Conversio!$C:$C,"No trobat",0)</f>
        <v>CCC00008</v>
      </c>
      <c r="E219" t="str">
        <f>_xlfn.XLOOKUP(D:D,Conversio!C:C,Conversio!D:D,"No trobat")</f>
        <v>SERVEIS EXTERNS</v>
      </c>
      <c r="F219" t="s">
        <v>14</v>
      </c>
      <c r="G219" t="str">
        <f>_xlfn.XLOOKUP(F219,Conversio!$B:$B,Conversio!$C:$C,"No trobat",0)</f>
        <v>CCE00000</v>
      </c>
      <c r="H219" t="str">
        <f>_xlfn.XLOOKUP(G219,Conversio!$C:$C,Conversio!$D:$D,"No trobat",0)</f>
        <v>ADMINISTRACIO EMPRESA</v>
      </c>
      <c r="I219" s="13">
        <v>517</v>
      </c>
      <c r="J219" s="2">
        <f t="shared" si="11"/>
        <v>8.6166666666666671</v>
      </c>
      <c r="K219" s="6">
        <v>18</v>
      </c>
      <c r="L219" s="5">
        <f t="shared" si="12"/>
        <v>155.10000000000002</v>
      </c>
    </row>
    <row r="220" spans="1:12" hidden="1" x14ac:dyDescent="0.3">
      <c r="A220" s="7">
        <v>46082</v>
      </c>
      <c r="B220" t="s">
        <v>143</v>
      </c>
      <c r="C220" t="s">
        <v>47</v>
      </c>
      <c r="D220" t="str">
        <f>_xlfn.XLOOKUP(C220,Conversio!$B:$B,Conversio!$C:$C,"No trobat",0)</f>
        <v>CCR00004</v>
      </c>
      <c r="E220" t="str">
        <f>_xlfn.XLOOKUP(D:D,Conversio!C:C,Conversio!D:D,"No trobat")</f>
        <v>RESTAURANT CAMP NOU</v>
      </c>
      <c r="F220" t="s">
        <v>14</v>
      </c>
      <c r="G220" t="str">
        <f>_xlfn.XLOOKUP(F220,Conversio!$B:$B,Conversio!$C:$C,"No trobat",0)</f>
        <v>CCE00000</v>
      </c>
      <c r="H220" t="str">
        <f>_xlfn.XLOOKUP(G220,Conversio!$C:$C,Conversio!$D:$D,"No trobat",0)</f>
        <v>ADMINISTRACIO EMPRESA</v>
      </c>
      <c r="I220" s="13">
        <v>600</v>
      </c>
      <c r="J220" s="2">
        <f t="shared" si="11"/>
        <v>10</v>
      </c>
      <c r="K220" s="6">
        <v>18</v>
      </c>
      <c r="L220" s="5">
        <f t="shared" si="12"/>
        <v>180</v>
      </c>
    </row>
    <row r="221" spans="1:12" hidden="1" x14ac:dyDescent="0.3">
      <c r="A221" s="7">
        <v>46082</v>
      </c>
      <c r="B221" t="s">
        <v>144</v>
      </c>
      <c r="C221" t="s">
        <v>145</v>
      </c>
      <c r="D221" t="str">
        <f>_xlfn.XLOOKUP(C221,Conversio!$B:$B,Conversio!$C:$C,"No trobat",0)</f>
        <v>CCR00003</v>
      </c>
      <c r="E221" t="str">
        <f>_xlfn.XLOOKUP(D:D,Conversio!C:C,Conversio!D:D,"No trobat")</f>
        <v>RESTAURANT LA MASIA D'ESPLUGUES</v>
      </c>
      <c r="F221" t="s">
        <v>14</v>
      </c>
      <c r="G221" t="str">
        <f>_xlfn.XLOOKUP(F221,Conversio!$B:$B,Conversio!$C:$C,"No trobat",0)</f>
        <v>CCE00000</v>
      </c>
      <c r="H221" t="str">
        <f>_xlfn.XLOOKUP(G221,Conversio!$C:$C,Conversio!$D:$D,"No trobat",0)</f>
        <v>ADMINISTRACIO EMPRESA</v>
      </c>
      <c r="I221" s="13">
        <v>325</v>
      </c>
      <c r="J221" s="2">
        <f t="shared" si="11"/>
        <v>5.416666666666667</v>
      </c>
      <c r="K221" s="6">
        <v>18</v>
      </c>
      <c r="L221" s="5">
        <f t="shared" si="12"/>
        <v>97.5</v>
      </c>
    </row>
    <row r="222" spans="1:12" hidden="1" x14ac:dyDescent="0.3">
      <c r="A222" s="7">
        <v>46082</v>
      </c>
      <c r="B222" t="s">
        <v>43</v>
      </c>
      <c r="C222" t="s">
        <v>44</v>
      </c>
      <c r="D222" t="str">
        <f>_xlfn.XLOOKUP(C222,Conversio!$B:$B,Conversio!$C:$C,"No trobat",0)</f>
        <v>CCR00009</v>
      </c>
      <c r="E222" t="str">
        <f>_xlfn.XLOOKUP(D:D,Conversio!C:C,Conversio!D:D,"No trobat")</f>
        <v>RESTAURANT VALKIRIA</v>
      </c>
      <c r="F222" t="s">
        <v>45</v>
      </c>
      <c r="G222" t="str">
        <f>_xlfn.XLOOKUP(F222,Conversio!$B:$B,Conversio!$C:$C,"No trobat",0)</f>
        <v>CCR00011</v>
      </c>
      <c r="H222" t="str">
        <f>_xlfn.XLOOKUP(G222,Conversio!$C:$C,Conversio!$D:$D,"No trobat",0)</f>
        <v xml:space="preserve"> GREEN VITA</v>
      </c>
      <c r="I222" s="13">
        <v>2850</v>
      </c>
      <c r="J222" s="2">
        <f t="shared" si="11"/>
        <v>47.5</v>
      </c>
      <c r="K222" s="6">
        <v>18</v>
      </c>
      <c r="L222" s="5">
        <f t="shared" si="12"/>
        <v>855</v>
      </c>
    </row>
    <row r="223" spans="1:12" hidden="1" x14ac:dyDescent="0.3">
      <c r="A223" s="7">
        <v>46082</v>
      </c>
      <c r="B223" t="s">
        <v>108</v>
      </c>
      <c r="C223" t="s">
        <v>80</v>
      </c>
      <c r="D223" t="str">
        <f>_xlfn.XLOOKUP(C223,Conversio!$B:$B,Conversio!$C:$C,"No trobat",0)</f>
        <v>CCR00007</v>
      </c>
      <c r="E223" t="str">
        <f>_xlfn.XLOOKUP(D:D,Conversio!C:C,Conversio!D:D,"No trobat")</f>
        <v>RESTAURANT JUNO HOUSE</v>
      </c>
      <c r="F223" t="s">
        <v>45</v>
      </c>
      <c r="G223" t="str">
        <f>_xlfn.XLOOKUP(F223,Conversio!$B:$B,Conversio!$C:$C,"No trobat",0)</f>
        <v>CCR00011</v>
      </c>
      <c r="H223" t="str">
        <f>_xlfn.XLOOKUP(G223,Conversio!$C:$C,Conversio!$D:$D,"No trobat",0)</f>
        <v xml:space="preserve"> GREEN VITA</v>
      </c>
      <c r="I223" s="13">
        <v>3802</v>
      </c>
      <c r="J223" s="2">
        <f t="shared" si="11"/>
        <v>63.366666666666667</v>
      </c>
      <c r="K223" s="6">
        <v>18</v>
      </c>
      <c r="L223" s="5">
        <f t="shared" si="12"/>
        <v>1140.5999999999999</v>
      </c>
    </row>
    <row r="224" spans="1:12" hidden="1" x14ac:dyDescent="0.3">
      <c r="A224" s="7">
        <v>46082</v>
      </c>
      <c r="B224" t="s">
        <v>133</v>
      </c>
      <c r="C224" t="s">
        <v>47</v>
      </c>
      <c r="D224" t="str">
        <f>_xlfn.XLOOKUP(C224,Conversio!$B:$B,Conversio!$C:$C,"No trobat",0)</f>
        <v>CCR00004</v>
      </c>
      <c r="E224" t="str">
        <f>_xlfn.XLOOKUP(D:D,Conversio!C:C,Conversio!D:D,"No trobat")</f>
        <v>RESTAURANT CAMP NOU</v>
      </c>
      <c r="F224" t="s">
        <v>45</v>
      </c>
      <c r="G224" t="str">
        <f>_xlfn.XLOOKUP(F224,Conversio!$B:$B,Conversio!$C:$C,"No trobat",0)</f>
        <v>CCR00011</v>
      </c>
      <c r="H224" t="str">
        <f>_xlfn.XLOOKUP(G224,Conversio!$C:$C,Conversio!$D:$D,"No trobat",0)</f>
        <v xml:space="preserve"> GREEN VITA</v>
      </c>
      <c r="I224" s="13">
        <v>960</v>
      </c>
      <c r="J224" s="2">
        <f t="shared" si="11"/>
        <v>16</v>
      </c>
      <c r="K224" s="6">
        <v>18</v>
      </c>
      <c r="L224" s="5">
        <f t="shared" si="12"/>
        <v>288</v>
      </c>
    </row>
    <row r="225" spans="1:12" hidden="1" x14ac:dyDescent="0.3">
      <c r="A225" s="7">
        <v>46082</v>
      </c>
      <c r="B225" t="s">
        <v>143</v>
      </c>
      <c r="C225" t="s">
        <v>47</v>
      </c>
      <c r="D225" t="str">
        <f>_xlfn.XLOOKUP(C225,Conversio!$B:$B,Conversio!$C:$C,"No trobat",0)</f>
        <v>CCR00004</v>
      </c>
      <c r="E225" t="str">
        <f>_xlfn.XLOOKUP(D:D,Conversio!C:C,Conversio!D:D,"No trobat")</f>
        <v>RESTAURANT CAMP NOU</v>
      </c>
      <c r="F225" t="s">
        <v>45</v>
      </c>
      <c r="G225" t="str">
        <f>_xlfn.XLOOKUP(F225,Conversio!$B:$B,Conversio!$C:$C,"No trobat",0)</f>
        <v>CCR00011</v>
      </c>
      <c r="H225" t="str">
        <f>_xlfn.XLOOKUP(G225,Conversio!$C:$C,Conversio!$D:$D,"No trobat",0)</f>
        <v xml:space="preserve"> GREEN VITA</v>
      </c>
      <c r="I225" s="13">
        <v>3660</v>
      </c>
      <c r="J225" s="2">
        <f t="shared" si="11"/>
        <v>61</v>
      </c>
      <c r="K225" s="6">
        <v>18</v>
      </c>
      <c r="L225" s="5">
        <f t="shared" si="12"/>
        <v>1098</v>
      </c>
    </row>
    <row r="226" spans="1:12" hidden="1" x14ac:dyDescent="0.3">
      <c r="A226" s="7">
        <v>46082</v>
      </c>
      <c r="B226" t="s">
        <v>220</v>
      </c>
      <c r="C226" t="s">
        <v>94</v>
      </c>
      <c r="D226" t="str">
        <f>_xlfn.XLOOKUP(C226,Conversio!$B:$B,Conversio!$C:$C,"No trobat",0)</f>
        <v>CCR00003</v>
      </c>
      <c r="E226" t="str">
        <f>_xlfn.XLOOKUP(D:D,Conversio!C:C,Conversio!D:D,"No trobat")</f>
        <v>RESTAURANT LA MASIA D'ESPLUGUES</v>
      </c>
      <c r="F226" t="s">
        <v>48</v>
      </c>
      <c r="G226" t="str">
        <f>_xlfn.XLOOKUP(F226,Conversio!$B:$B,Conversio!$C:$C,"No trobat",0)</f>
        <v>CCR00007</v>
      </c>
      <c r="H226" t="str">
        <f>_xlfn.XLOOKUP(G226,Conversio!$C:$C,Conversio!$D:$D,"No trobat",0)</f>
        <v>RESTAURANT JUNO HOUSE</v>
      </c>
      <c r="I226" s="13">
        <v>540</v>
      </c>
      <c r="J226" s="2">
        <f t="shared" si="11"/>
        <v>9</v>
      </c>
      <c r="K226" s="6">
        <v>18</v>
      </c>
      <c r="L226" s="5">
        <f t="shared" si="12"/>
        <v>162</v>
      </c>
    </row>
    <row r="227" spans="1:12" hidden="1" x14ac:dyDescent="0.3">
      <c r="A227" s="7">
        <v>46082</v>
      </c>
      <c r="B227" t="s">
        <v>31</v>
      </c>
      <c r="C227" t="s">
        <v>32</v>
      </c>
      <c r="D227" t="str">
        <f>_xlfn.XLOOKUP(C227,Conversio!$B:$B,Conversio!$C:$C,"No trobat",0)</f>
        <v>CCR00009</v>
      </c>
      <c r="E227" t="str">
        <f>_xlfn.XLOOKUP(D:D,Conversio!C:C,Conversio!D:D,"No trobat")</f>
        <v>RESTAURANT VALKIRIA</v>
      </c>
      <c r="F227" t="s">
        <v>34</v>
      </c>
      <c r="G227" t="str">
        <f>_xlfn.XLOOKUP(F227,Conversio!$B:$B,Conversio!$C:$C,"No trobat",0)</f>
        <v>CCR00003</v>
      </c>
      <c r="H227" t="str">
        <f>_xlfn.XLOOKUP(G227,Conversio!$C:$C,Conversio!$D:$D,"No trobat",0)</f>
        <v>RESTAURANT LA MASIA D'ESPLUGUES</v>
      </c>
      <c r="I227" s="13">
        <v>726</v>
      </c>
      <c r="J227" s="2">
        <f t="shared" si="11"/>
        <v>12.1</v>
      </c>
      <c r="K227" s="6">
        <v>18</v>
      </c>
      <c r="L227" s="5">
        <f t="shared" si="12"/>
        <v>217.79999999999998</v>
      </c>
    </row>
    <row r="228" spans="1:12" hidden="1" x14ac:dyDescent="0.3">
      <c r="A228" s="7">
        <v>46082</v>
      </c>
      <c r="B228" t="s">
        <v>89</v>
      </c>
      <c r="C228" t="s">
        <v>90</v>
      </c>
      <c r="D228" t="str">
        <f>_xlfn.XLOOKUP(C228,Conversio!$B:$B,Conversio!$C:$C,"No trobat",0)</f>
        <v>CCR00000</v>
      </c>
      <c r="E228" t="str">
        <f>_xlfn.XLOOKUP(D:D,Conversio!C:C,Conversio!D:D,"No trobat")</f>
        <v>ADMINISTRACIO RESTAURANTS</v>
      </c>
      <c r="F228" t="s">
        <v>34</v>
      </c>
      <c r="G228" t="str">
        <f>_xlfn.XLOOKUP(F228,Conversio!$B:$B,Conversio!$C:$C,"No trobat",0)</f>
        <v>CCR00003</v>
      </c>
      <c r="H228" t="str">
        <f>_xlfn.XLOOKUP(G228,Conversio!$C:$C,Conversio!$D:$D,"No trobat",0)</f>
        <v>RESTAURANT LA MASIA D'ESPLUGUES</v>
      </c>
      <c r="I228" s="13">
        <v>225</v>
      </c>
      <c r="J228" s="2">
        <f t="shared" si="11"/>
        <v>3.75</v>
      </c>
      <c r="K228" s="6">
        <v>18</v>
      </c>
      <c r="L228" s="5">
        <f t="shared" si="12"/>
        <v>67.5</v>
      </c>
    </row>
    <row r="229" spans="1:12" hidden="1" x14ac:dyDescent="0.3">
      <c r="A229" s="7">
        <v>46082</v>
      </c>
      <c r="B229" t="s">
        <v>108</v>
      </c>
      <c r="C229" t="s">
        <v>80</v>
      </c>
      <c r="D229" t="str">
        <f>_xlfn.XLOOKUP(C229,Conversio!$B:$B,Conversio!$C:$C,"No trobat",0)</f>
        <v>CCR00007</v>
      </c>
      <c r="E229" t="str">
        <f>_xlfn.XLOOKUP(D:D,Conversio!C:C,Conversio!D:D,"No trobat")</f>
        <v>RESTAURANT JUNO HOUSE</v>
      </c>
      <c r="F229" t="s">
        <v>34</v>
      </c>
      <c r="G229" t="str">
        <f>_xlfn.XLOOKUP(F229,Conversio!$B:$B,Conversio!$C:$C,"No trobat",0)</f>
        <v>CCR00003</v>
      </c>
      <c r="H229" t="str">
        <f>_xlfn.XLOOKUP(G229,Conversio!$C:$C,Conversio!$D:$D,"No trobat",0)</f>
        <v>RESTAURANT LA MASIA D'ESPLUGUES</v>
      </c>
      <c r="I229" s="13">
        <v>602</v>
      </c>
      <c r="J229" s="2">
        <f t="shared" si="11"/>
        <v>10.033333333333333</v>
      </c>
      <c r="K229" s="6">
        <v>18</v>
      </c>
      <c r="L229" s="5">
        <f t="shared" si="12"/>
        <v>180.6</v>
      </c>
    </row>
    <row r="230" spans="1:12" hidden="1" x14ac:dyDescent="0.3">
      <c r="A230" s="7">
        <v>46082</v>
      </c>
      <c r="B230" t="s">
        <v>125</v>
      </c>
      <c r="C230" t="s">
        <v>110</v>
      </c>
      <c r="D230" t="str">
        <f>_xlfn.XLOOKUP(C230,Conversio!$B:$B,Conversio!$C:$C,"No trobat",0)</f>
        <v>CCR00006</v>
      </c>
      <c r="E230" t="str">
        <f>_xlfn.XLOOKUP(D:D,Conversio!C:C,Conversio!D:D,"No trobat")</f>
        <v>RESTAURANT MIRADOR DE LES CAVES</v>
      </c>
      <c r="F230" t="s">
        <v>34</v>
      </c>
      <c r="G230" t="str">
        <f>_xlfn.XLOOKUP(F230,Conversio!$B:$B,Conversio!$C:$C,"No trobat",0)</f>
        <v>CCR00003</v>
      </c>
      <c r="H230" t="str">
        <f>_xlfn.XLOOKUP(G230,Conversio!$C:$C,Conversio!$D:$D,"No trobat",0)</f>
        <v>RESTAURANT LA MASIA D'ESPLUGUES</v>
      </c>
      <c r="I230" s="13">
        <v>335</v>
      </c>
      <c r="J230" s="2">
        <f t="shared" si="11"/>
        <v>5.583333333333333</v>
      </c>
      <c r="K230" s="6">
        <v>18</v>
      </c>
      <c r="L230" s="5">
        <f t="shared" si="12"/>
        <v>100.5</v>
      </c>
    </row>
    <row r="231" spans="1:12" hidden="1" x14ac:dyDescent="0.3">
      <c r="A231" s="7">
        <v>46082</v>
      </c>
      <c r="B231" t="s">
        <v>89</v>
      </c>
      <c r="C231" t="s">
        <v>90</v>
      </c>
      <c r="D231" t="str">
        <f>_xlfn.XLOOKUP(C231,Conversio!$B:$B,Conversio!$C:$C,"No trobat",0)</f>
        <v>CCR00000</v>
      </c>
      <c r="E231" t="str">
        <f>_xlfn.XLOOKUP(D:D,Conversio!C:C,Conversio!D:D,"No trobat")</f>
        <v>ADMINISTRACIO RESTAURANTS</v>
      </c>
      <c r="F231" t="s">
        <v>18</v>
      </c>
      <c r="G231" t="str">
        <f>_xlfn.XLOOKUP(F231,Conversio!$B:$B,Conversio!$C:$C,"No trobat",0)</f>
        <v>CCR00006</v>
      </c>
      <c r="H231" t="str">
        <f>_xlfn.XLOOKUP(G231,Conversio!$C:$C,Conversio!$D:$D,"No trobat",0)</f>
        <v>RESTAURANT MIRADOR DE LES CAVES</v>
      </c>
      <c r="I231" s="13">
        <v>500</v>
      </c>
      <c r="J231" s="2">
        <f t="shared" si="11"/>
        <v>8.3333333333333339</v>
      </c>
      <c r="K231" s="6">
        <v>18</v>
      </c>
      <c r="L231" s="5">
        <f t="shared" si="12"/>
        <v>150</v>
      </c>
    </row>
    <row r="232" spans="1:12" hidden="1" x14ac:dyDescent="0.3">
      <c r="A232" s="7">
        <v>46082</v>
      </c>
      <c r="B232" t="s">
        <v>128</v>
      </c>
      <c r="C232" t="s">
        <v>129</v>
      </c>
      <c r="D232" t="str">
        <f>_xlfn.XLOOKUP(C232,Conversio!$B:$B,Conversio!$C:$C,"No trobat",0)</f>
        <v>CCR00000</v>
      </c>
      <c r="E232" t="str">
        <f>_xlfn.XLOOKUP(D:D,Conversio!C:C,Conversio!D:D,"No trobat")</f>
        <v>ADMINISTRACIO RESTAURANTS</v>
      </c>
      <c r="F232" t="s">
        <v>18</v>
      </c>
      <c r="G232" t="str">
        <f>_xlfn.XLOOKUP(F232,Conversio!$B:$B,Conversio!$C:$C,"No trobat",0)</f>
        <v>CCR00006</v>
      </c>
      <c r="H232" t="str">
        <f>_xlfn.XLOOKUP(G232,Conversio!$C:$C,Conversio!$D:$D,"No trobat",0)</f>
        <v>RESTAURANT MIRADOR DE LES CAVES</v>
      </c>
      <c r="I232" s="13">
        <v>1458</v>
      </c>
      <c r="J232" s="2">
        <f t="shared" si="11"/>
        <v>24.3</v>
      </c>
      <c r="K232" s="6">
        <v>18</v>
      </c>
      <c r="L232" s="5">
        <f t="shared" si="12"/>
        <v>437.40000000000003</v>
      </c>
    </row>
    <row r="233" spans="1:12" hidden="1" x14ac:dyDescent="0.3">
      <c r="A233" s="7">
        <v>46082</v>
      </c>
      <c r="B233" t="s">
        <v>134</v>
      </c>
      <c r="C233" t="s">
        <v>40</v>
      </c>
      <c r="D233" t="str">
        <f>_xlfn.XLOOKUP(C233,Conversio!$B:$B,Conversio!$C:$C,"No trobat",0)</f>
        <v>CCR00001</v>
      </c>
      <c r="E233" t="str">
        <f>_xlfn.XLOOKUP(D:D,Conversio!C:C,Conversio!D:D,"No trobat")</f>
        <v>RESTAURANT ORIGENS</v>
      </c>
      <c r="F233" t="s">
        <v>18</v>
      </c>
      <c r="G233" t="str">
        <f>_xlfn.XLOOKUP(F233,Conversio!$B:$B,Conversio!$C:$C,"No trobat",0)</f>
        <v>CCR00006</v>
      </c>
      <c r="H233" t="str">
        <f>_xlfn.XLOOKUP(G233,Conversio!$C:$C,Conversio!$D:$D,"No trobat",0)</f>
        <v>RESTAURANT MIRADOR DE LES CAVES</v>
      </c>
      <c r="I233" s="13">
        <v>496</v>
      </c>
      <c r="J233" s="2">
        <f t="shared" si="11"/>
        <v>8.2666666666666675</v>
      </c>
      <c r="K233" s="6">
        <v>18</v>
      </c>
      <c r="L233" s="5">
        <f t="shared" si="12"/>
        <v>148.80000000000001</v>
      </c>
    </row>
    <row r="234" spans="1:12" hidden="1" x14ac:dyDescent="0.3">
      <c r="A234" s="7">
        <v>46082</v>
      </c>
      <c r="B234" t="s">
        <v>214</v>
      </c>
      <c r="C234" t="s">
        <v>215</v>
      </c>
      <c r="D234" t="str">
        <f>_xlfn.XLOOKUP(C234,Conversio!$B:$B,Conversio!$C:$C,"No trobat",0)</f>
        <v>No trobat</v>
      </c>
      <c r="E234" t="str">
        <f>_xlfn.XLOOKUP(D:D,Conversio!C:C,Conversio!D:D,"No trobat")</f>
        <v>No trobat</v>
      </c>
      <c r="F234" t="s">
        <v>18</v>
      </c>
      <c r="G234" t="str">
        <f>_xlfn.XLOOKUP(F234,Conversio!$B:$B,Conversio!$C:$C,"No trobat",0)</f>
        <v>CCR00006</v>
      </c>
      <c r="H234" t="str">
        <f>_xlfn.XLOOKUP(G234,Conversio!$C:$C,Conversio!$D:$D,"No trobat",0)</f>
        <v>RESTAURANT MIRADOR DE LES CAVES</v>
      </c>
      <c r="I234" s="13">
        <v>481</v>
      </c>
      <c r="J234" s="2">
        <f t="shared" si="11"/>
        <v>8.0166666666666675</v>
      </c>
      <c r="K234" s="6">
        <v>18</v>
      </c>
      <c r="L234" s="5">
        <f t="shared" si="12"/>
        <v>144.30000000000001</v>
      </c>
    </row>
    <row r="235" spans="1:12" hidden="1" x14ac:dyDescent="0.3">
      <c r="A235" s="7">
        <v>46082</v>
      </c>
      <c r="B235" t="s">
        <v>109</v>
      </c>
      <c r="C235" t="s">
        <v>110</v>
      </c>
      <c r="D235" t="str">
        <f>_xlfn.XLOOKUP(C235,Conversio!$B:$B,Conversio!$C:$C,"No trobat",0)</f>
        <v>CCR00006</v>
      </c>
      <c r="E235" t="str">
        <f>_xlfn.XLOOKUP(D:D,Conversio!C:C,Conversio!D:D,"No trobat")</f>
        <v>RESTAURANT MIRADOR DE LES CAVES</v>
      </c>
      <c r="F235" t="s">
        <v>19</v>
      </c>
      <c r="G235" t="str">
        <f>_xlfn.XLOOKUP(F235,Conversio!$B:$B,Conversio!$C:$C,"No trobat",0)</f>
        <v>CCR00002</v>
      </c>
      <c r="H235" t="str">
        <f>_xlfn.XLOOKUP(G235,Conversio!$C:$C,Conversio!$D:$D,"No trobat",0)</f>
        <v>RESTAURANT NAUTIC</v>
      </c>
      <c r="I235" s="13">
        <v>714</v>
      </c>
      <c r="J235" s="2">
        <f t="shared" si="11"/>
        <v>11.9</v>
      </c>
      <c r="K235" s="6">
        <v>18</v>
      </c>
      <c r="L235" s="5">
        <f t="shared" si="12"/>
        <v>214.20000000000002</v>
      </c>
    </row>
    <row r="236" spans="1:12" hidden="1" x14ac:dyDescent="0.3">
      <c r="A236" s="7">
        <v>46082</v>
      </c>
      <c r="B236" t="s">
        <v>120</v>
      </c>
      <c r="C236" t="s">
        <v>121</v>
      </c>
      <c r="D236" t="str">
        <f>_xlfn.XLOOKUP(C236,Conversio!$B:$B,Conversio!$C:$C,"No trobat",0)</f>
        <v>CCR00008</v>
      </c>
      <c r="E236" t="str">
        <f>_xlfn.XLOOKUP(D:D,Conversio!C:C,Conversio!D:D,"No trobat")</f>
        <v>RESTAURANT FONT  DE LA CANYA</v>
      </c>
      <c r="F236" t="s">
        <v>19</v>
      </c>
      <c r="G236" t="str">
        <f>_xlfn.XLOOKUP(F236,Conversio!$B:$B,Conversio!$C:$C,"No trobat",0)</f>
        <v>CCR00002</v>
      </c>
      <c r="H236" t="str">
        <f>_xlfn.XLOOKUP(G236,Conversio!$C:$C,Conversio!$D:$D,"No trobat",0)</f>
        <v>RESTAURANT NAUTIC</v>
      </c>
      <c r="I236" s="13">
        <v>935</v>
      </c>
      <c r="J236" s="2">
        <f t="shared" si="11"/>
        <v>15.583333333333334</v>
      </c>
      <c r="K236" s="6">
        <v>18</v>
      </c>
      <c r="L236" s="5">
        <f t="shared" si="12"/>
        <v>280.5</v>
      </c>
    </row>
    <row r="237" spans="1:12" hidden="1" x14ac:dyDescent="0.3">
      <c r="A237" s="7">
        <v>46082</v>
      </c>
      <c r="B237" t="s">
        <v>128</v>
      </c>
      <c r="C237" t="s">
        <v>129</v>
      </c>
      <c r="D237" t="str">
        <f>_xlfn.XLOOKUP(C237,Conversio!$B:$B,Conversio!$C:$C,"No trobat",0)</f>
        <v>CCR00000</v>
      </c>
      <c r="E237" t="str">
        <f>_xlfn.XLOOKUP(D:D,Conversio!C:C,Conversio!D:D,"No trobat")</f>
        <v>ADMINISTRACIO RESTAURANTS</v>
      </c>
      <c r="F237" t="s">
        <v>19</v>
      </c>
      <c r="G237" t="str">
        <f>_xlfn.XLOOKUP(F237,Conversio!$B:$B,Conversio!$C:$C,"No trobat",0)</f>
        <v>CCR00002</v>
      </c>
      <c r="H237" t="str">
        <f>_xlfn.XLOOKUP(G237,Conversio!$C:$C,Conversio!$D:$D,"No trobat",0)</f>
        <v>RESTAURANT NAUTIC</v>
      </c>
      <c r="I237" s="13">
        <v>412</v>
      </c>
      <c r="J237" s="2">
        <f t="shared" si="11"/>
        <v>6.8666666666666663</v>
      </c>
      <c r="K237" s="6">
        <v>18</v>
      </c>
      <c r="L237" s="5">
        <f t="shared" si="12"/>
        <v>123.6</v>
      </c>
    </row>
    <row r="238" spans="1:12" hidden="1" x14ac:dyDescent="0.3">
      <c r="A238" s="7">
        <v>46082</v>
      </c>
      <c r="B238" t="s">
        <v>221</v>
      </c>
      <c r="C238" t="s">
        <v>110</v>
      </c>
      <c r="D238" t="str">
        <f>_xlfn.XLOOKUP(C238,Conversio!$B:$B,Conversio!$C:$C,"No trobat",0)</f>
        <v>CCR00006</v>
      </c>
      <c r="E238" t="str">
        <f>_xlfn.XLOOKUP(D:D,Conversio!C:C,Conversio!D:D,"No trobat")</f>
        <v>RESTAURANT MIRADOR DE LES CAVES</v>
      </c>
      <c r="F238" t="s">
        <v>42</v>
      </c>
      <c r="G238" t="str">
        <f>_xlfn.XLOOKUP(F238,Conversio!$B:$B,Conversio!$C:$C,"No trobat",0)</f>
        <v>CCR00001</v>
      </c>
      <c r="H238" t="str">
        <f>_xlfn.XLOOKUP(G238,Conversio!$C:$C,Conversio!$D:$D,"No trobat",0)</f>
        <v>RESTAURANT ORIGENS</v>
      </c>
      <c r="I238" s="13">
        <v>709</v>
      </c>
      <c r="J238" s="2">
        <f t="shared" ref="J238:J254" si="13">I238/60</f>
        <v>11.816666666666666</v>
      </c>
      <c r="K238" s="6">
        <v>18</v>
      </c>
      <c r="L238" s="5">
        <f t="shared" ref="L238:L254" si="14">J238*K238</f>
        <v>212.7</v>
      </c>
    </row>
    <row r="239" spans="1:12" hidden="1" x14ac:dyDescent="0.3">
      <c r="A239" s="7">
        <v>46082</v>
      </c>
      <c r="B239" t="s">
        <v>89</v>
      </c>
      <c r="C239" t="s">
        <v>90</v>
      </c>
      <c r="D239" t="str">
        <f>_xlfn.XLOOKUP(C239,Conversio!$B:$B,Conversio!$C:$C,"No trobat",0)</f>
        <v>CCR00000</v>
      </c>
      <c r="E239" t="str">
        <f>_xlfn.XLOOKUP(D:D,Conversio!C:C,Conversio!D:D,"No trobat")</f>
        <v>ADMINISTRACIO RESTAURANTS</v>
      </c>
      <c r="F239" t="s">
        <v>42</v>
      </c>
      <c r="G239" t="str">
        <f>_xlfn.XLOOKUP(F239,Conversio!$B:$B,Conversio!$C:$C,"No trobat",0)</f>
        <v>CCR00001</v>
      </c>
      <c r="H239" t="str">
        <f>_xlfn.XLOOKUP(G239,Conversio!$C:$C,Conversio!$D:$D,"No trobat",0)</f>
        <v>RESTAURANT ORIGENS</v>
      </c>
      <c r="I239" s="13">
        <v>264</v>
      </c>
      <c r="J239" s="2">
        <f t="shared" si="13"/>
        <v>4.4000000000000004</v>
      </c>
      <c r="K239" s="6">
        <v>18</v>
      </c>
      <c r="L239" s="5">
        <f t="shared" si="14"/>
        <v>79.2</v>
      </c>
    </row>
    <row r="240" spans="1:12" hidden="1" x14ac:dyDescent="0.3">
      <c r="A240" s="7">
        <v>46082</v>
      </c>
      <c r="B240" t="s">
        <v>120</v>
      </c>
      <c r="C240" t="s">
        <v>121</v>
      </c>
      <c r="D240" t="str">
        <f>_xlfn.XLOOKUP(C240,Conversio!$B:$B,Conversio!$C:$C,"No trobat",0)</f>
        <v>CCR00008</v>
      </c>
      <c r="E240" t="str">
        <f>_xlfn.XLOOKUP(D:D,Conversio!C:C,Conversio!D:D,"No trobat")</f>
        <v>RESTAURANT FONT  DE LA CANYA</v>
      </c>
      <c r="F240" t="s">
        <v>42</v>
      </c>
      <c r="G240" t="str">
        <f>_xlfn.XLOOKUP(F240,Conversio!$B:$B,Conversio!$C:$C,"No trobat",0)</f>
        <v>CCR00001</v>
      </c>
      <c r="H240" t="str">
        <f>_xlfn.XLOOKUP(G240,Conversio!$C:$C,Conversio!$D:$D,"No trobat",0)</f>
        <v>RESTAURANT ORIGENS</v>
      </c>
      <c r="I240" s="13">
        <v>465</v>
      </c>
      <c r="J240" s="2">
        <f t="shared" si="13"/>
        <v>7.75</v>
      </c>
      <c r="K240" s="6">
        <v>18</v>
      </c>
      <c r="L240" s="5">
        <f t="shared" si="14"/>
        <v>139.5</v>
      </c>
    </row>
    <row r="241" spans="1:12" hidden="1" x14ac:dyDescent="0.3">
      <c r="A241" s="7">
        <v>46113</v>
      </c>
      <c r="B241" t="s">
        <v>79</v>
      </c>
      <c r="C241" t="s">
        <v>80</v>
      </c>
      <c r="D241" t="str">
        <f>_xlfn.XLOOKUP(C241,Conversio!$B:$B,Conversio!$C:$C,"No trobat",0)</f>
        <v>CCR00007</v>
      </c>
      <c r="E241" t="str">
        <f>_xlfn.XLOOKUP(D:D,Conversio!C:C,Conversio!D:D,"No trobat")</f>
        <v>RESTAURANT JUNO HOUSE</v>
      </c>
      <c r="F241" t="s">
        <v>33</v>
      </c>
      <c r="G241" t="str">
        <f>_xlfn.XLOOKUP(F241,Conversio!$B:$B,Conversio!$C:$C,"No trobat",0)</f>
        <v>CCR00004</v>
      </c>
      <c r="H241" t="str">
        <f>_xlfn.XLOOKUP(G241,Conversio!$C:$C,Conversio!$D:$D,"No trobat",0)</f>
        <v>RESTAURANT CAMP NOU</v>
      </c>
      <c r="I241">
        <v>1219</v>
      </c>
      <c r="J241" s="2">
        <f t="shared" si="13"/>
        <v>20.316666666666666</v>
      </c>
      <c r="K241" s="6">
        <v>18</v>
      </c>
      <c r="L241" s="5">
        <f t="shared" si="14"/>
        <v>365.7</v>
      </c>
    </row>
    <row r="242" spans="1:12" hidden="1" x14ac:dyDescent="0.3">
      <c r="A242" s="7">
        <v>46113</v>
      </c>
      <c r="B242" t="s">
        <v>103</v>
      </c>
      <c r="C242" t="s">
        <v>104</v>
      </c>
      <c r="D242" t="str">
        <f>_xlfn.XLOOKUP(C242,Conversio!$B:$B,Conversio!$C:$C,"No trobat",0)</f>
        <v>CCR00007</v>
      </c>
      <c r="E242" t="str">
        <f>_xlfn.XLOOKUP(D:D,Conversio!C:C,Conversio!D:D,"No trobat")</f>
        <v>RESTAURANT JUNO HOUSE</v>
      </c>
      <c r="F242" t="s">
        <v>33</v>
      </c>
      <c r="G242" t="str">
        <f>_xlfn.XLOOKUP(F242,Conversio!$B:$B,Conversio!$C:$C,"No trobat",0)</f>
        <v>CCR00004</v>
      </c>
      <c r="H242" t="str">
        <f>_xlfn.XLOOKUP(G242,Conversio!$C:$C,Conversio!$D:$D,"No trobat",0)</f>
        <v>RESTAURANT CAMP NOU</v>
      </c>
      <c r="I242">
        <v>1110</v>
      </c>
      <c r="J242" s="2">
        <f t="shared" si="13"/>
        <v>18.5</v>
      </c>
      <c r="K242" s="6">
        <v>18</v>
      </c>
      <c r="L242" s="5">
        <f t="shared" si="14"/>
        <v>333</v>
      </c>
    </row>
    <row r="243" spans="1:12" hidden="1" x14ac:dyDescent="0.3">
      <c r="A243" s="7">
        <v>46113</v>
      </c>
      <c r="B243" t="s">
        <v>31</v>
      </c>
      <c r="C243" t="s">
        <v>32</v>
      </c>
      <c r="D243" t="str">
        <f>_xlfn.XLOOKUP(C243,Conversio!$B:$B,Conversio!$C:$C,"No trobat",0)</f>
        <v>CCR00009</v>
      </c>
      <c r="E243" t="str">
        <f>_xlfn.XLOOKUP(D:D,Conversio!C:C,Conversio!D:D,"No trobat")</f>
        <v>RESTAURANT VALKIRIA</v>
      </c>
      <c r="F243" t="s">
        <v>24</v>
      </c>
      <c r="G243" t="str">
        <f>_xlfn.XLOOKUP(F243,Conversio!$B:$B,Conversio!$C:$C,"No trobat",0)</f>
        <v>CCE00000</v>
      </c>
      <c r="H243" t="str">
        <f>_xlfn.XLOOKUP(G243,Conversio!$C:$C,Conversio!$D:$D,"No trobat",0)</f>
        <v>ADMINISTRACIO EMPRESA</v>
      </c>
      <c r="I243">
        <v>270</v>
      </c>
      <c r="J243" s="2">
        <f t="shared" si="13"/>
        <v>4.5</v>
      </c>
      <c r="K243" s="6">
        <v>18</v>
      </c>
      <c r="L243" s="5">
        <f t="shared" si="14"/>
        <v>81</v>
      </c>
    </row>
    <row r="244" spans="1:12" hidden="1" x14ac:dyDescent="0.3">
      <c r="A244" s="7">
        <v>46113</v>
      </c>
      <c r="B244" t="s">
        <v>39</v>
      </c>
      <c r="C244" t="s">
        <v>40</v>
      </c>
      <c r="D244" t="str">
        <f>_xlfn.XLOOKUP(C244,Conversio!$B:$B,Conversio!$C:$C,"No trobat",0)</f>
        <v>CCR00001</v>
      </c>
      <c r="E244" t="str">
        <f>_xlfn.XLOOKUP(D:D,Conversio!C:C,Conversio!D:D,"No trobat")</f>
        <v>RESTAURANT ORIGENS</v>
      </c>
      <c r="F244" t="s">
        <v>24</v>
      </c>
      <c r="G244" t="str">
        <f>_xlfn.XLOOKUP(F244,Conversio!$B:$B,Conversio!$C:$C,"No trobat",0)</f>
        <v>CCE00000</v>
      </c>
      <c r="H244" t="str">
        <f>_xlfn.XLOOKUP(G244,Conversio!$C:$C,Conversio!$D:$D,"No trobat",0)</f>
        <v>ADMINISTRACIO EMPRESA</v>
      </c>
      <c r="I244">
        <v>1167</v>
      </c>
      <c r="J244" s="2">
        <f t="shared" si="13"/>
        <v>19.45</v>
      </c>
      <c r="K244" s="6">
        <v>18</v>
      </c>
      <c r="L244" s="5">
        <f t="shared" si="14"/>
        <v>350.09999999999997</v>
      </c>
    </row>
    <row r="245" spans="1:12" hidden="1" x14ac:dyDescent="0.3">
      <c r="A245" s="7">
        <v>46113</v>
      </c>
      <c r="B245" t="s">
        <v>76</v>
      </c>
      <c r="C245" t="s">
        <v>77</v>
      </c>
      <c r="D245" t="str">
        <f>_xlfn.XLOOKUP(C245,Conversio!$B:$B,Conversio!$C:$C,"No trobat",0)</f>
        <v>CCR00003</v>
      </c>
      <c r="E245" t="str">
        <f>_xlfn.XLOOKUP(D:D,Conversio!C:C,Conversio!D:D,"No trobat")</f>
        <v>RESTAURANT LA MASIA D'ESPLUGUES</v>
      </c>
      <c r="F245" t="s">
        <v>24</v>
      </c>
      <c r="G245" t="str">
        <f>_xlfn.XLOOKUP(F245,Conversio!$B:$B,Conversio!$C:$C,"No trobat",0)</f>
        <v>CCE00000</v>
      </c>
      <c r="H245" t="str">
        <f>_xlfn.XLOOKUP(G245,Conversio!$C:$C,Conversio!$D:$D,"No trobat",0)</f>
        <v>ADMINISTRACIO EMPRESA</v>
      </c>
      <c r="I245">
        <v>290</v>
      </c>
      <c r="J245" s="2">
        <f t="shared" si="13"/>
        <v>4.833333333333333</v>
      </c>
      <c r="K245" s="6">
        <v>18</v>
      </c>
      <c r="L245" s="5">
        <f t="shared" si="14"/>
        <v>87</v>
      </c>
    </row>
    <row r="246" spans="1:12" hidden="1" x14ac:dyDescent="0.3">
      <c r="A246" s="7">
        <v>46113</v>
      </c>
      <c r="B246" t="s">
        <v>211</v>
      </c>
      <c r="C246" t="s">
        <v>40</v>
      </c>
      <c r="D246" t="str">
        <f>_xlfn.XLOOKUP(C246,Conversio!$B:$B,Conversio!$C:$C,"No trobat",0)</f>
        <v>CCR00001</v>
      </c>
      <c r="E246" t="str">
        <f>_xlfn.XLOOKUP(D:D,Conversio!C:C,Conversio!D:D,"No trobat")</f>
        <v>RESTAURANT ORIGENS</v>
      </c>
      <c r="F246" t="s">
        <v>24</v>
      </c>
      <c r="G246" t="str">
        <f>_xlfn.XLOOKUP(F246,Conversio!$B:$B,Conversio!$C:$C,"No trobat",0)</f>
        <v>CCE00000</v>
      </c>
      <c r="H246" t="str">
        <f>_xlfn.XLOOKUP(G246,Conversio!$C:$C,Conversio!$D:$D,"No trobat",0)</f>
        <v>ADMINISTRACIO EMPRESA</v>
      </c>
      <c r="I246">
        <v>633</v>
      </c>
      <c r="J246" s="2">
        <f t="shared" si="13"/>
        <v>10.55</v>
      </c>
      <c r="K246" s="6">
        <v>18</v>
      </c>
      <c r="L246" s="5">
        <f t="shared" si="14"/>
        <v>189.9</v>
      </c>
    </row>
    <row r="247" spans="1:12" hidden="1" x14ac:dyDescent="0.3">
      <c r="A247" s="7">
        <v>46113</v>
      </c>
      <c r="B247" t="s">
        <v>103</v>
      </c>
      <c r="C247" t="s">
        <v>104</v>
      </c>
      <c r="D247" t="str">
        <f>_xlfn.XLOOKUP(C247,Conversio!$B:$B,Conversio!$C:$C,"No trobat",0)</f>
        <v>CCR00007</v>
      </c>
      <c r="E247" t="str">
        <f>_xlfn.XLOOKUP(D:D,Conversio!C:C,Conversio!D:D,"No trobat")</f>
        <v>RESTAURANT JUNO HOUSE</v>
      </c>
      <c r="F247" t="s">
        <v>24</v>
      </c>
      <c r="G247" t="str">
        <f>_xlfn.XLOOKUP(F247,Conversio!$B:$B,Conversio!$C:$C,"No trobat",0)</f>
        <v>CCE00000</v>
      </c>
      <c r="H247" t="str">
        <f>_xlfn.XLOOKUP(G247,Conversio!$C:$C,Conversio!$D:$D,"No trobat",0)</f>
        <v>ADMINISTRACIO EMPRESA</v>
      </c>
      <c r="I247">
        <v>290</v>
      </c>
      <c r="J247" s="2">
        <f t="shared" si="13"/>
        <v>4.833333333333333</v>
      </c>
      <c r="K247" s="6">
        <v>18</v>
      </c>
      <c r="L247" s="5">
        <f t="shared" si="14"/>
        <v>87</v>
      </c>
    </row>
    <row r="248" spans="1:12" hidden="1" x14ac:dyDescent="0.3">
      <c r="A248" s="7">
        <v>46113</v>
      </c>
      <c r="B248" t="s">
        <v>108</v>
      </c>
      <c r="C248" t="s">
        <v>80</v>
      </c>
      <c r="D248" t="str">
        <f>_xlfn.XLOOKUP(C248,Conversio!$B:$B,Conversio!$C:$C,"No trobat",0)</f>
        <v>CCR00007</v>
      </c>
      <c r="E248" t="str">
        <f>_xlfn.XLOOKUP(D:D,Conversio!C:C,Conversio!D:D,"No trobat")</f>
        <v>RESTAURANT JUNO HOUSE</v>
      </c>
      <c r="F248" t="s">
        <v>24</v>
      </c>
      <c r="G248" t="str">
        <f>_xlfn.XLOOKUP(F248,Conversio!$B:$B,Conversio!$C:$C,"No trobat",0)</f>
        <v>CCE00000</v>
      </c>
      <c r="H248" t="str">
        <f>_xlfn.XLOOKUP(G248,Conversio!$C:$C,Conversio!$D:$D,"No trobat",0)</f>
        <v>ADMINISTRACIO EMPRESA</v>
      </c>
      <c r="I248">
        <v>230</v>
      </c>
      <c r="J248" s="2">
        <f t="shared" si="13"/>
        <v>3.8333333333333335</v>
      </c>
      <c r="K248" s="6">
        <v>18</v>
      </c>
      <c r="L248" s="5">
        <f t="shared" si="14"/>
        <v>69</v>
      </c>
    </row>
    <row r="249" spans="1:12" hidden="1" x14ac:dyDescent="0.3">
      <c r="A249" s="7">
        <v>46113</v>
      </c>
      <c r="B249" t="s">
        <v>112</v>
      </c>
      <c r="C249" t="s">
        <v>113</v>
      </c>
      <c r="D249" t="str">
        <f>_xlfn.XLOOKUP(C249,Conversio!$B:$B,Conversio!$C:$C,"No trobat",0)</f>
        <v>CCC00005</v>
      </c>
      <c r="E249" t="str">
        <f>_xlfn.XLOOKUP(D:D,Conversio!C:C,Conversio!D:D,"No trobat")</f>
        <v>OFICINES CAL BLAY</v>
      </c>
      <c r="F249" t="s">
        <v>24</v>
      </c>
      <c r="G249" t="str">
        <f>_xlfn.XLOOKUP(F249,Conversio!$B:$B,Conversio!$C:$C,"No trobat",0)</f>
        <v>CCE00000</v>
      </c>
      <c r="H249" t="str">
        <f>_xlfn.XLOOKUP(G249,Conversio!$C:$C,Conversio!$D:$D,"No trobat",0)</f>
        <v>ADMINISTRACIO EMPRESA</v>
      </c>
      <c r="I249">
        <v>840</v>
      </c>
      <c r="J249" s="2">
        <f t="shared" si="13"/>
        <v>14</v>
      </c>
      <c r="K249" s="6">
        <v>18</v>
      </c>
      <c r="L249" s="5">
        <f t="shared" si="14"/>
        <v>252</v>
      </c>
    </row>
    <row r="250" spans="1:12" hidden="1" x14ac:dyDescent="0.3">
      <c r="A250" s="7">
        <v>46113</v>
      </c>
      <c r="B250" t="s">
        <v>120</v>
      </c>
      <c r="C250" t="s">
        <v>121</v>
      </c>
      <c r="D250" t="str">
        <f>_xlfn.XLOOKUP(C250,Conversio!$B:$B,Conversio!$C:$C,"No trobat",0)</f>
        <v>CCR00008</v>
      </c>
      <c r="E250" t="str">
        <f>_xlfn.XLOOKUP(D:D,Conversio!C:C,Conversio!D:D,"No trobat")</f>
        <v>RESTAURANT FONT  DE LA CANYA</v>
      </c>
      <c r="F250" t="s">
        <v>24</v>
      </c>
      <c r="G250" t="str">
        <f>_xlfn.XLOOKUP(F250,Conversio!$B:$B,Conversio!$C:$C,"No trobat",0)</f>
        <v>CCE00000</v>
      </c>
      <c r="H250" t="str">
        <f>_xlfn.XLOOKUP(G250,Conversio!$C:$C,Conversio!$D:$D,"No trobat",0)</f>
        <v>ADMINISTRACIO EMPRESA</v>
      </c>
      <c r="I250">
        <v>2440</v>
      </c>
      <c r="J250" s="2">
        <f t="shared" si="13"/>
        <v>40.666666666666664</v>
      </c>
      <c r="K250" s="6">
        <v>18</v>
      </c>
      <c r="L250" s="5">
        <f t="shared" si="14"/>
        <v>732</v>
      </c>
    </row>
    <row r="251" spans="1:12" hidden="1" x14ac:dyDescent="0.3">
      <c r="A251" s="7">
        <v>46113</v>
      </c>
      <c r="B251" t="s">
        <v>222</v>
      </c>
      <c r="C251" t="s">
        <v>17</v>
      </c>
      <c r="D251" t="str">
        <f>_xlfn.XLOOKUP(C251,Conversio!$B:$B,Conversio!$C:$C,"No trobat",0)</f>
        <v>CCR00006</v>
      </c>
      <c r="E251" t="str">
        <f>_xlfn.XLOOKUP(D:D,Conversio!C:C,Conversio!D:D,"No trobat")</f>
        <v>RESTAURANT MIRADOR DE LES CAVES</v>
      </c>
      <c r="F251" t="s">
        <v>24</v>
      </c>
      <c r="G251" t="str">
        <f>_xlfn.XLOOKUP(F251,Conversio!$B:$B,Conversio!$C:$C,"No trobat",0)</f>
        <v>CCE00000</v>
      </c>
      <c r="H251" t="str">
        <f>_xlfn.XLOOKUP(G251,Conversio!$C:$C,Conversio!$D:$D,"No trobat",0)</f>
        <v>ADMINISTRACIO EMPRESA</v>
      </c>
      <c r="I251">
        <v>350</v>
      </c>
      <c r="J251" s="2">
        <f t="shared" si="13"/>
        <v>5.833333333333333</v>
      </c>
      <c r="K251" s="6">
        <v>18</v>
      </c>
      <c r="L251" s="5">
        <f t="shared" si="14"/>
        <v>105</v>
      </c>
    </row>
    <row r="252" spans="1:12" hidden="1" x14ac:dyDescent="0.3">
      <c r="A252" s="7">
        <v>46113</v>
      </c>
      <c r="B252" t="s">
        <v>141</v>
      </c>
      <c r="C252" t="s">
        <v>142</v>
      </c>
      <c r="D252" t="str">
        <f>_xlfn.XLOOKUP(C252,Conversio!$B:$B,Conversio!$C:$C,"No trobat",0)</f>
        <v>CCR00009</v>
      </c>
      <c r="E252" t="str">
        <f>_xlfn.XLOOKUP(D:D,Conversio!C:C,Conversio!D:D,"No trobat")</f>
        <v>RESTAURANT VALKIRIA</v>
      </c>
      <c r="F252" t="s">
        <v>24</v>
      </c>
      <c r="G252" t="str">
        <f>_xlfn.XLOOKUP(F252,Conversio!$B:$B,Conversio!$C:$C,"No trobat",0)</f>
        <v>CCE00000</v>
      </c>
      <c r="H252" t="str">
        <f>_xlfn.XLOOKUP(G252,Conversio!$C:$C,Conversio!$D:$D,"No trobat",0)</f>
        <v>ADMINISTRACIO EMPRESA</v>
      </c>
      <c r="I252">
        <v>180</v>
      </c>
      <c r="J252" s="2">
        <f t="shared" si="13"/>
        <v>3</v>
      </c>
      <c r="K252" s="6">
        <v>18</v>
      </c>
      <c r="L252" s="5">
        <f t="shared" si="14"/>
        <v>54</v>
      </c>
    </row>
    <row r="253" spans="1:12" hidden="1" x14ac:dyDescent="0.3">
      <c r="A253" s="7">
        <v>46113</v>
      </c>
      <c r="B253" t="s">
        <v>12</v>
      </c>
      <c r="C253" t="s">
        <v>13</v>
      </c>
      <c r="D253" t="str">
        <f>_xlfn.XLOOKUP(C253,Conversio!$B:$B,Conversio!$C:$C,"No trobat",0)</f>
        <v>CCC00007</v>
      </c>
      <c r="E253" t="str">
        <f>_xlfn.XLOOKUP(D:D,Conversio!C:C,Conversio!D:D,"No trobat")</f>
        <v>CUINA CENTRAL</v>
      </c>
      <c r="F253" t="s">
        <v>14</v>
      </c>
      <c r="G253" t="str">
        <f>_xlfn.XLOOKUP(F253,Conversio!$B:$B,Conversio!$C:$C,"No trobat",0)</f>
        <v>CCE00000</v>
      </c>
      <c r="H253" t="str">
        <f>_xlfn.XLOOKUP(G253,Conversio!$C:$C,Conversio!$D:$D,"No trobat",0)</f>
        <v>ADMINISTRACIO EMPRESA</v>
      </c>
      <c r="I253">
        <v>1742</v>
      </c>
      <c r="J253" s="2">
        <f t="shared" si="13"/>
        <v>29.033333333333335</v>
      </c>
      <c r="K253" s="6">
        <v>18</v>
      </c>
      <c r="L253" s="5">
        <f t="shared" si="14"/>
        <v>522.6</v>
      </c>
    </row>
    <row r="254" spans="1:12" hidden="1" x14ac:dyDescent="0.3">
      <c r="A254" s="7">
        <v>46113</v>
      </c>
      <c r="B254" t="s">
        <v>25</v>
      </c>
      <c r="C254" t="s">
        <v>26</v>
      </c>
      <c r="D254" t="str">
        <f>_xlfn.XLOOKUP(C254,Conversio!$B:$B,Conversio!$C:$C,"No trobat",0)</f>
        <v>CCC00007</v>
      </c>
      <c r="E254" t="str">
        <f>_xlfn.XLOOKUP(D:D,Conversio!C:C,Conversio!D:D,"No trobat")</f>
        <v>CUINA CENTRAL</v>
      </c>
      <c r="F254" t="s">
        <v>14</v>
      </c>
      <c r="G254" t="str">
        <f>_xlfn.XLOOKUP(F254,Conversio!$B:$B,Conversio!$C:$C,"No trobat",0)</f>
        <v>CCE00000</v>
      </c>
      <c r="H254" t="str">
        <f>_xlfn.XLOOKUP(G254,Conversio!$C:$C,Conversio!$D:$D,"No trobat",0)</f>
        <v>ADMINISTRACIO EMPRESA</v>
      </c>
      <c r="I254">
        <v>605</v>
      </c>
      <c r="J254" s="2">
        <f t="shared" si="13"/>
        <v>10.083333333333334</v>
      </c>
      <c r="K254" s="6">
        <v>18</v>
      </c>
      <c r="L254" s="5">
        <f t="shared" si="14"/>
        <v>181.5</v>
      </c>
    </row>
    <row r="255" spans="1:12" hidden="1" x14ac:dyDescent="0.3">
      <c r="A255" s="7">
        <v>46113</v>
      </c>
      <c r="B255" t="s">
        <v>29</v>
      </c>
      <c r="C255" t="s">
        <v>30</v>
      </c>
      <c r="D255" t="str">
        <f>_xlfn.XLOOKUP(C255,Conversio!$B:$B,Conversio!$C:$C,"No trobat",0)</f>
        <v>CCC00007</v>
      </c>
      <c r="E255" t="str">
        <f>_xlfn.XLOOKUP(D:D,Conversio!C:C,Conversio!D:D,"No trobat")</f>
        <v>CUINA CENTRAL</v>
      </c>
      <c r="F255" t="s">
        <v>14</v>
      </c>
      <c r="G255" t="str">
        <f>_xlfn.XLOOKUP(F255,Conversio!$B:$B,Conversio!$C:$C,"No trobat",0)</f>
        <v>CCE00000</v>
      </c>
      <c r="H255" t="str">
        <f>_xlfn.XLOOKUP(G255,Conversio!$C:$C,Conversio!$D:$D,"No trobat",0)</f>
        <v>ADMINISTRACIO EMPRESA</v>
      </c>
      <c r="I255">
        <v>15143</v>
      </c>
      <c r="J255" s="2">
        <f t="shared" ref="J255:J299" si="15">I255/60</f>
        <v>252.38333333333333</v>
      </c>
      <c r="K255" s="6">
        <v>18</v>
      </c>
      <c r="L255" s="5">
        <f t="shared" ref="L255:L299" si="16">J255*K255</f>
        <v>4542.8999999999996</v>
      </c>
    </row>
    <row r="256" spans="1:12" hidden="1" x14ac:dyDescent="0.3">
      <c r="A256" s="7">
        <v>46113</v>
      </c>
      <c r="B256" t="s">
        <v>35</v>
      </c>
      <c r="C256" t="s">
        <v>26</v>
      </c>
      <c r="D256" t="str">
        <f>_xlfn.XLOOKUP(C256,Conversio!$B:$B,Conversio!$C:$C,"No trobat",0)</f>
        <v>CCC00007</v>
      </c>
      <c r="E256" t="str">
        <f>_xlfn.XLOOKUP(D:D,Conversio!C:C,Conversio!D:D,"No trobat")</f>
        <v>CUINA CENTRAL</v>
      </c>
      <c r="F256" t="s">
        <v>14</v>
      </c>
      <c r="G256" t="str">
        <f>_xlfn.XLOOKUP(F256,Conversio!$B:$B,Conversio!$C:$C,"No trobat",0)</f>
        <v>CCE00000</v>
      </c>
      <c r="H256" t="str">
        <f>_xlfn.XLOOKUP(G256,Conversio!$C:$C,Conversio!$D:$D,"No trobat",0)</f>
        <v>ADMINISTRACIO EMPRESA</v>
      </c>
      <c r="I256">
        <v>1703</v>
      </c>
      <c r="J256" s="2">
        <f t="shared" si="15"/>
        <v>28.383333333333333</v>
      </c>
      <c r="K256" s="6">
        <v>18</v>
      </c>
      <c r="L256" s="5">
        <f t="shared" si="16"/>
        <v>510.9</v>
      </c>
    </row>
    <row r="257" spans="1:12" hidden="1" x14ac:dyDescent="0.3">
      <c r="A257" s="7">
        <v>46113</v>
      </c>
      <c r="B257" t="s">
        <v>36</v>
      </c>
      <c r="C257" t="s">
        <v>30</v>
      </c>
      <c r="D257" t="str">
        <f>_xlfn.XLOOKUP(C257,Conversio!$B:$B,Conversio!$C:$C,"No trobat",0)</f>
        <v>CCC00007</v>
      </c>
      <c r="E257" t="str">
        <f>_xlfn.XLOOKUP(D:D,Conversio!C:C,Conversio!D:D,"No trobat")</f>
        <v>CUINA CENTRAL</v>
      </c>
      <c r="F257" t="s">
        <v>14</v>
      </c>
      <c r="G257" t="str">
        <f>_xlfn.XLOOKUP(F257,Conversio!$B:$B,Conversio!$C:$C,"No trobat",0)</f>
        <v>CCE00000</v>
      </c>
      <c r="H257" t="str">
        <f>_xlfn.XLOOKUP(G257,Conversio!$C:$C,Conversio!$D:$D,"No trobat",0)</f>
        <v>ADMINISTRACIO EMPRESA</v>
      </c>
      <c r="I257">
        <v>10470</v>
      </c>
      <c r="J257" s="2">
        <f t="shared" si="15"/>
        <v>174.5</v>
      </c>
      <c r="K257" s="6">
        <v>18</v>
      </c>
      <c r="L257" s="5">
        <f t="shared" si="16"/>
        <v>3141</v>
      </c>
    </row>
    <row r="258" spans="1:12" hidden="1" x14ac:dyDescent="0.3">
      <c r="A258" s="7">
        <v>46113</v>
      </c>
      <c r="B258" t="s">
        <v>37</v>
      </c>
      <c r="C258" t="s">
        <v>26</v>
      </c>
      <c r="D258" t="str">
        <f>_xlfn.XLOOKUP(C258,Conversio!$B:$B,Conversio!$C:$C,"No trobat",0)</f>
        <v>CCC00007</v>
      </c>
      <c r="E258" t="str">
        <f>_xlfn.XLOOKUP(D:D,Conversio!C:C,Conversio!D:D,"No trobat")</f>
        <v>CUINA CENTRAL</v>
      </c>
      <c r="F258" t="s">
        <v>14</v>
      </c>
      <c r="G258" t="str">
        <f>_xlfn.XLOOKUP(F258,Conversio!$B:$B,Conversio!$C:$C,"No trobat",0)</f>
        <v>CCE00000</v>
      </c>
      <c r="H258" t="str">
        <f>_xlfn.XLOOKUP(G258,Conversio!$C:$C,Conversio!$D:$D,"No trobat",0)</f>
        <v>ADMINISTRACIO EMPRESA</v>
      </c>
      <c r="I258">
        <v>1271</v>
      </c>
      <c r="J258" s="2">
        <f t="shared" si="15"/>
        <v>21.183333333333334</v>
      </c>
      <c r="K258" s="6">
        <v>18</v>
      </c>
      <c r="L258" s="5">
        <f t="shared" si="16"/>
        <v>381.3</v>
      </c>
    </row>
    <row r="259" spans="1:12" hidden="1" x14ac:dyDescent="0.3">
      <c r="A259" s="7">
        <v>46113</v>
      </c>
      <c r="B259" t="s">
        <v>38</v>
      </c>
      <c r="C259" t="s">
        <v>26</v>
      </c>
      <c r="D259" t="str">
        <f>_xlfn.XLOOKUP(C259,Conversio!$B:$B,Conversio!$C:$C,"No trobat",0)</f>
        <v>CCC00007</v>
      </c>
      <c r="E259" t="str">
        <f>_xlfn.XLOOKUP(D:D,Conversio!C:C,Conversio!D:D,"No trobat")</f>
        <v>CUINA CENTRAL</v>
      </c>
      <c r="F259" t="s">
        <v>14</v>
      </c>
      <c r="G259" t="str">
        <f>_xlfn.XLOOKUP(F259,Conversio!$B:$B,Conversio!$C:$C,"No trobat",0)</f>
        <v>CCE00000</v>
      </c>
      <c r="H259" t="str">
        <f>_xlfn.XLOOKUP(G259,Conversio!$C:$C,Conversio!$D:$D,"No trobat",0)</f>
        <v>ADMINISTRACIO EMPRESA</v>
      </c>
      <c r="I259">
        <v>2590</v>
      </c>
      <c r="J259" s="2">
        <f t="shared" si="15"/>
        <v>43.166666666666664</v>
      </c>
      <c r="K259" s="6">
        <v>18</v>
      </c>
      <c r="L259" s="5">
        <f t="shared" si="16"/>
        <v>777</v>
      </c>
    </row>
    <row r="260" spans="1:12" hidden="1" x14ac:dyDescent="0.3">
      <c r="A260" s="7">
        <v>46113</v>
      </c>
      <c r="B260" t="s">
        <v>49</v>
      </c>
      <c r="C260" t="s">
        <v>50</v>
      </c>
      <c r="D260" t="str">
        <f>_xlfn.XLOOKUP(C260,Conversio!$B:$B,Conversio!$C:$C,"No trobat",0)</f>
        <v>CCC00007</v>
      </c>
      <c r="E260" t="str">
        <f>_xlfn.XLOOKUP(D:D,Conversio!C:C,Conversio!D:D,"No trobat")</f>
        <v>CUINA CENTRAL</v>
      </c>
      <c r="F260" t="s">
        <v>14</v>
      </c>
      <c r="G260" t="str">
        <f>_xlfn.XLOOKUP(F260,Conversio!$B:$B,Conversio!$C:$C,"No trobat",0)</f>
        <v>CCE00000</v>
      </c>
      <c r="H260" t="str">
        <f>_xlfn.XLOOKUP(G260,Conversio!$C:$C,Conversio!$D:$D,"No trobat",0)</f>
        <v>ADMINISTRACIO EMPRESA</v>
      </c>
      <c r="I260">
        <v>1106</v>
      </c>
      <c r="J260" s="2">
        <f t="shared" si="15"/>
        <v>18.433333333333334</v>
      </c>
      <c r="K260" s="6">
        <v>18</v>
      </c>
      <c r="L260" s="5">
        <f t="shared" si="16"/>
        <v>331.8</v>
      </c>
    </row>
    <row r="261" spans="1:12" hidden="1" x14ac:dyDescent="0.3">
      <c r="A261" s="7">
        <v>46113</v>
      </c>
      <c r="B261" t="s">
        <v>57</v>
      </c>
      <c r="C261" t="s">
        <v>30</v>
      </c>
      <c r="D261" t="str">
        <f>_xlfn.XLOOKUP(C261,Conversio!$B:$B,Conversio!$C:$C,"No trobat",0)</f>
        <v>CCC00007</v>
      </c>
      <c r="E261" t="str">
        <f>_xlfn.XLOOKUP(D:D,Conversio!C:C,Conversio!D:D,"No trobat")</f>
        <v>CUINA CENTRAL</v>
      </c>
      <c r="F261" t="s">
        <v>14</v>
      </c>
      <c r="G261" t="str">
        <f>_xlfn.XLOOKUP(F261,Conversio!$B:$B,Conversio!$C:$C,"No trobat",0)</f>
        <v>CCE00000</v>
      </c>
      <c r="H261" t="str">
        <f>_xlfn.XLOOKUP(G261,Conversio!$C:$C,Conversio!$D:$D,"No trobat",0)</f>
        <v>ADMINISTRACIO EMPRESA</v>
      </c>
      <c r="I261">
        <v>8184</v>
      </c>
      <c r="J261" s="2">
        <f t="shared" si="15"/>
        <v>136.4</v>
      </c>
      <c r="K261" s="6">
        <v>18</v>
      </c>
      <c r="L261" s="5">
        <f t="shared" si="16"/>
        <v>2455.2000000000003</v>
      </c>
    </row>
    <row r="262" spans="1:12" hidden="1" x14ac:dyDescent="0.3">
      <c r="A262" s="7">
        <v>46113</v>
      </c>
      <c r="B262" t="s">
        <v>66</v>
      </c>
      <c r="C262" t="s">
        <v>26</v>
      </c>
      <c r="D262" t="str">
        <f>_xlfn.XLOOKUP(C262,Conversio!$B:$B,Conversio!$C:$C,"No trobat",0)</f>
        <v>CCC00007</v>
      </c>
      <c r="E262" t="str">
        <f>_xlfn.XLOOKUP(D:D,Conversio!C:C,Conversio!D:D,"No trobat")</f>
        <v>CUINA CENTRAL</v>
      </c>
      <c r="F262" t="s">
        <v>14</v>
      </c>
      <c r="G262" t="str">
        <f>_xlfn.XLOOKUP(F262,Conversio!$B:$B,Conversio!$C:$C,"No trobat",0)</f>
        <v>CCE00000</v>
      </c>
      <c r="H262" t="str">
        <f>_xlfn.XLOOKUP(G262,Conversio!$C:$C,Conversio!$D:$D,"No trobat",0)</f>
        <v>ADMINISTRACIO EMPRESA</v>
      </c>
      <c r="I262">
        <v>1137</v>
      </c>
      <c r="J262" s="2">
        <f t="shared" si="15"/>
        <v>18.95</v>
      </c>
      <c r="K262" s="6">
        <v>18</v>
      </c>
      <c r="L262" s="5">
        <f t="shared" si="16"/>
        <v>341.09999999999997</v>
      </c>
    </row>
    <row r="263" spans="1:12" hidden="1" x14ac:dyDescent="0.3">
      <c r="A263" s="7">
        <v>46113</v>
      </c>
      <c r="B263" t="s">
        <v>67</v>
      </c>
      <c r="C263" t="s">
        <v>30</v>
      </c>
      <c r="D263" t="str">
        <f>_xlfn.XLOOKUP(C263,Conversio!$B:$B,Conversio!$C:$C,"No trobat",0)</f>
        <v>CCC00007</v>
      </c>
      <c r="E263" t="str">
        <f>_xlfn.XLOOKUP(D:D,Conversio!C:C,Conversio!D:D,"No trobat")</f>
        <v>CUINA CENTRAL</v>
      </c>
      <c r="F263" t="s">
        <v>14</v>
      </c>
      <c r="G263" t="str">
        <f>_xlfn.XLOOKUP(F263,Conversio!$B:$B,Conversio!$C:$C,"No trobat",0)</f>
        <v>CCE00000</v>
      </c>
      <c r="H263" t="str">
        <f>_xlfn.XLOOKUP(G263,Conversio!$C:$C,Conversio!$D:$D,"No trobat",0)</f>
        <v>ADMINISTRACIO EMPRESA</v>
      </c>
      <c r="I263">
        <v>10982</v>
      </c>
      <c r="J263" s="2">
        <f t="shared" si="15"/>
        <v>183.03333333333333</v>
      </c>
      <c r="K263" s="6">
        <v>18</v>
      </c>
      <c r="L263" s="5">
        <f t="shared" si="16"/>
        <v>3294.6</v>
      </c>
    </row>
    <row r="264" spans="1:12" hidden="1" x14ac:dyDescent="0.3">
      <c r="A264" s="7">
        <v>46113</v>
      </c>
      <c r="B264" t="s">
        <v>71</v>
      </c>
      <c r="C264" t="s">
        <v>30</v>
      </c>
      <c r="D264" t="str">
        <f>_xlfn.XLOOKUP(C264,Conversio!$B:$B,Conversio!$C:$C,"No trobat",0)</f>
        <v>CCC00007</v>
      </c>
      <c r="E264" t="str">
        <f>_xlfn.XLOOKUP(D:D,Conversio!C:C,Conversio!D:D,"No trobat")</f>
        <v>CUINA CENTRAL</v>
      </c>
      <c r="F264" t="s">
        <v>14</v>
      </c>
      <c r="G264" t="str">
        <f>_xlfn.XLOOKUP(F264,Conversio!$B:$B,Conversio!$C:$C,"No trobat",0)</f>
        <v>CCE00000</v>
      </c>
      <c r="H264" t="str">
        <f>_xlfn.XLOOKUP(G264,Conversio!$C:$C,Conversio!$D:$D,"No trobat",0)</f>
        <v>ADMINISTRACIO EMPRESA</v>
      </c>
      <c r="I264">
        <v>9570</v>
      </c>
      <c r="J264" s="2">
        <f t="shared" si="15"/>
        <v>159.5</v>
      </c>
      <c r="K264" s="6">
        <v>18</v>
      </c>
      <c r="L264" s="5">
        <f t="shared" si="16"/>
        <v>2871</v>
      </c>
    </row>
    <row r="265" spans="1:12" hidden="1" x14ac:dyDescent="0.3">
      <c r="A265" s="7">
        <v>46113</v>
      </c>
      <c r="B265" t="s">
        <v>81</v>
      </c>
      <c r="C265" t="s">
        <v>54</v>
      </c>
      <c r="D265" t="str">
        <f>_xlfn.XLOOKUP(C265,Conversio!$B:$B,Conversio!$C:$C,"No trobat",0)</f>
        <v>CCR00010</v>
      </c>
      <c r="E265" t="str">
        <f>_xlfn.XLOOKUP(D:D,Conversio!C:C,Conversio!D:D,"No trobat")</f>
        <v>RESTAURANT SOLIVER</v>
      </c>
      <c r="F265" t="s">
        <v>14</v>
      </c>
      <c r="G265" t="str">
        <f>_xlfn.XLOOKUP(F265,Conversio!$B:$B,Conversio!$C:$C,"No trobat",0)</f>
        <v>CCE00000</v>
      </c>
      <c r="H265" t="str">
        <f>_xlfn.XLOOKUP(G265,Conversio!$C:$C,Conversio!$D:$D,"No trobat",0)</f>
        <v>ADMINISTRACIO EMPRESA</v>
      </c>
      <c r="I265">
        <v>524</v>
      </c>
      <c r="J265" s="2">
        <f t="shared" si="15"/>
        <v>8.7333333333333325</v>
      </c>
      <c r="K265" s="6">
        <v>18</v>
      </c>
      <c r="L265" s="5">
        <f t="shared" si="16"/>
        <v>157.19999999999999</v>
      </c>
    </row>
    <row r="266" spans="1:12" hidden="1" x14ac:dyDescent="0.3">
      <c r="A266" s="7">
        <v>46113</v>
      </c>
      <c r="B266" t="s">
        <v>87</v>
      </c>
      <c r="C266" t="s">
        <v>26</v>
      </c>
      <c r="D266" t="str">
        <f>_xlfn.XLOOKUP(C266,Conversio!$B:$B,Conversio!$C:$C,"No trobat",0)</f>
        <v>CCC00007</v>
      </c>
      <c r="E266" t="str">
        <f>_xlfn.XLOOKUP(D:D,Conversio!C:C,Conversio!D:D,"No trobat")</f>
        <v>CUINA CENTRAL</v>
      </c>
      <c r="F266" t="s">
        <v>14</v>
      </c>
      <c r="G266" t="str">
        <f>_xlfn.XLOOKUP(F266,Conversio!$B:$B,Conversio!$C:$C,"No trobat",0)</f>
        <v>CCE00000</v>
      </c>
      <c r="H266" t="str">
        <f>_xlfn.XLOOKUP(G266,Conversio!$C:$C,Conversio!$D:$D,"No trobat",0)</f>
        <v>ADMINISTRACIO EMPRESA</v>
      </c>
      <c r="I266">
        <v>1004</v>
      </c>
      <c r="J266" s="2">
        <f t="shared" si="15"/>
        <v>16.733333333333334</v>
      </c>
      <c r="K266" s="6">
        <v>18</v>
      </c>
      <c r="L266" s="5">
        <f t="shared" si="16"/>
        <v>301.20000000000005</v>
      </c>
    </row>
    <row r="267" spans="1:12" hidden="1" x14ac:dyDescent="0.3">
      <c r="A267" s="7">
        <v>46113</v>
      </c>
      <c r="B267" t="s">
        <v>88</v>
      </c>
      <c r="C267" t="s">
        <v>30</v>
      </c>
      <c r="D267" t="str">
        <f>_xlfn.XLOOKUP(C267,Conversio!$B:$B,Conversio!$C:$C,"No trobat",0)</f>
        <v>CCC00007</v>
      </c>
      <c r="E267" t="str">
        <f>_xlfn.XLOOKUP(D:D,Conversio!C:C,Conversio!D:D,"No trobat")</f>
        <v>CUINA CENTRAL</v>
      </c>
      <c r="F267" t="s">
        <v>14</v>
      </c>
      <c r="G267" t="str">
        <f>_xlfn.XLOOKUP(F267,Conversio!$B:$B,Conversio!$C:$C,"No trobat",0)</f>
        <v>CCE00000</v>
      </c>
      <c r="H267" t="str">
        <f>_xlfn.XLOOKUP(G267,Conversio!$C:$C,Conversio!$D:$D,"No trobat",0)</f>
        <v>ADMINISTRACIO EMPRESA</v>
      </c>
      <c r="I267">
        <v>8483</v>
      </c>
      <c r="J267" s="2">
        <f t="shared" si="15"/>
        <v>141.38333333333333</v>
      </c>
      <c r="K267" s="6">
        <v>18</v>
      </c>
      <c r="L267" s="5">
        <f t="shared" si="16"/>
        <v>2544.8999999999996</v>
      </c>
    </row>
    <row r="268" spans="1:12" hidden="1" x14ac:dyDescent="0.3">
      <c r="A268" s="7">
        <v>46113</v>
      </c>
      <c r="B268" t="s">
        <v>95</v>
      </c>
      <c r="C268" t="s">
        <v>30</v>
      </c>
      <c r="D268" t="str">
        <f>_xlfn.XLOOKUP(C268,Conversio!$B:$B,Conversio!$C:$C,"No trobat",0)</f>
        <v>CCC00007</v>
      </c>
      <c r="E268" t="str">
        <f>_xlfn.XLOOKUP(D:D,Conversio!C:C,Conversio!D:D,"No trobat")</f>
        <v>CUINA CENTRAL</v>
      </c>
      <c r="F268" t="s">
        <v>14</v>
      </c>
      <c r="G268" t="str">
        <f>_xlfn.XLOOKUP(F268,Conversio!$B:$B,Conversio!$C:$C,"No trobat",0)</f>
        <v>CCE00000</v>
      </c>
      <c r="H268" t="str">
        <f>_xlfn.XLOOKUP(G268,Conversio!$C:$C,Conversio!$D:$D,"No trobat",0)</f>
        <v>ADMINISTRACIO EMPRESA</v>
      </c>
      <c r="I268">
        <v>9595</v>
      </c>
      <c r="J268" s="2">
        <f t="shared" si="15"/>
        <v>159.91666666666666</v>
      </c>
      <c r="K268" s="6">
        <v>18</v>
      </c>
      <c r="L268" s="5">
        <f t="shared" si="16"/>
        <v>2878.5</v>
      </c>
    </row>
    <row r="269" spans="1:12" hidden="1" x14ac:dyDescent="0.3">
      <c r="A269" s="7">
        <v>46113</v>
      </c>
      <c r="B269" t="s">
        <v>96</v>
      </c>
      <c r="C269" t="s">
        <v>30</v>
      </c>
      <c r="D269" t="str">
        <f>_xlfn.XLOOKUP(C269,Conversio!$B:$B,Conversio!$C:$C,"No trobat",0)</f>
        <v>CCC00007</v>
      </c>
      <c r="E269" t="str">
        <f>_xlfn.XLOOKUP(D:D,Conversio!C:C,Conversio!D:D,"No trobat")</f>
        <v>CUINA CENTRAL</v>
      </c>
      <c r="F269" t="s">
        <v>14</v>
      </c>
      <c r="G269" t="str">
        <f>_xlfn.XLOOKUP(F269,Conversio!$B:$B,Conversio!$C:$C,"No trobat",0)</f>
        <v>CCE00000</v>
      </c>
      <c r="H269" t="str">
        <f>_xlfn.XLOOKUP(G269,Conversio!$C:$C,Conversio!$D:$D,"No trobat",0)</f>
        <v>ADMINISTRACIO EMPRESA</v>
      </c>
      <c r="I269">
        <v>10711</v>
      </c>
      <c r="J269" s="2">
        <f t="shared" si="15"/>
        <v>178.51666666666668</v>
      </c>
      <c r="K269" s="6">
        <v>18</v>
      </c>
      <c r="L269" s="5">
        <f t="shared" si="16"/>
        <v>3213.3</v>
      </c>
    </row>
    <row r="270" spans="1:12" hidden="1" x14ac:dyDescent="0.3">
      <c r="A270" s="7">
        <v>46113</v>
      </c>
      <c r="B270" t="s">
        <v>97</v>
      </c>
      <c r="C270" t="s">
        <v>50</v>
      </c>
      <c r="D270" t="str">
        <f>_xlfn.XLOOKUP(C270,Conversio!$B:$B,Conversio!$C:$C,"No trobat",0)</f>
        <v>CCC00007</v>
      </c>
      <c r="E270" t="str">
        <f>_xlfn.XLOOKUP(D:D,Conversio!C:C,Conversio!D:D,"No trobat")</f>
        <v>CUINA CENTRAL</v>
      </c>
      <c r="F270" t="s">
        <v>14</v>
      </c>
      <c r="G270" t="str">
        <f>_xlfn.XLOOKUP(F270,Conversio!$B:$B,Conversio!$C:$C,"No trobat",0)</f>
        <v>CCE00000</v>
      </c>
      <c r="H270" t="str">
        <f>_xlfn.XLOOKUP(G270,Conversio!$C:$C,Conversio!$D:$D,"No trobat",0)</f>
        <v>ADMINISTRACIO EMPRESA</v>
      </c>
      <c r="I270">
        <v>11647</v>
      </c>
      <c r="J270" s="2">
        <f t="shared" si="15"/>
        <v>194.11666666666667</v>
      </c>
      <c r="K270" s="6">
        <v>18</v>
      </c>
      <c r="L270" s="5">
        <f t="shared" si="16"/>
        <v>3494.1000000000004</v>
      </c>
    </row>
    <row r="271" spans="1:12" hidden="1" x14ac:dyDescent="0.3">
      <c r="A271" s="7">
        <v>46113</v>
      </c>
      <c r="B271" t="s">
        <v>223</v>
      </c>
      <c r="C271" t="s">
        <v>28</v>
      </c>
      <c r="D271" t="str">
        <f>_xlfn.XLOOKUP(C271,Conversio!$B:$B,Conversio!$C:$C,"No trobat",0)</f>
        <v>CCP00014</v>
      </c>
      <c r="E271" t="str">
        <f>_xlfn.XLOOKUP(D:D,Conversio!C:C,Conversio!D:D,"No trobat")</f>
        <v>CENTRE PRODUCCIO</v>
      </c>
      <c r="F271" t="s">
        <v>14</v>
      </c>
      <c r="G271" t="str">
        <f>_xlfn.XLOOKUP(F271,Conversio!$B:$B,Conversio!$C:$C,"No trobat",0)</f>
        <v>CCE00000</v>
      </c>
      <c r="H271" t="str">
        <f>_xlfn.XLOOKUP(G271,Conversio!$C:$C,Conversio!$D:$D,"No trobat",0)</f>
        <v>ADMINISTRACIO EMPRESA</v>
      </c>
      <c r="I271">
        <v>142</v>
      </c>
      <c r="J271" s="2">
        <f t="shared" si="15"/>
        <v>2.3666666666666667</v>
      </c>
      <c r="K271" s="6">
        <v>18</v>
      </c>
      <c r="L271" s="5">
        <f t="shared" si="16"/>
        <v>42.6</v>
      </c>
    </row>
    <row r="272" spans="1:12" hidden="1" x14ac:dyDescent="0.3">
      <c r="A272" s="7">
        <v>46113</v>
      </c>
      <c r="B272" t="s">
        <v>101</v>
      </c>
      <c r="C272" t="s">
        <v>102</v>
      </c>
      <c r="D272" t="str">
        <f>_xlfn.XLOOKUP(C272,Conversio!$B:$B,Conversio!$C:$C,"No trobat",0)</f>
        <v>CCR00010</v>
      </c>
      <c r="E272" t="str">
        <f>_xlfn.XLOOKUP(D:D,Conversio!C:C,Conversio!D:D,"No trobat")</f>
        <v>RESTAURANT SOLIVER</v>
      </c>
      <c r="F272" t="s">
        <v>14</v>
      </c>
      <c r="G272" t="str">
        <f>_xlfn.XLOOKUP(F272,Conversio!$B:$B,Conversio!$C:$C,"No trobat",0)</f>
        <v>CCE00000</v>
      </c>
      <c r="H272" t="str">
        <f>_xlfn.XLOOKUP(G272,Conversio!$C:$C,Conversio!$D:$D,"No trobat",0)</f>
        <v>ADMINISTRACIO EMPRESA</v>
      </c>
      <c r="I272">
        <v>619</v>
      </c>
      <c r="J272" s="2">
        <f t="shared" si="15"/>
        <v>10.316666666666666</v>
      </c>
      <c r="K272" s="6">
        <v>18</v>
      </c>
      <c r="L272" s="5">
        <f t="shared" si="16"/>
        <v>185.7</v>
      </c>
    </row>
    <row r="273" spans="1:12" hidden="1" x14ac:dyDescent="0.3">
      <c r="A273" s="7">
        <v>46113</v>
      </c>
      <c r="B273" t="s">
        <v>107</v>
      </c>
      <c r="C273" t="s">
        <v>26</v>
      </c>
      <c r="D273" t="str">
        <f>_xlfn.XLOOKUP(C273,Conversio!$B:$B,Conversio!$C:$C,"No trobat",0)</f>
        <v>CCC00007</v>
      </c>
      <c r="E273" t="str">
        <f>_xlfn.XLOOKUP(D:D,Conversio!C:C,Conversio!D:D,"No trobat")</f>
        <v>CUINA CENTRAL</v>
      </c>
      <c r="F273" t="s">
        <v>14</v>
      </c>
      <c r="G273" t="str">
        <f>_xlfn.XLOOKUP(F273,Conversio!$B:$B,Conversio!$C:$C,"No trobat",0)</f>
        <v>CCE00000</v>
      </c>
      <c r="H273" t="str">
        <f>_xlfn.XLOOKUP(G273,Conversio!$C:$C,Conversio!$D:$D,"No trobat",0)</f>
        <v>ADMINISTRACIO EMPRESA</v>
      </c>
      <c r="I273">
        <v>3444</v>
      </c>
      <c r="J273" s="2">
        <f t="shared" si="15"/>
        <v>57.4</v>
      </c>
      <c r="K273" s="6">
        <v>18</v>
      </c>
      <c r="L273" s="5">
        <f t="shared" si="16"/>
        <v>1033.2</v>
      </c>
    </row>
    <row r="274" spans="1:12" hidden="1" x14ac:dyDescent="0.3">
      <c r="A274" s="7">
        <v>46113</v>
      </c>
      <c r="B274" t="s">
        <v>120</v>
      </c>
      <c r="C274" t="s">
        <v>121</v>
      </c>
      <c r="D274" t="str">
        <f>_xlfn.XLOOKUP(C274,Conversio!$B:$B,Conversio!$C:$C,"No trobat",0)</f>
        <v>CCR00008</v>
      </c>
      <c r="E274" t="str">
        <f>_xlfn.XLOOKUP(D:D,Conversio!C:C,Conversio!D:D,"No trobat")</f>
        <v>RESTAURANT FONT  DE LA CANYA</v>
      </c>
      <c r="F274" t="s">
        <v>14</v>
      </c>
      <c r="G274" t="str">
        <f>_xlfn.XLOOKUP(F274,Conversio!$B:$B,Conversio!$C:$C,"No trobat",0)</f>
        <v>CCE00000</v>
      </c>
      <c r="H274" t="str">
        <f>_xlfn.XLOOKUP(G274,Conversio!$C:$C,Conversio!$D:$D,"No trobat",0)</f>
        <v>ADMINISTRACIO EMPRESA</v>
      </c>
      <c r="I274">
        <v>849</v>
      </c>
      <c r="J274" s="2">
        <f t="shared" si="15"/>
        <v>14.15</v>
      </c>
      <c r="K274" s="6">
        <v>18</v>
      </c>
      <c r="L274" s="5">
        <f t="shared" si="16"/>
        <v>254.70000000000002</v>
      </c>
    </row>
    <row r="275" spans="1:12" hidden="1" x14ac:dyDescent="0.3">
      <c r="A275" s="7">
        <v>46113</v>
      </c>
      <c r="B275" t="s">
        <v>122</v>
      </c>
      <c r="C275" t="s">
        <v>54</v>
      </c>
      <c r="D275" t="str">
        <f>_xlfn.XLOOKUP(C275,Conversio!$B:$B,Conversio!$C:$C,"No trobat",0)</f>
        <v>CCR00010</v>
      </c>
      <c r="E275" t="str">
        <f>_xlfn.XLOOKUP(D:D,Conversio!C:C,Conversio!D:D,"No trobat")</f>
        <v>RESTAURANT SOLIVER</v>
      </c>
      <c r="F275" t="s">
        <v>14</v>
      </c>
      <c r="G275" t="str">
        <f>_xlfn.XLOOKUP(F275,Conversio!$B:$B,Conversio!$C:$C,"No trobat",0)</f>
        <v>CCE00000</v>
      </c>
      <c r="H275" t="str">
        <f>_xlfn.XLOOKUP(G275,Conversio!$C:$C,Conversio!$D:$D,"No trobat",0)</f>
        <v>ADMINISTRACIO EMPRESA</v>
      </c>
      <c r="I275">
        <v>587</v>
      </c>
      <c r="J275" s="2">
        <f t="shared" si="15"/>
        <v>9.7833333333333332</v>
      </c>
      <c r="K275" s="6">
        <v>18</v>
      </c>
      <c r="L275" s="5">
        <f t="shared" si="16"/>
        <v>176.1</v>
      </c>
    </row>
    <row r="276" spans="1:12" hidden="1" x14ac:dyDescent="0.3">
      <c r="A276" s="7">
        <v>46113</v>
      </c>
      <c r="B276" t="s">
        <v>124</v>
      </c>
      <c r="C276" t="s">
        <v>26</v>
      </c>
      <c r="D276" t="str">
        <f>_xlfn.XLOOKUP(C276,Conversio!$B:$B,Conversio!$C:$C,"No trobat",0)</f>
        <v>CCC00007</v>
      </c>
      <c r="E276" t="str">
        <f>_xlfn.XLOOKUP(D:D,Conversio!C:C,Conversio!D:D,"No trobat")</f>
        <v>CUINA CENTRAL</v>
      </c>
      <c r="F276" t="s">
        <v>14</v>
      </c>
      <c r="G276" t="str">
        <f>_xlfn.XLOOKUP(F276,Conversio!$B:$B,Conversio!$C:$C,"No trobat",0)</f>
        <v>CCE00000</v>
      </c>
      <c r="H276" t="str">
        <f>_xlfn.XLOOKUP(G276,Conversio!$C:$C,Conversio!$D:$D,"No trobat",0)</f>
        <v>ADMINISTRACIO EMPRESA</v>
      </c>
      <c r="I276">
        <v>4257</v>
      </c>
      <c r="J276" s="2">
        <f t="shared" si="15"/>
        <v>70.95</v>
      </c>
      <c r="K276" s="6">
        <v>18</v>
      </c>
      <c r="L276" s="5">
        <f t="shared" si="16"/>
        <v>1277.1000000000001</v>
      </c>
    </row>
    <row r="277" spans="1:12" hidden="1" x14ac:dyDescent="0.3">
      <c r="A277" s="7">
        <v>46113</v>
      </c>
      <c r="B277" t="s">
        <v>127</v>
      </c>
      <c r="C277" t="s">
        <v>26</v>
      </c>
      <c r="D277" t="str">
        <f>_xlfn.XLOOKUP(C277,Conversio!$B:$B,Conversio!$C:$C,"No trobat",0)</f>
        <v>CCC00007</v>
      </c>
      <c r="E277" t="str">
        <f>_xlfn.XLOOKUP(D:D,Conversio!C:C,Conversio!D:D,"No trobat")</f>
        <v>CUINA CENTRAL</v>
      </c>
      <c r="F277" t="s">
        <v>14</v>
      </c>
      <c r="G277" t="str">
        <f>_xlfn.XLOOKUP(F277,Conversio!$B:$B,Conversio!$C:$C,"No trobat",0)</f>
        <v>CCE00000</v>
      </c>
      <c r="H277" t="str">
        <f>_xlfn.XLOOKUP(G277,Conversio!$C:$C,Conversio!$D:$D,"No trobat",0)</f>
        <v>ADMINISTRACIO EMPRESA</v>
      </c>
      <c r="I277">
        <v>2435</v>
      </c>
      <c r="J277" s="2">
        <f t="shared" si="15"/>
        <v>40.583333333333336</v>
      </c>
      <c r="K277" s="6">
        <v>18</v>
      </c>
      <c r="L277" s="5">
        <f t="shared" si="16"/>
        <v>730.5</v>
      </c>
    </row>
    <row r="278" spans="1:12" hidden="1" x14ac:dyDescent="0.3">
      <c r="A278" s="7">
        <v>46113</v>
      </c>
      <c r="B278" t="s">
        <v>131</v>
      </c>
      <c r="C278" t="s">
        <v>26</v>
      </c>
      <c r="D278" t="str">
        <f>_xlfn.XLOOKUP(C278,Conversio!$B:$B,Conversio!$C:$C,"No trobat",0)</f>
        <v>CCC00007</v>
      </c>
      <c r="E278" t="str">
        <f>_xlfn.XLOOKUP(D:D,Conversio!C:C,Conversio!D:D,"No trobat")</f>
        <v>CUINA CENTRAL</v>
      </c>
      <c r="F278" t="s">
        <v>14</v>
      </c>
      <c r="G278" t="str">
        <f>_xlfn.XLOOKUP(F278,Conversio!$B:$B,Conversio!$C:$C,"No trobat",0)</f>
        <v>CCE00000</v>
      </c>
      <c r="H278" t="str">
        <f>_xlfn.XLOOKUP(G278,Conversio!$C:$C,Conversio!$D:$D,"No trobat",0)</f>
        <v>ADMINISTRACIO EMPRESA</v>
      </c>
      <c r="I278">
        <v>444</v>
      </c>
      <c r="J278" s="2">
        <f t="shared" si="15"/>
        <v>7.4</v>
      </c>
      <c r="K278" s="6">
        <v>18</v>
      </c>
      <c r="L278" s="5">
        <f t="shared" si="16"/>
        <v>133.20000000000002</v>
      </c>
    </row>
    <row r="279" spans="1:12" hidden="1" x14ac:dyDescent="0.3">
      <c r="A279" s="7">
        <v>46113</v>
      </c>
      <c r="B279" t="s">
        <v>132</v>
      </c>
      <c r="C279" t="s">
        <v>26</v>
      </c>
      <c r="D279" t="str">
        <f>_xlfn.XLOOKUP(C279,Conversio!$B:$B,Conversio!$C:$C,"No trobat",0)</f>
        <v>CCC00007</v>
      </c>
      <c r="E279" t="str">
        <f>_xlfn.XLOOKUP(D:D,Conversio!C:C,Conversio!D:D,"No trobat")</f>
        <v>CUINA CENTRAL</v>
      </c>
      <c r="F279" t="s">
        <v>14</v>
      </c>
      <c r="G279" t="str">
        <f>_xlfn.XLOOKUP(F279,Conversio!$B:$B,Conversio!$C:$C,"No trobat",0)</f>
        <v>CCE00000</v>
      </c>
      <c r="H279" t="str">
        <f>_xlfn.XLOOKUP(G279,Conversio!$C:$C,Conversio!$D:$D,"No trobat",0)</f>
        <v>ADMINISTRACIO EMPRESA</v>
      </c>
      <c r="I279">
        <v>1168</v>
      </c>
      <c r="J279" s="2">
        <f t="shared" si="15"/>
        <v>19.466666666666665</v>
      </c>
      <c r="K279" s="6">
        <v>18</v>
      </c>
      <c r="L279" s="5">
        <f t="shared" si="16"/>
        <v>350.4</v>
      </c>
    </row>
    <row r="280" spans="1:12" hidden="1" x14ac:dyDescent="0.3">
      <c r="A280" s="7">
        <v>46113</v>
      </c>
      <c r="B280" t="s">
        <v>137</v>
      </c>
      <c r="C280" t="s">
        <v>138</v>
      </c>
      <c r="D280" t="str">
        <f>_xlfn.XLOOKUP(C280,Conversio!$B:$B,Conversio!$C:$C,"No trobat",0)</f>
        <v>CCC00008</v>
      </c>
      <c r="E280" t="str">
        <f>_xlfn.XLOOKUP(D:D,Conversio!C:C,Conversio!D:D,"No trobat")</f>
        <v>SERVEIS EXTERNS</v>
      </c>
      <c r="F280" t="s">
        <v>14</v>
      </c>
      <c r="G280" t="str">
        <f>_xlfn.XLOOKUP(F280,Conversio!$B:$B,Conversio!$C:$C,"No trobat",0)</f>
        <v>CCE00000</v>
      </c>
      <c r="H280" t="str">
        <f>_xlfn.XLOOKUP(G280,Conversio!$C:$C,Conversio!$D:$D,"No trobat",0)</f>
        <v>ADMINISTRACIO EMPRESA</v>
      </c>
      <c r="I280">
        <v>660</v>
      </c>
      <c r="J280" s="2">
        <f t="shared" si="15"/>
        <v>11</v>
      </c>
      <c r="K280" s="6">
        <v>18</v>
      </c>
      <c r="L280" s="5">
        <f t="shared" si="16"/>
        <v>198</v>
      </c>
    </row>
    <row r="281" spans="1:12" hidden="1" x14ac:dyDescent="0.3">
      <c r="A281" s="7">
        <v>46113</v>
      </c>
      <c r="B281" t="s">
        <v>39</v>
      </c>
      <c r="C281" t="s">
        <v>40</v>
      </c>
      <c r="D281" t="str">
        <f>_xlfn.XLOOKUP(C281,Conversio!$B:$B,Conversio!$C:$C,"No trobat",0)</f>
        <v>CCR00001</v>
      </c>
      <c r="E281" t="str">
        <f>_xlfn.XLOOKUP(D:D,Conversio!C:C,Conversio!D:D,"No trobat")</f>
        <v>RESTAURANT ORIGENS</v>
      </c>
      <c r="F281" t="s">
        <v>41</v>
      </c>
      <c r="G281" t="str">
        <f>_xlfn.XLOOKUP(F281,Conversio!$B:$B,Conversio!$C:$C,"No trobat",0)</f>
        <v>CCC00007</v>
      </c>
      <c r="H281" t="str">
        <f>_xlfn.XLOOKUP(G281,Conversio!$C:$C,Conversio!$D:$D,"No trobat",0)</f>
        <v>CUINA CENTRAL</v>
      </c>
      <c r="I281">
        <v>1583</v>
      </c>
      <c r="J281" s="2">
        <f t="shared" si="15"/>
        <v>26.383333333333333</v>
      </c>
      <c r="K281" s="6">
        <v>18</v>
      </c>
      <c r="L281" s="5">
        <f t="shared" si="16"/>
        <v>474.9</v>
      </c>
    </row>
    <row r="282" spans="1:12" hidden="1" x14ac:dyDescent="0.3">
      <c r="A282" s="7">
        <v>46113</v>
      </c>
      <c r="B282" t="s">
        <v>224</v>
      </c>
      <c r="C282" t="s">
        <v>54</v>
      </c>
      <c r="D282" t="str">
        <f>_xlfn.XLOOKUP(C282,Conversio!$B:$B,Conversio!$C:$C,"No trobat",0)</f>
        <v>CCR00010</v>
      </c>
      <c r="E282" t="str">
        <f>_xlfn.XLOOKUP(D:D,Conversio!C:C,Conversio!D:D,"No trobat")</f>
        <v>RESTAURANT SOLIVER</v>
      </c>
      <c r="F282" t="s">
        <v>41</v>
      </c>
      <c r="G282" t="str">
        <f>_xlfn.XLOOKUP(F282,Conversio!$B:$B,Conversio!$C:$C,"No trobat",0)</f>
        <v>CCC00007</v>
      </c>
      <c r="H282" t="str">
        <f>_xlfn.XLOOKUP(G282,Conversio!$C:$C,Conversio!$D:$D,"No trobat",0)</f>
        <v>CUINA CENTRAL</v>
      </c>
      <c r="I282">
        <v>885</v>
      </c>
      <c r="J282" s="2">
        <f t="shared" si="15"/>
        <v>14.75</v>
      </c>
      <c r="K282" s="6">
        <v>18</v>
      </c>
      <c r="L282" s="5">
        <f t="shared" si="16"/>
        <v>265.5</v>
      </c>
    </row>
    <row r="283" spans="1:12" hidden="1" x14ac:dyDescent="0.3">
      <c r="A283" s="7">
        <v>46113</v>
      </c>
      <c r="B283" t="s">
        <v>43</v>
      </c>
      <c r="C283" t="s">
        <v>44</v>
      </c>
      <c r="D283" t="str">
        <f>_xlfn.XLOOKUP(C283,Conversio!$B:$B,Conversio!$C:$C,"No trobat",0)</f>
        <v>CCR00009</v>
      </c>
      <c r="E283" t="str">
        <f>_xlfn.XLOOKUP(D:D,Conversio!C:C,Conversio!D:D,"No trobat")</f>
        <v>RESTAURANT VALKIRIA</v>
      </c>
      <c r="F283" t="s">
        <v>65</v>
      </c>
      <c r="G283" t="str">
        <f>_xlfn.XLOOKUP(F283,Conversio!$B:$B,Conversio!$C:$C,"No trobat",0)</f>
        <v>No trobat</v>
      </c>
      <c r="H283" t="str">
        <f>_xlfn.XLOOKUP(G283,Conversio!$C:$C,Conversio!$D:$D,"No trobat",0)</f>
        <v>No trobat</v>
      </c>
      <c r="I283">
        <v>2220</v>
      </c>
      <c r="J283" s="2">
        <f t="shared" si="15"/>
        <v>37</v>
      </c>
      <c r="K283" s="6">
        <v>18</v>
      </c>
      <c r="L283" s="5">
        <f t="shared" si="16"/>
        <v>666</v>
      </c>
    </row>
    <row r="284" spans="1:12" hidden="1" x14ac:dyDescent="0.3">
      <c r="A284" s="7">
        <v>46113</v>
      </c>
      <c r="B284" t="s">
        <v>76</v>
      </c>
      <c r="C284" t="s">
        <v>77</v>
      </c>
      <c r="D284" t="str">
        <f>_xlfn.XLOOKUP(C284,Conversio!$B:$B,Conversio!$C:$C,"No trobat",0)</f>
        <v>CCR00003</v>
      </c>
      <c r="E284" t="str">
        <f>_xlfn.XLOOKUP(D:D,Conversio!C:C,Conversio!D:D,"No trobat")</f>
        <v>RESTAURANT LA MASIA D'ESPLUGUES</v>
      </c>
      <c r="F284" t="s">
        <v>65</v>
      </c>
      <c r="G284" t="str">
        <f>_xlfn.XLOOKUP(F284,Conversio!$B:$B,Conversio!$C:$C,"No trobat",0)</f>
        <v>No trobat</v>
      </c>
      <c r="H284" t="str">
        <f>_xlfn.XLOOKUP(G284,Conversio!$C:$C,Conversio!$D:$D,"No trobat",0)</f>
        <v>No trobat</v>
      </c>
      <c r="I284">
        <v>660</v>
      </c>
      <c r="J284" s="2">
        <f t="shared" si="15"/>
        <v>11</v>
      </c>
      <c r="K284" s="6">
        <v>18</v>
      </c>
      <c r="L284" s="5">
        <f t="shared" si="16"/>
        <v>198</v>
      </c>
    </row>
    <row r="285" spans="1:12" hidden="1" x14ac:dyDescent="0.3">
      <c r="A285" s="7">
        <v>46113</v>
      </c>
      <c r="B285" t="s">
        <v>117</v>
      </c>
      <c r="C285" t="s">
        <v>118</v>
      </c>
      <c r="D285" t="str">
        <f>_xlfn.XLOOKUP(C285,Conversio!$B:$B,Conversio!$C:$C,"No trobat",0)</f>
        <v>CCR00009</v>
      </c>
      <c r="E285" t="str">
        <f>_xlfn.XLOOKUP(D:D,Conversio!C:C,Conversio!D:D,"No trobat")</f>
        <v>RESTAURANT VALKIRIA</v>
      </c>
      <c r="F285" t="s">
        <v>65</v>
      </c>
      <c r="G285" t="str">
        <f>_xlfn.XLOOKUP(F285,Conversio!$B:$B,Conversio!$C:$C,"No trobat",0)</f>
        <v>No trobat</v>
      </c>
      <c r="H285" t="str">
        <f>_xlfn.XLOOKUP(G285,Conversio!$C:$C,Conversio!$D:$D,"No trobat",0)</f>
        <v>No trobat</v>
      </c>
      <c r="I285">
        <v>1290</v>
      </c>
      <c r="J285" s="2">
        <f t="shared" si="15"/>
        <v>21.5</v>
      </c>
      <c r="K285" s="6">
        <v>18</v>
      </c>
      <c r="L285" s="5">
        <f t="shared" si="16"/>
        <v>387</v>
      </c>
    </row>
    <row r="286" spans="1:12" hidden="1" x14ac:dyDescent="0.3">
      <c r="A286" s="7">
        <v>46113</v>
      </c>
      <c r="B286" t="s">
        <v>143</v>
      </c>
      <c r="C286" t="s">
        <v>47</v>
      </c>
      <c r="D286" t="str">
        <f>_xlfn.XLOOKUP(C286,Conversio!$B:$B,Conversio!$C:$C,"No trobat",0)</f>
        <v>CCR00004</v>
      </c>
      <c r="E286" t="str">
        <f>_xlfn.XLOOKUP(D:D,Conversio!C:C,Conversio!D:D,"No trobat")</f>
        <v>RESTAURANT CAMP NOU</v>
      </c>
      <c r="F286" t="s">
        <v>65</v>
      </c>
      <c r="G286" t="str">
        <f>_xlfn.XLOOKUP(F286,Conversio!$B:$B,Conversio!$C:$C,"No trobat",0)</f>
        <v>No trobat</v>
      </c>
      <c r="H286" t="str">
        <f>_xlfn.XLOOKUP(G286,Conversio!$C:$C,Conversio!$D:$D,"No trobat",0)</f>
        <v>No trobat</v>
      </c>
      <c r="I286">
        <v>4200</v>
      </c>
      <c r="J286" s="2">
        <f t="shared" si="15"/>
        <v>70</v>
      </c>
      <c r="K286" s="6">
        <v>18</v>
      </c>
      <c r="L286" s="5">
        <f t="shared" si="16"/>
        <v>1260</v>
      </c>
    </row>
    <row r="287" spans="1:12" hidden="1" x14ac:dyDescent="0.3">
      <c r="A287" s="7">
        <v>46113</v>
      </c>
      <c r="B287" t="s">
        <v>43</v>
      </c>
      <c r="C287" t="s">
        <v>44</v>
      </c>
      <c r="D287" t="str">
        <f>_xlfn.XLOOKUP(C287,Conversio!$B:$B,Conversio!$C:$C,"No trobat",0)</f>
        <v>CCR00009</v>
      </c>
      <c r="E287" t="str">
        <f>_xlfn.XLOOKUP(D:D,Conversio!C:C,Conversio!D:D,"No trobat")</f>
        <v>RESTAURANT VALKIRIA</v>
      </c>
      <c r="F287" t="s">
        <v>45</v>
      </c>
      <c r="G287" t="str">
        <f>_xlfn.XLOOKUP(F287,Conversio!$B:$B,Conversio!$C:$C,"No trobat",0)</f>
        <v>CCR00011</v>
      </c>
      <c r="H287" t="str">
        <f>_xlfn.XLOOKUP(G287,Conversio!$C:$C,Conversio!$D:$D,"No trobat",0)</f>
        <v xml:space="preserve"> GREEN VITA</v>
      </c>
      <c r="I287">
        <v>2340</v>
      </c>
      <c r="J287" s="2">
        <f t="shared" si="15"/>
        <v>39</v>
      </c>
      <c r="K287" s="6">
        <v>18</v>
      </c>
      <c r="L287" s="5">
        <f t="shared" si="16"/>
        <v>702</v>
      </c>
    </row>
    <row r="288" spans="1:12" hidden="1" x14ac:dyDescent="0.3">
      <c r="A288" s="7">
        <v>46113</v>
      </c>
      <c r="B288" t="s">
        <v>76</v>
      </c>
      <c r="C288" t="s">
        <v>77</v>
      </c>
      <c r="D288" t="str">
        <f>_xlfn.XLOOKUP(C288,Conversio!$B:$B,Conversio!$C:$C,"No trobat",0)</f>
        <v>CCR00003</v>
      </c>
      <c r="E288" t="str">
        <f>_xlfn.XLOOKUP(D:D,Conversio!C:C,Conversio!D:D,"No trobat")</f>
        <v>RESTAURANT LA MASIA D'ESPLUGUES</v>
      </c>
      <c r="F288" t="s">
        <v>45</v>
      </c>
      <c r="G288" t="str">
        <f>_xlfn.XLOOKUP(F288,Conversio!$B:$B,Conversio!$C:$C,"No trobat",0)</f>
        <v>CCR00011</v>
      </c>
      <c r="H288" t="str">
        <f>_xlfn.XLOOKUP(G288,Conversio!$C:$C,Conversio!$D:$D,"No trobat",0)</f>
        <v xml:space="preserve"> GREEN VITA</v>
      </c>
      <c r="I288">
        <v>1950</v>
      </c>
      <c r="J288" s="2">
        <f t="shared" si="15"/>
        <v>32.5</v>
      </c>
      <c r="K288" s="6">
        <v>18</v>
      </c>
      <c r="L288" s="5">
        <f t="shared" si="16"/>
        <v>585</v>
      </c>
    </row>
    <row r="289" spans="1:12" hidden="1" x14ac:dyDescent="0.3">
      <c r="A289" s="7">
        <v>46113</v>
      </c>
      <c r="B289" t="s">
        <v>83</v>
      </c>
      <c r="C289" t="s">
        <v>17</v>
      </c>
      <c r="D289" t="str">
        <f>_xlfn.XLOOKUP(C289,Conversio!$B:$B,Conversio!$C:$C,"No trobat",0)</f>
        <v>CCR00006</v>
      </c>
      <c r="E289" t="str">
        <f>_xlfn.XLOOKUP(D:D,Conversio!C:C,Conversio!D:D,"No trobat")</f>
        <v>RESTAURANT MIRADOR DE LES CAVES</v>
      </c>
      <c r="F289" t="s">
        <v>84</v>
      </c>
      <c r="G289" t="str">
        <f>_xlfn.XLOOKUP(F289,Conversio!$B:$B,Conversio!$C:$C,"No trobat",0)</f>
        <v>CCR00008</v>
      </c>
      <c r="H289" t="str">
        <f>_xlfn.XLOOKUP(G289,Conversio!$C:$C,Conversio!$D:$D,"No trobat",0)</f>
        <v>RESTAURANT FONT  DE LA CANYA</v>
      </c>
      <c r="I289">
        <v>3345</v>
      </c>
      <c r="J289" s="2">
        <f t="shared" si="15"/>
        <v>55.75</v>
      </c>
      <c r="K289" s="6">
        <v>18</v>
      </c>
      <c r="L289" s="5">
        <f t="shared" si="16"/>
        <v>1003.5</v>
      </c>
    </row>
    <row r="290" spans="1:12" hidden="1" x14ac:dyDescent="0.3">
      <c r="A290" s="7">
        <v>46113</v>
      </c>
      <c r="B290" t="s">
        <v>31</v>
      </c>
      <c r="C290" t="s">
        <v>32</v>
      </c>
      <c r="D290" t="str">
        <f>_xlfn.XLOOKUP(C290,Conversio!$B:$B,Conversio!$C:$C,"No trobat",0)</f>
        <v>CCR00009</v>
      </c>
      <c r="E290" t="str">
        <f>_xlfn.XLOOKUP(D:D,Conversio!C:C,Conversio!D:D,"No trobat")</f>
        <v>RESTAURANT VALKIRIA</v>
      </c>
      <c r="F290" t="s">
        <v>34</v>
      </c>
      <c r="G290" t="str">
        <f>_xlfn.XLOOKUP(F290,Conversio!$B:$B,Conversio!$C:$C,"No trobat",0)</f>
        <v>CCR00003</v>
      </c>
      <c r="H290" t="str">
        <f>_xlfn.XLOOKUP(G290,Conversio!$C:$C,Conversio!$D:$D,"No trobat",0)</f>
        <v>RESTAURANT LA MASIA D'ESPLUGUES</v>
      </c>
      <c r="I290">
        <v>1320</v>
      </c>
      <c r="J290" s="2">
        <f t="shared" si="15"/>
        <v>22</v>
      </c>
      <c r="K290" s="6">
        <v>18</v>
      </c>
      <c r="L290" s="5">
        <f t="shared" si="16"/>
        <v>396</v>
      </c>
    </row>
    <row r="291" spans="1:12" hidden="1" x14ac:dyDescent="0.3">
      <c r="A291" s="7">
        <v>46113</v>
      </c>
      <c r="B291" t="s">
        <v>225</v>
      </c>
      <c r="C291" t="s">
        <v>94</v>
      </c>
      <c r="D291" t="str">
        <f>_xlfn.XLOOKUP(C291,Conversio!$B:$B,Conversio!$C:$C,"No trobat",0)</f>
        <v>CCR00003</v>
      </c>
      <c r="E291" t="str">
        <f>_xlfn.XLOOKUP(D:D,Conversio!C:C,Conversio!D:D,"No trobat")</f>
        <v>RESTAURANT LA MASIA D'ESPLUGUES</v>
      </c>
      <c r="F291" t="s">
        <v>42</v>
      </c>
      <c r="G291" t="str">
        <f>_xlfn.XLOOKUP(F291,Conversio!$B:$B,Conversio!$C:$C,"No trobat",0)</f>
        <v>CCR00001</v>
      </c>
      <c r="H291" t="str">
        <f>_xlfn.XLOOKUP(G291,Conversio!$C:$C,Conversio!$D:$D,"No trobat",0)</f>
        <v>RESTAURANT ORIGENS</v>
      </c>
      <c r="I291">
        <v>430</v>
      </c>
      <c r="J291" s="2">
        <f t="shared" si="15"/>
        <v>7.166666666666667</v>
      </c>
      <c r="K291" s="6">
        <v>18</v>
      </c>
      <c r="L291" s="5">
        <f t="shared" si="16"/>
        <v>129</v>
      </c>
    </row>
    <row r="292" spans="1:12" hidden="1" x14ac:dyDescent="0.3">
      <c r="A292" s="7">
        <v>46113</v>
      </c>
      <c r="B292" t="s">
        <v>216</v>
      </c>
      <c r="C292" t="s">
        <v>61</v>
      </c>
      <c r="D292" t="str">
        <f>_xlfn.XLOOKUP(C292,Conversio!$B:$B,Conversio!$C:$C,"No trobat",0)</f>
        <v>CCF00001</v>
      </c>
      <c r="E292" t="str">
        <f>_xlfn.XLOOKUP(D:D,Conversio!C:C,Conversio!D:D,"No trobat")</f>
        <v>FIRES I FESTIVALS</v>
      </c>
      <c r="F292" t="s">
        <v>62</v>
      </c>
      <c r="G292" t="str">
        <f>_xlfn.XLOOKUP(F292,Conversio!$B:$B,Conversio!$C:$C,"No trobat",0)</f>
        <v>CCF00002</v>
      </c>
      <c r="H292" t="str">
        <f>_xlfn.XLOOKUP(G292,Conversio!$C:$C,Conversio!$D:$D,"No trobat",0)</f>
        <v>FESTIVAL TARRACO</v>
      </c>
      <c r="I292">
        <v>510</v>
      </c>
      <c r="J292" s="2">
        <f t="shared" si="15"/>
        <v>8.5</v>
      </c>
      <c r="K292" s="6">
        <v>18</v>
      </c>
      <c r="L292" s="5">
        <f t="shared" si="16"/>
        <v>153</v>
      </c>
    </row>
    <row r="293" spans="1:12" hidden="1" x14ac:dyDescent="0.3">
      <c r="A293" s="7">
        <v>46113</v>
      </c>
      <c r="B293" t="s">
        <v>217</v>
      </c>
      <c r="C293" t="s">
        <v>116</v>
      </c>
      <c r="D293" t="str">
        <f>_xlfn.XLOOKUP(C293,Conversio!$B:$B,Conversio!$C:$C,"No trobat",0)</f>
        <v>CCC00003</v>
      </c>
      <c r="E293" t="str">
        <f>_xlfn.XLOOKUP(D:D,Conversio!C:C,Conversio!D:D,"No trobat")</f>
        <v>DECORACIO</v>
      </c>
      <c r="F293" t="s">
        <v>62</v>
      </c>
      <c r="G293" t="str">
        <f>_xlfn.XLOOKUP(F293,Conversio!$B:$B,Conversio!$C:$C,"No trobat",0)</f>
        <v>CCF00002</v>
      </c>
      <c r="H293" t="str">
        <f>_xlfn.XLOOKUP(G293,Conversio!$C:$C,Conversio!$D:$D,"No trobat",0)</f>
        <v>FESTIVAL TARRACO</v>
      </c>
      <c r="I293">
        <v>962</v>
      </c>
      <c r="J293" s="2">
        <f t="shared" si="15"/>
        <v>16.033333333333335</v>
      </c>
      <c r="K293" s="6">
        <v>18</v>
      </c>
      <c r="L293" s="5">
        <f t="shared" si="16"/>
        <v>288.60000000000002</v>
      </c>
    </row>
    <row r="294" spans="1:12" hidden="1" x14ac:dyDescent="0.3">
      <c r="A294" s="7">
        <v>46113</v>
      </c>
      <c r="B294" t="s">
        <v>60</v>
      </c>
      <c r="C294" t="s">
        <v>61</v>
      </c>
      <c r="D294" t="str">
        <f>_xlfn.XLOOKUP(C294,Conversio!$B:$B,Conversio!$C:$C,"No trobat",0)</f>
        <v>CCF00001</v>
      </c>
      <c r="E294" t="str">
        <f>_xlfn.XLOOKUP(D:D,Conversio!C:C,Conversio!D:D,"No trobat")</f>
        <v>FIRES I FESTIVALS</v>
      </c>
      <c r="F294" t="s">
        <v>62</v>
      </c>
      <c r="G294" t="str">
        <f>_xlfn.XLOOKUP(F294,Conversio!$B:$B,Conversio!$C:$C,"No trobat",0)</f>
        <v>CCF00002</v>
      </c>
      <c r="H294" t="str">
        <f>_xlfn.XLOOKUP(G294,Conversio!$C:$C,Conversio!$D:$D,"No trobat",0)</f>
        <v>FESTIVAL TARRACO</v>
      </c>
      <c r="I294">
        <v>3480</v>
      </c>
      <c r="J294" s="2">
        <f t="shared" si="15"/>
        <v>58</v>
      </c>
      <c r="K294" s="6">
        <v>18</v>
      </c>
      <c r="L294" s="5">
        <f t="shared" si="16"/>
        <v>1044</v>
      </c>
    </row>
    <row r="295" spans="1:12" hidden="1" x14ac:dyDescent="0.3">
      <c r="A295" s="7">
        <v>46113</v>
      </c>
      <c r="B295" t="s">
        <v>63</v>
      </c>
      <c r="C295" t="s">
        <v>64</v>
      </c>
      <c r="D295" t="str">
        <f>_xlfn.XLOOKUP(C295,Conversio!$B:$B,Conversio!$C:$C,"No trobat",0)</f>
        <v>CCC00005</v>
      </c>
      <c r="E295" t="str">
        <f>_xlfn.XLOOKUP(D:D,Conversio!C:C,Conversio!D:D,"No trobat")</f>
        <v>OFICINES CAL BLAY</v>
      </c>
      <c r="F295" t="s">
        <v>62</v>
      </c>
      <c r="G295" t="str">
        <f>_xlfn.XLOOKUP(F295,Conversio!$B:$B,Conversio!$C:$C,"No trobat",0)</f>
        <v>CCF00002</v>
      </c>
      <c r="H295" t="str">
        <f>_xlfn.XLOOKUP(G295,Conversio!$C:$C,Conversio!$D:$D,"No trobat",0)</f>
        <v>FESTIVAL TARRACO</v>
      </c>
      <c r="I295">
        <v>3495</v>
      </c>
      <c r="J295" s="2">
        <f t="shared" si="15"/>
        <v>58.25</v>
      </c>
      <c r="K295" s="6">
        <v>18</v>
      </c>
      <c r="L295" s="5">
        <f t="shared" si="16"/>
        <v>1048.5</v>
      </c>
    </row>
    <row r="296" spans="1:12" hidden="1" x14ac:dyDescent="0.3">
      <c r="A296" s="7">
        <v>46113</v>
      </c>
      <c r="B296" t="s">
        <v>226</v>
      </c>
      <c r="C296" t="s">
        <v>227</v>
      </c>
      <c r="D296" t="str">
        <f>_xlfn.XLOOKUP(C296,Conversio!$B:$B,Conversio!$C:$C,"No trobat",0)</f>
        <v>No trobat</v>
      </c>
      <c r="E296" t="str">
        <f>_xlfn.XLOOKUP(D:D,Conversio!C:C,Conversio!D:D,"No trobat")</f>
        <v>No trobat</v>
      </c>
      <c r="F296" t="s">
        <v>62</v>
      </c>
      <c r="G296" t="str">
        <f>_xlfn.XLOOKUP(F296,Conversio!$B:$B,Conversio!$C:$C,"No trobat",0)</f>
        <v>CCF00002</v>
      </c>
      <c r="H296" t="str">
        <f>_xlfn.XLOOKUP(G296,Conversio!$C:$C,Conversio!$D:$D,"No trobat",0)</f>
        <v>FESTIVAL TARRACO</v>
      </c>
      <c r="I296">
        <v>420</v>
      </c>
      <c r="J296" s="2">
        <f t="shared" si="15"/>
        <v>7</v>
      </c>
      <c r="K296" s="6">
        <v>18</v>
      </c>
      <c r="L296" s="5">
        <f t="shared" si="16"/>
        <v>126</v>
      </c>
    </row>
    <row r="297" spans="1:12" hidden="1" x14ac:dyDescent="0.3">
      <c r="A297" s="7">
        <v>46113</v>
      </c>
      <c r="B297" t="s">
        <v>218</v>
      </c>
      <c r="C297" t="s">
        <v>219</v>
      </c>
      <c r="D297" t="str">
        <f>_xlfn.XLOOKUP(C297,Conversio!$B:$B,Conversio!$C:$C,"No trobat",0)</f>
        <v>No trobat</v>
      </c>
      <c r="E297" t="str">
        <f>_xlfn.XLOOKUP(D:D,Conversio!C:C,Conversio!D:D,"No trobat")</f>
        <v>No trobat</v>
      </c>
      <c r="F297" t="s">
        <v>62</v>
      </c>
      <c r="G297" t="str">
        <f>_xlfn.XLOOKUP(F297,Conversio!$B:$B,Conversio!$C:$C,"No trobat",0)</f>
        <v>CCF00002</v>
      </c>
      <c r="H297" t="str">
        <f>_xlfn.XLOOKUP(G297,Conversio!$C:$C,Conversio!$D:$D,"No trobat",0)</f>
        <v>FESTIVAL TARRACO</v>
      </c>
      <c r="I297">
        <v>510</v>
      </c>
      <c r="J297" s="2">
        <f t="shared" si="15"/>
        <v>8.5</v>
      </c>
      <c r="K297" s="6">
        <v>18</v>
      </c>
      <c r="L297" s="5">
        <f t="shared" si="16"/>
        <v>153</v>
      </c>
    </row>
    <row r="298" spans="1:12" hidden="1" x14ac:dyDescent="0.3">
      <c r="A298" s="7">
        <v>46113</v>
      </c>
      <c r="B298" t="s">
        <v>135</v>
      </c>
      <c r="C298" t="s">
        <v>136</v>
      </c>
      <c r="D298" t="str">
        <f>_xlfn.XLOOKUP(C298,Conversio!$B:$B,Conversio!$C:$C,"No trobat",0)</f>
        <v>CCR00005</v>
      </c>
      <c r="E298" t="str">
        <f>_xlfn.XLOOKUP(D:D,Conversio!C:C,Conversio!D:D,"No trobat")</f>
        <v>RESTAURANT TARRACO</v>
      </c>
      <c r="F298" t="s">
        <v>62</v>
      </c>
      <c r="G298" t="str">
        <f>_xlfn.XLOOKUP(F298,Conversio!$B:$B,Conversio!$C:$C,"No trobat",0)</f>
        <v>CCF00002</v>
      </c>
      <c r="H298" t="str">
        <f>_xlfn.XLOOKUP(G298,Conversio!$C:$C,Conversio!$D:$D,"No trobat",0)</f>
        <v>FESTIVAL TARRACO</v>
      </c>
      <c r="I298">
        <v>195</v>
      </c>
      <c r="J298" s="2">
        <f t="shared" si="15"/>
        <v>3.25</v>
      </c>
      <c r="K298" s="6">
        <v>18</v>
      </c>
      <c r="L298" s="5">
        <f t="shared" si="16"/>
        <v>58.5</v>
      </c>
    </row>
    <row r="299" spans="1:12" hidden="1" x14ac:dyDescent="0.3">
      <c r="A299" s="7">
        <v>46113</v>
      </c>
      <c r="B299" t="s">
        <v>146</v>
      </c>
      <c r="C299" t="s">
        <v>147</v>
      </c>
      <c r="D299" t="str">
        <f>_xlfn.XLOOKUP(C299,Conversio!$B:$B,Conversio!$C:$C,"No trobat",0)</f>
        <v>CCR00005</v>
      </c>
      <c r="E299" t="str">
        <f>_xlfn.XLOOKUP(D:D,Conversio!C:C,Conversio!D:D,"No trobat")</f>
        <v>RESTAURANT TARRACO</v>
      </c>
      <c r="F299" t="s">
        <v>62</v>
      </c>
      <c r="G299" t="str">
        <f>_xlfn.XLOOKUP(F299,Conversio!$B:$B,Conversio!$C:$C,"No trobat",0)</f>
        <v>CCF00002</v>
      </c>
      <c r="H299" t="str">
        <f>_xlfn.XLOOKUP(G299,Conversio!$C:$C,Conversio!$D:$D,"No trobat",0)</f>
        <v>FESTIVAL TARRACO</v>
      </c>
      <c r="I299">
        <v>196</v>
      </c>
      <c r="J299" s="2">
        <f t="shared" si="15"/>
        <v>3.2666666666666666</v>
      </c>
      <c r="K299" s="6">
        <v>18</v>
      </c>
      <c r="L299" s="5">
        <f t="shared" si="16"/>
        <v>58.8</v>
      </c>
    </row>
  </sheetData>
  <autoFilter ref="A1:M299" xr:uid="{EA71B2B3-D675-432E-82F8-F633DF833AB7}">
    <filterColumn colId="0">
      <filters>
        <dateGroupItem year="2026" month="5" dateTimeGrouping="month"/>
      </filters>
    </filterColumn>
  </autoFilter>
  <sortState xmlns:xlrd2="http://schemas.microsoft.com/office/spreadsheetml/2017/richdata2" ref="B101:J107">
    <sortCondition ref="F101:F107"/>
    <sortCondition ref="C101:C1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08"/>
  <sheetViews>
    <sheetView workbookViewId="0">
      <selection activeCell="D115" sqref="D115"/>
    </sheetView>
  </sheetViews>
  <sheetFormatPr baseColWidth="10" defaultColWidth="9.109375" defaultRowHeight="14.4" x14ac:dyDescent="0.3"/>
  <cols>
    <col min="1" max="1" width="34" customWidth="1"/>
    <col min="2" max="2" width="27" customWidth="1"/>
    <col min="3" max="3" width="41.88671875" customWidth="1"/>
    <col min="4" max="4" width="19" customWidth="1"/>
    <col min="5" max="5" width="26" customWidth="1"/>
    <col min="6" max="6" width="24.33203125" customWidth="1"/>
    <col min="7" max="7" width="12" customWidth="1"/>
    <col min="8" max="8" width="16" customWidth="1"/>
    <col min="9" max="9" width="21" customWidth="1"/>
    <col min="10" max="10" width="19" customWidth="1"/>
    <col min="11" max="11" width="37" customWidth="1"/>
    <col min="12" max="12" width="25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" hidden="1" customHeight="1" x14ac:dyDescent="0.3">
      <c r="A2" t="s">
        <v>12</v>
      </c>
      <c r="B2">
        <v>941</v>
      </c>
      <c r="C2" t="s">
        <v>13</v>
      </c>
      <c r="D2">
        <v>15734340</v>
      </c>
      <c r="F2" t="s">
        <v>14</v>
      </c>
      <c r="G2">
        <v>3435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  <row r="3" spans="1:12" ht="12" hidden="1" customHeight="1" x14ac:dyDescent="0.3">
      <c r="A3" t="s">
        <v>16</v>
      </c>
      <c r="B3">
        <v>156</v>
      </c>
      <c r="C3" t="s">
        <v>17</v>
      </c>
      <c r="D3">
        <v>15734340</v>
      </c>
      <c r="F3" t="s">
        <v>14</v>
      </c>
      <c r="G3">
        <v>600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</row>
    <row r="4" spans="1:12" ht="12" hidden="1" customHeight="1" x14ac:dyDescent="0.3">
      <c r="A4" t="s">
        <v>16</v>
      </c>
      <c r="B4">
        <v>156</v>
      </c>
      <c r="C4" t="s">
        <v>17</v>
      </c>
      <c r="D4">
        <v>15734332</v>
      </c>
      <c r="F4" t="s">
        <v>18</v>
      </c>
      <c r="G4">
        <v>472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</row>
    <row r="5" spans="1:12" ht="12" hidden="1" customHeight="1" x14ac:dyDescent="0.3">
      <c r="A5" t="s">
        <v>16</v>
      </c>
      <c r="B5">
        <v>156</v>
      </c>
      <c r="C5" t="s">
        <v>17</v>
      </c>
      <c r="D5">
        <v>15734330</v>
      </c>
      <c r="F5" t="s">
        <v>19</v>
      </c>
      <c r="G5">
        <v>1578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</row>
    <row r="6" spans="1:12" ht="12" hidden="1" customHeight="1" x14ac:dyDescent="0.3">
      <c r="A6" t="s">
        <v>20</v>
      </c>
      <c r="B6">
        <v>1085</v>
      </c>
      <c r="C6" t="s">
        <v>21</v>
      </c>
      <c r="D6">
        <v>15734340</v>
      </c>
      <c r="F6" t="s">
        <v>14</v>
      </c>
      <c r="G6">
        <v>2888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</row>
    <row r="7" spans="1:12" ht="12" hidden="1" customHeight="1" x14ac:dyDescent="0.3">
      <c r="A7" t="s">
        <v>22</v>
      </c>
      <c r="B7">
        <v>1090</v>
      </c>
      <c r="C7" t="s">
        <v>23</v>
      </c>
      <c r="D7">
        <v>15769388</v>
      </c>
      <c r="F7" t="s">
        <v>24</v>
      </c>
      <c r="G7">
        <v>3081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</row>
    <row r="8" spans="1:12" ht="12" hidden="1" customHeight="1" x14ac:dyDescent="0.3">
      <c r="A8" t="s">
        <v>25</v>
      </c>
      <c r="B8">
        <v>687</v>
      </c>
      <c r="C8" t="s">
        <v>26</v>
      </c>
      <c r="D8">
        <v>15734340</v>
      </c>
      <c r="F8" t="s">
        <v>14</v>
      </c>
      <c r="G8">
        <v>1841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</row>
    <row r="9" spans="1:12" ht="12" hidden="1" customHeight="1" x14ac:dyDescent="0.3">
      <c r="A9" t="s">
        <v>27</v>
      </c>
      <c r="B9">
        <v>979</v>
      </c>
      <c r="C9" t="s">
        <v>28</v>
      </c>
      <c r="D9">
        <v>15734340</v>
      </c>
      <c r="F9" t="s">
        <v>14</v>
      </c>
      <c r="G9">
        <v>583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</row>
    <row r="10" spans="1:12" ht="12" hidden="1" customHeight="1" x14ac:dyDescent="0.3">
      <c r="A10" t="s">
        <v>29</v>
      </c>
      <c r="B10">
        <v>1009</v>
      </c>
      <c r="C10" t="s">
        <v>30</v>
      </c>
      <c r="D10">
        <v>15734340</v>
      </c>
      <c r="F10" t="s">
        <v>14</v>
      </c>
      <c r="G10">
        <v>14703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</row>
    <row r="11" spans="1:12" ht="12" hidden="1" customHeight="1" x14ac:dyDescent="0.3">
      <c r="A11" t="s">
        <v>31</v>
      </c>
      <c r="B11">
        <v>111022</v>
      </c>
      <c r="C11" t="s">
        <v>32</v>
      </c>
      <c r="D11">
        <v>15734336</v>
      </c>
      <c r="F11" t="s">
        <v>33</v>
      </c>
      <c r="G11">
        <v>360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</row>
    <row r="12" spans="1:12" ht="12" hidden="1" customHeight="1" x14ac:dyDescent="0.3">
      <c r="A12" t="s">
        <v>31</v>
      </c>
      <c r="B12">
        <v>111022</v>
      </c>
      <c r="C12" t="s">
        <v>32</v>
      </c>
      <c r="D12">
        <v>15769388</v>
      </c>
      <c r="F12" t="s">
        <v>24</v>
      </c>
      <c r="G12">
        <v>970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</row>
    <row r="13" spans="1:12" ht="12" hidden="1" customHeight="1" x14ac:dyDescent="0.3">
      <c r="A13" t="s">
        <v>31</v>
      </c>
      <c r="B13">
        <v>111022</v>
      </c>
      <c r="C13" t="s">
        <v>32</v>
      </c>
      <c r="D13">
        <v>15734333</v>
      </c>
      <c r="F13" t="s">
        <v>34</v>
      </c>
      <c r="G13">
        <v>1650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</row>
    <row r="14" spans="1:12" ht="12" hidden="1" customHeight="1" x14ac:dyDescent="0.3">
      <c r="A14" t="s">
        <v>35</v>
      </c>
      <c r="B14">
        <v>833</v>
      </c>
      <c r="C14" t="s">
        <v>26</v>
      </c>
      <c r="D14">
        <v>15734340</v>
      </c>
      <c r="F14" t="s">
        <v>14</v>
      </c>
      <c r="G14">
        <v>3709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</row>
    <row r="15" spans="1:12" ht="12" hidden="1" customHeight="1" x14ac:dyDescent="0.3">
      <c r="A15" t="s">
        <v>36</v>
      </c>
      <c r="B15">
        <v>377</v>
      </c>
      <c r="C15" t="s">
        <v>30</v>
      </c>
      <c r="D15">
        <v>15734340</v>
      </c>
      <c r="F15" t="s">
        <v>14</v>
      </c>
      <c r="G15">
        <v>11228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</row>
    <row r="16" spans="1:12" ht="12" hidden="1" customHeight="1" x14ac:dyDescent="0.3">
      <c r="A16" t="s">
        <v>37</v>
      </c>
      <c r="B16">
        <v>295</v>
      </c>
      <c r="C16" t="s">
        <v>26</v>
      </c>
      <c r="D16">
        <v>15734340</v>
      </c>
      <c r="F16" t="s">
        <v>14</v>
      </c>
      <c r="G16">
        <v>2781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</row>
    <row r="17" spans="1:12" ht="12" hidden="1" customHeight="1" x14ac:dyDescent="0.3">
      <c r="A17" t="s">
        <v>38</v>
      </c>
      <c r="B17">
        <v>477</v>
      </c>
      <c r="C17" t="s">
        <v>26</v>
      </c>
      <c r="D17">
        <v>15734340</v>
      </c>
      <c r="F17" t="s">
        <v>14</v>
      </c>
      <c r="G17">
        <v>3516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</row>
    <row r="18" spans="1:12" ht="12" hidden="1" customHeight="1" x14ac:dyDescent="0.3">
      <c r="A18" t="s">
        <v>39</v>
      </c>
      <c r="B18">
        <v>235</v>
      </c>
      <c r="C18" t="s">
        <v>40</v>
      </c>
      <c r="D18">
        <v>15769388</v>
      </c>
      <c r="F18" t="s">
        <v>24</v>
      </c>
      <c r="G18">
        <v>541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</row>
    <row r="19" spans="1:12" ht="12" hidden="1" customHeight="1" x14ac:dyDescent="0.3">
      <c r="A19" t="s">
        <v>39</v>
      </c>
      <c r="B19">
        <v>235</v>
      </c>
      <c r="C19" t="s">
        <v>40</v>
      </c>
      <c r="D19">
        <v>15734340</v>
      </c>
      <c r="F19" t="s">
        <v>14</v>
      </c>
      <c r="G19">
        <v>835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</row>
    <row r="20" spans="1:12" ht="12" hidden="1" customHeight="1" x14ac:dyDescent="0.3">
      <c r="A20" t="s">
        <v>39</v>
      </c>
      <c r="B20">
        <v>235</v>
      </c>
      <c r="C20" t="s">
        <v>40</v>
      </c>
      <c r="D20">
        <v>15738917</v>
      </c>
      <c r="F20" t="s">
        <v>41</v>
      </c>
      <c r="G20">
        <v>7206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</row>
    <row r="21" spans="1:12" ht="12" hidden="1" customHeight="1" x14ac:dyDescent="0.3">
      <c r="A21" t="s">
        <v>39</v>
      </c>
      <c r="B21">
        <v>235</v>
      </c>
      <c r="C21" t="s">
        <v>40</v>
      </c>
      <c r="D21">
        <v>15734331</v>
      </c>
      <c r="F21" t="s">
        <v>42</v>
      </c>
      <c r="G21">
        <v>494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</row>
    <row r="22" spans="1:12" ht="12" hidden="1" customHeight="1" x14ac:dyDescent="0.3">
      <c r="A22" t="s">
        <v>43</v>
      </c>
      <c r="B22">
        <v>398</v>
      </c>
      <c r="C22" t="s">
        <v>44</v>
      </c>
      <c r="D22">
        <v>15769388</v>
      </c>
      <c r="F22" t="s">
        <v>24</v>
      </c>
      <c r="G22">
        <v>1290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</row>
    <row r="23" spans="1:12" ht="12" hidden="1" customHeight="1" x14ac:dyDescent="0.3">
      <c r="A23" t="s">
        <v>43</v>
      </c>
      <c r="B23">
        <v>398</v>
      </c>
      <c r="C23" t="s">
        <v>44</v>
      </c>
      <c r="D23">
        <v>15743965</v>
      </c>
      <c r="F23" t="s">
        <v>45</v>
      </c>
      <c r="G23">
        <v>5700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</row>
    <row r="24" spans="1:12" ht="12" hidden="1" customHeight="1" x14ac:dyDescent="0.3">
      <c r="A24" t="s">
        <v>43</v>
      </c>
      <c r="B24">
        <v>398</v>
      </c>
      <c r="C24" t="s">
        <v>44</v>
      </c>
      <c r="D24">
        <v>15734333</v>
      </c>
      <c r="F24" t="s">
        <v>34</v>
      </c>
      <c r="G24">
        <v>960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</row>
    <row r="25" spans="1:12" ht="12" hidden="1" customHeight="1" x14ac:dyDescent="0.3">
      <c r="A25" t="s">
        <v>46</v>
      </c>
      <c r="B25">
        <v>450011</v>
      </c>
      <c r="C25" t="s">
        <v>47</v>
      </c>
      <c r="D25">
        <v>15769388</v>
      </c>
      <c r="F25" t="s">
        <v>24</v>
      </c>
      <c r="G25">
        <v>540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</row>
    <row r="26" spans="1:12" ht="12" hidden="1" customHeight="1" x14ac:dyDescent="0.3">
      <c r="A26" t="s">
        <v>46</v>
      </c>
      <c r="B26">
        <v>450011</v>
      </c>
      <c r="C26" t="s">
        <v>47</v>
      </c>
      <c r="D26">
        <v>15734334</v>
      </c>
      <c r="F26" t="s">
        <v>48</v>
      </c>
      <c r="G26">
        <v>300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</row>
    <row r="27" spans="1:12" ht="12" hidden="1" customHeight="1" x14ac:dyDescent="0.3">
      <c r="A27" t="s">
        <v>49</v>
      </c>
      <c r="B27">
        <v>435</v>
      </c>
      <c r="C27" t="s">
        <v>50</v>
      </c>
      <c r="D27">
        <v>15734340</v>
      </c>
      <c r="F27" t="s">
        <v>14</v>
      </c>
      <c r="G27">
        <v>3800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</row>
    <row r="28" spans="1:12" ht="12" hidden="1" customHeight="1" x14ac:dyDescent="0.3">
      <c r="A28" t="s">
        <v>51</v>
      </c>
      <c r="B28">
        <v>405</v>
      </c>
      <c r="C28" t="s">
        <v>52</v>
      </c>
      <c r="D28">
        <v>15769388</v>
      </c>
      <c r="F28" t="s">
        <v>24</v>
      </c>
      <c r="G28">
        <v>1844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</row>
    <row r="29" spans="1:12" ht="12" hidden="1" customHeight="1" x14ac:dyDescent="0.3">
      <c r="A29" t="s">
        <v>53</v>
      </c>
      <c r="B29">
        <v>1096</v>
      </c>
      <c r="C29" t="s">
        <v>54</v>
      </c>
      <c r="D29">
        <v>15734340</v>
      </c>
      <c r="F29" t="s">
        <v>14</v>
      </c>
      <c r="G29">
        <v>5665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</row>
    <row r="30" spans="1:12" ht="12" hidden="1" customHeight="1" x14ac:dyDescent="0.3">
      <c r="A30" t="s">
        <v>55</v>
      </c>
      <c r="B30">
        <v>376</v>
      </c>
      <c r="C30" t="s">
        <v>56</v>
      </c>
      <c r="D30">
        <v>15734331</v>
      </c>
      <c r="F30" t="s">
        <v>42</v>
      </c>
      <c r="G30">
        <v>10353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</row>
    <row r="31" spans="1:12" ht="12" hidden="1" customHeight="1" x14ac:dyDescent="0.3">
      <c r="A31" t="s">
        <v>57</v>
      </c>
      <c r="B31">
        <v>266</v>
      </c>
      <c r="C31" t="s">
        <v>30</v>
      </c>
      <c r="D31">
        <v>15734340</v>
      </c>
      <c r="F31" t="s">
        <v>14</v>
      </c>
      <c r="G31">
        <v>13514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</row>
    <row r="32" spans="1:12" ht="12" hidden="1" customHeight="1" x14ac:dyDescent="0.3">
      <c r="A32" t="s">
        <v>58</v>
      </c>
      <c r="B32">
        <v>522</v>
      </c>
      <c r="C32" t="s">
        <v>59</v>
      </c>
      <c r="D32">
        <v>15734333</v>
      </c>
      <c r="F32" t="s">
        <v>34</v>
      </c>
      <c r="G32">
        <v>810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</row>
    <row r="33" spans="1:12" ht="12" hidden="1" customHeight="1" x14ac:dyDescent="0.3">
      <c r="A33" t="s">
        <v>60</v>
      </c>
      <c r="B33">
        <v>695</v>
      </c>
      <c r="C33" t="s">
        <v>61</v>
      </c>
      <c r="D33">
        <v>15739585</v>
      </c>
      <c r="F33" t="s">
        <v>62</v>
      </c>
      <c r="G33">
        <v>945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</row>
    <row r="34" spans="1:12" ht="12" hidden="1" customHeight="1" x14ac:dyDescent="0.3">
      <c r="A34" t="s">
        <v>63</v>
      </c>
      <c r="B34">
        <v>872</v>
      </c>
      <c r="C34" t="s">
        <v>64</v>
      </c>
      <c r="D34">
        <v>15738904</v>
      </c>
      <c r="F34" t="s">
        <v>65</v>
      </c>
      <c r="G34">
        <v>540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</row>
    <row r="35" spans="1:12" ht="12" hidden="1" customHeight="1" x14ac:dyDescent="0.3">
      <c r="A35" t="s">
        <v>63</v>
      </c>
      <c r="B35">
        <v>872</v>
      </c>
      <c r="C35" t="s">
        <v>64</v>
      </c>
      <c r="D35">
        <v>15739585</v>
      </c>
      <c r="F35" t="s">
        <v>62</v>
      </c>
      <c r="G35">
        <v>945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</row>
    <row r="36" spans="1:12" ht="12" hidden="1" customHeight="1" x14ac:dyDescent="0.3">
      <c r="A36" t="s">
        <v>66</v>
      </c>
      <c r="B36">
        <v>980</v>
      </c>
      <c r="C36" t="s">
        <v>26</v>
      </c>
      <c r="D36">
        <v>15734340</v>
      </c>
      <c r="F36" t="s">
        <v>14</v>
      </c>
      <c r="G36">
        <v>2219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</row>
    <row r="37" spans="1:12" ht="12" hidden="1" customHeight="1" x14ac:dyDescent="0.3">
      <c r="A37" t="s">
        <v>67</v>
      </c>
      <c r="B37">
        <v>369</v>
      </c>
      <c r="C37" t="s">
        <v>30</v>
      </c>
      <c r="D37">
        <v>15734340</v>
      </c>
      <c r="F37" t="s">
        <v>14</v>
      </c>
      <c r="G37">
        <v>14708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</row>
    <row r="38" spans="1:12" ht="12" hidden="1" customHeight="1" x14ac:dyDescent="0.3">
      <c r="A38" t="s">
        <v>68</v>
      </c>
      <c r="B38">
        <v>306</v>
      </c>
      <c r="C38" t="s">
        <v>69</v>
      </c>
      <c r="D38">
        <v>15734335</v>
      </c>
      <c r="F38" t="s">
        <v>70</v>
      </c>
      <c r="G38">
        <v>5076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</row>
    <row r="39" spans="1:12" ht="12" hidden="1" customHeight="1" x14ac:dyDescent="0.3">
      <c r="A39" t="s">
        <v>71</v>
      </c>
      <c r="B39">
        <v>892</v>
      </c>
      <c r="C39" t="s">
        <v>30</v>
      </c>
      <c r="D39">
        <v>15734340</v>
      </c>
      <c r="F39" t="s">
        <v>14</v>
      </c>
      <c r="G39">
        <v>12956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</row>
    <row r="40" spans="1:12" ht="12" hidden="1" customHeight="1" x14ac:dyDescent="0.3">
      <c r="A40" t="s">
        <v>72</v>
      </c>
      <c r="B40">
        <v>364</v>
      </c>
      <c r="C40" t="s">
        <v>73</v>
      </c>
      <c r="D40">
        <v>15734340</v>
      </c>
      <c r="F40" t="s">
        <v>14</v>
      </c>
      <c r="G40">
        <v>1095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</row>
    <row r="41" spans="1:12" ht="12" hidden="1" customHeight="1" x14ac:dyDescent="0.3">
      <c r="A41" t="s">
        <v>74</v>
      </c>
      <c r="B41">
        <v>1092</v>
      </c>
      <c r="C41" t="s">
        <v>23</v>
      </c>
      <c r="D41">
        <v>15769388</v>
      </c>
      <c r="F41" t="s">
        <v>24</v>
      </c>
      <c r="G41">
        <v>3822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</row>
    <row r="42" spans="1:12" ht="12" hidden="1" customHeight="1" x14ac:dyDescent="0.3">
      <c r="A42" t="s">
        <v>75</v>
      </c>
      <c r="B42">
        <v>869</v>
      </c>
      <c r="C42" t="s">
        <v>26</v>
      </c>
      <c r="D42">
        <v>15734340</v>
      </c>
      <c r="F42" t="s">
        <v>14</v>
      </c>
      <c r="G42">
        <v>555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</row>
    <row r="43" spans="1:12" ht="12" hidden="1" customHeight="1" x14ac:dyDescent="0.3">
      <c r="A43" t="s">
        <v>76</v>
      </c>
      <c r="B43">
        <v>490</v>
      </c>
      <c r="C43" t="s">
        <v>77</v>
      </c>
      <c r="D43">
        <v>15769388</v>
      </c>
      <c r="F43" t="s">
        <v>24</v>
      </c>
      <c r="G43">
        <v>300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</row>
    <row r="44" spans="1:12" ht="12" hidden="1" customHeight="1" x14ac:dyDescent="0.3">
      <c r="A44" t="s">
        <v>76</v>
      </c>
      <c r="B44">
        <v>490</v>
      </c>
      <c r="C44" t="s">
        <v>77</v>
      </c>
      <c r="D44">
        <v>15743965</v>
      </c>
      <c r="F44" t="s">
        <v>45</v>
      </c>
      <c r="G44">
        <v>1440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</row>
    <row r="45" spans="1:12" ht="12" hidden="1" customHeight="1" x14ac:dyDescent="0.3">
      <c r="A45" t="s">
        <v>76</v>
      </c>
      <c r="B45">
        <v>490</v>
      </c>
      <c r="C45" t="s">
        <v>77</v>
      </c>
      <c r="D45">
        <v>15734339</v>
      </c>
      <c r="F45" t="s">
        <v>78</v>
      </c>
      <c r="G45">
        <v>1185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</row>
    <row r="46" spans="1:12" ht="12" hidden="1" customHeight="1" x14ac:dyDescent="0.3">
      <c r="A46" t="s">
        <v>79</v>
      </c>
      <c r="B46">
        <v>450037</v>
      </c>
      <c r="C46" t="s">
        <v>80</v>
      </c>
      <c r="D46">
        <v>15734336</v>
      </c>
      <c r="F46" t="s">
        <v>33</v>
      </c>
      <c r="G46">
        <v>811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</row>
    <row r="47" spans="1:12" ht="12" hidden="1" customHeight="1" x14ac:dyDescent="0.3">
      <c r="A47" t="s">
        <v>81</v>
      </c>
      <c r="B47">
        <v>1091</v>
      </c>
      <c r="C47" t="s">
        <v>54</v>
      </c>
      <c r="D47">
        <v>15734340</v>
      </c>
      <c r="F47" t="s">
        <v>14</v>
      </c>
      <c r="G47">
        <v>4084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</row>
    <row r="48" spans="1:12" ht="12" hidden="1" customHeight="1" x14ac:dyDescent="0.3">
      <c r="A48" t="s">
        <v>82</v>
      </c>
      <c r="B48">
        <v>1089</v>
      </c>
      <c r="C48" t="s">
        <v>54</v>
      </c>
      <c r="D48">
        <v>15734340</v>
      </c>
      <c r="F48" t="s">
        <v>14</v>
      </c>
      <c r="G48">
        <v>3266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</row>
    <row r="49" spans="1:12" ht="12" hidden="1" customHeight="1" x14ac:dyDescent="0.3">
      <c r="A49" t="s">
        <v>83</v>
      </c>
      <c r="B49">
        <v>42</v>
      </c>
      <c r="C49" t="s">
        <v>17</v>
      </c>
      <c r="D49">
        <v>15734337</v>
      </c>
      <c r="F49" t="s">
        <v>84</v>
      </c>
      <c r="G49">
        <v>789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</row>
    <row r="50" spans="1:12" ht="12" hidden="1" customHeight="1" x14ac:dyDescent="0.3">
      <c r="A50" t="s">
        <v>85</v>
      </c>
      <c r="B50">
        <v>516</v>
      </c>
      <c r="C50" t="s">
        <v>86</v>
      </c>
      <c r="D50">
        <v>15769388</v>
      </c>
      <c r="F50" t="s">
        <v>24</v>
      </c>
      <c r="G50">
        <v>7691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</row>
    <row r="51" spans="1:12" ht="12" hidden="1" customHeight="1" x14ac:dyDescent="0.3">
      <c r="A51" t="s">
        <v>85</v>
      </c>
      <c r="B51">
        <v>516</v>
      </c>
      <c r="C51" t="s">
        <v>86</v>
      </c>
      <c r="D51">
        <v>15734340</v>
      </c>
      <c r="F51" t="s">
        <v>14</v>
      </c>
      <c r="G51">
        <v>1475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</row>
    <row r="52" spans="1:12" ht="12" hidden="1" customHeight="1" x14ac:dyDescent="0.3">
      <c r="A52" t="s">
        <v>87</v>
      </c>
      <c r="B52">
        <v>986</v>
      </c>
      <c r="C52" t="s">
        <v>26</v>
      </c>
      <c r="D52">
        <v>15734340</v>
      </c>
      <c r="F52" t="s">
        <v>14</v>
      </c>
      <c r="G52">
        <v>2447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</row>
    <row r="53" spans="1:12" ht="12" hidden="1" customHeight="1" x14ac:dyDescent="0.3">
      <c r="A53" t="s">
        <v>88</v>
      </c>
      <c r="B53">
        <v>320</v>
      </c>
      <c r="C53" t="s">
        <v>30</v>
      </c>
      <c r="D53">
        <v>15734340</v>
      </c>
      <c r="F53" t="s">
        <v>14</v>
      </c>
      <c r="G53">
        <v>13166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</row>
    <row r="54" spans="1:12" ht="12" hidden="1" customHeight="1" x14ac:dyDescent="0.3">
      <c r="A54" t="s">
        <v>89</v>
      </c>
      <c r="B54">
        <v>272</v>
      </c>
      <c r="C54" t="s">
        <v>90</v>
      </c>
      <c r="D54">
        <v>15734332</v>
      </c>
      <c r="F54" t="s">
        <v>18</v>
      </c>
      <c r="G54">
        <v>1042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</row>
    <row r="55" spans="1:12" ht="12" hidden="1" customHeight="1" x14ac:dyDescent="0.3">
      <c r="A55" t="s">
        <v>89</v>
      </c>
      <c r="B55">
        <v>272</v>
      </c>
      <c r="C55" t="s">
        <v>90</v>
      </c>
      <c r="D55">
        <v>15734330</v>
      </c>
      <c r="F55" t="s">
        <v>19</v>
      </c>
      <c r="G55">
        <v>953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</row>
    <row r="56" spans="1:12" ht="12" hidden="1" customHeight="1" x14ac:dyDescent="0.3">
      <c r="A56" t="s">
        <v>89</v>
      </c>
      <c r="B56">
        <v>272</v>
      </c>
      <c r="C56" t="s">
        <v>90</v>
      </c>
      <c r="D56">
        <v>15734331</v>
      </c>
      <c r="F56" t="s">
        <v>42</v>
      </c>
      <c r="G56">
        <v>2400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</row>
    <row r="57" spans="1:12" ht="12" hidden="1" customHeight="1" x14ac:dyDescent="0.3">
      <c r="A57" t="s">
        <v>89</v>
      </c>
      <c r="B57">
        <v>272</v>
      </c>
      <c r="C57" t="s">
        <v>90</v>
      </c>
      <c r="D57">
        <v>15734338</v>
      </c>
      <c r="F57" t="s">
        <v>91</v>
      </c>
      <c r="G57">
        <v>1919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</row>
    <row r="58" spans="1:12" ht="12" hidden="1" customHeight="1" x14ac:dyDescent="0.3">
      <c r="A58" t="s">
        <v>92</v>
      </c>
      <c r="B58">
        <v>518</v>
      </c>
      <c r="C58" t="s">
        <v>28</v>
      </c>
      <c r="D58">
        <v>15734340</v>
      </c>
      <c r="F58" t="s">
        <v>14</v>
      </c>
      <c r="G58">
        <v>600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</row>
    <row r="59" spans="1:12" ht="12" hidden="1" customHeight="1" x14ac:dyDescent="0.3">
      <c r="A59" t="s">
        <v>93</v>
      </c>
      <c r="B59">
        <v>483</v>
      </c>
      <c r="C59" t="s">
        <v>94</v>
      </c>
      <c r="D59">
        <v>15734336</v>
      </c>
      <c r="F59" t="s">
        <v>33</v>
      </c>
      <c r="G59">
        <v>380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</row>
    <row r="60" spans="1:12" ht="12" hidden="1" customHeight="1" x14ac:dyDescent="0.3">
      <c r="A60" t="s">
        <v>95</v>
      </c>
      <c r="B60">
        <v>442</v>
      </c>
      <c r="C60" t="s">
        <v>30</v>
      </c>
      <c r="D60">
        <v>15734340</v>
      </c>
      <c r="F60" t="s">
        <v>14</v>
      </c>
      <c r="G60">
        <v>10314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</row>
    <row r="61" spans="1:12" ht="12" hidden="1" customHeight="1" x14ac:dyDescent="0.3">
      <c r="A61" t="s">
        <v>96</v>
      </c>
      <c r="B61">
        <v>615</v>
      </c>
      <c r="C61" t="s">
        <v>30</v>
      </c>
      <c r="D61">
        <v>15734340</v>
      </c>
      <c r="F61" t="s">
        <v>14</v>
      </c>
      <c r="G61">
        <v>12968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</row>
    <row r="62" spans="1:12" ht="12" hidden="1" customHeight="1" x14ac:dyDescent="0.3">
      <c r="A62" t="s">
        <v>97</v>
      </c>
      <c r="B62">
        <v>663</v>
      </c>
      <c r="C62" t="s">
        <v>50</v>
      </c>
      <c r="D62">
        <v>15734340</v>
      </c>
      <c r="F62" t="s">
        <v>14</v>
      </c>
      <c r="G62">
        <v>14311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</row>
    <row r="63" spans="1:12" ht="12" hidden="1" customHeight="1" x14ac:dyDescent="0.3">
      <c r="A63" t="s">
        <v>98</v>
      </c>
      <c r="B63">
        <v>1058</v>
      </c>
      <c r="C63" t="s">
        <v>15</v>
      </c>
      <c r="D63">
        <v>15734340</v>
      </c>
      <c r="F63" t="s">
        <v>14</v>
      </c>
      <c r="G63">
        <v>1125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</row>
    <row r="64" spans="1:12" ht="12" hidden="1" customHeight="1" x14ac:dyDescent="0.3">
      <c r="A64" t="s">
        <v>99</v>
      </c>
      <c r="B64">
        <v>138</v>
      </c>
      <c r="C64" t="s">
        <v>100</v>
      </c>
      <c r="D64">
        <v>15734335</v>
      </c>
      <c r="F64" t="s">
        <v>70</v>
      </c>
      <c r="G64">
        <v>6173</v>
      </c>
      <c r="H64" t="s">
        <v>15</v>
      </c>
      <c r="I64" t="s">
        <v>15</v>
      </c>
      <c r="J64" t="s">
        <v>15</v>
      </c>
      <c r="K64" t="s">
        <v>15</v>
      </c>
      <c r="L64" t="s">
        <v>15</v>
      </c>
    </row>
    <row r="65" spans="1:12" ht="12" hidden="1" customHeight="1" x14ac:dyDescent="0.3">
      <c r="A65" t="s">
        <v>101</v>
      </c>
      <c r="B65">
        <v>1093</v>
      </c>
      <c r="C65" t="s">
        <v>102</v>
      </c>
      <c r="D65">
        <v>15734340</v>
      </c>
      <c r="F65" t="s">
        <v>14</v>
      </c>
      <c r="G65">
        <v>2950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</row>
    <row r="66" spans="1:12" ht="12" hidden="1" customHeight="1" x14ac:dyDescent="0.3">
      <c r="A66" t="s">
        <v>103</v>
      </c>
      <c r="B66">
        <v>450022</v>
      </c>
      <c r="C66" t="s">
        <v>104</v>
      </c>
      <c r="D66">
        <v>15734336</v>
      </c>
      <c r="F66" t="s">
        <v>33</v>
      </c>
      <c r="G66">
        <v>442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</row>
    <row r="67" spans="1:12" ht="12" hidden="1" customHeight="1" x14ac:dyDescent="0.3">
      <c r="A67" t="s">
        <v>105</v>
      </c>
      <c r="B67">
        <v>515</v>
      </c>
      <c r="C67" t="s">
        <v>94</v>
      </c>
      <c r="D67">
        <v>15769388</v>
      </c>
      <c r="F67" t="s">
        <v>24</v>
      </c>
      <c r="G67">
        <v>2173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</row>
    <row r="68" spans="1:12" ht="12" hidden="1" customHeight="1" x14ac:dyDescent="0.3">
      <c r="A68" t="s">
        <v>106</v>
      </c>
      <c r="B68">
        <v>290015</v>
      </c>
      <c r="C68" t="s">
        <v>77</v>
      </c>
      <c r="D68">
        <v>15769388</v>
      </c>
      <c r="F68" t="s">
        <v>24</v>
      </c>
      <c r="G68">
        <v>270</v>
      </c>
      <c r="H68" t="s">
        <v>15</v>
      </c>
      <c r="I68" t="s">
        <v>15</v>
      </c>
      <c r="J68" t="s">
        <v>15</v>
      </c>
      <c r="K68" t="s">
        <v>15</v>
      </c>
      <c r="L68" t="s">
        <v>15</v>
      </c>
    </row>
    <row r="69" spans="1:12" ht="12" hidden="1" customHeight="1" x14ac:dyDescent="0.3">
      <c r="A69" t="s">
        <v>107</v>
      </c>
      <c r="B69">
        <v>898</v>
      </c>
      <c r="C69" t="s">
        <v>26</v>
      </c>
      <c r="D69">
        <v>15734340</v>
      </c>
      <c r="F69" t="s">
        <v>14</v>
      </c>
      <c r="G69">
        <v>3707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</row>
    <row r="70" spans="1:12" ht="12" hidden="1" customHeight="1" x14ac:dyDescent="0.3">
      <c r="A70" t="s">
        <v>108</v>
      </c>
      <c r="B70">
        <v>985</v>
      </c>
      <c r="C70" t="s">
        <v>80</v>
      </c>
      <c r="D70">
        <v>15734333</v>
      </c>
      <c r="F70" t="s">
        <v>34</v>
      </c>
      <c r="G70">
        <v>808</v>
      </c>
      <c r="H70" t="s">
        <v>15</v>
      </c>
      <c r="I70" t="s">
        <v>15</v>
      </c>
      <c r="J70" t="s">
        <v>15</v>
      </c>
      <c r="K70" t="s">
        <v>15</v>
      </c>
      <c r="L70" t="s">
        <v>15</v>
      </c>
    </row>
    <row r="71" spans="1:12" ht="12" hidden="1" customHeight="1" x14ac:dyDescent="0.3">
      <c r="A71" t="s">
        <v>109</v>
      </c>
      <c r="B71">
        <v>313</v>
      </c>
      <c r="C71" t="s">
        <v>110</v>
      </c>
      <c r="D71">
        <v>15734330</v>
      </c>
      <c r="F71" t="s">
        <v>19</v>
      </c>
      <c r="G71">
        <v>632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</row>
    <row r="72" spans="1:12" ht="12" hidden="1" customHeight="1" x14ac:dyDescent="0.3">
      <c r="A72" t="s">
        <v>111</v>
      </c>
      <c r="B72">
        <v>521</v>
      </c>
      <c r="C72" t="s">
        <v>28</v>
      </c>
      <c r="D72">
        <v>15769388</v>
      </c>
      <c r="F72" t="s">
        <v>24</v>
      </c>
      <c r="G72">
        <v>3863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</row>
    <row r="73" spans="1:12" ht="12" hidden="1" customHeight="1" x14ac:dyDescent="0.3">
      <c r="A73" t="s">
        <v>111</v>
      </c>
      <c r="B73">
        <v>521</v>
      </c>
      <c r="C73" t="s">
        <v>28</v>
      </c>
      <c r="D73">
        <v>15734340</v>
      </c>
      <c r="F73" t="s">
        <v>14</v>
      </c>
      <c r="G73">
        <v>1081</v>
      </c>
      <c r="H73" t="s">
        <v>15</v>
      </c>
      <c r="I73" t="s">
        <v>15</v>
      </c>
      <c r="J73" t="s">
        <v>15</v>
      </c>
      <c r="K73" t="s">
        <v>15</v>
      </c>
      <c r="L73" t="s">
        <v>15</v>
      </c>
    </row>
    <row r="74" spans="1:12" ht="12" hidden="1" customHeight="1" x14ac:dyDescent="0.3">
      <c r="A74" t="s">
        <v>112</v>
      </c>
      <c r="B74">
        <v>1022</v>
      </c>
      <c r="C74" t="s">
        <v>113</v>
      </c>
      <c r="D74">
        <v>15776283</v>
      </c>
      <c r="F74" t="s">
        <v>114</v>
      </c>
      <c r="G74">
        <v>851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</row>
    <row r="75" spans="1:12" ht="12" hidden="1" customHeight="1" x14ac:dyDescent="0.3">
      <c r="A75" t="s">
        <v>115</v>
      </c>
      <c r="B75">
        <v>251</v>
      </c>
      <c r="C75" t="s">
        <v>116</v>
      </c>
      <c r="D75">
        <v>15769388</v>
      </c>
      <c r="F75" t="s">
        <v>24</v>
      </c>
      <c r="G75">
        <v>1399</v>
      </c>
      <c r="H75" t="s">
        <v>15</v>
      </c>
      <c r="I75" t="s">
        <v>15</v>
      </c>
      <c r="J75" t="s">
        <v>15</v>
      </c>
      <c r="K75" t="s">
        <v>15</v>
      </c>
      <c r="L75" t="s">
        <v>15</v>
      </c>
    </row>
    <row r="76" spans="1:12" ht="12" hidden="1" customHeight="1" x14ac:dyDescent="0.3">
      <c r="A76" t="s">
        <v>117</v>
      </c>
      <c r="B76">
        <v>399</v>
      </c>
      <c r="C76" t="s">
        <v>118</v>
      </c>
      <c r="D76">
        <v>15769388</v>
      </c>
      <c r="F76" t="s">
        <v>24</v>
      </c>
      <c r="G76">
        <v>720</v>
      </c>
      <c r="H76" t="s">
        <v>15</v>
      </c>
      <c r="I76" t="s">
        <v>15</v>
      </c>
      <c r="J76" t="s">
        <v>15</v>
      </c>
      <c r="K76" t="s">
        <v>15</v>
      </c>
      <c r="L76" t="s">
        <v>15</v>
      </c>
    </row>
    <row r="77" spans="1:12" ht="12" hidden="1" customHeight="1" x14ac:dyDescent="0.3">
      <c r="A77" t="s">
        <v>117</v>
      </c>
      <c r="B77">
        <v>399</v>
      </c>
      <c r="C77" t="s">
        <v>118</v>
      </c>
      <c r="D77">
        <v>15734333</v>
      </c>
      <c r="F77" t="s">
        <v>34</v>
      </c>
      <c r="G77">
        <v>1890</v>
      </c>
      <c r="H77" t="s">
        <v>15</v>
      </c>
      <c r="I77" t="s">
        <v>15</v>
      </c>
      <c r="J77" t="s">
        <v>15</v>
      </c>
      <c r="K77" t="s">
        <v>15</v>
      </c>
      <c r="L77" t="s">
        <v>15</v>
      </c>
    </row>
    <row r="78" spans="1:12" ht="12" hidden="1" customHeight="1" x14ac:dyDescent="0.3">
      <c r="A78" t="s">
        <v>119</v>
      </c>
      <c r="B78">
        <v>519</v>
      </c>
      <c r="C78" t="s">
        <v>77</v>
      </c>
      <c r="D78">
        <v>15769388</v>
      </c>
      <c r="F78" t="s">
        <v>24</v>
      </c>
      <c r="G78">
        <v>330</v>
      </c>
      <c r="H78" t="s">
        <v>15</v>
      </c>
      <c r="I78" t="s">
        <v>15</v>
      </c>
      <c r="J78" t="s">
        <v>15</v>
      </c>
      <c r="K78" t="s">
        <v>15</v>
      </c>
      <c r="L78" t="s">
        <v>15</v>
      </c>
    </row>
    <row r="79" spans="1:12" ht="12" hidden="1" customHeight="1" x14ac:dyDescent="0.3">
      <c r="A79" t="s">
        <v>120</v>
      </c>
      <c r="B79">
        <v>34</v>
      </c>
      <c r="C79" t="s">
        <v>121</v>
      </c>
      <c r="D79">
        <v>15769388</v>
      </c>
      <c r="F79" t="s">
        <v>24</v>
      </c>
      <c r="G79">
        <v>2704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</row>
    <row r="80" spans="1:12" ht="12" hidden="1" customHeight="1" x14ac:dyDescent="0.3">
      <c r="A80" t="s">
        <v>120</v>
      </c>
      <c r="B80">
        <v>34</v>
      </c>
      <c r="C80" t="s">
        <v>121</v>
      </c>
      <c r="D80">
        <v>15734340</v>
      </c>
      <c r="F80" t="s">
        <v>14</v>
      </c>
      <c r="G80">
        <v>608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</row>
    <row r="81" spans="1:12" ht="12" hidden="1" customHeight="1" x14ac:dyDescent="0.3">
      <c r="A81" t="s">
        <v>120</v>
      </c>
      <c r="B81">
        <v>34</v>
      </c>
      <c r="C81" t="s">
        <v>121</v>
      </c>
      <c r="D81">
        <v>15734337</v>
      </c>
      <c r="F81" t="s">
        <v>84</v>
      </c>
      <c r="G81">
        <v>388</v>
      </c>
      <c r="H81" t="s">
        <v>15</v>
      </c>
      <c r="I81" t="s">
        <v>15</v>
      </c>
      <c r="J81" t="s">
        <v>15</v>
      </c>
      <c r="K81" t="s">
        <v>15</v>
      </c>
      <c r="L81" t="s">
        <v>15</v>
      </c>
    </row>
    <row r="82" spans="1:12" ht="12" hidden="1" customHeight="1" x14ac:dyDescent="0.3">
      <c r="A82" t="s">
        <v>120</v>
      </c>
      <c r="B82">
        <v>34</v>
      </c>
      <c r="C82" t="s">
        <v>121</v>
      </c>
      <c r="D82">
        <v>15734330</v>
      </c>
      <c r="F82" t="s">
        <v>19</v>
      </c>
      <c r="G82">
        <v>1971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</row>
    <row r="83" spans="1:12" ht="12" hidden="1" customHeight="1" x14ac:dyDescent="0.3">
      <c r="A83" t="s">
        <v>122</v>
      </c>
      <c r="B83">
        <v>1094</v>
      </c>
      <c r="C83" t="s">
        <v>54</v>
      </c>
      <c r="D83">
        <v>15769388</v>
      </c>
      <c r="F83" t="s">
        <v>24</v>
      </c>
      <c r="G83">
        <v>387</v>
      </c>
      <c r="H83" t="s">
        <v>15</v>
      </c>
      <c r="I83" t="s">
        <v>15</v>
      </c>
      <c r="J83" t="s">
        <v>15</v>
      </c>
      <c r="K83" t="s">
        <v>15</v>
      </c>
      <c r="L83" t="s">
        <v>15</v>
      </c>
    </row>
    <row r="84" spans="1:12" ht="12" hidden="1" customHeight="1" x14ac:dyDescent="0.3">
      <c r="A84" t="s">
        <v>122</v>
      </c>
      <c r="B84">
        <v>1094</v>
      </c>
      <c r="C84" t="s">
        <v>54</v>
      </c>
      <c r="D84">
        <v>15734340</v>
      </c>
      <c r="F84" t="s">
        <v>14</v>
      </c>
      <c r="G84">
        <v>2689</v>
      </c>
      <c r="H84" t="s">
        <v>15</v>
      </c>
      <c r="I84" t="s">
        <v>15</v>
      </c>
      <c r="J84" t="s">
        <v>15</v>
      </c>
      <c r="K84" t="s">
        <v>15</v>
      </c>
      <c r="L84" t="s">
        <v>15</v>
      </c>
    </row>
    <row r="85" spans="1:12" ht="12" hidden="1" customHeight="1" x14ac:dyDescent="0.3">
      <c r="A85" t="s">
        <v>122</v>
      </c>
      <c r="B85">
        <v>1094</v>
      </c>
      <c r="C85" t="s">
        <v>54</v>
      </c>
      <c r="D85">
        <v>15734338</v>
      </c>
      <c r="F85" t="s">
        <v>91</v>
      </c>
      <c r="G85">
        <v>65</v>
      </c>
      <c r="H85" t="s">
        <v>15</v>
      </c>
      <c r="I85" t="s">
        <v>15</v>
      </c>
      <c r="J85" t="s">
        <v>15</v>
      </c>
      <c r="K85" t="s">
        <v>15</v>
      </c>
      <c r="L85" t="s">
        <v>15</v>
      </c>
    </row>
    <row r="86" spans="1:12" ht="12" hidden="1" customHeight="1" x14ac:dyDescent="0.3">
      <c r="A86" t="s">
        <v>123</v>
      </c>
      <c r="B86">
        <v>290</v>
      </c>
      <c r="C86" t="s">
        <v>50</v>
      </c>
      <c r="D86">
        <v>15734340</v>
      </c>
      <c r="F86" t="s">
        <v>14</v>
      </c>
      <c r="G86">
        <v>691</v>
      </c>
      <c r="H86" t="s">
        <v>15</v>
      </c>
      <c r="I86" t="s">
        <v>15</v>
      </c>
      <c r="J86" t="s">
        <v>15</v>
      </c>
      <c r="K86" t="s">
        <v>15</v>
      </c>
      <c r="L86" t="s">
        <v>15</v>
      </c>
    </row>
    <row r="87" spans="1:12" ht="12" hidden="1" customHeight="1" x14ac:dyDescent="0.3">
      <c r="A87" t="s">
        <v>124</v>
      </c>
      <c r="B87">
        <v>269</v>
      </c>
      <c r="C87" t="s">
        <v>26</v>
      </c>
      <c r="D87">
        <v>15734340</v>
      </c>
      <c r="F87" t="s">
        <v>14</v>
      </c>
      <c r="G87">
        <v>3556</v>
      </c>
      <c r="H87" t="s">
        <v>15</v>
      </c>
      <c r="I87" t="s">
        <v>15</v>
      </c>
      <c r="J87" t="s">
        <v>15</v>
      </c>
      <c r="K87" t="s">
        <v>15</v>
      </c>
      <c r="L87" t="s">
        <v>15</v>
      </c>
    </row>
    <row r="88" spans="1:12" ht="12" hidden="1" customHeight="1" x14ac:dyDescent="0.3">
      <c r="A88" t="s">
        <v>125</v>
      </c>
      <c r="B88">
        <v>234</v>
      </c>
      <c r="C88" t="s">
        <v>110</v>
      </c>
      <c r="D88">
        <v>15734332</v>
      </c>
      <c r="F88" t="s">
        <v>18</v>
      </c>
      <c r="G88">
        <v>2488</v>
      </c>
      <c r="H88" t="s">
        <v>15</v>
      </c>
      <c r="I88" t="s">
        <v>15</v>
      </c>
      <c r="J88" t="s">
        <v>15</v>
      </c>
      <c r="K88" t="s">
        <v>15</v>
      </c>
      <c r="L88" t="s">
        <v>15</v>
      </c>
    </row>
    <row r="89" spans="1:12" ht="12" hidden="1" customHeight="1" x14ac:dyDescent="0.3">
      <c r="A89" t="s">
        <v>126</v>
      </c>
      <c r="B89">
        <v>187</v>
      </c>
      <c r="C89" t="s">
        <v>59</v>
      </c>
      <c r="D89">
        <v>15734334</v>
      </c>
      <c r="F89" t="s">
        <v>48</v>
      </c>
      <c r="G89">
        <v>565</v>
      </c>
      <c r="H89" t="s">
        <v>15</v>
      </c>
      <c r="I89" t="s">
        <v>15</v>
      </c>
      <c r="J89" t="s">
        <v>15</v>
      </c>
      <c r="K89" t="s">
        <v>15</v>
      </c>
      <c r="L89" t="s">
        <v>15</v>
      </c>
    </row>
    <row r="90" spans="1:12" ht="12" hidden="1" customHeight="1" x14ac:dyDescent="0.3">
      <c r="A90" t="s">
        <v>127</v>
      </c>
      <c r="B90">
        <v>110133</v>
      </c>
      <c r="C90" t="s">
        <v>26</v>
      </c>
      <c r="D90">
        <v>15734340</v>
      </c>
      <c r="F90" t="s">
        <v>14</v>
      </c>
      <c r="G90">
        <v>3054</v>
      </c>
      <c r="H90" t="s">
        <v>15</v>
      </c>
      <c r="I90" t="s">
        <v>15</v>
      </c>
      <c r="J90" t="s">
        <v>15</v>
      </c>
      <c r="K90" t="s">
        <v>15</v>
      </c>
      <c r="L90" t="s">
        <v>15</v>
      </c>
    </row>
    <row r="91" spans="1:12" ht="12" hidden="1" customHeight="1" x14ac:dyDescent="0.3">
      <c r="A91" t="s">
        <v>128</v>
      </c>
      <c r="B91">
        <v>271</v>
      </c>
      <c r="C91" t="s">
        <v>129</v>
      </c>
      <c r="D91">
        <v>15734332</v>
      </c>
      <c r="F91" t="s">
        <v>18</v>
      </c>
      <c r="G91">
        <v>375</v>
      </c>
      <c r="H91" t="s">
        <v>15</v>
      </c>
      <c r="I91" t="s">
        <v>15</v>
      </c>
      <c r="J91" t="s">
        <v>15</v>
      </c>
      <c r="K91" t="s">
        <v>15</v>
      </c>
      <c r="L91" t="s">
        <v>15</v>
      </c>
    </row>
    <row r="92" spans="1:12" ht="12" hidden="1" customHeight="1" x14ac:dyDescent="0.3">
      <c r="A92" t="s">
        <v>130</v>
      </c>
      <c r="B92">
        <v>239</v>
      </c>
      <c r="C92" t="s">
        <v>110</v>
      </c>
      <c r="D92">
        <v>15734332</v>
      </c>
      <c r="F92" t="s">
        <v>18</v>
      </c>
      <c r="G92">
        <v>2852</v>
      </c>
      <c r="H92" t="s">
        <v>15</v>
      </c>
      <c r="I92" t="s">
        <v>15</v>
      </c>
      <c r="J92" t="s">
        <v>15</v>
      </c>
      <c r="K92" t="s">
        <v>15</v>
      </c>
      <c r="L92" t="s">
        <v>15</v>
      </c>
    </row>
    <row r="93" spans="1:12" ht="12" hidden="1" customHeight="1" x14ac:dyDescent="0.3">
      <c r="A93" t="s">
        <v>131</v>
      </c>
      <c r="B93">
        <v>318</v>
      </c>
      <c r="C93" t="s">
        <v>26</v>
      </c>
      <c r="D93">
        <v>15734340</v>
      </c>
      <c r="F93" t="s">
        <v>14</v>
      </c>
      <c r="G93">
        <v>1876</v>
      </c>
      <c r="H93" t="s">
        <v>15</v>
      </c>
      <c r="I93" t="s">
        <v>15</v>
      </c>
      <c r="J93" t="s">
        <v>15</v>
      </c>
      <c r="K93" t="s">
        <v>15</v>
      </c>
      <c r="L93" t="s">
        <v>15</v>
      </c>
    </row>
    <row r="94" spans="1:12" ht="12" hidden="1" customHeight="1" x14ac:dyDescent="0.3">
      <c r="A94" t="s">
        <v>132</v>
      </c>
      <c r="B94">
        <v>410</v>
      </c>
      <c r="C94" t="s">
        <v>26</v>
      </c>
      <c r="D94">
        <v>15734340</v>
      </c>
      <c r="F94" t="s">
        <v>14</v>
      </c>
      <c r="G94">
        <v>1327</v>
      </c>
      <c r="H94" t="s">
        <v>15</v>
      </c>
      <c r="I94" t="s">
        <v>15</v>
      </c>
      <c r="J94" t="s">
        <v>15</v>
      </c>
      <c r="K94" t="s">
        <v>15</v>
      </c>
      <c r="L94" t="s">
        <v>15</v>
      </c>
    </row>
    <row r="95" spans="1:12" ht="12" hidden="1" customHeight="1" x14ac:dyDescent="0.3">
      <c r="A95" t="s">
        <v>133</v>
      </c>
      <c r="B95">
        <v>105</v>
      </c>
      <c r="C95" t="s">
        <v>47</v>
      </c>
      <c r="D95">
        <v>15734340</v>
      </c>
      <c r="F95" t="s">
        <v>14</v>
      </c>
      <c r="G95">
        <v>360</v>
      </c>
      <c r="H95" t="s">
        <v>15</v>
      </c>
      <c r="I95" t="s">
        <v>15</v>
      </c>
      <c r="J95" t="s">
        <v>15</v>
      </c>
      <c r="K95" t="s">
        <v>15</v>
      </c>
      <c r="L95" t="s">
        <v>15</v>
      </c>
    </row>
    <row r="96" spans="1:12" ht="12" hidden="1" customHeight="1" x14ac:dyDescent="0.3">
      <c r="A96" t="s">
        <v>133</v>
      </c>
      <c r="B96">
        <v>105</v>
      </c>
      <c r="C96" t="s">
        <v>47</v>
      </c>
      <c r="D96">
        <v>15734333</v>
      </c>
      <c r="F96" t="s">
        <v>34</v>
      </c>
      <c r="G96">
        <v>360</v>
      </c>
      <c r="H96" t="s">
        <v>15</v>
      </c>
      <c r="I96" t="s">
        <v>15</v>
      </c>
      <c r="J96" t="s">
        <v>15</v>
      </c>
      <c r="K96" t="s">
        <v>15</v>
      </c>
      <c r="L96" t="s">
        <v>15</v>
      </c>
    </row>
    <row r="97" spans="1:12" ht="12" hidden="1" customHeight="1" x14ac:dyDescent="0.3">
      <c r="A97" t="s">
        <v>134</v>
      </c>
      <c r="B97">
        <v>190080</v>
      </c>
      <c r="C97" t="s">
        <v>40</v>
      </c>
      <c r="D97">
        <v>15734340</v>
      </c>
      <c r="F97" t="s">
        <v>14</v>
      </c>
      <c r="G97">
        <v>720</v>
      </c>
      <c r="H97" t="s">
        <v>15</v>
      </c>
      <c r="I97" t="s">
        <v>15</v>
      </c>
      <c r="J97" t="s">
        <v>15</v>
      </c>
      <c r="K97" t="s">
        <v>15</v>
      </c>
      <c r="L97" t="s">
        <v>15</v>
      </c>
    </row>
    <row r="98" spans="1:12" ht="12" hidden="1" customHeight="1" x14ac:dyDescent="0.3">
      <c r="A98" t="s">
        <v>135</v>
      </c>
      <c r="B98">
        <v>416</v>
      </c>
      <c r="C98" t="s">
        <v>136</v>
      </c>
      <c r="D98">
        <v>15734335</v>
      </c>
      <c r="F98" t="s">
        <v>70</v>
      </c>
      <c r="G98">
        <v>9279</v>
      </c>
      <c r="H98" t="s">
        <v>15</v>
      </c>
      <c r="I98" t="s">
        <v>15</v>
      </c>
      <c r="J98" t="s">
        <v>15</v>
      </c>
      <c r="K98" t="s">
        <v>15</v>
      </c>
      <c r="L98" t="s">
        <v>15</v>
      </c>
    </row>
    <row r="99" spans="1:12" ht="12" hidden="1" customHeight="1" x14ac:dyDescent="0.3">
      <c r="A99" t="s">
        <v>137</v>
      </c>
      <c r="B99">
        <v>110123</v>
      </c>
      <c r="C99" t="s">
        <v>138</v>
      </c>
      <c r="D99">
        <v>15734340</v>
      </c>
      <c r="F99" t="s">
        <v>14</v>
      </c>
      <c r="G99">
        <v>1168</v>
      </c>
      <c r="H99" t="s">
        <v>15</v>
      </c>
      <c r="I99" t="s">
        <v>15</v>
      </c>
      <c r="J99" t="s">
        <v>15</v>
      </c>
      <c r="K99" t="s">
        <v>15</v>
      </c>
      <c r="L99" t="s">
        <v>15</v>
      </c>
    </row>
    <row r="100" spans="1:12" ht="12" hidden="1" customHeight="1" x14ac:dyDescent="0.3">
      <c r="A100" t="s">
        <v>139</v>
      </c>
      <c r="B100">
        <v>380</v>
      </c>
      <c r="C100" t="s">
        <v>140</v>
      </c>
      <c r="D100">
        <v>15769388</v>
      </c>
      <c r="F100" t="s">
        <v>24</v>
      </c>
      <c r="G100">
        <v>745</v>
      </c>
      <c r="H100" t="s">
        <v>15</v>
      </c>
      <c r="I100" t="s">
        <v>15</v>
      </c>
      <c r="J100" t="s">
        <v>15</v>
      </c>
      <c r="K100" t="s">
        <v>15</v>
      </c>
      <c r="L100" t="s">
        <v>15</v>
      </c>
    </row>
    <row r="101" spans="1:12" ht="12" hidden="1" customHeight="1" x14ac:dyDescent="0.3">
      <c r="A101" t="s">
        <v>139</v>
      </c>
      <c r="B101">
        <v>380</v>
      </c>
      <c r="C101" t="s">
        <v>140</v>
      </c>
      <c r="D101">
        <v>15734338</v>
      </c>
      <c r="F101" t="s">
        <v>91</v>
      </c>
      <c r="G101">
        <v>433</v>
      </c>
      <c r="H101" t="s">
        <v>15</v>
      </c>
      <c r="I101" t="s">
        <v>15</v>
      </c>
      <c r="J101" t="s">
        <v>15</v>
      </c>
      <c r="K101" t="s">
        <v>15</v>
      </c>
      <c r="L101" t="s">
        <v>15</v>
      </c>
    </row>
    <row r="102" spans="1:12" ht="12" hidden="1" customHeight="1" x14ac:dyDescent="0.3">
      <c r="A102" t="s">
        <v>141</v>
      </c>
      <c r="B102">
        <v>400</v>
      </c>
      <c r="C102" t="s">
        <v>142</v>
      </c>
      <c r="D102">
        <v>15769388</v>
      </c>
      <c r="F102" t="s">
        <v>24</v>
      </c>
      <c r="G102">
        <v>600</v>
      </c>
      <c r="H102" t="s">
        <v>15</v>
      </c>
      <c r="I102" t="s">
        <v>15</v>
      </c>
      <c r="J102" t="s">
        <v>15</v>
      </c>
      <c r="K102" t="s">
        <v>15</v>
      </c>
      <c r="L102" t="s">
        <v>15</v>
      </c>
    </row>
    <row r="103" spans="1:12" ht="12" customHeight="1" x14ac:dyDescent="0.3">
      <c r="A103" t="s">
        <v>143</v>
      </c>
      <c r="B103">
        <v>450036</v>
      </c>
      <c r="C103" t="s">
        <v>47</v>
      </c>
      <c r="D103">
        <v>15769388</v>
      </c>
      <c r="F103" t="s">
        <v>24</v>
      </c>
      <c r="G103">
        <v>240</v>
      </c>
      <c r="H103" t="s">
        <v>15</v>
      </c>
      <c r="I103" t="s">
        <v>15</v>
      </c>
      <c r="J103" t="s">
        <v>15</v>
      </c>
      <c r="K103" t="s">
        <v>15</v>
      </c>
      <c r="L103" t="s">
        <v>15</v>
      </c>
    </row>
    <row r="104" spans="1:12" ht="12" customHeight="1" x14ac:dyDescent="0.3">
      <c r="A104" t="s">
        <v>143</v>
      </c>
      <c r="B104">
        <v>450036</v>
      </c>
      <c r="C104" t="s">
        <v>47</v>
      </c>
      <c r="D104">
        <v>15743965</v>
      </c>
      <c r="F104" t="s">
        <v>45</v>
      </c>
      <c r="G104">
        <v>1500</v>
      </c>
      <c r="H104" t="s">
        <v>15</v>
      </c>
      <c r="I104" t="s">
        <v>15</v>
      </c>
      <c r="J104" t="s">
        <v>15</v>
      </c>
      <c r="K104" t="s">
        <v>15</v>
      </c>
      <c r="L104" t="s">
        <v>15</v>
      </c>
    </row>
    <row r="105" spans="1:12" ht="12" customHeight="1" x14ac:dyDescent="0.3">
      <c r="A105" t="s">
        <v>143</v>
      </c>
      <c r="B105">
        <v>450036</v>
      </c>
      <c r="C105" t="s">
        <v>47</v>
      </c>
      <c r="D105">
        <v>15734334</v>
      </c>
      <c r="F105" t="s">
        <v>48</v>
      </c>
      <c r="G105">
        <v>300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</row>
    <row r="106" spans="1:12" ht="12" hidden="1" customHeight="1" x14ac:dyDescent="0.3">
      <c r="A106" t="s">
        <v>144</v>
      </c>
      <c r="B106">
        <v>392</v>
      </c>
      <c r="C106" t="s">
        <v>145</v>
      </c>
      <c r="D106">
        <v>15769388</v>
      </c>
      <c r="F106" t="s">
        <v>24</v>
      </c>
      <c r="G106">
        <v>1699</v>
      </c>
      <c r="H106" t="s">
        <v>15</v>
      </c>
      <c r="I106" t="s">
        <v>15</v>
      </c>
      <c r="J106" t="s">
        <v>15</v>
      </c>
      <c r="K106" t="s">
        <v>15</v>
      </c>
      <c r="L106" t="s">
        <v>15</v>
      </c>
    </row>
    <row r="107" spans="1:12" ht="12" hidden="1" customHeight="1" x14ac:dyDescent="0.3">
      <c r="A107" t="s">
        <v>146</v>
      </c>
      <c r="B107">
        <v>134</v>
      </c>
      <c r="C107" t="s">
        <v>147</v>
      </c>
      <c r="D107">
        <v>15734335</v>
      </c>
      <c r="F107" t="s">
        <v>70</v>
      </c>
      <c r="G107">
        <v>8132</v>
      </c>
      <c r="H107" t="s">
        <v>15</v>
      </c>
      <c r="I107" t="s">
        <v>15</v>
      </c>
      <c r="J107" t="s">
        <v>15</v>
      </c>
      <c r="K107" t="s">
        <v>15</v>
      </c>
      <c r="L107" t="s">
        <v>15</v>
      </c>
    </row>
    <row r="108" spans="1:12" ht="12" hidden="1" customHeight="1" x14ac:dyDescent="0.3">
      <c r="A108" t="s">
        <v>146</v>
      </c>
      <c r="B108">
        <v>134</v>
      </c>
      <c r="C108" t="s">
        <v>147</v>
      </c>
      <c r="D108">
        <v>15739585</v>
      </c>
      <c r="F108" t="s">
        <v>62</v>
      </c>
      <c r="G108">
        <v>252</v>
      </c>
      <c r="H108" t="s">
        <v>15</v>
      </c>
      <c r="I108" t="s">
        <v>15</v>
      </c>
      <c r="J108" t="s">
        <v>15</v>
      </c>
      <c r="K108" t="s">
        <v>15</v>
      </c>
      <c r="L108" t="s">
        <v>15</v>
      </c>
    </row>
  </sheetData>
  <autoFilter ref="A1:L108" xr:uid="{00000000-0001-0000-0000-000000000000}">
    <filterColumn colId="0">
      <filters>
        <filter val="VICENTE ALBORNOZ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2EB9B-30DA-46E8-88BA-CB1AF6970ABD}">
  <dimension ref="B2:D61"/>
  <sheetViews>
    <sheetView topLeftCell="A43" zoomScale="112" zoomScaleNormal="112" workbookViewId="0">
      <selection activeCell="C64" sqref="C64"/>
    </sheetView>
  </sheetViews>
  <sheetFormatPr baseColWidth="10" defaultColWidth="11.44140625" defaultRowHeight="14.4" x14ac:dyDescent="0.3"/>
  <cols>
    <col min="2" max="2" width="52.33203125" customWidth="1"/>
    <col min="4" max="4" width="23.5546875" customWidth="1"/>
  </cols>
  <sheetData>
    <row r="2" spans="2:4" x14ac:dyDescent="0.3">
      <c r="B2" t="s">
        <v>32</v>
      </c>
      <c r="C2" t="s">
        <v>148</v>
      </c>
      <c r="D2" t="s">
        <v>149</v>
      </c>
    </row>
    <row r="3" spans="2:4" x14ac:dyDescent="0.3">
      <c r="B3" t="s">
        <v>80</v>
      </c>
      <c r="C3" t="s">
        <v>150</v>
      </c>
      <c r="D3" t="s">
        <v>151</v>
      </c>
    </row>
    <row r="4" spans="2:4" x14ac:dyDescent="0.3">
      <c r="B4" t="s">
        <v>94</v>
      </c>
      <c r="C4" t="s">
        <v>152</v>
      </c>
      <c r="D4" t="s">
        <v>153</v>
      </c>
    </row>
    <row r="5" spans="2:4" x14ac:dyDescent="0.3">
      <c r="B5" t="s">
        <v>104</v>
      </c>
      <c r="C5" t="s">
        <v>150</v>
      </c>
      <c r="D5" t="s">
        <v>151</v>
      </c>
    </row>
    <row r="6" spans="2:4" x14ac:dyDescent="0.3">
      <c r="B6" t="s">
        <v>23</v>
      </c>
      <c r="C6" t="s">
        <v>154</v>
      </c>
      <c r="D6" t="s">
        <v>155</v>
      </c>
    </row>
    <row r="7" spans="2:4" x14ac:dyDescent="0.3">
      <c r="B7" t="s">
        <v>40</v>
      </c>
      <c r="C7" t="s">
        <v>156</v>
      </c>
      <c r="D7" t="s">
        <v>157</v>
      </c>
    </row>
    <row r="8" spans="2:4" x14ac:dyDescent="0.3">
      <c r="B8" t="s">
        <v>44</v>
      </c>
      <c r="C8" t="s">
        <v>148</v>
      </c>
      <c r="D8" t="s">
        <v>149</v>
      </c>
    </row>
    <row r="9" spans="2:4" x14ac:dyDescent="0.3">
      <c r="B9" t="s">
        <v>47</v>
      </c>
      <c r="C9" t="s">
        <v>158</v>
      </c>
      <c r="D9" t="s">
        <v>159</v>
      </c>
    </row>
    <row r="10" spans="2:4" x14ac:dyDescent="0.3">
      <c r="B10" t="s">
        <v>52</v>
      </c>
      <c r="C10" t="s">
        <v>148</v>
      </c>
      <c r="D10" t="s">
        <v>149</v>
      </c>
    </row>
    <row r="11" spans="2:4" x14ac:dyDescent="0.3">
      <c r="B11" t="s">
        <v>77</v>
      </c>
      <c r="C11" t="s">
        <v>152</v>
      </c>
      <c r="D11" t="s">
        <v>153</v>
      </c>
    </row>
    <row r="12" spans="2:4" x14ac:dyDescent="0.3">
      <c r="B12" t="s">
        <v>86</v>
      </c>
      <c r="C12" t="s">
        <v>160</v>
      </c>
      <c r="D12" t="s">
        <v>161</v>
      </c>
    </row>
    <row r="13" spans="2:4" x14ac:dyDescent="0.3">
      <c r="B13" t="s">
        <v>28</v>
      </c>
      <c r="C13" t="s">
        <v>162</v>
      </c>
      <c r="D13" t="s">
        <v>163</v>
      </c>
    </row>
    <row r="14" spans="2:4" x14ac:dyDescent="0.3">
      <c r="B14" t="s">
        <v>116</v>
      </c>
      <c r="C14" t="s">
        <v>164</v>
      </c>
      <c r="D14" t="s">
        <v>165</v>
      </c>
    </row>
    <row r="15" spans="2:4" x14ac:dyDescent="0.3">
      <c r="B15" t="s">
        <v>118</v>
      </c>
      <c r="C15" t="s">
        <v>148</v>
      </c>
      <c r="D15" t="s">
        <v>149</v>
      </c>
    </row>
    <row r="16" spans="2:4" x14ac:dyDescent="0.3">
      <c r="B16" t="s">
        <v>121</v>
      </c>
      <c r="C16" t="s">
        <v>166</v>
      </c>
      <c r="D16" t="s">
        <v>167</v>
      </c>
    </row>
    <row r="17" spans="2:4" x14ac:dyDescent="0.3">
      <c r="B17" t="s">
        <v>54</v>
      </c>
      <c r="C17" t="s">
        <v>154</v>
      </c>
      <c r="D17" t="s">
        <v>155</v>
      </c>
    </row>
    <row r="18" spans="2:4" x14ac:dyDescent="0.3">
      <c r="B18" t="s">
        <v>140</v>
      </c>
      <c r="C18" t="s">
        <v>154</v>
      </c>
      <c r="D18" t="s">
        <v>155</v>
      </c>
    </row>
    <row r="19" spans="2:4" x14ac:dyDescent="0.3">
      <c r="B19" t="s">
        <v>142</v>
      </c>
      <c r="C19" t="s">
        <v>148</v>
      </c>
      <c r="D19" t="s">
        <v>149</v>
      </c>
    </row>
    <row r="20" spans="2:4" x14ac:dyDescent="0.3">
      <c r="B20" t="s">
        <v>145</v>
      </c>
      <c r="C20" t="s">
        <v>152</v>
      </c>
      <c r="D20" t="s">
        <v>153</v>
      </c>
    </row>
    <row r="21" spans="2:4" x14ac:dyDescent="0.3">
      <c r="B21" t="s">
        <v>13</v>
      </c>
      <c r="C21" t="s">
        <v>160</v>
      </c>
      <c r="D21" t="s">
        <v>161</v>
      </c>
    </row>
    <row r="22" spans="2:4" x14ac:dyDescent="0.3">
      <c r="B22" t="s">
        <v>17</v>
      </c>
      <c r="C22" t="s">
        <v>168</v>
      </c>
      <c r="D22" t="s">
        <v>169</v>
      </c>
    </row>
    <row r="23" spans="2:4" x14ac:dyDescent="0.3">
      <c r="B23" t="s">
        <v>21</v>
      </c>
      <c r="C23" t="s">
        <v>160</v>
      </c>
      <c r="D23" t="s">
        <v>161</v>
      </c>
    </row>
    <row r="24" spans="2:4" x14ac:dyDescent="0.3">
      <c r="B24" t="s">
        <v>26</v>
      </c>
      <c r="C24" t="s">
        <v>160</v>
      </c>
      <c r="D24" t="s">
        <v>161</v>
      </c>
    </row>
    <row r="25" spans="2:4" x14ac:dyDescent="0.3">
      <c r="B25" t="s">
        <v>30</v>
      </c>
      <c r="C25" t="s">
        <v>160</v>
      </c>
      <c r="D25" t="s">
        <v>161</v>
      </c>
    </row>
    <row r="26" spans="2:4" x14ac:dyDescent="0.3">
      <c r="B26" t="s">
        <v>50</v>
      </c>
      <c r="C26" t="s">
        <v>160</v>
      </c>
      <c r="D26" t="s">
        <v>161</v>
      </c>
    </row>
    <row r="27" spans="2:4" x14ac:dyDescent="0.3">
      <c r="B27" t="s">
        <v>73</v>
      </c>
      <c r="C27" t="s">
        <v>160</v>
      </c>
      <c r="D27" t="s">
        <v>161</v>
      </c>
    </row>
    <row r="28" spans="2:4" x14ac:dyDescent="0.3">
      <c r="B28" t="s">
        <v>102</v>
      </c>
      <c r="C28" t="s">
        <v>154</v>
      </c>
      <c r="D28" t="s">
        <v>155</v>
      </c>
    </row>
    <row r="29" spans="2:4" x14ac:dyDescent="0.3">
      <c r="B29" t="s">
        <v>138</v>
      </c>
      <c r="C29" t="s">
        <v>170</v>
      </c>
      <c r="D29" t="s">
        <v>171</v>
      </c>
    </row>
    <row r="30" spans="2:4" x14ac:dyDescent="0.3">
      <c r="B30" t="s">
        <v>59</v>
      </c>
      <c r="C30" t="s">
        <v>158</v>
      </c>
      <c r="D30" t="s">
        <v>159</v>
      </c>
    </row>
    <row r="31" spans="2:4" x14ac:dyDescent="0.3">
      <c r="B31" t="s">
        <v>113</v>
      </c>
      <c r="C31" t="s">
        <v>172</v>
      </c>
      <c r="D31" t="s">
        <v>173</v>
      </c>
    </row>
    <row r="32" spans="2:4" x14ac:dyDescent="0.3">
      <c r="B32" t="s">
        <v>90</v>
      </c>
      <c r="C32" t="s">
        <v>174</v>
      </c>
      <c r="D32" t="s">
        <v>175</v>
      </c>
    </row>
    <row r="33" spans="2:4" x14ac:dyDescent="0.3">
      <c r="B33" t="s">
        <v>110</v>
      </c>
      <c r="C33" t="s">
        <v>168</v>
      </c>
      <c r="D33" t="s">
        <v>169</v>
      </c>
    </row>
    <row r="34" spans="2:4" x14ac:dyDescent="0.3">
      <c r="B34" t="s">
        <v>129</v>
      </c>
      <c r="C34" t="s">
        <v>174</v>
      </c>
      <c r="D34" t="s">
        <v>175</v>
      </c>
    </row>
    <row r="35" spans="2:4" x14ac:dyDescent="0.3">
      <c r="B35" t="s">
        <v>56</v>
      </c>
      <c r="C35" t="s">
        <v>156</v>
      </c>
      <c r="D35" t="s">
        <v>157</v>
      </c>
    </row>
    <row r="36" spans="2:4" x14ac:dyDescent="0.3">
      <c r="B36" t="s">
        <v>69</v>
      </c>
      <c r="C36" t="s">
        <v>176</v>
      </c>
      <c r="D36" t="s">
        <v>177</v>
      </c>
    </row>
    <row r="37" spans="2:4" x14ac:dyDescent="0.3">
      <c r="B37" t="s">
        <v>100</v>
      </c>
      <c r="C37" t="s">
        <v>176</v>
      </c>
      <c r="D37" t="s">
        <v>177</v>
      </c>
    </row>
    <row r="38" spans="2:4" x14ac:dyDescent="0.3">
      <c r="B38" t="s">
        <v>136</v>
      </c>
      <c r="C38" t="s">
        <v>176</v>
      </c>
      <c r="D38" t="s">
        <v>177</v>
      </c>
    </row>
    <row r="39" spans="2:4" x14ac:dyDescent="0.3">
      <c r="B39" t="s">
        <v>147</v>
      </c>
      <c r="C39" t="s">
        <v>176</v>
      </c>
      <c r="D39" t="s">
        <v>177</v>
      </c>
    </row>
    <row r="40" spans="2:4" x14ac:dyDescent="0.3">
      <c r="B40" t="s">
        <v>64</v>
      </c>
      <c r="C40" t="s">
        <v>172</v>
      </c>
      <c r="D40" t="s">
        <v>173</v>
      </c>
    </row>
    <row r="41" spans="2:4" x14ac:dyDescent="0.3">
      <c r="B41" t="s">
        <v>61</v>
      </c>
      <c r="C41" t="s">
        <v>178</v>
      </c>
      <c r="D41" t="s">
        <v>179</v>
      </c>
    </row>
    <row r="42" spans="2:4" x14ac:dyDescent="0.3">
      <c r="B42" t="s">
        <v>33</v>
      </c>
      <c r="C42" t="s">
        <v>158</v>
      </c>
      <c r="D42" t="s">
        <v>159</v>
      </c>
    </row>
    <row r="43" spans="2:4" x14ac:dyDescent="0.3">
      <c r="B43" t="s">
        <v>24</v>
      </c>
      <c r="C43" t="s">
        <v>180</v>
      </c>
      <c r="D43" t="s">
        <v>181</v>
      </c>
    </row>
    <row r="44" spans="2:4" x14ac:dyDescent="0.3">
      <c r="B44" t="s">
        <v>14</v>
      </c>
      <c r="C44" t="s">
        <v>180</v>
      </c>
      <c r="D44" t="s">
        <v>181</v>
      </c>
    </row>
    <row r="45" spans="2:4" x14ac:dyDescent="0.3">
      <c r="B45" t="s">
        <v>41</v>
      </c>
      <c r="C45" t="s">
        <v>160</v>
      </c>
      <c r="D45" t="s">
        <v>161</v>
      </c>
    </row>
    <row r="46" spans="2:4" x14ac:dyDescent="0.3">
      <c r="B46" t="s">
        <v>45</v>
      </c>
      <c r="C46" t="s">
        <v>182</v>
      </c>
      <c r="D46" t="s">
        <v>183</v>
      </c>
    </row>
    <row r="47" spans="2:4" x14ac:dyDescent="0.3">
      <c r="B47" t="s">
        <v>84</v>
      </c>
      <c r="C47" t="s">
        <v>166</v>
      </c>
      <c r="D47" t="s">
        <v>167</v>
      </c>
    </row>
    <row r="48" spans="2:4" x14ac:dyDescent="0.3">
      <c r="B48" t="s">
        <v>48</v>
      </c>
      <c r="C48" t="s">
        <v>150</v>
      </c>
      <c r="D48" t="s">
        <v>151</v>
      </c>
    </row>
    <row r="49" spans="2:4" x14ac:dyDescent="0.3">
      <c r="B49" t="s">
        <v>114</v>
      </c>
      <c r="C49" t="s">
        <v>184</v>
      </c>
      <c r="D49" t="s">
        <v>185</v>
      </c>
    </row>
    <row r="50" spans="2:4" x14ac:dyDescent="0.3">
      <c r="B50" t="s">
        <v>34</v>
      </c>
      <c r="C50" t="s">
        <v>152</v>
      </c>
      <c r="D50" t="s">
        <v>153</v>
      </c>
    </row>
    <row r="51" spans="2:4" x14ac:dyDescent="0.3">
      <c r="B51" t="s">
        <v>18</v>
      </c>
      <c r="C51" t="s">
        <v>168</v>
      </c>
      <c r="D51" t="s">
        <v>169</v>
      </c>
    </row>
    <row r="52" spans="2:4" x14ac:dyDescent="0.3">
      <c r="B52" t="s">
        <v>19</v>
      </c>
      <c r="C52" t="s">
        <v>186</v>
      </c>
      <c r="D52" t="s">
        <v>187</v>
      </c>
    </row>
    <row r="53" spans="2:4" x14ac:dyDescent="0.3">
      <c r="B53" t="s">
        <v>42</v>
      </c>
      <c r="C53" t="s">
        <v>156</v>
      </c>
      <c r="D53" t="s">
        <v>157</v>
      </c>
    </row>
    <row r="54" spans="2:4" x14ac:dyDescent="0.3">
      <c r="B54" t="s">
        <v>78</v>
      </c>
      <c r="C54" t="s">
        <v>148</v>
      </c>
      <c r="D54" t="s">
        <v>149</v>
      </c>
    </row>
    <row r="55" spans="2:4" x14ac:dyDescent="0.3">
      <c r="B55" t="s">
        <v>91</v>
      </c>
      <c r="C55" t="s">
        <v>154</v>
      </c>
      <c r="D55" t="s">
        <v>155</v>
      </c>
    </row>
    <row r="56" spans="2:4" x14ac:dyDescent="0.3">
      <c r="B56" t="s">
        <v>70</v>
      </c>
      <c r="C56" t="s">
        <v>176</v>
      </c>
      <c r="D56" t="s">
        <v>177</v>
      </c>
    </row>
    <row r="57" spans="2:4" x14ac:dyDescent="0.3">
      <c r="B57" t="s">
        <v>62</v>
      </c>
      <c r="C57" t="s">
        <v>188</v>
      </c>
      <c r="D57" t="s">
        <v>189</v>
      </c>
    </row>
    <row r="58" spans="2:4" x14ac:dyDescent="0.3">
      <c r="B58" s="8" t="s">
        <v>190</v>
      </c>
      <c r="C58" t="s">
        <v>156</v>
      </c>
      <c r="D58" t="s">
        <v>157</v>
      </c>
    </row>
    <row r="59" spans="2:4" x14ac:dyDescent="0.3">
      <c r="B59" s="8" t="s">
        <v>191</v>
      </c>
      <c r="C59" t="s">
        <v>148</v>
      </c>
      <c r="D59" t="s">
        <v>149</v>
      </c>
    </row>
    <row r="60" spans="2:4" x14ac:dyDescent="0.3">
      <c r="B60" s="8" t="s">
        <v>192</v>
      </c>
      <c r="C60" t="s">
        <v>148</v>
      </c>
      <c r="D60" t="s">
        <v>149</v>
      </c>
    </row>
    <row r="61" spans="2:4" x14ac:dyDescent="0.3">
      <c r="B61" s="8" t="s">
        <v>193</v>
      </c>
      <c r="C61" t="s">
        <v>150</v>
      </c>
      <c r="D61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FCD4098F-8E8F-458C-B157-D161F2BD71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c21e8b-9a2a-4f27-9a15-13ba766ee81c"/>
    <ds:schemaRef ds:uri="834d9a2c-b3a2-40cf-9f5a-3e1af91402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4721AE-9905-41CE-8187-AA97BD208A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47C0FD-91DC-4DCD-B817-A13792AEFDC6}">
  <ds:schemaRefs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7bc21e8b-9a2a-4f27-9a15-13ba766ee81c"/>
    <ds:schemaRef ds:uri="http://purl.org/dc/dcmitype/"/>
    <ds:schemaRef ds:uri="http://schemas.openxmlformats.org/package/2006/metadata/core-properties"/>
    <ds:schemaRef ds:uri="834d9a2c-b3a2-40cf-9f5a-3e1af91402a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Traspas hores centres</vt:lpstr>
      <vt:lpstr>employee_by_project_costs-2026-</vt:lpstr>
      <vt:lpstr>Conversio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2026-06-05T10:54:37Z</dcterms:created>
  <dcterms:modified xsi:type="dcterms:W3CDTF">2026-07-01T22:25:21Z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0x0101006827E1F2A6A6134F92A9F15D20A2C7EB</vt:lpwstr>
  </property>
  <property fmtid="{D5CDD505-2E9C-101B-9397-08002B2CF9AE}" pid="3" name="MediaServiceImageTags">
    <vt:lpwstr/>
  </property>
</Properties>
</file>