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"/>
    </mc:Choice>
  </mc:AlternateContent>
  <xr:revisionPtr revIDLastSave="346" documentId="13_ncr:1_{AF17519B-85B7-4751-A536-C9A7F3B73A3F}" xr6:coauthVersionLast="47" xr6:coauthVersionMax="47" xr10:uidLastSave="{CBAB26EC-4866-4BAE-A529-BB3D046812A7}"/>
  <bookViews>
    <workbookView xWindow="-120" yWindow="-120" windowWidth="29040" windowHeight="15720" xr2:uid="{8C57AA24-C9A6-4780-8AA9-5B1530980EB8}"/>
  </bookViews>
  <sheets>
    <sheet name="quadre mando" sheetId="1" r:id="rId1"/>
    <sheet name="dades" sheetId="2" r:id="rId2"/>
  </sheets>
  <definedNames>
    <definedName name="_xlnm._FilterDatabase" localSheetId="0" hidden="1">'quadre mando'!$A$1:$L$245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4" i="1" l="1"/>
  <c r="K200" i="1"/>
  <c r="K220" i="1"/>
  <c r="K19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M188" i="1" s="1"/>
  <c r="L190" i="1"/>
  <c r="L191" i="1"/>
  <c r="L175" i="1"/>
  <c r="L174" i="1"/>
  <c r="M174" i="1" s="1"/>
  <c r="F137" i="1"/>
  <c r="F136" i="1"/>
  <c r="F135" i="1"/>
  <c r="F134" i="1"/>
  <c r="D123" i="1"/>
  <c r="D122" i="1"/>
  <c r="D121" i="1"/>
  <c r="D120" i="1"/>
  <c r="D119" i="1"/>
  <c r="D118" i="1"/>
  <c r="D117" i="1"/>
  <c r="D115" i="1"/>
  <c r="D113" i="1"/>
  <c r="D112" i="1"/>
  <c r="D111" i="1"/>
  <c r="D110" i="1"/>
  <c r="K108" i="1"/>
  <c r="D107" i="1"/>
  <c r="K106" i="1"/>
  <c r="D106" i="1"/>
  <c r="D105" i="1"/>
  <c r="D104" i="1"/>
  <c r="D103" i="1"/>
  <c r="D102" i="1"/>
  <c r="D101" i="1"/>
  <c r="D100" i="1"/>
  <c r="D99" i="1"/>
  <c r="D98" i="1"/>
  <c r="D97" i="1"/>
  <c r="D95" i="1"/>
  <c r="D94" i="1"/>
  <c r="D93" i="1"/>
  <c r="D92" i="1"/>
  <c r="D89" i="1"/>
  <c r="D88" i="1"/>
  <c r="D87" i="1"/>
  <c r="D86" i="1"/>
  <c r="D85" i="1"/>
  <c r="D84" i="1"/>
  <c r="D83" i="1"/>
  <c r="G82" i="1"/>
  <c r="D82" i="1"/>
  <c r="D81" i="1"/>
  <c r="D80" i="1"/>
  <c r="D79" i="1"/>
  <c r="D78" i="1"/>
  <c r="D77" i="1"/>
  <c r="D76" i="1"/>
  <c r="D75" i="1"/>
  <c r="D74" i="1"/>
  <c r="D71" i="1"/>
  <c r="D70" i="1"/>
  <c r="D69" i="1"/>
  <c r="D68" i="1"/>
  <c r="D67" i="1"/>
  <c r="D66" i="1"/>
  <c r="D65" i="1"/>
  <c r="D64" i="1"/>
  <c r="D63" i="1"/>
  <c r="D61" i="1"/>
  <c r="D60" i="1"/>
  <c r="D59" i="1"/>
  <c r="D58" i="1"/>
  <c r="D57" i="1"/>
  <c r="D56" i="1"/>
  <c r="M186" i="1" l="1"/>
  <c r="M184" i="1"/>
  <c r="M182" i="1"/>
  <c r="M180" i="1"/>
  <c r="M178" i="1"/>
  <c r="M190" i="1"/>
  <c r="M176" i="1"/>
</calcChain>
</file>

<file path=xl/sharedStrings.xml><?xml version="1.0" encoding="utf-8"?>
<sst xmlns="http://schemas.openxmlformats.org/spreadsheetml/2006/main" count="617" uniqueCount="59">
  <si>
    <t>Data</t>
  </si>
  <si>
    <t>Nom Restaurant</t>
  </si>
  <si>
    <t>Departament</t>
  </si>
  <si>
    <t>Total Salari</t>
  </si>
  <si>
    <t xml:space="preserve">Incentius mensual </t>
  </si>
  <si>
    <t xml:space="preserve">Incentiu Trimestral </t>
  </si>
  <si>
    <t>Hores extres</t>
  </si>
  <si>
    <t xml:space="preserve">Altres </t>
  </si>
  <si>
    <t>Baixes</t>
  </si>
  <si>
    <t xml:space="preserve">Indemnizatcions </t>
  </si>
  <si>
    <t>Fora Centre</t>
  </si>
  <si>
    <t>Tarraco Arena</t>
  </si>
  <si>
    <t>Sala</t>
  </si>
  <si>
    <t>Cuina</t>
  </si>
  <si>
    <t>Juno House</t>
  </si>
  <si>
    <t>Camp Nou</t>
  </si>
  <si>
    <t>Nautic</t>
  </si>
  <si>
    <t>Masia Esplugues</t>
  </si>
  <si>
    <t>Mirador</t>
  </si>
  <si>
    <t>Origens</t>
  </si>
  <si>
    <t>574,50€</t>
  </si>
  <si>
    <t>881,91€</t>
  </si>
  <si>
    <t>-97,50€</t>
  </si>
  <si>
    <t>220,19€</t>
  </si>
  <si>
    <t>363,29€</t>
  </si>
  <si>
    <t>231,50€</t>
  </si>
  <si>
    <t>297,46€</t>
  </si>
  <si>
    <t>974,42€</t>
  </si>
  <si>
    <t>682,60€</t>
  </si>
  <si>
    <t>586,50€</t>
  </si>
  <si>
    <t>157,50€</t>
  </si>
  <si>
    <t>1263,81€</t>
  </si>
  <si>
    <t>122,25€</t>
  </si>
  <si>
    <t>637,50€</t>
  </si>
  <si>
    <t>439,50€</t>
  </si>
  <si>
    <t>667,50€</t>
  </si>
  <si>
    <t>41,27€</t>
  </si>
  <si>
    <t>470,22€</t>
  </si>
  <si>
    <t>287,50€</t>
  </si>
  <si>
    <t>-272,25€</t>
  </si>
  <si>
    <t>137,50€</t>
  </si>
  <si>
    <t>73,33€</t>
  </si>
  <si>
    <t>Plural</t>
  </si>
  <si>
    <t>82,5</t>
  </si>
  <si>
    <t>122,25</t>
  </si>
  <si>
    <t>-272,25</t>
  </si>
  <si>
    <t>247,50</t>
  </si>
  <si>
    <t>-261,57</t>
  </si>
  <si>
    <t>-67,5</t>
  </si>
  <si>
    <t>-1346,20</t>
  </si>
  <si>
    <t>Soliver</t>
  </si>
  <si>
    <t>-247,75</t>
  </si>
  <si>
    <t>127,75</t>
  </si>
  <si>
    <t>cuina</t>
  </si>
  <si>
    <t>sala</t>
  </si>
  <si>
    <t>serveis</t>
  </si>
  <si>
    <t>207,5</t>
  </si>
  <si>
    <t>departament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</si>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</sst>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[$€]#,##0"/>
    <numFmt numFmtId="167" formatCode="_-* #,##0.00\ [$€-403]_-;\-* #,##0.00\ [$€-403]_-;_-* &quot;-&quot;??\ [$€-403]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Font="1" applyFill="1" applyAlignment="1">
      <alignment horizontal="center"/>
    </xf>
    <xf numFmtId="0" fontId="2" fillId="0" borderId="0" xfId="0" applyFont="1"/>
    <xf numFmtId="164" fontId="2" fillId="0" borderId="0" xfId="1" applyFont="1" applyFill="1"/>
    <xf numFmtId="166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64" fontId="2" fillId="0" borderId="0" xfId="1" applyFont="1" applyFill="1" applyAlignment="1">
      <alignment horizontal="right"/>
    </xf>
    <xf numFmtId="167" fontId="2" fillId="0" borderId="0" xfId="1" applyNumberFormat="1" applyFont="1" applyFill="1" applyAlignment="1">
      <alignment horizontal="right"/>
    </xf>
    <xf numFmtId="167" fontId="2" fillId="0" borderId="0" xfId="1" applyNumberFormat="1" applyFont="1" applyFill="1"/>
    <xf numFmtId="165" fontId="2" fillId="0" borderId="0" xfId="2" applyFont="1" applyFill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left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AF61-E3E1-4166-8774-CE3692B98A9E}">
  <sheetPr filterMode="1"/>
  <dimension ref="A1:M284"/>
  <sheetViews>
    <sheetView tabSelected="1" workbookViewId="0">
      <pane ySplit="1" topLeftCell="A256" activePane="bottomLeft" state="frozen"/>
      <selection pane="bottomLeft" activeCell="I282" sqref="I282"/>
    </sheetView>
  </sheetViews>
  <sheetFormatPr defaultColWidth="8.85546875" defaultRowHeight="15"/>
  <cols>
    <col min="1" max="1" width="14.7109375" style="7" customWidth="1"/>
    <col min="2" max="2" width="18.5703125" style="13" customWidth="1"/>
    <col min="3" max="3" width="18.5703125" style="3" customWidth="1"/>
    <col min="4" max="4" width="18.5703125" style="4" customWidth="1"/>
    <col min="5" max="5" width="20.28515625" style="8" customWidth="1"/>
    <col min="6" max="6" width="21.5703125" style="4" customWidth="1"/>
    <col min="7" max="7" width="17.7109375" style="2" customWidth="1"/>
    <col min="8" max="8" width="12.28515625" style="2" customWidth="1"/>
    <col min="9" max="9" width="13.28515625" style="2" customWidth="1"/>
    <col min="10" max="10" width="18.42578125" style="4" customWidth="1"/>
    <col min="11" max="11" width="19.28515625" style="2" customWidth="1"/>
    <col min="12" max="12" width="14" style="3" customWidth="1"/>
    <col min="13" max="13" width="12" style="3" bestFit="1" customWidth="1"/>
    <col min="14" max="16384" width="8.85546875" style="3"/>
  </cols>
  <sheetData>
    <row r="1" spans="1:11" s="1" customFormat="1">
      <c r="A1" s="6" t="s">
        <v>0</v>
      </c>
      <c r="B1" s="13" t="s">
        <v>1</v>
      </c>
      <c r="C1" s="1" t="s">
        <v>2</v>
      </c>
      <c r="D1" s="2" t="s">
        <v>3</v>
      </c>
      <c r="E1" s="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7">
        <v>45658</v>
      </c>
      <c r="B2" s="13" t="s">
        <v>11</v>
      </c>
      <c r="C2" s="3" t="s">
        <v>12</v>
      </c>
      <c r="D2" s="4">
        <v>7807</v>
      </c>
      <c r="E2" s="8">
        <v>100</v>
      </c>
      <c r="F2" s="4">
        <v>50</v>
      </c>
    </row>
    <row r="3" spans="1:11">
      <c r="A3" s="7">
        <v>45658</v>
      </c>
      <c r="B3" s="13" t="s">
        <v>11</v>
      </c>
      <c r="C3" s="3" t="s">
        <v>13</v>
      </c>
      <c r="D3" s="9">
        <v>4426</v>
      </c>
      <c r="E3" s="9">
        <v>100</v>
      </c>
      <c r="F3" s="9">
        <v>50</v>
      </c>
      <c r="G3" s="9"/>
      <c r="H3" s="9">
        <v>305</v>
      </c>
      <c r="I3" s="9"/>
      <c r="J3" s="9"/>
      <c r="K3" s="9"/>
    </row>
    <row r="4" spans="1:11">
      <c r="A4" s="7">
        <v>45689</v>
      </c>
      <c r="B4" s="13" t="s">
        <v>11</v>
      </c>
      <c r="C4" s="3" t="s">
        <v>12</v>
      </c>
      <c r="D4" s="9">
        <v>7411</v>
      </c>
      <c r="E4" s="9"/>
      <c r="F4" s="9"/>
      <c r="G4" s="9"/>
      <c r="H4" s="9"/>
      <c r="I4" s="9"/>
      <c r="J4" s="9"/>
      <c r="K4" s="9"/>
    </row>
    <row r="5" spans="1:11">
      <c r="A5" s="7">
        <v>45689</v>
      </c>
      <c r="B5" s="13" t="s">
        <v>11</v>
      </c>
      <c r="C5" s="3" t="s">
        <v>13</v>
      </c>
      <c r="D5" s="9">
        <v>2950</v>
      </c>
      <c r="E5" s="9">
        <v>100</v>
      </c>
      <c r="F5" s="9"/>
      <c r="G5" s="9"/>
      <c r="H5" s="9">
        <v>829</v>
      </c>
      <c r="I5" s="9"/>
      <c r="J5" s="9"/>
      <c r="K5" s="9"/>
    </row>
    <row r="6" spans="1:11">
      <c r="A6" s="7">
        <v>45717</v>
      </c>
      <c r="B6" s="13" t="s">
        <v>11</v>
      </c>
      <c r="C6" s="3" t="s">
        <v>12</v>
      </c>
      <c r="D6" s="9">
        <v>7444</v>
      </c>
      <c r="E6" s="9">
        <v>100</v>
      </c>
      <c r="F6" s="9"/>
      <c r="G6" s="9">
        <v>303</v>
      </c>
      <c r="H6" s="9">
        <v>265</v>
      </c>
      <c r="I6" s="9"/>
      <c r="J6" s="9"/>
      <c r="K6" s="9"/>
    </row>
    <row r="7" spans="1:11">
      <c r="A7" s="7">
        <v>45717</v>
      </c>
      <c r="B7" s="13" t="s">
        <v>11</v>
      </c>
      <c r="C7" s="3" t="s">
        <v>13</v>
      </c>
      <c r="D7" s="9">
        <v>3719</v>
      </c>
      <c r="E7" s="9">
        <v>100</v>
      </c>
      <c r="F7" s="9"/>
      <c r="G7" s="9">
        <v>133</v>
      </c>
      <c r="H7" s="9">
        <v>358</v>
      </c>
      <c r="I7" s="9"/>
      <c r="J7" s="9"/>
      <c r="K7" s="9"/>
    </row>
    <row r="8" spans="1:11">
      <c r="A8" s="7">
        <v>45748</v>
      </c>
      <c r="B8" s="13" t="s">
        <v>11</v>
      </c>
      <c r="C8" s="3" t="s">
        <v>12</v>
      </c>
      <c r="D8" s="9">
        <v>8870</v>
      </c>
      <c r="E8" s="9">
        <v>100</v>
      </c>
      <c r="F8" s="9">
        <v>150</v>
      </c>
      <c r="G8" s="9">
        <v>105</v>
      </c>
      <c r="H8" s="9">
        <v>190</v>
      </c>
      <c r="I8" s="9">
        <v>1069</v>
      </c>
      <c r="J8" s="9"/>
      <c r="K8" s="9"/>
    </row>
    <row r="9" spans="1:11">
      <c r="A9" s="7">
        <v>45748</v>
      </c>
      <c r="B9" s="13" t="s">
        <v>11</v>
      </c>
      <c r="C9" s="3" t="s">
        <v>13</v>
      </c>
      <c r="D9" s="9">
        <v>3582</v>
      </c>
      <c r="E9" s="9">
        <v>50</v>
      </c>
      <c r="F9" s="9">
        <v>150</v>
      </c>
      <c r="G9" s="9">
        <v>102</v>
      </c>
      <c r="H9" s="9">
        <v>424</v>
      </c>
      <c r="I9" s="9"/>
      <c r="J9" s="9"/>
      <c r="K9" s="9"/>
    </row>
    <row r="10" spans="1:11">
      <c r="A10" s="7">
        <v>45778</v>
      </c>
      <c r="B10" s="13" t="s">
        <v>11</v>
      </c>
      <c r="C10" s="3" t="s">
        <v>12</v>
      </c>
      <c r="D10" s="9">
        <v>5097</v>
      </c>
      <c r="E10" s="9">
        <v>105</v>
      </c>
      <c r="F10" s="9"/>
      <c r="G10" s="9"/>
      <c r="H10" s="9">
        <v>520</v>
      </c>
      <c r="I10" s="9">
        <v>70</v>
      </c>
      <c r="J10" s="9"/>
      <c r="K10" s="9"/>
    </row>
    <row r="11" spans="1:11">
      <c r="A11" s="7">
        <v>45778</v>
      </c>
      <c r="B11" s="13" t="s">
        <v>11</v>
      </c>
      <c r="C11" s="3" t="s">
        <v>13</v>
      </c>
      <c r="D11" s="9">
        <v>5561</v>
      </c>
      <c r="E11" s="9">
        <v>195</v>
      </c>
      <c r="F11" s="9"/>
      <c r="G11" s="9">
        <v>85</v>
      </c>
      <c r="H11" s="9">
        <v>348</v>
      </c>
      <c r="I11" s="9"/>
      <c r="J11" s="9"/>
      <c r="K11" s="9"/>
    </row>
    <row r="12" spans="1:11">
      <c r="A12" s="7">
        <v>45809</v>
      </c>
      <c r="B12" s="13" t="s">
        <v>11</v>
      </c>
      <c r="C12" s="3" t="s">
        <v>12</v>
      </c>
      <c r="D12" s="9">
        <v>7115</v>
      </c>
      <c r="E12" s="9">
        <v>165</v>
      </c>
      <c r="F12" s="9"/>
      <c r="G12" s="9"/>
      <c r="H12" s="9">
        <v>138</v>
      </c>
      <c r="I12" s="9">
        <v>116</v>
      </c>
      <c r="J12" s="9"/>
      <c r="K12" s="9"/>
    </row>
    <row r="13" spans="1:11">
      <c r="A13" s="7">
        <v>45809</v>
      </c>
      <c r="B13" s="13" t="s">
        <v>11</v>
      </c>
      <c r="C13" s="3" t="s">
        <v>13</v>
      </c>
      <c r="D13" s="9">
        <v>5161</v>
      </c>
      <c r="E13" s="9">
        <v>165</v>
      </c>
      <c r="F13" s="9"/>
      <c r="G13" s="9"/>
      <c r="H13" s="9">
        <v>124</v>
      </c>
      <c r="I13" s="9"/>
      <c r="J13" s="9"/>
      <c r="K13" s="9"/>
    </row>
    <row r="14" spans="1:11">
      <c r="A14" s="7">
        <v>45839</v>
      </c>
      <c r="B14" s="13" t="s">
        <v>11</v>
      </c>
      <c r="C14" s="3" t="s">
        <v>12</v>
      </c>
      <c r="D14" s="9">
        <v>5060</v>
      </c>
      <c r="E14" s="9">
        <v>20</v>
      </c>
      <c r="F14" s="9">
        <v>75</v>
      </c>
      <c r="G14" s="9">
        <v>48</v>
      </c>
      <c r="H14" s="9">
        <v>435</v>
      </c>
      <c r="I14" s="9">
        <v>88</v>
      </c>
      <c r="J14" s="9"/>
      <c r="K14" s="9"/>
    </row>
    <row r="15" spans="1:11">
      <c r="A15" s="7">
        <v>45839</v>
      </c>
      <c r="B15" s="13" t="s">
        <v>11</v>
      </c>
      <c r="C15" s="3" t="s">
        <v>13</v>
      </c>
      <c r="D15" s="9">
        <v>5573</v>
      </c>
      <c r="E15" s="9">
        <v>73</v>
      </c>
      <c r="F15" s="9">
        <v>75</v>
      </c>
      <c r="G15" s="9"/>
      <c r="H15" s="9">
        <v>878</v>
      </c>
      <c r="I15" s="9"/>
      <c r="J15" s="9"/>
      <c r="K15" s="9"/>
    </row>
    <row r="16" spans="1:11">
      <c r="A16" s="7">
        <v>45870</v>
      </c>
      <c r="B16" s="13" t="s">
        <v>11</v>
      </c>
      <c r="C16" s="3" t="s">
        <v>12</v>
      </c>
      <c r="D16" s="9">
        <v>5347</v>
      </c>
      <c r="E16" s="9">
        <v>195</v>
      </c>
      <c r="F16" s="9"/>
      <c r="G16" s="9"/>
      <c r="H16" s="9"/>
      <c r="I16" s="9"/>
      <c r="J16" s="9"/>
      <c r="K16" s="9"/>
    </row>
    <row r="17" spans="1:11">
      <c r="A17" s="7">
        <v>45870</v>
      </c>
      <c r="B17" s="13" t="s">
        <v>11</v>
      </c>
      <c r="C17" s="3" t="s">
        <v>13</v>
      </c>
      <c r="D17" s="9">
        <v>5312</v>
      </c>
      <c r="E17" s="9">
        <v>200</v>
      </c>
      <c r="F17" s="9"/>
      <c r="G17" s="9"/>
      <c r="H17" s="9">
        <v>715</v>
      </c>
      <c r="I17" s="9"/>
      <c r="J17" s="9"/>
      <c r="K17" s="9"/>
    </row>
    <row r="18" spans="1:11">
      <c r="A18" s="7">
        <v>45901</v>
      </c>
      <c r="B18" s="13" t="s">
        <v>11</v>
      </c>
      <c r="C18" s="3" t="s">
        <v>12</v>
      </c>
      <c r="D18" s="9">
        <v>5026</v>
      </c>
      <c r="E18" s="9">
        <v>195</v>
      </c>
      <c r="F18" s="9"/>
      <c r="G18" s="9">
        <v>105</v>
      </c>
      <c r="H18" s="9">
        <v>660</v>
      </c>
      <c r="I18" s="9"/>
      <c r="J18" s="9"/>
      <c r="K18" s="9"/>
    </row>
    <row r="19" spans="1:11">
      <c r="A19" s="7">
        <v>45901</v>
      </c>
      <c r="B19" s="13" t="s">
        <v>11</v>
      </c>
      <c r="C19" s="3" t="s">
        <v>13</v>
      </c>
      <c r="D19" s="9">
        <v>5489</v>
      </c>
      <c r="E19" s="9">
        <v>200</v>
      </c>
      <c r="F19" s="9"/>
      <c r="G19" s="9">
        <v>53</v>
      </c>
      <c r="H19" s="9">
        <v>244</v>
      </c>
      <c r="I19" s="9"/>
      <c r="J19" s="9"/>
      <c r="K19" s="9"/>
    </row>
    <row r="20" spans="1:11">
      <c r="A20" s="7">
        <v>45658</v>
      </c>
      <c r="B20" s="13" t="s">
        <v>14</v>
      </c>
      <c r="C20" s="3" t="s">
        <v>12</v>
      </c>
      <c r="D20" s="9">
        <v>11831</v>
      </c>
      <c r="E20" s="9">
        <v>100</v>
      </c>
      <c r="F20" s="9">
        <v>150</v>
      </c>
      <c r="G20" s="9">
        <v>468</v>
      </c>
      <c r="H20" s="9"/>
      <c r="I20" s="9">
        <v>604</v>
      </c>
      <c r="J20" s="9"/>
      <c r="K20" s="9"/>
    </row>
    <row r="21" spans="1:11">
      <c r="A21" s="7">
        <v>45658</v>
      </c>
      <c r="B21" s="13" t="s">
        <v>14</v>
      </c>
      <c r="C21" s="3" t="s">
        <v>13</v>
      </c>
      <c r="D21" s="9">
        <v>7375</v>
      </c>
      <c r="E21" s="9">
        <v>180</v>
      </c>
      <c r="F21" s="9">
        <v>150</v>
      </c>
      <c r="G21" s="9">
        <v>274</v>
      </c>
      <c r="H21" s="9"/>
      <c r="I21" s="9"/>
      <c r="J21" s="9"/>
      <c r="K21" s="9">
        <v>-109.5</v>
      </c>
    </row>
    <row r="22" spans="1:11">
      <c r="A22" s="7">
        <v>45689</v>
      </c>
      <c r="B22" s="13" t="s">
        <v>14</v>
      </c>
      <c r="C22" s="3" t="s">
        <v>12</v>
      </c>
      <c r="D22" s="9">
        <v>11781</v>
      </c>
      <c r="E22" s="9">
        <v>100</v>
      </c>
      <c r="F22" s="9"/>
      <c r="G22" s="9">
        <v>372</v>
      </c>
      <c r="H22" s="9"/>
      <c r="I22" s="9"/>
      <c r="J22" s="9"/>
      <c r="K22" s="9"/>
    </row>
    <row r="23" spans="1:11">
      <c r="A23" s="7">
        <v>45689</v>
      </c>
      <c r="B23" s="13" t="s">
        <v>14</v>
      </c>
      <c r="C23" s="3" t="s">
        <v>13</v>
      </c>
      <c r="D23" s="9">
        <v>7151</v>
      </c>
      <c r="E23" s="9">
        <v>160</v>
      </c>
      <c r="F23" s="9"/>
      <c r="G23" s="9">
        <v>316</v>
      </c>
      <c r="H23" s="9"/>
      <c r="I23" s="9"/>
      <c r="J23" s="9"/>
      <c r="K23" s="9"/>
    </row>
    <row r="24" spans="1:11">
      <c r="A24" s="7">
        <v>45717</v>
      </c>
      <c r="B24" s="13" t="s">
        <v>14</v>
      </c>
      <c r="C24" s="3" t="s">
        <v>12</v>
      </c>
      <c r="D24" s="9">
        <v>7120</v>
      </c>
      <c r="E24" s="9">
        <v>100</v>
      </c>
      <c r="F24" s="9"/>
      <c r="G24" s="9">
        <v>1225</v>
      </c>
      <c r="H24" s="9">
        <v>60</v>
      </c>
      <c r="I24" s="9"/>
      <c r="J24" s="9"/>
      <c r="K24" s="9"/>
    </row>
    <row r="25" spans="1:11">
      <c r="A25" s="7">
        <v>45717</v>
      </c>
      <c r="B25" s="13" t="s">
        <v>14</v>
      </c>
      <c r="C25" s="3" t="s">
        <v>13</v>
      </c>
      <c r="D25" s="9">
        <v>11781</v>
      </c>
      <c r="E25" s="9">
        <v>150</v>
      </c>
      <c r="F25" s="9"/>
      <c r="G25" s="9">
        <v>576</v>
      </c>
      <c r="H25" s="9">
        <v>156</v>
      </c>
      <c r="I25" s="9"/>
      <c r="J25" s="9"/>
      <c r="K25" s="9">
        <v>-62</v>
      </c>
    </row>
    <row r="26" spans="1:11">
      <c r="A26" s="7">
        <v>45748</v>
      </c>
      <c r="B26" s="13" t="s">
        <v>14</v>
      </c>
      <c r="C26" s="3" t="s">
        <v>12</v>
      </c>
      <c r="D26" s="9">
        <v>12467</v>
      </c>
      <c r="E26" s="9">
        <v>100</v>
      </c>
      <c r="F26" s="9">
        <v>50</v>
      </c>
      <c r="G26" s="9">
        <v>304</v>
      </c>
      <c r="H26" s="9"/>
      <c r="I26" s="9"/>
      <c r="J26" s="9"/>
      <c r="K26" s="9">
        <v>-73</v>
      </c>
    </row>
    <row r="27" spans="1:11">
      <c r="A27" s="7">
        <v>45748</v>
      </c>
      <c r="B27" s="13" t="s">
        <v>14</v>
      </c>
      <c r="C27" s="3" t="s">
        <v>13</v>
      </c>
      <c r="D27" s="9">
        <v>7118</v>
      </c>
      <c r="E27" s="9">
        <v>150</v>
      </c>
      <c r="F27" s="9">
        <v>60</v>
      </c>
      <c r="G27" s="9"/>
      <c r="H27" s="9"/>
      <c r="I27" s="9">
        <v>305</v>
      </c>
      <c r="J27" s="9"/>
      <c r="K27" s="9"/>
    </row>
    <row r="28" spans="1:11">
      <c r="A28" s="7">
        <v>45778</v>
      </c>
      <c r="B28" s="13" t="s">
        <v>14</v>
      </c>
      <c r="C28" s="3" t="s">
        <v>12</v>
      </c>
      <c r="D28" s="9">
        <v>10351</v>
      </c>
      <c r="E28" s="9">
        <v>150</v>
      </c>
      <c r="F28" s="9"/>
      <c r="G28" s="9">
        <v>1523</v>
      </c>
      <c r="H28" s="9"/>
      <c r="I28" s="9">
        <v>456</v>
      </c>
      <c r="J28" s="9"/>
      <c r="K28" s="9">
        <v>-3</v>
      </c>
    </row>
    <row r="29" spans="1:11">
      <c r="A29" s="7">
        <v>45778</v>
      </c>
      <c r="B29" s="13" t="s">
        <v>14</v>
      </c>
      <c r="C29" s="3" t="s">
        <v>13</v>
      </c>
      <c r="D29" s="9">
        <v>7158</v>
      </c>
      <c r="E29" s="9">
        <v>150</v>
      </c>
      <c r="F29" s="9">
        <v>992</v>
      </c>
      <c r="G29" s="9"/>
      <c r="H29" s="9"/>
      <c r="I29" s="9"/>
      <c r="J29" s="9"/>
      <c r="K29" s="9"/>
    </row>
    <row r="30" spans="1:11">
      <c r="A30" s="7">
        <v>45809</v>
      </c>
      <c r="B30" s="13" t="s">
        <v>14</v>
      </c>
      <c r="C30" s="3" t="s">
        <v>12</v>
      </c>
      <c r="D30" s="9">
        <v>10845</v>
      </c>
      <c r="E30" s="9">
        <v>480</v>
      </c>
      <c r="F30" s="9"/>
      <c r="G30" s="9">
        <v>1305</v>
      </c>
      <c r="H30" s="9">
        <v>50</v>
      </c>
      <c r="I30" s="9"/>
      <c r="J30" s="9"/>
      <c r="K30" s="9"/>
    </row>
    <row r="31" spans="1:11">
      <c r="A31" s="7">
        <v>45809</v>
      </c>
      <c r="B31" s="13" t="s">
        <v>14</v>
      </c>
      <c r="C31" s="3" t="s">
        <v>13</v>
      </c>
      <c r="D31" s="9">
        <v>7540</v>
      </c>
      <c r="E31" s="9">
        <v>480</v>
      </c>
      <c r="F31" s="9"/>
      <c r="G31" s="9">
        <v>379</v>
      </c>
      <c r="H31" s="9"/>
      <c r="I31" s="9"/>
      <c r="J31" s="9"/>
      <c r="K31" s="9">
        <v>-733</v>
      </c>
    </row>
    <row r="32" spans="1:11">
      <c r="A32" s="7">
        <v>45839</v>
      </c>
      <c r="B32" s="13" t="s">
        <v>14</v>
      </c>
      <c r="C32" s="3" t="s">
        <v>12</v>
      </c>
      <c r="D32" s="9">
        <v>10930</v>
      </c>
      <c r="E32" s="9">
        <v>333</v>
      </c>
      <c r="F32" s="9">
        <v>300</v>
      </c>
      <c r="G32" s="9">
        <v>1575</v>
      </c>
      <c r="H32" s="9">
        <v>177</v>
      </c>
      <c r="I32" s="9">
        <v>164</v>
      </c>
      <c r="J32" s="9"/>
      <c r="K32" s="9"/>
    </row>
    <row r="33" spans="1:11">
      <c r="A33" s="7">
        <v>45839</v>
      </c>
      <c r="B33" s="13" t="s">
        <v>14</v>
      </c>
      <c r="C33" s="3" t="s">
        <v>13</v>
      </c>
      <c r="D33" s="9">
        <v>7727</v>
      </c>
      <c r="E33" s="9">
        <v>321</v>
      </c>
      <c r="F33" s="9">
        <v>300</v>
      </c>
      <c r="G33" s="9">
        <v>2702</v>
      </c>
      <c r="H33" s="9">
        <v>18</v>
      </c>
      <c r="I33" s="9"/>
      <c r="J33" s="9"/>
      <c r="K33" s="9"/>
    </row>
    <row r="34" spans="1:11">
      <c r="A34" s="7">
        <v>45870</v>
      </c>
      <c r="B34" s="13" t="s">
        <v>14</v>
      </c>
      <c r="C34" s="3" t="s">
        <v>12</v>
      </c>
      <c r="D34" s="9">
        <v>8220</v>
      </c>
      <c r="E34" s="9">
        <v>373</v>
      </c>
      <c r="F34" s="9"/>
      <c r="G34" s="9">
        <v>211</v>
      </c>
      <c r="H34" s="9"/>
      <c r="I34" s="9">
        <v>246</v>
      </c>
      <c r="J34" s="9"/>
      <c r="K34" s="9">
        <v>-765</v>
      </c>
    </row>
    <row r="35" spans="1:11">
      <c r="A35" s="7">
        <v>45870</v>
      </c>
      <c r="B35" s="13" t="s">
        <v>14</v>
      </c>
      <c r="C35" s="3" t="s">
        <v>13</v>
      </c>
      <c r="D35" s="9">
        <v>7253</v>
      </c>
      <c r="E35" s="9">
        <v>372</v>
      </c>
      <c r="F35" s="9"/>
      <c r="G35" s="9"/>
      <c r="H35" s="9"/>
      <c r="I35" s="9"/>
      <c r="J35" s="9"/>
      <c r="K35" s="9"/>
    </row>
    <row r="36" spans="1:11">
      <c r="A36" s="7">
        <v>45901</v>
      </c>
      <c r="B36" s="13" t="s">
        <v>14</v>
      </c>
      <c r="C36" s="3" t="s">
        <v>12</v>
      </c>
      <c r="D36" s="9">
        <v>8106</v>
      </c>
      <c r="E36" s="9">
        <v>372</v>
      </c>
      <c r="F36" s="9"/>
      <c r="G36" s="9">
        <v>408</v>
      </c>
      <c r="H36" s="9">
        <v>427</v>
      </c>
      <c r="I36" s="9"/>
      <c r="J36" s="9"/>
      <c r="K36" s="9">
        <v>-757</v>
      </c>
    </row>
    <row r="37" spans="1:11">
      <c r="A37" s="7">
        <v>45901</v>
      </c>
      <c r="B37" s="13" t="s">
        <v>14</v>
      </c>
      <c r="C37" s="3" t="s">
        <v>13</v>
      </c>
      <c r="D37" s="9">
        <v>7187</v>
      </c>
      <c r="E37" s="9">
        <v>373</v>
      </c>
      <c r="F37" s="9"/>
      <c r="G37" s="9">
        <v>344</v>
      </c>
      <c r="H37" s="9"/>
      <c r="I37" s="9">
        <v>404</v>
      </c>
      <c r="J37" s="9"/>
      <c r="K37" s="9"/>
    </row>
    <row r="38" spans="1:11">
      <c r="A38" s="7">
        <v>45658</v>
      </c>
      <c r="B38" s="13" t="s">
        <v>15</v>
      </c>
      <c r="C38" s="3" t="s">
        <v>12</v>
      </c>
      <c r="D38" s="9">
        <v>17110</v>
      </c>
      <c r="E38" s="9">
        <v>100</v>
      </c>
      <c r="F38" s="9">
        <v>450</v>
      </c>
      <c r="G38" s="9">
        <v>621</v>
      </c>
      <c r="H38" s="9"/>
      <c r="I38" s="9">
        <v>604</v>
      </c>
      <c r="J38" s="9">
        <v>1000</v>
      </c>
      <c r="K38" s="9"/>
    </row>
    <row r="39" spans="1:11">
      <c r="A39" s="7">
        <v>45658</v>
      </c>
      <c r="B39" s="13" t="s">
        <v>15</v>
      </c>
      <c r="C39" s="3" t="s">
        <v>13</v>
      </c>
      <c r="D39" s="9">
        <v>10665</v>
      </c>
      <c r="E39" s="9">
        <v>100</v>
      </c>
      <c r="F39" s="9">
        <v>450</v>
      </c>
      <c r="G39" s="9"/>
      <c r="H39" s="9"/>
      <c r="I39" s="9"/>
      <c r="J39" s="9"/>
      <c r="K39" s="9">
        <v>-110</v>
      </c>
    </row>
    <row r="40" spans="1:11">
      <c r="A40" s="7">
        <v>45689</v>
      </c>
      <c r="B40" s="13" t="s">
        <v>15</v>
      </c>
      <c r="C40" s="3" t="s">
        <v>12</v>
      </c>
      <c r="D40" s="9">
        <v>13600</v>
      </c>
      <c r="E40" s="9">
        <v>100</v>
      </c>
      <c r="F40" s="9"/>
      <c r="G40" s="9"/>
      <c r="H40" s="9">
        <v>61</v>
      </c>
      <c r="I40" s="9">
        <v>106</v>
      </c>
      <c r="J40" s="9"/>
      <c r="K40" s="9"/>
    </row>
    <row r="41" spans="1:11">
      <c r="A41" s="7">
        <v>45689</v>
      </c>
      <c r="B41" s="13" t="s">
        <v>15</v>
      </c>
      <c r="C41" s="3" t="s">
        <v>13</v>
      </c>
      <c r="D41" s="9">
        <v>8319</v>
      </c>
      <c r="E41" s="9">
        <v>66</v>
      </c>
      <c r="F41" s="9"/>
      <c r="G41" s="9">
        <v>641</v>
      </c>
      <c r="H41" s="9">
        <v>160</v>
      </c>
      <c r="I41" s="9"/>
      <c r="J41" s="9"/>
      <c r="K41" s="9"/>
    </row>
    <row r="42" spans="1:11">
      <c r="A42" s="7">
        <v>45717</v>
      </c>
      <c r="B42" s="13" t="s">
        <v>15</v>
      </c>
      <c r="C42" s="3" t="s">
        <v>12</v>
      </c>
      <c r="D42" s="9">
        <v>13396</v>
      </c>
      <c r="E42" s="9">
        <v>100</v>
      </c>
      <c r="F42" s="9"/>
      <c r="G42" s="9"/>
      <c r="H42" s="9">
        <v>935</v>
      </c>
      <c r="I42" s="9"/>
      <c r="J42" s="9"/>
      <c r="K42" s="9">
        <v>-84</v>
      </c>
    </row>
    <row r="43" spans="1:11">
      <c r="A43" s="7">
        <v>45717</v>
      </c>
      <c r="B43" s="13" t="s">
        <v>15</v>
      </c>
      <c r="C43" s="3" t="s">
        <v>13</v>
      </c>
      <c r="D43" s="9">
        <v>8350</v>
      </c>
      <c r="E43" s="9">
        <v>100</v>
      </c>
      <c r="F43" s="9"/>
      <c r="G43" s="9">
        <v>198</v>
      </c>
      <c r="H43" s="9"/>
      <c r="I43" s="9"/>
      <c r="J43" s="9"/>
      <c r="K43" s="9">
        <v>-185</v>
      </c>
    </row>
    <row r="44" spans="1:11">
      <c r="A44" s="7">
        <v>45748</v>
      </c>
      <c r="B44" s="13" t="s">
        <v>15</v>
      </c>
      <c r="C44" s="3" t="s">
        <v>12</v>
      </c>
      <c r="D44" s="9">
        <v>14048</v>
      </c>
      <c r="E44" s="9">
        <v>100</v>
      </c>
      <c r="F44" s="9">
        <v>450</v>
      </c>
      <c r="G44" s="9"/>
      <c r="H44" s="9">
        <v>1153</v>
      </c>
      <c r="I44" s="9">
        <v>310</v>
      </c>
      <c r="J44" s="9"/>
      <c r="K44" s="9">
        <v>-72.75</v>
      </c>
    </row>
    <row r="45" spans="1:11">
      <c r="A45" s="7">
        <v>45748</v>
      </c>
      <c r="B45" s="13" t="s">
        <v>15</v>
      </c>
      <c r="C45" s="3" t="s">
        <v>13</v>
      </c>
      <c r="D45" s="9">
        <v>8804</v>
      </c>
      <c r="E45" s="9">
        <v>100</v>
      </c>
      <c r="F45" s="9">
        <v>450</v>
      </c>
      <c r="G45" s="9">
        <v>870</v>
      </c>
      <c r="H45" s="9">
        <v>150</v>
      </c>
      <c r="I45" s="9"/>
      <c r="J45" s="9"/>
      <c r="K45" s="9"/>
    </row>
    <row r="46" spans="1:11">
      <c r="A46" s="7">
        <v>45778</v>
      </c>
      <c r="B46" s="13" t="s">
        <v>15</v>
      </c>
      <c r="C46" s="3" t="s">
        <v>12</v>
      </c>
      <c r="D46" s="9">
        <v>14867</v>
      </c>
      <c r="E46" s="9">
        <v>525</v>
      </c>
      <c r="F46" s="9"/>
      <c r="G46" s="9">
        <v>1256</v>
      </c>
      <c r="H46" s="9">
        <v>210</v>
      </c>
      <c r="I46" s="9">
        <v>202</v>
      </c>
      <c r="J46" s="9"/>
      <c r="K46" s="9">
        <v>-1</v>
      </c>
    </row>
    <row r="47" spans="1:11">
      <c r="A47" s="7">
        <v>45778</v>
      </c>
      <c r="B47" s="13" t="s">
        <v>15</v>
      </c>
      <c r="C47" s="3" t="s">
        <v>13</v>
      </c>
      <c r="D47" s="9">
        <v>10309</v>
      </c>
      <c r="E47" s="9">
        <v>525</v>
      </c>
      <c r="F47" s="9"/>
      <c r="G47" s="9">
        <v>760</v>
      </c>
      <c r="H47" s="9">
        <v>60</v>
      </c>
      <c r="I47" s="9"/>
      <c r="J47" s="9"/>
      <c r="K47" s="9"/>
    </row>
    <row r="48" spans="1:11">
      <c r="A48" s="7">
        <v>45809</v>
      </c>
      <c r="B48" s="13" t="s">
        <v>15</v>
      </c>
      <c r="C48" s="3" t="s">
        <v>12</v>
      </c>
      <c r="D48" s="9">
        <v>17501</v>
      </c>
      <c r="E48" s="9">
        <v>450</v>
      </c>
      <c r="F48" s="9"/>
      <c r="G48" s="9">
        <v>965</v>
      </c>
      <c r="H48" s="9"/>
      <c r="I48" s="9">
        <v>1445</v>
      </c>
      <c r="J48" s="9"/>
      <c r="K48" s="9"/>
    </row>
    <row r="49" spans="1:12">
      <c r="A49" s="7">
        <v>45809</v>
      </c>
      <c r="B49" s="13" t="s">
        <v>15</v>
      </c>
      <c r="C49" s="3" t="s">
        <v>13</v>
      </c>
      <c r="D49" s="9">
        <v>12416</v>
      </c>
      <c r="E49" s="9">
        <v>450</v>
      </c>
      <c r="F49" s="9"/>
      <c r="G49" s="9">
        <v>1873</v>
      </c>
      <c r="H49" s="9"/>
      <c r="I49" s="9"/>
      <c r="J49" s="9"/>
      <c r="K49" s="9">
        <v>-808</v>
      </c>
    </row>
    <row r="50" spans="1:12">
      <c r="A50" s="7">
        <v>45839</v>
      </c>
      <c r="B50" s="13" t="s">
        <v>15</v>
      </c>
      <c r="C50" s="3" t="s">
        <v>12</v>
      </c>
      <c r="D50" s="9">
        <v>19293</v>
      </c>
      <c r="E50" s="9">
        <v>363</v>
      </c>
      <c r="F50" s="9">
        <v>840</v>
      </c>
      <c r="G50" s="9">
        <v>3419</v>
      </c>
      <c r="H50" s="9"/>
      <c r="I50" s="9"/>
      <c r="J50" s="9"/>
      <c r="K50" s="9"/>
    </row>
    <row r="51" spans="1:12">
      <c r="A51" s="7">
        <v>45839</v>
      </c>
      <c r="B51" s="13" t="s">
        <v>15</v>
      </c>
      <c r="C51" s="3" t="s">
        <v>13</v>
      </c>
      <c r="D51" s="9">
        <v>13976</v>
      </c>
      <c r="E51" s="9">
        <v>538</v>
      </c>
      <c r="F51" s="9">
        <v>980</v>
      </c>
      <c r="G51" s="9">
        <v>3234</v>
      </c>
      <c r="H51" s="9"/>
      <c r="I51" s="9"/>
      <c r="J51" s="9"/>
      <c r="K51" s="9"/>
    </row>
    <row r="52" spans="1:12">
      <c r="A52" s="7">
        <v>45870</v>
      </c>
      <c r="B52" s="13" t="s">
        <v>15</v>
      </c>
      <c r="C52" s="3" t="s">
        <v>12</v>
      </c>
      <c r="D52" s="9">
        <v>20604</v>
      </c>
      <c r="E52" s="9">
        <v>495</v>
      </c>
      <c r="F52" s="9"/>
      <c r="G52" s="9">
        <v>469</v>
      </c>
      <c r="H52" s="9">
        <v>130</v>
      </c>
      <c r="I52" s="9">
        <v>634</v>
      </c>
      <c r="J52" s="9"/>
      <c r="K52" s="9">
        <v>885</v>
      </c>
    </row>
    <row r="53" spans="1:12">
      <c r="A53" s="7">
        <v>45870</v>
      </c>
      <c r="B53" s="13" t="s">
        <v>15</v>
      </c>
      <c r="C53" s="3" t="s">
        <v>13</v>
      </c>
      <c r="D53" s="9">
        <v>13060</v>
      </c>
      <c r="E53" s="9">
        <v>740</v>
      </c>
      <c r="F53" s="9"/>
      <c r="G53" s="9">
        <v>666</v>
      </c>
      <c r="H53" s="9"/>
      <c r="I53" s="9"/>
      <c r="J53" s="9"/>
      <c r="K53" s="9"/>
    </row>
    <row r="54" spans="1:12">
      <c r="A54" s="7">
        <v>45901</v>
      </c>
      <c r="B54" s="13" t="s">
        <v>15</v>
      </c>
      <c r="C54" s="3" t="s">
        <v>12</v>
      </c>
      <c r="D54" s="9">
        <v>17164</v>
      </c>
      <c r="E54" s="9">
        <v>495</v>
      </c>
      <c r="F54" s="9"/>
      <c r="G54" s="9">
        <v>717</v>
      </c>
      <c r="H54" s="9">
        <v>1114</v>
      </c>
      <c r="I54" s="9">
        <v>1449</v>
      </c>
      <c r="J54" s="9"/>
      <c r="K54" s="9"/>
    </row>
    <row r="55" spans="1:12">
      <c r="A55" s="7">
        <v>45901</v>
      </c>
      <c r="B55" s="13" t="s">
        <v>15</v>
      </c>
      <c r="C55" s="3" t="s">
        <v>13</v>
      </c>
      <c r="D55" s="9">
        <v>12905</v>
      </c>
      <c r="E55" s="9">
        <v>740</v>
      </c>
      <c r="F55" s="9"/>
      <c r="G55" s="9">
        <v>143</v>
      </c>
      <c r="H55" s="9"/>
      <c r="I55" s="9">
        <v>67</v>
      </c>
      <c r="J55" s="9"/>
      <c r="K55" s="9"/>
    </row>
    <row r="56" spans="1:12">
      <c r="A56" s="7">
        <v>45658</v>
      </c>
      <c r="B56" s="13" t="s">
        <v>16</v>
      </c>
      <c r="C56" s="3" t="s">
        <v>12</v>
      </c>
      <c r="D56" s="9">
        <f>24196</f>
        <v>24196</v>
      </c>
      <c r="E56" s="9">
        <v>300</v>
      </c>
      <c r="F56" s="9">
        <v>435</v>
      </c>
      <c r="G56" s="9">
        <v>300</v>
      </c>
      <c r="H56" s="9">
        <v>445</v>
      </c>
      <c r="I56" s="9"/>
      <c r="J56" s="9"/>
      <c r="K56" s="9"/>
      <c r="L56" s="5"/>
    </row>
    <row r="57" spans="1:12">
      <c r="A57" s="7">
        <v>45658</v>
      </c>
      <c r="B57" s="13" t="s">
        <v>16</v>
      </c>
      <c r="C57" s="3" t="s">
        <v>13</v>
      </c>
      <c r="D57" s="9">
        <f>28288</f>
        <v>28288</v>
      </c>
      <c r="E57" s="9">
        <v>450</v>
      </c>
      <c r="F57" s="9">
        <v>450</v>
      </c>
      <c r="G57" s="9">
        <v>111</v>
      </c>
      <c r="H57" s="9">
        <v>95</v>
      </c>
      <c r="I57" s="9">
        <v>682</v>
      </c>
      <c r="J57" s="9"/>
      <c r="K57" s="9"/>
      <c r="L57" s="5"/>
    </row>
    <row r="58" spans="1:12">
      <c r="A58" s="7">
        <v>45689</v>
      </c>
      <c r="B58" s="13" t="s">
        <v>16</v>
      </c>
      <c r="C58" s="3" t="s">
        <v>12</v>
      </c>
      <c r="D58" s="9">
        <f>20981</f>
        <v>20981</v>
      </c>
      <c r="E58" s="9">
        <v>450</v>
      </c>
      <c r="F58" s="9"/>
      <c r="G58" s="9">
        <v>279</v>
      </c>
      <c r="H58" s="9">
        <v>415</v>
      </c>
      <c r="I58" s="9">
        <v>604</v>
      </c>
      <c r="J58" s="9"/>
      <c r="K58" s="9"/>
    </row>
    <row r="59" spans="1:12">
      <c r="A59" s="7">
        <v>45689</v>
      </c>
      <c r="B59" s="13" t="s">
        <v>16</v>
      </c>
      <c r="C59" s="3" t="s">
        <v>13</v>
      </c>
      <c r="D59" s="9">
        <f>23138+2265</f>
        <v>25403</v>
      </c>
      <c r="E59" s="9">
        <v>450</v>
      </c>
      <c r="F59" s="9"/>
      <c r="G59" s="9">
        <v>222</v>
      </c>
      <c r="H59" s="9"/>
      <c r="I59" s="9">
        <v>1496</v>
      </c>
      <c r="J59" s="9"/>
      <c r="K59" s="9"/>
    </row>
    <row r="60" spans="1:12">
      <c r="A60" s="7">
        <v>45717</v>
      </c>
      <c r="B60" s="13" t="s">
        <v>16</v>
      </c>
      <c r="C60" s="3" t="s">
        <v>12</v>
      </c>
      <c r="D60" s="9">
        <f>20881</f>
        <v>20881</v>
      </c>
      <c r="E60" s="9">
        <v>375</v>
      </c>
      <c r="F60" s="9"/>
      <c r="G60" s="9">
        <v>646</v>
      </c>
      <c r="H60" s="9">
        <v>604</v>
      </c>
      <c r="I60" s="9">
        <v>603</v>
      </c>
      <c r="J60" s="9"/>
      <c r="K60" s="9"/>
    </row>
    <row r="61" spans="1:12">
      <c r="A61" s="7">
        <v>45717</v>
      </c>
      <c r="B61" s="13" t="s">
        <v>16</v>
      </c>
      <c r="C61" s="3" t="s">
        <v>13</v>
      </c>
      <c r="D61" s="9">
        <f>22979</f>
        <v>22979</v>
      </c>
      <c r="E61" s="9">
        <v>375</v>
      </c>
      <c r="F61" s="9"/>
      <c r="G61" s="9"/>
      <c r="H61" s="9"/>
      <c r="I61" s="9">
        <v>1580</v>
      </c>
      <c r="J61" s="9"/>
      <c r="K61" s="9"/>
    </row>
    <row r="62" spans="1:12">
      <c r="A62" s="7">
        <v>45748</v>
      </c>
      <c r="B62" s="13" t="s">
        <v>16</v>
      </c>
      <c r="C62" s="3" t="s">
        <v>12</v>
      </c>
      <c r="D62" s="9">
        <v>21090</v>
      </c>
      <c r="E62" s="9"/>
      <c r="F62" s="9">
        <v>427.5</v>
      </c>
      <c r="G62" s="9">
        <v>470</v>
      </c>
      <c r="H62" s="9"/>
      <c r="I62" s="9"/>
      <c r="J62" s="9"/>
      <c r="K62" s="9"/>
    </row>
    <row r="63" spans="1:12">
      <c r="A63" s="7">
        <v>45748</v>
      </c>
      <c r="B63" s="13" t="s">
        <v>16</v>
      </c>
      <c r="C63" s="3" t="s">
        <v>13</v>
      </c>
      <c r="D63" s="9">
        <f>23140</f>
        <v>23140</v>
      </c>
      <c r="E63" s="9">
        <v>150</v>
      </c>
      <c r="F63" s="9">
        <v>420</v>
      </c>
      <c r="G63" s="9">
        <v>129</v>
      </c>
      <c r="H63" s="9"/>
      <c r="I63" s="9">
        <v>1345.14</v>
      </c>
      <c r="J63" s="9"/>
      <c r="K63" s="9"/>
    </row>
    <row r="64" spans="1:12">
      <c r="A64" s="7">
        <v>45778</v>
      </c>
      <c r="B64" s="13" t="s">
        <v>16</v>
      </c>
      <c r="C64" s="3" t="s">
        <v>12</v>
      </c>
      <c r="D64" s="9">
        <f>27809</f>
        <v>27809</v>
      </c>
      <c r="E64" s="9">
        <v>682.5</v>
      </c>
      <c r="F64" s="9"/>
      <c r="G64" s="9">
        <v>2189</v>
      </c>
      <c r="H64" s="9">
        <v>890</v>
      </c>
      <c r="I64" s="9">
        <v>2700</v>
      </c>
      <c r="J64" s="9"/>
      <c r="K64" s="9"/>
    </row>
    <row r="65" spans="1:11">
      <c r="A65" s="7">
        <v>45778</v>
      </c>
      <c r="B65" s="13" t="s">
        <v>16</v>
      </c>
      <c r="C65" s="3" t="s">
        <v>13</v>
      </c>
      <c r="D65" s="9">
        <f>23345</f>
        <v>23345</v>
      </c>
      <c r="E65" s="9">
        <v>682.5</v>
      </c>
      <c r="F65" s="9"/>
      <c r="G65" s="9">
        <v>796</v>
      </c>
      <c r="H65" s="9"/>
      <c r="I65" s="9">
        <v>1298</v>
      </c>
      <c r="J65" s="9"/>
      <c r="K65" s="9"/>
    </row>
    <row r="66" spans="1:11">
      <c r="A66" s="7">
        <v>45809</v>
      </c>
      <c r="B66" s="13" t="s">
        <v>16</v>
      </c>
      <c r="C66" s="3" t="s">
        <v>12</v>
      </c>
      <c r="D66" s="9">
        <f>24671</f>
        <v>24671</v>
      </c>
      <c r="E66" s="9">
        <v>573</v>
      </c>
      <c r="F66" s="9"/>
      <c r="G66" s="9">
        <v>2065</v>
      </c>
      <c r="H66" s="9">
        <v>1395</v>
      </c>
      <c r="I66" s="9">
        <v>852</v>
      </c>
      <c r="J66" s="9"/>
      <c r="K66" s="9"/>
    </row>
    <row r="67" spans="1:11">
      <c r="A67" s="7">
        <v>45809</v>
      </c>
      <c r="B67" s="13" t="s">
        <v>16</v>
      </c>
      <c r="C67" s="3" t="s">
        <v>13</v>
      </c>
      <c r="D67" s="9">
        <f>21738</f>
        <v>21738</v>
      </c>
      <c r="E67" s="9">
        <v>184</v>
      </c>
      <c r="F67" s="9"/>
      <c r="G67" s="9">
        <v>1303</v>
      </c>
      <c r="H67" s="9">
        <v>816</v>
      </c>
      <c r="I67" s="9">
        <v>2360</v>
      </c>
      <c r="J67" s="9"/>
      <c r="K67" s="9"/>
    </row>
    <row r="68" spans="1:11">
      <c r="A68" s="7">
        <v>45839</v>
      </c>
      <c r="B68" s="13" t="s">
        <v>16</v>
      </c>
      <c r="C68" s="3" t="s">
        <v>12</v>
      </c>
      <c r="D68" s="9">
        <f>26566</f>
        <v>26566</v>
      </c>
      <c r="E68" s="9">
        <v>514</v>
      </c>
      <c r="F68" s="9">
        <v>100</v>
      </c>
      <c r="G68" s="9">
        <v>3619</v>
      </c>
      <c r="H68" s="9">
        <v>1318</v>
      </c>
      <c r="I68" s="9">
        <v>2076</v>
      </c>
      <c r="J68" s="9"/>
      <c r="K68" s="9"/>
    </row>
    <row r="69" spans="1:11">
      <c r="A69" s="7">
        <v>45839</v>
      </c>
      <c r="B69" s="13" t="s">
        <v>16</v>
      </c>
      <c r="C69" s="3" t="s">
        <v>13</v>
      </c>
      <c r="D69" s="9">
        <f>24199</f>
        <v>24199</v>
      </c>
      <c r="E69" s="9">
        <v>387.5</v>
      </c>
      <c r="F69" s="9">
        <v>100</v>
      </c>
      <c r="G69" s="9">
        <v>1294</v>
      </c>
      <c r="H69" s="9">
        <v>338</v>
      </c>
      <c r="I69" s="9">
        <v>2114.79</v>
      </c>
      <c r="J69" s="9"/>
      <c r="K69" s="9"/>
    </row>
    <row r="70" spans="1:11">
      <c r="A70" s="7">
        <v>45870</v>
      </c>
      <c r="B70" s="13" t="s">
        <v>16</v>
      </c>
      <c r="C70" s="3" t="s">
        <v>12</v>
      </c>
      <c r="D70" s="9">
        <f>30484</f>
        <v>30484</v>
      </c>
      <c r="E70" s="9">
        <v>540</v>
      </c>
      <c r="F70" s="9"/>
      <c r="G70" s="9">
        <v>3287</v>
      </c>
      <c r="H70" s="9">
        <v>1605</v>
      </c>
      <c r="I70" s="9">
        <v>2065</v>
      </c>
      <c r="J70" s="9"/>
      <c r="K70" s="9"/>
    </row>
    <row r="71" spans="1:11">
      <c r="A71" s="7">
        <v>45870</v>
      </c>
      <c r="B71" s="13" t="s">
        <v>16</v>
      </c>
      <c r="C71" s="3" t="s">
        <v>13</v>
      </c>
      <c r="D71" s="9">
        <f>27783</f>
        <v>27783</v>
      </c>
      <c r="E71" s="9">
        <v>603</v>
      </c>
      <c r="F71" s="9"/>
      <c r="G71" s="9">
        <v>3563</v>
      </c>
      <c r="H71" s="9">
        <v>224</v>
      </c>
      <c r="I71" s="9">
        <v>1919</v>
      </c>
      <c r="J71" s="9"/>
      <c r="K71" s="9"/>
    </row>
    <row r="72" spans="1:11">
      <c r="A72" s="7">
        <v>45901</v>
      </c>
      <c r="B72" s="13" t="s">
        <v>16</v>
      </c>
      <c r="C72" s="3" t="s">
        <v>12</v>
      </c>
      <c r="D72" s="9">
        <v>28517</v>
      </c>
      <c r="E72" s="9">
        <v>540</v>
      </c>
      <c r="F72" s="9"/>
      <c r="G72" s="9">
        <v>768</v>
      </c>
      <c r="H72" s="9">
        <v>360</v>
      </c>
      <c r="I72" s="9">
        <v>67</v>
      </c>
      <c r="J72" s="9"/>
      <c r="K72" s="9"/>
    </row>
    <row r="73" spans="1:11">
      <c r="A73" s="7">
        <v>45901</v>
      </c>
      <c r="B73" s="13" t="s">
        <v>16</v>
      </c>
      <c r="C73" s="3" t="s">
        <v>13</v>
      </c>
      <c r="D73" s="9">
        <v>32947</v>
      </c>
      <c r="E73" s="9">
        <v>603</v>
      </c>
      <c r="F73" s="9"/>
      <c r="G73" s="9">
        <v>1631</v>
      </c>
      <c r="H73" s="9"/>
      <c r="I73" s="9">
        <v>1856</v>
      </c>
      <c r="J73" s="9"/>
      <c r="K73" s="9">
        <v>-94.5</v>
      </c>
    </row>
    <row r="74" spans="1:11">
      <c r="A74" s="7">
        <v>45658</v>
      </c>
      <c r="B74" s="13" t="s">
        <v>17</v>
      </c>
      <c r="C74" s="3" t="s">
        <v>12</v>
      </c>
      <c r="D74" s="9">
        <f>21777</f>
        <v>21777</v>
      </c>
      <c r="E74" s="9">
        <v>450</v>
      </c>
      <c r="F74" s="9">
        <v>675</v>
      </c>
      <c r="G74" s="9">
        <v>889</v>
      </c>
      <c r="H74" s="9">
        <v>3610</v>
      </c>
      <c r="I74" s="9"/>
      <c r="J74" s="9"/>
      <c r="K74" s="9"/>
    </row>
    <row r="75" spans="1:11">
      <c r="A75" s="7">
        <v>45658</v>
      </c>
      <c r="B75" s="13" t="s">
        <v>17</v>
      </c>
      <c r="C75" s="3" t="s">
        <v>13</v>
      </c>
      <c r="D75" s="9">
        <f>25165</f>
        <v>25165</v>
      </c>
      <c r="E75" s="9">
        <v>150</v>
      </c>
      <c r="F75" s="9">
        <v>225</v>
      </c>
      <c r="G75" s="9">
        <v>1113</v>
      </c>
      <c r="H75" s="9">
        <v>1965</v>
      </c>
      <c r="I75" s="9">
        <v>771</v>
      </c>
      <c r="J75" s="9"/>
      <c r="K75" s="9"/>
    </row>
    <row r="76" spans="1:11">
      <c r="A76" s="7">
        <v>45689</v>
      </c>
      <c r="B76" s="13" t="s">
        <v>17</v>
      </c>
      <c r="C76" s="3" t="s">
        <v>12</v>
      </c>
      <c r="D76" s="9">
        <f>20250</f>
        <v>20250</v>
      </c>
      <c r="E76" s="9">
        <v>375</v>
      </c>
      <c r="F76" s="9"/>
      <c r="G76" s="9">
        <v>1089</v>
      </c>
      <c r="H76" s="9">
        <v>4290</v>
      </c>
      <c r="I76" s="9">
        <v>1416</v>
      </c>
      <c r="J76" s="9"/>
      <c r="K76" s="9"/>
    </row>
    <row r="77" spans="1:11">
      <c r="A77" s="7">
        <v>45689</v>
      </c>
      <c r="B77" s="13" t="s">
        <v>17</v>
      </c>
      <c r="C77" s="3" t="s">
        <v>13</v>
      </c>
      <c r="D77" s="9">
        <f>23421</f>
        <v>23421</v>
      </c>
      <c r="E77" s="9">
        <v>525</v>
      </c>
      <c r="F77" s="9"/>
      <c r="G77" s="9">
        <v>2266</v>
      </c>
      <c r="H77" s="9">
        <v>3906</v>
      </c>
      <c r="I77" s="9">
        <v>911</v>
      </c>
      <c r="J77" s="9"/>
      <c r="K77" s="9"/>
    </row>
    <row r="78" spans="1:11">
      <c r="A78" s="7">
        <v>45717</v>
      </c>
      <c r="B78" s="13" t="s">
        <v>17</v>
      </c>
      <c r="C78" s="3" t="s">
        <v>12</v>
      </c>
      <c r="D78" s="9">
        <f>20716</f>
        <v>20716</v>
      </c>
      <c r="E78" s="9">
        <v>450</v>
      </c>
      <c r="F78" s="9"/>
      <c r="G78" s="9">
        <v>1114</v>
      </c>
      <c r="H78" s="9">
        <v>4625</v>
      </c>
      <c r="I78" s="9"/>
      <c r="J78" s="9"/>
      <c r="K78" s="9">
        <v>-114</v>
      </c>
    </row>
    <row r="79" spans="1:11">
      <c r="A79" s="7">
        <v>45717</v>
      </c>
      <c r="B79" s="13" t="s">
        <v>17</v>
      </c>
      <c r="C79" s="3" t="s">
        <v>13</v>
      </c>
      <c r="D79" s="9">
        <f>27712</f>
        <v>27712</v>
      </c>
      <c r="E79" s="9">
        <v>450</v>
      </c>
      <c r="F79" s="9"/>
      <c r="G79" s="9">
        <v>1865</v>
      </c>
      <c r="H79" s="9">
        <v>3285</v>
      </c>
      <c r="I79" s="9">
        <v>771</v>
      </c>
      <c r="J79" s="9"/>
      <c r="K79" s="9"/>
    </row>
    <row r="80" spans="1:11">
      <c r="A80" s="7">
        <v>45748</v>
      </c>
      <c r="B80" s="13" t="s">
        <v>17</v>
      </c>
      <c r="C80" s="3" t="s">
        <v>12</v>
      </c>
      <c r="D80" s="9">
        <f>21141</f>
        <v>21141</v>
      </c>
      <c r="E80" s="9">
        <v>450</v>
      </c>
      <c r="F80" s="9">
        <v>615</v>
      </c>
      <c r="G80" s="9">
        <v>1520.52</v>
      </c>
      <c r="H80" s="9"/>
      <c r="I80" s="9">
        <v>57</v>
      </c>
      <c r="J80" s="9"/>
      <c r="K80" s="9"/>
    </row>
    <row r="81" spans="1:11">
      <c r="A81" s="7">
        <v>45748</v>
      </c>
      <c r="B81" s="13" t="s">
        <v>17</v>
      </c>
      <c r="C81" s="3" t="s">
        <v>13</v>
      </c>
      <c r="D81" s="9">
        <f>29245</f>
        <v>29245</v>
      </c>
      <c r="E81" s="9">
        <v>405</v>
      </c>
      <c r="F81" s="9">
        <v>645</v>
      </c>
      <c r="G81" s="9">
        <v>818</v>
      </c>
      <c r="H81" s="9"/>
      <c r="I81" s="9">
        <v>817</v>
      </c>
      <c r="J81" s="9"/>
      <c r="K81" s="9"/>
    </row>
    <row r="82" spans="1:11">
      <c r="A82" s="7">
        <v>45778</v>
      </c>
      <c r="B82" s="13" t="s">
        <v>17</v>
      </c>
      <c r="C82" s="3" t="s">
        <v>12</v>
      </c>
      <c r="D82" s="9">
        <f>20142</f>
        <v>20142</v>
      </c>
      <c r="E82" s="9">
        <v>940</v>
      </c>
      <c r="F82" s="9"/>
      <c r="G82" s="9">
        <f>2520+1069</f>
        <v>3589</v>
      </c>
      <c r="H82" s="9">
        <v>3618</v>
      </c>
      <c r="I82" s="9">
        <v>1259</v>
      </c>
      <c r="J82" s="9"/>
      <c r="K82" s="9"/>
    </row>
    <row r="83" spans="1:11">
      <c r="A83" s="7">
        <v>45778</v>
      </c>
      <c r="B83" s="13" t="s">
        <v>17</v>
      </c>
      <c r="C83" s="3" t="s">
        <v>13</v>
      </c>
      <c r="D83" s="9">
        <f>29686</f>
        <v>29686</v>
      </c>
      <c r="E83" s="9">
        <v>679.5</v>
      </c>
      <c r="F83" s="9"/>
      <c r="G83" s="9">
        <v>2690</v>
      </c>
      <c r="H83" s="9">
        <v>214</v>
      </c>
      <c r="I83" s="9">
        <v>629</v>
      </c>
      <c r="J83" s="9"/>
      <c r="K83" s="9"/>
    </row>
    <row r="84" spans="1:11">
      <c r="A84" s="7">
        <v>45809</v>
      </c>
      <c r="B84" s="13" t="s">
        <v>17</v>
      </c>
      <c r="C84" s="3" t="s">
        <v>12</v>
      </c>
      <c r="D84" s="9">
        <f>17911</f>
        <v>17911</v>
      </c>
      <c r="E84" s="9">
        <v>672</v>
      </c>
      <c r="F84" s="9"/>
      <c r="G84" s="9">
        <v>2105</v>
      </c>
      <c r="H84" s="9">
        <v>2500</v>
      </c>
      <c r="I84" s="9">
        <v>643.89</v>
      </c>
      <c r="J84" s="9"/>
      <c r="K84" s="9"/>
    </row>
    <row r="85" spans="1:11">
      <c r="A85" s="7">
        <v>45809</v>
      </c>
      <c r="B85" s="13" t="s">
        <v>17</v>
      </c>
      <c r="C85" s="3" t="s">
        <v>13</v>
      </c>
      <c r="D85" s="9">
        <f>29027</f>
        <v>29027</v>
      </c>
      <c r="E85" s="9">
        <v>549</v>
      </c>
      <c r="F85" s="9"/>
      <c r="G85" s="9">
        <v>2448</v>
      </c>
      <c r="H85" s="9">
        <v>934</v>
      </c>
      <c r="I85" s="9">
        <v>2183.38</v>
      </c>
      <c r="J85" s="9"/>
      <c r="K85" s="9">
        <v>-120</v>
      </c>
    </row>
    <row r="86" spans="1:11">
      <c r="A86" s="7">
        <v>45839</v>
      </c>
      <c r="B86" s="13" t="s">
        <v>17</v>
      </c>
      <c r="C86" s="3" t="s">
        <v>12</v>
      </c>
      <c r="D86" s="9">
        <f>21092</f>
        <v>21092</v>
      </c>
      <c r="E86" s="9">
        <v>785</v>
      </c>
      <c r="F86" s="9"/>
      <c r="G86" s="9">
        <v>801.8</v>
      </c>
      <c r="H86" s="9">
        <v>1420</v>
      </c>
      <c r="I86" s="9">
        <v>265.89999999999998</v>
      </c>
      <c r="J86" s="9"/>
      <c r="K86" s="9"/>
    </row>
    <row r="87" spans="1:11">
      <c r="A87" s="7">
        <v>45839</v>
      </c>
      <c r="B87" s="13" t="s">
        <v>17</v>
      </c>
      <c r="C87" s="3" t="s">
        <v>13</v>
      </c>
      <c r="D87" s="9">
        <f>33098</f>
        <v>33098</v>
      </c>
      <c r="E87" s="9">
        <v>559</v>
      </c>
      <c r="F87" s="9"/>
      <c r="G87" s="9">
        <v>368.7</v>
      </c>
      <c r="H87" s="9">
        <v>392</v>
      </c>
      <c r="I87" s="9">
        <v>1702.67</v>
      </c>
      <c r="J87" s="9"/>
      <c r="K87" s="9"/>
    </row>
    <row r="88" spans="1:11">
      <c r="A88" s="7">
        <v>45870</v>
      </c>
      <c r="B88" s="13" t="s">
        <v>17</v>
      </c>
      <c r="C88" s="3" t="s">
        <v>12</v>
      </c>
      <c r="D88" s="9">
        <f>21157</f>
        <v>21157</v>
      </c>
      <c r="E88" s="9">
        <v>1337</v>
      </c>
      <c r="F88" s="9"/>
      <c r="G88" s="9">
        <v>196.61</v>
      </c>
      <c r="H88" s="9">
        <v>140</v>
      </c>
      <c r="I88" s="9"/>
      <c r="J88" s="9"/>
      <c r="K88" s="9">
        <v>-120</v>
      </c>
    </row>
    <row r="89" spans="1:11">
      <c r="A89" s="7">
        <v>45870</v>
      </c>
      <c r="B89" s="13" t="s">
        <v>17</v>
      </c>
      <c r="C89" s="3" t="s">
        <v>13</v>
      </c>
      <c r="D89" s="9">
        <f>29780</f>
        <v>29780</v>
      </c>
      <c r="E89" s="9">
        <v>781.5</v>
      </c>
      <c r="F89" s="9"/>
      <c r="G89" s="9">
        <v>515.09</v>
      </c>
      <c r="H89" s="9">
        <v>221</v>
      </c>
      <c r="I89" s="9">
        <v>600</v>
      </c>
      <c r="J89" s="9"/>
      <c r="K89" s="9"/>
    </row>
    <row r="90" spans="1:11">
      <c r="A90" s="7">
        <v>45901</v>
      </c>
      <c r="B90" s="13" t="s">
        <v>17</v>
      </c>
      <c r="C90" s="3" t="s">
        <v>12</v>
      </c>
      <c r="D90" s="9">
        <v>21528</v>
      </c>
      <c r="E90" s="9">
        <v>1337.5</v>
      </c>
      <c r="F90" s="9"/>
      <c r="G90" s="9">
        <v>1195</v>
      </c>
      <c r="H90" s="9">
        <v>1705</v>
      </c>
      <c r="I90" s="9">
        <v>1236</v>
      </c>
      <c r="J90" s="9"/>
      <c r="K90" s="9"/>
    </row>
    <row r="91" spans="1:11">
      <c r="A91" s="7">
        <v>45901</v>
      </c>
      <c r="B91" s="13" t="s">
        <v>17</v>
      </c>
      <c r="C91" s="3" t="s">
        <v>13</v>
      </c>
      <c r="D91" s="9">
        <v>30225</v>
      </c>
      <c r="E91" s="9">
        <v>781.5</v>
      </c>
      <c r="F91" s="9"/>
      <c r="G91" s="9">
        <v>868</v>
      </c>
      <c r="H91" s="9"/>
      <c r="I91" s="9">
        <v>600</v>
      </c>
      <c r="J91" s="9"/>
      <c r="K91" s="9"/>
    </row>
    <row r="92" spans="1:11">
      <c r="A92" s="7">
        <v>45658</v>
      </c>
      <c r="B92" s="13" t="s">
        <v>18</v>
      </c>
      <c r="C92" s="3" t="s">
        <v>12</v>
      </c>
      <c r="D92" s="9">
        <f>12643</f>
        <v>12643</v>
      </c>
      <c r="E92" s="9"/>
      <c r="F92" s="9">
        <v>203</v>
      </c>
      <c r="G92" s="9">
        <v>1268</v>
      </c>
      <c r="H92" s="9">
        <v>460</v>
      </c>
      <c r="I92" s="9"/>
      <c r="J92" s="9"/>
      <c r="K92" s="9">
        <v>-485.4</v>
      </c>
    </row>
    <row r="93" spans="1:11">
      <c r="A93" s="7">
        <v>45658</v>
      </c>
      <c r="B93" s="13" t="s">
        <v>18</v>
      </c>
      <c r="C93" s="3" t="s">
        <v>13</v>
      </c>
      <c r="D93" s="9">
        <f>17608</f>
        <v>17608</v>
      </c>
      <c r="E93" s="9">
        <v>100</v>
      </c>
      <c r="F93" s="9">
        <v>150</v>
      </c>
      <c r="G93" s="9">
        <v>208</v>
      </c>
      <c r="H93" s="9">
        <v>1680</v>
      </c>
      <c r="I93" s="9">
        <v>717</v>
      </c>
      <c r="J93" s="9"/>
      <c r="K93" s="9"/>
    </row>
    <row r="94" spans="1:11">
      <c r="A94" s="7">
        <v>45689</v>
      </c>
      <c r="B94" s="13" t="s">
        <v>18</v>
      </c>
      <c r="C94" s="3" t="s">
        <v>12</v>
      </c>
      <c r="D94" s="9">
        <f>14525</f>
        <v>14525</v>
      </c>
      <c r="E94" s="9">
        <v>450</v>
      </c>
      <c r="F94" s="9"/>
      <c r="G94" s="9">
        <v>1111</v>
      </c>
      <c r="H94" s="9">
        <v>1125</v>
      </c>
      <c r="I94" s="9"/>
      <c r="J94" s="9"/>
      <c r="K94" s="9"/>
    </row>
    <row r="95" spans="1:11">
      <c r="A95" s="7">
        <v>45689</v>
      </c>
      <c r="B95" s="13" t="s">
        <v>18</v>
      </c>
      <c r="C95" s="3" t="s">
        <v>13</v>
      </c>
      <c r="D95" s="9">
        <f>11578+2286</f>
        <v>13864</v>
      </c>
      <c r="E95" s="9">
        <v>450</v>
      </c>
      <c r="F95" s="9"/>
      <c r="G95" s="9">
        <v>1536</v>
      </c>
      <c r="H95" s="9">
        <v>1958</v>
      </c>
      <c r="I95" s="9">
        <v>782</v>
      </c>
      <c r="J95" s="9"/>
      <c r="K95" s="9"/>
    </row>
    <row r="96" spans="1:11">
      <c r="A96" s="7">
        <v>45717</v>
      </c>
      <c r="B96" s="13" t="s">
        <v>18</v>
      </c>
      <c r="C96" s="3" t="s">
        <v>12</v>
      </c>
      <c r="D96" s="9">
        <v>10337</v>
      </c>
      <c r="E96" s="9"/>
      <c r="F96" s="9"/>
      <c r="G96" s="9">
        <v>1369</v>
      </c>
      <c r="H96" s="9">
        <v>1257</v>
      </c>
      <c r="I96" s="9">
        <v>663</v>
      </c>
      <c r="J96" s="9"/>
      <c r="K96" s="9"/>
    </row>
    <row r="97" spans="1:11">
      <c r="A97" s="7">
        <v>45717</v>
      </c>
      <c r="B97" s="13" t="s">
        <v>18</v>
      </c>
      <c r="C97" s="3" t="s">
        <v>13</v>
      </c>
      <c r="D97" s="9">
        <f>16654</f>
        <v>16654</v>
      </c>
      <c r="E97" s="9">
        <v>105</v>
      </c>
      <c r="F97" s="9"/>
      <c r="G97" s="9">
        <v>1342</v>
      </c>
      <c r="H97" s="9">
        <v>1866</v>
      </c>
      <c r="I97" s="9">
        <v>67</v>
      </c>
      <c r="J97" s="9"/>
      <c r="K97" s="9">
        <v>-21.9</v>
      </c>
    </row>
    <row r="98" spans="1:11">
      <c r="A98" s="7">
        <v>45748</v>
      </c>
      <c r="B98" s="13" t="s">
        <v>18</v>
      </c>
      <c r="C98" s="3" t="s">
        <v>12</v>
      </c>
      <c r="D98" s="9">
        <f>12135</f>
        <v>12135</v>
      </c>
      <c r="E98" s="9">
        <v>300</v>
      </c>
      <c r="F98" s="9">
        <v>260</v>
      </c>
      <c r="G98" s="9">
        <v>1870</v>
      </c>
      <c r="H98" s="9"/>
      <c r="I98" s="9">
        <v>122</v>
      </c>
      <c r="J98" s="9"/>
      <c r="K98" s="9"/>
    </row>
    <row r="99" spans="1:11">
      <c r="A99" s="7">
        <v>45748</v>
      </c>
      <c r="B99" s="13" t="s">
        <v>18</v>
      </c>
      <c r="C99" s="3" t="s">
        <v>13</v>
      </c>
      <c r="D99" s="9">
        <f>14286</f>
        <v>14286</v>
      </c>
      <c r="E99" s="9">
        <v>420</v>
      </c>
      <c r="F99" s="9">
        <v>420</v>
      </c>
      <c r="G99" s="9">
        <v>1732</v>
      </c>
      <c r="H99" s="9"/>
      <c r="I99" s="9">
        <v>660</v>
      </c>
      <c r="J99" s="9"/>
      <c r="K99" s="9"/>
    </row>
    <row r="100" spans="1:11">
      <c r="A100" s="7">
        <v>45778</v>
      </c>
      <c r="B100" s="13" t="s">
        <v>18</v>
      </c>
      <c r="C100" s="3" t="s">
        <v>12</v>
      </c>
      <c r="D100" s="9">
        <f>13003</f>
        <v>13003</v>
      </c>
      <c r="E100" s="9">
        <v>470</v>
      </c>
      <c r="F100" s="9"/>
      <c r="G100" s="9">
        <v>897</v>
      </c>
      <c r="H100" s="9">
        <v>693</v>
      </c>
      <c r="I100" s="9">
        <v>77</v>
      </c>
      <c r="J100" s="9"/>
      <c r="K100" s="9"/>
    </row>
    <row r="101" spans="1:11">
      <c r="A101" s="7">
        <v>45778</v>
      </c>
      <c r="B101" s="13" t="s">
        <v>18</v>
      </c>
      <c r="C101" s="3" t="s">
        <v>13</v>
      </c>
      <c r="D101" s="9">
        <f>16598</f>
        <v>16598</v>
      </c>
      <c r="E101" s="9">
        <v>712</v>
      </c>
      <c r="F101" s="9"/>
      <c r="G101" s="9">
        <v>940</v>
      </c>
      <c r="H101" s="9">
        <v>512</v>
      </c>
      <c r="I101" s="9">
        <v>628</v>
      </c>
      <c r="J101" s="9"/>
      <c r="K101" s="9">
        <v>127</v>
      </c>
    </row>
    <row r="102" spans="1:11">
      <c r="A102" s="7">
        <v>45809</v>
      </c>
      <c r="B102" s="13" t="s">
        <v>18</v>
      </c>
      <c r="C102" s="3" t="s">
        <v>12</v>
      </c>
      <c r="D102" s="9">
        <f>11704</f>
        <v>11704</v>
      </c>
      <c r="E102" s="9">
        <v>581</v>
      </c>
      <c r="F102" s="9"/>
      <c r="G102" s="9">
        <v>5157</v>
      </c>
      <c r="H102" s="9">
        <v>490</v>
      </c>
      <c r="I102" s="9"/>
      <c r="J102" s="9"/>
      <c r="K102" s="9">
        <v>144</v>
      </c>
    </row>
    <row r="103" spans="1:11">
      <c r="A103" s="7">
        <v>45809</v>
      </c>
      <c r="B103" s="13" t="s">
        <v>18</v>
      </c>
      <c r="C103" s="3" t="s">
        <v>13</v>
      </c>
      <c r="D103" s="9">
        <f>16173</f>
        <v>16173</v>
      </c>
      <c r="E103" s="9">
        <v>618</v>
      </c>
      <c r="F103" s="9"/>
      <c r="G103" s="9">
        <v>1972</v>
      </c>
      <c r="H103" s="9"/>
      <c r="I103" s="9">
        <v>660</v>
      </c>
      <c r="J103" s="9"/>
      <c r="K103" s="9"/>
    </row>
    <row r="104" spans="1:11">
      <c r="A104" s="7">
        <v>45839</v>
      </c>
      <c r="B104" s="13" t="s">
        <v>18</v>
      </c>
      <c r="C104" s="3" t="s">
        <v>12</v>
      </c>
      <c r="D104" s="9">
        <f>12569</f>
        <v>12569</v>
      </c>
      <c r="E104" s="9">
        <v>428.75</v>
      </c>
      <c r="F104" s="9"/>
      <c r="G104" s="9">
        <v>1449</v>
      </c>
      <c r="H104" s="9">
        <v>395</v>
      </c>
      <c r="I104" s="9"/>
      <c r="J104" s="9"/>
      <c r="K104" s="9"/>
    </row>
    <row r="105" spans="1:11">
      <c r="A105" s="7">
        <v>45839</v>
      </c>
      <c r="B105" s="13" t="s">
        <v>18</v>
      </c>
      <c r="C105" s="3" t="s">
        <v>13</v>
      </c>
      <c r="D105" s="9">
        <f>16694</f>
        <v>16694</v>
      </c>
      <c r="E105" s="9">
        <v>630</v>
      </c>
      <c r="F105" s="9"/>
      <c r="G105" s="9">
        <v>1647</v>
      </c>
      <c r="H105" s="9">
        <v>1935</v>
      </c>
      <c r="I105" s="9"/>
      <c r="J105" s="9"/>
      <c r="K105" s="9"/>
    </row>
    <row r="106" spans="1:11">
      <c r="A106" s="7">
        <v>45870</v>
      </c>
      <c r="B106" s="13" t="s">
        <v>18</v>
      </c>
      <c r="C106" s="3" t="s">
        <v>12</v>
      </c>
      <c r="D106" s="9">
        <f>12353</f>
        <v>12353</v>
      </c>
      <c r="E106" s="9">
        <v>510</v>
      </c>
      <c r="F106" s="9"/>
      <c r="G106" s="9">
        <v>2942</v>
      </c>
      <c r="H106" s="9">
        <v>50</v>
      </c>
      <c r="I106" s="9"/>
      <c r="J106" s="9"/>
      <c r="K106" s="9">
        <f>-777-717</f>
        <v>-1494</v>
      </c>
    </row>
    <row r="107" spans="1:11">
      <c r="A107" s="7">
        <v>45870</v>
      </c>
      <c r="B107" s="13" t="s">
        <v>18</v>
      </c>
      <c r="C107" s="3" t="s">
        <v>13</v>
      </c>
      <c r="D107" s="9">
        <f>16053</f>
        <v>16053</v>
      </c>
      <c r="E107" s="9">
        <v>762</v>
      </c>
      <c r="F107" s="9"/>
      <c r="G107" s="9">
        <v>2435</v>
      </c>
      <c r="H107" s="9">
        <v>2271</v>
      </c>
      <c r="I107" s="9">
        <v>628</v>
      </c>
      <c r="J107" s="9"/>
      <c r="K107" s="9">
        <v>-159</v>
      </c>
    </row>
    <row r="108" spans="1:11">
      <c r="A108" s="7">
        <v>45901</v>
      </c>
      <c r="B108" s="13" t="s">
        <v>18</v>
      </c>
      <c r="C108" s="3" t="s">
        <v>12</v>
      </c>
      <c r="D108" s="9">
        <v>12101</v>
      </c>
      <c r="E108" s="9">
        <v>510</v>
      </c>
      <c r="F108" s="9"/>
      <c r="G108" s="9">
        <v>995</v>
      </c>
      <c r="H108" s="9">
        <v>200</v>
      </c>
      <c r="I108" s="9"/>
      <c r="J108" s="9"/>
      <c r="K108" s="9">
        <f>-199.2</f>
        <v>-199.2</v>
      </c>
    </row>
    <row r="109" spans="1:11">
      <c r="A109" s="7">
        <v>45901</v>
      </c>
      <c r="B109" s="13" t="s">
        <v>18</v>
      </c>
      <c r="C109" s="3" t="s">
        <v>13</v>
      </c>
      <c r="D109" s="9">
        <v>15973</v>
      </c>
      <c r="E109" s="9">
        <v>762</v>
      </c>
      <c r="F109" s="9"/>
      <c r="G109" s="9">
        <v>903</v>
      </c>
      <c r="H109" s="9">
        <v>1619</v>
      </c>
      <c r="I109" s="9">
        <v>659</v>
      </c>
      <c r="J109" s="9"/>
      <c r="K109" s="9"/>
    </row>
    <row r="110" spans="1:11">
      <c r="A110" s="7">
        <v>45658</v>
      </c>
      <c r="B110" s="13" t="s">
        <v>19</v>
      </c>
      <c r="C110" s="3" t="s">
        <v>12</v>
      </c>
      <c r="D110" s="9">
        <f>8898.81</f>
        <v>8898.81</v>
      </c>
      <c r="E110" s="9">
        <v>300</v>
      </c>
      <c r="F110" s="9">
        <v>285</v>
      </c>
      <c r="G110" s="9"/>
      <c r="H110" s="9">
        <v>87.5</v>
      </c>
      <c r="I110" s="9"/>
      <c r="J110" s="9"/>
      <c r="K110" s="9">
        <v>485</v>
      </c>
    </row>
    <row r="111" spans="1:11">
      <c r="A111" s="7">
        <v>45658</v>
      </c>
      <c r="B111" s="13" t="s">
        <v>19</v>
      </c>
      <c r="C111" s="3" t="s">
        <v>13</v>
      </c>
      <c r="D111" s="9">
        <f>9292</f>
        <v>9292</v>
      </c>
      <c r="E111" s="9">
        <v>270</v>
      </c>
      <c r="F111" s="9">
        <v>300</v>
      </c>
      <c r="G111" s="9">
        <v>429</v>
      </c>
      <c r="H111" s="9">
        <v>411.48</v>
      </c>
      <c r="I111" s="9">
        <v>885</v>
      </c>
      <c r="J111" s="9"/>
      <c r="K111" s="9">
        <v>-247</v>
      </c>
    </row>
    <row r="112" spans="1:11">
      <c r="A112" s="7">
        <v>45689</v>
      </c>
      <c r="B112" s="13" t="s">
        <v>19</v>
      </c>
      <c r="C112" s="3" t="s">
        <v>12</v>
      </c>
      <c r="D112" s="9">
        <f>4136.86</f>
        <v>4136.8599999999997</v>
      </c>
      <c r="E112" s="9">
        <v>233</v>
      </c>
      <c r="F112" s="9"/>
      <c r="G112" s="9">
        <v>317</v>
      </c>
      <c r="H112" s="9">
        <v>90</v>
      </c>
      <c r="I112" s="9">
        <v>1100</v>
      </c>
      <c r="J112" s="9"/>
      <c r="K112" s="9">
        <v>-90</v>
      </c>
    </row>
    <row r="113" spans="1:11">
      <c r="A113" s="7">
        <v>45689</v>
      </c>
      <c r="B113" s="13" t="s">
        <v>19</v>
      </c>
      <c r="C113" s="3" t="s">
        <v>13</v>
      </c>
      <c r="D113" s="9">
        <f>12299</f>
        <v>12299</v>
      </c>
      <c r="E113" s="9">
        <v>280</v>
      </c>
      <c r="F113" s="9"/>
      <c r="G113" s="9"/>
      <c r="H113" s="9">
        <v>854</v>
      </c>
      <c r="I113" s="9"/>
      <c r="J113" s="9"/>
      <c r="K113" s="9"/>
    </row>
    <row r="114" spans="1:11">
      <c r="A114" s="7">
        <v>45717</v>
      </c>
      <c r="B114" s="13" t="s">
        <v>19</v>
      </c>
      <c r="C114" s="3" t="s">
        <v>12</v>
      </c>
      <c r="D114" s="9">
        <v>5915.09</v>
      </c>
      <c r="E114" s="9"/>
      <c r="F114" s="9"/>
      <c r="G114" s="9">
        <v>341</v>
      </c>
      <c r="H114" s="9">
        <v>135</v>
      </c>
      <c r="I114" s="9">
        <v>133</v>
      </c>
      <c r="J114" s="9"/>
      <c r="K114" s="9"/>
    </row>
    <row r="115" spans="1:11">
      <c r="A115" s="7">
        <v>45717</v>
      </c>
      <c r="B115" s="13" t="s">
        <v>19</v>
      </c>
      <c r="C115" s="3" t="s">
        <v>13</v>
      </c>
      <c r="D115" s="9">
        <f>11368.58</f>
        <v>11368.58</v>
      </c>
      <c r="E115" s="9">
        <v>40</v>
      </c>
      <c r="F115" s="9"/>
      <c r="G115" s="9">
        <v>161</v>
      </c>
      <c r="H115" s="9">
        <v>534</v>
      </c>
      <c r="I115" s="9">
        <v>102</v>
      </c>
      <c r="J115" s="9"/>
      <c r="K115" s="9"/>
    </row>
    <row r="116" spans="1:11">
      <c r="A116" s="7">
        <v>45748</v>
      </c>
      <c r="B116" s="13" t="s">
        <v>19</v>
      </c>
      <c r="C116" s="3" t="s">
        <v>12</v>
      </c>
      <c r="D116" s="9">
        <v>5431</v>
      </c>
      <c r="E116" s="9"/>
      <c r="F116" s="9"/>
      <c r="G116" s="9"/>
      <c r="H116" s="9"/>
      <c r="I116" s="9"/>
      <c r="J116" s="9"/>
      <c r="K116" s="9"/>
    </row>
    <row r="117" spans="1:11">
      <c r="A117" s="7">
        <v>45748</v>
      </c>
      <c r="B117" s="13" t="s">
        <v>19</v>
      </c>
      <c r="C117" s="3" t="s">
        <v>13</v>
      </c>
      <c r="D117" s="9">
        <f>9053</f>
        <v>9053</v>
      </c>
      <c r="E117" s="9">
        <v>150</v>
      </c>
      <c r="F117" s="9">
        <v>510</v>
      </c>
      <c r="G117" s="9">
        <v>44</v>
      </c>
      <c r="H117" s="9"/>
      <c r="I117" s="9"/>
      <c r="J117" s="9"/>
      <c r="K117" s="9"/>
    </row>
    <row r="118" spans="1:11">
      <c r="A118" s="7">
        <v>45778</v>
      </c>
      <c r="B118" s="13" t="s">
        <v>19</v>
      </c>
      <c r="C118" s="3" t="s">
        <v>12</v>
      </c>
      <c r="D118" s="9">
        <f>5904</f>
        <v>5904</v>
      </c>
      <c r="E118" s="9">
        <v>460</v>
      </c>
      <c r="F118" s="9"/>
      <c r="G118" s="9">
        <v>535</v>
      </c>
      <c r="H118" s="9"/>
      <c r="I118" s="9"/>
      <c r="J118" s="9"/>
      <c r="K118" s="9"/>
    </row>
    <row r="119" spans="1:11">
      <c r="A119" s="7">
        <v>45778</v>
      </c>
      <c r="B119" s="13" t="s">
        <v>19</v>
      </c>
      <c r="C119" s="3" t="s">
        <v>13</v>
      </c>
      <c r="D119" s="9">
        <f>9777</f>
        <v>9777</v>
      </c>
      <c r="E119" s="9">
        <v>765</v>
      </c>
      <c r="F119" s="9"/>
      <c r="G119" s="9">
        <v>109</v>
      </c>
      <c r="H119" s="9">
        <v>112</v>
      </c>
      <c r="I119" s="9"/>
      <c r="J119" s="9"/>
      <c r="K119" s="9">
        <v>-112</v>
      </c>
    </row>
    <row r="120" spans="1:11">
      <c r="A120" s="7">
        <v>45809</v>
      </c>
      <c r="B120" s="13" t="s">
        <v>19</v>
      </c>
      <c r="C120" s="3" t="s">
        <v>12</v>
      </c>
      <c r="D120" s="9">
        <f>5610</f>
        <v>5610</v>
      </c>
      <c r="E120" s="9">
        <v>452.5</v>
      </c>
      <c r="F120" s="9"/>
      <c r="G120" s="9">
        <v>348</v>
      </c>
      <c r="H120" s="9"/>
      <c r="I120" s="9"/>
      <c r="J120" s="9"/>
      <c r="K120" s="9">
        <v>-144</v>
      </c>
    </row>
    <row r="121" spans="1:11">
      <c r="A121" s="7">
        <v>45809</v>
      </c>
      <c r="B121" s="13" t="s">
        <v>19</v>
      </c>
      <c r="C121" s="3" t="s">
        <v>13</v>
      </c>
      <c r="D121" s="9">
        <f>9558</f>
        <v>9558</v>
      </c>
      <c r="E121" s="9">
        <v>753.75</v>
      </c>
      <c r="F121" s="9"/>
      <c r="G121" s="9">
        <v>95</v>
      </c>
      <c r="H121" s="9">
        <v>154</v>
      </c>
      <c r="I121" s="9"/>
      <c r="J121" s="9"/>
      <c r="K121" s="9"/>
    </row>
    <row r="122" spans="1:11">
      <c r="A122" s="7">
        <v>45839</v>
      </c>
      <c r="B122" s="13" t="s">
        <v>19</v>
      </c>
      <c r="C122" s="3" t="s">
        <v>12</v>
      </c>
      <c r="D122" s="9">
        <f>6249</f>
        <v>6249</v>
      </c>
      <c r="E122" s="9">
        <v>380</v>
      </c>
      <c r="F122" s="9">
        <v>220</v>
      </c>
      <c r="G122" s="9">
        <v>337</v>
      </c>
      <c r="H122" s="9"/>
      <c r="I122" s="9"/>
      <c r="J122" s="9"/>
      <c r="K122" s="9"/>
    </row>
    <row r="123" spans="1:11">
      <c r="A123" s="7">
        <v>45839</v>
      </c>
      <c r="B123" s="13" t="s">
        <v>19</v>
      </c>
      <c r="C123" s="3" t="s">
        <v>13</v>
      </c>
      <c r="D123" s="9">
        <f>9722</f>
        <v>9722</v>
      </c>
      <c r="E123" s="9">
        <v>577.5</v>
      </c>
      <c r="F123" s="9">
        <v>300</v>
      </c>
      <c r="G123" s="9">
        <v>434.85</v>
      </c>
      <c r="H123" s="9">
        <v>349</v>
      </c>
      <c r="I123" s="9"/>
      <c r="J123" s="9"/>
      <c r="K123" s="9"/>
    </row>
    <row r="124" spans="1:11">
      <c r="A124" s="7">
        <v>45870</v>
      </c>
      <c r="B124" s="13" t="s">
        <v>19</v>
      </c>
      <c r="C124" s="3" t="s">
        <v>12</v>
      </c>
      <c r="D124" s="9">
        <v>5673</v>
      </c>
      <c r="E124" s="9"/>
      <c r="F124" s="9"/>
      <c r="G124" s="9"/>
      <c r="H124" s="9"/>
      <c r="I124" s="9"/>
      <c r="J124" s="9"/>
      <c r="K124" s="9"/>
    </row>
    <row r="125" spans="1:11">
      <c r="A125" s="7">
        <v>45870</v>
      </c>
      <c r="B125" s="13" t="s">
        <v>19</v>
      </c>
      <c r="C125" s="3" t="s">
        <v>13</v>
      </c>
      <c r="D125" s="9">
        <v>9225.7900000000009</v>
      </c>
      <c r="E125" s="9"/>
      <c r="F125" s="9"/>
      <c r="G125" s="9">
        <v>262</v>
      </c>
      <c r="H125" s="9">
        <v>117</v>
      </c>
      <c r="I125" s="9"/>
      <c r="J125" s="9"/>
      <c r="K125" s="9"/>
    </row>
    <row r="126" spans="1:11">
      <c r="A126" s="7">
        <v>45901</v>
      </c>
      <c r="B126" s="13" t="s">
        <v>19</v>
      </c>
      <c r="C126" s="3" t="s">
        <v>12</v>
      </c>
      <c r="D126" s="9">
        <v>5696.28</v>
      </c>
      <c r="E126" s="9"/>
      <c r="F126" s="9"/>
      <c r="G126" s="9"/>
      <c r="H126" s="9">
        <v>35</v>
      </c>
      <c r="I126" s="9"/>
      <c r="J126" s="9"/>
      <c r="K126" s="9"/>
    </row>
    <row r="127" spans="1:11">
      <c r="A127" s="7">
        <v>45901</v>
      </c>
      <c r="B127" s="13" t="s">
        <v>19</v>
      </c>
      <c r="C127" s="3" t="s">
        <v>13</v>
      </c>
      <c r="D127" s="9">
        <v>8694</v>
      </c>
      <c r="E127" s="9"/>
      <c r="F127" s="9"/>
      <c r="G127" s="9">
        <v>338</v>
      </c>
      <c r="H127" s="9"/>
      <c r="I127" s="9"/>
      <c r="J127" s="9"/>
      <c r="K127" s="9"/>
    </row>
    <row r="128" spans="1:11">
      <c r="A128" s="7">
        <v>45931</v>
      </c>
      <c r="B128" s="13" t="s">
        <v>19</v>
      </c>
      <c r="C128" s="3" t="s">
        <v>13</v>
      </c>
      <c r="D128" s="9">
        <v>9341.2000000000007</v>
      </c>
      <c r="E128" s="9">
        <v>585</v>
      </c>
      <c r="F128" s="9"/>
      <c r="G128" s="9">
        <v>544.65</v>
      </c>
      <c r="H128" s="9">
        <v>296</v>
      </c>
      <c r="I128" s="9"/>
      <c r="J128" s="9"/>
      <c r="K128" s="9"/>
    </row>
    <row r="129" spans="1:13">
      <c r="A129" s="7">
        <v>45931</v>
      </c>
      <c r="B129" s="13" t="s">
        <v>19</v>
      </c>
      <c r="C129" s="3" t="s">
        <v>12</v>
      </c>
      <c r="D129" s="9">
        <v>6233.35</v>
      </c>
      <c r="E129" s="9">
        <v>370</v>
      </c>
      <c r="F129" s="9"/>
      <c r="G129" s="9"/>
      <c r="H129" s="9">
        <v>55</v>
      </c>
      <c r="I129" s="9"/>
      <c r="J129" s="9"/>
      <c r="K129" s="9"/>
    </row>
    <row r="130" spans="1:13">
      <c r="A130" s="7">
        <v>45931</v>
      </c>
      <c r="B130" s="13" t="s">
        <v>18</v>
      </c>
      <c r="C130" s="3" t="s">
        <v>13</v>
      </c>
      <c r="D130" s="9">
        <v>19290.465</v>
      </c>
      <c r="E130" s="9">
        <v>578.25</v>
      </c>
      <c r="F130" s="9">
        <v>840</v>
      </c>
      <c r="G130" s="9">
        <v>986.54</v>
      </c>
      <c r="H130" s="9">
        <v>2131</v>
      </c>
      <c r="I130" s="9">
        <v>2885</v>
      </c>
      <c r="J130" s="9"/>
      <c r="K130" s="9"/>
    </row>
    <row r="131" spans="1:13">
      <c r="A131" s="7">
        <v>45931</v>
      </c>
      <c r="B131" s="13" t="s">
        <v>18</v>
      </c>
      <c r="C131" s="3" t="s">
        <v>12</v>
      </c>
      <c r="D131" s="9">
        <v>14095.81</v>
      </c>
      <c r="E131" s="9">
        <v>397.5</v>
      </c>
      <c r="F131" s="9">
        <v>560</v>
      </c>
      <c r="G131" s="9">
        <v>458.64</v>
      </c>
      <c r="H131" s="9">
        <v>415</v>
      </c>
      <c r="I131" s="9">
        <v>395</v>
      </c>
      <c r="J131" s="9"/>
      <c r="K131" s="9"/>
    </row>
    <row r="132" spans="1:13">
      <c r="A132" s="7">
        <v>45931</v>
      </c>
      <c r="B132" s="13" t="s">
        <v>17</v>
      </c>
      <c r="C132" s="3" t="s">
        <v>13</v>
      </c>
      <c r="D132" s="9">
        <v>29675.67</v>
      </c>
      <c r="E132" s="9">
        <v>594</v>
      </c>
      <c r="F132" s="9"/>
      <c r="G132" s="9">
        <v>539.79</v>
      </c>
      <c r="H132" s="9">
        <v>197.5</v>
      </c>
      <c r="I132" s="9">
        <v>600</v>
      </c>
      <c r="J132" s="9"/>
      <c r="K132" s="9"/>
    </row>
    <row r="133" spans="1:13">
      <c r="A133" s="7">
        <v>45931</v>
      </c>
      <c r="B133" s="13" t="s">
        <v>17</v>
      </c>
      <c r="C133" s="3" t="s">
        <v>12</v>
      </c>
      <c r="D133" s="9">
        <v>19773.04</v>
      </c>
      <c r="E133" s="9">
        <v>1050</v>
      </c>
      <c r="F133" s="9"/>
      <c r="G133" s="9">
        <v>1206.68</v>
      </c>
      <c r="H133" s="9">
        <v>2203</v>
      </c>
      <c r="I133" s="9">
        <v>957</v>
      </c>
      <c r="J133" s="9"/>
      <c r="K133" s="9"/>
    </row>
    <row r="134" spans="1:13">
      <c r="A134" s="7">
        <v>45931</v>
      </c>
      <c r="B134" s="13" t="s">
        <v>16</v>
      </c>
      <c r="C134" s="3" t="s">
        <v>13</v>
      </c>
      <c r="D134" s="9">
        <v>24936.15</v>
      </c>
      <c r="E134" s="9">
        <v>558</v>
      </c>
      <c r="F134" s="9">
        <f>600</f>
        <v>600</v>
      </c>
      <c r="G134" s="9">
        <v>1204.47</v>
      </c>
      <c r="H134" s="9">
        <v>80</v>
      </c>
      <c r="I134" s="9">
        <v>4261</v>
      </c>
      <c r="J134" s="9"/>
      <c r="K134" s="9"/>
    </row>
    <row r="135" spans="1:13">
      <c r="A135" s="7">
        <v>45931</v>
      </c>
      <c r="B135" s="13" t="s">
        <v>16</v>
      </c>
      <c r="C135" s="3" t="s">
        <v>12</v>
      </c>
      <c r="D135" s="9">
        <v>25502.05</v>
      </c>
      <c r="E135" s="9">
        <v>510</v>
      </c>
      <c r="F135" s="9">
        <f>600</f>
        <v>600</v>
      </c>
      <c r="G135" s="9">
        <v>836.34</v>
      </c>
      <c r="H135" s="9">
        <v>472.5</v>
      </c>
      <c r="I135" s="9">
        <v>770</v>
      </c>
      <c r="J135" s="9"/>
      <c r="K135" s="9"/>
    </row>
    <row r="136" spans="1:13">
      <c r="A136" s="7">
        <v>45931</v>
      </c>
      <c r="B136" s="13" t="s">
        <v>15</v>
      </c>
      <c r="C136" s="3" t="s">
        <v>13</v>
      </c>
      <c r="D136" s="9">
        <v>13918.65</v>
      </c>
      <c r="E136" s="9">
        <v>772.5</v>
      </c>
      <c r="F136" s="9">
        <f>810</f>
        <v>810</v>
      </c>
      <c r="G136" s="9">
        <v>711.55</v>
      </c>
      <c r="H136" s="9">
        <v>128</v>
      </c>
      <c r="I136" s="9">
        <v>68</v>
      </c>
      <c r="J136" s="9"/>
      <c r="K136" s="9"/>
    </row>
    <row r="137" spans="1:13">
      <c r="A137" s="7">
        <v>45931</v>
      </c>
      <c r="B137" s="13" t="s">
        <v>15</v>
      </c>
      <c r="C137" s="3" t="s">
        <v>12</v>
      </c>
      <c r="D137" s="9">
        <v>17320.560000000001</v>
      </c>
      <c r="E137" s="9">
        <v>465</v>
      </c>
      <c r="F137" s="9">
        <f>540</f>
        <v>540</v>
      </c>
      <c r="G137" s="9">
        <v>327.76</v>
      </c>
      <c r="H137" s="9">
        <v>820</v>
      </c>
      <c r="I137" s="9">
        <v>1501</v>
      </c>
      <c r="J137" s="9"/>
      <c r="K137" s="9"/>
    </row>
    <row r="138" spans="1:13">
      <c r="A138" s="7">
        <v>45931</v>
      </c>
      <c r="B138" s="13" t="s">
        <v>14</v>
      </c>
      <c r="C138" s="3" t="s">
        <v>12</v>
      </c>
      <c r="D138" s="9">
        <v>6924.77</v>
      </c>
      <c r="E138" s="9">
        <v>95</v>
      </c>
      <c r="F138" s="9"/>
      <c r="G138" s="9">
        <v>396.12</v>
      </c>
      <c r="H138" s="9">
        <v>420</v>
      </c>
      <c r="I138" s="9">
        <v>2082</v>
      </c>
      <c r="J138" s="9"/>
      <c r="K138" s="9"/>
    </row>
    <row r="139" spans="1:13">
      <c r="A139" s="7">
        <v>45931</v>
      </c>
      <c r="B139" s="13" t="s">
        <v>14</v>
      </c>
      <c r="C139" s="3" t="s">
        <v>13</v>
      </c>
      <c r="D139" s="9">
        <v>69170.06</v>
      </c>
      <c r="E139" s="9">
        <v>117.5</v>
      </c>
      <c r="F139" s="9"/>
      <c r="G139" s="9">
        <v>518.27</v>
      </c>
      <c r="H139" s="9"/>
      <c r="I139" s="9">
        <v>694</v>
      </c>
      <c r="J139" s="9"/>
      <c r="K139" s="9"/>
    </row>
    <row r="140" spans="1:13">
      <c r="A140" s="7">
        <v>45931</v>
      </c>
      <c r="B140" s="13" t="s">
        <v>11</v>
      </c>
      <c r="C140" s="3" t="s">
        <v>12</v>
      </c>
      <c r="D140" s="9">
        <v>41783.129999999997</v>
      </c>
      <c r="E140" s="9">
        <v>90</v>
      </c>
      <c r="F140" s="9"/>
      <c r="G140" s="9">
        <v>160.44999999999999</v>
      </c>
      <c r="H140" s="9">
        <v>160</v>
      </c>
      <c r="I140" s="9"/>
      <c r="J140" s="9"/>
      <c r="K140" s="9"/>
    </row>
    <row r="141" spans="1:13">
      <c r="A141" s="7">
        <v>45931</v>
      </c>
      <c r="B141" s="13" t="s">
        <v>11</v>
      </c>
      <c r="C141" s="3" t="s">
        <v>13</v>
      </c>
      <c r="D141" s="9">
        <v>6227.66</v>
      </c>
      <c r="E141" s="9">
        <v>137.5</v>
      </c>
      <c r="F141" s="9"/>
      <c r="G141" s="9"/>
      <c r="H141" s="9">
        <v>74</v>
      </c>
      <c r="I141" s="9"/>
      <c r="J141" s="9"/>
      <c r="K141" s="9"/>
    </row>
    <row r="142" spans="1:13">
      <c r="A142" s="7">
        <v>45931</v>
      </c>
      <c r="B142" s="13" t="s">
        <v>19</v>
      </c>
      <c r="C142" s="3" t="s">
        <v>13</v>
      </c>
      <c r="D142" s="10">
        <v>9443.9699999999993</v>
      </c>
      <c r="E142" s="9" t="s">
        <v>20</v>
      </c>
      <c r="F142" s="9"/>
      <c r="G142" s="9" t="s">
        <v>21</v>
      </c>
      <c r="H142" s="9">
        <v>480</v>
      </c>
      <c r="I142" s="9"/>
      <c r="J142" s="9"/>
      <c r="K142" s="9" t="s">
        <v>22</v>
      </c>
      <c r="M142" s="4"/>
    </row>
    <row r="143" spans="1:13">
      <c r="A143" s="7">
        <v>45931</v>
      </c>
      <c r="B143" s="13" t="s">
        <v>19</v>
      </c>
      <c r="C143" s="3" t="s">
        <v>12</v>
      </c>
      <c r="D143" s="10">
        <v>6114.09</v>
      </c>
      <c r="E143" s="9">
        <v>330</v>
      </c>
      <c r="F143" s="9"/>
      <c r="G143" s="9" t="s">
        <v>23</v>
      </c>
      <c r="H143" s="9"/>
      <c r="I143" s="9" t="s">
        <v>24</v>
      </c>
      <c r="J143" s="9"/>
      <c r="K143" s="9">
        <v>210</v>
      </c>
      <c r="M143" s="4"/>
    </row>
    <row r="144" spans="1:13">
      <c r="A144" s="7">
        <v>45931</v>
      </c>
      <c r="B144" s="13" t="s">
        <v>18</v>
      </c>
      <c r="C144" s="3" t="s">
        <v>13</v>
      </c>
      <c r="D144" s="10">
        <v>17229.47</v>
      </c>
      <c r="E144" s="9" t="s">
        <v>25</v>
      </c>
      <c r="F144" s="9"/>
      <c r="G144" s="9" t="s">
        <v>26</v>
      </c>
      <c r="H144" s="9">
        <v>1359</v>
      </c>
      <c r="I144" s="9" t="s">
        <v>27</v>
      </c>
      <c r="J144" s="9"/>
      <c r="K144" s="9"/>
      <c r="M144" s="4"/>
    </row>
    <row r="145" spans="1:13">
      <c r="A145" s="7">
        <v>45931</v>
      </c>
      <c r="B145" s="13" t="s">
        <v>18</v>
      </c>
      <c r="C145" s="3" t="s">
        <v>12</v>
      </c>
      <c r="D145" s="10">
        <v>15068.63</v>
      </c>
      <c r="E145" s="9">
        <v>820</v>
      </c>
      <c r="F145" s="9"/>
      <c r="G145" s="9" t="s">
        <v>28</v>
      </c>
      <c r="H145" s="9">
        <v>440</v>
      </c>
      <c r="I145" s="9"/>
      <c r="J145" s="9"/>
      <c r="K145" s="9"/>
      <c r="M145" s="4"/>
    </row>
    <row r="146" spans="1:13">
      <c r="A146" s="7">
        <v>45931</v>
      </c>
      <c r="B146" s="13" t="s">
        <v>17</v>
      </c>
      <c r="C146" s="3" t="s">
        <v>13</v>
      </c>
      <c r="D146" s="10">
        <v>34260.26</v>
      </c>
      <c r="E146" s="9" t="s">
        <v>29</v>
      </c>
      <c r="F146" s="9"/>
      <c r="G146" s="9">
        <v>4325</v>
      </c>
      <c r="H146" s="9" t="s">
        <v>30</v>
      </c>
      <c r="I146" s="9" t="s">
        <v>31</v>
      </c>
      <c r="J146" s="9"/>
      <c r="K146" s="9"/>
      <c r="M146" s="4"/>
    </row>
    <row r="147" spans="1:13">
      <c r="A147" s="7">
        <v>45931</v>
      </c>
      <c r="B147" s="13" t="s">
        <v>17</v>
      </c>
      <c r="C147" s="3" t="s">
        <v>12</v>
      </c>
      <c r="D147" s="10">
        <v>20449.21</v>
      </c>
      <c r="E147" s="9">
        <v>720</v>
      </c>
      <c r="F147" s="9"/>
      <c r="G147" s="9">
        <v>3045</v>
      </c>
      <c r="H147" s="9">
        <v>4560</v>
      </c>
      <c r="I147" s="9"/>
      <c r="J147" s="9"/>
      <c r="K147" s="9" t="s">
        <v>32</v>
      </c>
      <c r="M147" s="4"/>
    </row>
    <row r="148" spans="1:13">
      <c r="A148" s="7">
        <v>45931</v>
      </c>
      <c r="B148" s="13" t="s">
        <v>16</v>
      </c>
      <c r="C148" s="3" t="s">
        <v>13</v>
      </c>
      <c r="D148" s="10">
        <v>23018.91</v>
      </c>
      <c r="E148" s="9" t="s">
        <v>33</v>
      </c>
      <c r="F148" s="9"/>
      <c r="G148" s="9">
        <v>1138</v>
      </c>
      <c r="H148" s="9" t="s">
        <v>34</v>
      </c>
      <c r="I148" s="9">
        <v>1157</v>
      </c>
      <c r="J148" s="9"/>
      <c r="K148" s="9"/>
      <c r="M148" s="4"/>
    </row>
    <row r="149" spans="1:13">
      <c r="A149" s="7">
        <v>45931</v>
      </c>
      <c r="B149" s="13" t="s">
        <v>16</v>
      </c>
      <c r="C149" s="3" t="s">
        <v>12</v>
      </c>
      <c r="D149" s="10">
        <v>22722.61</v>
      </c>
      <c r="E149" s="9" t="s">
        <v>35</v>
      </c>
      <c r="F149" s="9"/>
      <c r="G149" s="9">
        <v>1640</v>
      </c>
      <c r="H149" s="9">
        <v>1488</v>
      </c>
      <c r="I149" s="9" t="s">
        <v>36</v>
      </c>
      <c r="J149" s="9"/>
      <c r="K149" s="9"/>
      <c r="M149" s="4"/>
    </row>
    <row r="150" spans="1:13">
      <c r="A150" s="7">
        <v>45931</v>
      </c>
      <c r="B150" s="13" t="s">
        <v>15</v>
      </c>
      <c r="C150" s="3" t="s">
        <v>13</v>
      </c>
      <c r="D150" s="10">
        <v>1414.13</v>
      </c>
      <c r="E150" s="9">
        <v>777</v>
      </c>
      <c r="F150" s="9"/>
      <c r="G150" s="9">
        <v>741</v>
      </c>
      <c r="H150" s="9">
        <v>152</v>
      </c>
      <c r="I150" s="9"/>
      <c r="J150" s="9"/>
      <c r="K150" s="9"/>
      <c r="M150" s="4"/>
    </row>
    <row r="151" spans="1:13">
      <c r="A151" s="7">
        <v>45931</v>
      </c>
      <c r="B151" s="13" t="s">
        <v>15</v>
      </c>
      <c r="C151" s="3" t="s">
        <v>12</v>
      </c>
      <c r="D151" s="10">
        <v>17717.27</v>
      </c>
      <c r="E151" s="9">
        <v>515</v>
      </c>
      <c r="F151" s="9"/>
      <c r="G151" s="9">
        <v>1057</v>
      </c>
      <c r="H151" s="9">
        <v>1200</v>
      </c>
      <c r="I151" s="9" t="s">
        <v>37</v>
      </c>
      <c r="J151" s="9"/>
      <c r="K151" s="9"/>
      <c r="M151" s="4"/>
    </row>
    <row r="152" spans="1:13">
      <c r="A152" s="7">
        <v>45931</v>
      </c>
      <c r="B152" s="13" t="s">
        <v>14</v>
      </c>
      <c r="C152" s="3" t="s">
        <v>12</v>
      </c>
      <c r="D152" s="10">
        <v>7210.78</v>
      </c>
      <c r="E152" s="9" t="s">
        <v>38</v>
      </c>
      <c r="F152" s="9"/>
      <c r="G152" s="9">
        <v>633</v>
      </c>
      <c r="H152" s="9">
        <v>385</v>
      </c>
      <c r="I152" s="9">
        <v>1023</v>
      </c>
      <c r="J152" s="9"/>
      <c r="K152" s="9" t="s">
        <v>39</v>
      </c>
      <c r="M152" s="4"/>
    </row>
    <row r="153" spans="1:13">
      <c r="A153" s="7">
        <v>45931</v>
      </c>
      <c r="B153" s="13" t="s">
        <v>14</v>
      </c>
      <c r="C153" s="3" t="s">
        <v>13</v>
      </c>
      <c r="D153" s="10">
        <v>4287.97</v>
      </c>
      <c r="E153" s="9">
        <v>334</v>
      </c>
      <c r="F153" s="9"/>
      <c r="G153" s="9">
        <v>599</v>
      </c>
      <c r="H153" s="9">
        <v>83</v>
      </c>
      <c r="I153" s="9"/>
      <c r="J153" s="9"/>
      <c r="K153" s="9"/>
      <c r="M153" s="4"/>
    </row>
    <row r="154" spans="1:13">
      <c r="A154" s="7">
        <v>45931</v>
      </c>
      <c r="B154" s="13" t="s">
        <v>11</v>
      </c>
      <c r="C154" s="3" t="s">
        <v>12</v>
      </c>
      <c r="D154" s="10">
        <v>5425.51</v>
      </c>
      <c r="E154" s="9">
        <v>90</v>
      </c>
      <c r="F154" s="9"/>
      <c r="G154" s="9">
        <v>108</v>
      </c>
      <c r="H154" s="9">
        <v>160</v>
      </c>
      <c r="I154" s="9">
        <v>984</v>
      </c>
      <c r="J154" s="9"/>
      <c r="K154" s="9"/>
      <c r="M154" s="4"/>
    </row>
    <row r="155" spans="1:13">
      <c r="A155" s="7">
        <v>45931</v>
      </c>
      <c r="B155" s="13" t="s">
        <v>11</v>
      </c>
      <c r="C155" s="3" t="s">
        <v>13</v>
      </c>
      <c r="D155" s="4">
        <v>5425.51</v>
      </c>
      <c r="E155" s="9" t="s">
        <v>40</v>
      </c>
      <c r="F155" s="9"/>
      <c r="G155" s="9">
        <v>375</v>
      </c>
      <c r="H155" s="9" t="s">
        <v>41</v>
      </c>
      <c r="I155" s="9"/>
      <c r="J155" s="9"/>
      <c r="K155" s="9"/>
      <c r="M155" s="4"/>
    </row>
    <row r="156" spans="1:13">
      <c r="A156" s="7">
        <v>45931</v>
      </c>
      <c r="B156" s="13" t="s">
        <v>42</v>
      </c>
      <c r="C156" s="3" t="s">
        <v>13</v>
      </c>
      <c r="D156" s="4">
        <v>2762.91</v>
      </c>
      <c r="E156" s="9"/>
      <c r="F156" s="9"/>
      <c r="G156" s="9">
        <v>98</v>
      </c>
      <c r="H156" s="9"/>
      <c r="I156" s="9"/>
      <c r="J156" s="9"/>
      <c r="K156" s="9"/>
      <c r="M156" s="4"/>
    </row>
    <row r="157" spans="1:13">
      <c r="A157" s="7">
        <v>45931</v>
      </c>
      <c r="B157" s="13" t="s">
        <v>42</v>
      </c>
      <c r="C157" s="3" t="s">
        <v>12</v>
      </c>
      <c r="D157" s="4">
        <v>7138.87</v>
      </c>
      <c r="E157" s="9">
        <v>180</v>
      </c>
      <c r="F157" s="9"/>
      <c r="G157" s="9"/>
      <c r="H157" s="9">
        <v>165</v>
      </c>
      <c r="I157" s="9"/>
      <c r="J157" s="9"/>
      <c r="K157" s="9" t="s">
        <v>43</v>
      </c>
      <c r="M157" s="4"/>
    </row>
    <row r="158" spans="1:13">
      <c r="A158" s="7">
        <v>45962</v>
      </c>
      <c r="B158" s="13" t="s">
        <v>19</v>
      </c>
      <c r="C158" s="3" t="s">
        <v>13</v>
      </c>
      <c r="D158" s="4">
        <v>9444</v>
      </c>
      <c r="E158" s="9">
        <v>574</v>
      </c>
      <c r="F158" s="9"/>
      <c r="G158" s="9">
        <v>882</v>
      </c>
      <c r="H158" s="9">
        <v>480</v>
      </c>
      <c r="I158" s="9"/>
      <c r="J158" s="9"/>
      <c r="K158" s="9"/>
      <c r="M158" s="4"/>
    </row>
    <row r="159" spans="1:13">
      <c r="A159" s="7">
        <v>45962</v>
      </c>
      <c r="B159" s="13" t="s">
        <v>19</v>
      </c>
      <c r="C159" s="3" t="s">
        <v>12</v>
      </c>
      <c r="D159" s="9">
        <v>6114</v>
      </c>
      <c r="E159" s="9">
        <v>330</v>
      </c>
      <c r="F159" s="9"/>
      <c r="G159" s="9">
        <v>220</v>
      </c>
      <c r="H159" s="9"/>
      <c r="I159" s="9">
        <v>363</v>
      </c>
      <c r="J159" s="9"/>
      <c r="K159" s="9"/>
    </row>
    <row r="160" spans="1:13">
      <c r="A160" s="7">
        <v>45962</v>
      </c>
      <c r="B160" s="13" t="s">
        <v>18</v>
      </c>
      <c r="C160" s="3" t="s">
        <v>13</v>
      </c>
      <c r="D160" s="9">
        <v>17229</v>
      </c>
      <c r="E160" s="9">
        <v>231.5</v>
      </c>
      <c r="F160" s="9"/>
      <c r="G160" s="9">
        <v>297</v>
      </c>
      <c r="H160" s="9">
        <v>1360</v>
      </c>
      <c r="I160" s="9">
        <v>974</v>
      </c>
      <c r="J160" s="9"/>
      <c r="K160" s="9"/>
    </row>
    <row r="161" spans="1:13">
      <c r="A161" s="7">
        <v>45962</v>
      </c>
      <c r="B161" s="13" t="s">
        <v>18</v>
      </c>
      <c r="C161" s="3" t="s">
        <v>12</v>
      </c>
      <c r="D161" s="9">
        <v>15070</v>
      </c>
      <c r="E161" s="9">
        <v>820</v>
      </c>
      <c r="F161" s="9"/>
      <c r="G161" s="9">
        <v>683</v>
      </c>
      <c r="H161" s="9">
        <v>440</v>
      </c>
      <c r="I161" s="9"/>
      <c r="J161" s="9"/>
      <c r="K161" s="9"/>
    </row>
    <row r="162" spans="1:13">
      <c r="A162" s="7">
        <v>45962</v>
      </c>
      <c r="B162" s="13" t="s">
        <v>17</v>
      </c>
      <c r="C162" s="3" t="s">
        <v>13</v>
      </c>
      <c r="D162" s="9">
        <v>34260</v>
      </c>
      <c r="E162" s="9">
        <v>586.5</v>
      </c>
      <c r="F162" s="9"/>
      <c r="G162" s="9">
        <v>4325</v>
      </c>
      <c r="H162" s="9">
        <v>157.5</v>
      </c>
      <c r="I162" s="9">
        <v>1264</v>
      </c>
      <c r="J162" s="9"/>
      <c r="K162" s="9"/>
    </row>
    <row r="163" spans="1:13">
      <c r="A163" s="7">
        <v>45962</v>
      </c>
      <c r="B163" s="13" t="s">
        <v>17</v>
      </c>
      <c r="C163" s="3" t="s">
        <v>12</v>
      </c>
      <c r="D163" s="9">
        <v>20449</v>
      </c>
      <c r="E163" s="9">
        <v>720</v>
      </c>
      <c r="F163" s="9"/>
      <c r="G163" s="9">
        <v>3046</v>
      </c>
      <c r="H163" s="9">
        <v>4560</v>
      </c>
      <c r="I163" s="9"/>
      <c r="J163" s="9"/>
      <c r="K163" s="9" t="s">
        <v>44</v>
      </c>
    </row>
    <row r="164" spans="1:13">
      <c r="A164" s="7">
        <v>45962</v>
      </c>
      <c r="B164" s="13" t="s">
        <v>16</v>
      </c>
      <c r="C164" s="3" t="s">
        <v>13</v>
      </c>
      <c r="D164" s="9">
        <v>23018</v>
      </c>
      <c r="E164" s="9">
        <v>1305</v>
      </c>
      <c r="F164" s="9"/>
      <c r="G164" s="9">
        <v>1138</v>
      </c>
      <c r="H164" s="9">
        <v>439.5</v>
      </c>
      <c r="I164" s="9">
        <v>1158</v>
      </c>
      <c r="J164" s="9"/>
      <c r="K164" s="9"/>
    </row>
    <row r="165" spans="1:13">
      <c r="A165" s="7">
        <v>45962</v>
      </c>
      <c r="B165" s="13" t="s">
        <v>16</v>
      </c>
      <c r="C165" s="3" t="s">
        <v>12</v>
      </c>
      <c r="D165" s="9">
        <v>22722</v>
      </c>
      <c r="E165" s="9">
        <v>667.5</v>
      </c>
      <c r="F165" s="9"/>
      <c r="G165" s="9">
        <v>1640</v>
      </c>
      <c r="H165" s="9">
        <v>1488</v>
      </c>
      <c r="I165" s="9">
        <v>41</v>
      </c>
      <c r="J165" s="9"/>
      <c r="K165" s="9"/>
    </row>
    <row r="166" spans="1:13">
      <c r="A166" s="7">
        <v>45962</v>
      </c>
      <c r="B166" s="13" t="s">
        <v>15</v>
      </c>
      <c r="C166" s="3" t="s">
        <v>13</v>
      </c>
      <c r="D166" s="9">
        <v>14814</v>
      </c>
      <c r="E166" s="9">
        <v>777</v>
      </c>
      <c r="F166" s="9"/>
      <c r="G166" s="9">
        <v>741</v>
      </c>
      <c r="H166" s="9">
        <v>152</v>
      </c>
      <c r="I166" s="9"/>
      <c r="J166" s="9"/>
      <c r="K166" s="9"/>
    </row>
    <row r="167" spans="1:13">
      <c r="A167" s="7">
        <v>45962</v>
      </c>
      <c r="B167" s="13" t="s">
        <v>15</v>
      </c>
      <c r="C167" s="3" t="s">
        <v>12</v>
      </c>
      <c r="D167" s="9">
        <v>17717</v>
      </c>
      <c r="E167" s="9">
        <v>515</v>
      </c>
      <c r="F167" s="9"/>
      <c r="G167" s="9">
        <v>1058</v>
      </c>
      <c r="H167" s="9">
        <v>1200</v>
      </c>
      <c r="I167" s="9"/>
      <c r="J167" s="9"/>
      <c r="K167" s="9" t="s">
        <v>45</v>
      </c>
    </row>
    <row r="168" spans="1:13">
      <c r="A168" s="7">
        <v>45962</v>
      </c>
      <c r="B168" s="13" t="s">
        <v>14</v>
      </c>
      <c r="C168" s="3" t="s">
        <v>12</v>
      </c>
      <c r="D168" s="9">
        <v>7210</v>
      </c>
      <c r="E168" s="9">
        <v>287.5</v>
      </c>
      <c r="F168" s="9"/>
      <c r="G168" s="9">
        <v>633</v>
      </c>
      <c r="H168" s="9">
        <v>385</v>
      </c>
      <c r="I168" s="9">
        <v>1026</v>
      </c>
      <c r="J168" s="9"/>
      <c r="K168" s="9"/>
    </row>
    <row r="169" spans="1:13">
      <c r="A169" s="7">
        <v>45962</v>
      </c>
      <c r="B169" s="13" t="s">
        <v>14</v>
      </c>
      <c r="C169" s="3" t="s">
        <v>13</v>
      </c>
      <c r="D169" s="9">
        <v>7348</v>
      </c>
      <c r="E169" s="9">
        <v>334</v>
      </c>
      <c r="F169" s="9"/>
      <c r="G169" s="9">
        <v>599</v>
      </c>
      <c r="H169" s="9">
        <v>83</v>
      </c>
      <c r="I169" s="9"/>
      <c r="J169" s="9"/>
      <c r="K169" s="9"/>
    </row>
    <row r="170" spans="1:13">
      <c r="A170" s="7">
        <v>45962</v>
      </c>
      <c r="B170" s="13" t="s">
        <v>11</v>
      </c>
      <c r="C170" s="3" t="s">
        <v>12</v>
      </c>
      <c r="D170" s="9">
        <v>4288</v>
      </c>
      <c r="E170" s="9">
        <v>90</v>
      </c>
      <c r="F170" s="9"/>
      <c r="G170" s="9">
        <v>108</v>
      </c>
      <c r="H170" s="9">
        <v>1125</v>
      </c>
      <c r="I170" s="9">
        <v>984</v>
      </c>
      <c r="J170" s="9"/>
      <c r="K170" s="9"/>
    </row>
    <row r="171" spans="1:13">
      <c r="A171" s="7">
        <v>45962</v>
      </c>
      <c r="B171" s="13" t="s">
        <v>11</v>
      </c>
      <c r="C171" s="3" t="s">
        <v>13</v>
      </c>
      <c r="D171" s="9">
        <v>5425</v>
      </c>
      <c r="E171" s="9">
        <v>137.5</v>
      </c>
      <c r="F171" s="9"/>
      <c r="G171" s="9">
        <v>375</v>
      </c>
      <c r="H171" s="9">
        <v>712</v>
      </c>
      <c r="I171" s="9"/>
      <c r="J171" s="9"/>
      <c r="K171" s="9"/>
    </row>
    <row r="172" spans="1:13">
      <c r="A172" s="7">
        <v>45962</v>
      </c>
      <c r="B172" s="13" t="s">
        <v>42</v>
      </c>
      <c r="C172" s="3" t="s">
        <v>13</v>
      </c>
      <c r="D172" s="9">
        <v>2762</v>
      </c>
      <c r="E172" s="9"/>
      <c r="F172" s="9"/>
      <c r="G172" s="9"/>
      <c r="H172" s="9"/>
      <c r="I172" s="9"/>
      <c r="J172" s="9"/>
      <c r="K172" s="9"/>
    </row>
    <row r="173" spans="1:13">
      <c r="A173" s="7">
        <v>45962</v>
      </c>
      <c r="B173" s="13" t="s">
        <v>42</v>
      </c>
      <c r="C173" s="3" t="s">
        <v>12</v>
      </c>
      <c r="D173" s="9">
        <v>7139</v>
      </c>
      <c r="E173" s="9">
        <v>180</v>
      </c>
      <c r="F173" s="9"/>
      <c r="G173" s="9">
        <v>98</v>
      </c>
      <c r="H173" s="9">
        <v>165</v>
      </c>
      <c r="I173" s="9"/>
      <c r="J173" s="9"/>
      <c r="K173" s="9" t="s">
        <v>43</v>
      </c>
    </row>
    <row r="174" spans="1:13">
      <c r="A174" s="7">
        <v>45992</v>
      </c>
      <c r="B174" s="13" t="s">
        <v>19</v>
      </c>
      <c r="C174" s="3" t="s">
        <v>13</v>
      </c>
      <c r="D174" s="4">
        <v>9758</v>
      </c>
      <c r="E174" s="8">
        <v>687</v>
      </c>
      <c r="G174" s="2">
        <v>1918</v>
      </c>
      <c r="H174" s="2">
        <v>295</v>
      </c>
      <c r="K174" s="11">
        <v>-538</v>
      </c>
      <c r="L174" s="12">
        <f>SUM(D174:K174)</f>
        <v>12120</v>
      </c>
      <c r="M174" s="12">
        <f>L174+L175</f>
        <v>19653</v>
      </c>
    </row>
    <row r="175" spans="1:13">
      <c r="A175" s="7">
        <v>45992</v>
      </c>
      <c r="B175" s="13" t="s">
        <v>19</v>
      </c>
      <c r="C175" s="3" t="s">
        <v>12</v>
      </c>
      <c r="D175" s="4">
        <v>6592</v>
      </c>
      <c r="E175" s="8">
        <v>455</v>
      </c>
      <c r="G175" s="2">
        <v>486</v>
      </c>
      <c r="K175" s="11"/>
      <c r="L175" s="12">
        <f>SUM(D175:K175)</f>
        <v>7533</v>
      </c>
    </row>
    <row r="176" spans="1:13">
      <c r="A176" s="7">
        <v>45992</v>
      </c>
      <c r="B176" s="13" t="s">
        <v>18</v>
      </c>
      <c r="C176" s="3" t="s">
        <v>13</v>
      </c>
      <c r="D176" s="4">
        <v>18572</v>
      </c>
      <c r="E176" s="8">
        <v>648</v>
      </c>
      <c r="G176" s="2">
        <v>1695</v>
      </c>
      <c r="H176" s="2">
        <v>2332</v>
      </c>
      <c r="I176" s="2">
        <v>1602</v>
      </c>
      <c r="K176" s="11" t="s">
        <v>46</v>
      </c>
      <c r="L176" s="12">
        <f t="shared" ref="L176:L191" si="0">SUM(D176:K176)</f>
        <v>24849</v>
      </c>
      <c r="M176" s="12">
        <f>L176+L177</f>
        <v>45581</v>
      </c>
    </row>
    <row r="177" spans="1:13">
      <c r="A177" s="7">
        <v>45992</v>
      </c>
      <c r="B177" s="13" t="s">
        <v>18</v>
      </c>
      <c r="C177" s="3" t="s">
        <v>12</v>
      </c>
      <c r="D177" s="4">
        <v>17092</v>
      </c>
      <c r="E177" s="8">
        <v>830</v>
      </c>
      <c r="G177" s="2">
        <v>2665</v>
      </c>
      <c r="H177" s="2">
        <v>145</v>
      </c>
      <c r="K177" s="11" t="s">
        <v>47</v>
      </c>
      <c r="L177" s="12">
        <f t="shared" si="0"/>
        <v>20732</v>
      </c>
    </row>
    <row r="178" spans="1:13">
      <c r="A178" s="7">
        <v>45992</v>
      </c>
      <c r="B178" s="13" t="s">
        <v>17</v>
      </c>
      <c r="C178" s="3" t="s">
        <v>13</v>
      </c>
      <c r="D178" s="4">
        <v>27682</v>
      </c>
      <c r="E178" s="8">
        <v>769</v>
      </c>
      <c r="G178" s="2">
        <v>9805</v>
      </c>
      <c r="H178" s="2">
        <v>2040</v>
      </c>
      <c r="I178" s="2">
        <v>2045</v>
      </c>
      <c r="K178" s="11">
        <v>3468</v>
      </c>
      <c r="L178" s="12">
        <f t="shared" si="0"/>
        <v>45809</v>
      </c>
      <c r="M178" s="12">
        <f>L178+L179</f>
        <v>78996</v>
      </c>
    </row>
    <row r="179" spans="1:13">
      <c r="A179" s="7">
        <v>45992</v>
      </c>
      <c r="B179" s="13" t="s">
        <v>17</v>
      </c>
      <c r="C179" s="3" t="s">
        <v>12</v>
      </c>
      <c r="D179" s="4">
        <v>19202</v>
      </c>
      <c r="E179" s="8">
        <v>995</v>
      </c>
      <c r="G179" s="2">
        <v>6122</v>
      </c>
      <c r="H179" s="2">
        <v>5859</v>
      </c>
      <c r="K179" s="11">
        <v>1009</v>
      </c>
      <c r="L179" s="12">
        <f t="shared" si="0"/>
        <v>33187</v>
      </c>
    </row>
    <row r="180" spans="1:13">
      <c r="A180" s="7">
        <v>45992</v>
      </c>
      <c r="B180" s="13" t="s">
        <v>16</v>
      </c>
      <c r="C180" s="3" t="s">
        <v>13</v>
      </c>
      <c r="D180" s="4">
        <v>23656</v>
      </c>
      <c r="E180" s="8">
        <v>633</v>
      </c>
      <c r="G180" s="2">
        <v>1258</v>
      </c>
      <c r="I180" s="2">
        <v>672</v>
      </c>
      <c r="K180" s="11"/>
      <c r="L180" s="12">
        <f t="shared" si="0"/>
        <v>26219</v>
      </c>
      <c r="M180" s="12">
        <f>L180+L181</f>
        <v>53988</v>
      </c>
    </row>
    <row r="181" spans="1:13">
      <c r="A181" s="7">
        <v>45992</v>
      </c>
      <c r="B181" s="13" t="s">
        <v>16</v>
      </c>
      <c r="C181" s="3" t="s">
        <v>12</v>
      </c>
      <c r="D181" s="4">
        <v>22850</v>
      </c>
      <c r="E181" s="8">
        <v>690</v>
      </c>
      <c r="G181" s="2">
        <v>3601</v>
      </c>
      <c r="H181" s="2">
        <v>628</v>
      </c>
      <c r="K181" s="11"/>
      <c r="L181" s="12">
        <f t="shared" si="0"/>
        <v>27769</v>
      </c>
    </row>
    <row r="182" spans="1:13">
      <c r="A182" s="7">
        <v>45992</v>
      </c>
      <c r="B182" s="13" t="s">
        <v>15</v>
      </c>
      <c r="C182" s="3" t="s">
        <v>13</v>
      </c>
      <c r="D182" s="4">
        <v>11892</v>
      </c>
      <c r="E182" s="8">
        <v>504</v>
      </c>
      <c r="G182" s="2">
        <v>2137</v>
      </c>
      <c r="K182" s="11" t="s">
        <v>48</v>
      </c>
      <c r="L182" s="12">
        <f t="shared" si="0"/>
        <v>14533</v>
      </c>
      <c r="M182" s="12">
        <f>L182+L183</f>
        <v>36681</v>
      </c>
    </row>
    <row r="183" spans="1:13">
      <c r="A183" s="7">
        <v>45992</v>
      </c>
      <c r="B183" s="13" t="s">
        <v>15</v>
      </c>
      <c r="C183" s="3" t="s">
        <v>12</v>
      </c>
      <c r="D183" s="4">
        <v>18273</v>
      </c>
      <c r="E183" s="8">
        <v>520</v>
      </c>
      <c r="G183" s="2">
        <v>365</v>
      </c>
      <c r="H183" s="2">
        <v>370</v>
      </c>
      <c r="I183" s="2">
        <v>2283</v>
      </c>
      <c r="K183" s="11">
        <v>337</v>
      </c>
      <c r="L183" s="12">
        <f t="shared" si="0"/>
        <v>22148</v>
      </c>
    </row>
    <row r="184" spans="1:13">
      <c r="A184" s="7">
        <v>45992</v>
      </c>
      <c r="B184" s="13" t="s">
        <v>14</v>
      </c>
      <c r="C184" s="3" t="s">
        <v>12</v>
      </c>
      <c r="D184" s="4">
        <v>8321</v>
      </c>
      <c r="E184" s="8">
        <v>275</v>
      </c>
      <c r="G184" s="2">
        <v>1467</v>
      </c>
      <c r="I184" s="2">
        <v>1286</v>
      </c>
      <c r="K184" s="11" t="s">
        <v>49</v>
      </c>
      <c r="L184" s="12">
        <f t="shared" si="0"/>
        <v>11349</v>
      </c>
      <c r="M184" s="12">
        <f>L184+L185</f>
        <v>19009</v>
      </c>
    </row>
    <row r="185" spans="1:13">
      <c r="A185" s="7">
        <v>45992</v>
      </c>
      <c r="B185" s="13" t="s">
        <v>14</v>
      </c>
      <c r="C185" s="3" t="s">
        <v>13</v>
      </c>
      <c r="D185" s="4">
        <v>7314</v>
      </c>
      <c r="E185" s="8">
        <v>308</v>
      </c>
      <c r="H185" s="2">
        <v>38</v>
      </c>
      <c r="K185" s="11"/>
      <c r="L185" s="12">
        <f t="shared" si="0"/>
        <v>7660</v>
      </c>
    </row>
    <row r="186" spans="1:13">
      <c r="A186" s="7">
        <v>45992</v>
      </c>
      <c r="B186" s="13" t="s">
        <v>11</v>
      </c>
      <c r="C186" s="3" t="s">
        <v>12</v>
      </c>
      <c r="D186" s="4">
        <v>8566</v>
      </c>
      <c r="E186" s="8">
        <v>47.5</v>
      </c>
      <c r="G186" s="2">
        <v>461</v>
      </c>
      <c r="H186" s="2">
        <v>615</v>
      </c>
      <c r="I186" s="2">
        <v>1592</v>
      </c>
      <c r="K186" s="11"/>
      <c r="L186" s="12">
        <f t="shared" si="0"/>
        <v>11281.5</v>
      </c>
      <c r="M186" s="12">
        <f>L186+L187</f>
        <v>18463.5</v>
      </c>
    </row>
    <row r="187" spans="1:13">
      <c r="A187" s="7">
        <v>45992</v>
      </c>
      <c r="B187" s="13" t="s">
        <v>11</v>
      </c>
      <c r="C187" s="3" t="s">
        <v>13</v>
      </c>
      <c r="D187" s="4">
        <v>5331</v>
      </c>
      <c r="E187" s="8">
        <v>95</v>
      </c>
      <c r="G187" s="2">
        <v>842</v>
      </c>
      <c r="H187" s="2">
        <v>914</v>
      </c>
      <c r="K187" s="11"/>
      <c r="L187" s="12">
        <f t="shared" si="0"/>
        <v>7182</v>
      </c>
    </row>
    <row r="188" spans="1:13">
      <c r="A188" s="7">
        <v>45992</v>
      </c>
      <c r="B188" s="13" t="s">
        <v>42</v>
      </c>
      <c r="C188" s="3" t="s">
        <v>13</v>
      </c>
      <c r="D188" s="4">
        <v>2750</v>
      </c>
      <c r="H188" s="2">
        <v>152</v>
      </c>
      <c r="I188" s="2">
        <v>641</v>
      </c>
      <c r="K188" s="11">
        <v>-2231</v>
      </c>
      <c r="L188" s="12">
        <f t="shared" si="0"/>
        <v>1312</v>
      </c>
      <c r="M188" s="12">
        <f>L188+L189</f>
        <v>8529</v>
      </c>
    </row>
    <row r="189" spans="1:13">
      <c r="A189" s="7">
        <v>45992</v>
      </c>
      <c r="B189" s="13" t="s">
        <v>42</v>
      </c>
      <c r="C189" s="3" t="s">
        <v>12</v>
      </c>
      <c r="D189" s="4">
        <v>7162</v>
      </c>
      <c r="H189" s="2">
        <v>55</v>
      </c>
      <c r="K189" s="11"/>
      <c r="L189" s="12">
        <f t="shared" si="0"/>
        <v>7217</v>
      </c>
    </row>
    <row r="190" spans="1:13">
      <c r="A190" s="7">
        <v>45992</v>
      </c>
      <c r="B190" s="13" t="s">
        <v>50</v>
      </c>
      <c r="C190" s="3" t="s">
        <v>13</v>
      </c>
      <c r="D190" s="4">
        <v>17099</v>
      </c>
      <c r="G190" s="2">
        <v>2201</v>
      </c>
      <c r="H190" s="2">
        <v>105</v>
      </c>
      <c r="K190" s="11"/>
      <c r="L190" s="12">
        <f t="shared" si="0"/>
        <v>19405</v>
      </c>
      <c r="M190" s="12">
        <f>L190+L191</f>
        <v>29072.57</v>
      </c>
    </row>
    <row r="191" spans="1:13">
      <c r="A191" s="7">
        <v>45992</v>
      </c>
      <c r="B191" s="13" t="s">
        <v>50</v>
      </c>
      <c r="C191" s="3" t="s">
        <v>12</v>
      </c>
      <c r="D191" s="4">
        <v>6359</v>
      </c>
      <c r="G191" s="2">
        <v>908</v>
      </c>
      <c r="H191" s="2">
        <v>2139</v>
      </c>
      <c r="K191" s="11">
        <v>261.57</v>
      </c>
      <c r="L191" s="12">
        <f t="shared" si="0"/>
        <v>9667.57</v>
      </c>
    </row>
    <row r="192" spans="1:13">
      <c r="A192" s="7">
        <v>46023</v>
      </c>
      <c r="B192" s="13" t="s">
        <v>19</v>
      </c>
      <c r="C192" s="3" t="s">
        <v>12</v>
      </c>
      <c r="D192" s="4">
        <v>6475</v>
      </c>
      <c r="E192" s="8">
        <v>415</v>
      </c>
      <c r="G192" s="2">
        <v>385</v>
      </c>
      <c r="I192" s="2">
        <v>137</v>
      </c>
      <c r="K192" s="2">
        <v>-189</v>
      </c>
    </row>
    <row r="193" spans="1:11">
      <c r="A193" s="7">
        <v>46023</v>
      </c>
      <c r="B193" s="13" t="s">
        <v>19</v>
      </c>
      <c r="C193" s="3" t="s">
        <v>13</v>
      </c>
      <c r="D193" s="4">
        <v>9581</v>
      </c>
      <c r="E193" s="8">
        <v>627</v>
      </c>
      <c r="G193" s="2">
        <v>36</v>
      </c>
      <c r="K193" s="2" t="s">
        <v>51</v>
      </c>
    </row>
    <row r="194" spans="1:11">
      <c r="A194" s="7">
        <v>46023</v>
      </c>
      <c r="B194" s="13" t="s">
        <v>18</v>
      </c>
      <c r="C194" s="3" t="s">
        <v>13</v>
      </c>
      <c r="D194" s="4">
        <v>20456</v>
      </c>
      <c r="E194" s="8">
        <v>585</v>
      </c>
      <c r="G194" s="2">
        <v>923</v>
      </c>
      <c r="I194" s="2">
        <v>1607</v>
      </c>
      <c r="K194" s="2" t="s">
        <v>52</v>
      </c>
    </row>
    <row r="195" spans="1:11">
      <c r="A195" s="7">
        <v>46023</v>
      </c>
      <c r="B195" s="13" t="s">
        <v>18</v>
      </c>
      <c r="C195" s="3" t="s">
        <v>12</v>
      </c>
      <c r="D195" s="4">
        <v>15756</v>
      </c>
      <c r="E195" s="8">
        <v>502.5</v>
      </c>
      <c r="G195" s="2">
        <v>639</v>
      </c>
      <c r="I195" s="2">
        <v>358</v>
      </c>
      <c r="K195" s="2">
        <f>75+114</f>
        <v>189</v>
      </c>
    </row>
    <row r="196" spans="1:11">
      <c r="A196" s="7">
        <v>46023</v>
      </c>
      <c r="B196" s="13" t="s">
        <v>17</v>
      </c>
      <c r="C196" s="3" t="s">
        <v>13</v>
      </c>
      <c r="D196" s="4">
        <v>30262</v>
      </c>
      <c r="E196" s="8">
        <v>211</v>
      </c>
      <c r="G196" s="2">
        <v>3227</v>
      </c>
      <c r="I196" s="2">
        <v>1609</v>
      </c>
      <c r="J196" s="4">
        <v>2000</v>
      </c>
      <c r="K196" s="2">
        <v>1170</v>
      </c>
    </row>
    <row r="197" spans="1:11">
      <c r="A197" s="7">
        <v>46023</v>
      </c>
      <c r="B197" s="13" t="s">
        <v>17</v>
      </c>
      <c r="C197" s="3" t="s">
        <v>12</v>
      </c>
      <c r="D197" s="4">
        <v>23094</v>
      </c>
      <c r="E197" s="8">
        <v>850</v>
      </c>
      <c r="G197" s="2">
        <v>1982</v>
      </c>
      <c r="I197" s="2">
        <v>614</v>
      </c>
      <c r="K197" s="2">
        <v>729</v>
      </c>
    </row>
    <row r="198" spans="1:11">
      <c r="A198" s="7">
        <v>46023</v>
      </c>
      <c r="B198" s="13" t="s">
        <v>16</v>
      </c>
      <c r="C198" s="3" t="s">
        <v>13</v>
      </c>
      <c r="D198" s="4">
        <v>26067</v>
      </c>
      <c r="E198" s="8">
        <v>654</v>
      </c>
      <c r="G198" s="2">
        <v>590</v>
      </c>
      <c r="I198" s="2">
        <v>677</v>
      </c>
      <c r="K198" s="2">
        <v>120</v>
      </c>
    </row>
    <row r="199" spans="1:11">
      <c r="A199" s="7">
        <v>46023</v>
      </c>
      <c r="B199" s="13" t="s">
        <v>16</v>
      </c>
      <c r="C199" s="3" t="s">
        <v>12</v>
      </c>
      <c r="D199" s="4">
        <v>26672</v>
      </c>
      <c r="E199" s="8">
        <v>607.5</v>
      </c>
      <c r="G199" s="2">
        <v>807</v>
      </c>
    </row>
    <row r="200" spans="1:11">
      <c r="A200" s="7">
        <v>46023</v>
      </c>
      <c r="B200" s="13" t="s">
        <v>15</v>
      </c>
      <c r="C200" s="3" t="s">
        <v>13</v>
      </c>
      <c r="D200" s="4">
        <v>12271</v>
      </c>
      <c r="E200" s="8">
        <v>471</v>
      </c>
      <c r="G200" s="2">
        <v>1157</v>
      </c>
      <c r="K200" s="2">
        <f>-810+330</f>
        <v>-480</v>
      </c>
    </row>
    <row r="201" spans="1:11">
      <c r="A201" s="7">
        <v>46023</v>
      </c>
      <c r="B201" s="13" t="s">
        <v>15</v>
      </c>
      <c r="C201" s="3" t="s">
        <v>12</v>
      </c>
      <c r="D201" s="4">
        <v>18888</v>
      </c>
      <c r="E201" s="8">
        <v>465</v>
      </c>
      <c r="G201" s="2">
        <v>1713</v>
      </c>
      <c r="I201" s="2">
        <v>2600</v>
      </c>
      <c r="K201" s="2">
        <v>171</v>
      </c>
    </row>
    <row r="202" spans="1:11">
      <c r="A202" s="7">
        <v>46023</v>
      </c>
      <c r="B202" s="13" t="s">
        <v>14</v>
      </c>
      <c r="C202" s="3" t="s">
        <v>12</v>
      </c>
      <c r="D202" s="4">
        <v>7797</v>
      </c>
      <c r="E202" s="8">
        <v>150</v>
      </c>
      <c r="G202" s="2">
        <v>705</v>
      </c>
      <c r="I202" s="2">
        <v>977</v>
      </c>
      <c r="K202" s="2">
        <v>-900</v>
      </c>
    </row>
    <row r="203" spans="1:11">
      <c r="A203" s="7">
        <v>46023</v>
      </c>
      <c r="B203" s="13" t="s">
        <v>14</v>
      </c>
      <c r="C203" s="3" t="s">
        <v>13</v>
      </c>
      <c r="D203" s="4">
        <v>7110</v>
      </c>
      <c r="E203" s="8">
        <v>150</v>
      </c>
    </row>
    <row r="204" spans="1:11">
      <c r="A204" s="7">
        <v>46023</v>
      </c>
      <c r="B204" s="13" t="s">
        <v>11</v>
      </c>
      <c r="C204" s="3" t="s">
        <v>12</v>
      </c>
      <c r="D204" s="4">
        <v>5576</v>
      </c>
      <c r="E204" s="8">
        <v>290</v>
      </c>
    </row>
    <row r="205" spans="1:11">
      <c r="A205" s="7">
        <v>46023</v>
      </c>
      <c r="B205" s="13" t="s">
        <v>11</v>
      </c>
      <c r="C205" s="3" t="s">
        <v>13</v>
      </c>
      <c r="D205" s="4">
        <v>5474</v>
      </c>
      <c r="E205" s="8">
        <v>289</v>
      </c>
      <c r="G205" s="2">
        <v>89</v>
      </c>
    </row>
    <row r="206" spans="1:11">
      <c r="A206" s="7">
        <v>46023</v>
      </c>
      <c r="B206" s="13" t="s">
        <v>42</v>
      </c>
      <c r="C206" s="3" t="s">
        <v>13</v>
      </c>
      <c r="D206" s="4">
        <v>2764</v>
      </c>
      <c r="K206" s="2">
        <v>-360</v>
      </c>
    </row>
    <row r="207" spans="1:11">
      <c r="A207" s="7">
        <v>46023</v>
      </c>
      <c r="B207" s="13" t="s">
        <v>42</v>
      </c>
      <c r="C207" s="3" t="s">
        <v>12</v>
      </c>
      <c r="D207" s="4">
        <v>7192</v>
      </c>
    </row>
    <row r="208" spans="1:11">
      <c r="A208" s="7">
        <v>46023</v>
      </c>
      <c r="B208" s="13" t="s">
        <v>50</v>
      </c>
      <c r="C208" s="3" t="s">
        <v>13</v>
      </c>
      <c r="D208" s="4">
        <v>19579</v>
      </c>
      <c r="G208" s="2">
        <v>23</v>
      </c>
    </row>
    <row r="209" spans="1:11">
      <c r="A209" s="7">
        <v>46023</v>
      </c>
      <c r="B209" s="13" t="s">
        <v>50</v>
      </c>
      <c r="C209" s="3" t="s">
        <v>12</v>
      </c>
      <c r="D209" s="4">
        <v>11190</v>
      </c>
      <c r="G209" s="2">
        <v>11</v>
      </c>
    </row>
    <row r="210" spans="1:11">
      <c r="A210" s="7">
        <v>46054</v>
      </c>
      <c r="B210" s="13" t="s">
        <v>19</v>
      </c>
      <c r="C210" s="3" t="s">
        <v>13</v>
      </c>
      <c r="D210" s="4">
        <v>9721</v>
      </c>
      <c r="E210" s="8">
        <v>592</v>
      </c>
      <c r="G210" s="2">
        <v>2103</v>
      </c>
      <c r="K210" s="2">
        <v>-505</v>
      </c>
    </row>
    <row r="211" spans="1:11">
      <c r="A211" s="7">
        <v>46054</v>
      </c>
      <c r="B211" s="13" t="s">
        <v>19</v>
      </c>
      <c r="C211" s="3" t="s">
        <v>12</v>
      </c>
      <c r="D211" s="4">
        <v>6264</v>
      </c>
      <c r="E211" s="8">
        <v>390</v>
      </c>
      <c r="G211" s="2">
        <v>778</v>
      </c>
    </row>
    <row r="212" spans="1:11">
      <c r="A212" s="7">
        <v>46054</v>
      </c>
      <c r="B212" s="13" t="s">
        <v>18</v>
      </c>
      <c r="C212" s="3" t="s">
        <v>13</v>
      </c>
      <c r="D212" s="4">
        <v>18512</v>
      </c>
      <c r="E212" s="8">
        <v>734</v>
      </c>
      <c r="G212" s="2">
        <v>1553</v>
      </c>
      <c r="I212" s="2">
        <v>1607</v>
      </c>
      <c r="K212" s="2">
        <v>505</v>
      </c>
    </row>
    <row r="213" spans="1:11">
      <c r="A213" s="7">
        <v>46054</v>
      </c>
      <c r="B213" s="13" t="s">
        <v>18</v>
      </c>
      <c r="C213" s="3" t="s">
        <v>12</v>
      </c>
      <c r="D213" s="4">
        <v>13529</v>
      </c>
      <c r="E213" s="8">
        <v>728</v>
      </c>
      <c r="G213" s="2">
        <v>981</v>
      </c>
      <c r="I213" s="2">
        <v>386</v>
      </c>
    </row>
    <row r="214" spans="1:11">
      <c r="A214" s="7">
        <v>46054</v>
      </c>
      <c r="B214" s="13" t="s">
        <v>17</v>
      </c>
      <c r="C214" s="3" t="s">
        <v>13</v>
      </c>
      <c r="D214" s="4">
        <v>24811</v>
      </c>
      <c r="E214" s="8">
        <v>233</v>
      </c>
      <c r="G214" s="2">
        <v>1279</v>
      </c>
      <c r="I214" s="2">
        <v>849</v>
      </c>
      <c r="K214" s="2">
        <f>173+330</f>
        <v>503</v>
      </c>
    </row>
    <row r="215" spans="1:11">
      <c r="A215" s="7">
        <v>46054</v>
      </c>
      <c r="B215" s="13" t="s">
        <v>17</v>
      </c>
      <c r="C215" s="3" t="s">
        <v>12</v>
      </c>
      <c r="D215" s="4">
        <v>22345</v>
      </c>
      <c r="E215" s="8">
        <v>960</v>
      </c>
      <c r="G215" s="2">
        <v>1635</v>
      </c>
      <c r="I215" s="2">
        <v>196</v>
      </c>
      <c r="J215" s="4">
        <v>20000</v>
      </c>
      <c r="K215" s="2">
        <v>31</v>
      </c>
    </row>
    <row r="216" spans="1:11">
      <c r="A216" s="7">
        <v>46054</v>
      </c>
      <c r="B216" s="13" t="s">
        <v>16</v>
      </c>
      <c r="C216" s="3" t="s">
        <v>13</v>
      </c>
      <c r="D216" s="4">
        <v>21454</v>
      </c>
      <c r="E216" s="8">
        <v>646</v>
      </c>
      <c r="G216" s="2">
        <v>1974</v>
      </c>
      <c r="I216" s="2">
        <v>1496</v>
      </c>
    </row>
    <row r="217" spans="1:11">
      <c r="A217" s="7">
        <v>46054</v>
      </c>
      <c r="B217" s="13" t="s">
        <v>16</v>
      </c>
      <c r="C217" s="3" t="s">
        <v>12</v>
      </c>
      <c r="D217" s="4">
        <v>22335</v>
      </c>
      <c r="E217" s="8">
        <v>634</v>
      </c>
      <c r="G217" s="2">
        <v>1623</v>
      </c>
      <c r="I217" s="2">
        <v>68</v>
      </c>
    </row>
    <row r="218" spans="1:11">
      <c r="A218" s="7">
        <v>46054</v>
      </c>
      <c r="B218" s="13" t="s">
        <v>15</v>
      </c>
      <c r="C218" s="3" t="s">
        <v>13</v>
      </c>
      <c r="D218" s="4">
        <v>13224</v>
      </c>
      <c r="E218" s="8">
        <v>565</v>
      </c>
      <c r="G218" s="2">
        <v>1801</v>
      </c>
    </row>
    <row r="219" spans="1:11">
      <c r="A219" s="7">
        <v>46054</v>
      </c>
      <c r="B219" s="13" t="s">
        <v>15</v>
      </c>
      <c r="C219" s="3" t="s">
        <v>12</v>
      </c>
      <c r="D219" s="4">
        <v>17696</v>
      </c>
      <c r="E219" s="8">
        <v>373</v>
      </c>
      <c r="G219" s="2">
        <v>1740</v>
      </c>
      <c r="I219" s="2">
        <v>1896</v>
      </c>
      <c r="K219" s="2">
        <v>-23</v>
      </c>
    </row>
    <row r="220" spans="1:11">
      <c r="A220" s="7">
        <v>46054</v>
      </c>
      <c r="B220" s="13" t="s">
        <v>14</v>
      </c>
      <c r="C220" s="3" t="s">
        <v>12</v>
      </c>
      <c r="D220" s="4">
        <v>8380</v>
      </c>
      <c r="E220" s="8">
        <v>100</v>
      </c>
      <c r="G220" s="2">
        <v>2978</v>
      </c>
      <c r="I220" s="2">
        <v>313</v>
      </c>
      <c r="K220" s="2">
        <f>23+(-31)</f>
        <v>-8</v>
      </c>
    </row>
    <row r="221" spans="1:11">
      <c r="A221" s="7">
        <v>46054</v>
      </c>
      <c r="B221" s="13" t="s">
        <v>14</v>
      </c>
      <c r="C221" s="3" t="s">
        <v>13</v>
      </c>
      <c r="D221" s="4">
        <v>7110</v>
      </c>
      <c r="E221" s="8">
        <v>150</v>
      </c>
      <c r="G221" s="2">
        <v>317</v>
      </c>
    </row>
    <row r="222" spans="1:11">
      <c r="A222" s="7">
        <v>46054</v>
      </c>
      <c r="B222" s="13" t="s">
        <v>11</v>
      </c>
      <c r="C222" s="3" t="s">
        <v>12</v>
      </c>
      <c r="D222" s="4">
        <v>5107</v>
      </c>
      <c r="E222" s="8">
        <v>350</v>
      </c>
      <c r="G222" s="2">
        <v>400</v>
      </c>
    </row>
    <row r="223" spans="1:11">
      <c r="A223" s="7">
        <v>46054</v>
      </c>
      <c r="B223" s="13" t="s">
        <v>11</v>
      </c>
      <c r="C223" s="3" t="s">
        <v>13</v>
      </c>
      <c r="D223" s="4">
        <v>5555</v>
      </c>
      <c r="E223" s="8">
        <v>350</v>
      </c>
      <c r="G223" s="2">
        <v>294</v>
      </c>
    </row>
    <row r="224" spans="1:11">
      <c r="A224" s="7">
        <v>46054</v>
      </c>
      <c r="B224" s="13" t="s">
        <v>42</v>
      </c>
      <c r="C224" s="3" t="s">
        <v>13</v>
      </c>
      <c r="D224" s="4">
        <v>2765</v>
      </c>
      <c r="G224" s="2">
        <v>228</v>
      </c>
      <c r="K224" s="2">
        <v>-173</v>
      </c>
    </row>
    <row r="225" spans="1:11">
      <c r="A225" s="7">
        <v>46054</v>
      </c>
      <c r="B225" s="13" t="s">
        <v>42</v>
      </c>
      <c r="C225" s="3" t="s">
        <v>12</v>
      </c>
      <c r="D225" s="4">
        <v>5767</v>
      </c>
    </row>
    <row r="226" spans="1:11">
      <c r="A226" s="7">
        <v>46054</v>
      </c>
      <c r="B226" s="13" t="s">
        <v>50</v>
      </c>
      <c r="C226" s="3" t="s">
        <v>13</v>
      </c>
      <c r="D226" s="4">
        <v>16875</v>
      </c>
    </row>
    <row r="227" spans="1:11">
      <c r="A227" s="7">
        <v>46054</v>
      </c>
      <c r="B227" s="13" t="s">
        <v>50</v>
      </c>
      <c r="C227" s="3" t="s">
        <v>12</v>
      </c>
      <c r="D227" s="4">
        <v>9311</v>
      </c>
    </row>
    <row r="228" spans="1:11">
      <c r="A228" s="7">
        <v>46082</v>
      </c>
      <c r="B228" s="13" t="s">
        <v>19</v>
      </c>
      <c r="C228" s="3" t="s">
        <v>53</v>
      </c>
      <c r="D228" s="4">
        <v>9778</v>
      </c>
      <c r="E228" s="8">
        <v>781</v>
      </c>
      <c r="G228" s="2">
        <v>2836</v>
      </c>
      <c r="H228" s="2">
        <v>360</v>
      </c>
    </row>
    <row r="229" spans="1:11">
      <c r="A229" s="7">
        <v>46082</v>
      </c>
      <c r="B229" s="13" t="s">
        <v>19</v>
      </c>
      <c r="C229" s="3" t="s">
        <v>54</v>
      </c>
      <c r="D229" s="4">
        <v>6193</v>
      </c>
      <c r="E229" s="8">
        <v>414</v>
      </c>
      <c r="G229" s="2">
        <v>8432</v>
      </c>
      <c r="H229" s="2">
        <v>275</v>
      </c>
    </row>
    <row r="230" spans="1:11">
      <c r="A230" s="7">
        <v>46082</v>
      </c>
      <c r="B230" s="13" t="s">
        <v>18</v>
      </c>
      <c r="C230" s="3" t="s">
        <v>53</v>
      </c>
      <c r="D230" s="4">
        <v>17819</v>
      </c>
      <c r="E230" s="8">
        <v>800</v>
      </c>
      <c r="G230" s="2">
        <v>1821</v>
      </c>
      <c r="H230" s="2">
        <v>3737</v>
      </c>
      <c r="I230" s="2">
        <v>2588</v>
      </c>
    </row>
    <row r="231" spans="1:11">
      <c r="A231" s="7">
        <v>46082</v>
      </c>
      <c r="B231" s="13" t="s">
        <v>18</v>
      </c>
      <c r="C231" s="3" t="s">
        <v>54</v>
      </c>
      <c r="D231" s="4">
        <v>14605</v>
      </c>
      <c r="E231" s="8">
        <v>846</v>
      </c>
      <c r="G231" s="2">
        <v>2676</v>
      </c>
      <c r="H231" s="2">
        <v>100</v>
      </c>
      <c r="I231" s="2">
        <v>405</v>
      </c>
    </row>
    <row r="232" spans="1:11">
      <c r="A232" s="7">
        <v>46082</v>
      </c>
      <c r="B232" s="13" t="s">
        <v>17</v>
      </c>
      <c r="C232" s="3" t="s">
        <v>53</v>
      </c>
      <c r="D232" s="4">
        <v>29017</v>
      </c>
      <c r="E232" s="8">
        <v>850</v>
      </c>
      <c r="G232" s="2">
        <v>458</v>
      </c>
      <c r="H232" s="2">
        <v>1792</v>
      </c>
    </row>
    <row r="233" spans="1:11">
      <c r="A233" s="7">
        <v>46082</v>
      </c>
      <c r="B233" s="13" t="s">
        <v>17</v>
      </c>
      <c r="C233" s="3" t="s">
        <v>54</v>
      </c>
      <c r="D233" s="4">
        <v>26195</v>
      </c>
      <c r="E233" s="8">
        <v>1507</v>
      </c>
      <c r="G233" s="2">
        <v>2466</v>
      </c>
      <c r="H233" s="2">
        <v>845</v>
      </c>
      <c r="I233" s="2">
        <v>350</v>
      </c>
    </row>
    <row r="234" spans="1:11">
      <c r="A234" s="7">
        <v>46082</v>
      </c>
      <c r="B234" s="13" t="s">
        <v>16</v>
      </c>
      <c r="C234" s="3" t="s">
        <v>53</v>
      </c>
      <c r="D234" s="4">
        <v>24015</v>
      </c>
      <c r="E234" s="8">
        <v>812</v>
      </c>
      <c r="G234" s="2">
        <v>1688</v>
      </c>
      <c r="I234" s="2">
        <v>677</v>
      </c>
    </row>
    <row r="235" spans="1:11">
      <c r="A235" s="7">
        <v>46082</v>
      </c>
      <c r="B235" s="13" t="s">
        <v>16</v>
      </c>
      <c r="C235" s="3" t="s">
        <v>55</v>
      </c>
      <c r="D235" s="4">
        <v>22075</v>
      </c>
      <c r="E235" s="8">
        <v>831</v>
      </c>
      <c r="G235" s="2">
        <v>3025</v>
      </c>
      <c r="H235" s="2">
        <v>725</v>
      </c>
      <c r="I235" s="2">
        <v>555</v>
      </c>
    </row>
    <row r="236" spans="1:11">
      <c r="A236" s="7">
        <v>46082</v>
      </c>
      <c r="B236" s="13" t="s">
        <v>15</v>
      </c>
      <c r="C236" s="3" t="s">
        <v>53</v>
      </c>
      <c r="D236" s="4">
        <v>13344</v>
      </c>
      <c r="E236" s="8">
        <v>901</v>
      </c>
      <c r="G236" s="2">
        <v>2379</v>
      </c>
    </row>
    <row r="237" spans="1:11">
      <c r="A237" s="7">
        <v>46082</v>
      </c>
      <c r="B237" s="13" t="s">
        <v>15</v>
      </c>
      <c r="C237" s="3" t="s">
        <v>55</v>
      </c>
      <c r="D237" s="4">
        <v>18402</v>
      </c>
      <c r="E237" s="8">
        <v>591</v>
      </c>
      <c r="G237" s="2">
        <v>2277</v>
      </c>
      <c r="I237" s="2">
        <v>921</v>
      </c>
      <c r="K237" s="2">
        <v>106</v>
      </c>
    </row>
    <row r="238" spans="1:11">
      <c r="A238" s="7">
        <v>46082</v>
      </c>
      <c r="B238" s="13" t="s">
        <v>14</v>
      </c>
      <c r="C238" s="3" t="s">
        <v>54</v>
      </c>
      <c r="D238" s="4">
        <v>7956</v>
      </c>
      <c r="E238" s="8">
        <v>125</v>
      </c>
      <c r="G238" s="2">
        <v>1447</v>
      </c>
      <c r="K238" s="2">
        <v>-106</v>
      </c>
    </row>
    <row r="239" spans="1:11">
      <c r="A239" s="7">
        <v>46082</v>
      </c>
      <c r="B239" s="13" t="s">
        <v>14</v>
      </c>
      <c r="C239" s="3" t="s">
        <v>53</v>
      </c>
      <c r="D239" s="4">
        <v>7485</v>
      </c>
      <c r="E239" s="8">
        <v>250</v>
      </c>
      <c r="G239" s="2">
        <v>159</v>
      </c>
    </row>
    <row r="240" spans="1:11">
      <c r="A240" s="7">
        <v>46082</v>
      </c>
      <c r="B240" s="13" t="s">
        <v>11</v>
      </c>
      <c r="C240" s="3" t="s">
        <v>54</v>
      </c>
      <c r="D240" s="4">
        <v>5130</v>
      </c>
      <c r="E240" s="8">
        <v>125</v>
      </c>
      <c r="H240" s="2">
        <v>150</v>
      </c>
    </row>
    <row r="241" spans="1:9">
      <c r="A241" s="7">
        <v>46082</v>
      </c>
      <c r="B241" s="13" t="s">
        <v>11</v>
      </c>
      <c r="C241" s="3" t="s">
        <v>53</v>
      </c>
      <c r="D241" s="4">
        <v>5915</v>
      </c>
      <c r="E241" s="8">
        <v>247</v>
      </c>
      <c r="H241" s="2">
        <v>90</v>
      </c>
      <c r="I241" s="2">
        <v>1603</v>
      </c>
    </row>
    <row r="242" spans="1:9">
      <c r="A242" s="7">
        <v>46082</v>
      </c>
      <c r="B242" s="13" t="s">
        <v>42</v>
      </c>
      <c r="C242" s="3" t="s">
        <v>53</v>
      </c>
      <c r="D242" s="4">
        <v>2765</v>
      </c>
    </row>
    <row r="243" spans="1:9">
      <c r="A243" s="7">
        <v>46082</v>
      </c>
      <c r="B243" s="13" t="s">
        <v>42</v>
      </c>
      <c r="C243" s="3" t="s">
        <v>54</v>
      </c>
      <c r="D243" s="4">
        <v>4737</v>
      </c>
      <c r="E243" s="8">
        <v>125</v>
      </c>
      <c r="G243" s="2">
        <v>302</v>
      </c>
    </row>
    <row r="244" spans="1:9">
      <c r="A244" s="7">
        <v>46082</v>
      </c>
      <c r="B244" s="13" t="s">
        <v>50</v>
      </c>
      <c r="C244" s="3" t="s">
        <v>53</v>
      </c>
      <c r="D244" s="4">
        <v>17764</v>
      </c>
      <c r="E244" s="8">
        <v>792</v>
      </c>
    </row>
    <row r="245" spans="1:9">
      <c r="A245" s="7">
        <v>46082</v>
      </c>
      <c r="B245" s="13" t="s">
        <v>50</v>
      </c>
      <c r="C245" s="3" t="s">
        <v>54</v>
      </c>
      <c r="D245" s="4">
        <v>9832</v>
      </c>
      <c r="E245" s="8">
        <v>679</v>
      </c>
      <c r="G245" s="2">
        <v>782</v>
      </c>
      <c r="H245" s="2">
        <v>255</v>
      </c>
    </row>
    <row r="246" spans="1:9">
      <c r="A246" s="7">
        <v>46026</v>
      </c>
      <c r="B246" s="13" t="s">
        <v>19</v>
      </c>
      <c r="C246" s="3" t="s">
        <v>53</v>
      </c>
      <c r="D246" s="4">
        <v>10577</v>
      </c>
      <c r="E246" s="8">
        <v>781</v>
      </c>
      <c r="G246" s="2">
        <v>418</v>
      </c>
      <c r="H246" s="2">
        <v>232</v>
      </c>
    </row>
    <row r="247" spans="1:9">
      <c r="A247" s="7">
        <v>46026</v>
      </c>
      <c r="B247" s="13" t="s">
        <v>19</v>
      </c>
      <c r="C247" s="3" t="s">
        <v>54</v>
      </c>
      <c r="D247" s="4">
        <v>6855</v>
      </c>
      <c r="E247" s="8">
        <v>414</v>
      </c>
      <c r="G247" s="2">
        <v>62</v>
      </c>
      <c r="H247" s="2">
        <v>250</v>
      </c>
      <c r="I247" s="2">
        <v>443</v>
      </c>
    </row>
    <row r="248" spans="1:9">
      <c r="A248" s="7">
        <v>46026</v>
      </c>
      <c r="B248" s="13" t="s">
        <v>18</v>
      </c>
      <c r="C248" s="3" t="s">
        <v>53</v>
      </c>
      <c r="D248" s="4">
        <v>25524</v>
      </c>
      <c r="E248" s="8">
        <v>800</v>
      </c>
      <c r="G248" s="2">
        <v>176</v>
      </c>
      <c r="H248" s="2">
        <v>2052</v>
      </c>
      <c r="I248" s="2">
        <v>4235</v>
      </c>
    </row>
    <row r="249" spans="1:9">
      <c r="A249" s="7">
        <v>46026</v>
      </c>
      <c r="B249" s="13" t="s">
        <v>18</v>
      </c>
      <c r="C249" s="3" t="s">
        <v>54</v>
      </c>
      <c r="D249" s="4">
        <v>16159</v>
      </c>
      <c r="E249" s="8">
        <v>846</v>
      </c>
      <c r="G249" s="2">
        <v>688</v>
      </c>
      <c r="H249" s="2">
        <v>40</v>
      </c>
    </row>
    <row r="250" spans="1:9">
      <c r="A250" s="7">
        <v>46026</v>
      </c>
      <c r="B250" s="13" t="s">
        <v>17</v>
      </c>
      <c r="C250" s="3" t="s">
        <v>53</v>
      </c>
      <c r="D250" s="4">
        <v>33590</v>
      </c>
      <c r="E250" s="8">
        <v>851</v>
      </c>
      <c r="G250" s="2">
        <v>299</v>
      </c>
      <c r="H250" s="2">
        <v>228</v>
      </c>
      <c r="I250" s="2">
        <v>163</v>
      </c>
    </row>
    <row r="251" spans="1:9">
      <c r="A251" s="7">
        <v>46026</v>
      </c>
      <c r="B251" s="13" t="s">
        <v>17</v>
      </c>
      <c r="C251" s="3" t="s">
        <v>54</v>
      </c>
      <c r="D251" s="4">
        <v>28243</v>
      </c>
      <c r="E251" s="8">
        <v>1507</v>
      </c>
      <c r="G251" s="2">
        <v>277</v>
      </c>
      <c r="H251" s="2">
        <v>210</v>
      </c>
      <c r="I251" s="2">
        <v>1244</v>
      </c>
    </row>
    <row r="252" spans="1:9">
      <c r="A252" s="7">
        <v>46026</v>
      </c>
      <c r="B252" s="13" t="s">
        <v>16</v>
      </c>
      <c r="C252" s="3" t="s">
        <v>53</v>
      </c>
      <c r="D252" s="4">
        <v>23492</v>
      </c>
      <c r="E252" s="8">
        <v>812</v>
      </c>
      <c r="G252" s="2">
        <v>315</v>
      </c>
      <c r="H252" s="2">
        <v>504</v>
      </c>
      <c r="I252" s="2">
        <v>825</v>
      </c>
    </row>
    <row r="253" spans="1:9">
      <c r="A253" s="7">
        <v>46026</v>
      </c>
      <c r="B253" s="13" t="s">
        <v>16</v>
      </c>
      <c r="C253" s="3" t="s">
        <v>54</v>
      </c>
      <c r="D253" s="4">
        <v>24159</v>
      </c>
      <c r="E253" s="8">
        <v>831</v>
      </c>
      <c r="G253" s="2">
        <v>462</v>
      </c>
      <c r="H253" s="2">
        <v>1467.5</v>
      </c>
      <c r="I253" s="2">
        <v>830</v>
      </c>
    </row>
    <row r="254" spans="1:9">
      <c r="A254" s="7">
        <v>46026</v>
      </c>
      <c r="B254" s="13" t="s">
        <v>15</v>
      </c>
      <c r="C254" s="3" t="s">
        <v>53</v>
      </c>
      <c r="D254" s="4">
        <v>14919</v>
      </c>
      <c r="E254" s="8">
        <v>902</v>
      </c>
      <c r="G254" s="2">
        <v>665</v>
      </c>
    </row>
    <row r="255" spans="1:9">
      <c r="A255" s="7">
        <v>46026</v>
      </c>
      <c r="B255" s="13" t="s">
        <v>15</v>
      </c>
      <c r="C255" s="3" t="s">
        <v>54</v>
      </c>
      <c r="D255" s="4">
        <v>22212</v>
      </c>
      <c r="E255" s="8">
        <v>591</v>
      </c>
      <c r="G255" s="2">
        <v>556</v>
      </c>
      <c r="I255" s="2">
        <v>1619</v>
      </c>
    </row>
    <row r="256" spans="1:9">
      <c r="A256" s="7">
        <v>46026</v>
      </c>
      <c r="B256" s="13" t="s">
        <v>14</v>
      </c>
      <c r="C256" s="3" t="s">
        <v>54</v>
      </c>
      <c r="D256" s="4">
        <v>8411</v>
      </c>
      <c r="E256" s="8">
        <v>125</v>
      </c>
      <c r="G256" s="2">
        <v>336</v>
      </c>
    </row>
    <row r="257" spans="1:9">
      <c r="A257" s="7">
        <v>46026</v>
      </c>
      <c r="B257" s="13" t="s">
        <v>14</v>
      </c>
      <c r="C257" s="3" t="s">
        <v>53</v>
      </c>
      <c r="D257" s="4">
        <v>7623</v>
      </c>
      <c r="E257" s="8">
        <v>250</v>
      </c>
      <c r="I257" s="2">
        <v>151</v>
      </c>
    </row>
    <row r="258" spans="1:9">
      <c r="A258" s="7">
        <v>46026</v>
      </c>
      <c r="B258" s="13" t="s">
        <v>11</v>
      </c>
      <c r="C258" s="3" t="s">
        <v>54</v>
      </c>
      <c r="D258" s="4">
        <v>5533</v>
      </c>
      <c r="E258" s="8">
        <v>125</v>
      </c>
      <c r="G258" s="2">
        <v>174</v>
      </c>
      <c r="H258" s="2">
        <v>430</v>
      </c>
    </row>
    <row r="259" spans="1:9">
      <c r="A259" s="7">
        <v>46026</v>
      </c>
      <c r="B259" s="13" t="s">
        <v>11</v>
      </c>
      <c r="C259" s="3" t="s">
        <v>53</v>
      </c>
      <c r="D259" s="4">
        <v>5709</v>
      </c>
      <c r="E259" s="8">
        <v>247</v>
      </c>
      <c r="G259" s="2">
        <v>114</v>
      </c>
      <c r="H259" s="2">
        <v>231</v>
      </c>
    </row>
    <row r="260" spans="1:9">
      <c r="A260" s="7">
        <v>46026</v>
      </c>
      <c r="B260" s="13" t="s">
        <v>42</v>
      </c>
      <c r="C260" s="3" t="s">
        <v>53</v>
      </c>
      <c r="D260" s="4">
        <v>2988</v>
      </c>
      <c r="H260" s="2">
        <v>85.5</v>
      </c>
    </row>
    <row r="261" spans="1:9">
      <c r="A261" s="7">
        <v>46026</v>
      </c>
      <c r="B261" s="13" t="s">
        <v>42</v>
      </c>
      <c r="C261" s="3" t="s">
        <v>54</v>
      </c>
      <c r="D261" s="4">
        <v>4796</v>
      </c>
      <c r="E261" s="8">
        <v>125</v>
      </c>
      <c r="G261" s="2">
        <v>62</v>
      </c>
    </row>
    <row r="262" spans="1:9">
      <c r="A262" s="7">
        <v>46026</v>
      </c>
      <c r="B262" s="13" t="s">
        <v>50</v>
      </c>
      <c r="C262" s="3" t="s">
        <v>53</v>
      </c>
      <c r="D262" s="4">
        <v>19091</v>
      </c>
      <c r="E262" s="8">
        <v>792</v>
      </c>
      <c r="G262" s="2">
        <v>139</v>
      </c>
      <c r="H262" s="2">
        <v>160</v>
      </c>
      <c r="I262" s="2">
        <v>822</v>
      </c>
    </row>
    <row r="263" spans="1:9">
      <c r="A263" s="7">
        <v>46026</v>
      </c>
      <c r="B263" s="13" t="s">
        <v>50</v>
      </c>
      <c r="C263" s="3" t="s">
        <v>54</v>
      </c>
      <c r="D263" s="4">
        <v>11468</v>
      </c>
      <c r="E263" s="8">
        <v>679</v>
      </c>
      <c r="G263" s="2">
        <v>3</v>
      </c>
    </row>
    <row r="264" spans="1:9">
      <c r="A264" s="7">
        <v>46027</v>
      </c>
      <c r="B264" s="13" t="s">
        <v>19</v>
      </c>
      <c r="C264" s="3" t="s">
        <v>53</v>
      </c>
      <c r="D264" s="4">
        <v>10049</v>
      </c>
      <c r="E264" s="8">
        <v>447</v>
      </c>
      <c r="G264" s="2">
        <v>588</v>
      </c>
      <c r="H264" s="2" t="s">
        <v>56</v>
      </c>
    </row>
    <row r="265" spans="1:9">
      <c r="A265" s="7">
        <v>46027</v>
      </c>
      <c r="B265" s="13" t="s">
        <v>19</v>
      </c>
      <c r="C265" s="3" t="s">
        <v>54</v>
      </c>
      <c r="D265" s="4">
        <v>7434</v>
      </c>
      <c r="E265" s="8">
        <v>388</v>
      </c>
      <c r="G265" s="2">
        <v>4.9800000000000004</v>
      </c>
      <c r="H265" s="2">
        <v>423.25</v>
      </c>
      <c r="I265" s="2">
        <v>401</v>
      </c>
    </row>
    <row r="266" spans="1:9">
      <c r="A266" s="7">
        <v>46027</v>
      </c>
      <c r="B266" s="13" t="s">
        <v>18</v>
      </c>
      <c r="C266" s="3" t="s">
        <v>53</v>
      </c>
      <c r="D266" s="4">
        <v>23344</v>
      </c>
      <c r="E266" s="8">
        <v>1219</v>
      </c>
      <c r="G266" s="2">
        <v>315</v>
      </c>
      <c r="H266" s="2">
        <v>670</v>
      </c>
      <c r="I266" s="2">
        <v>3157</v>
      </c>
    </row>
    <row r="267" spans="1:9">
      <c r="A267" s="7">
        <v>46027</v>
      </c>
      <c r="B267" s="13" t="s">
        <v>18</v>
      </c>
      <c r="C267" s="3" t="s">
        <v>54</v>
      </c>
      <c r="D267" s="4">
        <v>16542</v>
      </c>
      <c r="E267" s="8">
        <v>1434</v>
      </c>
      <c r="G267" s="2">
        <v>275</v>
      </c>
      <c r="I267" s="2">
        <v>192</v>
      </c>
    </row>
    <row r="268" spans="1:9">
      <c r="A268" s="7">
        <v>46027</v>
      </c>
      <c r="B268" s="13" t="s">
        <v>17</v>
      </c>
      <c r="C268" s="3" t="s">
        <v>53</v>
      </c>
      <c r="D268" s="4">
        <v>37536</v>
      </c>
      <c r="E268" s="8">
        <v>2515</v>
      </c>
      <c r="G268" s="2">
        <v>200.72</v>
      </c>
      <c r="H268" s="2">
        <v>457</v>
      </c>
      <c r="I268" s="2">
        <v>1728</v>
      </c>
    </row>
    <row r="269" spans="1:9">
      <c r="A269" s="7">
        <v>46027</v>
      </c>
      <c r="B269" s="13" t="s">
        <v>17</v>
      </c>
      <c r="C269" s="3" t="s">
        <v>54</v>
      </c>
      <c r="D269" s="4">
        <v>33332</v>
      </c>
      <c r="E269" s="8">
        <v>2639</v>
      </c>
      <c r="G269" s="2">
        <v>741</v>
      </c>
      <c r="H269" s="2">
        <v>50</v>
      </c>
      <c r="I269" s="2">
        <v>199</v>
      </c>
    </row>
    <row r="270" spans="1:9">
      <c r="A270" s="7">
        <v>46027</v>
      </c>
      <c r="B270" s="13" t="s">
        <v>16</v>
      </c>
      <c r="C270" s="3" t="s">
        <v>53</v>
      </c>
      <c r="D270" s="4">
        <v>25452</v>
      </c>
      <c r="E270" s="8">
        <v>1953</v>
      </c>
      <c r="G270" s="2">
        <v>409</v>
      </c>
      <c r="H270" s="2">
        <v>74</v>
      </c>
      <c r="I270" s="2">
        <v>1789</v>
      </c>
    </row>
    <row r="271" spans="1:9">
      <c r="A271" s="7">
        <v>46027</v>
      </c>
      <c r="B271" s="13" t="s">
        <v>16</v>
      </c>
      <c r="C271" s="3" t="s">
        <v>54</v>
      </c>
      <c r="D271" s="4">
        <v>30535</v>
      </c>
      <c r="E271" s="8">
        <v>2002</v>
      </c>
      <c r="G271" s="2">
        <v>870</v>
      </c>
      <c r="H271" s="2">
        <v>995</v>
      </c>
      <c r="I271" s="2">
        <v>561</v>
      </c>
    </row>
    <row r="272" spans="1:9">
      <c r="A272" s="7">
        <v>46027</v>
      </c>
      <c r="B272" s="13" t="s">
        <v>15</v>
      </c>
      <c r="C272" s="3" t="s">
        <v>53</v>
      </c>
      <c r="D272" s="4">
        <v>16252</v>
      </c>
      <c r="E272" s="8">
        <v>1366</v>
      </c>
      <c r="G272" s="2">
        <v>320</v>
      </c>
    </row>
    <row r="273" spans="1:9">
      <c r="A273" s="7">
        <v>46027</v>
      </c>
      <c r="B273" s="13" t="s">
        <v>15</v>
      </c>
      <c r="C273" s="3" t="s">
        <v>55</v>
      </c>
      <c r="D273" s="4">
        <v>20367</v>
      </c>
      <c r="E273" s="8">
        <v>1210</v>
      </c>
      <c r="G273" s="2">
        <v>704</v>
      </c>
      <c r="I273" s="2">
        <v>4103</v>
      </c>
    </row>
    <row r="274" spans="1:9">
      <c r="A274" s="7">
        <v>46027</v>
      </c>
      <c r="B274" s="13" t="s">
        <v>14</v>
      </c>
      <c r="C274" s="3" t="s">
        <v>54</v>
      </c>
      <c r="D274" s="4">
        <v>8092</v>
      </c>
      <c r="E274" s="8">
        <v>235</v>
      </c>
      <c r="G274" s="2">
        <v>333</v>
      </c>
    </row>
    <row r="275" spans="1:9">
      <c r="A275" s="7">
        <v>46027</v>
      </c>
      <c r="B275" s="13" t="s">
        <v>14</v>
      </c>
      <c r="C275" s="3" t="s">
        <v>53</v>
      </c>
      <c r="D275" s="4">
        <v>8480</v>
      </c>
      <c r="E275" s="8">
        <v>238</v>
      </c>
    </row>
    <row r="276" spans="1:9">
      <c r="A276" s="7">
        <v>46027</v>
      </c>
      <c r="B276" s="13" t="s">
        <v>11</v>
      </c>
      <c r="C276" s="3" t="s">
        <v>54</v>
      </c>
      <c r="D276" s="4">
        <v>5686</v>
      </c>
      <c r="E276" s="8">
        <v>250</v>
      </c>
      <c r="G276" s="2">
        <v>44</v>
      </c>
      <c r="H276" s="2">
        <v>595</v>
      </c>
      <c r="I276" s="2">
        <v>77</v>
      </c>
    </row>
    <row r="277" spans="1:9">
      <c r="A277" s="7">
        <v>46027</v>
      </c>
      <c r="B277" s="13" t="s">
        <v>11</v>
      </c>
      <c r="C277" s="3" t="s">
        <v>53</v>
      </c>
      <c r="D277" s="4">
        <v>5954</v>
      </c>
      <c r="E277" s="8">
        <v>244</v>
      </c>
      <c r="G277" s="2">
        <v>62</v>
      </c>
      <c r="H277" s="2">
        <v>645</v>
      </c>
    </row>
    <row r="278" spans="1:9">
      <c r="A278" s="7">
        <v>46027</v>
      </c>
      <c r="B278" s="13" t="s">
        <v>42</v>
      </c>
      <c r="C278" s="3" t="s">
        <v>53</v>
      </c>
      <c r="D278" s="4">
        <v>2988</v>
      </c>
      <c r="G278" s="2">
        <v>28</v>
      </c>
    </row>
    <row r="279" spans="1:9">
      <c r="A279" s="7">
        <v>46027</v>
      </c>
      <c r="B279" s="13" t="s">
        <v>42</v>
      </c>
      <c r="C279" s="3" t="s">
        <v>54</v>
      </c>
      <c r="D279" s="4">
        <v>4933</v>
      </c>
      <c r="E279" s="8">
        <v>218</v>
      </c>
      <c r="G279" s="2">
        <v>123</v>
      </c>
      <c r="I279" s="2">
        <v>53</v>
      </c>
    </row>
    <row r="280" spans="1:9">
      <c r="A280" s="7">
        <v>46027</v>
      </c>
      <c r="B280" s="13" t="s">
        <v>50</v>
      </c>
      <c r="C280" s="3" t="s">
        <v>54</v>
      </c>
      <c r="D280" s="4">
        <v>11111</v>
      </c>
      <c r="E280" s="8">
        <v>341</v>
      </c>
      <c r="G280" s="2">
        <v>459</v>
      </c>
      <c r="H280" s="2">
        <v>860</v>
      </c>
    </row>
    <row r="281" spans="1:9">
      <c r="A281" s="7">
        <v>46027</v>
      </c>
      <c r="B281" s="13" t="s">
        <v>50</v>
      </c>
      <c r="C281" s="3" t="s">
        <v>53</v>
      </c>
      <c r="D281" s="4">
        <v>17441</v>
      </c>
      <c r="E281" s="8">
        <v>443</v>
      </c>
      <c r="G281" s="2">
        <v>20</v>
      </c>
      <c r="I281" s="2">
        <v>1449</v>
      </c>
    </row>
    <row r="282" spans="1:9">
      <c r="A282" s="7">
        <v>46027</v>
      </c>
    </row>
    <row r="283" spans="1:9">
      <c r="A283" s="7">
        <v>46027</v>
      </c>
    </row>
    <row r="284" spans="1:9">
      <c r="A284" s="7">
        <v>46027</v>
      </c>
    </row>
  </sheetData>
  <autoFilter ref="A1:L245" xr:uid="{C137AF61-E3E1-4166-8774-CE3692B98A9E}">
    <filterColumn colId="1">
      <filters>
        <filter val="Mirador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964C6E-967C-4050-B641-A549EB11F613}">
          <x14:formula1>
            <xm:f>dades!$C$2:$C$9</xm:f>
          </x14:formula1>
          <xm:sqref>B2:B7 B11:B25 B28:B32 B35 B37:B675</xm:sqref>
        </x14:dataValidation>
        <x14:dataValidation type="list" allowBlank="1" showInputMessage="1" showErrorMessage="1" xr:uid="{EA037FAA-35C6-47AC-B93B-B326F659B981}">
          <x14:formula1>
            <xm:f>dades!$B$2:$B$3</xm:f>
          </x14:formula1>
          <xm:sqref>C2:C178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AB95-30F8-4BE4-8D65-A80FE25EADE4}">
  <dimension ref="B1:C10"/>
  <sheetViews>
    <sheetView topLeftCell="A234" workbookViewId="0">
      <selection activeCell="B263" sqref="B263"/>
    </sheetView>
  </sheetViews>
  <sheetFormatPr defaultColWidth="9.140625" defaultRowHeight="15"/>
  <cols>
    <col min="2" max="2" width="14.28515625" customWidth="1"/>
    <col min="3" max="3" width="12.42578125" customWidth="1"/>
  </cols>
  <sheetData>
    <row r="1" spans="2:3">
      <c r="B1" t="s">
        <v>57</v>
      </c>
      <c r="C1" t="s">
        <v>58</v>
      </c>
    </row>
    <row r="2" spans="2:3">
      <c r="B2" t="s">
        <v>12</v>
      </c>
      <c r="C2" t="s">
        <v>19</v>
      </c>
    </row>
    <row r="3" spans="2:3">
      <c r="B3" t="s">
        <v>13</v>
      </c>
      <c r="C3" t="s">
        <v>18</v>
      </c>
    </row>
    <row r="4" spans="2:3">
      <c r="C4" t="s">
        <v>17</v>
      </c>
    </row>
    <row r="5" spans="2:3">
      <c r="C5" t="s">
        <v>16</v>
      </c>
    </row>
    <row r="6" spans="2:3">
      <c r="C6" t="s">
        <v>15</v>
      </c>
    </row>
    <row r="7" spans="2:3">
      <c r="C7" t="s">
        <v>14</v>
      </c>
    </row>
    <row r="8" spans="2:3">
      <c r="C8" t="s">
        <v>11</v>
      </c>
    </row>
    <row r="9" spans="2:3">
      <c r="C9" t="s">
        <v>42</v>
      </c>
    </row>
    <row r="10" spans="2:3"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Oriol Puig - CAL BLAY</dc:creator>
  <cp:keywords/>
  <dc:description/>
  <cp:lastModifiedBy>Esther Anglès - CAL BLAY</cp:lastModifiedBy>
  <cp:revision/>
  <dcterms:created xsi:type="dcterms:W3CDTF">2025-10-31T09:52:19Z</dcterms:created>
  <dcterms:modified xsi:type="dcterms:W3CDTF">2026-06-30T10:05:43Z</dcterms:modified>
  <cp:category/>
  <cp:contentStatus/>
</cp:coreProperties>
</file>