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c.eXPLOT/"/>
    </mc:Choice>
  </mc:AlternateContent>
  <xr:revisionPtr revIDLastSave="9" documentId="13_ncr:1_{E39EAB7E-E67C-4DD7-936F-743E5FC81E76}" xr6:coauthVersionLast="47" xr6:coauthVersionMax="47" xr10:uidLastSave="{9D505D98-FDE0-45B9-B4B7-5A6872E963DC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D17" i="1" s="1"/>
  <c r="D20" i="1"/>
  <c r="D21" i="1"/>
  <c r="D22" i="1"/>
  <c r="D23" i="1"/>
  <c r="D24" i="1"/>
  <c r="D25" i="1"/>
  <c r="D26" i="1"/>
  <c r="D27" i="1"/>
  <c r="D28" i="1"/>
  <c r="D29" i="1"/>
  <c r="D30" i="1"/>
  <c r="D19" i="1"/>
  <c r="E33" i="1"/>
  <c r="F33" i="1"/>
  <c r="G33" i="1"/>
  <c r="H33" i="1"/>
  <c r="I33" i="1"/>
  <c r="J33" i="1"/>
  <c r="K33" i="1"/>
  <c r="L33" i="1"/>
  <c r="M33" i="1"/>
  <c r="N33" i="1"/>
  <c r="E31" i="1"/>
  <c r="F31" i="1"/>
  <c r="G31" i="1"/>
  <c r="H31" i="1"/>
  <c r="I31" i="1"/>
  <c r="J31" i="1"/>
  <c r="K31" i="1"/>
  <c r="L31" i="1"/>
  <c r="M31" i="1"/>
  <c r="N31" i="1"/>
  <c r="E18" i="1"/>
  <c r="F18" i="1"/>
  <c r="G18" i="1"/>
  <c r="H18" i="1"/>
  <c r="I18" i="1"/>
  <c r="J18" i="1"/>
  <c r="K18" i="1"/>
  <c r="L18" i="1"/>
  <c r="M18" i="1"/>
  <c r="N18" i="1"/>
  <c r="E12" i="1"/>
  <c r="F12" i="1"/>
  <c r="G12" i="1"/>
  <c r="H12" i="1"/>
  <c r="I12" i="1"/>
  <c r="J12" i="1"/>
  <c r="K12" i="1"/>
  <c r="L12" i="1"/>
  <c r="M12" i="1"/>
  <c r="N12" i="1"/>
  <c r="E14" i="1"/>
  <c r="D14" i="1" s="1"/>
  <c r="D15" i="1"/>
  <c r="D16" i="1"/>
  <c r="M14" i="1"/>
  <c r="G14" i="1"/>
  <c r="K14" i="1"/>
  <c r="H14" i="1"/>
  <c r="I14" i="1"/>
  <c r="L14" i="1"/>
  <c r="F14" i="1"/>
  <c r="D18" i="1" l="1"/>
  <c r="D31" i="1"/>
  <c r="D12" i="1"/>
  <c r="D9" i="1"/>
  <c r="D10" i="1"/>
  <c r="D11" i="1"/>
  <c r="D8" i="1"/>
  <c r="E7" i="1"/>
  <c r="F7" i="1"/>
  <c r="G7" i="1"/>
  <c r="H7" i="1"/>
  <c r="I7" i="1"/>
  <c r="J7" i="1"/>
  <c r="K7" i="1"/>
  <c r="L7" i="1"/>
  <c r="M7" i="1"/>
  <c r="N7" i="1"/>
  <c r="D7" i="1"/>
  <c r="J14" i="1"/>
  <c r="N14" i="1"/>
  <c r="H3" i="1"/>
  <c r="F13" i="1"/>
  <c r="D33" i="1" l="1"/>
</calcChain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<sst xmlns="http://schemas.openxmlformats.org/spreadsheetml/2006/main" count="59" uniqueCount="59">
  <si>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</si>
  <si>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</si>
  <si>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</si>
  <si>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</si>
  <si>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</si>
  <si>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</si>
  <si>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</si>
  <si>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</si>
  <si>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</si>
  <si>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</si>
  <si>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</si>
  <si>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</si>
  <si>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CCR00009</t>
  </si>
  <si>
    <t>CCR00010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</si>
  <si>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</si>
  <si>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</si>
  <si>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</si>
  <si>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</si>
  <si>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</si>
  <si>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</si>
  <si>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</si>
  <si>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</si>
  <si>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</si>
  <si>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</si>
  <si>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</si>
  <si>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</si>
  <si>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</si>
  <si>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</si>
  <si>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</si>
  <si>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</si>
  <si>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</si>
  <si>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</si>
  <si>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</si>
  <si>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</si>
  <si>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</si>
  <si>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</si>
  <si>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</si>
  <si>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</si>
  <si>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</si>
  <si>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</si>
  <si>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</si>
  <si>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</si>
  <si>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</si>
  <si>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</si>
  <si>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</si>
  <si>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</si>
  <si>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</si>
  <si>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</si>
  <si>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</si>
  <si>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</si>
  <si>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</si>
  <si>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</si>
  <si>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</si>
  <si>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</si>
  <si>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</si>
  <si>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IMPOST SOBRE BENEFICIS</t>
  </si>
  <si>
    <t>RESULTAT DESPRES D'IMPOSTOS</t>
  </si>
  <si>
    <t>RESULTAT ACUMULAT</t>
  </si>
  <si>
    <t>.   No definido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</si>
</sst>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workbookViewId="0">
      <selection activeCell="D17" sqref="D17"/>
    </sheetView>
  </sheetViews>
  <sheetFormatPr baseColWidth="10" defaultColWidth="9.140625" defaultRowHeight="15" x14ac:dyDescent="0.25"/>
  <cols>
    <col min="3" max="3" width="27.28515625" customWidth="1"/>
    <col min="4" max="14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1</v>
      </c>
      <c r="C2" t="s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>
        <v>2</v>
      </c>
      <c r="B3">
        <v>2</v>
      </c>
      <c r="C3" t="s">
        <v>16</v>
      </c>
      <c r="D3">
        <v>387182.53</v>
      </c>
      <c r="E3">
        <v>0</v>
      </c>
      <c r="F3">
        <v>18693.990000000002</v>
      </c>
      <c r="G3">
        <v>51563.51</v>
      </c>
      <c r="H3">
        <f>150849.26+1069</f>
        <v>151918.26</v>
      </c>
      <c r="I3">
        <v>43870.36</v>
      </c>
      <c r="J3">
        <v>2719.86</v>
      </c>
      <c r="K3">
        <v>76714.09</v>
      </c>
      <c r="L3">
        <v>11838.87</v>
      </c>
      <c r="M3">
        <v>5396.3</v>
      </c>
      <c r="N3">
        <v>25536.29</v>
      </c>
      <c r="O3">
        <v>0</v>
      </c>
    </row>
    <row r="4" spans="1:15" x14ac:dyDescent="0.25">
      <c r="A4">
        <v>3</v>
      </c>
      <c r="B4">
        <v>3</v>
      </c>
      <c r="C4" t="s">
        <v>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>
        <v>4</v>
      </c>
      <c r="B5">
        <v>4</v>
      </c>
      <c r="C5" t="s">
        <v>18</v>
      </c>
      <c r="D5">
        <v>4617.95</v>
      </c>
      <c r="E5">
        <v>0</v>
      </c>
      <c r="F5">
        <v>0</v>
      </c>
      <c r="G5">
        <v>0</v>
      </c>
      <c r="H5">
        <v>317.95</v>
      </c>
      <c r="I5">
        <v>0</v>
      </c>
      <c r="J5">
        <v>0</v>
      </c>
      <c r="K5">
        <v>0</v>
      </c>
      <c r="L5">
        <v>4300</v>
      </c>
      <c r="M5">
        <v>0</v>
      </c>
      <c r="N5">
        <v>0</v>
      </c>
      <c r="O5">
        <v>0</v>
      </c>
    </row>
    <row r="6" spans="1:15" x14ac:dyDescent="0.25">
      <c r="A6">
        <v>5</v>
      </c>
      <c r="B6">
        <v>5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>
        <v>6</v>
      </c>
      <c r="B7">
        <v>6</v>
      </c>
      <c r="C7" t="s">
        <v>20</v>
      </c>
      <c r="D7">
        <f>SUM(D3:D6)</f>
        <v>391800.48000000004</v>
      </c>
      <c r="E7">
        <f t="shared" ref="E7:N7" si="0">SUM(E3:E6)</f>
        <v>0</v>
      </c>
      <c r="F7">
        <f t="shared" si="0"/>
        <v>18693.990000000002</v>
      </c>
      <c r="G7">
        <f t="shared" si="0"/>
        <v>51563.51</v>
      </c>
      <c r="H7">
        <f t="shared" si="0"/>
        <v>152236.21000000002</v>
      </c>
      <c r="I7">
        <f t="shared" si="0"/>
        <v>43870.36</v>
      </c>
      <c r="J7">
        <f t="shared" si="0"/>
        <v>2719.86</v>
      </c>
      <c r="K7">
        <f t="shared" si="0"/>
        <v>76714.09</v>
      </c>
      <c r="L7">
        <f t="shared" si="0"/>
        <v>16138.87</v>
      </c>
      <c r="M7">
        <f t="shared" si="0"/>
        <v>5396.3</v>
      </c>
      <c r="N7">
        <f t="shared" si="0"/>
        <v>25536.29</v>
      </c>
      <c r="O7">
        <v>0</v>
      </c>
    </row>
    <row r="8" spans="1:15" x14ac:dyDescent="0.25">
      <c r="A8">
        <v>7</v>
      </c>
      <c r="B8">
        <v>7</v>
      </c>
      <c r="C8" t="s">
        <v>21</v>
      </c>
      <c r="D8">
        <f>SUM(E8:N8)</f>
        <v>-81960.81</v>
      </c>
      <c r="E8">
        <v>0</v>
      </c>
      <c r="F8">
        <v>-5048.8999999999996</v>
      </c>
      <c r="G8">
        <v>-12069.67</v>
      </c>
      <c r="H8">
        <v>-33596.339999999997</v>
      </c>
      <c r="I8">
        <v>-7205.9</v>
      </c>
      <c r="J8">
        <v>-325.27</v>
      </c>
      <c r="K8">
        <v>-14758.52</v>
      </c>
      <c r="L8">
        <v>-2323.58</v>
      </c>
      <c r="M8">
        <v>-2203.1999999999998</v>
      </c>
      <c r="N8">
        <v>-4429.43</v>
      </c>
      <c r="O8">
        <v>0</v>
      </c>
    </row>
    <row r="9" spans="1:15" x14ac:dyDescent="0.25">
      <c r="A9">
        <v>8</v>
      </c>
      <c r="B9">
        <v>8</v>
      </c>
      <c r="C9" t="s">
        <v>22</v>
      </c>
      <c r="D9">
        <f t="shared" ref="D9:D11" si="1">SUM(E9:N9)</f>
        <v>-8323.91</v>
      </c>
      <c r="E9">
        <v>-20.34</v>
      </c>
      <c r="F9">
        <v>-467.42</v>
      </c>
      <c r="G9">
        <v>-421.72</v>
      </c>
      <c r="H9">
        <v>-3506.15</v>
      </c>
      <c r="I9">
        <v>-367.41</v>
      </c>
      <c r="J9">
        <v>-86.77</v>
      </c>
      <c r="K9">
        <v>-1659.16</v>
      </c>
      <c r="L9">
        <v>-15.3</v>
      </c>
      <c r="M9">
        <v>-219.22</v>
      </c>
      <c r="N9">
        <v>-1560.42</v>
      </c>
      <c r="O9">
        <v>0</v>
      </c>
    </row>
    <row r="10" spans="1:15" x14ac:dyDescent="0.25">
      <c r="A10">
        <v>9</v>
      </c>
      <c r="B10">
        <v>9</v>
      </c>
      <c r="C10" t="s">
        <v>23</v>
      </c>
      <c r="D10">
        <f t="shared" si="1"/>
        <v>-38863.39</v>
      </c>
      <c r="E10">
        <v>0</v>
      </c>
      <c r="F10">
        <v>-2572.4699999999998</v>
      </c>
      <c r="G10">
        <v>-4801.28</v>
      </c>
      <c r="H10">
        <v>-15776.51</v>
      </c>
      <c r="I10">
        <v>-3167.41</v>
      </c>
      <c r="J10">
        <v>-549.12</v>
      </c>
      <c r="K10">
        <v>-8308.26</v>
      </c>
      <c r="L10">
        <v>-963.4</v>
      </c>
      <c r="M10">
        <v>-1249.7</v>
      </c>
      <c r="N10">
        <v>-1475.24</v>
      </c>
      <c r="O10">
        <v>0</v>
      </c>
    </row>
    <row r="11" spans="1:15" x14ac:dyDescent="0.25">
      <c r="A11">
        <v>10</v>
      </c>
      <c r="B11">
        <v>10</v>
      </c>
      <c r="C11" t="s">
        <v>24</v>
      </c>
      <c r="D11">
        <f t="shared" si="1"/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>
        <v>11</v>
      </c>
      <c r="B12">
        <v>11</v>
      </c>
      <c r="C12" t="s">
        <v>25</v>
      </c>
      <c r="D12">
        <f>SUM(D8:D11)</f>
        <v>-129148.11</v>
      </c>
      <c r="E12">
        <f t="shared" ref="E12:N12" si="2">SUM(E8:E11)</f>
        <v>-20.34</v>
      </c>
      <c r="F12">
        <f t="shared" si="2"/>
        <v>-8088.7899999999991</v>
      </c>
      <c r="G12">
        <f t="shared" si="2"/>
        <v>-17292.669999999998</v>
      </c>
      <c r="H12">
        <f t="shared" si="2"/>
        <v>-52879</v>
      </c>
      <c r="I12">
        <f t="shared" si="2"/>
        <v>-10740.72</v>
      </c>
      <c r="J12">
        <f t="shared" si="2"/>
        <v>-961.16</v>
      </c>
      <c r="K12">
        <f t="shared" si="2"/>
        <v>-24725.940000000002</v>
      </c>
      <c r="L12">
        <f t="shared" si="2"/>
        <v>-3302.28</v>
      </c>
      <c r="M12">
        <f t="shared" si="2"/>
        <v>-3672.12</v>
      </c>
      <c r="N12">
        <f t="shared" si="2"/>
        <v>-7465.09</v>
      </c>
      <c r="O12">
        <v>0</v>
      </c>
    </row>
    <row r="13" spans="1:15" x14ac:dyDescent="0.25">
      <c r="A13">
        <v>12</v>
      </c>
      <c r="B13">
        <v>12</v>
      </c>
      <c r="C13" t="s">
        <v>26</v>
      </c>
      <c r="D13">
        <v>301515.76</v>
      </c>
      <c r="E13">
        <v>-20.34</v>
      </c>
      <c r="F13">
        <f>13177.67</f>
        <v>13177.67</v>
      </c>
      <c r="G13">
        <v>39072.120000000003</v>
      </c>
      <c r="H13">
        <v>114064.72</v>
      </c>
      <c r="I13">
        <v>36297.050000000003</v>
      </c>
      <c r="J13">
        <v>2307.8200000000002</v>
      </c>
      <c r="K13">
        <v>60296.41</v>
      </c>
      <c r="L13">
        <v>13799.99</v>
      </c>
      <c r="M13">
        <v>2973.88</v>
      </c>
      <c r="N13">
        <v>19546.439999999999</v>
      </c>
      <c r="O13">
        <v>0</v>
      </c>
    </row>
    <row r="14" spans="1:15" x14ac:dyDescent="0.25">
      <c r="A14">
        <v>13</v>
      </c>
      <c r="B14">
        <v>13</v>
      </c>
      <c r="C14" t="s">
        <v>27</v>
      </c>
      <c r="D14">
        <f>SUM(E14:N14)</f>
        <v>-240865.21000000002</v>
      </c>
      <c r="E14">
        <f>-21004.96-20000</f>
        <v>-41004.959999999999</v>
      </c>
      <c r="F14">
        <f>-12113.82-125+524.4</f>
        <v>-11714.42</v>
      </c>
      <c r="G14">
        <f>-40608.23-140-144</f>
        <v>-40892.230000000003</v>
      </c>
      <c r="H14">
        <f>-40627.7-3526.89-2278.8</f>
        <v>-46433.39</v>
      </c>
      <c r="I14">
        <f>-24237.98+972-204.9</f>
        <v>-23470.880000000001</v>
      </c>
      <c r="J14">
        <f>-7293.03-63</f>
        <v>-7356.03</v>
      </c>
      <c r="K14">
        <f>-26729.41-2152.82-380.4</f>
        <v>-29262.63</v>
      </c>
      <c r="L14">
        <f>-12203.81+1006.5</f>
        <v>-11197.31</v>
      </c>
      <c r="M14">
        <f>-7519.45+1350-108</f>
        <v>-6277.45</v>
      </c>
      <c r="N14">
        <f>-22820.91-435</f>
        <v>-23255.91</v>
      </c>
      <c r="O14">
        <v>0</v>
      </c>
    </row>
    <row r="15" spans="1:15" x14ac:dyDescent="0.25">
      <c r="A15">
        <v>14</v>
      </c>
      <c r="B15">
        <v>14</v>
      </c>
      <c r="C15" t="s">
        <v>28</v>
      </c>
      <c r="D15">
        <f t="shared" ref="D15:D17" si="3">SUM(E15:N15)</f>
        <v>-2000</v>
      </c>
      <c r="E15">
        <v>0</v>
      </c>
      <c r="F15">
        <v>0</v>
      </c>
      <c r="G15">
        <v>0</v>
      </c>
      <c r="H15">
        <v>-2000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>
        <v>15</v>
      </c>
      <c r="B16">
        <v>15</v>
      </c>
      <c r="C16" t="s">
        <v>29</v>
      </c>
      <c r="D16">
        <f t="shared" si="3"/>
        <v>-62895.34</v>
      </c>
      <c r="E16">
        <v>-6888.25</v>
      </c>
      <c r="F16">
        <v>-3935.15</v>
      </c>
      <c r="G16">
        <v>-11868.32</v>
      </c>
      <c r="H16">
        <v>-11074.13</v>
      </c>
      <c r="I16">
        <v>-6168.37</v>
      </c>
      <c r="J16">
        <v>-2623.61</v>
      </c>
      <c r="K16">
        <v>-8016.9</v>
      </c>
      <c r="L16">
        <v>-2481.63</v>
      </c>
      <c r="M16">
        <v>-2327.6999999999998</v>
      </c>
      <c r="N16">
        <v>-7511.28</v>
      </c>
      <c r="O16">
        <v>0</v>
      </c>
    </row>
    <row r="17" spans="1:15" x14ac:dyDescent="0.25">
      <c r="A17">
        <v>16</v>
      </c>
      <c r="B17">
        <v>16</v>
      </c>
      <c r="C17" t="s">
        <v>30</v>
      </c>
      <c r="D17">
        <f t="shared" si="3"/>
        <v>-2425.7799999999997</v>
      </c>
      <c r="E17">
        <f>-365.6</f>
        <v>-365.6</v>
      </c>
      <c r="F17">
        <v>-56.98</v>
      </c>
      <c r="G17">
        <v>-113.98</v>
      </c>
      <c r="H17">
        <v>-256.11</v>
      </c>
      <c r="I17">
        <v>-949.95</v>
      </c>
      <c r="J17">
        <v>-290.89999999999998</v>
      </c>
      <c r="K17">
        <v>-113.98</v>
      </c>
      <c r="L17">
        <v>-278.27999999999997</v>
      </c>
      <c r="M17">
        <v>0</v>
      </c>
      <c r="N17">
        <v>0</v>
      </c>
      <c r="O17">
        <v>0</v>
      </c>
    </row>
    <row r="18" spans="1:15" x14ac:dyDescent="0.25">
      <c r="A18">
        <v>17</v>
      </c>
      <c r="B18">
        <v>17</v>
      </c>
      <c r="C18" t="s">
        <v>31</v>
      </c>
      <c r="D18">
        <f>SUM(D14:D17)</f>
        <v>-308186.33000000007</v>
      </c>
      <c r="E18">
        <f t="shared" ref="E18:N18" si="4">SUM(E14:E17)</f>
        <v>-48258.81</v>
      </c>
      <c r="F18">
        <f t="shared" si="4"/>
        <v>-15706.55</v>
      </c>
      <c r="G18">
        <f t="shared" si="4"/>
        <v>-52874.530000000006</v>
      </c>
      <c r="H18">
        <f t="shared" si="4"/>
        <v>-59763.63</v>
      </c>
      <c r="I18">
        <f t="shared" si="4"/>
        <v>-30589.200000000001</v>
      </c>
      <c r="J18">
        <f t="shared" si="4"/>
        <v>-10270.539999999999</v>
      </c>
      <c r="K18">
        <f t="shared" si="4"/>
        <v>-37393.51</v>
      </c>
      <c r="L18">
        <f t="shared" si="4"/>
        <v>-13957.22</v>
      </c>
      <c r="M18">
        <f t="shared" si="4"/>
        <v>-8605.15</v>
      </c>
      <c r="N18">
        <f t="shared" si="4"/>
        <v>-30767.19</v>
      </c>
      <c r="O18">
        <v>0</v>
      </c>
    </row>
    <row r="19" spans="1:15" x14ac:dyDescent="0.25">
      <c r="A19">
        <v>18</v>
      </c>
      <c r="B19">
        <v>18</v>
      </c>
      <c r="C19" t="s">
        <v>32</v>
      </c>
      <c r="D19">
        <f>SUM(E19:N19)</f>
        <v>-14200.619999999999</v>
      </c>
      <c r="E19">
        <v>0</v>
      </c>
      <c r="F19">
        <v>-203.12</v>
      </c>
      <c r="G19">
        <v>-3982.99</v>
      </c>
      <c r="H19">
        <v>-267.58</v>
      </c>
      <c r="I19">
        <v>0</v>
      </c>
      <c r="J19">
        <v>-1030</v>
      </c>
      <c r="K19">
        <v>-4220.3599999999997</v>
      </c>
      <c r="L19">
        <v>0</v>
      </c>
      <c r="M19">
        <v>-1729.9</v>
      </c>
      <c r="N19">
        <v>-2766.67</v>
      </c>
      <c r="O19">
        <v>0</v>
      </c>
    </row>
    <row r="20" spans="1:15" x14ac:dyDescent="0.25">
      <c r="A20">
        <v>19</v>
      </c>
      <c r="B20">
        <v>19</v>
      </c>
      <c r="C20" t="s">
        <v>33</v>
      </c>
      <c r="D20">
        <f t="shared" ref="D20:D30" si="5">SUM(E20:N20)</f>
        <v>-14865.140000000001</v>
      </c>
      <c r="E20">
        <v>0</v>
      </c>
      <c r="F20">
        <v>-3254.51</v>
      </c>
      <c r="G20">
        <v>-379.63</v>
      </c>
      <c r="H20">
        <v>-2711.7</v>
      </c>
      <c r="I20">
        <v>-851.3</v>
      </c>
      <c r="J20">
        <v>-278.14999999999998</v>
      </c>
      <c r="K20">
        <v>-4241.75</v>
      </c>
      <c r="L20">
        <v>-933.29</v>
      </c>
      <c r="M20">
        <v>-249</v>
      </c>
      <c r="N20">
        <v>-1965.81</v>
      </c>
      <c r="O20">
        <v>0</v>
      </c>
    </row>
    <row r="21" spans="1:15" x14ac:dyDescent="0.25">
      <c r="A21">
        <v>20</v>
      </c>
      <c r="B21">
        <v>20</v>
      </c>
      <c r="C21" t="s">
        <v>34</v>
      </c>
      <c r="D21">
        <f t="shared" si="5"/>
        <v>-1882.9899999999998</v>
      </c>
      <c r="E21">
        <v>0</v>
      </c>
      <c r="F21">
        <v>-233.12</v>
      </c>
      <c r="G21">
        <v>-508.4</v>
      </c>
      <c r="H21">
        <v>-385.6</v>
      </c>
      <c r="I21">
        <v>-62</v>
      </c>
      <c r="J21">
        <v>-181.04</v>
      </c>
      <c r="K21">
        <v>-248</v>
      </c>
      <c r="L21">
        <v>-71.92</v>
      </c>
      <c r="M21">
        <v>-92.86</v>
      </c>
      <c r="N21">
        <v>-100.05</v>
      </c>
      <c r="O21">
        <v>0</v>
      </c>
    </row>
    <row r="22" spans="1:15" x14ac:dyDescent="0.25">
      <c r="A22">
        <v>21</v>
      </c>
      <c r="B22">
        <v>21</v>
      </c>
      <c r="C22" t="s">
        <v>35</v>
      </c>
      <c r="D22">
        <f t="shared" si="5"/>
        <v>-350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-350</v>
      </c>
      <c r="M22">
        <v>0</v>
      </c>
      <c r="N22">
        <v>0</v>
      </c>
      <c r="O22">
        <v>0</v>
      </c>
    </row>
    <row r="23" spans="1:15" x14ac:dyDescent="0.25">
      <c r="A23">
        <v>22</v>
      </c>
      <c r="B23">
        <v>22</v>
      </c>
      <c r="C23" t="s">
        <v>36</v>
      </c>
      <c r="D23">
        <f t="shared" si="5"/>
        <v>-96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-96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>
        <v>23</v>
      </c>
      <c r="B24">
        <v>23</v>
      </c>
      <c r="C24" t="s">
        <v>37</v>
      </c>
      <c r="D24">
        <f t="shared" si="5"/>
        <v>-1572.4599999999996</v>
      </c>
      <c r="E24">
        <v>0</v>
      </c>
      <c r="F24">
        <v>-78.930000000000007</v>
      </c>
      <c r="G24">
        <v>-164.31</v>
      </c>
      <c r="H24">
        <v>-441.85</v>
      </c>
      <c r="I24">
        <v>-453.45</v>
      </c>
      <c r="J24">
        <v>-24.08</v>
      </c>
      <c r="K24">
        <v>-200.34</v>
      </c>
      <c r="L24">
        <v>-71.569999999999993</v>
      </c>
      <c r="M24">
        <v>-60.3</v>
      </c>
      <c r="N24">
        <v>-77.63</v>
      </c>
      <c r="O24">
        <v>0</v>
      </c>
    </row>
    <row r="25" spans="1:15" x14ac:dyDescent="0.25">
      <c r="A25">
        <v>24</v>
      </c>
      <c r="B25">
        <v>24</v>
      </c>
      <c r="C25" t="s">
        <v>38</v>
      </c>
      <c r="D25">
        <f t="shared" si="5"/>
        <v>-933.97</v>
      </c>
      <c r="E25">
        <v>0</v>
      </c>
      <c r="F25">
        <v>0</v>
      </c>
      <c r="G25">
        <v>0</v>
      </c>
      <c r="H25">
        <v>-236.36</v>
      </c>
      <c r="I25">
        <v>0</v>
      </c>
      <c r="J25">
        <v>0</v>
      </c>
      <c r="K25">
        <v>-148.74</v>
      </c>
      <c r="L25">
        <v>0</v>
      </c>
      <c r="M25">
        <v>0</v>
      </c>
      <c r="N25">
        <v>-548.87</v>
      </c>
      <c r="O25">
        <v>0</v>
      </c>
    </row>
    <row r="26" spans="1:15" x14ac:dyDescent="0.25">
      <c r="A26">
        <v>25</v>
      </c>
      <c r="B26">
        <v>25</v>
      </c>
      <c r="C26" t="s">
        <v>39</v>
      </c>
      <c r="D26">
        <f t="shared" si="5"/>
        <v>-1105.8799999999999</v>
      </c>
      <c r="E26">
        <v>0</v>
      </c>
      <c r="F26">
        <v>-4.5</v>
      </c>
      <c r="G26">
        <v>0</v>
      </c>
      <c r="H26">
        <v>-286.12</v>
      </c>
      <c r="I26">
        <v>0</v>
      </c>
      <c r="J26">
        <v>-640.91</v>
      </c>
      <c r="K26">
        <v>0</v>
      </c>
      <c r="L26">
        <v>0</v>
      </c>
      <c r="M26">
        <v>-174.35</v>
      </c>
      <c r="N26">
        <v>0</v>
      </c>
      <c r="O26">
        <v>0</v>
      </c>
    </row>
    <row r="27" spans="1:15" x14ac:dyDescent="0.25">
      <c r="A27">
        <v>26</v>
      </c>
      <c r="B27">
        <v>26</v>
      </c>
      <c r="C27" t="s">
        <v>40</v>
      </c>
      <c r="D27">
        <f t="shared" si="5"/>
        <v>-7822.82</v>
      </c>
      <c r="E27">
        <v>0</v>
      </c>
      <c r="F27">
        <v>-297.85000000000002</v>
      </c>
      <c r="G27">
        <v>-610.92999999999995</v>
      </c>
      <c r="H27">
        <v>-2777.96</v>
      </c>
      <c r="I27">
        <v>-615.34</v>
      </c>
      <c r="J27">
        <v>0</v>
      </c>
      <c r="K27">
        <v>-529.66</v>
      </c>
      <c r="L27">
        <v>-796.71</v>
      </c>
      <c r="M27">
        <v>-53.37</v>
      </c>
      <c r="N27">
        <v>-2141</v>
      </c>
      <c r="O27">
        <v>0</v>
      </c>
    </row>
    <row r="28" spans="1:15" x14ac:dyDescent="0.25">
      <c r="A28">
        <v>27</v>
      </c>
      <c r="B28">
        <v>27</v>
      </c>
      <c r="C28" t="s">
        <v>41</v>
      </c>
      <c r="D28">
        <f t="shared" si="5"/>
        <v>-477.05</v>
      </c>
      <c r="E28">
        <v>0</v>
      </c>
      <c r="F28">
        <v>0</v>
      </c>
      <c r="G28">
        <v>0</v>
      </c>
      <c r="H28">
        <v>0</v>
      </c>
      <c r="I28">
        <v>0</v>
      </c>
      <c r="J28">
        <v>-152.05000000000001</v>
      </c>
      <c r="K28">
        <v>-325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>
        <v>28</v>
      </c>
      <c r="B29">
        <v>28</v>
      </c>
      <c r="C29" t="s">
        <v>42</v>
      </c>
      <c r="D29">
        <f t="shared" si="5"/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>
        <v>29</v>
      </c>
      <c r="B30">
        <v>29</v>
      </c>
      <c r="C30" t="s">
        <v>43</v>
      </c>
      <c r="D30">
        <f t="shared" si="5"/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>
        <v>30</v>
      </c>
      <c r="B31">
        <v>30</v>
      </c>
      <c r="C31" t="s">
        <v>44</v>
      </c>
      <c r="D31">
        <f>SUM(D19:D30)</f>
        <v>-43306.93</v>
      </c>
      <c r="E31">
        <f t="shared" ref="E31:N31" si="6">SUM(E19:E30)</f>
        <v>0</v>
      </c>
      <c r="F31">
        <f t="shared" si="6"/>
        <v>-4072.0299999999997</v>
      </c>
      <c r="G31">
        <f t="shared" si="6"/>
        <v>-5646.26</v>
      </c>
      <c r="H31">
        <f t="shared" si="6"/>
        <v>-7107.17</v>
      </c>
      <c r="I31">
        <f t="shared" si="6"/>
        <v>-1982.0900000000001</v>
      </c>
      <c r="J31">
        <f t="shared" si="6"/>
        <v>-2306.23</v>
      </c>
      <c r="K31">
        <f t="shared" si="6"/>
        <v>-10009.85</v>
      </c>
      <c r="L31">
        <f t="shared" si="6"/>
        <v>-2223.4899999999998</v>
      </c>
      <c r="M31">
        <f t="shared" si="6"/>
        <v>-2359.7800000000002</v>
      </c>
      <c r="N31">
        <f t="shared" si="6"/>
        <v>-7600.03</v>
      </c>
      <c r="O31">
        <v>0</v>
      </c>
    </row>
    <row r="32" spans="1:15" x14ac:dyDescent="0.25">
      <c r="A32">
        <v>31</v>
      </c>
      <c r="B32">
        <v>31</v>
      </c>
      <c r="C32" t="s">
        <v>45</v>
      </c>
      <c r="D32">
        <v>-325787.34999999998</v>
      </c>
      <c r="E32">
        <v>-28258.81</v>
      </c>
      <c r="F32">
        <v>-20177.98</v>
      </c>
      <c r="G32">
        <v>-58236.79</v>
      </c>
      <c r="H32">
        <v>-61065.11</v>
      </c>
      <c r="I32">
        <v>-33338.39</v>
      </c>
      <c r="J32">
        <v>-12513.77</v>
      </c>
      <c r="K32">
        <v>-44870.14</v>
      </c>
      <c r="L32">
        <v>-17187.21</v>
      </c>
      <c r="M32">
        <v>-12206.93</v>
      </c>
      <c r="N32">
        <v>-37932.22</v>
      </c>
      <c r="O32">
        <v>0</v>
      </c>
    </row>
    <row r="33" spans="1:15" x14ac:dyDescent="0.25">
      <c r="A33">
        <v>32</v>
      </c>
      <c r="B33">
        <v>32</v>
      </c>
      <c r="C33" t="s">
        <v>46</v>
      </c>
      <c r="D33">
        <f>D7+(D12+D18+D31)</f>
        <v>-88840.890000000014</v>
      </c>
      <c r="E33">
        <f t="shared" ref="E33:N33" si="7">E7+(E12+E18+E31)</f>
        <v>-48279.149999999994</v>
      </c>
      <c r="F33">
        <f t="shared" si="7"/>
        <v>-9173.3799999999937</v>
      </c>
      <c r="G33">
        <f t="shared" si="7"/>
        <v>-24249.950000000004</v>
      </c>
      <c r="H33">
        <f t="shared" si="7"/>
        <v>32486.410000000018</v>
      </c>
      <c r="I33">
        <f t="shared" si="7"/>
        <v>558.35000000000582</v>
      </c>
      <c r="J33">
        <f t="shared" si="7"/>
        <v>-10818.069999999998</v>
      </c>
      <c r="K33">
        <f t="shared" si="7"/>
        <v>4584.7899999999936</v>
      </c>
      <c r="L33">
        <f t="shared" si="7"/>
        <v>-3344.1199999999972</v>
      </c>
      <c r="M33">
        <f t="shared" si="7"/>
        <v>-9240.75</v>
      </c>
      <c r="N33">
        <f t="shared" si="7"/>
        <v>-20296.019999999997</v>
      </c>
      <c r="O33">
        <v>0</v>
      </c>
    </row>
    <row r="34" spans="1:15" x14ac:dyDescent="0.25">
      <c r="A34">
        <v>33</v>
      </c>
      <c r="B34">
        <v>33</v>
      </c>
      <c r="C34" t="s">
        <v>47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>
        <v>34</v>
      </c>
      <c r="B35">
        <v>34</v>
      </c>
      <c r="C35" t="s">
        <v>48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>
        <v>35</v>
      </c>
      <c r="B36">
        <v>35</v>
      </c>
      <c r="C36" t="s">
        <v>49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>
        <v>36</v>
      </c>
      <c r="B37">
        <v>36</v>
      </c>
      <c r="C37" t="s">
        <v>50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>
        <v>37</v>
      </c>
      <c r="B38">
        <v>37</v>
      </c>
      <c r="C38" t="s">
        <v>51</v>
      </c>
      <c r="D38">
        <v>-100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-100</v>
      </c>
      <c r="O38">
        <v>0</v>
      </c>
    </row>
    <row r="39" spans="1:15" x14ac:dyDescent="0.25">
      <c r="A39">
        <v>38</v>
      </c>
      <c r="B39">
        <v>38</v>
      </c>
      <c r="C39" t="s">
        <v>52</v>
      </c>
      <c r="D39">
        <v>-100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-100</v>
      </c>
      <c r="O39">
        <v>0</v>
      </c>
    </row>
    <row r="40" spans="1:15" x14ac:dyDescent="0.25">
      <c r="A40">
        <v>39</v>
      </c>
      <c r="B40">
        <v>39</v>
      </c>
      <c r="C40" t="s">
        <v>53</v>
      </c>
      <c r="D40">
        <v>-7944.93</v>
      </c>
      <c r="E40">
        <v>-143.03</v>
      </c>
      <c r="F40">
        <v>-265.16000000000003</v>
      </c>
      <c r="G40">
        <v>-1007.5</v>
      </c>
      <c r="H40">
        <v>-3834.99</v>
      </c>
      <c r="I40">
        <v>-244.04</v>
      </c>
      <c r="J40">
        <v>-103.28</v>
      </c>
      <c r="K40">
        <v>-2049.11</v>
      </c>
      <c r="L40">
        <v>0</v>
      </c>
      <c r="M40">
        <v>-44.75</v>
      </c>
      <c r="N40">
        <v>-253.07</v>
      </c>
      <c r="O40">
        <v>0</v>
      </c>
    </row>
    <row r="41" spans="1:15" x14ac:dyDescent="0.25">
      <c r="A41">
        <v>40</v>
      </c>
      <c r="B41">
        <v>40</v>
      </c>
      <c r="C41" t="s">
        <v>54</v>
      </c>
      <c r="D41">
        <v>-32316.52</v>
      </c>
      <c r="E41">
        <v>-28422.18</v>
      </c>
      <c r="F41">
        <v>-7265.47</v>
      </c>
      <c r="G41">
        <v>-20172.169999999998</v>
      </c>
      <c r="H41">
        <v>49164.62</v>
      </c>
      <c r="I41">
        <v>2714.62</v>
      </c>
      <c r="J41">
        <v>-10309.23</v>
      </c>
      <c r="K41">
        <v>13377.16</v>
      </c>
      <c r="L41">
        <v>-3387.22</v>
      </c>
      <c r="M41">
        <v>-9277.7999999999993</v>
      </c>
      <c r="N41">
        <v>-18738.849999999999</v>
      </c>
      <c r="O41">
        <v>0</v>
      </c>
    </row>
    <row r="42" spans="1:15" x14ac:dyDescent="0.25">
      <c r="A42">
        <v>41</v>
      </c>
      <c r="B42">
        <v>41</v>
      </c>
      <c r="C42" t="s">
        <v>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>
        <v>42</v>
      </c>
      <c r="B43">
        <v>42</v>
      </c>
      <c r="C43" t="s">
        <v>56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>
        <v>43</v>
      </c>
      <c r="B44">
        <v>43</v>
      </c>
      <c r="C44" t="s">
        <v>57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>
        <v>44</v>
      </c>
      <c r="B45">
        <v>999</v>
      </c>
      <c r="C45" t="s">
        <v>58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Oriol Puig - CAL BLAY</cp:lastModifiedBy>
  <cp:revision/>
  <dcterms:created xsi:type="dcterms:W3CDTF">2026-04-23T16:30:30Z</dcterms:created>
  <dcterms:modified xsi:type="dcterms:W3CDTF">2026-06-29T15:21:41Z</dcterms:modified>
  <cp:category/>
  <cp:contentStatus/>
</cp:coreProperties>
</file>