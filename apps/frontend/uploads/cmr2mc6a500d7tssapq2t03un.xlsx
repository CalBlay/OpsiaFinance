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lblayrest-my.sharepoint.com/personal/oriol_calblay_com/Documents/Escritorio/Numbers/RESTAURANTS/c.eXPLOT/"/>
    </mc:Choice>
  </mc:AlternateContent>
  <xr:revisionPtr revIDLastSave="51" documentId="13_ncr:1_{B81437BD-4104-4977-A3E2-137ED9B4F8F0}" xr6:coauthVersionLast="47" xr6:coauthVersionMax="47" xr10:uidLastSave="{730F5A7A-396E-4EDA-B46B-D488CCC975F1}"/>
  <bookViews>
    <workbookView xWindow="1188" yWindow="1380" windowWidth="16680" windowHeight="121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J14" i="1"/>
  <c r="J18" i="1" s="1"/>
  <c r="D20" i="1"/>
  <c r="D21" i="1"/>
  <c r="D22" i="1"/>
  <c r="D23" i="1"/>
  <c r="D24" i="1"/>
  <c r="D25" i="1"/>
  <c r="D26" i="1"/>
  <c r="D27" i="1"/>
  <c r="D28" i="1"/>
  <c r="D29" i="1"/>
  <c r="D30" i="1"/>
  <c r="D19" i="1"/>
  <c r="E31" i="1"/>
  <c r="F31" i="1"/>
  <c r="G31" i="1"/>
  <c r="H31" i="1"/>
  <c r="I31" i="1"/>
  <c r="J31" i="1"/>
  <c r="K31" i="1"/>
  <c r="L31" i="1"/>
  <c r="M31" i="1"/>
  <c r="N31" i="1"/>
  <c r="N14" i="1"/>
  <c r="N18" i="1" s="1"/>
  <c r="N3" i="1"/>
  <c r="N7" i="1" s="1"/>
  <c r="H14" i="1"/>
  <c r="H18" i="1" s="1"/>
  <c r="E12" i="1"/>
  <c r="F12" i="1"/>
  <c r="G12" i="1"/>
  <c r="H12" i="1"/>
  <c r="H33" i="1" s="1"/>
  <c r="I12" i="1"/>
  <c r="J12" i="1"/>
  <c r="K12" i="1"/>
  <c r="L12" i="1"/>
  <c r="M12" i="1"/>
  <c r="N12" i="1"/>
  <c r="I18" i="1"/>
  <c r="K14" i="1"/>
  <c r="K18" i="1" s="1"/>
  <c r="G14" i="1"/>
  <c r="G18" i="1" s="1"/>
  <c r="D4" i="1"/>
  <c r="D5" i="1"/>
  <c r="D6" i="1"/>
  <c r="E7" i="1"/>
  <c r="F7" i="1"/>
  <c r="G7" i="1"/>
  <c r="H7" i="1"/>
  <c r="I7" i="1"/>
  <c r="J7" i="1"/>
  <c r="K7" i="1"/>
  <c r="L7" i="1"/>
  <c r="M7" i="1"/>
  <c r="G3" i="1"/>
  <c r="F14" i="1"/>
  <c r="F18" i="1" s="1"/>
  <c r="D9" i="1"/>
  <c r="D10" i="1"/>
  <c r="D11" i="1"/>
  <c r="D8" i="1"/>
  <c r="L14" i="1"/>
  <c r="L18" i="1" s="1"/>
  <c r="M14" i="1"/>
  <c r="M18" i="1" s="1"/>
  <c r="N33" i="1" l="1"/>
  <c r="L33" i="1"/>
  <c r="M33" i="1"/>
  <c r="I33" i="1"/>
  <c r="K33" i="1"/>
  <c r="G33" i="1"/>
  <c r="F33" i="1"/>
  <c r="D31" i="1"/>
  <c r="J33" i="1"/>
  <c r="D3" i="1"/>
  <c r="D7" i="1" s="1"/>
  <c r="D12" i="1"/>
  <c r="D15" i="1"/>
  <c r="D16" i="1"/>
  <c r="D17" i="1"/>
  <c r="E14" i="1"/>
  <c r="E18" i="1" s="1"/>
  <c r="E33" i="1" s="1"/>
  <c r="D14" i="1" l="1"/>
  <c r="D18" i="1" s="1"/>
  <c r="D33" i="1" s="1"/>
  <c r="Q18" i="1"/>
</calcChain>
</file>

<file path=xl/sharedStrings.xml><?xml version="1.0" encoding="utf-8"?>
<sst xmlns="http://schemas.openxmlformats.org/spreadsheetml/2006/main" count="47" uniqueCount="47">
  <si>
    <t>#</t>
  </si>
  <si>
    <t>Node</t>
  </si>
  <si>
    <t>Description</t>
  </si>
  <si>
    <t>TOTAL</t>
  </si>
  <si>
    <t>CCR00000</t>
  </si>
  <si>
    <t>CCR00001</t>
  </si>
  <si>
    <t>CCR00002</t>
  </si>
  <si>
    <t>CCR00003</t>
  </si>
  <si>
    <t>CCR00004</t>
  </si>
  <si>
    <t>CCR00005</t>
  </si>
  <si>
    <t>CCR00006</t>
  </si>
  <si>
    <t>CCR00007</t>
  </si>
  <si>
    <t>CCR00009</t>
  </si>
  <si>
    <t>CCR00010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</si>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</sst>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42" applyFont="1"/>
    <xf numFmtId="10" fontId="0" fillId="0" borderId="0" xfId="43" applyNumberFormat="1" applyFont="1"/>
    <xf numFmtId="4" fontId="0" fillId="0" borderId="0" xfId="0" applyNumberForma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Neutral" xfId="8" builtinId="28" customBuiltin="1"/>
    <cellStyle name="Normal" xfId="0" builtinId="0"/>
    <cellStyle name="Notas" xfId="15" builtinId="10" customBuiltin="1"/>
    <cellStyle name="Porcentaje" xfId="43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"/>
  <sheetViews>
    <sheetView tabSelected="1" topLeftCell="D1" workbookViewId="0">
      <selection activeCell="O1" sqref="O1:O1048576"/>
    </sheetView>
  </sheetViews>
  <sheetFormatPr baseColWidth="10" defaultColWidth="9.109375" defaultRowHeight="14.4" x14ac:dyDescent="0.3"/>
  <cols>
    <col min="3" max="3" width="26.88671875" customWidth="1"/>
    <col min="4" max="4" width="16" customWidth="1"/>
    <col min="5" max="7" width="10.5546875" bestFit="1" customWidth="1"/>
    <col min="8" max="8" width="11.5546875" bestFit="1" customWidth="1"/>
    <col min="9" max="15" width="10.5546875" bestFit="1" customWidth="1"/>
    <col min="16" max="16" width="9.3320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14</v>
      </c>
    </row>
    <row r="2" spans="1:16" x14ac:dyDescent="0.3">
      <c r="A2">
        <v>1</v>
      </c>
      <c r="B2">
        <v>1</v>
      </c>
      <c r="C2" t="s">
        <v>15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/>
      <c r="P2" s="1">
        <v>0</v>
      </c>
    </row>
    <row r="3" spans="1:16" x14ac:dyDescent="0.3">
      <c r="A3">
        <v>2</v>
      </c>
      <c r="B3">
        <v>2</v>
      </c>
      <c r="C3" t="s">
        <v>16</v>
      </c>
      <c r="D3" s="1">
        <f>SUM(E3:O3)</f>
        <v>469539.88</v>
      </c>
      <c r="E3" s="1">
        <v>0</v>
      </c>
      <c r="F3" s="1">
        <v>19741.34</v>
      </c>
      <c r="G3" s="1">
        <f>82268.27+14465</f>
        <v>96733.27</v>
      </c>
      <c r="H3" s="1">
        <v>146360.25</v>
      </c>
      <c r="I3" s="1">
        <v>74656.850000000006</v>
      </c>
      <c r="J3" s="1">
        <v>9232.34</v>
      </c>
      <c r="K3" s="1">
        <v>71218.509999999995</v>
      </c>
      <c r="L3" s="1">
        <v>21668.3</v>
      </c>
      <c r="M3" s="1">
        <v>5326.24</v>
      </c>
      <c r="N3" s="1">
        <f>20878.78+3724</f>
        <v>24602.78</v>
      </c>
      <c r="O3" s="1"/>
      <c r="P3" s="1">
        <v>0</v>
      </c>
    </row>
    <row r="4" spans="1:16" x14ac:dyDescent="0.3">
      <c r="A4">
        <v>3</v>
      </c>
      <c r="B4">
        <v>3</v>
      </c>
      <c r="C4" t="s">
        <v>17</v>
      </c>
      <c r="D4" s="1">
        <f t="shared" ref="D4:D6" si="0">SUM(E4:O4)</f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/>
      <c r="P4" s="1">
        <v>0</v>
      </c>
    </row>
    <row r="5" spans="1:16" x14ac:dyDescent="0.3">
      <c r="A5">
        <v>4</v>
      </c>
      <c r="B5">
        <v>4</v>
      </c>
      <c r="C5" t="s">
        <v>18</v>
      </c>
      <c r="D5" s="1">
        <f t="shared" si="0"/>
        <v>4617.95</v>
      </c>
      <c r="E5" s="1">
        <v>0</v>
      </c>
      <c r="F5" s="1">
        <v>0</v>
      </c>
      <c r="G5" s="1">
        <v>0</v>
      </c>
      <c r="H5" s="1">
        <v>317.95</v>
      </c>
      <c r="I5" s="1">
        <v>0</v>
      </c>
      <c r="J5" s="1">
        <v>0</v>
      </c>
      <c r="K5" s="1">
        <v>0</v>
      </c>
      <c r="L5" s="1">
        <v>4300</v>
      </c>
      <c r="M5" s="1">
        <v>0</v>
      </c>
      <c r="N5" s="1">
        <v>0</v>
      </c>
      <c r="O5" s="1"/>
      <c r="P5" s="1">
        <v>0</v>
      </c>
    </row>
    <row r="6" spans="1:16" x14ac:dyDescent="0.3">
      <c r="A6">
        <v>5</v>
      </c>
      <c r="B6">
        <v>5</v>
      </c>
      <c r="C6" t="s">
        <v>19</v>
      </c>
      <c r="D6" s="1">
        <f t="shared" si="0"/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/>
      <c r="P6" s="1">
        <v>0</v>
      </c>
    </row>
    <row r="7" spans="1:16" x14ac:dyDescent="0.3">
      <c r="A7">
        <v>6</v>
      </c>
      <c r="B7">
        <v>6</v>
      </c>
      <c r="C7" t="s">
        <v>20</v>
      </c>
      <c r="D7" s="1">
        <f>SUM(D3:D6)</f>
        <v>474157.83</v>
      </c>
      <c r="E7" s="1">
        <f t="shared" ref="E7:O7" si="1">SUM(E3:E6)</f>
        <v>0</v>
      </c>
      <c r="F7" s="1">
        <f t="shared" si="1"/>
        <v>19741.34</v>
      </c>
      <c r="G7" s="1">
        <f t="shared" si="1"/>
        <v>96733.27</v>
      </c>
      <c r="H7" s="1">
        <f t="shared" si="1"/>
        <v>146678.20000000001</v>
      </c>
      <c r="I7" s="1">
        <f t="shared" si="1"/>
        <v>74656.850000000006</v>
      </c>
      <c r="J7" s="1">
        <f t="shared" si="1"/>
        <v>9232.34</v>
      </c>
      <c r="K7" s="1">
        <f t="shared" si="1"/>
        <v>71218.509999999995</v>
      </c>
      <c r="L7" s="1">
        <f t="shared" si="1"/>
        <v>25968.3</v>
      </c>
      <c r="M7" s="1">
        <f t="shared" si="1"/>
        <v>5326.24</v>
      </c>
      <c r="N7" s="1">
        <f t="shared" si="1"/>
        <v>24602.78</v>
      </c>
      <c r="O7" s="1"/>
      <c r="P7" s="1">
        <v>0</v>
      </c>
    </row>
    <row r="8" spans="1:16" x14ac:dyDescent="0.3">
      <c r="A8">
        <v>7</v>
      </c>
      <c r="B8">
        <v>7</v>
      </c>
      <c r="C8" t="s">
        <v>21</v>
      </c>
      <c r="D8" s="1">
        <f>SUM(F8:O8)</f>
        <v>-102000.38</v>
      </c>
      <c r="E8" s="1">
        <v>0</v>
      </c>
      <c r="F8" s="1">
        <v>-4678.78</v>
      </c>
      <c r="G8" s="1">
        <v>-22952.12</v>
      </c>
      <c r="H8" s="1">
        <v>-30849.57</v>
      </c>
      <c r="I8" s="1">
        <v>-13329.34</v>
      </c>
      <c r="J8" s="1">
        <v>-2131.7399999999998</v>
      </c>
      <c r="K8" s="1">
        <v>-19315.2</v>
      </c>
      <c r="L8" s="1">
        <v>-2828.19</v>
      </c>
      <c r="M8" s="1">
        <v>-1366.75</v>
      </c>
      <c r="N8" s="1">
        <v>-4548.6899999999996</v>
      </c>
      <c r="O8" s="1"/>
      <c r="P8" s="1">
        <v>0</v>
      </c>
    </row>
    <row r="9" spans="1:16" x14ac:dyDescent="0.3">
      <c r="A9">
        <v>8</v>
      </c>
      <c r="B9">
        <v>8</v>
      </c>
      <c r="C9" t="s">
        <v>22</v>
      </c>
      <c r="D9" s="1">
        <f t="shared" ref="D9:D11" si="2">SUM(F9:O9)</f>
        <v>-8362.86</v>
      </c>
      <c r="E9" s="1">
        <v>0</v>
      </c>
      <c r="F9" s="1">
        <v>-430.14</v>
      </c>
      <c r="G9" s="1">
        <v>-1241.5999999999999</v>
      </c>
      <c r="H9" s="1">
        <v>-5252.69</v>
      </c>
      <c r="I9" s="1">
        <v>-68.959999999999994</v>
      </c>
      <c r="J9" s="1">
        <v>-231.21</v>
      </c>
      <c r="K9" s="1">
        <v>-737.81</v>
      </c>
      <c r="L9" s="1">
        <v>-31.41</v>
      </c>
      <c r="M9" s="1">
        <v>-34.22</v>
      </c>
      <c r="N9" s="1">
        <v>-334.82</v>
      </c>
      <c r="O9" s="1"/>
      <c r="P9" s="1">
        <v>0</v>
      </c>
    </row>
    <row r="10" spans="1:16" x14ac:dyDescent="0.3">
      <c r="A10">
        <v>9</v>
      </c>
      <c r="B10">
        <v>9</v>
      </c>
      <c r="C10" t="s">
        <v>23</v>
      </c>
      <c r="D10" s="1">
        <f t="shared" si="2"/>
        <v>-37571.379999999997</v>
      </c>
      <c r="E10" s="1">
        <v>0</v>
      </c>
      <c r="F10" s="1">
        <v>-2903.9</v>
      </c>
      <c r="G10" s="1">
        <v>-7189.71</v>
      </c>
      <c r="H10" s="1">
        <v>-10134.9</v>
      </c>
      <c r="I10" s="1">
        <v>-5411.22</v>
      </c>
      <c r="J10" s="1">
        <v>-1503.55</v>
      </c>
      <c r="K10" s="1">
        <v>-3113.2</v>
      </c>
      <c r="L10" s="1">
        <v>-2609.91</v>
      </c>
      <c r="M10" s="1">
        <v>-2137.4699999999998</v>
      </c>
      <c r="N10" s="1">
        <v>-2567.52</v>
      </c>
      <c r="O10" s="1"/>
      <c r="P10" s="1">
        <v>0</v>
      </c>
    </row>
    <row r="11" spans="1:16" x14ac:dyDescent="0.3">
      <c r="A11">
        <v>10</v>
      </c>
      <c r="B11">
        <v>10</v>
      </c>
      <c r="C11" t="s">
        <v>24</v>
      </c>
      <c r="D11" s="1">
        <f t="shared" si="2"/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/>
      <c r="P11" s="1">
        <v>0</v>
      </c>
    </row>
    <row r="12" spans="1:16" x14ac:dyDescent="0.3">
      <c r="A12">
        <v>11</v>
      </c>
      <c r="B12">
        <v>11</v>
      </c>
      <c r="C12" t="s">
        <v>25</v>
      </c>
      <c r="D12" s="1">
        <f>SUM(D8:D11)</f>
        <v>-147934.62</v>
      </c>
      <c r="E12" s="1">
        <f t="shared" ref="E12:N12" si="3">SUM(E8:E11)</f>
        <v>0</v>
      </c>
      <c r="F12" s="1">
        <f t="shared" si="3"/>
        <v>-8012.82</v>
      </c>
      <c r="G12" s="1">
        <f t="shared" si="3"/>
        <v>-31383.429999999997</v>
      </c>
      <c r="H12" s="1">
        <f t="shared" si="3"/>
        <v>-46237.16</v>
      </c>
      <c r="I12" s="1">
        <f t="shared" si="3"/>
        <v>-18809.52</v>
      </c>
      <c r="J12" s="1">
        <f t="shared" si="3"/>
        <v>-3866.5</v>
      </c>
      <c r="K12" s="1">
        <f t="shared" si="3"/>
        <v>-23166.210000000003</v>
      </c>
      <c r="L12" s="1">
        <f t="shared" si="3"/>
        <v>-5469.51</v>
      </c>
      <c r="M12" s="1">
        <f t="shared" si="3"/>
        <v>-3538.4399999999996</v>
      </c>
      <c r="N12" s="1">
        <f t="shared" si="3"/>
        <v>-7451.0299999999988</v>
      </c>
      <c r="O12" s="1"/>
      <c r="P12" s="1">
        <v>0</v>
      </c>
    </row>
    <row r="13" spans="1:16" x14ac:dyDescent="0.3">
      <c r="A13">
        <v>12</v>
      </c>
      <c r="B13">
        <v>12</v>
      </c>
      <c r="C13" t="s">
        <v>26</v>
      </c>
      <c r="D13" s="1">
        <v>445003.9</v>
      </c>
      <c r="E13" s="1">
        <v>0</v>
      </c>
      <c r="F13" s="1">
        <v>14632.42</v>
      </c>
      <c r="G13" s="1">
        <v>58074.55</v>
      </c>
      <c r="H13" s="1">
        <v>110575.94</v>
      </c>
      <c r="I13" s="1">
        <v>61258.55</v>
      </c>
      <c r="J13" s="1">
        <v>6869.39</v>
      </c>
      <c r="K13" s="1">
        <v>51165.5</v>
      </c>
      <c r="L13" s="1">
        <v>23108.7</v>
      </c>
      <c r="M13" s="1">
        <v>3925.27</v>
      </c>
      <c r="N13" s="1">
        <v>15995.27</v>
      </c>
      <c r="O13" s="1"/>
      <c r="P13" s="1">
        <v>0</v>
      </c>
    </row>
    <row r="14" spans="1:16" x14ac:dyDescent="0.3">
      <c r="A14">
        <v>13</v>
      </c>
      <c r="B14">
        <v>13</v>
      </c>
      <c r="C14" t="s">
        <v>27</v>
      </c>
      <c r="D14" s="1">
        <f>SUM(E14:N14)</f>
        <v>-237533.44</v>
      </c>
      <c r="E14" s="1">
        <f>-26147.75-20000</f>
        <v>-46147.75</v>
      </c>
      <c r="F14" s="1">
        <f>-14259.36+1963.5-374</f>
        <v>-12669.86</v>
      </c>
      <c r="G14" s="1">
        <f>-35627.36-498.25</f>
        <v>-36125.61</v>
      </c>
      <c r="H14" s="1">
        <f>-36447.13-1323-4665.25</f>
        <v>-42435.38</v>
      </c>
      <c r="I14" s="1">
        <f>-25691.73+1935-237.6-50</f>
        <v>-24044.329999999998</v>
      </c>
      <c r="J14" s="1">
        <f>-8339.68-280.5</f>
        <v>-8620.18</v>
      </c>
      <c r="K14" s="1">
        <f>-26157.82-724.8-1968.25</f>
        <v>-28850.87</v>
      </c>
      <c r="L14" s="1">
        <f>-14800.15+1118.7-27</f>
        <v>-13708.449999999999</v>
      </c>
      <c r="M14" s="1">
        <f>-6611.88+1489.5</f>
        <v>-5122.38</v>
      </c>
      <c r="N14" s="1">
        <f>-19341.63-467</f>
        <v>-19808.63</v>
      </c>
      <c r="O14" s="1"/>
      <c r="P14" s="1">
        <v>0</v>
      </c>
    </row>
    <row r="15" spans="1:16" x14ac:dyDescent="0.3">
      <c r="A15">
        <v>14</v>
      </c>
      <c r="B15">
        <v>14</v>
      </c>
      <c r="C15" t="s">
        <v>28</v>
      </c>
      <c r="D15" s="1">
        <f t="shared" ref="D15:D17" si="4">SUM(E15:N15)</f>
        <v>-21000</v>
      </c>
      <c r="E15" s="1">
        <v>0</v>
      </c>
      <c r="F15" s="1">
        <v>0</v>
      </c>
      <c r="G15" s="1">
        <v>0</v>
      </c>
      <c r="H15" s="1">
        <v>-20000</v>
      </c>
      <c r="I15" s="1">
        <v>-1000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/>
      <c r="P15" s="1">
        <v>0</v>
      </c>
    </row>
    <row r="16" spans="1:16" x14ac:dyDescent="0.3">
      <c r="A16">
        <v>15</v>
      </c>
      <c r="B16">
        <v>15</v>
      </c>
      <c r="C16" t="s">
        <v>29</v>
      </c>
      <c r="D16" s="1">
        <f t="shared" si="4"/>
        <v>-68655.02</v>
      </c>
      <c r="E16" s="3">
        <v>-8791.91</v>
      </c>
      <c r="F16" s="3">
        <v>-4883.91</v>
      </c>
      <c r="G16" s="3">
        <v>-11622.4</v>
      </c>
      <c r="H16" s="3">
        <v>-11936.51</v>
      </c>
      <c r="I16" s="3">
        <v>-7198.13</v>
      </c>
      <c r="J16" s="3">
        <v>-2792.89</v>
      </c>
      <c r="K16" s="3">
        <v>-8241.85</v>
      </c>
      <c r="L16" s="3">
        <v>-4151.8900000000003</v>
      </c>
      <c r="M16" s="3">
        <v>-2204.7199999999998</v>
      </c>
      <c r="N16" s="3">
        <v>-6830.81</v>
      </c>
      <c r="O16" s="1"/>
      <c r="P16" s="1">
        <v>0</v>
      </c>
    </row>
    <row r="17" spans="1:17" x14ac:dyDescent="0.3">
      <c r="A17">
        <v>16</v>
      </c>
      <c r="B17">
        <v>16</v>
      </c>
      <c r="C17" t="s">
        <v>30</v>
      </c>
      <c r="D17" s="1">
        <f t="shared" si="4"/>
        <v>-1494.3999999999999</v>
      </c>
      <c r="E17" s="1">
        <v>-404.51</v>
      </c>
      <c r="F17" s="1">
        <v>0</v>
      </c>
      <c r="G17" s="1">
        <v>-13.55</v>
      </c>
      <c r="H17" s="1">
        <v>-274.45</v>
      </c>
      <c r="I17" s="1">
        <v>-310.04000000000002</v>
      </c>
      <c r="J17" s="1">
        <v>-207.8</v>
      </c>
      <c r="K17" s="1">
        <v>0</v>
      </c>
      <c r="L17" s="1">
        <v>-284.05</v>
      </c>
      <c r="M17" s="1">
        <v>0</v>
      </c>
      <c r="N17" s="1">
        <v>0</v>
      </c>
      <c r="O17" s="1"/>
      <c r="P17" s="1">
        <v>0</v>
      </c>
    </row>
    <row r="18" spans="1:17" x14ac:dyDescent="0.3">
      <c r="A18">
        <v>17</v>
      </c>
      <c r="B18">
        <v>17</v>
      </c>
      <c r="C18" t="s">
        <v>31</v>
      </c>
      <c r="D18" s="1">
        <f>SUM(D14:D17)</f>
        <v>-328682.86000000004</v>
      </c>
      <c r="E18" s="1">
        <f t="shared" ref="E18:O18" si="5">SUM(E14:E17)</f>
        <v>-55344.170000000006</v>
      </c>
      <c r="F18" s="1">
        <f t="shared" si="5"/>
        <v>-17553.77</v>
      </c>
      <c r="G18" s="1">
        <f t="shared" si="5"/>
        <v>-47761.560000000005</v>
      </c>
      <c r="H18" s="1">
        <f t="shared" si="5"/>
        <v>-74646.34</v>
      </c>
      <c r="I18" s="1">
        <f t="shared" si="5"/>
        <v>-32552.5</v>
      </c>
      <c r="J18" s="1">
        <f t="shared" si="5"/>
        <v>-11620.869999999999</v>
      </c>
      <c r="K18" s="1">
        <f t="shared" si="5"/>
        <v>-37092.720000000001</v>
      </c>
      <c r="L18" s="1">
        <f t="shared" si="5"/>
        <v>-18144.39</v>
      </c>
      <c r="M18" s="1">
        <f t="shared" si="5"/>
        <v>-7327.1</v>
      </c>
      <c r="N18" s="1">
        <f t="shared" si="5"/>
        <v>-26639.440000000002</v>
      </c>
      <c r="O18" s="1"/>
      <c r="P18" s="1">
        <v>0</v>
      </c>
      <c r="Q18" s="2">
        <f>D18/D7</f>
        <v>-0.69319293957457173</v>
      </c>
    </row>
    <row r="19" spans="1:17" x14ac:dyDescent="0.3">
      <c r="A19">
        <v>18</v>
      </c>
      <c r="B19">
        <v>18</v>
      </c>
      <c r="C19" t="s">
        <v>32</v>
      </c>
      <c r="D19" s="1">
        <f>SUM(E19:N19)</f>
        <v>-31160.250000000004</v>
      </c>
      <c r="E19">
        <v>0</v>
      </c>
      <c r="F19">
        <v>0</v>
      </c>
      <c r="G19" s="3">
        <v>-4931.99</v>
      </c>
      <c r="H19">
        <v>-267.58</v>
      </c>
      <c r="I19" s="3">
        <v>-14930.94</v>
      </c>
      <c r="J19" s="3">
        <v>-1500</v>
      </c>
      <c r="K19" s="3">
        <v>-4329.3599999999997</v>
      </c>
      <c r="L19">
        <v>-200</v>
      </c>
      <c r="M19" s="3">
        <v>-1729.9</v>
      </c>
      <c r="N19" s="3">
        <v>-3270.48</v>
      </c>
      <c r="O19" s="1"/>
      <c r="P19" s="1">
        <v>0</v>
      </c>
    </row>
    <row r="20" spans="1:17" x14ac:dyDescent="0.3">
      <c r="A20">
        <v>19</v>
      </c>
      <c r="B20">
        <v>19</v>
      </c>
      <c r="C20" t="s">
        <v>33</v>
      </c>
      <c r="D20" s="1">
        <f t="shared" ref="D20:D30" si="6">SUM(E20:N20)</f>
        <v>-11100.92</v>
      </c>
      <c r="E20">
        <v>0</v>
      </c>
      <c r="F20" s="3">
        <v>2145.21</v>
      </c>
      <c r="G20">
        <v>-543.62</v>
      </c>
      <c r="H20" s="3">
        <v>-6241.38</v>
      </c>
      <c r="I20">
        <v>-513.24</v>
      </c>
      <c r="J20">
        <v>-240.14</v>
      </c>
      <c r="K20" s="3">
        <v>-3820.33</v>
      </c>
      <c r="L20">
        <v>-44</v>
      </c>
      <c r="M20">
        <v>-44</v>
      </c>
      <c r="N20" s="3">
        <v>-1799.42</v>
      </c>
      <c r="O20" s="1"/>
      <c r="P20" s="1">
        <v>0</v>
      </c>
    </row>
    <row r="21" spans="1:17" x14ac:dyDescent="0.3">
      <c r="A21">
        <v>20</v>
      </c>
      <c r="B21">
        <v>20</v>
      </c>
      <c r="C21" t="s">
        <v>34</v>
      </c>
      <c r="D21" s="1">
        <f t="shared" si="6"/>
        <v>-1712.87</v>
      </c>
      <c r="E21">
        <v>0</v>
      </c>
      <c r="F21">
        <v>-270.41000000000003</v>
      </c>
      <c r="G21">
        <v>-512.66</v>
      </c>
      <c r="H21">
        <v>-296.26</v>
      </c>
      <c r="I21">
        <v>-63.86</v>
      </c>
      <c r="J21">
        <v>-135.26</v>
      </c>
      <c r="K21">
        <v>-201.56</v>
      </c>
      <c r="L21">
        <v>-68.959999999999994</v>
      </c>
      <c r="M21">
        <v>-69.44</v>
      </c>
      <c r="N21">
        <v>-94.46</v>
      </c>
      <c r="O21" s="1"/>
      <c r="P21" s="1">
        <v>0</v>
      </c>
    </row>
    <row r="22" spans="1:17" x14ac:dyDescent="0.3">
      <c r="A22">
        <v>21</v>
      </c>
      <c r="B22">
        <v>21</v>
      </c>
      <c r="C22" t="s">
        <v>35</v>
      </c>
      <c r="D22" s="1">
        <f t="shared" si="6"/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s="1"/>
      <c r="P22" s="1">
        <v>0</v>
      </c>
    </row>
    <row r="23" spans="1:17" x14ac:dyDescent="0.3">
      <c r="A23">
        <v>22</v>
      </c>
      <c r="B23">
        <v>22</v>
      </c>
      <c r="C23" t="s">
        <v>36</v>
      </c>
      <c r="D23" s="1">
        <f t="shared" si="6"/>
        <v>-1417.1700000000003</v>
      </c>
      <c r="E23">
        <v>0</v>
      </c>
      <c r="F23">
        <v>-439.61</v>
      </c>
      <c r="G23">
        <v>-150.36000000000001</v>
      </c>
      <c r="H23">
        <v>-374.13</v>
      </c>
      <c r="I23">
        <v>-40.81</v>
      </c>
      <c r="J23">
        <v>-96.37</v>
      </c>
      <c r="K23">
        <v>-287.54000000000002</v>
      </c>
      <c r="L23">
        <v>0</v>
      </c>
      <c r="M23">
        <v>-14.18</v>
      </c>
      <c r="N23">
        <v>-14.17</v>
      </c>
      <c r="O23" s="1"/>
      <c r="P23" s="1">
        <v>0</v>
      </c>
    </row>
    <row r="24" spans="1:17" x14ac:dyDescent="0.3">
      <c r="A24">
        <v>23</v>
      </c>
      <c r="B24">
        <v>23</v>
      </c>
      <c r="C24" t="s">
        <v>37</v>
      </c>
      <c r="D24" s="1">
        <f t="shared" si="6"/>
        <v>-2033.07</v>
      </c>
      <c r="E24">
        <v>0</v>
      </c>
      <c r="F24">
        <v>-76.510000000000005</v>
      </c>
      <c r="G24">
        <v>-305.5</v>
      </c>
      <c r="H24">
        <v>-554.9</v>
      </c>
      <c r="I24">
        <v>-605.17999999999995</v>
      </c>
      <c r="J24">
        <v>-42.6</v>
      </c>
      <c r="K24">
        <v>-244.54</v>
      </c>
      <c r="L24">
        <v>-78.459999999999994</v>
      </c>
      <c r="M24">
        <v>-52.93</v>
      </c>
      <c r="N24">
        <v>-72.45</v>
      </c>
      <c r="O24" s="1"/>
      <c r="P24" s="1">
        <v>0</v>
      </c>
    </row>
    <row r="25" spans="1:17" x14ac:dyDescent="0.3">
      <c r="A25">
        <v>24</v>
      </c>
      <c r="B25">
        <v>24</v>
      </c>
      <c r="C25" t="s">
        <v>38</v>
      </c>
      <c r="D25" s="1">
        <f t="shared" si="6"/>
        <v>-323.96000000000004</v>
      </c>
      <c r="E25">
        <v>0</v>
      </c>
      <c r="F25">
        <v>0</v>
      </c>
      <c r="G25">
        <v>0</v>
      </c>
      <c r="H25">
        <v>-15</v>
      </c>
      <c r="I25">
        <v>-15</v>
      </c>
      <c r="J25">
        <v>0</v>
      </c>
      <c r="K25">
        <v>-138.96</v>
      </c>
      <c r="L25">
        <v>0</v>
      </c>
      <c r="M25">
        <v>0</v>
      </c>
      <c r="N25">
        <v>-155</v>
      </c>
      <c r="O25" s="1"/>
      <c r="P25" s="1">
        <v>0</v>
      </c>
    </row>
    <row r="26" spans="1:17" x14ac:dyDescent="0.3">
      <c r="A26">
        <v>25</v>
      </c>
      <c r="B26">
        <v>25</v>
      </c>
      <c r="C26" t="s">
        <v>39</v>
      </c>
      <c r="D26" s="1">
        <f t="shared" si="6"/>
        <v>-17620.100000000002</v>
      </c>
      <c r="E26">
        <v>0</v>
      </c>
      <c r="F26">
        <v>-210.01</v>
      </c>
      <c r="G26">
        <v>-571.37</v>
      </c>
      <c r="H26" s="3">
        <v>-5322.84</v>
      </c>
      <c r="I26" s="3">
        <v>-1034</v>
      </c>
      <c r="J26">
        <v>-50.45</v>
      </c>
      <c r="K26" s="3">
        <v>-4475.51</v>
      </c>
      <c r="L26">
        <v>0</v>
      </c>
      <c r="M26" s="3">
        <v>-3065.04</v>
      </c>
      <c r="N26" s="3">
        <v>-2890.88</v>
      </c>
      <c r="O26" s="1"/>
      <c r="P26" s="1">
        <v>0</v>
      </c>
    </row>
    <row r="27" spans="1:17" x14ac:dyDescent="0.3">
      <c r="A27">
        <v>26</v>
      </c>
      <c r="B27">
        <v>26</v>
      </c>
      <c r="C27" t="s">
        <v>40</v>
      </c>
      <c r="D27" s="1">
        <f t="shared" si="6"/>
        <v>-9866.2199999999993</v>
      </c>
      <c r="E27">
        <v>0</v>
      </c>
      <c r="F27">
        <v>-493.16</v>
      </c>
      <c r="G27" s="3">
        <v>-2762.5</v>
      </c>
      <c r="H27" s="3">
        <v>-3615.24</v>
      </c>
      <c r="I27">
        <v>-585.16</v>
      </c>
      <c r="J27">
        <v>-118.72</v>
      </c>
      <c r="K27" s="3">
        <v>-1511.78</v>
      </c>
      <c r="L27">
        <v>-124</v>
      </c>
      <c r="M27">
        <v>-42.8</v>
      </c>
      <c r="N27">
        <v>-612.86</v>
      </c>
      <c r="O27" s="1"/>
      <c r="P27" s="1">
        <v>0</v>
      </c>
    </row>
    <row r="28" spans="1:17" x14ac:dyDescent="0.3">
      <c r="A28">
        <v>27</v>
      </c>
      <c r="B28">
        <v>27</v>
      </c>
      <c r="C28" t="s">
        <v>41</v>
      </c>
      <c r="D28" s="1">
        <f t="shared" si="6"/>
        <v>-2533.33</v>
      </c>
      <c r="E28">
        <v>0</v>
      </c>
      <c r="F28" s="3">
        <v>-1159.76</v>
      </c>
      <c r="G28">
        <v>-656.64</v>
      </c>
      <c r="H28">
        <v>-276.39</v>
      </c>
      <c r="I28">
        <v>-207.23</v>
      </c>
      <c r="J28">
        <v>-114</v>
      </c>
      <c r="K28">
        <v>-68.650000000000006</v>
      </c>
      <c r="L28">
        <v>0</v>
      </c>
      <c r="M28">
        <v>-25.33</v>
      </c>
      <c r="N28">
        <v>-25.33</v>
      </c>
      <c r="O28" s="1"/>
      <c r="P28" s="1">
        <v>0</v>
      </c>
    </row>
    <row r="29" spans="1:17" x14ac:dyDescent="0.3">
      <c r="A29">
        <v>28</v>
      </c>
      <c r="B29">
        <v>28</v>
      </c>
      <c r="C29" t="s">
        <v>42</v>
      </c>
      <c r="D29" s="1">
        <f t="shared" si="6"/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s="1"/>
      <c r="P29" s="1">
        <v>0</v>
      </c>
    </row>
    <row r="30" spans="1:17" x14ac:dyDescent="0.3">
      <c r="A30">
        <v>29</v>
      </c>
      <c r="B30">
        <v>29</v>
      </c>
      <c r="C30" t="s">
        <v>43</v>
      </c>
      <c r="D30" s="1">
        <f t="shared" si="6"/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s="1"/>
      <c r="P30" s="1">
        <v>0</v>
      </c>
    </row>
    <row r="31" spans="1:17" x14ac:dyDescent="0.3">
      <c r="A31">
        <v>30</v>
      </c>
      <c r="B31">
        <v>30</v>
      </c>
      <c r="C31" t="s">
        <v>44</v>
      </c>
      <c r="D31" s="1">
        <f>SUM(D19:D30)</f>
        <v>-77767.890000000014</v>
      </c>
      <c r="E31" s="1">
        <f t="shared" ref="E31:O31" si="7">SUM(E19:E30)</f>
        <v>0</v>
      </c>
      <c r="F31" s="1">
        <f t="shared" si="7"/>
        <v>-504.25</v>
      </c>
      <c r="G31" s="1">
        <f t="shared" si="7"/>
        <v>-10434.64</v>
      </c>
      <c r="H31" s="1">
        <f t="shared" si="7"/>
        <v>-16963.72</v>
      </c>
      <c r="I31" s="1">
        <f t="shared" si="7"/>
        <v>-17995.419999999998</v>
      </c>
      <c r="J31" s="1">
        <f t="shared" si="7"/>
        <v>-2297.5399999999995</v>
      </c>
      <c r="K31" s="1">
        <f t="shared" si="7"/>
        <v>-15078.230000000001</v>
      </c>
      <c r="L31" s="1">
        <f t="shared" si="7"/>
        <v>-515.41999999999996</v>
      </c>
      <c r="M31" s="1">
        <f t="shared" si="7"/>
        <v>-5043.62</v>
      </c>
      <c r="N31" s="1">
        <f t="shared" si="7"/>
        <v>-8935.0500000000011</v>
      </c>
      <c r="O31" s="1"/>
      <c r="P31" s="1">
        <v>0</v>
      </c>
    </row>
    <row r="32" spans="1:17" x14ac:dyDescent="0.3">
      <c r="A32">
        <v>31</v>
      </c>
      <c r="B32">
        <v>31</v>
      </c>
      <c r="C32" t="s">
        <v>45</v>
      </c>
      <c r="D32" s="1">
        <v>-388020.63</v>
      </c>
      <c r="E32" s="1">
        <v>-35085.85</v>
      </c>
      <c r="F32" s="1">
        <v>-20994.34</v>
      </c>
      <c r="G32" s="1">
        <v>-58127.87</v>
      </c>
      <c r="H32" s="1">
        <v>-84180.479999999996</v>
      </c>
      <c r="I32" s="1">
        <v>-51822.75</v>
      </c>
      <c r="J32" s="1">
        <v>-13454.93</v>
      </c>
      <c r="K32" s="1">
        <v>-47308.39</v>
      </c>
      <c r="L32" s="1">
        <v>-19514.61</v>
      </c>
      <c r="M32" s="1">
        <v>-13657.27</v>
      </c>
      <c r="N32" s="1">
        <v>-35347.19</v>
      </c>
      <c r="O32" s="1"/>
      <c r="P32" s="1">
        <v>0</v>
      </c>
    </row>
    <row r="33" spans="1:16" x14ac:dyDescent="0.3">
      <c r="A33">
        <v>32</v>
      </c>
      <c r="B33">
        <v>32</v>
      </c>
      <c r="C33" t="s">
        <v>46</v>
      </c>
      <c r="D33" s="1">
        <f>D7+(D12+D18+D31)</f>
        <v>-80227.540000000095</v>
      </c>
      <c r="E33" s="1">
        <f t="shared" ref="E33:O33" si="8">E7+(E12+E18+E31)</f>
        <v>-55344.170000000006</v>
      </c>
      <c r="F33" s="1">
        <f t="shared" si="8"/>
        <v>-6329.5</v>
      </c>
      <c r="G33" s="1">
        <f t="shared" si="8"/>
        <v>7153.6399999999994</v>
      </c>
      <c r="H33" s="1">
        <f t="shared" si="8"/>
        <v>8830.9800000000105</v>
      </c>
      <c r="I33" s="1">
        <f t="shared" si="8"/>
        <v>5299.4100000000035</v>
      </c>
      <c r="J33" s="1">
        <f t="shared" si="8"/>
        <v>-8552.57</v>
      </c>
      <c r="K33" s="1">
        <f t="shared" si="8"/>
        <v>-4118.6500000000087</v>
      </c>
      <c r="L33" s="1">
        <f t="shared" si="8"/>
        <v>1838.9799999999996</v>
      </c>
      <c r="M33" s="1">
        <f t="shared" si="8"/>
        <v>-10582.92</v>
      </c>
      <c r="N33" s="1">
        <f t="shared" si="8"/>
        <v>-18422.740000000005</v>
      </c>
      <c r="O33" s="1"/>
      <c r="P33" s="1">
        <v>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Oriol Puig - CAL BLAY</cp:lastModifiedBy>
  <cp:revision/>
  <dcterms:created xsi:type="dcterms:W3CDTF">2026-04-21T15:53:37Z</dcterms:created>
  <dcterms:modified xsi:type="dcterms:W3CDTF">2026-07-04T20:46:17Z</dcterms:modified>
  <cp:category/>
  <cp:contentStatus/>
</cp:coreProperties>
</file>