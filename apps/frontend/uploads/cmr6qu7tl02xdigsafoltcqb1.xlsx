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alblayrest-my.sharepoint.com/personal/oriol_calblay_com/Documents/Escritorio/LN00005/"/>
    </mc:Choice>
  </mc:AlternateContent>
  <xr:revisionPtr revIDLastSave="2" documentId="11_D894220A3110F2289DE89E6153D07A55C890751A" xr6:coauthVersionLast="47" xr6:coauthVersionMax="47" xr10:uidLastSave="{FAC37171-E833-4158-B692-606A3E43D47B}"/>
  <bookViews>
    <workbookView xWindow="1188" yWindow="1380" windowWidth="16680" windowHeight="121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" i="1" l="1"/>
</calcChain>
</file>

<file path=xl/sharedStrings.xml><?xml version="1.0" encoding="utf-8"?>
<sst xmlns="http://schemas.openxmlformats.org/spreadsheetml/2006/main" count="58" uniqueCount="58">
  <si>
    <t>#</t>
  </si>
  <si>
    <t>Node</t>
  </si>
  <si>
    <t>Description</t>
  </si>
  <si>
    <t>TOTAL</t>
  </si>
  <si>
    <t>CCF00001</t>
  </si>
  <si>
    <t>CCF00002</t>
  </si>
  <si>
    <t>CCF00003</t>
  </si>
  <si>
    <t>CCF00004</t>
  </si>
  <si>
    <t>CCF00005</t>
  </si>
  <si>
    <t>CCF00006</t>
  </si>
  <si>
    <t>CCF00007</t>
  </si>
  <si>
    <t>CCF00008</t>
  </si>
  <si>
    <t>CCF00009</t>
  </si>
  <si>
    <t>CCF00010</t>
  </si>
  <si>
    <t>Sin Cent</t>
  </si>
  <si>
    <t>COMPTE DE RESULTATS</t>
  </si>
  <si>
    <t>.   VENDES</t>
  </si>
  <si>
    <t>.   PRESTACIO DE SEVEIS</t>
  </si>
  <si>
    <t>.   ALTRES INGRESSOS</t>
  </si>
  <si>
    <t>.   VARIACIO EXISTENCIES</t>
  </si>
  <si>
    <t>TOTAL INGRESSOS EXPLOTACIO</t>
  </si>
  <si>
    <t>.   COMPRES</t>
  </si>
  <si>
    <t>.   ALTRES APROVISIONAMENTS</t>
  </si>
  <si>
    <t>.   CONSUMS INTERNS</t>
  </si>
  <si>
    <t>.   VARIACIO EXISTENICIES COMPRES</t>
  </si>
  <si>
    <t>TOTAL COMPRES</t>
  </si>
  <si>
    <t>MARGE BRUT TOTAL</t>
  </si>
  <si>
    <t>.   SOUS I SALARIS</t>
  </si>
  <si>
    <t>.   INDEMNITZACIONS</t>
  </si>
  <si>
    <t>.   SEGURETAT SOCIAL</t>
  </si>
  <si>
    <t>.   ALTRES DESPESES SOCIALS</t>
  </si>
  <si>
    <t>TOTAL COST SALARIAL</t>
  </si>
  <si>
    <t>.   ARRENDAMENTS I CANONS</t>
  </si>
  <si>
    <t>.   REPARACIONS I CONSERVACIO</t>
  </si>
  <si>
    <t>.   SERVEIS PROFESSIONALS</t>
  </si>
  <si>
    <t>.   TRANSPORTS</t>
  </si>
  <si>
    <t>.   PRIMES D'ASSEGURANCES</t>
  </si>
  <si>
    <t>.   SERVEIS BANCARIS</t>
  </si>
  <si>
    <t>.   PUBLICITAT I PROPAGANDA</t>
  </si>
  <si>
    <t>.   SUBMINISTRAMENTS</t>
  </si>
  <si>
    <t>.   ALTRES DESPESES</t>
  </si>
  <si>
    <t>.   ALTRES TRIBUTS</t>
  </si>
  <si>
    <t>.   DOTACIO PER INSOLVENCIA</t>
  </si>
  <si>
    <t>MOVIMENTS INTERNS</t>
  </si>
  <si>
    <t>TOTAL DESPESES GESTIO</t>
  </si>
  <si>
    <t>TOTAL  GESTIO + SALARIS</t>
  </si>
  <si>
    <t>EBITDA</t>
  </si>
  <si>
    <t>.   INGRESSOS FINANCERS</t>
  </si>
  <si>
    <t>.   DESPESSES FINANCERES</t>
  </si>
  <si>
    <t>RESULTAT FINANCER</t>
  </si>
  <si>
    <t>.   INGRESOS EXCEPCIONALS</t>
  </si>
  <si>
    <t>.   DESPESSES EXCEPCIONALS</t>
  </si>
  <si>
    <t>RESULTAT EXCEPCIONAL</t>
  </si>
  <si>
    <t>.   AMORTITZACIONS</t>
  </si>
  <si>
    <t>RESULTAT ABANS D'IMPOSTOS</t>
  </si>
  <si>
    <t>.   IMPOST SOBRE BENEFICIS</t>
  </si>
  <si>
    <t>RESULTAT DESPRES D'IMPOSTOS</t>
  </si>
  <si>
    <t>RESULTAT ACUMULAT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</si>
</sst>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b/>
      <sz val="18"/>
      <color theme="3"/>
      <name val="Cambria"/>
      <family val="2"/>
      <charset val="238"/>
      <scheme val="major"/>
    </font>
    <font>
      <b/>
      <sz val="15"/>
      <color theme="3"/>
      <name val="Calibri"/>
      <family val="2"/>
      <charset val="238"/>
      <scheme val="minor"/>
    </font>
    <font>
      <b/>
      <sz val="13"/>
      <color theme="3"/>
      <name val="Calibri"/>
      <family val="2"/>
      <charset val="238"/>
      <scheme val="minor"/>
    </font>
    <font>
      <b/>
      <sz val="11"/>
      <color theme="3"/>
      <name val="Calibri"/>
      <family val="2"/>
      <charset val="238"/>
      <scheme val="minor"/>
    </font>
    <font>
      <sz val="11"/>
      <color rgb="FF006100"/>
      <name val="Calibri"/>
      <family val="2"/>
      <charset val="238"/>
      <scheme val="minor"/>
    </font>
    <font>
      <sz val="11"/>
      <color rgb="FF9C0006"/>
      <name val="Calibri"/>
      <family val="2"/>
      <charset val="238"/>
      <scheme val="minor"/>
    </font>
    <font>
      <sz val="11"/>
      <color rgb="FF9C6500"/>
      <name val="Calibri"/>
      <family val="2"/>
      <charset val="238"/>
      <scheme val="minor"/>
    </font>
    <font>
      <sz val="11"/>
      <color rgb="FF3F3F76"/>
      <name val="Calibri"/>
      <family val="2"/>
      <charset val="238"/>
      <scheme val="minor"/>
    </font>
    <font>
      <b/>
      <sz val="11"/>
      <color rgb="FF3F3F3F"/>
      <name val="Calibri"/>
      <family val="2"/>
      <charset val="238"/>
      <scheme val="minor"/>
    </font>
    <font>
      <b/>
      <sz val="11"/>
      <color rgb="FFFA7D00"/>
      <name val="Calibri"/>
      <family val="2"/>
      <charset val="238"/>
      <scheme val="minor"/>
    </font>
    <font>
      <sz val="11"/>
      <color rgb="FFFA7D00"/>
      <name val="Calibri"/>
      <family val="2"/>
      <charset val="238"/>
      <scheme val="minor"/>
    </font>
    <font>
      <b/>
      <sz val="11"/>
      <color theme="0"/>
      <name val="Calibri"/>
      <family val="2"/>
      <charset val="238"/>
      <scheme val="minor"/>
    </font>
    <font>
      <sz val="11"/>
      <color rgb="FFFF0000"/>
      <name val="Calibri"/>
      <family val="2"/>
      <charset val="238"/>
      <scheme val="minor"/>
    </font>
    <font>
      <i/>
      <sz val="11"/>
      <color rgb="FF7F7F7F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sz val="11"/>
      <color theme="0"/>
      <name val="Calibri"/>
      <family val="2"/>
      <charset val="23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">
    <xf numFmtId="0" fontId="0" fillId="0" borderId="0" xfId="0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44"/>
  <sheetViews>
    <sheetView tabSelected="1" topLeftCell="B4" workbookViewId="0">
      <selection activeCell="D9" sqref="D9"/>
    </sheetView>
  </sheetViews>
  <sheetFormatPr baseColWidth="10" defaultRowHeight="14.4" x14ac:dyDescent="0.3"/>
  <cols>
    <col min="3" max="3" width="24.77734375" customWidth="1"/>
  </cols>
  <sheetData>
    <row r="1" spans="1:1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3">
      <c r="A2">
        <v>1</v>
      </c>
      <c r="B2">
        <v>1</v>
      </c>
      <c r="C2" t="s">
        <v>15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</row>
    <row r="3" spans="1:15" x14ac:dyDescent="0.3">
      <c r="A3">
        <v>2</v>
      </c>
      <c r="B3">
        <v>2</v>
      </c>
      <c r="C3" t="s">
        <v>16</v>
      </c>
      <c r="D3">
        <v>41743.47</v>
      </c>
      <c r="E3">
        <v>-68498.75</v>
      </c>
      <c r="F3">
        <v>10843.91</v>
      </c>
      <c r="G3">
        <v>0</v>
      </c>
      <c r="H3">
        <v>0</v>
      </c>
      <c r="I3">
        <v>0</v>
      </c>
      <c r="J3">
        <v>0</v>
      </c>
      <c r="K3">
        <v>0</v>
      </c>
      <c r="L3">
        <v>99398.31</v>
      </c>
      <c r="M3">
        <v>0</v>
      </c>
      <c r="N3">
        <v>0</v>
      </c>
      <c r="O3">
        <v>0</v>
      </c>
    </row>
    <row r="4" spans="1:15" x14ac:dyDescent="0.3">
      <c r="A4">
        <v>3</v>
      </c>
      <c r="B4">
        <v>3</v>
      </c>
      <c r="C4" t="s">
        <v>17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</row>
    <row r="5" spans="1:15" x14ac:dyDescent="0.3">
      <c r="A5">
        <v>4</v>
      </c>
      <c r="B5">
        <v>4</v>
      </c>
      <c r="C5" t="s">
        <v>18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3">
      <c r="A6">
        <v>5</v>
      </c>
      <c r="B6">
        <v>5</v>
      </c>
      <c r="C6" t="s">
        <v>19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</row>
    <row r="7" spans="1:15" x14ac:dyDescent="0.3">
      <c r="A7">
        <v>6</v>
      </c>
      <c r="B7">
        <v>6</v>
      </c>
      <c r="C7" t="s">
        <v>20</v>
      </c>
      <c r="D7">
        <v>41743.47</v>
      </c>
      <c r="E7">
        <v>-68498.75</v>
      </c>
      <c r="F7">
        <v>10843.91</v>
      </c>
      <c r="G7">
        <v>0</v>
      </c>
      <c r="H7">
        <v>0</v>
      </c>
      <c r="I7">
        <v>0</v>
      </c>
      <c r="J7">
        <v>0</v>
      </c>
      <c r="K7">
        <v>0</v>
      </c>
      <c r="L7">
        <v>99398.31</v>
      </c>
      <c r="M7">
        <v>0</v>
      </c>
      <c r="N7">
        <v>0</v>
      </c>
      <c r="O7">
        <v>0</v>
      </c>
    </row>
    <row r="8" spans="1:15" x14ac:dyDescent="0.3">
      <c r="A8">
        <v>7</v>
      </c>
      <c r="B8">
        <v>7</v>
      </c>
      <c r="C8" t="s">
        <v>21</v>
      </c>
      <c r="D8">
        <f>SUM(E8:O8)</f>
        <v>-5106.2299999999996</v>
      </c>
      <c r="E8">
        <v>-236.36</v>
      </c>
      <c r="F8">
        <v>-778.35</v>
      </c>
      <c r="G8">
        <v>0</v>
      </c>
      <c r="H8">
        <v>0</v>
      </c>
      <c r="I8">
        <v>0</v>
      </c>
      <c r="J8">
        <v>0</v>
      </c>
      <c r="K8">
        <v>0</v>
      </c>
      <c r="L8">
        <v>-4091.52</v>
      </c>
      <c r="M8">
        <v>0</v>
      </c>
      <c r="N8">
        <v>0</v>
      </c>
      <c r="O8">
        <v>0</v>
      </c>
    </row>
    <row r="9" spans="1:15" x14ac:dyDescent="0.3">
      <c r="A9">
        <v>8</v>
      </c>
      <c r="B9">
        <v>8</v>
      </c>
      <c r="C9" t="s">
        <v>22</v>
      </c>
      <c r="D9">
        <v>-2309.8000000000002</v>
      </c>
      <c r="E9">
        <v>-19.489999999999998</v>
      </c>
      <c r="F9">
        <v>-3.6</v>
      </c>
      <c r="G9">
        <v>0</v>
      </c>
      <c r="H9">
        <v>0</v>
      </c>
      <c r="I9">
        <v>0</v>
      </c>
      <c r="J9">
        <v>0</v>
      </c>
      <c r="K9">
        <v>0</v>
      </c>
      <c r="L9">
        <v>-2286.71</v>
      </c>
      <c r="M9">
        <v>0</v>
      </c>
      <c r="N9">
        <v>0</v>
      </c>
      <c r="O9">
        <v>0</v>
      </c>
    </row>
    <row r="10" spans="1:15" x14ac:dyDescent="0.3">
      <c r="A10">
        <v>9</v>
      </c>
      <c r="B10">
        <v>9</v>
      </c>
      <c r="C10" t="s">
        <v>23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</row>
    <row r="11" spans="1:15" x14ac:dyDescent="0.3">
      <c r="A11">
        <v>10</v>
      </c>
      <c r="B11">
        <v>10</v>
      </c>
      <c r="C11" t="s">
        <v>24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</row>
    <row r="12" spans="1:15" x14ac:dyDescent="0.3">
      <c r="A12">
        <v>11</v>
      </c>
      <c r="B12">
        <v>11</v>
      </c>
      <c r="C12" t="s">
        <v>25</v>
      </c>
      <c r="D12">
        <v>-7416.03</v>
      </c>
      <c r="E12">
        <v>-255.85</v>
      </c>
      <c r="F12">
        <v>-781.95</v>
      </c>
      <c r="G12">
        <v>0</v>
      </c>
      <c r="H12">
        <v>0</v>
      </c>
      <c r="I12">
        <v>0</v>
      </c>
      <c r="J12">
        <v>0</v>
      </c>
      <c r="K12">
        <v>0</v>
      </c>
      <c r="L12">
        <v>-6378.23</v>
      </c>
      <c r="M12">
        <v>0</v>
      </c>
      <c r="N12">
        <v>0</v>
      </c>
      <c r="O12">
        <v>0</v>
      </c>
    </row>
    <row r="13" spans="1:15" x14ac:dyDescent="0.3">
      <c r="A13">
        <v>12</v>
      </c>
      <c r="B13">
        <v>12</v>
      </c>
      <c r="C13" t="s">
        <v>26</v>
      </c>
      <c r="D13">
        <v>34327.440000000002</v>
      </c>
      <c r="E13">
        <v>-68754.600000000006</v>
      </c>
      <c r="F13">
        <v>10061.959999999999</v>
      </c>
      <c r="G13">
        <v>0</v>
      </c>
      <c r="H13">
        <v>0</v>
      </c>
      <c r="I13">
        <v>0</v>
      </c>
      <c r="J13">
        <v>0</v>
      </c>
      <c r="K13">
        <v>0</v>
      </c>
      <c r="L13">
        <v>93020.08</v>
      </c>
      <c r="M13">
        <v>0</v>
      </c>
      <c r="N13">
        <v>0</v>
      </c>
      <c r="O13">
        <v>0</v>
      </c>
    </row>
    <row r="14" spans="1:15" x14ac:dyDescent="0.3">
      <c r="A14">
        <v>13</v>
      </c>
      <c r="B14">
        <v>13</v>
      </c>
      <c r="C14" t="s">
        <v>27</v>
      </c>
      <c r="D14">
        <v>-8658.4699999999993</v>
      </c>
      <c r="E14">
        <v>-8285.42</v>
      </c>
      <c r="F14">
        <v>-373.05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</row>
    <row r="15" spans="1:15" x14ac:dyDescent="0.3">
      <c r="A15">
        <v>14</v>
      </c>
      <c r="B15">
        <v>14</v>
      </c>
      <c r="C15" t="s">
        <v>28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</row>
    <row r="16" spans="1:15" x14ac:dyDescent="0.3">
      <c r="A16">
        <v>15</v>
      </c>
      <c r="B16">
        <v>15</v>
      </c>
      <c r="C16" t="s">
        <v>29</v>
      </c>
      <c r="D16">
        <v>-2790.58</v>
      </c>
      <c r="E16">
        <v>-2535.79</v>
      </c>
      <c r="F16">
        <v>-254.79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</row>
    <row r="17" spans="1:15" x14ac:dyDescent="0.3">
      <c r="A17">
        <v>16</v>
      </c>
      <c r="B17">
        <v>16</v>
      </c>
      <c r="C17" t="s">
        <v>30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3">
      <c r="A18">
        <v>17</v>
      </c>
      <c r="B18">
        <v>17</v>
      </c>
      <c r="C18" t="s">
        <v>31</v>
      </c>
      <c r="D18">
        <v>-11449.05</v>
      </c>
      <c r="E18">
        <v>-10821.21</v>
      </c>
      <c r="F18">
        <v>-627.84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3">
      <c r="A19">
        <v>18</v>
      </c>
      <c r="B19">
        <v>18</v>
      </c>
      <c r="C19" t="s">
        <v>32</v>
      </c>
      <c r="D19">
        <v>-13247.72</v>
      </c>
      <c r="E19">
        <v>19408.740000000002</v>
      </c>
      <c r="F19">
        <v>-4426.18</v>
      </c>
      <c r="G19">
        <v>0</v>
      </c>
      <c r="H19">
        <v>0</v>
      </c>
      <c r="I19">
        <v>0</v>
      </c>
      <c r="J19">
        <v>0</v>
      </c>
      <c r="K19">
        <v>0</v>
      </c>
      <c r="L19">
        <v>-28230.28</v>
      </c>
      <c r="M19">
        <v>0</v>
      </c>
      <c r="N19">
        <v>0</v>
      </c>
      <c r="O19">
        <v>0</v>
      </c>
    </row>
    <row r="20" spans="1:15" x14ac:dyDescent="0.3">
      <c r="A20">
        <v>19</v>
      </c>
      <c r="B20">
        <v>19</v>
      </c>
      <c r="C20" t="s">
        <v>33</v>
      </c>
      <c r="D20">
        <v>-594.98</v>
      </c>
      <c r="E20">
        <v>-554.11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-40.869999999999997</v>
      </c>
      <c r="M20">
        <v>0</v>
      </c>
      <c r="N20">
        <v>0</v>
      </c>
      <c r="O20">
        <v>0</v>
      </c>
    </row>
    <row r="21" spans="1:15" x14ac:dyDescent="0.3">
      <c r="A21">
        <v>20</v>
      </c>
      <c r="B21">
        <v>20</v>
      </c>
      <c r="C21" t="s">
        <v>34</v>
      </c>
      <c r="D21">
        <v>-1106.54</v>
      </c>
      <c r="E21">
        <v>0</v>
      </c>
      <c r="F21">
        <v>-1106.54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</row>
    <row r="22" spans="1:15" x14ac:dyDescent="0.3">
      <c r="A22">
        <v>21</v>
      </c>
      <c r="B22">
        <v>21</v>
      </c>
      <c r="C22" t="s">
        <v>35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</row>
    <row r="23" spans="1:15" x14ac:dyDescent="0.3">
      <c r="A23">
        <v>22</v>
      </c>
      <c r="B23">
        <v>22</v>
      </c>
      <c r="C23" t="s">
        <v>36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</row>
    <row r="24" spans="1:15" x14ac:dyDescent="0.3">
      <c r="A24">
        <v>23</v>
      </c>
      <c r="B24">
        <v>23</v>
      </c>
      <c r="C24" t="s">
        <v>37</v>
      </c>
      <c r="D24">
        <v>-243.43</v>
      </c>
      <c r="E24">
        <v>-224.79</v>
      </c>
      <c r="F24">
        <v>-18.64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</row>
    <row r="25" spans="1:15" x14ac:dyDescent="0.3">
      <c r="A25">
        <v>24</v>
      </c>
      <c r="B25">
        <v>24</v>
      </c>
      <c r="C25" t="s">
        <v>38</v>
      </c>
      <c r="D25">
        <v>-160</v>
      </c>
      <c r="E25">
        <v>-120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-40</v>
      </c>
      <c r="M25">
        <v>0</v>
      </c>
      <c r="N25">
        <v>0</v>
      </c>
      <c r="O25">
        <v>0</v>
      </c>
    </row>
    <row r="26" spans="1:15" x14ac:dyDescent="0.3">
      <c r="A26">
        <v>25</v>
      </c>
      <c r="B26">
        <v>25</v>
      </c>
      <c r="C26" t="s">
        <v>39</v>
      </c>
      <c r="D26">
        <v>-257.85000000000002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-257.85000000000002</v>
      </c>
      <c r="M26">
        <v>0</v>
      </c>
      <c r="N26">
        <v>0</v>
      </c>
      <c r="O26">
        <v>0</v>
      </c>
    </row>
    <row r="27" spans="1:15" x14ac:dyDescent="0.3">
      <c r="A27">
        <v>26</v>
      </c>
      <c r="B27">
        <v>26</v>
      </c>
      <c r="C27" t="s">
        <v>40</v>
      </c>
      <c r="D27">
        <v>-738.04</v>
      </c>
      <c r="E27">
        <v>-326.7</v>
      </c>
      <c r="F27">
        <v>-49</v>
      </c>
      <c r="G27">
        <v>0</v>
      </c>
      <c r="H27">
        <v>0</v>
      </c>
      <c r="I27">
        <v>0</v>
      </c>
      <c r="J27">
        <v>0</v>
      </c>
      <c r="K27">
        <v>0</v>
      </c>
      <c r="L27">
        <v>-362.34</v>
      </c>
      <c r="M27">
        <v>0</v>
      </c>
      <c r="N27">
        <v>0</v>
      </c>
      <c r="O27">
        <v>0</v>
      </c>
    </row>
    <row r="28" spans="1:15" x14ac:dyDescent="0.3">
      <c r="A28">
        <v>27</v>
      </c>
      <c r="B28">
        <v>27</v>
      </c>
      <c r="C28" t="s">
        <v>41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</row>
    <row r="29" spans="1:15" x14ac:dyDescent="0.3">
      <c r="A29">
        <v>28</v>
      </c>
      <c r="B29">
        <v>28</v>
      </c>
      <c r="C29" t="s">
        <v>42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</row>
    <row r="30" spans="1:15" x14ac:dyDescent="0.3">
      <c r="A30">
        <v>29</v>
      </c>
      <c r="B30">
        <v>29</v>
      </c>
      <c r="C30" t="s">
        <v>43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</row>
    <row r="31" spans="1:15" x14ac:dyDescent="0.3">
      <c r="A31">
        <v>30</v>
      </c>
      <c r="B31">
        <v>30</v>
      </c>
      <c r="C31" t="s">
        <v>44</v>
      </c>
      <c r="D31">
        <v>-16348.56</v>
      </c>
      <c r="E31">
        <v>18183.14</v>
      </c>
      <c r="F31">
        <v>-5600.36</v>
      </c>
      <c r="G31">
        <v>0</v>
      </c>
      <c r="H31">
        <v>0</v>
      </c>
      <c r="I31">
        <v>0</v>
      </c>
      <c r="J31">
        <v>0</v>
      </c>
      <c r="K31">
        <v>0</v>
      </c>
      <c r="L31">
        <v>-28931.34</v>
      </c>
      <c r="M31">
        <v>0</v>
      </c>
      <c r="N31">
        <v>0</v>
      </c>
      <c r="O31">
        <v>0</v>
      </c>
    </row>
    <row r="32" spans="1:15" x14ac:dyDescent="0.3">
      <c r="A32">
        <v>31</v>
      </c>
      <c r="B32">
        <v>31</v>
      </c>
      <c r="C32" t="s">
        <v>45</v>
      </c>
      <c r="D32">
        <v>-27797.61</v>
      </c>
      <c r="E32">
        <v>7361.93</v>
      </c>
      <c r="F32">
        <v>-6228.2</v>
      </c>
      <c r="G32">
        <v>0</v>
      </c>
      <c r="H32">
        <v>0</v>
      </c>
      <c r="I32">
        <v>0</v>
      </c>
      <c r="J32">
        <v>0</v>
      </c>
      <c r="K32">
        <v>0</v>
      </c>
      <c r="L32">
        <v>-28931.34</v>
      </c>
      <c r="M32">
        <v>0</v>
      </c>
      <c r="N32">
        <v>0</v>
      </c>
      <c r="O32">
        <v>0</v>
      </c>
    </row>
    <row r="33" spans="1:15" x14ac:dyDescent="0.3">
      <c r="A33">
        <v>32</v>
      </c>
      <c r="B33">
        <v>32</v>
      </c>
      <c r="C33" t="s">
        <v>46</v>
      </c>
      <c r="D33">
        <v>6529.83</v>
      </c>
      <c r="E33">
        <v>-61392.67</v>
      </c>
      <c r="F33">
        <v>3833.76</v>
      </c>
      <c r="G33">
        <v>0</v>
      </c>
      <c r="H33">
        <v>0</v>
      </c>
      <c r="I33">
        <v>0</v>
      </c>
      <c r="J33">
        <v>0</v>
      </c>
      <c r="K33">
        <v>0</v>
      </c>
      <c r="L33">
        <v>64088.74</v>
      </c>
      <c r="M33">
        <v>0</v>
      </c>
      <c r="N33">
        <v>0</v>
      </c>
      <c r="O33">
        <v>0</v>
      </c>
    </row>
    <row r="34" spans="1:15" x14ac:dyDescent="0.3">
      <c r="A34">
        <v>33</v>
      </c>
      <c r="B34">
        <v>33</v>
      </c>
      <c r="C34" t="s">
        <v>47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</row>
    <row r="35" spans="1:15" x14ac:dyDescent="0.3">
      <c r="A35">
        <v>34</v>
      </c>
      <c r="B35">
        <v>34</v>
      </c>
      <c r="C35" t="s">
        <v>48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</row>
    <row r="36" spans="1:15" x14ac:dyDescent="0.3">
      <c r="A36">
        <v>35</v>
      </c>
      <c r="B36">
        <v>35</v>
      </c>
      <c r="C36" t="s">
        <v>49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</row>
    <row r="37" spans="1:15" x14ac:dyDescent="0.3">
      <c r="A37">
        <v>36</v>
      </c>
      <c r="B37">
        <v>36</v>
      </c>
      <c r="C37" t="s">
        <v>50</v>
      </c>
      <c r="D37">
        <v>6211.39</v>
      </c>
      <c r="E37">
        <v>0</v>
      </c>
      <c r="F37">
        <v>71.489999999999995</v>
      </c>
      <c r="G37">
        <v>0</v>
      </c>
      <c r="H37">
        <v>0</v>
      </c>
      <c r="I37">
        <v>0</v>
      </c>
      <c r="J37">
        <v>0</v>
      </c>
      <c r="K37">
        <v>0</v>
      </c>
      <c r="L37">
        <v>6139.9</v>
      </c>
      <c r="M37">
        <v>0</v>
      </c>
      <c r="N37">
        <v>0</v>
      </c>
      <c r="O37">
        <v>0</v>
      </c>
    </row>
    <row r="38" spans="1:15" x14ac:dyDescent="0.3">
      <c r="A38">
        <v>37</v>
      </c>
      <c r="B38">
        <v>37</v>
      </c>
      <c r="C38" t="s">
        <v>51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</row>
    <row r="39" spans="1:15" x14ac:dyDescent="0.3">
      <c r="A39">
        <v>38</v>
      </c>
      <c r="B39">
        <v>38</v>
      </c>
      <c r="C39" t="s">
        <v>52</v>
      </c>
      <c r="D39">
        <v>6211.39</v>
      </c>
      <c r="E39">
        <v>0</v>
      </c>
      <c r="F39">
        <v>71.489999999999995</v>
      </c>
      <c r="G39">
        <v>0</v>
      </c>
      <c r="H39">
        <v>0</v>
      </c>
      <c r="I39">
        <v>0</v>
      </c>
      <c r="J39">
        <v>0</v>
      </c>
      <c r="K39">
        <v>0</v>
      </c>
      <c r="L39">
        <v>6139.9</v>
      </c>
      <c r="M39">
        <v>0</v>
      </c>
      <c r="N39">
        <v>0</v>
      </c>
      <c r="O39">
        <v>0</v>
      </c>
    </row>
    <row r="40" spans="1:15" x14ac:dyDescent="0.3">
      <c r="A40">
        <v>39</v>
      </c>
      <c r="B40">
        <v>39</v>
      </c>
      <c r="C40" t="s">
        <v>53</v>
      </c>
      <c r="D40">
        <v>-871.36</v>
      </c>
      <c r="E40">
        <v>-738.58</v>
      </c>
      <c r="F40">
        <v>-132.78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</row>
    <row r="41" spans="1:15" x14ac:dyDescent="0.3">
      <c r="A41">
        <v>40</v>
      </c>
      <c r="B41">
        <v>40</v>
      </c>
      <c r="C41" t="s">
        <v>54</v>
      </c>
      <c r="D41">
        <v>11869.86</v>
      </c>
      <c r="E41">
        <v>-62131.25</v>
      </c>
      <c r="F41">
        <v>3772.47</v>
      </c>
      <c r="G41">
        <v>0</v>
      </c>
      <c r="H41">
        <v>0</v>
      </c>
      <c r="I41">
        <v>0</v>
      </c>
      <c r="J41">
        <v>0</v>
      </c>
      <c r="K41">
        <v>0</v>
      </c>
      <c r="L41">
        <v>70228.639999999999</v>
      </c>
      <c r="M41">
        <v>0</v>
      </c>
      <c r="N41">
        <v>0</v>
      </c>
      <c r="O41">
        <v>0</v>
      </c>
    </row>
    <row r="42" spans="1:15" x14ac:dyDescent="0.3">
      <c r="A42">
        <v>41</v>
      </c>
      <c r="B42">
        <v>41</v>
      </c>
      <c r="C42" t="s">
        <v>55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</row>
    <row r="43" spans="1:15" x14ac:dyDescent="0.3">
      <c r="A43">
        <v>42</v>
      </c>
      <c r="B43">
        <v>42</v>
      </c>
      <c r="C43" t="s">
        <v>56</v>
      </c>
      <c r="D43">
        <v>11869.86</v>
      </c>
      <c r="E43">
        <v>-62131.25</v>
      </c>
      <c r="F43">
        <v>3772.47</v>
      </c>
      <c r="G43">
        <v>0</v>
      </c>
      <c r="H43">
        <v>0</v>
      </c>
      <c r="I43">
        <v>0</v>
      </c>
      <c r="J43">
        <v>0</v>
      </c>
      <c r="K43">
        <v>0</v>
      </c>
      <c r="L43">
        <v>70228.639999999999</v>
      </c>
      <c r="M43">
        <v>0</v>
      </c>
      <c r="N43">
        <v>0</v>
      </c>
      <c r="O43">
        <v>0</v>
      </c>
    </row>
    <row r="44" spans="1:15" x14ac:dyDescent="0.3">
      <c r="A44">
        <v>43</v>
      </c>
      <c r="B44">
        <v>43</v>
      </c>
      <c r="C44" t="s">
        <v>57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827E1F2A6A6134F92A9F15D20A2C7EB" ma:contentTypeVersion="13" ma:contentTypeDescription="Crear nuevo documento." ma:contentTypeScope="" ma:versionID="e3d0159570353862199ef17b36aeab72">
  <xsd:schema xmlns:xsd="http://www.w3.org/2001/XMLSchema" xmlns:xs="http://www.w3.org/2001/XMLSchema" xmlns:p="http://schemas.microsoft.com/office/2006/metadata/properties" xmlns:ns2="7bc21e8b-9a2a-4f27-9a15-13ba766ee81c" xmlns:ns3="834d9a2c-b3a2-40cf-9f5a-3e1af91402ae" targetNamespace="http://schemas.microsoft.com/office/2006/metadata/properties" ma:root="true" ma:fieldsID="c540bf311518cce847c631e5b2bb5464" ns2:_="" ns3:_="">
    <xsd:import namespace="7bc21e8b-9a2a-4f27-9a15-13ba766ee81c"/>
    <xsd:import namespace="834d9a2c-b3a2-40cf-9f5a-3e1af91402a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c21e8b-9a2a-4f27-9a15-13ba766ee81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e4683fe5-7c4f-4d59-8176-f32f8657b44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34d9a2c-b3a2-40cf-9f5a-3e1af91402ae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7ddf01a0-d11f-4a8b-84b0-ced3c685fabd}" ma:internalName="TaxCatchAll" ma:showField="CatchAllData" ma:web="834d9a2c-b3a2-40cf-9f5a-3e1af91402a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bc21e8b-9a2a-4f27-9a15-13ba766ee81c">
      <Terms xmlns="http://schemas.microsoft.com/office/infopath/2007/PartnerControls"/>
    </lcf76f155ced4ddcb4097134ff3c332f>
    <TaxCatchAll xmlns="834d9a2c-b3a2-40cf-9f5a-3e1af91402ae" xsi:nil="true"/>
  </documentManagement>
</p:properties>
</file>

<file path=customXml/itemProps1.xml><?xml version="1.0" encoding="utf-8"?>
<ds:datastoreItem xmlns:ds="http://schemas.openxmlformats.org/officeDocument/2006/customXml" ds:itemID="{8F786697-1D9A-4DB0-8A72-B4FD97EC3B30}"/>
</file>

<file path=customXml/itemProps2.xml><?xml version="1.0" encoding="utf-8"?>
<ds:datastoreItem xmlns:ds="http://schemas.openxmlformats.org/officeDocument/2006/customXml" ds:itemID="{22A5B56A-80B4-45D6-8D4F-EF3C5592C62A}"/>
</file>

<file path=customXml/itemProps3.xml><?xml version="1.0" encoding="utf-8"?>
<ds:datastoreItem xmlns:ds="http://schemas.openxmlformats.org/officeDocument/2006/customXml" ds:itemID="{4FAAD807-4D05-4232-A96B-45746D0B482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Oriol Puig - CAL BLAY</cp:lastModifiedBy>
  <dcterms:modified xsi:type="dcterms:W3CDTF">2026-07-04T20:39:28Z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0x0101006827E1F2A6A6134F92A9F15D20A2C7EB</vt:lpwstr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TriggerFlowInfo">
    <vt:lpwstr/>
  </property>
</Properties>
</file>