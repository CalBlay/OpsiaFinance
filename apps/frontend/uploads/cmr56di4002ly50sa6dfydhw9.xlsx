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alblayrest-my.sharepoint.com/personal/oriol_calblay_com/Documents/Escritorio/LN00000/"/>
    </mc:Choice>
  </mc:AlternateContent>
  <xr:revisionPtr revIDLastSave="4" documentId="11_D894220ADF20B23232F4DE235DD07A55C891EFD4" xr6:coauthVersionLast="47" xr6:coauthVersionMax="47" xr10:uidLastSave="{457C071E-BAD2-46DD-A7AD-D2A87C1797F2}"/>
  <bookViews>
    <workbookView xWindow="-108" yWindow="-108" windowWidth="41496" windowHeight="167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" i="1" l="1"/>
  <c r="D9" i="1"/>
  <c r="D10" i="1"/>
  <c r="D11" i="1"/>
  <c r="D8" i="1"/>
</calcChain>
</file>

<file path=xl/sharedStrings.xml><?xml version="1.0" encoding="utf-8"?>
<sst xmlns="http://schemas.openxmlformats.org/spreadsheetml/2006/main" count="78" uniqueCount="78">
  <si>
    <t>#</t>
  </si>
  <si>
    <t>Node</t>
  </si>
  <si>
    <t>Description</t>
  </si>
  <si>
    <t>TOTAL</t>
  </si>
  <si>
    <t>CCA00001</t>
  </si>
  <si>
    <t>CCA00002</t>
  </si>
  <si>
    <t>CCA00007</t>
  </si>
  <si>
    <t>CCA00008</t>
  </si>
  <si>
    <t>CCA00009</t>
  </si>
  <si>
    <t>CCC00002</t>
  </si>
  <si>
    <t>CCC00003</t>
  </si>
  <si>
    <t>CCC00004</t>
  </si>
  <si>
    <t>CCC00005</t>
  </si>
  <si>
    <t>CCC00006</t>
  </si>
  <si>
    <t>CCC00007</t>
  </si>
  <si>
    <t>CCC00008</t>
  </si>
  <si>
    <t>CCC00009</t>
  </si>
  <si>
    <t>CCC00010</t>
  </si>
  <si>
    <t>CCC00011</t>
  </si>
  <si>
    <t>CCC00012</t>
  </si>
  <si>
    <t>CCC00013</t>
  </si>
  <si>
    <t>CCC00014</t>
  </si>
  <si>
    <t>CCC00015</t>
  </si>
  <si>
    <t>CCC00016</t>
  </si>
  <si>
    <t>CCC00017</t>
  </si>
  <si>
    <t>CCC00018</t>
  </si>
  <si>
    <t>CCC00019</t>
  </si>
  <si>
    <t>CCC00020</t>
  </si>
  <si>
    <t>CCC00021</t>
  </si>
  <si>
    <t>CCC00022</t>
  </si>
  <si>
    <t>CCC00023</t>
  </si>
  <si>
    <t>CCC00024</t>
  </si>
  <si>
    <t>CCR00008</t>
  </si>
  <si>
    <t>Sin Cent</t>
  </si>
  <si>
    <t>COMPTE DE RESULTATS</t>
  </si>
  <si>
    <t>.   VENDES</t>
  </si>
  <si>
    <t>.   PRESTACIO DE SEVEIS</t>
  </si>
  <si>
    <t>.   ALTRES INGRESSOS</t>
  </si>
  <si>
    <t>.   VARIACIO EXISTENCIES</t>
  </si>
  <si>
    <t>TOTAL INGRESSOS EXPLOTACIO</t>
  </si>
  <si>
    <t>.   COMPRES</t>
  </si>
  <si>
    <t>.   ALTRES APROVISIONAMENTS</t>
  </si>
  <si>
    <t>.   CONSUMS INTERNS</t>
  </si>
  <si>
    <t>.   VARIACIO EXISTENICIES COMPRES</t>
  </si>
  <si>
    <t>TOTAL COMPRES</t>
  </si>
  <si>
    <t>MARGE BRUT TOTAL</t>
  </si>
  <si>
    <t>.   SOUS I SALARIS</t>
  </si>
  <si>
    <t>.   INDEMNITZACIONS</t>
  </si>
  <si>
    <t>.   SEGURETAT SOCIAL</t>
  </si>
  <si>
    <t>.   ALTRES DESPESES SOCIALS</t>
  </si>
  <si>
    <t>TOTAL COST SALARIAL</t>
  </si>
  <si>
    <t>.   ARRENDAMENTS I CANONS</t>
  </si>
  <si>
    <t>.   REPARACIONS I CONSERVACIO</t>
  </si>
  <si>
    <t>.   SERVEIS PROFESSIONALS</t>
  </si>
  <si>
    <t>.   TRANSPORTS</t>
  </si>
  <si>
    <t>.   PRIMES D'ASSEGURANCES</t>
  </si>
  <si>
    <t>.   SERVEIS BANCARIS</t>
  </si>
  <si>
    <t>.   PUBLICITAT I PROPAGANDA</t>
  </si>
  <si>
    <t>.   SUBMINISTRAMENTS</t>
  </si>
  <si>
    <t>.   ALTRES DESPESES</t>
  </si>
  <si>
    <t>.   ALTRES TRIBUTS</t>
  </si>
  <si>
    <t>.   DOTACIO PER INSOLVENCIA</t>
  </si>
  <si>
    <t>MOVIMENTS INTERNS</t>
  </si>
  <si>
    <t>TOTAL DESPESES GESTIO</t>
  </si>
  <si>
    <t>TOTAL  GESTIO + SALARIS</t>
  </si>
  <si>
    <t>EBITDA</t>
  </si>
  <si>
    <t>.   INGRESSOS FINANCERS</t>
  </si>
  <si>
    <t>.   DESPESSES FINANCERES</t>
  </si>
  <si>
    <t>RESULTAT FINANCER</t>
  </si>
  <si>
    <t>.   INGRESOS EXCEPCIONALS</t>
  </si>
  <si>
    <t>.   DESPESSES EXCEPCIONALS</t>
  </si>
  <si>
    <t>RESULTAT EXCEPCIONAL</t>
  </si>
  <si>
    <t>.   AMORTITZACIONS</t>
  </si>
  <si>
    <t>RESULTAT ABANS D'IMPOSTOS</t>
  </si>
  <si>
    <t>.   IMPOST SOBRE BENEFICIS</t>
  </si>
  <si>
    <t>RESULTAT DESPRES D'IMPOSTOS</t>
  </si>
  <si>
    <t>RESULTAT ACUMULAT</t>
  </si>
  <si>
    <t>.   No definido !!!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</si>
</sst>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45"/>
  <sheetViews>
    <sheetView tabSelected="1" workbookViewId="0">
      <selection activeCell="E11" sqref="E11"/>
    </sheetView>
  </sheetViews>
  <sheetFormatPr baseColWidth="10" defaultRowHeight="14.4" x14ac:dyDescent="0.3"/>
  <cols>
    <col min="3" max="3" width="27.88671875" customWidth="1"/>
  </cols>
  <sheetData>
    <row r="1" spans="1:3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x14ac:dyDescent="0.3">
      <c r="A2">
        <v>1</v>
      </c>
      <c r="B2">
        <v>1</v>
      </c>
      <c r="C2" t="s">
        <v>34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</row>
    <row r="3" spans="1:34" x14ac:dyDescent="0.3">
      <c r="A3">
        <v>2</v>
      </c>
      <c r="B3">
        <v>2</v>
      </c>
      <c r="C3" t="s">
        <v>35</v>
      </c>
      <c r="D3">
        <v>12606.72</v>
      </c>
      <c r="E3">
        <v>0</v>
      </c>
      <c r="F3">
        <v>0</v>
      </c>
      <c r="G3">
        <v>0</v>
      </c>
      <c r="H3">
        <v>0</v>
      </c>
      <c r="I3">
        <v>0</v>
      </c>
      <c r="J3">
        <v>7581.5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29.1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4996.12</v>
      </c>
      <c r="AF3">
        <v>0</v>
      </c>
      <c r="AG3">
        <v>0</v>
      </c>
      <c r="AH3">
        <v>0</v>
      </c>
    </row>
    <row r="4" spans="1:34" x14ac:dyDescent="0.3">
      <c r="A4">
        <v>3</v>
      </c>
      <c r="B4">
        <v>3</v>
      </c>
      <c r="C4" t="s">
        <v>36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</row>
    <row r="5" spans="1:34" x14ac:dyDescent="0.3">
      <c r="A5">
        <v>4</v>
      </c>
      <c r="B5">
        <v>4</v>
      </c>
      <c r="C5" t="s">
        <v>37</v>
      </c>
      <c r="D5">
        <v>3004.21</v>
      </c>
      <c r="E5">
        <v>0</v>
      </c>
      <c r="F5">
        <v>0</v>
      </c>
      <c r="G5">
        <v>0</v>
      </c>
      <c r="H5">
        <v>0</v>
      </c>
      <c r="I5">
        <v>0</v>
      </c>
      <c r="J5">
        <v>1397.5</v>
      </c>
      <c r="K5">
        <v>0</v>
      </c>
      <c r="L5">
        <v>0</v>
      </c>
      <c r="M5">
        <v>1132.51</v>
      </c>
      <c r="N5">
        <v>0</v>
      </c>
      <c r="O5">
        <v>474.2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</row>
    <row r="6" spans="1:34" x14ac:dyDescent="0.3">
      <c r="A6">
        <v>5</v>
      </c>
      <c r="B6">
        <v>5</v>
      </c>
      <c r="C6" t="s">
        <v>38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</row>
    <row r="7" spans="1:34" x14ac:dyDescent="0.3">
      <c r="A7">
        <v>6</v>
      </c>
      <c r="B7">
        <v>6</v>
      </c>
      <c r="C7" t="s">
        <v>39</v>
      </c>
      <c r="D7">
        <v>15610.93</v>
      </c>
      <c r="E7">
        <v>0</v>
      </c>
      <c r="F7">
        <v>0</v>
      </c>
      <c r="G7">
        <v>0</v>
      </c>
      <c r="H7">
        <v>0</v>
      </c>
      <c r="I7">
        <v>0</v>
      </c>
      <c r="J7">
        <v>8979</v>
      </c>
      <c r="K7">
        <v>0</v>
      </c>
      <c r="L7">
        <v>0</v>
      </c>
      <c r="M7">
        <v>1132.51</v>
      </c>
      <c r="N7">
        <v>0</v>
      </c>
      <c r="O7">
        <v>474.2</v>
      </c>
      <c r="P7">
        <v>0</v>
      </c>
      <c r="Q7">
        <v>29.1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4996.12</v>
      </c>
      <c r="AF7">
        <v>0</v>
      </c>
      <c r="AG7">
        <v>0</v>
      </c>
      <c r="AH7">
        <v>0</v>
      </c>
    </row>
    <row r="8" spans="1:34" x14ac:dyDescent="0.3">
      <c r="A8">
        <v>7</v>
      </c>
      <c r="B8">
        <v>7</v>
      </c>
      <c r="C8" t="s">
        <v>40</v>
      </c>
      <c r="D8">
        <f>SUM(E8:AH8)</f>
        <v>-447453.71</v>
      </c>
      <c r="E8">
        <v>0</v>
      </c>
      <c r="F8">
        <v>0</v>
      </c>
      <c r="G8">
        <v>0</v>
      </c>
      <c r="H8">
        <v>0</v>
      </c>
      <c r="I8">
        <v>0</v>
      </c>
      <c r="J8">
        <v>-410456.37</v>
      </c>
      <c r="K8">
        <v>0</v>
      </c>
      <c r="L8">
        <v>0</v>
      </c>
      <c r="M8">
        <v>0</v>
      </c>
      <c r="N8">
        <v>-41.01</v>
      </c>
      <c r="O8">
        <v>-142.69999999999999</v>
      </c>
      <c r="P8">
        <v>0</v>
      </c>
      <c r="Q8">
        <v>0</v>
      </c>
      <c r="R8">
        <v>-29594.639999999999</v>
      </c>
      <c r="S8">
        <v>-1506.3</v>
      </c>
      <c r="T8">
        <v>-208.68</v>
      </c>
      <c r="U8">
        <v>-119.76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-5384.25</v>
      </c>
      <c r="AH8">
        <v>0</v>
      </c>
    </row>
    <row r="9" spans="1:34" x14ac:dyDescent="0.3">
      <c r="A9">
        <v>8</v>
      </c>
      <c r="B9">
        <v>8</v>
      </c>
      <c r="C9" t="s">
        <v>41</v>
      </c>
      <c r="D9">
        <f t="shared" ref="D9:D11" si="0">SUM(E9:AH9)</f>
        <v>-59208.47</v>
      </c>
      <c r="E9">
        <v>0</v>
      </c>
      <c r="F9">
        <v>0</v>
      </c>
      <c r="G9">
        <v>0</v>
      </c>
      <c r="H9">
        <v>0</v>
      </c>
      <c r="I9">
        <v>0</v>
      </c>
      <c r="J9">
        <v>-50359.21</v>
      </c>
      <c r="K9">
        <v>0</v>
      </c>
      <c r="L9">
        <v>14.25</v>
      </c>
      <c r="M9">
        <v>0</v>
      </c>
      <c r="N9">
        <v>-53.1</v>
      </c>
      <c r="O9">
        <v>-315.32</v>
      </c>
      <c r="P9">
        <v>0</v>
      </c>
      <c r="Q9">
        <v>0</v>
      </c>
      <c r="R9">
        <v>-243.79</v>
      </c>
      <c r="S9">
        <v>-3392.97</v>
      </c>
      <c r="T9">
        <v>-2111.11</v>
      </c>
      <c r="U9">
        <v>0</v>
      </c>
      <c r="V9">
        <v>-41.15</v>
      </c>
      <c r="W9">
        <v>-2699.08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-6.99</v>
      </c>
      <c r="AH9">
        <v>0</v>
      </c>
    </row>
    <row r="10" spans="1:34" x14ac:dyDescent="0.3">
      <c r="A10">
        <v>9</v>
      </c>
      <c r="B10">
        <v>9</v>
      </c>
      <c r="C10" t="s">
        <v>42</v>
      </c>
      <c r="D10">
        <f t="shared" si="0"/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</row>
    <row r="11" spans="1:34" x14ac:dyDescent="0.3">
      <c r="A11">
        <v>10</v>
      </c>
      <c r="B11">
        <v>10</v>
      </c>
      <c r="C11" t="s">
        <v>43</v>
      </c>
      <c r="D11">
        <f t="shared" si="0"/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</row>
    <row r="12" spans="1:34" x14ac:dyDescent="0.3">
      <c r="A12">
        <v>11</v>
      </c>
      <c r="B12">
        <v>11</v>
      </c>
      <c r="C12" t="s">
        <v>44</v>
      </c>
      <c r="D12">
        <f>SUM(D8:D11)</f>
        <v>-506662.18000000005</v>
      </c>
      <c r="E12">
        <v>0</v>
      </c>
      <c r="F12">
        <v>0</v>
      </c>
      <c r="G12">
        <v>0</v>
      </c>
      <c r="H12">
        <v>0</v>
      </c>
      <c r="I12">
        <v>0</v>
      </c>
      <c r="J12">
        <v>-460815.58</v>
      </c>
      <c r="K12">
        <v>0</v>
      </c>
      <c r="L12">
        <v>14.25</v>
      </c>
      <c r="M12">
        <v>0</v>
      </c>
      <c r="N12">
        <v>-94.11</v>
      </c>
      <c r="O12">
        <v>-458.02</v>
      </c>
      <c r="P12">
        <v>0</v>
      </c>
      <c r="Q12">
        <v>0</v>
      </c>
      <c r="R12">
        <v>-29838.43</v>
      </c>
      <c r="S12">
        <v>-4899.2700000000004</v>
      </c>
      <c r="T12">
        <v>-2319.79</v>
      </c>
      <c r="U12">
        <v>-119.76</v>
      </c>
      <c r="V12">
        <v>-41.15</v>
      </c>
      <c r="W12">
        <v>-2699.08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-5391.24</v>
      </c>
      <c r="AH12">
        <v>0</v>
      </c>
    </row>
    <row r="13" spans="1:34" x14ac:dyDescent="0.3">
      <c r="A13">
        <v>12</v>
      </c>
      <c r="B13">
        <v>12</v>
      </c>
      <c r="C13" t="s">
        <v>45</v>
      </c>
      <c r="D13">
        <v>-491051.25</v>
      </c>
      <c r="E13">
        <v>0</v>
      </c>
      <c r="F13">
        <v>0</v>
      </c>
      <c r="G13">
        <v>0</v>
      </c>
      <c r="H13">
        <v>0</v>
      </c>
      <c r="I13">
        <v>0</v>
      </c>
      <c r="J13">
        <v>-451836.58</v>
      </c>
      <c r="K13">
        <v>0</v>
      </c>
      <c r="L13">
        <v>14.25</v>
      </c>
      <c r="M13">
        <v>1132.51</v>
      </c>
      <c r="N13">
        <v>-94.11</v>
      </c>
      <c r="O13">
        <v>16.18</v>
      </c>
      <c r="P13">
        <v>0</v>
      </c>
      <c r="Q13">
        <v>29.1</v>
      </c>
      <c r="R13">
        <v>-29838.43</v>
      </c>
      <c r="S13">
        <v>-4899.2700000000004</v>
      </c>
      <c r="T13">
        <v>-2319.79</v>
      </c>
      <c r="U13">
        <v>-119.76</v>
      </c>
      <c r="V13">
        <v>-41.15</v>
      </c>
      <c r="W13">
        <v>-2699.08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4996.12</v>
      </c>
      <c r="AF13">
        <v>0</v>
      </c>
      <c r="AG13">
        <v>-5391.24</v>
      </c>
      <c r="AH13">
        <v>0</v>
      </c>
    </row>
    <row r="14" spans="1:34" x14ac:dyDescent="0.3">
      <c r="A14">
        <v>13</v>
      </c>
      <c r="B14">
        <v>13</v>
      </c>
      <c r="C14" t="s">
        <v>46</v>
      </c>
      <c r="D14">
        <v>-414827.96</v>
      </c>
      <c r="E14">
        <v>0</v>
      </c>
      <c r="F14">
        <v>0</v>
      </c>
      <c r="G14">
        <v>0</v>
      </c>
      <c r="H14">
        <v>0</v>
      </c>
      <c r="I14">
        <v>0</v>
      </c>
      <c r="J14">
        <v>0.02</v>
      </c>
      <c r="K14">
        <v>-11575.11</v>
      </c>
      <c r="L14">
        <v>-51903.81</v>
      </c>
      <c r="M14">
        <v>-100484.87</v>
      </c>
      <c r="N14">
        <v>-11717.08</v>
      </c>
      <c r="O14">
        <v>-156308.79</v>
      </c>
      <c r="P14">
        <v>-82838.320000000007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</row>
    <row r="15" spans="1:34" x14ac:dyDescent="0.3">
      <c r="A15">
        <v>14</v>
      </c>
      <c r="B15">
        <v>14</v>
      </c>
      <c r="C15" t="s">
        <v>47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</row>
    <row r="16" spans="1:34" x14ac:dyDescent="0.3">
      <c r="A16">
        <v>15</v>
      </c>
      <c r="B16">
        <v>15</v>
      </c>
      <c r="C16" t="s">
        <v>48</v>
      </c>
      <c r="D16">
        <v>-112462.99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-2708.49</v>
      </c>
      <c r="L16">
        <v>-13739.4</v>
      </c>
      <c r="M16">
        <v>-23885.919999999998</v>
      </c>
      <c r="N16">
        <v>-3327.27</v>
      </c>
      <c r="O16">
        <v>-44091.48</v>
      </c>
      <c r="P16">
        <v>-24710.43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</row>
    <row r="17" spans="1:34" x14ac:dyDescent="0.3">
      <c r="A17">
        <v>16</v>
      </c>
      <c r="B17">
        <v>16</v>
      </c>
      <c r="C17" t="s">
        <v>49</v>
      </c>
      <c r="D17">
        <v>-9937.66</v>
      </c>
      <c r="E17">
        <v>0</v>
      </c>
      <c r="F17">
        <v>0</v>
      </c>
      <c r="G17">
        <v>0</v>
      </c>
      <c r="H17">
        <v>0</v>
      </c>
      <c r="I17">
        <v>0</v>
      </c>
      <c r="J17">
        <v>-5527.08</v>
      </c>
      <c r="K17">
        <v>0</v>
      </c>
      <c r="L17">
        <v>-216.29</v>
      </c>
      <c r="M17">
        <v>-2794.69</v>
      </c>
      <c r="N17">
        <v>-65</v>
      </c>
      <c r="O17">
        <v>-945</v>
      </c>
      <c r="P17">
        <v>-264.60000000000002</v>
      </c>
      <c r="Q17">
        <v>0</v>
      </c>
      <c r="R17">
        <v>0</v>
      </c>
      <c r="S17">
        <v>-125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</row>
    <row r="18" spans="1:34" x14ac:dyDescent="0.3">
      <c r="A18">
        <v>17</v>
      </c>
      <c r="B18">
        <v>17</v>
      </c>
      <c r="C18" t="s">
        <v>50</v>
      </c>
      <c r="D18">
        <v>-537228.61</v>
      </c>
      <c r="E18">
        <v>0</v>
      </c>
      <c r="F18">
        <v>0</v>
      </c>
      <c r="G18">
        <v>0</v>
      </c>
      <c r="H18">
        <v>0</v>
      </c>
      <c r="I18">
        <v>0</v>
      </c>
      <c r="J18">
        <v>-5527.06</v>
      </c>
      <c r="K18">
        <v>-14283.6</v>
      </c>
      <c r="L18">
        <v>-65859.5</v>
      </c>
      <c r="M18">
        <v>-127165.48</v>
      </c>
      <c r="N18">
        <v>-15109.35</v>
      </c>
      <c r="O18">
        <v>-201345.27</v>
      </c>
      <c r="P18">
        <v>-107813.35</v>
      </c>
      <c r="Q18">
        <v>0</v>
      </c>
      <c r="R18">
        <v>0</v>
      </c>
      <c r="S18">
        <v>-125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</row>
    <row r="19" spans="1:34" x14ac:dyDescent="0.3">
      <c r="A19">
        <v>18</v>
      </c>
      <c r="B19">
        <v>18</v>
      </c>
      <c r="C19" t="s">
        <v>51</v>
      </c>
      <c r="D19">
        <v>-8781.74</v>
      </c>
      <c r="E19">
        <v>0</v>
      </c>
      <c r="F19">
        <v>0</v>
      </c>
      <c r="G19">
        <v>0</v>
      </c>
      <c r="H19">
        <v>0</v>
      </c>
      <c r="I19">
        <v>0</v>
      </c>
      <c r="J19">
        <v>-3828.6</v>
      </c>
      <c r="K19">
        <v>0</v>
      </c>
      <c r="L19">
        <v>-2523.54</v>
      </c>
      <c r="M19">
        <v>0</v>
      </c>
      <c r="N19">
        <v>0</v>
      </c>
      <c r="O19">
        <v>-2429.6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</row>
    <row r="20" spans="1:34" x14ac:dyDescent="0.3">
      <c r="A20">
        <v>19</v>
      </c>
      <c r="B20">
        <v>19</v>
      </c>
      <c r="C20" t="s">
        <v>52</v>
      </c>
      <c r="D20">
        <v>-14606.87</v>
      </c>
      <c r="E20">
        <v>0</v>
      </c>
      <c r="F20">
        <v>0</v>
      </c>
      <c r="G20">
        <v>0</v>
      </c>
      <c r="H20">
        <v>0</v>
      </c>
      <c r="I20">
        <v>0</v>
      </c>
      <c r="J20">
        <v>-4495</v>
      </c>
      <c r="K20">
        <v>0</v>
      </c>
      <c r="L20">
        <v>-4255.5600000000004</v>
      </c>
      <c r="M20">
        <v>0</v>
      </c>
      <c r="N20">
        <v>-1021.49</v>
      </c>
      <c r="O20">
        <v>-4834.82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</row>
    <row r="21" spans="1:34" x14ac:dyDescent="0.3">
      <c r="A21">
        <v>20</v>
      </c>
      <c r="B21">
        <v>20</v>
      </c>
      <c r="C21" t="s">
        <v>53</v>
      </c>
      <c r="D21">
        <v>-5150.0200000000004</v>
      </c>
      <c r="E21">
        <v>0</v>
      </c>
      <c r="F21">
        <v>0</v>
      </c>
      <c r="G21">
        <v>0</v>
      </c>
      <c r="H21">
        <v>0</v>
      </c>
      <c r="I21">
        <v>0</v>
      </c>
      <c r="J21">
        <v>-5150.0200000000004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</row>
    <row r="22" spans="1:34" x14ac:dyDescent="0.3">
      <c r="A22">
        <v>21</v>
      </c>
      <c r="B22">
        <v>21</v>
      </c>
      <c r="C22" t="s">
        <v>54</v>
      </c>
      <c r="D22">
        <v>-6281.4</v>
      </c>
      <c r="E22">
        <v>0</v>
      </c>
      <c r="F22">
        <v>0</v>
      </c>
      <c r="G22">
        <v>0</v>
      </c>
      <c r="H22">
        <v>0</v>
      </c>
      <c r="I22">
        <v>0</v>
      </c>
      <c r="J22">
        <v>-2099.98</v>
      </c>
      <c r="K22">
        <v>0</v>
      </c>
      <c r="L22">
        <v>-4026.47</v>
      </c>
      <c r="M22">
        <v>0</v>
      </c>
      <c r="N22">
        <v>0</v>
      </c>
      <c r="O22">
        <v>-154.94999999999999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</row>
    <row r="23" spans="1:34" x14ac:dyDescent="0.3">
      <c r="A23">
        <v>22</v>
      </c>
      <c r="B23">
        <v>22</v>
      </c>
      <c r="C23" t="s">
        <v>55</v>
      </c>
      <c r="D23">
        <v>-3380.02</v>
      </c>
      <c r="E23">
        <v>0</v>
      </c>
      <c r="F23">
        <v>0</v>
      </c>
      <c r="G23">
        <v>0</v>
      </c>
      <c r="H23">
        <v>0</v>
      </c>
      <c r="I23">
        <v>0</v>
      </c>
      <c r="J23">
        <v>-2050.86</v>
      </c>
      <c r="K23">
        <v>0</v>
      </c>
      <c r="L23">
        <v>-1329.16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</row>
    <row r="24" spans="1:34" x14ac:dyDescent="0.3">
      <c r="A24">
        <v>23</v>
      </c>
      <c r="B24">
        <v>23</v>
      </c>
      <c r="C24" t="s">
        <v>56</v>
      </c>
      <c r="D24">
        <v>-678.42</v>
      </c>
      <c r="E24">
        <v>0</v>
      </c>
      <c r="F24">
        <v>0</v>
      </c>
      <c r="G24">
        <v>0</v>
      </c>
      <c r="H24">
        <v>0</v>
      </c>
      <c r="I24">
        <v>0</v>
      </c>
      <c r="J24">
        <v>-678.42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</row>
    <row r="25" spans="1:34" x14ac:dyDescent="0.3">
      <c r="A25">
        <v>24</v>
      </c>
      <c r="B25">
        <v>24</v>
      </c>
      <c r="C25" t="s">
        <v>57</v>
      </c>
      <c r="D25">
        <v>-1102.06</v>
      </c>
      <c r="E25">
        <v>0</v>
      </c>
      <c r="F25">
        <v>0</v>
      </c>
      <c r="G25">
        <v>0</v>
      </c>
      <c r="H25">
        <v>0</v>
      </c>
      <c r="I25">
        <v>0</v>
      </c>
      <c r="J25">
        <v>-799.02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-303.04000000000002</v>
      </c>
      <c r="AF25">
        <v>0</v>
      </c>
      <c r="AG25">
        <v>0</v>
      </c>
      <c r="AH25">
        <v>0</v>
      </c>
    </row>
    <row r="26" spans="1:34" x14ac:dyDescent="0.3">
      <c r="A26">
        <v>25</v>
      </c>
      <c r="B26">
        <v>25</v>
      </c>
      <c r="C26" t="s">
        <v>58</v>
      </c>
      <c r="D26">
        <v>-11367.97</v>
      </c>
      <c r="E26">
        <v>0</v>
      </c>
      <c r="F26">
        <v>0</v>
      </c>
      <c r="G26">
        <v>0</v>
      </c>
      <c r="H26">
        <v>0</v>
      </c>
      <c r="I26">
        <v>0</v>
      </c>
      <c r="J26">
        <v>-2908.33</v>
      </c>
      <c r="K26">
        <v>0</v>
      </c>
      <c r="L26">
        <v>0</v>
      </c>
      <c r="M26">
        <v>0</v>
      </c>
      <c r="N26">
        <v>-236.25</v>
      </c>
      <c r="O26">
        <v>-8223.39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</row>
    <row r="27" spans="1:34" x14ac:dyDescent="0.3">
      <c r="A27">
        <v>26</v>
      </c>
      <c r="B27">
        <v>26</v>
      </c>
      <c r="C27" t="s">
        <v>59</v>
      </c>
      <c r="D27">
        <v>-14207.48</v>
      </c>
      <c r="E27">
        <v>0</v>
      </c>
      <c r="F27">
        <v>0</v>
      </c>
      <c r="G27">
        <v>0</v>
      </c>
      <c r="H27">
        <v>0</v>
      </c>
      <c r="I27">
        <v>0</v>
      </c>
      <c r="J27">
        <v>-8223.65</v>
      </c>
      <c r="K27">
        <v>0</v>
      </c>
      <c r="L27">
        <v>-266.5</v>
      </c>
      <c r="M27">
        <v>0</v>
      </c>
      <c r="N27">
        <v>-2300</v>
      </c>
      <c r="O27">
        <v>-3012.49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-404.84</v>
      </c>
      <c r="AF27">
        <v>0</v>
      </c>
      <c r="AG27">
        <v>0</v>
      </c>
      <c r="AH27">
        <v>0</v>
      </c>
    </row>
    <row r="28" spans="1:34" x14ac:dyDescent="0.3">
      <c r="A28">
        <v>27</v>
      </c>
      <c r="B28">
        <v>27</v>
      </c>
      <c r="C28" t="s">
        <v>60</v>
      </c>
      <c r="D28">
        <v>-1135.18</v>
      </c>
      <c r="E28">
        <v>0</v>
      </c>
      <c r="F28">
        <v>0</v>
      </c>
      <c r="G28">
        <v>0</v>
      </c>
      <c r="H28">
        <v>0</v>
      </c>
      <c r="I28">
        <v>0</v>
      </c>
      <c r="J28">
        <v>-813.95</v>
      </c>
      <c r="K28">
        <v>0</v>
      </c>
      <c r="L28">
        <v>-321.23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</row>
    <row r="29" spans="1:34" x14ac:dyDescent="0.3">
      <c r="A29">
        <v>28</v>
      </c>
      <c r="B29">
        <v>28</v>
      </c>
      <c r="C29" t="s">
        <v>61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</row>
    <row r="30" spans="1:34" x14ac:dyDescent="0.3">
      <c r="A30">
        <v>29</v>
      </c>
      <c r="B30">
        <v>29</v>
      </c>
      <c r="C30" t="s">
        <v>62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</row>
    <row r="31" spans="1:34" x14ac:dyDescent="0.3">
      <c r="A31">
        <v>30</v>
      </c>
      <c r="B31">
        <v>30</v>
      </c>
      <c r="C31" t="s">
        <v>63</v>
      </c>
      <c r="D31">
        <v>-66691.16</v>
      </c>
      <c r="E31">
        <v>0</v>
      </c>
      <c r="F31">
        <v>0</v>
      </c>
      <c r="G31">
        <v>0</v>
      </c>
      <c r="H31">
        <v>0</v>
      </c>
      <c r="I31">
        <v>0</v>
      </c>
      <c r="J31">
        <v>-31047.83</v>
      </c>
      <c r="K31">
        <v>0</v>
      </c>
      <c r="L31">
        <v>-12722.46</v>
      </c>
      <c r="M31">
        <v>0</v>
      </c>
      <c r="N31">
        <v>-3557.74</v>
      </c>
      <c r="O31">
        <v>-18655.25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-707.88</v>
      </c>
      <c r="AF31">
        <v>0</v>
      </c>
      <c r="AG31">
        <v>0</v>
      </c>
      <c r="AH31">
        <v>0</v>
      </c>
    </row>
    <row r="32" spans="1:34" x14ac:dyDescent="0.3">
      <c r="A32">
        <v>31</v>
      </c>
      <c r="B32">
        <v>31</v>
      </c>
      <c r="C32" t="s">
        <v>64</v>
      </c>
      <c r="D32">
        <v>-603919.77</v>
      </c>
      <c r="E32">
        <v>0</v>
      </c>
      <c r="F32">
        <v>0</v>
      </c>
      <c r="G32">
        <v>0</v>
      </c>
      <c r="H32">
        <v>0</v>
      </c>
      <c r="I32">
        <v>0</v>
      </c>
      <c r="J32">
        <v>-36574.89</v>
      </c>
      <c r="K32">
        <v>-14283.6</v>
      </c>
      <c r="L32">
        <v>-78581.960000000006</v>
      </c>
      <c r="M32">
        <v>-127165.48</v>
      </c>
      <c r="N32">
        <v>-18667.09</v>
      </c>
      <c r="O32">
        <v>-220000.52</v>
      </c>
      <c r="P32">
        <v>-107813.35</v>
      </c>
      <c r="Q32">
        <v>0</v>
      </c>
      <c r="R32">
        <v>0</v>
      </c>
      <c r="S32">
        <v>-125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-707.88</v>
      </c>
      <c r="AF32">
        <v>0</v>
      </c>
      <c r="AG32">
        <v>0</v>
      </c>
      <c r="AH32">
        <v>0</v>
      </c>
    </row>
    <row r="33" spans="1:34" x14ac:dyDescent="0.3">
      <c r="A33">
        <v>32</v>
      </c>
      <c r="B33">
        <v>32</v>
      </c>
      <c r="C33" t="s">
        <v>65</v>
      </c>
      <c r="D33">
        <v>-1094971.02</v>
      </c>
      <c r="E33">
        <v>0</v>
      </c>
      <c r="F33">
        <v>0</v>
      </c>
      <c r="G33">
        <v>0</v>
      </c>
      <c r="H33">
        <v>0</v>
      </c>
      <c r="I33">
        <v>0</v>
      </c>
      <c r="J33">
        <v>-488411.47</v>
      </c>
      <c r="K33">
        <v>-14283.6</v>
      </c>
      <c r="L33">
        <v>-78567.710000000006</v>
      </c>
      <c r="M33">
        <v>-126032.97</v>
      </c>
      <c r="N33">
        <v>-18761.2</v>
      </c>
      <c r="O33">
        <v>-219984.34</v>
      </c>
      <c r="P33">
        <v>-107813.35</v>
      </c>
      <c r="Q33">
        <v>29.1</v>
      </c>
      <c r="R33">
        <v>-29838.43</v>
      </c>
      <c r="S33">
        <v>-5024.2700000000004</v>
      </c>
      <c r="T33">
        <v>-2319.79</v>
      </c>
      <c r="U33">
        <v>-119.76</v>
      </c>
      <c r="V33">
        <v>-41.15</v>
      </c>
      <c r="W33">
        <v>-2699.08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4288.24</v>
      </c>
      <c r="AF33">
        <v>0</v>
      </c>
      <c r="AG33">
        <v>-5391.24</v>
      </c>
      <c r="AH33">
        <v>0</v>
      </c>
    </row>
    <row r="34" spans="1:34" x14ac:dyDescent="0.3">
      <c r="A34">
        <v>33</v>
      </c>
      <c r="B34">
        <v>33</v>
      </c>
      <c r="C34" t="s">
        <v>66</v>
      </c>
      <c r="D34">
        <v>4565.62</v>
      </c>
      <c r="E34">
        <v>0</v>
      </c>
      <c r="F34">
        <v>0</v>
      </c>
      <c r="G34">
        <v>0</v>
      </c>
      <c r="H34">
        <v>0</v>
      </c>
      <c r="I34">
        <v>0</v>
      </c>
      <c r="J34">
        <v>4565.62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</row>
    <row r="35" spans="1:34" x14ac:dyDescent="0.3">
      <c r="A35">
        <v>34</v>
      </c>
      <c r="B35">
        <v>34</v>
      </c>
      <c r="C35" t="s">
        <v>67</v>
      </c>
      <c r="D35">
        <v>-66031.03</v>
      </c>
      <c r="E35">
        <v>0</v>
      </c>
      <c r="F35">
        <v>0</v>
      </c>
      <c r="G35">
        <v>0</v>
      </c>
      <c r="H35">
        <v>0</v>
      </c>
      <c r="I35">
        <v>0</v>
      </c>
      <c r="J35">
        <v>-66031.03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</row>
    <row r="36" spans="1:34" x14ac:dyDescent="0.3">
      <c r="A36">
        <v>35</v>
      </c>
      <c r="B36">
        <v>35</v>
      </c>
      <c r="C36" t="s">
        <v>68</v>
      </c>
      <c r="D36">
        <v>-61465.41</v>
      </c>
      <c r="E36">
        <v>0</v>
      </c>
      <c r="F36">
        <v>0</v>
      </c>
      <c r="G36">
        <v>0</v>
      </c>
      <c r="H36">
        <v>0</v>
      </c>
      <c r="I36">
        <v>0</v>
      </c>
      <c r="J36">
        <v>-61465.41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</row>
    <row r="37" spans="1:34" x14ac:dyDescent="0.3">
      <c r="A37">
        <v>36</v>
      </c>
      <c r="B37">
        <v>36</v>
      </c>
      <c r="C37" t="s">
        <v>69</v>
      </c>
      <c r="D37">
        <v>0.13</v>
      </c>
      <c r="E37">
        <v>0</v>
      </c>
      <c r="F37">
        <v>0</v>
      </c>
      <c r="G37">
        <v>0</v>
      </c>
      <c r="H37">
        <v>0</v>
      </c>
      <c r="I37">
        <v>0</v>
      </c>
      <c r="J37">
        <v>0.13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</row>
    <row r="38" spans="1:34" x14ac:dyDescent="0.3">
      <c r="A38">
        <v>37</v>
      </c>
      <c r="B38">
        <v>37</v>
      </c>
      <c r="C38" t="s">
        <v>70</v>
      </c>
      <c r="D38">
        <v>-185465.38</v>
      </c>
      <c r="E38">
        <v>0</v>
      </c>
      <c r="F38">
        <v>0</v>
      </c>
      <c r="G38">
        <v>0</v>
      </c>
      <c r="H38">
        <v>0</v>
      </c>
      <c r="I38">
        <v>0</v>
      </c>
      <c r="J38">
        <v>-185435.38</v>
      </c>
      <c r="K38">
        <v>0</v>
      </c>
      <c r="L38">
        <v>-30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</row>
    <row r="39" spans="1:34" x14ac:dyDescent="0.3">
      <c r="A39">
        <v>38</v>
      </c>
      <c r="B39">
        <v>38</v>
      </c>
      <c r="C39" t="s">
        <v>71</v>
      </c>
      <c r="D39">
        <v>-185465.25</v>
      </c>
      <c r="E39">
        <v>0</v>
      </c>
      <c r="F39">
        <v>0</v>
      </c>
      <c r="G39">
        <v>0</v>
      </c>
      <c r="H39">
        <v>0</v>
      </c>
      <c r="I39">
        <v>0</v>
      </c>
      <c r="J39">
        <v>-185435.25</v>
      </c>
      <c r="K39">
        <v>0</v>
      </c>
      <c r="L39">
        <v>-30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</row>
    <row r="40" spans="1:34" x14ac:dyDescent="0.3">
      <c r="A40">
        <v>39</v>
      </c>
      <c r="B40">
        <v>39</v>
      </c>
      <c r="C40" t="s">
        <v>72</v>
      </c>
      <c r="D40">
        <v>-44117.01</v>
      </c>
      <c r="E40">
        <v>0</v>
      </c>
      <c r="F40">
        <v>0</v>
      </c>
      <c r="G40">
        <v>0</v>
      </c>
      <c r="H40">
        <v>0</v>
      </c>
      <c r="I40">
        <v>0</v>
      </c>
      <c r="J40">
        <v>-24141.08</v>
      </c>
      <c r="K40">
        <v>0</v>
      </c>
      <c r="L40">
        <v>-6729.33</v>
      </c>
      <c r="M40">
        <v>0</v>
      </c>
      <c r="N40">
        <v>-21.86</v>
      </c>
      <c r="O40">
        <v>-13224.74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</row>
    <row r="41" spans="1:34" x14ac:dyDescent="0.3">
      <c r="A41">
        <v>40</v>
      </c>
      <c r="B41">
        <v>40</v>
      </c>
      <c r="C41" t="s">
        <v>73</v>
      </c>
      <c r="D41">
        <v>-1386018.69</v>
      </c>
      <c r="E41">
        <v>0</v>
      </c>
      <c r="F41">
        <v>0</v>
      </c>
      <c r="G41">
        <v>0</v>
      </c>
      <c r="H41">
        <v>0</v>
      </c>
      <c r="I41">
        <v>0</v>
      </c>
      <c r="J41">
        <v>-759453.21</v>
      </c>
      <c r="K41">
        <v>-14283.6</v>
      </c>
      <c r="L41">
        <v>-85327.039999999994</v>
      </c>
      <c r="M41">
        <v>-126032.97</v>
      </c>
      <c r="N41">
        <v>-18783.060000000001</v>
      </c>
      <c r="O41">
        <v>-233209.08</v>
      </c>
      <c r="P41">
        <v>-107813.35</v>
      </c>
      <c r="Q41">
        <v>29.1</v>
      </c>
      <c r="R41">
        <v>-29838.43</v>
      </c>
      <c r="S41">
        <v>-5024.2700000000004</v>
      </c>
      <c r="T41">
        <v>-2319.79</v>
      </c>
      <c r="U41">
        <v>-119.76</v>
      </c>
      <c r="V41">
        <v>-41.15</v>
      </c>
      <c r="W41">
        <v>-2699.08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4288.24</v>
      </c>
      <c r="AF41">
        <v>0</v>
      </c>
      <c r="AG41">
        <v>-5391.24</v>
      </c>
      <c r="AH41">
        <v>0</v>
      </c>
    </row>
    <row r="42" spans="1:34" x14ac:dyDescent="0.3">
      <c r="A42">
        <v>41</v>
      </c>
      <c r="B42">
        <v>41</v>
      </c>
      <c r="C42" t="s">
        <v>74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</row>
    <row r="43" spans="1:34" x14ac:dyDescent="0.3">
      <c r="A43">
        <v>42</v>
      </c>
      <c r="B43">
        <v>42</v>
      </c>
      <c r="C43" t="s">
        <v>75</v>
      </c>
      <c r="D43">
        <v>-1386018.69</v>
      </c>
      <c r="E43">
        <v>0</v>
      </c>
      <c r="F43">
        <v>0</v>
      </c>
      <c r="G43">
        <v>0</v>
      </c>
      <c r="H43">
        <v>0</v>
      </c>
      <c r="I43">
        <v>0</v>
      </c>
      <c r="J43">
        <v>-759453.21</v>
      </c>
      <c r="K43">
        <v>-14283.6</v>
      </c>
      <c r="L43">
        <v>-85327.039999999994</v>
      </c>
      <c r="M43">
        <v>-126032.97</v>
      </c>
      <c r="N43">
        <v>-18783.060000000001</v>
      </c>
      <c r="O43">
        <v>-233209.08</v>
      </c>
      <c r="P43">
        <v>-107813.35</v>
      </c>
      <c r="Q43">
        <v>29.1</v>
      </c>
      <c r="R43">
        <v>-29838.43</v>
      </c>
      <c r="S43">
        <v>-5024.2700000000004</v>
      </c>
      <c r="T43">
        <v>-2319.79</v>
      </c>
      <c r="U43">
        <v>-119.76</v>
      </c>
      <c r="V43">
        <v>-41.15</v>
      </c>
      <c r="W43">
        <v>-2699.08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4288.24</v>
      </c>
      <c r="AF43">
        <v>0</v>
      </c>
      <c r="AG43">
        <v>-5391.24</v>
      </c>
      <c r="AH43">
        <v>0</v>
      </c>
    </row>
    <row r="44" spans="1:34" x14ac:dyDescent="0.3">
      <c r="A44">
        <v>43</v>
      </c>
      <c r="B44">
        <v>43</v>
      </c>
      <c r="C44" t="s">
        <v>76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</row>
    <row r="45" spans="1:34" x14ac:dyDescent="0.3">
      <c r="A45">
        <v>44</v>
      </c>
      <c r="B45">
        <v>999</v>
      </c>
      <c r="C45" t="s">
        <v>77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Oriol Puig - CAL BLAY</cp:lastModifiedBy>
  <dcterms:modified xsi:type="dcterms:W3CDTF">2026-07-04T20:17:59Z</dcterms:modified>
</cp:coreProperties>
</file>