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alblayrest-my.sharepoint.com/personal/oriol_calblay_com/Documents/Escritorio/Numbers/RESTAURANTS/c.eXPLOT/"/>
    </mc:Choice>
  </mc:AlternateContent>
  <xr:revisionPtr revIDLastSave="28" documentId="13_ncr:1_{40DDA700-D4FE-4441-AE84-93C14EDC8587}" xr6:coauthVersionLast="47" xr6:coauthVersionMax="47" xr10:uidLastSave="{AB4A3167-ADCF-4C92-B60C-F81A251E3D15}"/>
  <bookViews>
    <workbookView xWindow="22932" yWindow="-108" windowWidth="23256" windowHeight="12456" xr2:uid="{00000000-000D-0000-FFFF-FFFF00000000}"/>
  </bookViews>
  <sheets>
    <sheet name="Sheet1" sheetId="1" r:id="rId1"/>
    <sheet name="Hoja1" sheetId="3" r:id="rId2"/>
    <sheet name="Hoja2" sheetId="4" r:id="rId3"/>
    <sheet name="Hoja3" sheetId="5" r:id="rId4"/>
    <sheet name="Consums Interns" sheetId="2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" i="2" l="1"/>
  <c r="K13" i="2"/>
  <c r="J13" i="2"/>
  <c r="I13" i="2"/>
  <c r="H13" i="2"/>
  <c r="G13" i="2"/>
  <c r="F13" i="2"/>
  <c r="E13" i="2"/>
  <c r="D13" i="2"/>
  <c r="C13" i="2"/>
  <c r="B13" i="2"/>
  <c r="J14" i="1"/>
  <c r="K14" i="1"/>
  <c r="E20" i="1"/>
  <c r="E21" i="1"/>
  <c r="E22" i="1"/>
  <c r="E23" i="1"/>
  <c r="E24" i="1"/>
  <c r="E25" i="1"/>
  <c r="E26" i="1"/>
  <c r="E27" i="1"/>
  <c r="E31" i="1" s="1"/>
  <c r="E28" i="1"/>
  <c r="E29" i="1"/>
  <c r="E30" i="1"/>
  <c r="E19" i="1"/>
  <c r="F31" i="1"/>
  <c r="G31" i="1"/>
  <c r="H31" i="1"/>
  <c r="I31" i="1"/>
  <c r="J31" i="1"/>
  <c r="K31" i="1"/>
  <c r="L31" i="1"/>
  <c r="M31" i="1"/>
  <c r="N31" i="1"/>
  <c r="O31" i="1"/>
  <c r="O21" i="1"/>
  <c r="O14" i="1"/>
  <c r="O3" i="1"/>
  <c r="I14" i="1"/>
  <c r="E4" i="1"/>
  <c r="E5" i="1"/>
  <c r="E6" i="1"/>
  <c r="E3" i="1"/>
  <c r="E7" i="1" s="1"/>
  <c r="F7" i="1"/>
  <c r="G7" i="1"/>
  <c r="H7" i="1"/>
  <c r="I7" i="1"/>
  <c r="J7" i="1"/>
  <c r="K7" i="1"/>
  <c r="L7" i="1"/>
  <c r="M7" i="1"/>
  <c r="N7" i="1"/>
  <c r="O7" i="1"/>
  <c r="I3" i="1"/>
  <c r="L14" i="1"/>
  <c r="F18" i="1"/>
  <c r="G18" i="1"/>
  <c r="H18" i="1"/>
  <c r="I18" i="1"/>
  <c r="J18" i="1"/>
  <c r="K18" i="1"/>
  <c r="L18" i="1"/>
  <c r="M18" i="1"/>
  <c r="N18" i="1"/>
  <c r="O18" i="1"/>
  <c r="H14" i="1"/>
  <c r="G14" i="1"/>
  <c r="M14" i="1"/>
  <c r="N14" i="1"/>
  <c r="E15" i="1" l="1"/>
  <c r="E16" i="1"/>
  <c r="E17" i="1"/>
  <c r="E14" i="1"/>
  <c r="F14" i="1"/>
  <c r="F22" i="5"/>
  <c r="F23" i="5"/>
  <c r="F16" i="5"/>
  <c r="F17" i="5"/>
  <c r="F18" i="5"/>
  <c r="F19" i="5"/>
  <c r="F15" i="5"/>
  <c r="C20" i="5"/>
  <c r="D20" i="5"/>
  <c r="E20" i="5"/>
  <c r="B20" i="5"/>
  <c r="F20" i="5" s="1"/>
  <c r="G10" i="5"/>
  <c r="G9" i="5"/>
  <c r="G3" i="5"/>
  <c r="G4" i="5"/>
  <c r="G5" i="5"/>
  <c r="G6" i="5"/>
  <c r="G2" i="5"/>
  <c r="F3" i="5"/>
  <c r="F4" i="5"/>
  <c r="F5" i="5"/>
  <c r="F6" i="5"/>
  <c r="F7" i="5"/>
  <c r="F9" i="5"/>
  <c r="F10" i="5"/>
  <c r="F2" i="5"/>
  <c r="C7" i="5"/>
  <c r="D7" i="5"/>
  <c r="E7" i="5"/>
  <c r="B7" i="5"/>
  <c r="E18" i="1" l="1"/>
  <c r="Q18" i="1" s="1"/>
  <c r="G16" i="5"/>
  <c r="G17" i="5"/>
  <c r="G18" i="5"/>
  <c r="G19" i="5"/>
  <c r="G22" i="5"/>
  <c r="G23" i="5"/>
  <c r="G15" i="5"/>
  <c r="E30" i="4" l="1"/>
  <c r="E23" i="4"/>
  <c r="E24" i="4"/>
  <c r="E25" i="4"/>
  <c r="E26" i="4"/>
  <c r="E27" i="4"/>
  <c r="E28" i="4"/>
  <c r="E22" i="4"/>
  <c r="D30" i="4"/>
  <c r="C30" i="4"/>
  <c r="G17" i="4"/>
  <c r="F15" i="4"/>
  <c r="G15" i="4" s="1"/>
  <c r="D15" i="4"/>
  <c r="E15" i="4" s="1"/>
  <c r="C15" i="4"/>
  <c r="G6" i="4"/>
  <c r="G7" i="4"/>
  <c r="G8" i="4"/>
  <c r="G9" i="4"/>
  <c r="G10" i="4"/>
  <c r="G11" i="4"/>
  <c r="G12" i="4"/>
  <c r="G13" i="4"/>
  <c r="G5" i="4"/>
  <c r="E6" i="4"/>
  <c r="E7" i="4"/>
  <c r="E8" i="4"/>
  <c r="E9" i="4"/>
  <c r="E10" i="4"/>
  <c r="E11" i="4"/>
  <c r="E12" i="4"/>
  <c r="E13" i="4"/>
  <c r="E5" i="4"/>
  <c r="B14" i="3"/>
  <c r="B15" i="3"/>
  <c r="B16" i="3"/>
  <c r="B13" i="3"/>
  <c r="B17" i="3"/>
  <c r="E17" i="3"/>
  <c r="F17" i="3"/>
  <c r="G17" i="3"/>
  <c r="H17" i="3"/>
  <c r="I17" i="3"/>
  <c r="J17" i="3"/>
  <c r="K17" i="3"/>
  <c r="L17" i="3"/>
  <c r="D17" i="3"/>
  <c r="E6" i="3"/>
  <c r="F6" i="3"/>
  <c r="G6" i="3"/>
  <c r="H6" i="3"/>
  <c r="I6" i="3"/>
  <c r="J6" i="3"/>
  <c r="K6" i="3"/>
  <c r="L6" i="3"/>
  <c r="D6" i="3"/>
  <c r="G13" i="3"/>
  <c r="H13" i="3"/>
  <c r="L2" i="3"/>
  <c r="L13" i="3"/>
  <c r="F13" i="3"/>
  <c r="F2" i="3"/>
  <c r="I13" i="3"/>
  <c r="E13" i="3"/>
  <c r="D13" i="3"/>
  <c r="B9" i="3"/>
  <c r="L11" i="3"/>
  <c r="K11" i="3"/>
  <c r="J11" i="3"/>
  <c r="I11" i="3"/>
  <c r="H11" i="3"/>
  <c r="G11" i="3"/>
  <c r="F11" i="3"/>
  <c r="E11" i="3"/>
  <c r="D11" i="3"/>
  <c r="C11" i="3"/>
  <c r="B10" i="3"/>
  <c r="B8" i="3"/>
  <c r="B7" i="3"/>
  <c r="E9" i="1"/>
  <c r="E10" i="1"/>
  <c r="E11" i="1"/>
  <c r="E8" i="1"/>
  <c r="E12" i="1" s="1"/>
  <c r="F12" i="1"/>
  <c r="G12" i="1"/>
  <c r="H12" i="1"/>
  <c r="I12" i="1"/>
  <c r="J12" i="1"/>
  <c r="K12" i="1"/>
  <c r="L12" i="1"/>
  <c r="M12" i="1"/>
  <c r="N12" i="1"/>
  <c r="O12" i="1"/>
  <c r="B11" i="3" l="1"/>
</calcChain>
</file>

<file path=xl/sharedStrings.xml><?xml version="1.0" encoding="utf-8"?>
<sst xmlns="http://schemas.openxmlformats.org/spreadsheetml/2006/main" count="187" uniqueCount="106">
  <si>
    <t>#</t>
  </si>
  <si>
    <t>Node</t>
  </si>
  <si>
    <t>Description</t>
  </si>
  <si>
    <t>TOTAL</t>
  </si>
  <si>
    <t>CCR00000</t>
  </si>
  <si>
    <t>CCR00001</t>
  </si>
  <si>
    <t>CCR00002</t>
  </si>
  <si>
    <t>CCR00003</t>
  </si>
  <si>
    <t>CCR00004</t>
  </si>
  <si>
    <t>CCR00005</t>
  </si>
  <si>
    <t>CCR00006</t>
  </si>
  <si>
    <t>CCR00007</t>
  </si>
  <si>
    <t>CCR00009</t>
  </si>
  <si>
    <t>CCR00010</t>
  </si>
  <si>
    <t>Sin Cent</t>
  </si>
  <si>
    <t>COMPTE DE RESULTATS</t>
  </si>
  <si>
    <t>.   VENDES</t>
  </si>
  <si>
    <t>.   PRESTACIO DE SEVEIS</t>
  </si>
  <si>
    <t>.   ALTRES INGRESSOS</t>
  </si>
  <si>
    <t>.   VARIACIO EXISTENCIES</t>
  </si>
  <si>
    <t>TOTAL INGRESSOS EXPLOTACIO</t>
  </si>
  <si>
    <t>.   COMPRES</t>
  </si>
  <si>
    <t>.   ALTRES APROVISIONAMENTS</t>
  </si>
  <si>
    <t>.   CONSUMS INTERNS</t>
  </si>
  <si>
    <t>.   VARIACIO EXISTENICIES COMPRES</t>
  </si>
  <si>
    <t>TOTAL COMPRES</t>
  </si>
  <si>
    <t>MARGE BRUT TOTAL</t>
  </si>
  <si>
    <t>.   SOUS I SALARIS</t>
  </si>
  <si>
    <t>.   INDEMNITZACIONS</t>
  </si>
  <si>
    <t>.   SEGURETAT SOCIAL</t>
  </si>
  <si>
    <t>.   ALTRES DESPESES SOCIALS</t>
  </si>
  <si>
    <t>TOTAL COST SALARIAL</t>
  </si>
  <si>
    <t>.   ARRENDAMENTS I CANONS</t>
  </si>
  <si>
    <t>.   REPARACIONS I CONSERVACIO</t>
  </si>
  <si>
    <t>.   SERVEIS PROFESSIONALS</t>
  </si>
  <si>
    <t>.   TRANSPORTS</t>
  </si>
  <si>
    <t>.   PRIMES D'ASSEGURANCES</t>
  </si>
  <si>
    <t>.   SERVEIS BANCARIS</t>
  </si>
  <si>
    <t>.   PUBLICITAT I PROPAGANDA</t>
  </si>
  <si>
    <t>.   SUBMINISTRAMENTS</t>
  </si>
  <si>
    <t>.   ALTRES DESPESES</t>
  </si>
  <si>
    <t>.   ALTRES TRIBUTS</t>
  </si>
  <si>
    <t>.   DOTACIO PER INSOLVENCIA</t>
  </si>
  <si>
    <t>MOVIMENTS INTERNS</t>
  </si>
  <si>
    <t>TOTAL DESPESES GESTIO</t>
  </si>
  <si>
    <t>TOTAL  GESTIO + SALARIS</t>
  </si>
  <si>
    <t>EBITDA</t>
  </si>
  <si>
    <t>.   INGRESSOS FINANCERS</t>
  </si>
  <si>
    <t>.   DESPESSES FINANCERES</t>
  </si>
  <si>
    <t>RESULTAT FINANCER</t>
  </si>
  <si>
    <t>.   INGRESOS EXCEPCIONALS</t>
  </si>
  <si>
    <t>.   DESPESSES EXCEPCIONALS</t>
  </si>
  <si>
    <t>RESULTAT EXCEPCIONAL</t>
  </si>
  <si>
    <t>.   AMORTITZACIONS</t>
  </si>
  <si>
    <t>RESULTAT ABANS D'IMPOSTOS</t>
  </si>
  <si>
    <t>.   IMPOST SOBRE BENEFICIS</t>
  </si>
  <si>
    <t>RESULTAT DESPRES D'IMPOSTOS</t>
  </si>
  <si>
    <t>RESULTAT ACUMULAT</t>
  </si>
  <si>
    <t>.   No definido !!!</t>
  </si>
  <si>
    <t>Nom Proveïdor</t>
  </si>
  <si>
    <t>Total Base Imposable</t>
  </si>
  <si>
    <t>CB BASES</t>
  </si>
  <si>
    <t>CB BEGUDES</t>
  </si>
  <si>
    <t>CB CONGELAT</t>
  </si>
  <si>
    <t>CB EMBALATGE CUINA</t>
  </si>
  <si>
    <t>CB FRESC</t>
  </si>
  <si>
    <t>CB MATERIAL</t>
  </si>
  <si>
    <t>CB MATERIAL OFICINA</t>
  </si>
  <si>
    <t>CB NETEJA</t>
  </si>
  <si>
    <t>CB PARAMENT</t>
  </si>
  <si>
    <t>CB SEC</t>
  </si>
  <si>
    <t>Origens</t>
  </si>
  <si>
    <t>Nautic</t>
  </si>
  <si>
    <t>Camp Nou</t>
  </si>
  <si>
    <t>Mirador</t>
  </si>
  <si>
    <t>Plural</t>
  </si>
  <si>
    <t>Soliver</t>
  </si>
  <si>
    <t xml:space="preserve">Tarraco </t>
  </si>
  <si>
    <t>Juno</t>
  </si>
  <si>
    <t>Masia</t>
  </si>
  <si>
    <t>Dept</t>
  </si>
  <si>
    <t>VENDES</t>
  </si>
  <si>
    <t>COMPRES</t>
  </si>
  <si>
    <t>PERSONAL</t>
  </si>
  <si>
    <t>%</t>
  </si>
  <si>
    <t>Abril</t>
  </si>
  <si>
    <t xml:space="preserve">COMPRES </t>
  </si>
  <si>
    <t>Gener</t>
  </si>
  <si>
    <t>Febrer</t>
  </si>
  <si>
    <t>Març</t>
  </si>
  <si>
    <t>ALLOTJAMENTS HOTEL</t>
  </si>
  <si>
    <t>SERVEIS RESTAURANT</t>
  </si>
  <si>
    <t>Ingresos por arrendamientos</t>
  </si>
  <si>
    <t>Ingresos por comisiones</t>
  </si>
  <si>
    <t>Nivel 757</t>
  </si>
  <si>
    <t>TOTAL  VENDES</t>
  </si>
  <si>
    <t>ORIGENS</t>
  </si>
  <si>
    <t xml:space="preserve"> NAUTIC</t>
  </si>
  <si>
    <t>LA MASIA</t>
  </si>
  <si>
    <t xml:space="preserve"> CAMP NOU</t>
  </si>
  <si>
    <t>TARRACO</t>
  </si>
  <si>
    <t>MIRADOR</t>
  </si>
  <si>
    <t xml:space="preserve"> JUNO HOUSE</t>
  </si>
  <si>
    <t>FDLC</t>
  </si>
  <si>
    <t xml:space="preserve"> PLURAL</t>
  </si>
  <si>
    <t>SOLIVER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</si>
</sst>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0.0%"/>
  </numFmts>
  <fonts count="26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1" fillId="0" borderId="0"/>
    <xf numFmtId="44" fontId="2" fillId="0" borderId="0" applyFont="0" applyFill="0" applyBorder="0" applyAlignment="0" applyProtection="0"/>
  </cellStyleXfs>
  <cellXfs count="26">
    <xf numFmtId="0" fontId="0" fillId="0" borderId="0" xfId="0"/>
    <xf numFmtId="43" fontId="0" fillId="0" borderId="0" xfId="42" applyFont="1"/>
    <xf numFmtId="0" fontId="19" fillId="0" borderId="0" xfId="0" applyFont="1" applyAlignment="1">
      <alignment horizontal="center"/>
    </xf>
    <xf numFmtId="0" fontId="19" fillId="33" borderId="0" xfId="0" applyFont="1" applyFill="1" applyAlignment="1">
      <alignment horizontal="center"/>
    </xf>
    <xf numFmtId="43" fontId="19" fillId="0" borderId="0" xfId="42" applyFont="1"/>
    <xf numFmtId="0" fontId="19" fillId="33" borderId="0" xfId="0" applyFont="1" applyFill="1"/>
    <xf numFmtId="43" fontId="19" fillId="33" borderId="0" xfId="42" applyFont="1" applyFill="1"/>
    <xf numFmtId="43" fontId="19" fillId="0" borderId="0" xfId="42" applyFont="1" applyFill="1"/>
    <xf numFmtId="9" fontId="19" fillId="33" borderId="0" xfId="43" applyFont="1" applyFill="1" applyAlignment="1">
      <alignment horizontal="center"/>
    </xf>
    <xf numFmtId="9" fontId="0" fillId="0" borderId="0" xfId="43" applyFont="1"/>
    <xf numFmtId="43" fontId="0" fillId="0" borderId="0" xfId="0" applyNumberFormat="1"/>
    <xf numFmtId="43" fontId="19" fillId="0" borderId="0" xfId="0" applyNumberFormat="1" applyFont="1"/>
    <xf numFmtId="164" fontId="0" fillId="0" borderId="0" xfId="43" applyNumberFormat="1" applyFont="1"/>
    <xf numFmtId="0" fontId="20" fillId="34" borderId="0" xfId="0" applyFont="1" applyFill="1" applyAlignment="1">
      <alignment horizontal="center"/>
    </xf>
    <xf numFmtId="10" fontId="0" fillId="0" borderId="0" xfId="43" applyNumberFormat="1" applyFont="1"/>
    <xf numFmtId="0" fontId="23" fillId="33" borderId="0" xfId="44" applyFont="1" applyFill="1" applyAlignment="1">
      <alignment horizontal="left" indent="1"/>
    </xf>
    <xf numFmtId="0" fontId="25" fillId="33" borderId="0" xfId="0" applyFont="1" applyFill="1" applyAlignment="1">
      <alignment horizontal="left" indent="1"/>
    </xf>
    <xf numFmtId="0" fontId="19" fillId="33" borderId="0" xfId="0" applyFont="1" applyFill="1" applyAlignment="1">
      <alignment horizontal="left" indent="1"/>
    </xf>
    <xf numFmtId="43" fontId="22" fillId="0" borderId="0" xfId="42" applyFont="1" applyFill="1" applyBorder="1"/>
    <xf numFmtId="43" fontId="24" fillId="0" borderId="0" xfId="42" applyFont="1" applyFill="1" applyBorder="1"/>
    <xf numFmtId="43" fontId="25" fillId="33" borderId="0" xfId="42" applyFont="1" applyFill="1" applyBorder="1"/>
    <xf numFmtId="43" fontId="19" fillId="33" borderId="0" xfId="0" applyNumberFormat="1" applyFont="1" applyFill="1"/>
    <xf numFmtId="43" fontId="21" fillId="0" borderId="0" xfId="42" applyFont="1"/>
    <xf numFmtId="43" fontId="1" fillId="0" borderId="0" xfId="42" applyFont="1"/>
    <xf numFmtId="0" fontId="20" fillId="35" borderId="0" xfId="0" applyFont="1" applyFill="1" applyAlignment="1">
      <alignment horizontal="center"/>
    </xf>
    <xf numFmtId="44" fontId="19" fillId="0" borderId="0" xfId="45" applyFont="1"/>
  </cellXfs>
  <cellStyles count="46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illares" xfId="42" builtinId="3"/>
    <cellStyle name="Moneda" xfId="45" builtinId="4"/>
    <cellStyle name="Neutral" xfId="8" builtinId="28" customBuiltin="1"/>
    <cellStyle name="Normal" xfId="0" builtinId="0"/>
    <cellStyle name="Normal 2" xfId="44" xr:uid="{96DC0402-E1DB-4134-B4FD-CA9B7CD4DB81}"/>
    <cellStyle name="Notas" xfId="15" builtinId="10" customBuiltin="1"/>
    <cellStyle name="Porcentaje" xfId="43" builtinId="5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5"/>
  <sheetViews>
    <sheetView tabSelected="1" workbookViewId="0">
      <selection activeCell="O33" sqref="O2:O33"/>
    </sheetView>
  </sheetViews>
  <sheetFormatPr baseColWidth="10" defaultColWidth="9.140625" defaultRowHeight="15" x14ac:dyDescent="0.25"/>
  <cols>
    <col min="3" max="3" width="33.42578125" bestFit="1" customWidth="1"/>
    <col min="5" max="5" width="12" bestFit="1" customWidth="1"/>
    <col min="6" max="6" width="14.5703125" customWidth="1"/>
    <col min="7" max="7" width="10.5703125" bestFit="1" customWidth="1"/>
    <col min="8" max="10" width="11.5703125" bestFit="1" customWidth="1"/>
    <col min="11" max="15" width="10.5703125" bestFit="1" customWidth="1"/>
  </cols>
  <sheetData>
    <row r="1" spans="1:16" x14ac:dyDescent="0.25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25">
      <c r="A2">
        <v>1</v>
      </c>
      <c r="B2">
        <v>1</v>
      </c>
      <c r="C2" t="s">
        <v>15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>
        <v>0</v>
      </c>
    </row>
    <row r="3" spans="1:16" x14ac:dyDescent="0.25">
      <c r="A3">
        <v>2</v>
      </c>
      <c r="B3">
        <v>2</v>
      </c>
      <c r="C3" t="s">
        <v>16</v>
      </c>
      <c r="E3" s="1">
        <f>SUM(F3:O3)</f>
        <v>588382.56999999995</v>
      </c>
      <c r="F3" s="1">
        <v>0</v>
      </c>
      <c r="G3" s="1">
        <v>28671.8</v>
      </c>
      <c r="H3" s="1">
        <v>126925.13</v>
      </c>
      <c r="I3" s="1">
        <f>133224.65+17068</f>
        <v>150292.65</v>
      </c>
      <c r="J3" s="1">
        <v>136713.88</v>
      </c>
      <c r="K3" s="1">
        <v>13678.02</v>
      </c>
      <c r="L3" s="1">
        <v>77330.75</v>
      </c>
      <c r="M3" s="1">
        <v>18202.54</v>
      </c>
      <c r="N3" s="1">
        <v>4970.7</v>
      </c>
      <c r="O3" s="1">
        <f>31573.1+24</f>
        <v>31597.1</v>
      </c>
      <c r="P3">
        <v>0</v>
      </c>
    </row>
    <row r="4" spans="1:16" x14ac:dyDescent="0.25">
      <c r="A4">
        <v>3</v>
      </c>
      <c r="B4">
        <v>3</v>
      </c>
      <c r="C4" t="s">
        <v>17</v>
      </c>
      <c r="E4" s="1">
        <f t="shared" ref="E4:E6" si="0">SUM(F4:O4)</f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>
        <v>0</v>
      </c>
    </row>
    <row r="5" spans="1:16" x14ac:dyDescent="0.25">
      <c r="A5">
        <v>4</v>
      </c>
      <c r="B5">
        <v>4</v>
      </c>
      <c r="C5" t="s">
        <v>18</v>
      </c>
      <c r="E5" s="1">
        <f t="shared" si="0"/>
        <v>4617.95</v>
      </c>
      <c r="F5" s="1">
        <v>0</v>
      </c>
      <c r="G5" s="1">
        <v>0</v>
      </c>
      <c r="H5" s="1">
        <v>0</v>
      </c>
      <c r="I5" s="1">
        <v>317.95</v>
      </c>
      <c r="J5" s="1">
        <v>0</v>
      </c>
      <c r="K5" s="1">
        <v>0</v>
      </c>
      <c r="L5" s="1">
        <v>0</v>
      </c>
      <c r="M5" s="1">
        <v>4300</v>
      </c>
      <c r="N5" s="1">
        <v>0</v>
      </c>
      <c r="O5" s="1">
        <v>0</v>
      </c>
      <c r="P5">
        <v>0</v>
      </c>
    </row>
    <row r="6" spans="1:16" x14ac:dyDescent="0.25">
      <c r="A6">
        <v>5</v>
      </c>
      <c r="B6">
        <v>5</v>
      </c>
      <c r="C6" t="s">
        <v>19</v>
      </c>
      <c r="E6" s="1">
        <f t="shared" si="0"/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>
        <v>0</v>
      </c>
    </row>
    <row r="7" spans="1:16" x14ac:dyDescent="0.25">
      <c r="A7">
        <v>6</v>
      </c>
      <c r="B7">
        <v>6</v>
      </c>
      <c r="C7" t="s">
        <v>20</v>
      </c>
      <c r="E7" s="1">
        <f>SUM(E3:E6)</f>
        <v>593000.5199999999</v>
      </c>
      <c r="F7" s="1">
        <f t="shared" ref="F7:O7" si="1">SUM(F3:F6)</f>
        <v>0</v>
      </c>
      <c r="G7" s="1">
        <f t="shared" si="1"/>
        <v>28671.8</v>
      </c>
      <c r="H7" s="1">
        <f t="shared" si="1"/>
        <v>126925.13</v>
      </c>
      <c r="I7" s="1">
        <f t="shared" si="1"/>
        <v>150610.6</v>
      </c>
      <c r="J7" s="1">
        <f t="shared" si="1"/>
        <v>136713.88</v>
      </c>
      <c r="K7" s="1">
        <f t="shared" si="1"/>
        <v>13678.02</v>
      </c>
      <c r="L7" s="1">
        <f t="shared" si="1"/>
        <v>77330.75</v>
      </c>
      <c r="M7" s="1">
        <f t="shared" si="1"/>
        <v>22502.54</v>
      </c>
      <c r="N7" s="1">
        <f t="shared" si="1"/>
        <v>4970.7</v>
      </c>
      <c r="O7" s="1">
        <f t="shared" si="1"/>
        <v>31597.1</v>
      </c>
      <c r="P7">
        <v>0</v>
      </c>
    </row>
    <row r="8" spans="1:16" x14ac:dyDescent="0.25">
      <c r="A8">
        <v>7</v>
      </c>
      <c r="B8">
        <v>7</v>
      </c>
      <c r="C8" t="s">
        <v>21</v>
      </c>
      <c r="E8" s="1">
        <f>SUM(F8:O8)</f>
        <v>-124716.13</v>
      </c>
      <c r="F8" s="1">
        <v>0</v>
      </c>
      <c r="G8" s="1">
        <v>-8289.26</v>
      </c>
      <c r="H8" s="1">
        <v>-32690.27</v>
      </c>
      <c r="I8" s="1">
        <v>-27535.46</v>
      </c>
      <c r="J8" s="1">
        <v>-25255.55</v>
      </c>
      <c r="K8" s="1">
        <v>-3775.03</v>
      </c>
      <c r="L8" s="1">
        <v>-18140.650000000001</v>
      </c>
      <c r="M8" s="1">
        <v>-2253.84</v>
      </c>
      <c r="N8" s="1">
        <v>-1198.1600000000001</v>
      </c>
      <c r="O8" s="1">
        <v>-5577.91</v>
      </c>
      <c r="P8">
        <v>0</v>
      </c>
    </row>
    <row r="9" spans="1:16" x14ac:dyDescent="0.25">
      <c r="A9">
        <v>8</v>
      </c>
      <c r="B9">
        <v>8</v>
      </c>
      <c r="C9" t="s">
        <v>22</v>
      </c>
      <c r="E9" s="1">
        <f t="shared" ref="E9:E11" si="2">SUM(F9:O9)</f>
        <v>-5580.32</v>
      </c>
      <c r="F9" s="1">
        <v>-61.13</v>
      </c>
      <c r="G9" s="1">
        <v>-735.07</v>
      </c>
      <c r="H9" s="1">
        <v>-782.91</v>
      </c>
      <c r="I9" s="1">
        <v>-2217.81</v>
      </c>
      <c r="J9" s="1">
        <v>-641.89</v>
      </c>
      <c r="K9" s="1">
        <v>-226.84</v>
      </c>
      <c r="L9" s="1">
        <v>-445.44</v>
      </c>
      <c r="M9" s="1">
        <v>-240.15</v>
      </c>
      <c r="N9" s="1">
        <v>-198.7</v>
      </c>
      <c r="O9" s="1">
        <v>-30.38</v>
      </c>
      <c r="P9">
        <v>0</v>
      </c>
    </row>
    <row r="10" spans="1:16" x14ac:dyDescent="0.25">
      <c r="A10">
        <v>9</v>
      </c>
      <c r="B10">
        <v>9</v>
      </c>
      <c r="C10" t="s">
        <v>23</v>
      </c>
      <c r="E10" s="1">
        <f t="shared" si="2"/>
        <v>-68084.45</v>
      </c>
      <c r="F10" s="1">
        <v>0</v>
      </c>
      <c r="G10" s="1">
        <v>-4143.95</v>
      </c>
      <c r="H10" s="1">
        <v>-12426.49</v>
      </c>
      <c r="I10" s="1">
        <v>-18464.349999999999</v>
      </c>
      <c r="J10" s="1">
        <v>-8824.9699999999993</v>
      </c>
      <c r="K10" s="1">
        <v>-3636.52</v>
      </c>
      <c r="L10" s="1">
        <v>-13194.01</v>
      </c>
      <c r="M10" s="1">
        <v>-1061.99</v>
      </c>
      <c r="N10" s="1">
        <v>-1754.65</v>
      </c>
      <c r="O10" s="1">
        <v>-4577.5200000000004</v>
      </c>
      <c r="P10">
        <v>0</v>
      </c>
    </row>
    <row r="11" spans="1:16" x14ac:dyDescent="0.25">
      <c r="A11">
        <v>10</v>
      </c>
      <c r="B11">
        <v>10</v>
      </c>
      <c r="C11" t="s">
        <v>24</v>
      </c>
      <c r="E11" s="1">
        <f t="shared" si="2"/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>
        <v>0</v>
      </c>
    </row>
    <row r="12" spans="1:16" x14ac:dyDescent="0.25">
      <c r="A12">
        <v>11</v>
      </c>
      <c r="B12">
        <v>11</v>
      </c>
      <c r="C12" t="s">
        <v>25</v>
      </c>
      <c r="E12" s="1">
        <f>SUM(E8:E11)</f>
        <v>-198380.90000000002</v>
      </c>
      <c r="F12" s="1">
        <f t="shared" ref="F12:O12" si="3">SUM(F8:F11)</f>
        <v>-61.13</v>
      </c>
      <c r="G12" s="1">
        <f t="shared" si="3"/>
        <v>-13168.279999999999</v>
      </c>
      <c r="H12" s="1">
        <f t="shared" si="3"/>
        <v>-45899.67</v>
      </c>
      <c r="I12" s="1">
        <f t="shared" si="3"/>
        <v>-48217.619999999995</v>
      </c>
      <c r="J12" s="1">
        <f t="shared" si="3"/>
        <v>-34722.409999999996</v>
      </c>
      <c r="K12" s="1">
        <f t="shared" si="3"/>
        <v>-7638.39</v>
      </c>
      <c r="L12" s="1">
        <f t="shared" si="3"/>
        <v>-31780.1</v>
      </c>
      <c r="M12" s="1">
        <f t="shared" si="3"/>
        <v>-3555.9800000000005</v>
      </c>
      <c r="N12" s="1">
        <f t="shared" si="3"/>
        <v>-3151.51</v>
      </c>
      <c r="O12" s="1">
        <f t="shared" si="3"/>
        <v>-10185.810000000001</v>
      </c>
      <c r="P12">
        <v>0</v>
      </c>
    </row>
    <row r="13" spans="1:16" x14ac:dyDescent="0.25">
      <c r="A13">
        <v>12</v>
      </c>
      <c r="B13">
        <v>12</v>
      </c>
      <c r="C13" t="s">
        <v>26</v>
      </c>
      <c r="E13" s="1">
        <v>445612.07</v>
      </c>
      <c r="F13" s="1">
        <v>-61.13</v>
      </c>
      <c r="G13" s="1">
        <v>19647.47</v>
      </c>
      <c r="H13" s="1">
        <v>93451.95</v>
      </c>
      <c r="I13" s="1">
        <v>103789.33</v>
      </c>
      <c r="J13" s="1">
        <v>110816.44</v>
      </c>
      <c r="K13" s="1">
        <v>9676.15</v>
      </c>
      <c r="L13" s="1">
        <v>58744.66</v>
      </c>
      <c r="M13" s="1">
        <v>20008.55</v>
      </c>
      <c r="N13" s="1">
        <v>3573.84</v>
      </c>
      <c r="O13" s="1">
        <v>25964.81</v>
      </c>
      <c r="P13">
        <v>0</v>
      </c>
    </row>
    <row r="14" spans="1:16" x14ac:dyDescent="0.25">
      <c r="A14">
        <v>13</v>
      </c>
      <c r="B14">
        <v>13</v>
      </c>
      <c r="C14" t="s">
        <v>27</v>
      </c>
      <c r="E14" s="1">
        <f>SUM(F14:O14)</f>
        <v>-262700.19</v>
      </c>
      <c r="F14" s="1">
        <f>-26036.45-20000</f>
        <v>-46036.45</v>
      </c>
      <c r="G14" s="1">
        <f>-14611.63+1014.9-129-482.5</f>
        <v>-14208.23</v>
      </c>
      <c r="H14" s="1">
        <f>-39194.14-2021.75</f>
        <v>-41215.89</v>
      </c>
      <c r="I14" s="1">
        <f>-48231.51+999-396-368</f>
        <v>-47996.51</v>
      </c>
      <c r="J14" s="1">
        <f>-31856.45+1260-698.7-180</f>
        <v>-31475.15</v>
      </c>
      <c r="K14" s="1">
        <f>-9180.29+117.3-480.48</f>
        <v>-9543.4700000000012</v>
      </c>
      <c r="L14" s="1">
        <f>-32959.83+1108.6-2092.09</f>
        <v>-33943.320000000007</v>
      </c>
      <c r="M14" s="1">
        <f>-13104.11+854.7</f>
        <v>-12249.41</v>
      </c>
      <c r="N14" s="1">
        <f>-6005.69+2286</f>
        <v>-3719.6899999999996</v>
      </c>
      <c r="O14" s="1">
        <f>-22936.57+784.5-160</f>
        <v>-22312.07</v>
      </c>
      <c r="P14">
        <v>0</v>
      </c>
    </row>
    <row r="15" spans="1:16" x14ac:dyDescent="0.25">
      <c r="A15">
        <v>14</v>
      </c>
      <c r="B15">
        <v>14</v>
      </c>
      <c r="C15" t="s">
        <v>28</v>
      </c>
      <c r="E15" s="1">
        <f t="shared" ref="E15:E17" si="4">SUM(F15:O15)</f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>
        <v>0</v>
      </c>
    </row>
    <row r="16" spans="1:16" x14ac:dyDescent="0.25">
      <c r="A16">
        <v>15</v>
      </c>
      <c r="B16">
        <v>15</v>
      </c>
      <c r="C16" t="s">
        <v>29</v>
      </c>
      <c r="E16" s="1">
        <f t="shared" si="4"/>
        <v>-75595.64</v>
      </c>
      <c r="F16" s="1">
        <v>-8045.88</v>
      </c>
      <c r="G16" s="1">
        <v>-4731.84</v>
      </c>
      <c r="H16" s="1">
        <v>-11045.05</v>
      </c>
      <c r="I16" s="1">
        <v>-15657.56</v>
      </c>
      <c r="J16" s="1">
        <v>-9685.94</v>
      </c>
      <c r="K16" s="1">
        <v>-3044.27</v>
      </c>
      <c r="L16" s="1">
        <v>-9572.64</v>
      </c>
      <c r="M16" s="1">
        <v>-4167.63</v>
      </c>
      <c r="N16" s="1">
        <v>-1966.14</v>
      </c>
      <c r="O16" s="1">
        <v>-7678.69</v>
      </c>
      <c r="P16">
        <v>0</v>
      </c>
    </row>
    <row r="17" spans="1:17" x14ac:dyDescent="0.25">
      <c r="A17">
        <v>16</v>
      </c>
      <c r="B17">
        <v>16</v>
      </c>
      <c r="C17" t="s">
        <v>30</v>
      </c>
      <c r="E17" s="1">
        <f t="shared" si="4"/>
        <v>-2502.0499999999997</v>
      </c>
      <c r="F17" s="1">
        <v>-498.84</v>
      </c>
      <c r="G17" s="1">
        <v>-35.950000000000003</v>
      </c>
      <c r="H17" s="1">
        <v>-163.72999999999999</v>
      </c>
      <c r="I17" s="1">
        <v>-205.46</v>
      </c>
      <c r="J17" s="1">
        <v>-586.24</v>
      </c>
      <c r="K17" s="1">
        <v>-392.75</v>
      </c>
      <c r="L17" s="1">
        <v>-217.49</v>
      </c>
      <c r="M17" s="1">
        <v>-275.08</v>
      </c>
      <c r="N17" s="1">
        <v>-20.6</v>
      </c>
      <c r="O17" s="1">
        <v>-105.91</v>
      </c>
      <c r="P17">
        <v>0</v>
      </c>
    </row>
    <row r="18" spans="1:17" x14ac:dyDescent="0.25">
      <c r="A18">
        <v>17</v>
      </c>
      <c r="B18">
        <v>17</v>
      </c>
      <c r="C18" t="s">
        <v>31</v>
      </c>
      <c r="E18" s="1">
        <f>SUM(E14:E17)</f>
        <v>-340797.88</v>
      </c>
      <c r="F18" s="1">
        <f t="shared" ref="F18:O18" si="5">SUM(F14:F17)</f>
        <v>-54581.169999999991</v>
      </c>
      <c r="G18" s="1">
        <f t="shared" si="5"/>
        <v>-18976.02</v>
      </c>
      <c r="H18" s="1">
        <f t="shared" si="5"/>
        <v>-52424.670000000006</v>
      </c>
      <c r="I18" s="1">
        <f t="shared" si="5"/>
        <v>-63859.53</v>
      </c>
      <c r="J18" s="1">
        <f t="shared" si="5"/>
        <v>-41747.33</v>
      </c>
      <c r="K18" s="1">
        <f t="shared" si="5"/>
        <v>-12980.490000000002</v>
      </c>
      <c r="L18" s="1">
        <f t="shared" si="5"/>
        <v>-43733.450000000004</v>
      </c>
      <c r="M18" s="1">
        <f t="shared" si="5"/>
        <v>-16692.120000000003</v>
      </c>
      <c r="N18" s="1">
        <f t="shared" si="5"/>
        <v>-5706.43</v>
      </c>
      <c r="O18" s="1">
        <f t="shared" si="5"/>
        <v>-30096.67</v>
      </c>
      <c r="P18">
        <v>0</v>
      </c>
      <c r="Q18" s="14">
        <f>E18/E7</f>
        <v>-0.57470081139220597</v>
      </c>
    </row>
    <row r="19" spans="1:17" x14ac:dyDescent="0.25">
      <c r="A19">
        <v>18</v>
      </c>
      <c r="B19">
        <v>18</v>
      </c>
      <c r="C19" t="s">
        <v>32</v>
      </c>
      <c r="E19" s="1">
        <f>SUM(F19:O19)</f>
        <v>-45678.549999999996</v>
      </c>
      <c r="F19" s="1">
        <v>0</v>
      </c>
      <c r="G19" s="1">
        <v>0</v>
      </c>
      <c r="H19" s="1">
        <v>-5089.09</v>
      </c>
      <c r="I19" s="1">
        <v>-267.58</v>
      </c>
      <c r="J19" s="1">
        <v>-27342.18</v>
      </c>
      <c r="K19" s="1">
        <v>-1500</v>
      </c>
      <c r="L19" s="1">
        <v>-4220.3599999999997</v>
      </c>
      <c r="M19" s="1">
        <v>0</v>
      </c>
      <c r="N19" s="1">
        <v>-4069.1</v>
      </c>
      <c r="O19" s="1">
        <v>-3190.24</v>
      </c>
      <c r="P19">
        <v>0</v>
      </c>
    </row>
    <row r="20" spans="1:17" x14ac:dyDescent="0.25">
      <c r="A20">
        <v>19</v>
      </c>
      <c r="B20">
        <v>19</v>
      </c>
      <c r="C20" t="s">
        <v>33</v>
      </c>
      <c r="E20" s="1">
        <f t="shared" ref="E20:E30" si="6">SUM(F20:O20)</f>
        <v>-18644.59</v>
      </c>
      <c r="F20" s="1">
        <v>0</v>
      </c>
      <c r="G20" s="1">
        <v>-1372.21</v>
      </c>
      <c r="H20" s="1">
        <v>-3097.58</v>
      </c>
      <c r="I20" s="1">
        <v>-5656.65</v>
      </c>
      <c r="J20" s="1">
        <v>-452.07</v>
      </c>
      <c r="K20" s="1">
        <v>-549.79</v>
      </c>
      <c r="L20" s="1">
        <v>-3713.46</v>
      </c>
      <c r="M20" s="1">
        <v>-398.53</v>
      </c>
      <c r="N20" s="1">
        <v>-440.5</v>
      </c>
      <c r="O20" s="1">
        <v>-2963.8</v>
      </c>
      <c r="P20">
        <v>0</v>
      </c>
    </row>
    <row r="21" spans="1:17" x14ac:dyDescent="0.25">
      <c r="A21">
        <v>20</v>
      </c>
      <c r="B21">
        <v>20</v>
      </c>
      <c r="C21" t="s">
        <v>34</v>
      </c>
      <c r="E21" s="1">
        <f t="shared" si="6"/>
        <v>-2597.08</v>
      </c>
      <c r="F21" s="1">
        <v>0</v>
      </c>
      <c r="G21" s="1">
        <v>-303.56</v>
      </c>
      <c r="H21" s="1">
        <v>-915.56</v>
      </c>
      <c r="I21" s="1">
        <v>-329.06</v>
      </c>
      <c r="J21" s="1">
        <v>-63.86</v>
      </c>
      <c r="K21" s="1">
        <v>-145.46</v>
      </c>
      <c r="L21" s="1">
        <v>-285.70999999999998</v>
      </c>
      <c r="M21" s="1">
        <v>-91.91</v>
      </c>
      <c r="N21" s="1">
        <v>-62</v>
      </c>
      <c r="O21" s="1">
        <f>-119.96-280</f>
        <v>-399.96</v>
      </c>
      <c r="P21">
        <v>0</v>
      </c>
    </row>
    <row r="22" spans="1:17" x14ac:dyDescent="0.25">
      <c r="A22">
        <v>21</v>
      </c>
      <c r="B22">
        <v>21</v>
      </c>
      <c r="C22" t="s">
        <v>35</v>
      </c>
      <c r="E22" s="1">
        <f t="shared" si="6"/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>
        <v>0</v>
      </c>
    </row>
    <row r="23" spans="1:17" x14ac:dyDescent="0.25">
      <c r="A23">
        <v>22</v>
      </c>
      <c r="B23">
        <v>22</v>
      </c>
      <c r="C23" t="s">
        <v>36</v>
      </c>
      <c r="E23" s="1">
        <f t="shared" si="6"/>
        <v>-1417.1700000000003</v>
      </c>
      <c r="F23" s="1">
        <v>0</v>
      </c>
      <c r="G23" s="1">
        <v>-439.61</v>
      </c>
      <c r="H23" s="1">
        <v>-150.36000000000001</v>
      </c>
      <c r="I23" s="1">
        <v>-374.13</v>
      </c>
      <c r="J23" s="1">
        <v>-40.81</v>
      </c>
      <c r="K23" s="1">
        <v>-96.37</v>
      </c>
      <c r="L23" s="1">
        <v>-287.54000000000002</v>
      </c>
      <c r="M23" s="1">
        <v>0</v>
      </c>
      <c r="N23" s="1">
        <v>-14.18</v>
      </c>
      <c r="O23" s="1">
        <v>-14.17</v>
      </c>
      <c r="P23">
        <v>0</v>
      </c>
    </row>
    <row r="24" spans="1:17" x14ac:dyDescent="0.25">
      <c r="A24">
        <v>23</v>
      </c>
      <c r="B24">
        <v>23</v>
      </c>
      <c r="C24" t="s">
        <v>37</v>
      </c>
      <c r="E24" s="1">
        <f t="shared" si="6"/>
        <v>-3147.6299999999997</v>
      </c>
      <c r="F24" s="1">
        <v>0</v>
      </c>
      <c r="G24" s="1">
        <v>-98.49</v>
      </c>
      <c r="H24" s="1">
        <v>-502.53</v>
      </c>
      <c r="I24" s="1">
        <v>-486.82</v>
      </c>
      <c r="J24" s="1">
        <v>-1225.05</v>
      </c>
      <c r="K24" s="1">
        <v>-68.05</v>
      </c>
      <c r="L24" s="1">
        <v>-355.06</v>
      </c>
      <c r="M24" s="1">
        <v>-73.37</v>
      </c>
      <c r="N24" s="1">
        <v>-39.909999999999997</v>
      </c>
      <c r="O24" s="1">
        <v>-298.35000000000002</v>
      </c>
      <c r="P24">
        <v>0</v>
      </c>
    </row>
    <row r="25" spans="1:17" x14ac:dyDescent="0.25">
      <c r="A25">
        <v>24</v>
      </c>
      <c r="B25">
        <v>24</v>
      </c>
      <c r="C25" t="s">
        <v>38</v>
      </c>
      <c r="E25" s="1">
        <f t="shared" si="6"/>
        <v>-2089.79</v>
      </c>
      <c r="F25" s="1">
        <v>0</v>
      </c>
      <c r="G25" s="1">
        <v>-216.95</v>
      </c>
      <c r="H25" s="1">
        <v>-736</v>
      </c>
      <c r="I25" s="1">
        <v>-75</v>
      </c>
      <c r="J25" s="1">
        <v>0</v>
      </c>
      <c r="K25" s="1">
        <v>-225</v>
      </c>
      <c r="L25" s="1">
        <v>-94.84</v>
      </c>
      <c r="M25" s="1">
        <v>0</v>
      </c>
      <c r="N25" s="1">
        <v>0</v>
      </c>
      <c r="O25" s="1">
        <v>-742</v>
      </c>
      <c r="P25">
        <v>0</v>
      </c>
    </row>
    <row r="26" spans="1:17" x14ac:dyDescent="0.25">
      <c r="A26">
        <v>25</v>
      </c>
      <c r="B26">
        <v>25</v>
      </c>
      <c r="C26" t="s">
        <v>39</v>
      </c>
      <c r="E26" s="1">
        <f t="shared" si="6"/>
        <v>-24633.47</v>
      </c>
      <c r="F26" s="1">
        <v>0</v>
      </c>
      <c r="G26" s="1">
        <v>-1903</v>
      </c>
      <c r="H26" s="1">
        <v>-1700</v>
      </c>
      <c r="I26" s="1">
        <v>-4650</v>
      </c>
      <c r="J26" s="1">
        <v>-1034</v>
      </c>
      <c r="K26" s="1">
        <v>0</v>
      </c>
      <c r="L26" s="1">
        <v>-8788.33</v>
      </c>
      <c r="M26" s="1">
        <v>0</v>
      </c>
      <c r="N26" s="1">
        <v>-2658.14</v>
      </c>
      <c r="O26" s="1">
        <v>-3900</v>
      </c>
      <c r="P26">
        <v>0</v>
      </c>
    </row>
    <row r="27" spans="1:17" x14ac:dyDescent="0.25">
      <c r="A27">
        <v>26</v>
      </c>
      <c r="B27">
        <v>26</v>
      </c>
      <c r="C27" t="s">
        <v>40</v>
      </c>
      <c r="E27" s="1">
        <f t="shared" si="6"/>
        <v>-12156.849999999999</v>
      </c>
      <c r="F27" s="1">
        <v>-120</v>
      </c>
      <c r="G27" s="1">
        <v>-1165.83</v>
      </c>
      <c r="H27" s="1">
        <v>-2941.29</v>
      </c>
      <c r="I27" s="1">
        <v>-4303.8599999999997</v>
      </c>
      <c r="J27" s="1">
        <v>-1059.3</v>
      </c>
      <c r="K27" s="1">
        <v>-118.78</v>
      </c>
      <c r="L27" s="1">
        <v>-1566.36</v>
      </c>
      <c r="M27" s="1">
        <v>-124</v>
      </c>
      <c r="N27" s="1">
        <v>-142.71</v>
      </c>
      <c r="O27" s="1">
        <v>-614.72</v>
      </c>
      <c r="P27">
        <v>0</v>
      </c>
    </row>
    <row r="28" spans="1:17" x14ac:dyDescent="0.25">
      <c r="A28">
        <v>27</v>
      </c>
      <c r="B28">
        <v>27</v>
      </c>
      <c r="C28" t="s">
        <v>41</v>
      </c>
      <c r="E28" s="1">
        <f t="shared" si="6"/>
        <v>-2879.9</v>
      </c>
      <c r="F28" s="1">
        <v>0</v>
      </c>
      <c r="G28" s="1">
        <v>-1159.76</v>
      </c>
      <c r="H28" s="1">
        <v>-656.64</v>
      </c>
      <c r="I28" s="1">
        <v>-276.39</v>
      </c>
      <c r="J28" s="1">
        <v>-207.23</v>
      </c>
      <c r="K28" s="1">
        <v>-114</v>
      </c>
      <c r="L28" s="1">
        <v>-245.67</v>
      </c>
      <c r="M28" s="1">
        <v>0</v>
      </c>
      <c r="N28" s="1">
        <v>-194.88</v>
      </c>
      <c r="O28" s="1">
        <v>-25.33</v>
      </c>
      <c r="P28">
        <v>0</v>
      </c>
    </row>
    <row r="29" spans="1:17" x14ac:dyDescent="0.25">
      <c r="A29">
        <v>28</v>
      </c>
      <c r="B29">
        <v>28</v>
      </c>
      <c r="C29" t="s">
        <v>42</v>
      </c>
      <c r="E29" s="1">
        <f t="shared" si="6"/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>
        <v>0</v>
      </c>
    </row>
    <row r="30" spans="1:17" x14ac:dyDescent="0.25">
      <c r="A30">
        <v>29</v>
      </c>
      <c r="B30">
        <v>29</v>
      </c>
      <c r="C30" t="s">
        <v>43</v>
      </c>
      <c r="E30" s="1">
        <f t="shared" si="6"/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>
        <v>0</v>
      </c>
    </row>
    <row r="31" spans="1:17" x14ac:dyDescent="0.25">
      <c r="A31">
        <v>30</v>
      </c>
      <c r="B31">
        <v>30</v>
      </c>
      <c r="C31" t="s">
        <v>44</v>
      </c>
      <c r="E31" s="1">
        <f>SUM(E19:E30)</f>
        <v>-113245.03</v>
      </c>
      <c r="F31" s="1">
        <f t="shared" ref="F31:O31" si="7">SUM(F19:F30)</f>
        <v>-120</v>
      </c>
      <c r="G31" s="1">
        <f t="shared" si="7"/>
        <v>-6659.41</v>
      </c>
      <c r="H31" s="1">
        <f t="shared" si="7"/>
        <v>-15789.05</v>
      </c>
      <c r="I31" s="1">
        <f t="shared" si="7"/>
        <v>-16419.489999999998</v>
      </c>
      <c r="J31" s="1">
        <f t="shared" si="7"/>
        <v>-31424.5</v>
      </c>
      <c r="K31" s="1">
        <f t="shared" si="7"/>
        <v>-2817.4500000000003</v>
      </c>
      <c r="L31" s="1">
        <f t="shared" si="7"/>
        <v>-19557.329999999998</v>
      </c>
      <c r="M31" s="1">
        <f t="shared" si="7"/>
        <v>-687.81</v>
      </c>
      <c r="N31" s="1">
        <f t="shared" si="7"/>
        <v>-7621.42</v>
      </c>
      <c r="O31" s="1">
        <f t="shared" si="7"/>
        <v>-12148.57</v>
      </c>
      <c r="P31">
        <v>0</v>
      </c>
    </row>
    <row r="32" spans="1:17" x14ac:dyDescent="0.25">
      <c r="A32">
        <v>31</v>
      </c>
      <c r="B32">
        <v>31</v>
      </c>
      <c r="C32" t="s">
        <v>45</v>
      </c>
      <c r="E32" s="1">
        <v>-435179.39</v>
      </c>
      <c r="F32" s="1">
        <v>-34701.17</v>
      </c>
      <c r="G32" s="1">
        <v>-26038.83</v>
      </c>
      <c r="H32" s="1">
        <v>-66191.97</v>
      </c>
      <c r="I32" s="1">
        <v>-80514.02</v>
      </c>
      <c r="J32" s="1">
        <v>-73553.13</v>
      </c>
      <c r="K32" s="1">
        <v>-15434.76</v>
      </c>
      <c r="L32" s="1">
        <v>-62307.29</v>
      </c>
      <c r="M32" s="1">
        <v>-18234.63</v>
      </c>
      <c r="N32" s="1">
        <v>-15613.85</v>
      </c>
      <c r="O32" s="1">
        <v>-42589.74</v>
      </c>
      <c r="P32">
        <v>0</v>
      </c>
    </row>
    <row r="33" spans="1:16" x14ac:dyDescent="0.25">
      <c r="A33">
        <v>32</v>
      </c>
      <c r="B33">
        <v>32</v>
      </c>
      <c r="C33" t="s">
        <v>46</v>
      </c>
      <c r="E33" s="1">
        <v>10432.68</v>
      </c>
      <c r="F33" s="1">
        <v>-34762.300000000003</v>
      </c>
      <c r="G33" s="1">
        <v>-6391.36</v>
      </c>
      <c r="H33" s="1">
        <v>27259.98</v>
      </c>
      <c r="I33" s="1">
        <v>23275.31</v>
      </c>
      <c r="J33" s="1">
        <v>37263.31</v>
      </c>
      <c r="K33" s="1">
        <v>-5758.61</v>
      </c>
      <c r="L33" s="1">
        <v>-3562.63</v>
      </c>
      <c r="M33" s="1">
        <v>1773.92</v>
      </c>
      <c r="N33" s="1">
        <v>-12040.01</v>
      </c>
      <c r="O33" s="1">
        <v>-16624.93</v>
      </c>
      <c r="P33">
        <v>0</v>
      </c>
    </row>
    <row r="34" spans="1:16" x14ac:dyDescent="0.25">
      <c r="A34">
        <v>33</v>
      </c>
      <c r="B34">
        <v>33</v>
      </c>
      <c r="C34" t="s">
        <v>47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>
        <v>0</v>
      </c>
    </row>
    <row r="35" spans="1:16" x14ac:dyDescent="0.25">
      <c r="A35">
        <v>34</v>
      </c>
      <c r="B35">
        <v>34</v>
      </c>
      <c r="C35" t="s">
        <v>48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>
        <v>0</v>
      </c>
    </row>
    <row r="36" spans="1:16" x14ac:dyDescent="0.25">
      <c r="A36">
        <v>35</v>
      </c>
      <c r="B36">
        <v>35</v>
      </c>
      <c r="C36" t="s">
        <v>49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>
        <v>0</v>
      </c>
    </row>
    <row r="37" spans="1:16" x14ac:dyDescent="0.25">
      <c r="A37">
        <v>36</v>
      </c>
      <c r="B37">
        <v>36</v>
      </c>
      <c r="C37" t="s">
        <v>50</v>
      </c>
      <c r="E37" s="1">
        <v>3334.4</v>
      </c>
      <c r="F37" s="1">
        <v>0</v>
      </c>
      <c r="G37" s="1">
        <v>0</v>
      </c>
      <c r="H37" s="1">
        <v>1454.4</v>
      </c>
      <c r="I37" s="1">
        <v>0</v>
      </c>
      <c r="J37" s="1">
        <v>0</v>
      </c>
      <c r="K37" s="1">
        <v>0</v>
      </c>
      <c r="L37" s="1">
        <v>1880</v>
      </c>
      <c r="M37" s="1">
        <v>0</v>
      </c>
      <c r="N37" s="1">
        <v>0</v>
      </c>
      <c r="O37" s="1">
        <v>0</v>
      </c>
      <c r="P37">
        <v>0</v>
      </c>
    </row>
    <row r="38" spans="1:16" x14ac:dyDescent="0.25">
      <c r="A38">
        <v>37</v>
      </c>
      <c r="B38">
        <v>37</v>
      </c>
      <c r="C38" t="s">
        <v>51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>
        <v>0</v>
      </c>
    </row>
    <row r="39" spans="1:16" x14ac:dyDescent="0.25">
      <c r="A39">
        <v>38</v>
      </c>
      <c r="B39">
        <v>38</v>
      </c>
      <c r="C39" t="s">
        <v>52</v>
      </c>
      <c r="E39" s="1">
        <v>3334.4</v>
      </c>
      <c r="F39" s="1">
        <v>0</v>
      </c>
      <c r="G39" s="1">
        <v>0</v>
      </c>
      <c r="H39" s="1">
        <v>1454.4</v>
      </c>
      <c r="I39" s="1">
        <v>0</v>
      </c>
      <c r="J39" s="1">
        <v>0</v>
      </c>
      <c r="K39" s="1">
        <v>0</v>
      </c>
      <c r="L39" s="1">
        <v>1880</v>
      </c>
      <c r="M39" s="1">
        <v>0</v>
      </c>
      <c r="N39" s="1">
        <v>0</v>
      </c>
      <c r="O39" s="1">
        <v>0</v>
      </c>
      <c r="P39">
        <v>0</v>
      </c>
    </row>
    <row r="40" spans="1:16" x14ac:dyDescent="0.25">
      <c r="A40">
        <v>39</v>
      </c>
      <c r="B40">
        <v>39</v>
      </c>
      <c r="C40" t="s">
        <v>53</v>
      </c>
      <c r="E40" s="1">
        <v>-10648.74</v>
      </c>
      <c r="F40" s="1">
        <v>-138.41999999999999</v>
      </c>
      <c r="G40" s="1">
        <v>-1045.74</v>
      </c>
      <c r="H40" s="1">
        <v>-1000.13</v>
      </c>
      <c r="I40" s="1">
        <v>-4837.13</v>
      </c>
      <c r="J40" s="1">
        <v>-265.23</v>
      </c>
      <c r="K40" s="1">
        <v>-155.81</v>
      </c>
      <c r="L40" s="1">
        <v>-2810.23</v>
      </c>
      <c r="M40" s="1">
        <v>0</v>
      </c>
      <c r="N40" s="1">
        <v>-44.75</v>
      </c>
      <c r="O40" s="1">
        <v>-351.3</v>
      </c>
      <c r="P40">
        <v>0</v>
      </c>
    </row>
    <row r="41" spans="1:16" x14ac:dyDescent="0.25">
      <c r="A41">
        <v>40</v>
      </c>
      <c r="B41">
        <v>40</v>
      </c>
      <c r="C41" t="s">
        <v>54</v>
      </c>
      <c r="E41" s="1">
        <v>3118.34</v>
      </c>
      <c r="F41" s="1">
        <v>-34900.720000000001</v>
      </c>
      <c r="G41" s="1">
        <v>-7437.1</v>
      </c>
      <c r="H41" s="1">
        <v>27714.25</v>
      </c>
      <c r="I41" s="1">
        <v>18438.18</v>
      </c>
      <c r="J41" s="1">
        <v>36998.080000000002</v>
      </c>
      <c r="K41" s="1">
        <v>-5914.42</v>
      </c>
      <c r="L41" s="1">
        <v>-4492.8599999999997</v>
      </c>
      <c r="M41" s="1">
        <v>1773.92</v>
      </c>
      <c r="N41" s="1">
        <v>-12084.76</v>
      </c>
      <c r="O41" s="1">
        <v>-16976.23</v>
      </c>
      <c r="P41">
        <v>0</v>
      </c>
    </row>
    <row r="42" spans="1:16" x14ac:dyDescent="0.25">
      <c r="A42">
        <v>41</v>
      </c>
      <c r="B42">
        <v>41</v>
      </c>
      <c r="C42" t="s">
        <v>55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>
        <v>0</v>
      </c>
    </row>
    <row r="43" spans="1:16" x14ac:dyDescent="0.25">
      <c r="A43">
        <v>42</v>
      </c>
      <c r="B43">
        <v>42</v>
      </c>
      <c r="C43" t="s">
        <v>56</v>
      </c>
      <c r="E43" s="1">
        <v>3118.34</v>
      </c>
      <c r="F43" s="1">
        <v>-34900.720000000001</v>
      </c>
      <c r="G43" s="1">
        <v>-7437.1</v>
      </c>
      <c r="H43" s="1">
        <v>27714.25</v>
      </c>
      <c r="I43" s="1">
        <v>18438.18</v>
      </c>
      <c r="J43" s="1">
        <v>36998.080000000002</v>
      </c>
      <c r="K43" s="1">
        <v>-5914.42</v>
      </c>
      <c r="L43" s="1">
        <v>-4492.8599999999997</v>
      </c>
      <c r="M43" s="1">
        <v>1773.92</v>
      </c>
      <c r="N43" s="1">
        <v>-12084.76</v>
      </c>
      <c r="O43" s="1">
        <v>-16976.23</v>
      </c>
      <c r="P43">
        <v>0</v>
      </c>
    </row>
    <row r="44" spans="1:16" x14ac:dyDescent="0.25">
      <c r="A44">
        <v>43</v>
      </c>
      <c r="B44">
        <v>43</v>
      </c>
      <c r="C44" t="s">
        <v>57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>
        <v>0</v>
      </c>
    </row>
    <row r="45" spans="1:16" x14ac:dyDescent="0.25">
      <c r="A45">
        <v>44</v>
      </c>
      <c r="B45">
        <v>999</v>
      </c>
      <c r="C45" t="s">
        <v>58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>
        <v>0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C01FB-F157-457C-BFAF-77DFD6B0433D}">
  <dimension ref="A1:L42"/>
  <sheetViews>
    <sheetView workbookViewId="0">
      <selection activeCell="C1" sqref="C1:L1"/>
    </sheetView>
  </sheetViews>
  <sheetFormatPr baseColWidth="10" defaultColWidth="9.140625" defaultRowHeight="15" x14ac:dyDescent="0.25"/>
  <cols>
    <col min="1" max="1" width="33.42578125" bestFit="1" customWidth="1"/>
    <col min="2" max="2" width="12" bestFit="1" customWidth="1"/>
    <col min="3" max="4" width="11.7109375" customWidth="1"/>
    <col min="5" max="5" width="11.28515625" customWidth="1"/>
    <col min="6" max="6" width="11.28515625" bestFit="1" customWidth="1"/>
    <col min="7" max="7" width="15" customWidth="1"/>
    <col min="8" max="8" width="13.28515625" customWidth="1"/>
    <col min="9" max="11" width="10.28515625" bestFit="1" customWidth="1"/>
    <col min="12" max="12" width="11.140625" customWidth="1"/>
  </cols>
  <sheetData>
    <row r="1" spans="1:12" x14ac:dyDescent="0.25">
      <c r="A1" s="3" t="s">
        <v>15</v>
      </c>
      <c r="B1" s="3" t="s">
        <v>3</v>
      </c>
      <c r="C1" s="3" t="s">
        <v>80</v>
      </c>
      <c r="D1" s="3" t="s">
        <v>71</v>
      </c>
      <c r="E1" s="3" t="s">
        <v>72</v>
      </c>
      <c r="F1" s="3" t="s">
        <v>79</v>
      </c>
      <c r="G1" s="3" t="s">
        <v>73</v>
      </c>
      <c r="H1" s="3" t="s">
        <v>77</v>
      </c>
      <c r="I1" s="3" t="s">
        <v>74</v>
      </c>
      <c r="J1" s="3" t="s">
        <v>78</v>
      </c>
      <c r="K1" s="3" t="s">
        <v>75</v>
      </c>
      <c r="L1" s="3" t="s">
        <v>76</v>
      </c>
    </row>
    <row r="2" spans="1:12" x14ac:dyDescent="0.25">
      <c r="A2" t="s">
        <v>16</v>
      </c>
      <c r="B2" s="1">
        <v>571290.56999999995</v>
      </c>
      <c r="C2" s="1">
        <v>0</v>
      </c>
      <c r="D2" s="1">
        <v>28671.8</v>
      </c>
      <c r="E2" s="1">
        <v>126925.13</v>
      </c>
      <c r="F2" s="1">
        <f>133224.65+17068</f>
        <v>150292.65</v>
      </c>
      <c r="G2" s="1">
        <v>136713.88</v>
      </c>
      <c r="H2" s="1">
        <v>13678.02</v>
      </c>
      <c r="I2" s="1">
        <v>77330.75</v>
      </c>
      <c r="J2" s="1">
        <v>18202.54</v>
      </c>
      <c r="K2" s="1">
        <v>4970.7</v>
      </c>
      <c r="L2" s="1">
        <f>31573.1+24</f>
        <v>31597.1</v>
      </c>
    </row>
    <row r="3" spans="1:12" x14ac:dyDescent="0.25">
      <c r="A3" t="s">
        <v>17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</row>
    <row r="4" spans="1:12" x14ac:dyDescent="0.25">
      <c r="A4" t="s">
        <v>18</v>
      </c>
      <c r="B4" s="1">
        <v>4617.95</v>
      </c>
      <c r="C4" s="1">
        <v>0</v>
      </c>
      <c r="D4" s="1">
        <v>0</v>
      </c>
      <c r="E4" s="1">
        <v>0</v>
      </c>
      <c r="F4" s="1">
        <v>317.95</v>
      </c>
      <c r="G4" s="1">
        <v>0</v>
      </c>
      <c r="H4" s="1">
        <v>0</v>
      </c>
      <c r="I4" s="1">
        <v>0</v>
      </c>
      <c r="J4" s="1">
        <v>4300</v>
      </c>
      <c r="K4" s="1">
        <v>0</v>
      </c>
      <c r="L4" s="1">
        <v>0</v>
      </c>
    </row>
    <row r="5" spans="1:12" x14ac:dyDescent="0.25">
      <c r="A5" t="s">
        <v>19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</row>
    <row r="6" spans="1:12" x14ac:dyDescent="0.25">
      <c r="A6" s="5" t="s">
        <v>20</v>
      </c>
      <c r="B6" s="6">
        <v>575908.52</v>
      </c>
      <c r="C6" s="6">
        <v>0</v>
      </c>
      <c r="D6" s="6">
        <f>SUM(D2:D5)</f>
        <v>28671.8</v>
      </c>
      <c r="E6" s="6">
        <f t="shared" ref="E6:L6" si="0">SUM(E2:E5)</f>
        <v>126925.13</v>
      </c>
      <c r="F6" s="6">
        <f t="shared" si="0"/>
        <v>150610.6</v>
      </c>
      <c r="G6" s="6">
        <f t="shared" si="0"/>
        <v>136713.88</v>
      </c>
      <c r="H6" s="6">
        <f t="shared" si="0"/>
        <v>13678.02</v>
      </c>
      <c r="I6" s="6">
        <f t="shared" si="0"/>
        <v>77330.75</v>
      </c>
      <c r="J6" s="6">
        <f t="shared" si="0"/>
        <v>22502.54</v>
      </c>
      <c r="K6" s="6">
        <f t="shared" si="0"/>
        <v>4970.7</v>
      </c>
      <c r="L6" s="6">
        <f t="shared" si="0"/>
        <v>31597.1</v>
      </c>
    </row>
    <row r="7" spans="1:12" x14ac:dyDescent="0.25">
      <c r="A7" t="s">
        <v>21</v>
      </c>
      <c r="B7" s="1">
        <f>SUM(C7:L7)</f>
        <v>-124716.13</v>
      </c>
      <c r="C7" s="1">
        <v>0</v>
      </c>
      <c r="D7" s="1">
        <v>-8289.26</v>
      </c>
      <c r="E7" s="1">
        <v>-32690.27</v>
      </c>
      <c r="F7" s="1">
        <v>-27535.46</v>
      </c>
      <c r="G7" s="1">
        <v>-25255.55</v>
      </c>
      <c r="H7" s="1">
        <v>-3775.03</v>
      </c>
      <c r="I7" s="1">
        <v>-18140.650000000001</v>
      </c>
      <c r="J7" s="1">
        <v>-2253.84</v>
      </c>
      <c r="K7" s="1">
        <v>-1198.1600000000001</v>
      </c>
      <c r="L7" s="1">
        <v>-5577.91</v>
      </c>
    </row>
    <row r="8" spans="1:12" x14ac:dyDescent="0.25">
      <c r="A8" t="s">
        <v>22</v>
      </c>
      <c r="B8" s="1">
        <f t="shared" ref="B8:B10" si="1">SUM(C8:L8)</f>
        <v>-5580.32</v>
      </c>
      <c r="C8" s="1">
        <v>-61.13</v>
      </c>
      <c r="D8" s="1">
        <v>-735.07</v>
      </c>
      <c r="E8" s="1">
        <v>-782.91</v>
      </c>
      <c r="F8" s="1">
        <v>-2217.81</v>
      </c>
      <c r="G8" s="1">
        <v>-641.89</v>
      </c>
      <c r="H8" s="1">
        <v>-226.84</v>
      </c>
      <c r="I8" s="1">
        <v>-445.44</v>
      </c>
      <c r="J8" s="1">
        <v>-240.15</v>
      </c>
      <c r="K8" s="1">
        <v>-198.7</v>
      </c>
      <c r="L8" s="1">
        <v>-30.38</v>
      </c>
    </row>
    <row r="9" spans="1:12" x14ac:dyDescent="0.25">
      <c r="A9" t="s">
        <v>23</v>
      </c>
      <c r="B9" s="1">
        <f>SUM(C9:L9)</f>
        <v>-68084.45</v>
      </c>
      <c r="C9" s="1">
        <v>0</v>
      </c>
      <c r="D9" s="1">
        <v>-4143.95</v>
      </c>
      <c r="E9" s="1">
        <v>-12426.49</v>
      </c>
      <c r="F9" s="1">
        <v>-18464.349999999999</v>
      </c>
      <c r="G9" s="1">
        <v>-8824.9699999999993</v>
      </c>
      <c r="H9" s="1">
        <v>-3636.52</v>
      </c>
      <c r="I9" s="1">
        <v>-13194.01</v>
      </c>
      <c r="J9" s="1">
        <v>-1061.99</v>
      </c>
      <c r="K9" s="1">
        <v>-1754.65</v>
      </c>
      <c r="L9" s="1">
        <v>-4577.5200000000004</v>
      </c>
    </row>
    <row r="10" spans="1:12" x14ac:dyDescent="0.25">
      <c r="A10" t="s">
        <v>24</v>
      </c>
      <c r="B10" s="1">
        <f t="shared" si="1"/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</row>
    <row r="11" spans="1:12" x14ac:dyDescent="0.25">
      <c r="A11" s="5" t="s">
        <v>25</v>
      </c>
      <c r="B11" s="6">
        <f>SUM(B7:B10)</f>
        <v>-198380.90000000002</v>
      </c>
      <c r="C11" s="6">
        <f t="shared" ref="C11:L11" si="2">SUM(C7:C10)</f>
        <v>-61.13</v>
      </c>
      <c r="D11" s="6">
        <f t="shared" si="2"/>
        <v>-13168.279999999999</v>
      </c>
      <c r="E11" s="6">
        <f t="shared" si="2"/>
        <v>-45899.67</v>
      </c>
      <c r="F11" s="6">
        <f t="shared" si="2"/>
        <v>-48217.619999999995</v>
      </c>
      <c r="G11" s="6">
        <f t="shared" si="2"/>
        <v>-34722.409999999996</v>
      </c>
      <c r="H11" s="6">
        <f t="shared" si="2"/>
        <v>-7638.39</v>
      </c>
      <c r="I11" s="6">
        <f t="shared" si="2"/>
        <v>-31780.1</v>
      </c>
      <c r="J11" s="6">
        <f t="shared" si="2"/>
        <v>-3555.9800000000005</v>
      </c>
      <c r="K11" s="6">
        <f t="shared" si="2"/>
        <v>-3151.51</v>
      </c>
      <c r="L11" s="6">
        <f t="shared" si="2"/>
        <v>-10185.810000000001</v>
      </c>
    </row>
    <row r="12" spans="1:12" x14ac:dyDescent="0.25">
      <c r="A12" t="s">
        <v>26</v>
      </c>
      <c r="B12" s="1">
        <v>445612.07</v>
      </c>
      <c r="C12" s="1">
        <v>-61.13</v>
      </c>
      <c r="D12" s="1">
        <v>19647.47</v>
      </c>
      <c r="E12" s="1">
        <v>93451.95</v>
      </c>
      <c r="F12" s="1">
        <v>103789.33</v>
      </c>
      <c r="G12" s="1">
        <v>110816.44</v>
      </c>
      <c r="H12" s="1">
        <v>9676.15</v>
      </c>
      <c r="I12" s="1">
        <v>58744.66</v>
      </c>
      <c r="J12" s="1">
        <v>20008.55</v>
      </c>
      <c r="K12" s="1">
        <v>3573.84</v>
      </c>
      <c r="L12" s="1">
        <v>25964.81</v>
      </c>
    </row>
    <row r="13" spans="1:12" x14ac:dyDescent="0.25">
      <c r="A13" t="s">
        <v>27</v>
      </c>
      <c r="B13" s="1">
        <f>SUM(C13:L13)</f>
        <v>-249901.49</v>
      </c>
      <c r="C13" s="1">
        <v>-26036.45</v>
      </c>
      <c r="D13" s="1">
        <f>-14611.63-482.5</f>
        <v>-15094.13</v>
      </c>
      <c r="E13" s="1">
        <f>-39194.14-2021.75</f>
        <v>-41215.89</v>
      </c>
      <c r="F13" s="1">
        <f>-48231.51-368</f>
        <v>-48599.51</v>
      </c>
      <c r="G13" s="1">
        <f>-31856.45-180</f>
        <v>-32036.45</v>
      </c>
      <c r="H13" s="1">
        <f>-9180.29-480.48</f>
        <v>-9660.77</v>
      </c>
      <c r="I13" s="1">
        <f>-32959.83-2092.09</f>
        <v>-35051.919999999998</v>
      </c>
      <c r="J13" s="1">
        <v>-13104.11</v>
      </c>
      <c r="K13" s="1">
        <v>-6005.69</v>
      </c>
      <c r="L13" s="1">
        <f>-22936.57-160</f>
        <v>-23096.57</v>
      </c>
    </row>
    <row r="14" spans="1:12" x14ac:dyDescent="0.25">
      <c r="A14" t="s">
        <v>28</v>
      </c>
      <c r="B14" s="1">
        <f t="shared" ref="B14:B16" si="3">SUM(C14:L14)</f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</row>
    <row r="15" spans="1:12" x14ac:dyDescent="0.25">
      <c r="A15" t="s">
        <v>29</v>
      </c>
      <c r="B15" s="1">
        <f t="shared" si="3"/>
        <v>-75595.64</v>
      </c>
      <c r="C15" s="1">
        <v>-8045.88</v>
      </c>
      <c r="D15" s="1">
        <v>-4731.84</v>
      </c>
      <c r="E15" s="1">
        <v>-11045.05</v>
      </c>
      <c r="F15" s="1">
        <v>-15657.56</v>
      </c>
      <c r="G15" s="1">
        <v>-9685.94</v>
      </c>
      <c r="H15" s="1">
        <v>-3044.27</v>
      </c>
      <c r="I15" s="1">
        <v>-9572.64</v>
      </c>
      <c r="J15" s="1">
        <v>-4167.63</v>
      </c>
      <c r="K15" s="1">
        <v>-1966.14</v>
      </c>
      <c r="L15" s="1">
        <v>-7678.69</v>
      </c>
    </row>
    <row r="16" spans="1:12" x14ac:dyDescent="0.25">
      <c r="A16" t="s">
        <v>30</v>
      </c>
      <c r="B16" s="1">
        <f t="shared" si="3"/>
        <v>-2502.0499999999997</v>
      </c>
      <c r="C16" s="1">
        <v>-498.84</v>
      </c>
      <c r="D16" s="1">
        <v>-35.950000000000003</v>
      </c>
      <c r="E16" s="1">
        <v>-163.72999999999999</v>
      </c>
      <c r="F16" s="1">
        <v>-205.46</v>
      </c>
      <c r="G16" s="1">
        <v>-586.24</v>
      </c>
      <c r="H16" s="1">
        <v>-392.75</v>
      </c>
      <c r="I16" s="1">
        <v>-217.49</v>
      </c>
      <c r="J16" s="1">
        <v>-275.08</v>
      </c>
      <c r="K16" s="1">
        <v>-20.6</v>
      </c>
      <c r="L16" s="1">
        <v>-105.91</v>
      </c>
    </row>
    <row r="17" spans="1:12" x14ac:dyDescent="0.25">
      <c r="A17" s="5" t="s">
        <v>31</v>
      </c>
      <c r="B17" s="6">
        <f>SUM(B13:B16)</f>
        <v>-327999.18</v>
      </c>
      <c r="C17" s="6">
        <v>-34581.17</v>
      </c>
      <c r="D17" s="6">
        <f>SUM(D13:D16)</f>
        <v>-19861.920000000002</v>
      </c>
      <c r="E17" s="6">
        <f t="shared" ref="E17:L17" si="4">SUM(E13:E16)</f>
        <v>-52424.670000000006</v>
      </c>
      <c r="F17" s="6">
        <f t="shared" si="4"/>
        <v>-64462.53</v>
      </c>
      <c r="G17" s="6">
        <f t="shared" si="4"/>
        <v>-42308.63</v>
      </c>
      <c r="H17" s="6">
        <f t="shared" si="4"/>
        <v>-13097.79</v>
      </c>
      <c r="I17" s="6">
        <f t="shared" si="4"/>
        <v>-44842.049999999996</v>
      </c>
      <c r="J17" s="6">
        <f t="shared" si="4"/>
        <v>-17546.820000000003</v>
      </c>
      <c r="K17" s="6">
        <f t="shared" si="4"/>
        <v>-7992.43</v>
      </c>
      <c r="L17" s="6">
        <f t="shared" si="4"/>
        <v>-30881.17</v>
      </c>
    </row>
    <row r="18" spans="1:12" x14ac:dyDescent="0.25">
      <c r="A18" t="s">
        <v>32</v>
      </c>
      <c r="B18" s="1">
        <v>-45678.55</v>
      </c>
      <c r="C18" s="1">
        <v>0</v>
      </c>
      <c r="D18" s="1">
        <v>0</v>
      </c>
      <c r="E18" s="1">
        <v>-5089.09</v>
      </c>
      <c r="F18" s="1">
        <v>-267.58</v>
      </c>
      <c r="G18" s="1">
        <v>-27342.18</v>
      </c>
      <c r="H18" s="1">
        <v>-1500</v>
      </c>
      <c r="I18" s="1">
        <v>-4220.3599999999997</v>
      </c>
      <c r="J18" s="1">
        <v>0</v>
      </c>
      <c r="K18" s="1">
        <v>-4069.1</v>
      </c>
      <c r="L18" s="1">
        <v>-3190.24</v>
      </c>
    </row>
    <row r="19" spans="1:12" x14ac:dyDescent="0.25">
      <c r="A19" t="s">
        <v>33</v>
      </c>
      <c r="B19" s="1">
        <v>-18644.59</v>
      </c>
      <c r="C19" s="1">
        <v>0</v>
      </c>
      <c r="D19" s="1">
        <v>-1372.21</v>
      </c>
      <c r="E19" s="1">
        <v>-3097.58</v>
      </c>
      <c r="F19" s="1">
        <v>-5656.65</v>
      </c>
      <c r="G19" s="1">
        <v>-452.07</v>
      </c>
      <c r="H19" s="1">
        <v>-549.79</v>
      </c>
      <c r="I19" s="1">
        <v>-3713.46</v>
      </c>
      <c r="J19" s="1">
        <v>-398.53</v>
      </c>
      <c r="K19" s="1">
        <v>-440.5</v>
      </c>
      <c r="L19" s="1">
        <v>-2963.8</v>
      </c>
    </row>
    <row r="20" spans="1:12" x14ac:dyDescent="0.25">
      <c r="A20" t="s">
        <v>34</v>
      </c>
      <c r="B20" s="1">
        <v>-2317.08</v>
      </c>
      <c r="C20" s="1">
        <v>0</v>
      </c>
      <c r="D20" s="1">
        <v>-303.56</v>
      </c>
      <c r="E20" s="1">
        <v>-915.56</v>
      </c>
      <c r="F20" s="1">
        <v>-329.06</v>
      </c>
      <c r="G20" s="1">
        <v>-63.86</v>
      </c>
      <c r="H20" s="1">
        <v>-145.46</v>
      </c>
      <c r="I20" s="1">
        <v>-285.70999999999998</v>
      </c>
      <c r="J20" s="1">
        <v>-91.91</v>
      </c>
      <c r="K20" s="1">
        <v>-62</v>
      </c>
      <c r="L20" s="1">
        <v>-119.96</v>
      </c>
    </row>
    <row r="21" spans="1:12" x14ac:dyDescent="0.25">
      <c r="A21" t="s">
        <v>35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</row>
    <row r="22" spans="1:12" x14ac:dyDescent="0.25">
      <c r="A22" t="s">
        <v>36</v>
      </c>
      <c r="B22" s="1">
        <v>-1417.17</v>
      </c>
      <c r="C22" s="1">
        <v>0</v>
      </c>
      <c r="D22" s="1">
        <v>-439.61</v>
      </c>
      <c r="E22" s="1">
        <v>-150.36000000000001</v>
      </c>
      <c r="F22" s="1">
        <v>-374.13</v>
      </c>
      <c r="G22" s="1">
        <v>-40.81</v>
      </c>
      <c r="H22" s="1">
        <v>-96.37</v>
      </c>
      <c r="I22" s="1">
        <v>-287.54000000000002</v>
      </c>
      <c r="J22" s="1">
        <v>0</v>
      </c>
      <c r="K22" s="1">
        <v>-14.18</v>
      </c>
      <c r="L22" s="1">
        <v>-14.17</v>
      </c>
    </row>
    <row r="23" spans="1:12" x14ac:dyDescent="0.25">
      <c r="A23" t="s">
        <v>37</v>
      </c>
      <c r="B23" s="1">
        <v>-3147.63</v>
      </c>
      <c r="C23" s="1">
        <v>0</v>
      </c>
      <c r="D23" s="1">
        <v>-98.49</v>
      </c>
      <c r="E23" s="1">
        <v>-502.53</v>
      </c>
      <c r="F23" s="1">
        <v>-486.82</v>
      </c>
      <c r="G23" s="1">
        <v>-1225.05</v>
      </c>
      <c r="H23" s="1">
        <v>-68.05</v>
      </c>
      <c r="I23" s="1">
        <v>-355.06</v>
      </c>
      <c r="J23" s="1">
        <v>-73.37</v>
      </c>
      <c r="K23" s="1">
        <v>-39.909999999999997</v>
      </c>
      <c r="L23" s="1">
        <v>-298.35000000000002</v>
      </c>
    </row>
    <row r="24" spans="1:12" x14ac:dyDescent="0.25">
      <c r="A24" t="s">
        <v>38</v>
      </c>
      <c r="B24" s="1">
        <v>-2089.79</v>
      </c>
      <c r="C24" s="1">
        <v>0</v>
      </c>
      <c r="D24" s="1">
        <v>-216.95</v>
      </c>
      <c r="E24" s="1">
        <v>-736</v>
      </c>
      <c r="F24" s="1">
        <v>-75</v>
      </c>
      <c r="G24" s="1">
        <v>0</v>
      </c>
      <c r="H24" s="1">
        <v>-225</v>
      </c>
      <c r="I24" s="1">
        <v>-94.84</v>
      </c>
      <c r="J24" s="1">
        <v>0</v>
      </c>
      <c r="K24" s="1">
        <v>0</v>
      </c>
      <c r="L24" s="1">
        <v>-742</v>
      </c>
    </row>
    <row r="25" spans="1:12" x14ac:dyDescent="0.25">
      <c r="A25" t="s">
        <v>39</v>
      </c>
      <c r="B25" s="1">
        <v>-24633.47</v>
      </c>
      <c r="C25" s="1">
        <v>0</v>
      </c>
      <c r="D25" s="1">
        <v>-1903</v>
      </c>
      <c r="E25" s="1">
        <v>-1700</v>
      </c>
      <c r="F25" s="1">
        <v>-4650</v>
      </c>
      <c r="G25" s="1">
        <v>-1034</v>
      </c>
      <c r="H25" s="1">
        <v>0</v>
      </c>
      <c r="I25" s="1">
        <v>-8788.33</v>
      </c>
      <c r="J25" s="1">
        <v>0</v>
      </c>
      <c r="K25" s="1">
        <v>-2658.14</v>
      </c>
      <c r="L25" s="1">
        <v>-3900</v>
      </c>
    </row>
    <row r="26" spans="1:12" x14ac:dyDescent="0.25">
      <c r="A26" t="s">
        <v>40</v>
      </c>
      <c r="B26" s="1">
        <v>-12156.85</v>
      </c>
      <c r="C26" s="1">
        <v>-120</v>
      </c>
      <c r="D26" s="1">
        <v>-1165.83</v>
      </c>
      <c r="E26" s="1">
        <v>-2941.29</v>
      </c>
      <c r="F26" s="1">
        <v>-4303.8599999999997</v>
      </c>
      <c r="G26" s="1">
        <v>-1059.3</v>
      </c>
      <c r="H26" s="1">
        <v>-118.78</v>
      </c>
      <c r="I26" s="1">
        <v>-1566.36</v>
      </c>
      <c r="J26" s="1">
        <v>-124</v>
      </c>
      <c r="K26" s="1">
        <v>-142.71</v>
      </c>
      <c r="L26" s="1">
        <v>-614.72</v>
      </c>
    </row>
    <row r="27" spans="1:12" x14ac:dyDescent="0.25">
      <c r="A27" t="s">
        <v>41</v>
      </c>
      <c r="B27" s="1">
        <v>-2879.9</v>
      </c>
      <c r="C27" s="1">
        <v>0</v>
      </c>
      <c r="D27" s="1">
        <v>-1159.76</v>
      </c>
      <c r="E27" s="1">
        <v>-656.64</v>
      </c>
      <c r="F27" s="1">
        <v>-276.39</v>
      </c>
      <c r="G27" s="1">
        <v>-207.23</v>
      </c>
      <c r="H27" s="1">
        <v>-114</v>
      </c>
      <c r="I27" s="1">
        <v>-245.67</v>
      </c>
      <c r="J27" s="1">
        <v>0</v>
      </c>
      <c r="K27" s="1">
        <v>-194.88</v>
      </c>
      <c r="L27" s="1">
        <v>-25.33</v>
      </c>
    </row>
    <row r="28" spans="1:12" x14ac:dyDescent="0.25">
      <c r="A28" t="s">
        <v>42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</row>
    <row r="29" spans="1:12" x14ac:dyDescent="0.25">
      <c r="A29" t="s">
        <v>43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</row>
    <row r="30" spans="1:12" x14ac:dyDescent="0.25">
      <c r="A30" t="s">
        <v>44</v>
      </c>
      <c r="B30" s="1">
        <v>-112965.03</v>
      </c>
      <c r="C30" s="1">
        <v>-120</v>
      </c>
      <c r="D30" s="1">
        <v>-6659.41</v>
      </c>
      <c r="E30" s="1">
        <v>-15789.05</v>
      </c>
      <c r="F30" s="1">
        <v>-16419.490000000002</v>
      </c>
      <c r="G30" s="1">
        <v>-31424.5</v>
      </c>
      <c r="H30" s="1">
        <v>-2817.45</v>
      </c>
      <c r="I30" s="1">
        <v>-19557.330000000002</v>
      </c>
      <c r="J30" s="1">
        <v>-687.81</v>
      </c>
      <c r="K30" s="1">
        <v>-7621.42</v>
      </c>
      <c r="L30" s="1">
        <v>-11868.57</v>
      </c>
    </row>
    <row r="31" spans="1:12" x14ac:dyDescent="0.25">
      <c r="A31" t="s">
        <v>45</v>
      </c>
      <c r="B31" s="1">
        <v>-435179.39</v>
      </c>
      <c r="C31" s="1">
        <v>-34701.17</v>
      </c>
      <c r="D31" s="1">
        <v>-26038.83</v>
      </c>
      <c r="E31" s="1">
        <v>-66191.97</v>
      </c>
      <c r="F31" s="1">
        <v>-80514.02</v>
      </c>
      <c r="G31" s="1">
        <v>-73553.13</v>
      </c>
      <c r="H31" s="1">
        <v>-15434.76</v>
      </c>
      <c r="I31" s="1">
        <v>-62307.29</v>
      </c>
      <c r="J31" s="1">
        <v>-18234.63</v>
      </c>
      <c r="K31" s="1">
        <v>-15613.85</v>
      </c>
      <c r="L31" s="1">
        <v>-42589.74</v>
      </c>
    </row>
    <row r="32" spans="1:12" x14ac:dyDescent="0.25">
      <c r="A32" s="5" t="s">
        <v>46</v>
      </c>
      <c r="B32" s="6">
        <v>10432.68</v>
      </c>
      <c r="C32" s="6">
        <v>-34762.300000000003</v>
      </c>
      <c r="D32" s="6">
        <v>-6391.36</v>
      </c>
      <c r="E32" s="6">
        <v>27259.98</v>
      </c>
      <c r="F32" s="6">
        <v>23275.31</v>
      </c>
      <c r="G32" s="6">
        <v>37263.31</v>
      </c>
      <c r="H32" s="6">
        <v>-5758.61</v>
      </c>
      <c r="I32" s="6">
        <v>-3562.63</v>
      </c>
      <c r="J32" s="6">
        <v>1773.92</v>
      </c>
      <c r="K32" s="6">
        <v>-12040.01</v>
      </c>
      <c r="L32" s="6">
        <v>-16624.93</v>
      </c>
    </row>
    <row r="33" spans="1:12" x14ac:dyDescent="0.25">
      <c r="A33" t="s">
        <v>47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</row>
    <row r="34" spans="1:12" x14ac:dyDescent="0.25">
      <c r="A34" t="s">
        <v>48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</row>
    <row r="35" spans="1:12" x14ac:dyDescent="0.25">
      <c r="A35" t="s">
        <v>49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</row>
    <row r="36" spans="1:12" x14ac:dyDescent="0.25">
      <c r="A36" t="s">
        <v>50</v>
      </c>
      <c r="B36" s="1">
        <v>3334.4</v>
      </c>
      <c r="C36" s="1">
        <v>0</v>
      </c>
      <c r="D36" s="1">
        <v>0</v>
      </c>
      <c r="E36" s="1">
        <v>1454.4</v>
      </c>
      <c r="F36" s="1">
        <v>0</v>
      </c>
      <c r="G36" s="1">
        <v>0</v>
      </c>
      <c r="H36" s="1">
        <v>0</v>
      </c>
      <c r="I36" s="1">
        <v>1880</v>
      </c>
      <c r="J36" s="1">
        <v>0</v>
      </c>
      <c r="K36" s="1">
        <v>0</v>
      </c>
      <c r="L36" s="1">
        <v>0</v>
      </c>
    </row>
    <row r="37" spans="1:12" x14ac:dyDescent="0.25">
      <c r="A37" t="s">
        <v>51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</row>
    <row r="38" spans="1:12" x14ac:dyDescent="0.25">
      <c r="A38" t="s">
        <v>52</v>
      </c>
      <c r="B38" s="1">
        <v>3334.4</v>
      </c>
      <c r="C38" s="1">
        <v>0</v>
      </c>
      <c r="D38" s="1">
        <v>0</v>
      </c>
      <c r="E38" s="1">
        <v>1454.4</v>
      </c>
      <c r="F38" s="1">
        <v>0</v>
      </c>
      <c r="G38" s="1">
        <v>0</v>
      </c>
      <c r="H38" s="1">
        <v>0</v>
      </c>
      <c r="I38" s="1">
        <v>1880</v>
      </c>
      <c r="J38" s="1">
        <v>0</v>
      </c>
      <c r="K38" s="1">
        <v>0</v>
      </c>
      <c r="L38" s="1">
        <v>0</v>
      </c>
    </row>
    <row r="39" spans="1:12" x14ac:dyDescent="0.25">
      <c r="A39" t="s">
        <v>53</v>
      </c>
      <c r="B39" s="1">
        <v>-10648.74</v>
      </c>
      <c r="C39" s="1">
        <v>-138.41999999999999</v>
      </c>
      <c r="D39" s="1">
        <v>-1045.74</v>
      </c>
      <c r="E39" s="1">
        <v>-1000.13</v>
      </c>
      <c r="F39" s="1">
        <v>-4837.13</v>
      </c>
      <c r="G39" s="1">
        <v>-265.23</v>
      </c>
      <c r="H39" s="1">
        <v>-155.81</v>
      </c>
      <c r="I39" s="1">
        <v>-2810.23</v>
      </c>
      <c r="J39" s="1">
        <v>0</v>
      </c>
      <c r="K39" s="1">
        <v>-44.75</v>
      </c>
      <c r="L39" s="1">
        <v>-351.3</v>
      </c>
    </row>
    <row r="40" spans="1:12" x14ac:dyDescent="0.25">
      <c r="A40" t="s">
        <v>54</v>
      </c>
      <c r="B40" s="1">
        <v>3118.34</v>
      </c>
      <c r="C40" s="1">
        <v>-34900.720000000001</v>
      </c>
      <c r="D40" s="1">
        <v>-7437.1</v>
      </c>
      <c r="E40" s="1">
        <v>27714.25</v>
      </c>
      <c r="F40" s="1">
        <v>18438.18</v>
      </c>
      <c r="G40" s="1">
        <v>36998.080000000002</v>
      </c>
      <c r="H40" s="1">
        <v>-5914.42</v>
      </c>
      <c r="I40" s="1">
        <v>-4492.8599999999997</v>
      </c>
      <c r="J40" s="1">
        <v>1773.92</v>
      </c>
      <c r="K40" s="1">
        <v>-12084.76</v>
      </c>
      <c r="L40" s="1">
        <v>-16976.23</v>
      </c>
    </row>
    <row r="41" spans="1:12" x14ac:dyDescent="0.25">
      <c r="A41" t="s">
        <v>55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</row>
    <row r="42" spans="1:12" x14ac:dyDescent="0.25">
      <c r="A42" t="s">
        <v>56</v>
      </c>
      <c r="B42" s="1">
        <v>3118.34</v>
      </c>
      <c r="C42" s="1">
        <v>-34900.720000000001</v>
      </c>
      <c r="D42" s="1">
        <v>-7437.1</v>
      </c>
      <c r="E42" s="1">
        <v>27714.25</v>
      </c>
      <c r="F42" s="1">
        <v>18438.18</v>
      </c>
      <c r="G42" s="1">
        <v>36998.080000000002</v>
      </c>
      <c r="H42" s="1">
        <v>-5914.42</v>
      </c>
      <c r="I42" s="1">
        <v>-4492.8599999999997</v>
      </c>
      <c r="J42" s="1">
        <v>1773.92</v>
      </c>
      <c r="K42" s="1">
        <v>-12084.76</v>
      </c>
      <c r="L42" s="1">
        <v>-16976.23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0E58F-9B45-4000-9678-2A65A03001A3}">
  <dimension ref="B4:J34"/>
  <sheetViews>
    <sheetView workbookViewId="0">
      <selection activeCell="I18" sqref="I18"/>
    </sheetView>
  </sheetViews>
  <sheetFormatPr baseColWidth="10" defaultRowHeight="15" x14ac:dyDescent="0.25"/>
  <cols>
    <col min="5" max="5" width="7.85546875" customWidth="1"/>
    <col min="6" max="6" width="14.5703125" customWidth="1"/>
    <col min="7" max="7" width="7.7109375" customWidth="1"/>
  </cols>
  <sheetData>
    <row r="4" spans="2:7" x14ac:dyDescent="0.25">
      <c r="C4" s="3" t="s">
        <v>81</v>
      </c>
      <c r="D4" s="3" t="s">
        <v>82</v>
      </c>
      <c r="E4" s="8" t="s">
        <v>84</v>
      </c>
      <c r="F4" s="3" t="s">
        <v>83</v>
      </c>
      <c r="G4" s="8" t="s">
        <v>84</v>
      </c>
    </row>
    <row r="5" spans="2:7" x14ac:dyDescent="0.25">
      <c r="B5" s="3" t="s">
        <v>71</v>
      </c>
      <c r="C5" s="7">
        <v>28671.8</v>
      </c>
      <c r="D5" s="1">
        <v>-13168.279999999999</v>
      </c>
      <c r="E5" s="9">
        <f>D5/C5</f>
        <v>-0.45927636213980283</v>
      </c>
      <c r="F5" s="1">
        <v>-19861.920000000002</v>
      </c>
      <c r="G5" s="9">
        <f>F5/C5</f>
        <v>-0.69273362676916006</v>
      </c>
    </row>
    <row r="6" spans="2:7" x14ac:dyDescent="0.25">
      <c r="B6" s="3" t="s">
        <v>72</v>
      </c>
      <c r="C6" s="7">
        <v>126925.13</v>
      </c>
      <c r="D6" s="1">
        <v>-45899.67</v>
      </c>
      <c r="E6" s="9">
        <f t="shared" ref="E6:E15" si="0">D6/C6</f>
        <v>-0.36162791403089362</v>
      </c>
      <c r="F6" s="1">
        <v>-52424.670000000006</v>
      </c>
      <c r="G6" s="9">
        <f t="shared" ref="G6:G13" si="1">F6/C6</f>
        <v>-0.41303617337244408</v>
      </c>
    </row>
    <row r="7" spans="2:7" x14ac:dyDescent="0.25">
      <c r="B7" s="3" t="s">
        <v>79</v>
      </c>
      <c r="C7" s="7">
        <v>150610.6</v>
      </c>
      <c r="D7" s="1">
        <v>-48217.619999999995</v>
      </c>
      <c r="E7" s="9">
        <f t="shared" si="0"/>
        <v>-0.32014758589368869</v>
      </c>
      <c r="F7" s="1">
        <v>-64462.53</v>
      </c>
      <c r="G7" s="9">
        <f t="shared" si="1"/>
        <v>-0.42800792241714725</v>
      </c>
    </row>
    <row r="8" spans="2:7" x14ac:dyDescent="0.25">
      <c r="B8" s="3" t="s">
        <v>73</v>
      </c>
      <c r="C8" s="7">
        <v>136713.88</v>
      </c>
      <c r="D8" s="1">
        <v>-34722.409999999996</v>
      </c>
      <c r="E8" s="9">
        <f t="shared" si="0"/>
        <v>-0.25397867429408044</v>
      </c>
      <c r="F8" s="1">
        <v>-42308.63</v>
      </c>
      <c r="G8" s="9">
        <f t="shared" si="1"/>
        <v>-0.30946843144236708</v>
      </c>
    </row>
    <row r="9" spans="2:7" x14ac:dyDescent="0.25">
      <c r="B9" s="3" t="s">
        <v>77</v>
      </c>
      <c r="C9" s="7">
        <v>13678.02</v>
      </c>
      <c r="D9" s="1">
        <v>-7638.39</v>
      </c>
      <c r="E9" s="9">
        <f t="shared" si="0"/>
        <v>-0.55844266933371933</v>
      </c>
      <c r="F9" s="1">
        <v>-13097.79</v>
      </c>
      <c r="G9" s="9">
        <f t="shared" si="1"/>
        <v>-0.95757938649014995</v>
      </c>
    </row>
    <row r="10" spans="2:7" x14ac:dyDescent="0.25">
      <c r="B10" s="3" t="s">
        <v>74</v>
      </c>
      <c r="C10" s="7">
        <v>77330.75</v>
      </c>
      <c r="D10" s="1">
        <v>-31780.1</v>
      </c>
      <c r="E10" s="9">
        <f t="shared" si="0"/>
        <v>-0.41096329726531811</v>
      </c>
      <c r="F10" s="1">
        <v>-44842.049999999996</v>
      </c>
      <c r="G10" s="9">
        <f t="shared" si="1"/>
        <v>-0.57987346560068276</v>
      </c>
    </row>
    <row r="11" spans="2:7" x14ac:dyDescent="0.25">
      <c r="B11" s="3" t="s">
        <v>78</v>
      </c>
      <c r="C11" s="7">
        <v>22502.54</v>
      </c>
      <c r="D11" s="1">
        <v>-3555.9800000000005</v>
      </c>
      <c r="E11" s="9">
        <f t="shared" si="0"/>
        <v>-0.15802571620803699</v>
      </c>
      <c r="F11" s="1">
        <v>-17546.820000000003</v>
      </c>
      <c r="G11" s="9">
        <f t="shared" si="1"/>
        <v>-0.7797706392256164</v>
      </c>
    </row>
    <row r="12" spans="2:7" x14ac:dyDescent="0.25">
      <c r="B12" s="3" t="s">
        <v>75</v>
      </c>
      <c r="C12" s="7">
        <v>4970.7</v>
      </c>
      <c r="D12" s="1">
        <v>-3151.51</v>
      </c>
      <c r="E12" s="9">
        <f t="shared" si="0"/>
        <v>-0.63401734162190437</v>
      </c>
      <c r="F12" s="1">
        <v>-7992.43</v>
      </c>
      <c r="G12" s="9">
        <f t="shared" si="1"/>
        <v>-1.6079083428893317</v>
      </c>
    </row>
    <row r="13" spans="2:7" x14ac:dyDescent="0.25">
      <c r="B13" s="3" t="s">
        <v>76</v>
      </c>
      <c r="C13" s="7">
        <v>31597.1</v>
      </c>
      <c r="D13" s="1">
        <v>-10185.810000000001</v>
      </c>
      <c r="E13" s="9">
        <f t="shared" si="0"/>
        <v>-0.32236534365495573</v>
      </c>
      <c r="F13" s="1">
        <v>-30881.17</v>
      </c>
      <c r="G13" s="9">
        <f t="shared" si="1"/>
        <v>-0.97734190795990772</v>
      </c>
    </row>
    <row r="15" spans="2:7" x14ac:dyDescent="0.25">
      <c r="B15" s="3" t="s">
        <v>3</v>
      </c>
      <c r="C15" s="11">
        <f>SUM(C5:C13)</f>
        <v>593000.52</v>
      </c>
      <c r="D15" s="11">
        <f>SUM(D5:D13)</f>
        <v>-198319.77000000002</v>
      </c>
      <c r="E15" s="9">
        <f t="shared" si="0"/>
        <v>-0.33443439476241943</v>
      </c>
      <c r="F15" s="11">
        <f>SUM(F5:F13)</f>
        <v>-293418.01</v>
      </c>
      <c r="G15" s="9">
        <f>F15/C15</f>
        <v>-0.49480228111772989</v>
      </c>
    </row>
    <row r="17" spans="2:10" x14ac:dyDescent="0.25">
      <c r="F17" s="6">
        <v>-34581.17</v>
      </c>
      <c r="G17" s="12">
        <f>F17/C15</f>
        <v>-5.8315581240974287E-2</v>
      </c>
    </row>
    <row r="19" spans="2:10" x14ac:dyDescent="0.25">
      <c r="B19" s="7"/>
      <c r="C19" s="7"/>
      <c r="D19" s="7"/>
      <c r="E19" s="7"/>
      <c r="F19" s="7"/>
      <c r="G19" s="7"/>
      <c r="H19" s="7"/>
      <c r="I19" s="7"/>
      <c r="J19" s="7"/>
    </row>
    <row r="21" spans="2:10" x14ac:dyDescent="0.25">
      <c r="B21" s="13" t="s">
        <v>81</v>
      </c>
      <c r="C21" s="13">
        <v>2026</v>
      </c>
      <c r="D21" s="13">
        <v>2025</v>
      </c>
      <c r="E21" s="13" t="s">
        <v>84</v>
      </c>
    </row>
    <row r="22" spans="2:10" x14ac:dyDescent="0.25">
      <c r="B22" s="3" t="s">
        <v>71</v>
      </c>
      <c r="C22" s="7">
        <v>28671.8</v>
      </c>
      <c r="D22" s="4">
        <v>30283.89</v>
      </c>
      <c r="E22" s="14">
        <f>(C22-D22)/D22</f>
        <v>-5.3232593302907923E-2</v>
      </c>
    </row>
    <row r="23" spans="2:10" x14ac:dyDescent="0.25">
      <c r="B23" s="3" t="s">
        <v>72</v>
      </c>
      <c r="C23" s="7">
        <v>126925.13</v>
      </c>
      <c r="D23" s="4">
        <v>109414.65</v>
      </c>
      <c r="E23" s="14">
        <f t="shared" ref="E23:E30" si="2">(C23-D23)/D23</f>
        <v>0.16003780115368474</v>
      </c>
    </row>
    <row r="24" spans="2:10" x14ac:dyDescent="0.25">
      <c r="B24" s="3" t="s">
        <v>79</v>
      </c>
      <c r="C24" s="7">
        <v>150610.6</v>
      </c>
      <c r="D24" s="4">
        <v>92047.28</v>
      </c>
      <c r="E24" s="14">
        <f t="shared" si="2"/>
        <v>0.63623085874998164</v>
      </c>
    </row>
    <row r="25" spans="2:10" x14ac:dyDescent="0.25">
      <c r="B25" s="3" t="s">
        <v>73</v>
      </c>
      <c r="C25" s="7">
        <v>136713.88</v>
      </c>
      <c r="D25" s="4">
        <v>95583.89</v>
      </c>
      <c r="E25" s="14">
        <f t="shared" si="2"/>
        <v>0.4303025331988477</v>
      </c>
    </row>
    <row r="26" spans="2:10" x14ac:dyDescent="0.25">
      <c r="B26" s="3" t="s">
        <v>77</v>
      </c>
      <c r="C26" s="7">
        <v>13678.02</v>
      </c>
      <c r="D26" s="4">
        <v>15000.29</v>
      </c>
      <c r="E26" s="14">
        <f t="shared" si="2"/>
        <v>-8.8149629107170613E-2</v>
      </c>
    </row>
    <row r="27" spans="2:10" x14ac:dyDescent="0.25">
      <c r="B27" s="3" t="s">
        <v>74</v>
      </c>
      <c r="C27" s="7">
        <v>77330.75</v>
      </c>
      <c r="D27" s="4">
        <v>84270.8</v>
      </c>
      <c r="E27" s="14">
        <f t="shared" si="2"/>
        <v>-8.2354148768019317E-2</v>
      </c>
    </row>
    <row r="28" spans="2:10" x14ac:dyDescent="0.25">
      <c r="B28" s="3" t="s">
        <v>78</v>
      </c>
      <c r="C28" s="7">
        <v>22502.54</v>
      </c>
      <c r="D28" s="4">
        <v>24349.11</v>
      </c>
      <c r="E28" s="14">
        <f t="shared" si="2"/>
        <v>-7.583726879545083E-2</v>
      </c>
    </row>
    <row r="29" spans="2:10" x14ac:dyDescent="0.25">
      <c r="E29" s="14"/>
    </row>
    <row r="30" spans="2:10" x14ac:dyDescent="0.25">
      <c r="B30" s="3" t="s">
        <v>3</v>
      </c>
      <c r="C30" s="11">
        <f>SUM(C22:C28)</f>
        <v>556432.72000000009</v>
      </c>
      <c r="D30" s="11">
        <f>SUM(D22:D28)</f>
        <v>450949.90999999992</v>
      </c>
      <c r="E30" s="14">
        <f t="shared" si="2"/>
        <v>0.23391247599982931</v>
      </c>
    </row>
    <row r="34" spans="2:8" x14ac:dyDescent="0.25">
      <c r="B34">
        <v>30283.89</v>
      </c>
      <c r="C34">
        <v>109414.65</v>
      </c>
      <c r="D34">
        <v>92047.28</v>
      </c>
      <c r="E34">
        <v>95583.89</v>
      </c>
      <c r="F34">
        <v>15000.29</v>
      </c>
      <c r="G34">
        <v>84270.8</v>
      </c>
      <c r="H34">
        <v>24349.11</v>
      </c>
    </row>
  </sheetData>
  <conditionalFormatting sqref="E22:E28">
    <cfRule type="cellIs" dxfId="3" priority="3" operator="lessThan">
      <formula>0</formula>
    </cfRule>
    <cfRule type="cellIs" dxfId="2" priority="4" operator="greaterThan">
      <formula>0</formula>
    </cfRule>
  </conditionalFormatting>
  <conditionalFormatting sqref="E30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70371-2EA5-4B69-A1C6-3101C49783D1}">
  <dimension ref="A1:G23"/>
  <sheetViews>
    <sheetView workbookViewId="0">
      <selection activeCell="J22" sqref="J22"/>
    </sheetView>
  </sheetViews>
  <sheetFormatPr baseColWidth="10" defaultRowHeight="15" x14ac:dyDescent="0.25"/>
  <cols>
    <col min="1" max="1" width="30" customWidth="1"/>
  </cols>
  <sheetData>
    <row r="1" spans="1:7" x14ac:dyDescent="0.25">
      <c r="A1" s="2">
        <v>2026</v>
      </c>
      <c r="B1" s="13" t="s">
        <v>87</v>
      </c>
      <c r="C1" s="13" t="s">
        <v>88</v>
      </c>
      <c r="D1" s="13" t="s">
        <v>89</v>
      </c>
      <c r="E1" s="13" t="s">
        <v>85</v>
      </c>
      <c r="F1" s="13" t="s">
        <v>3</v>
      </c>
      <c r="G1" s="13" t="s">
        <v>84</v>
      </c>
    </row>
    <row r="2" spans="1:7" x14ac:dyDescent="0.25">
      <c r="A2" s="15" t="s">
        <v>90</v>
      </c>
      <c r="B2" s="18">
        <v>-48235.35</v>
      </c>
      <c r="C2" s="18">
        <v>-47737.89</v>
      </c>
      <c r="D2" s="18">
        <v>-51350.93</v>
      </c>
      <c r="E2" s="18">
        <v>-56447.68</v>
      </c>
      <c r="F2" s="10">
        <f>SUM(B2:E2)</f>
        <v>-203771.84999999998</v>
      </c>
      <c r="G2" s="14">
        <f>F2/$F$7</f>
        <v>0.66030366369452242</v>
      </c>
    </row>
    <row r="3" spans="1:7" x14ac:dyDescent="0.25">
      <c r="A3" s="15" t="s">
        <v>91</v>
      </c>
      <c r="B3" s="18">
        <v>-7306.36</v>
      </c>
      <c r="C3" s="18">
        <v>-8681.02</v>
      </c>
      <c r="D3" s="18">
        <v>-9542.77</v>
      </c>
      <c r="E3" s="18">
        <v>-12097.88</v>
      </c>
      <c r="F3" s="10">
        <f t="shared" ref="F3:F10" si="0">SUM(B3:E3)</f>
        <v>-37628.03</v>
      </c>
      <c r="G3" s="14">
        <f t="shared" ref="G3:G6" si="1">F3/$F$7</f>
        <v>0.12193011972265748</v>
      </c>
    </row>
    <row r="4" spans="1:7" x14ac:dyDescent="0.25">
      <c r="A4" s="15" t="s">
        <v>92</v>
      </c>
      <c r="B4" s="19">
        <v>-11651.77</v>
      </c>
      <c r="C4" s="19">
        <v>-11651.77</v>
      </c>
      <c r="D4" s="19">
        <v>-11651.77</v>
      </c>
      <c r="E4" s="19">
        <v>-20238.55</v>
      </c>
      <c r="F4" s="10">
        <f t="shared" si="0"/>
        <v>-55193.86</v>
      </c>
      <c r="G4" s="14">
        <f t="shared" si="1"/>
        <v>0.17885055257358931</v>
      </c>
    </row>
    <row r="5" spans="1:7" x14ac:dyDescent="0.25">
      <c r="A5" s="15" t="s">
        <v>93</v>
      </c>
      <c r="B5" s="19">
        <v>0</v>
      </c>
      <c r="C5" s="19">
        <v>-2286.08</v>
      </c>
      <c r="D5" s="19">
        <v>-8899.34</v>
      </c>
      <c r="E5" s="19">
        <v>0</v>
      </c>
      <c r="F5" s="10">
        <f t="shared" si="0"/>
        <v>-11185.42</v>
      </c>
      <c r="G5" s="14">
        <f t="shared" si="1"/>
        <v>3.6245309673352752E-2</v>
      </c>
    </row>
    <row r="6" spans="1:7" x14ac:dyDescent="0.25">
      <c r="A6" s="16" t="s">
        <v>94</v>
      </c>
      <c r="B6" s="19">
        <v>-37.1</v>
      </c>
      <c r="C6" s="19">
        <v>-22.1</v>
      </c>
      <c r="D6" s="19">
        <v>-662.51</v>
      </c>
      <c r="E6" s="19">
        <v>-102.37</v>
      </c>
      <c r="F6" s="10">
        <f t="shared" si="0"/>
        <v>-824.08</v>
      </c>
      <c r="G6" s="14">
        <f t="shared" si="1"/>
        <v>2.6703543358780031E-3</v>
      </c>
    </row>
    <row r="7" spans="1:7" x14ac:dyDescent="0.25">
      <c r="A7" s="16" t="s">
        <v>95</v>
      </c>
      <c r="B7" s="20">
        <f>SUM(B2:B6)</f>
        <v>-67230.58</v>
      </c>
      <c r="C7" s="20">
        <f t="shared" ref="C7:E7" si="2">SUM(C2:C6)</f>
        <v>-70378.860000000015</v>
      </c>
      <c r="D7" s="20">
        <f t="shared" si="2"/>
        <v>-82107.319999999992</v>
      </c>
      <c r="E7" s="20">
        <f t="shared" si="2"/>
        <v>-88886.48</v>
      </c>
      <c r="F7" s="21">
        <f t="shared" si="0"/>
        <v>-308603.24</v>
      </c>
    </row>
    <row r="8" spans="1:7" x14ac:dyDescent="0.25">
      <c r="A8" s="17"/>
      <c r="B8" s="1"/>
      <c r="C8" s="1"/>
      <c r="D8" s="1"/>
      <c r="E8" s="1"/>
      <c r="F8" s="10"/>
    </row>
    <row r="9" spans="1:7" x14ac:dyDescent="0.25">
      <c r="A9" s="17" t="s">
        <v>86</v>
      </c>
      <c r="B9" s="1">
        <v>7274.33</v>
      </c>
      <c r="C9" s="1">
        <v>5032.45</v>
      </c>
      <c r="D9" s="1">
        <v>6505.2</v>
      </c>
      <c r="E9" s="1">
        <v>8397.75</v>
      </c>
      <c r="F9" s="10">
        <f t="shared" si="0"/>
        <v>27209.73</v>
      </c>
      <c r="G9" s="14">
        <f>F9/$F$7</f>
        <v>-8.8170590820757427E-2</v>
      </c>
    </row>
    <row r="10" spans="1:7" x14ac:dyDescent="0.25">
      <c r="A10" s="17" t="s">
        <v>83</v>
      </c>
      <c r="B10" s="1">
        <v>33429.75</v>
      </c>
      <c r="C10" s="1">
        <v>26687.839999999997</v>
      </c>
      <c r="D10" s="1">
        <v>36247.07</v>
      </c>
      <c r="E10" s="1">
        <v>32979.99</v>
      </c>
      <c r="F10" s="10">
        <f t="shared" si="0"/>
        <v>129344.65</v>
      </c>
      <c r="G10" s="14">
        <f>F10/$F$7</f>
        <v>-0.41912926772901021</v>
      </c>
    </row>
    <row r="14" spans="1:7" x14ac:dyDescent="0.25">
      <c r="A14" s="2">
        <v>2025</v>
      </c>
      <c r="B14" s="13" t="s">
        <v>87</v>
      </c>
      <c r="C14" s="13" t="s">
        <v>88</v>
      </c>
      <c r="D14" s="13" t="s">
        <v>89</v>
      </c>
      <c r="E14" s="13" t="s">
        <v>85</v>
      </c>
      <c r="F14" s="13" t="s">
        <v>3</v>
      </c>
      <c r="G14" s="13" t="s">
        <v>84</v>
      </c>
    </row>
    <row r="15" spans="1:7" x14ac:dyDescent="0.25">
      <c r="A15" s="15" t="s">
        <v>90</v>
      </c>
      <c r="B15" s="1">
        <v>-49561.919999999998</v>
      </c>
      <c r="C15" s="1">
        <v>-41495.21</v>
      </c>
      <c r="D15" s="1">
        <v>-43680.23</v>
      </c>
      <c r="E15" s="1">
        <v>-48750.15</v>
      </c>
      <c r="F15" s="1">
        <f>SUM(B15:E15)</f>
        <v>-183487.51</v>
      </c>
      <c r="G15" s="14">
        <f>F15/$F$20</f>
        <v>0.69478419348107212</v>
      </c>
    </row>
    <row r="16" spans="1:7" x14ac:dyDescent="0.25">
      <c r="A16" s="15" t="s">
        <v>91</v>
      </c>
      <c r="B16" s="1">
        <v>-6561.73</v>
      </c>
      <c r="C16" s="1">
        <v>-6352.98</v>
      </c>
      <c r="D16" s="1">
        <v>-5430.25</v>
      </c>
      <c r="E16" s="1">
        <v>-11946.07</v>
      </c>
      <c r="F16" s="1">
        <f t="shared" ref="F16:F23" si="3">SUM(B16:E16)</f>
        <v>-30291.03</v>
      </c>
      <c r="G16" s="14">
        <f>F16/$F$20</f>
        <v>0.11469842742026941</v>
      </c>
    </row>
    <row r="17" spans="1:7" x14ac:dyDescent="0.25">
      <c r="A17" s="15" t="s">
        <v>92</v>
      </c>
      <c r="B17" s="1">
        <v>-11308</v>
      </c>
      <c r="C17" s="1">
        <v>-11308</v>
      </c>
      <c r="D17" s="1">
        <v>-11308</v>
      </c>
      <c r="E17" s="1">
        <v>-11308</v>
      </c>
      <c r="F17" s="1">
        <f t="shared" si="3"/>
        <v>-45232</v>
      </c>
      <c r="G17" s="14">
        <f>F17/$F$20</f>
        <v>0.17127312174837322</v>
      </c>
    </row>
    <row r="18" spans="1:7" x14ac:dyDescent="0.25">
      <c r="A18" s="15" t="s">
        <v>93</v>
      </c>
      <c r="B18" s="1">
        <v>-469.8</v>
      </c>
      <c r="C18" s="1">
        <v>0</v>
      </c>
      <c r="D18" s="1">
        <v>-4069.39</v>
      </c>
      <c r="E18" s="1">
        <v>-360</v>
      </c>
      <c r="F18" s="1">
        <f t="shared" si="3"/>
        <v>-4899.1899999999996</v>
      </c>
      <c r="G18" s="14">
        <f>F18/$F$20</f>
        <v>1.8551016212823058E-2</v>
      </c>
    </row>
    <row r="19" spans="1:7" x14ac:dyDescent="0.25">
      <c r="A19" s="16" t="s">
        <v>94</v>
      </c>
      <c r="B19" s="1">
        <v>-12.3</v>
      </c>
      <c r="C19" s="1">
        <v>-26.45</v>
      </c>
      <c r="D19" s="1">
        <v>-37.53</v>
      </c>
      <c r="E19" s="1">
        <v>-106.8</v>
      </c>
      <c r="F19" s="1">
        <f t="shared" si="3"/>
        <v>-183.07999999999998</v>
      </c>
      <c r="G19" s="14">
        <f>F19/$F$20</f>
        <v>6.9324113746224291E-4</v>
      </c>
    </row>
    <row r="20" spans="1:7" x14ac:dyDescent="0.25">
      <c r="A20" s="16" t="s">
        <v>95</v>
      </c>
      <c r="B20" s="20">
        <f>SUM(B15:B19)</f>
        <v>-67913.75</v>
      </c>
      <c r="C20" s="20">
        <f t="shared" ref="C20:E20" si="4">SUM(C15:C19)</f>
        <v>-59182.64</v>
      </c>
      <c r="D20" s="20">
        <f t="shared" si="4"/>
        <v>-64525.4</v>
      </c>
      <c r="E20" s="20">
        <f t="shared" si="4"/>
        <v>-72471.02</v>
      </c>
      <c r="F20" s="20">
        <f t="shared" si="3"/>
        <v>-264092.81</v>
      </c>
      <c r="G20" s="14"/>
    </row>
    <row r="21" spans="1:7" x14ac:dyDescent="0.25">
      <c r="A21" s="17"/>
      <c r="B21" s="1"/>
      <c r="C21" s="1"/>
      <c r="D21" s="1"/>
      <c r="E21" s="1"/>
      <c r="F21" s="1"/>
      <c r="G21" s="14"/>
    </row>
    <row r="22" spans="1:7" x14ac:dyDescent="0.25">
      <c r="A22" s="17" t="s">
        <v>86</v>
      </c>
      <c r="B22" s="22">
        <v>8285.31</v>
      </c>
      <c r="C22" s="22">
        <v>8958.02</v>
      </c>
      <c r="D22" s="22">
        <v>9490.9500000000007</v>
      </c>
      <c r="E22" s="22">
        <v>18410.73</v>
      </c>
      <c r="F22" s="1">
        <f t="shared" si="3"/>
        <v>45145.01</v>
      </c>
      <c r="G22" s="14">
        <f>F22/$F$20</f>
        <v>-0.17094372997129306</v>
      </c>
    </row>
    <row r="23" spans="1:7" x14ac:dyDescent="0.25">
      <c r="A23" s="17" t="s">
        <v>83</v>
      </c>
      <c r="B23" s="23">
        <v>30034.300000000003</v>
      </c>
      <c r="C23" s="23">
        <v>23012.97</v>
      </c>
      <c r="D23" s="23">
        <v>27595.53</v>
      </c>
      <c r="E23" s="23">
        <v>25743.759999999998</v>
      </c>
      <c r="F23" s="1">
        <f t="shared" si="3"/>
        <v>106386.56</v>
      </c>
      <c r="G23" s="14">
        <f>F23/$F$20</f>
        <v>-0.40283777509883739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C2E1E-5FFF-4CBC-9564-789806F80036}">
  <dimension ref="A1:L13"/>
  <sheetViews>
    <sheetView workbookViewId="0">
      <selection activeCell="C18" sqref="C18"/>
    </sheetView>
  </sheetViews>
  <sheetFormatPr baseColWidth="10" defaultRowHeight="15" x14ac:dyDescent="0.25"/>
  <cols>
    <col min="1" max="1" width="25.28515625" customWidth="1"/>
    <col min="2" max="11" width="16.7109375" customWidth="1"/>
    <col min="12" max="12" width="23.85546875" customWidth="1"/>
    <col min="13" max="13" width="16.7109375" customWidth="1"/>
  </cols>
  <sheetData>
    <row r="1" spans="1:12" x14ac:dyDescent="0.25">
      <c r="A1" s="2" t="s">
        <v>59</v>
      </c>
      <c r="B1" s="24" t="s">
        <v>96</v>
      </c>
      <c r="C1" s="24" t="s">
        <v>97</v>
      </c>
      <c r="D1" s="24" t="s">
        <v>98</v>
      </c>
      <c r="E1" s="24" t="s">
        <v>99</v>
      </c>
      <c r="F1" s="24" t="s">
        <v>100</v>
      </c>
      <c r="G1" s="24" t="s">
        <v>101</v>
      </c>
      <c r="H1" s="24" t="s">
        <v>102</v>
      </c>
      <c r="I1" s="24" t="s">
        <v>103</v>
      </c>
      <c r="J1" s="24" t="s">
        <v>104</v>
      </c>
      <c r="K1" s="24" t="s">
        <v>105</v>
      </c>
      <c r="L1" s="24" t="s">
        <v>60</v>
      </c>
    </row>
    <row r="2" spans="1:12" x14ac:dyDescent="0.25">
      <c r="A2" s="17" t="s">
        <v>61</v>
      </c>
      <c r="B2" s="1">
        <v>2675.07</v>
      </c>
      <c r="C2" s="1">
        <v>4229.26</v>
      </c>
      <c r="D2" s="1">
        <v>8609.58</v>
      </c>
      <c r="E2" s="1">
        <v>3344.68</v>
      </c>
      <c r="F2" s="1">
        <v>709.85</v>
      </c>
      <c r="G2" s="1">
        <v>5091.25</v>
      </c>
      <c r="H2" s="1">
        <v>491.51</v>
      </c>
      <c r="I2" s="1">
        <v>1587.77</v>
      </c>
      <c r="J2" s="1">
        <v>781.19</v>
      </c>
      <c r="K2" s="1">
        <v>1429.9</v>
      </c>
      <c r="L2" s="1">
        <v>28950.06</v>
      </c>
    </row>
    <row r="3" spans="1:12" x14ac:dyDescent="0.25">
      <c r="A3" s="17" t="s">
        <v>62</v>
      </c>
      <c r="B3" s="1">
        <v>26</v>
      </c>
      <c r="C3" s="1">
        <v>147.97999999999999</v>
      </c>
      <c r="D3" s="1">
        <v>720.94</v>
      </c>
      <c r="E3" s="1">
        <v>1937.72</v>
      </c>
      <c r="F3" s="1">
        <v>342.33</v>
      </c>
      <c r="G3" s="1">
        <v>1257.95</v>
      </c>
      <c r="H3" s="1">
        <v>0</v>
      </c>
      <c r="I3" s="1">
        <v>0</v>
      </c>
      <c r="J3" s="1">
        <v>0</v>
      </c>
      <c r="K3" s="1">
        <v>302.52999999999997</v>
      </c>
      <c r="L3" s="1">
        <v>4775.88</v>
      </c>
    </row>
    <row r="4" spans="1:12" x14ac:dyDescent="0.25">
      <c r="A4" s="17" t="s">
        <v>63</v>
      </c>
      <c r="B4" s="1">
        <v>770.3</v>
      </c>
      <c r="C4" s="1">
        <v>5244.4</v>
      </c>
      <c r="D4" s="1">
        <v>4747.96</v>
      </c>
      <c r="E4" s="1">
        <v>1674.96</v>
      </c>
      <c r="F4" s="1">
        <v>1353.87</v>
      </c>
      <c r="G4" s="1">
        <v>3991.33</v>
      </c>
      <c r="H4" s="1">
        <v>293.44</v>
      </c>
      <c r="I4" s="1">
        <v>1124.44</v>
      </c>
      <c r="J4" s="1">
        <v>690.19</v>
      </c>
      <c r="K4" s="1">
        <v>1941.61</v>
      </c>
      <c r="L4" s="1">
        <v>21832.5</v>
      </c>
    </row>
    <row r="5" spans="1:12" x14ac:dyDescent="0.25">
      <c r="A5" s="17" t="s">
        <v>64</v>
      </c>
      <c r="B5" s="1">
        <v>20.21</v>
      </c>
      <c r="C5" s="1">
        <v>16.600000000000001</v>
      </c>
      <c r="D5" s="1">
        <v>35.18</v>
      </c>
      <c r="E5" s="1">
        <v>65.680000000000007</v>
      </c>
      <c r="F5" s="1">
        <v>3.26</v>
      </c>
      <c r="G5" s="1">
        <v>49.44</v>
      </c>
      <c r="H5" s="1">
        <v>0</v>
      </c>
      <c r="I5" s="1">
        <v>8.64</v>
      </c>
      <c r="J5" s="1">
        <v>3.63</v>
      </c>
      <c r="K5" s="1">
        <v>4.8</v>
      </c>
      <c r="L5" s="1">
        <v>207.44</v>
      </c>
    </row>
    <row r="6" spans="1:12" x14ac:dyDescent="0.25">
      <c r="A6" s="17" t="s">
        <v>65</v>
      </c>
      <c r="B6" s="1">
        <v>53.7</v>
      </c>
      <c r="C6" s="1">
        <v>0</v>
      </c>
      <c r="D6" s="1">
        <v>660.03</v>
      </c>
      <c r="E6" s="1">
        <v>61.52</v>
      </c>
      <c r="F6" s="1">
        <v>140.74</v>
      </c>
      <c r="G6" s="1">
        <v>794.9</v>
      </c>
      <c r="H6" s="1">
        <v>94.62</v>
      </c>
      <c r="I6" s="1">
        <v>338.11</v>
      </c>
      <c r="J6" s="1">
        <v>78.150000000000006</v>
      </c>
      <c r="K6" s="1">
        <v>171.96</v>
      </c>
      <c r="L6" s="1">
        <v>2393.7199999999998</v>
      </c>
    </row>
    <row r="7" spans="1:12" x14ac:dyDescent="0.25">
      <c r="A7" s="17" t="s">
        <v>66</v>
      </c>
      <c r="B7" s="1">
        <v>182</v>
      </c>
      <c r="C7" s="1">
        <v>333.02</v>
      </c>
      <c r="D7" s="1">
        <v>120.15</v>
      </c>
      <c r="E7" s="1">
        <v>484.97</v>
      </c>
      <c r="F7" s="1">
        <v>304.8</v>
      </c>
      <c r="G7" s="1">
        <v>250.19</v>
      </c>
      <c r="H7" s="1">
        <v>11.55</v>
      </c>
      <c r="I7" s="1">
        <v>0.9</v>
      </c>
      <c r="J7" s="1">
        <v>115</v>
      </c>
      <c r="K7" s="1">
        <v>0</v>
      </c>
      <c r="L7" s="1">
        <v>1802.58</v>
      </c>
    </row>
    <row r="8" spans="1:12" x14ac:dyDescent="0.25">
      <c r="A8" s="17" t="s">
        <v>67</v>
      </c>
      <c r="B8" s="1">
        <v>70.5</v>
      </c>
      <c r="C8" s="1">
        <v>267.77999999999997</v>
      </c>
      <c r="D8" s="1">
        <v>288.06</v>
      </c>
      <c r="E8" s="1">
        <v>115.29</v>
      </c>
      <c r="F8" s="1">
        <v>148.80000000000001</v>
      </c>
      <c r="G8" s="1">
        <v>0</v>
      </c>
      <c r="H8" s="1">
        <v>1.6</v>
      </c>
      <c r="I8" s="1">
        <v>0</v>
      </c>
      <c r="J8" s="1">
        <v>3.1</v>
      </c>
      <c r="K8" s="1">
        <v>0</v>
      </c>
      <c r="L8" s="1">
        <v>895.13</v>
      </c>
    </row>
    <row r="9" spans="1:12" x14ac:dyDescent="0.25">
      <c r="A9" s="17" t="s">
        <v>68</v>
      </c>
      <c r="B9" s="1">
        <v>1.89</v>
      </c>
      <c r="C9" s="1">
        <v>0</v>
      </c>
      <c r="D9" s="1">
        <v>0</v>
      </c>
      <c r="E9" s="1">
        <v>138.93</v>
      </c>
      <c r="F9" s="1">
        <v>78.58</v>
      </c>
      <c r="G9" s="1">
        <v>0</v>
      </c>
      <c r="H9" s="1">
        <v>47.02</v>
      </c>
      <c r="I9" s="1">
        <v>0</v>
      </c>
      <c r="J9" s="1">
        <v>0</v>
      </c>
      <c r="K9" s="1">
        <v>11.76</v>
      </c>
      <c r="L9" s="1">
        <v>278.17</v>
      </c>
    </row>
    <row r="10" spans="1:12" x14ac:dyDescent="0.25">
      <c r="A10" s="17" t="s">
        <v>69</v>
      </c>
      <c r="B10" s="1">
        <v>32.22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32.22</v>
      </c>
      <c r="L10" s="1">
        <v>64.44</v>
      </c>
    </row>
    <row r="11" spans="1:12" x14ac:dyDescent="0.25">
      <c r="A11" s="17" t="s">
        <v>70</v>
      </c>
      <c r="B11" s="1">
        <v>312.06</v>
      </c>
      <c r="C11" s="1">
        <v>2187.46</v>
      </c>
      <c r="D11" s="1">
        <v>3282.46</v>
      </c>
      <c r="E11" s="1">
        <v>1001.23</v>
      </c>
      <c r="F11" s="1">
        <v>554.29</v>
      </c>
      <c r="G11" s="1">
        <v>1758.96</v>
      </c>
      <c r="H11" s="1">
        <v>122.25</v>
      </c>
      <c r="I11" s="1">
        <v>1195.28</v>
      </c>
      <c r="J11" s="1">
        <v>83.39</v>
      </c>
      <c r="K11" s="1">
        <v>682.73</v>
      </c>
      <c r="L11" s="1">
        <v>11180.11</v>
      </c>
    </row>
    <row r="13" spans="1:12" x14ac:dyDescent="0.25">
      <c r="B13" s="25">
        <f>SUM(B2:B11)*-1</f>
        <v>-4143.95</v>
      </c>
      <c r="C13" s="25">
        <f t="shared" ref="C13:L13" si="0">SUM(C2:C11)*-1</f>
        <v>-12426.5</v>
      </c>
      <c r="D13" s="25">
        <f t="shared" si="0"/>
        <v>-18464.36</v>
      </c>
      <c r="E13" s="25">
        <f t="shared" si="0"/>
        <v>-8824.9800000000014</v>
      </c>
      <c r="F13" s="25">
        <f t="shared" si="0"/>
        <v>-3636.5200000000004</v>
      </c>
      <c r="G13" s="25">
        <f t="shared" si="0"/>
        <v>-13194.02</v>
      </c>
      <c r="H13" s="25">
        <f t="shared" si="0"/>
        <v>-1061.99</v>
      </c>
      <c r="I13" s="25">
        <f t="shared" si="0"/>
        <v>-4255.1400000000003</v>
      </c>
      <c r="J13" s="25">
        <f t="shared" si="0"/>
        <v>-1754.6500000000003</v>
      </c>
      <c r="K13" s="25">
        <f t="shared" si="0"/>
        <v>-4577.51</v>
      </c>
      <c r="L13" s="25">
        <f t="shared" si="0"/>
        <v>-72380.03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Sheet1</vt:lpstr>
      <vt:lpstr>Hoja1</vt:lpstr>
      <vt:lpstr>Hoja2</vt:lpstr>
      <vt:lpstr>Hoja3</vt:lpstr>
      <vt:lpstr>Consums Interns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Oriol Puig - CAL BLAY</cp:lastModifiedBy>
  <cp:revision/>
  <dcterms:created xsi:type="dcterms:W3CDTF">2026-05-26T07:27:37Z</dcterms:created>
  <dcterms:modified xsi:type="dcterms:W3CDTF">2026-06-29T14:09:08Z</dcterms:modified>
  <cp:category/>
  <cp:contentStatus/>
</cp:coreProperties>
</file>