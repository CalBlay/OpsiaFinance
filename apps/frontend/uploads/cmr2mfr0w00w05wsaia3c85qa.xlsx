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RTATIL126\OneDrive - Cal Blay\Escritorio\Numbers\RESTAURANTS\c.eXPLOT\"/>
    </mc:Choice>
  </mc:AlternateContent>
  <xr:revisionPtr revIDLastSave="0" documentId="13_ncr:1_{7319804E-8807-42DA-A562-3E139866713A}" xr6:coauthVersionLast="47" xr6:coauthVersionMax="47" xr10:uidLastSave="{00000000-0000-0000-0000-000000000000}"/>
  <bookViews>
    <workbookView xWindow="-96" yWindow="0" windowWidth="20832" windowHeight="16656" xr2:uid="{00000000-000D-0000-FFFF-FFFF00000000}"/>
  </bookViews>
  <sheets>
    <sheet name="Sheet1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I6" i="2"/>
  <c r="H6" i="2"/>
  <c r="G6" i="2"/>
  <c r="F6" i="2"/>
  <c r="E6" i="2"/>
  <c r="D6" i="2"/>
  <c r="C6" i="2"/>
  <c r="B6" i="2"/>
  <c r="E7" i="1"/>
  <c r="F7" i="1"/>
  <c r="G7" i="1"/>
  <c r="H7" i="1"/>
  <c r="I7" i="1"/>
  <c r="J7" i="1"/>
  <c r="K7" i="1"/>
  <c r="L7" i="1"/>
  <c r="M7" i="1"/>
  <c r="N7" i="1"/>
  <c r="O7" i="1"/>
  <c r="D7" i="1"/>
</calcChain>
</file>

<file path=xl/sharedStrings.xml><?xml version="1.0" encoding="utf-8"?>
<sst xmlns="http://schemas.openxmlformats.org/spreadsheetml/2006/main" count="110" uniqueCount="66">
  <si>
    <t>#</t>
  </si>
  <si>
    <t>Node</t>
  </si>
  <si>
    <t>Description</t>
  </si>
  <si>
    <t>TOTAL</t>
  </si>
  <si>
    <t>CCR00000</t>
  </si>
  <si>
    <t>CCR00001</t>
  </si>
  <si>
    <t>CCR00002</t>
  </si>
  <si>
    <t>CCR00003</t>
  </si>
  <si>
    <t>CCR00004</t>
  </si>
  <si>
    <t>CCR00005</t>
  </si>
  <si>
    <t>CCR00006</t>
  </si>
  <si>
    <t>CCR00007</t>
  </si>
  <si>
    <t>CCR00008</t>
  </si>
  <si>
    <t>CCR00009</t>
  </si>
  <si>
    <t>CCR00010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</si>
  <si>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</si>
  <si>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</si>
  <si>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</si>
  <si>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</si>
  <si>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</si>
  <si>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</si>
  <si>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</si>
  <si>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</si>
  <si>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</si>
  <si>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</si>
  <si>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</si>
  <si>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</si>
  <si>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</si>
  <si>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</si>
  <si>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</si>
  <si>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</si>
  <si>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</si>
  <si>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</si>
  <si>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</si>
  <si>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</si>
  <si>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</si>
  <si>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</si>
  <si>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</si>
  <si>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</si>
  <si>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</si>
  <si>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DESPESSES</t>
  </si>
  <si>
    <t>.   ALTRES TRIBUTS</t>
  </si>
  <si>
    <t>.   DOTACIO PER INSOLVENICA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</si>
  <si>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</si>
  <si>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</si>
  <si>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</si>
  <si>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</si>
  <si>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</si>
  <si>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</si>
  <si>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</si>
  <si>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</si>
  <si>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</si>
  <si>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</si>
  <si>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</si>
  <si>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</si>
  <si>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IMPOST SOBRE BENEFICIS</t>
  </si>
  <si>
    <t>RESULTAT DESPRES D'IMPOSTOS</t>
  </si>
  <si>
    <t>RESULTAT ACUMULAT</t>
  </si>
  <si>
    <t>Dept</t>
  </si>
  <si>
    <t>Origens</t>
  </si>
  <si>
    <t>Nautic</t>
  </si>
  <si>
    <t>Masia</t>
  </si>
  <si>
    <t>Camp Nou</t>
  </si>
  <si>
    <t xml:space="preserve">Tarraco </t>
  </si>
  <si>
    <t>Mirador</t>
  </si>
  <si>
    <t>Juno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</si>
</sst>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18" fillId="33" borderId="0" xfId="0" applyFont="1" applyFill="1" applyAlignment="1">
      <alignment horizontal="center"/>
    </xf>
    <xf numFmtId="43" fontId="0" fillId="0" borderId="0" xfId="42" applyFont="1"/>
    <xf numFmtId="0" fontId="18" fillId="33" borderId="0" xfId="0" applyFont="1" applyFill="1"/>
    <xf numFmtId="43" fontId="18" fillId="33" borderId="0" xfId="42" applyFont="1" applyFill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topLeftCell="A4" workbookViewId="0">
      <selection sqref="A1:XFD1048576"/>
    </sheetView>
  </sheetViews>
  <sheetFormatPr baseColWidth="10" defaultColWidth="8.88671875" defaultRowHeight="14.4" x14ac:dyDescent="0.3"/>
  <cols>
    <col min="3" max="3" width="25.109375" customWidth="1"/>
    <col min="4" max="4" width="10" bestFit="1" customWidth="1"/>
    <col min="8" max="8" width="9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</v>
      </c>
      <c r="C2" t="s">
        <v>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2</v>
      </c>
      <c r="B3">
        <v>2</v>
      </c>
      <c r="C3" t="s">
        <v>16</v>
      </c>
      <c r="D3">
        <v>446331.96</v>
      </c>
      <c r="E3">
        <v>0</v>
      </c>
      <c r="F3">
        <v>30283.89</v>
      </c>
      <c r="G3">
        <v>109414.65</v>
      </c>
      <c r="H3">
        <v>91729.33</v>
      </c>
      <c r="I3">
        <v>95583.89</v>
      </c>
      <c r="J3">
        <v>15000.29</v>
      </c>
      <c r="K3">
        <v>84270.8</v>
      </c>
      <c r="L3">
        <v>20049.11</v>
      </c>
      <c r="M3">
        <v>0</v>
      </c>
      <c r="N3">
        <v>0</v>
      </c>
      <c r="O3">
        <v>0</v>
      </c>
    </row>
    <row r="4" spans="1:15" x14ac:dyDescent="0.3">
      <c r="A4">
        <v>3</v>
      </c>
      <c r="B4">
        <v>3</v>
      </c>
      <c r="C4" t="s">
        <v>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>
        <v>4</v>
      </c>
      <c r="B5">
        <v>4</v>
      </c>
      <c r="C5" t="s">
        <v>18</v>
      </c>
      <c r="D5">
        <v>4617.95</v>
      </c>
      <c r="E5">
        <v>0</v>
      </c>
      <c r="F5">
        <v>0</v>
      </c>
      <c r="G5">
        <v>0</v>
      </c>
      <c r="H5">
        <v>317.95</v>
      </c>
      <c r="I5">
        <v>0</v>
      </c>
      <c r="J5">
        <v>0</v>
      </c>
      <c r="K5">
        <v>0</v>
      </c>
      <c r="L5">
        <v>4300</v>
      </c>
      <c r="M5">
        <v>0</v>
      </c>
      <c r="N5">
        <v>0</v>
      </c>
      <c r="O5">
        <v>0</v>
      </c>
    </row>
    <row r="6" spans="1:15" x14ac:dyDescent="0.3">
      <c r="A6">
        <v>5</v>
      </c>
      <c r="B6">
        <v>5</v>
      </c>
      <c r="C6" t="s">
        <v>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>
        <v>6</v>
      </c>
      <c r="B7">
        <v>6</v>
      </c>
      <c r="C7" t="s">
        <v>20</v>
      </c>
      <c r="D7">
        <f>SUM(D3:D6)</f>
        <v>450949.91000000003</v>
      </c>
      <c r="E7">
        <f t="shared" ref="E7:O7" si="0">SUM(E3:E6)</f>
        <v>0</v>
      </c>
      <c r="F7">
        <f t="shared" si="0"/>
        <v>30283.89</v>
      </c>
      <c r="G7">
        <f t="shared" si="0"/>
        <v>109414.65</v>
      </c>
      <c r="H7">
        <f t="shared" si="0"/>
        <v>92047.28</v>
      </c>
      <c r="I7">
        <f t="shared" si="0"/>
        <v>95583.89</v>
      </c>
      <c r="J7">
        <f t="shared" si="0"/>
        <v>15000.29</v>
      </c>
      <c r="K7">
        <f t="shared" si="0"/>
        <v>84270.8</v>
      </c>
      <c r="L7">
        <f t="shared" si="0"/>
        <v>24349.11</v>
      </c>
      <c r="M7">
        <f t="shared" si="0"/>
        <v>0</v>
      </c>
      <c r="N7">
        <f t="shared" si="0"/>
        <v>0</v>
      </c>
      <c r="O7">
        <f t="shared" si="0"/>
        <v>0</v>
      </c>
    </row>
    <row r="8" spans="1:15" x14ac:dyDescent="0.3">
      <c r="A8">
        <v>7</v>
      </c>
      <c r="B8">
        <v>7</v>
      </c>
      <c r="C8" t="s">
        <v>21</v>
      </c>
      <c r="D8">
        <v>-96388.53</v>
      </c>
      <c r="E8">
        <v>0</v>
      </c>
      <c r="F8">
        <v>-7498.25</v>
      </c>
      <c r="G8">
        <v>-24942.67</v>
      </c>
      <c r="H8">
        <v>-24100.62</v>
      </c>
      <c r="I8">
        <v>-13344.29</v>
      </c>
      <c r="J8">
        <v>-4483.6099999999997</v>
      </c>
      <c r="K8">
        <v>-19320.43</v>
      </c>
      <c r="L8">
        <v>-2698.66</v>
      </c>
      <c r="M8">
        <v>0</v>
      </c>
      <c r="N8">
        <v>0</v>
      </c>
      <c r="O8">
        <v>0</v>
      </c>
    </row>
    <row r="9" spans="1:15" x14ac:dyDescent="0.3">
      <c r="A9">
        <v>8</v>
      </c>
      <c r="B9">
        <v>8</v>
      </c>
      <c r="C9" t="s">
        <v>22</v>
      </c>
      <c r="D9">
        <v>-3961.84</v>
      </c>
      <c r="E9">
        <v>-66.099999999999994</v>
      </c>
      <c r="F9">
        <v>-273.18</v>
      </c>
      <c r="G9">
        <v>-741.03</v>
      </c>
      <c r="H9">
        <v>-1854.61</v>
      </c>
      <c r="I9">
        <v>-252.31</v>
      </c>
      <c r="J9">
        <v>-146.46</v>
      </c>
      <c r="K9">
        <v>-600.65</v>
      </c>
      <c r="L9">
        <v>-27.5</v>
      </c>
      <c r="M9">
        <v>0</v>
      </c>
      <c r="N9">
        <v>0</v>
      </c>
      <c r="O9">
        <v>0</v>
      </c>
    </row>
    <row r="10" spans="1:15" x14ac:dyDescent="0.3">
      <c r="A10">
        <v>9</v>
      </c>
      <c r="B10">
        <v>9</v>
      </c>
      <c r="C10" t="s">
        <v>23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>
        <v>10</v>
      </c>
      <c r="B11">
        <v>10</v>
      </c>
      <c r="C11" t="s">
        <v>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>
        <v>11</v>
      </c>
      <c r="B12">
        <v>11</v>
      </c>
      <c r="C12" t="s">
        <v>25</v>
      </c>
      <c r="D12">
        <v>-100350.37</v>
      </c>
      <c r="E12">
        <v>-66.099999999999994</v>
      </c>
      <c r="F12">
        <v>-7771.43</v>
      </c>
      <c r="G12">
        <v>-25683.7</v>
      </c>
      <c r="H12">
        <v>-25955.23</v>
      </c>
      <c r="I12">
        <v>-13596.6</v>
      </c>
      <c r="J12">
        <v>-4630.07</v>
      </c>
      <c r="K12">
        <v>-19921.080000000002</v>
      </c>
      <c r="L12">
        <v>-2726.16</v>
      </c>
      <c r="M12">
        <v>0</v>
      </c>
      <c r="N12">
        <v>0</v>
      </c>
      <c r="O12">
        <v>0</v>
      </c>
    </row>
    <row r="13" spans="1:15" x14ac:dyDescent="0.3">
      <c r="A13">
        <v>12</v>
      </c>
      <c r="B13">
        <v>12</v>
      </c>
      <c r="C13" t="s">
        <v>26</v>
      </c>
      <c r="D13">
        <v>350599.54</v>
      </c>
      <c r="E13">
        <v>-66.099999999999994</v>
      </c>
      <c r="F13">
        <v>22512.46</v>
      </c>
      <c r="G13">
        <v>83730.95</v>
      </c>
      <c r="H13">
        <v>66092.05</v>
      </c>
      <c r="I13">
        <v>81987.289999999994</v>
      </c>
      <c r="J13">
        <v>10370.219999999999</v>
      </c>
      <c r="K13">
        <v>64349.72</v>
      </c>
      <c r="L13">
        <v>21622.95</v>
      </c>
      <c r="M13">
        <v>0</v>
      </c>
      <c r="N13">
        <v>0</v>
      </c>
      <c r="O13">
        <v>0</v>
      </c>
    </row>
    <row r="14" spans="1:15" x14ac:dyDescent="0.3">
      <c r="A14">
        <v>13</v>
      </c>
      <c r="B14">
        <v>13</v>
      </c>
      <c r="C14" t="s">
        <v>27</v>
      </c>
      <c r="D14">
        <v>-164025.81</v>
      </c>
      <c r="E14">
        <v>-11928.92</v>
      </c>
      <c r="F14">
        <v>-10934.78</v>
      </c>
      <c r="G14">
        <v>-36293.56</v>
      </c>
      <c r="H14">
        <v>-40814.129999999997</v>
      </c>
      <c r="I14">
        <v>-18135.490000000002</v>
      </c>
      <c r="J14">
        <v>-7818.24</v>
      </c>
      <c r="K14">
        <v>-23266.99</v>
      </c>
      <c r="L14">
        <v>-14833.7</v>
      </c>
      <c r="M14">
        <v>0</v>
      </c>
      <c r="N14">
        <v>0</v>
      </c>
      <c r="O14">
        <v>0</v>
      </c>
    </row>
    <row r="15" spans="1:15" x14ac:dyDescent="0.3">
      <c r="A15">
        <v>14</v>
      </c>
      <c r="B15">
        <v>14</v>
      </c>
      <c r="C15" t="s">
        <v>28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>
        <v>15</v>
      </c>
      <c r="B16">
        <v>15</v>
      </c>
      <c r="C16" t="s">
        <v>29</v>
      </c>
      <c r="D16">
        <v>-46455.839999999997</v>
      </c>
      <c r="E16">
        <v>-3723.93</v>
      </c>
      <c r="F16">
        <v>-3594.25</v>
      </c>
      <c r="G16">
        <v>-7754.66</v>
      </c>
      <c r="H16">
        <v>-11604.59</v>
      </c>
      <c r="I16">
        <v>-6065.4</v>
      </c>
      <c r="J16">
        <v>-2782.93</v>
      </c>
      <c r="K16">
        <v>-6036.38</v>
      </c>
      <c r="L16">
        <v>-4893.7</v>
      </c>
      <c r="M16">
        <v>0</v>
      </c>
      <c r="N16">
        <v>0</v>
      </c>
      <c r="O16">
        <v>0</v>
      </c>
    </row>
    <row r="17" spans="1:15" x14ac:dyDescent="0.3">
      <c r="A17">
        <v>16</v>
      </c>
      <c r="B17">
        <v>16</v>
      </c>
      <c r="C17" t="s">
        <v>30</v>
      </c>
      <c r="D17">
        <v>-1718.56</v>
      </c>
      <c r="E17">
        <v>-15.9</v>
      </c>
      <c r="F17">
        <v>-55.04</v>
      </c>
      <c r="G17">
        <v>-110.09</v>
      </c>
      <c r="H17">
        <v>-169.04</v>
      </c>
      <c r="I17">
        <v>-775.51</v>
      </c>
      <c r="J17">
        <v>-331.38</v>
      </c>
      <c r="K17">
        <v>-62.1</v>
      </c>
      <c r="L17">
        <v>-199.5</v>
      </c>
      <c r="M17">
        <v>0</v>
      </c>
      <c r="N17">
        <v>0</v>
      </c>
      <c r="O17">
        <v>0</v>
      </c>
    </row>
    <row r="18" spans="1:15" x14ac:dyDescent="0.3">
      <c r="A18">
        <v>17</v>
      </c>
      <c r="B18">
        <v>17</v>
      </c>
      <c r="C18" t="s">
        <v>31</v>
      </c>
      <c r="D18">
        <v>-212200.21</v>
      </c>
      <c r="E18">
        <v>-15668.75</v>
      </c>
      <c r="F18">
        <v>-14584.07</v>
      </c>
      <c r="G18">
        <v>-44158.31</v>
      </c>
      <c r="H18">
        <v>-52587.76</v>
      </c>
      <c r="I18">
        <v>-24976.400000000001</v>
      </c>
      <c r="J18">
        <v>-10932.55</v>
      </c>
      <c r="K18">
        <v>-29365.47</v>
      </c>
      <c r="L18">
        <v>-19926.900000000001</v>
      </c>
      <c r="M18">
        <v>0</v>
      </c>
      <c r="N18">
        <v>0</v>
      </c>
      <c r="O18">
        <v>0</v>
      </c>
    </row>
    <row r="19" spans="1:15" x14ac:dyDescent="0.3">
      <c r="A19">
        <v>18</v>
      </c>
      <c r="B19">
        <v>18</v>
      </c>
      <c r="C19" t="s">
        <v>32</v>
      </c>
      <c r="D19">
        <v>-29736.65</v>
      </c>
      <c r="E19">
        <v>0</v>
      </c>
      <c r="F19">
        <v>-159.65</v>
      </c>
      <c r="G19">
        <v>-4738.26</v>
      </c>
      <c r="H19">
        <v>-267.58</v>
      </c>
      <c r="I19">
        <v>-19116.8</v>
      </c>
      <c r="J19">
        <v>-1030</v>
      </c>
      <c r="K19">
        <v>-4424.3599999999997</v>
      </c>
      <c r="L19">
        <v>0</v>
      </c>
      <c r="M19">
        <v>0</v>
      </c>
      <c r="N19">
        <v>0</v>
      </c>
      <c r="O19">
        <v>0</v>
      </c>
    </row>
    <row r="20" spans="1:15" x14ac:dyDescent="0.3">
      <c r="A20">
        <v>19</v>
      </c>
      <c r="B20">
        <v>19</v>
      </c>
      <c r="C20" t="s">
        <v>33</v>
      </c>
      <c r="D20">
        <v>-15530.5</v>
      </c>
      <c r="E20">
        <v>-574.83000000000004</v>
      </c>
      <c r="F20">
        <v>-221.1</v>
      </c>
      <c r="G20">
        <v>-2826.88</v>
      </c>
      <c r="H20">
        <v>-8053.28</v>
      </c>
      <c r="I20">
        <v>-1094.28</v>
      </c>
      <c r="J20">
        <v>-355.19</v>
      </c>
      <c r="K20">
        <v>-1703.77</v>
      </c>
      <c r="L20">
        <v>-701.17</v>
      </c>
      <c r="M20">
        <v>0</v>
      </c>
      <c r="N20">
        <v>0</v>
      </c>
      <c r="O20">
        <v>0</v>
      </c>
    </row>
    <row r="21" spans="1:15" x14ac:dyDescent="0.3">
      <c r="A21">
        <v>20</v>
      </c>
      <c r="B21">
        <v>20</v>
      </c>
      <c r="C21" t="s">
        <v>34</v>
      </c>
      <c r="D21">
        <v>-3449.75</v>
      </c>
      <c r="E21">
        <v>0</v>
      </c>
      <c r="F21">
        <v>-337.28</v>
      </c>
      <c r="G21">
        <v>-883.98</v>
      </c>
      <c r="H21">
        <v>-687.45</v>
      </c>
      <c r="I21">
        <v>-181.92</v>
      </c>
      <c r="J21">
        <v>-312.48</v>
      </c>
      <c r="K21">
        <v>-318.2</v>
      </c>
      <c r="L21">
        <v>-728.44</v>
      </c>
      <c r="M21">
        <v>0</v>
      </c>
      <c r="N21">
        <v>0</v>
      </c>
      <c r="O21">
        <v>0</v>
      </c>
    </row>
    <row r="22" spans="1:15" x14ac:dyDescent="0.3">
      <c r="A22">
        <v>21</v>
      </c>
      <c r="B22">
        <v>21</v>
      </c>
      <c r="C22" t="s">
        <v>35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">
      <c r="A23">
        <v>22</v>
      </c>
      <c r="B23">
        <v>22</v>
      </c>
      <c r="C23" t="s">
        <v>36</v>
      </c>
      <c r="D23">
        <v>-1339.87</v>
      </c>
      <c r="E23">
        <v>0</v>
      </c>
      <c r="F23">
        <v>-420.33</v>
      </c>
      <c r="G23">
        <v>-146.9</v>
      </c>
      <c r="H23">
        <v>-358.37</v>
      </c>
      <c r="I23">
        <v>-43.33</v>
      </c>
      <c r="J23">
        <v>-95.77</v>
      </c>
      <c r="K23">
        <v>-275.17</v>
      </c>
      <c r="L23">
        <v>0</v>
      </c>
      <c r="M23">
        <v>0</v>
      </c>
      <c r="N23">
        <v>0</v>
      </c>
      <c r="O23">
        <v>0</v>
      </c>
    </row>
    <row r="24" spans="1:15" x14ac:dyDescent="0.3">
      <c r="A24">
        <v>23</v>
      </c>
      <c r="B24">
        <v>23</v>
      </c>
      <c r="C24" t="s">
        <v>37</v>
      </c>
      <c r="D24">
        <v>-2278.08</v>
      </c>
      <c r="E24">
        <v>-57.66</v>
      </c>
      <c r="F24">
        <v>-124.74</v>
      </c>
      <c r="G24">
        <v>-388.93</v>
      </c>
      <c r="H24">
        <v>-388.06</v>
      </c>
      <c r="I24">
        <v>-779.24</v>
      </c>
      <c r="J24">
        <v>-86.88</v>
      </c>
      <c r="K24">
        <v>-335.33</v>
      </c>
      <c r="L24">
        <v>-117.24</v>
      </c>
      <c r="M24">
        <v>0</v>
      </c>
      <c r="N24">
        <v>0</v>
      </c>
      <c r="O24">
        <v>0</v>
      </c>
    </row>
    <row r="25" spans="1:15" x14ac:dyDescent="0.3">
      <c r="A25">
        <v>24</v>
      </c>
      <c r="B25">
        <v>24</v>
      </c>
      <c r="C25" t="s">
        <v>38</v>
      </c>
      <c r="D25">
        <v>-361.4</v>
      </c>
      <c r="E25">
        <v>0</v>
      </c>
      <c r="F25">
        <v>-8.26</v>
      </c>
      <c r="G25">
        <v>-22.55</v>
      </c>
      <c r="H25">
        <v>-140</v>
      </c>
      <c r="I25">
        <v>0</v>
      </c>
      <c r="J25">
        <v>-52.76</v>
      </c>
      <c r="K25">
        <v>-137.83000000000001</v>
      </c>
      <c r="L25">
        <v>0</v>
      </c>
      <c r="M25">
        <v>0</v>
      </c>
      <c r="N25">
        <v>0</v>
      </c>
      <c r="O25">
        <v>0</v>
      </c>
    </row>
    <row r="26" spans="1:15" x14ac:dyDescent="0.3">
      <c r="A26">
        <v>25</v>
      </c>
      <c r="B26">
        <v>25</v>
      </c>
      <c r="C26" t="s">
        <v>39</v>
      </c>
      <c r="D26">
        <v>-9970.8799999999992</v>
      </c>
      <c r="E26">
        <v>0</v>
      </c>
      <c r="F26">
        <v>-1455.87</v>
      </c>
      <c r="G26">
        <v>-2351.33</v>
      </c>
      <c r="H26">
        <v>-1668.62</v>
      </c>
      <c r="I26">
        <v>-468.94</v>
      </c>
      <c r="J26">
        <v>-1029.73</v>
      </c>
      <c r="K26">
        <v>-2996.39</v>
      </c>
      <c r="L26">
        <v>0</v>
      </c>
      <c r="M26">
        <v>0</v>
      </c>
      <c r="N26">
        <v>0</v>
      </c>
      <c r="O26">
        <v>0</v>
      </c>
    </row>
    <row r="27" spans="1:15" x14ac:dyDescent="0.3">
      <c r="A27">
        <v>26</v>
      </c>
      <c r="B27">
        <v>26</v>
      </c>
      <c r="C27" t="s">
        <v>40</v>
      </c>
      <c r="D27">
        <v>-6644.02</v>
      </c>
      <c r="E27">
        <v>-137.03</v>
      </c>
      <c r="F27">
        <v>-632.99</v>
      </c>
      <c r="G27">
        <v>-720.27</v>
      </c>
      <c r="H27">
        <v>-3297.29</v>
      </c>
      <c r="I27">
        <v>-766.87</v>
      </c>
      <c r="J27">
        <v>-49</v>
      </c>
      <c r="K27">
        <v>-856.93</v>
      </c>
      <c r="L27">
        <v>-124.14</v>
      </c>
      <c r="M27">
        <v>-59.5</v>
      </c>
      <c r="N27">
        <v>0</v>
      </c>
      <c r="O27">
        <v>0</v>
      </c>
    </row>
    <row r="28" spans="1:15" x14ac:dyDescent="0.3">
      <c r="A28">
        <v>27</v>
      </c>
      <c r="B28">
        <v>27</v>
      </c>
      <c r="C28" t="s">
        <v>41</v>
      </c>
      <c r="D28">
        <v>-1418.72</v>
      </c>
      <c r="E28">
        <v>0</v>
      </c>
      <c r="F28">
        <v>-584.25</v>
      </c>
      <c r="G28">
        <v>-332.5</v>
      </c>
      <c r="H28">
        <v>-142.34</v>
      </c>
      <c r="I28">
        <v>-107.98</v>
      </c>
      <c r="J28">
        <v>-213.33</v>
      </c>
      <c r="K28">
        <v>-38.32</v>
      </c>
      <c r="L28">
        <v>0</v>
      </c>
      <c r="M28">
        <v>0</v>
      </c>
      <c r="N28">
        <v>0</v>
      </c>
      <c r="O28">
        <v>0</v>
      </c>
    </row>
    <row r="29" spans="1:15" x14ac:dyDescent="0.3">
      <c r="A29">
        <v>28</v>
      </c>
      <c r="B29">
        <v>28</v>
      </c>
      <c r="C29" t="s">
        <v>42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">
      <c r="A30">
        <v>29</v>
      </c>
      <c r="B30">
        <v>29</v>
      </c>
      <c r="C30" t="s">
        <v>43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>
        <v>30</v>
      </c>
      <c r="B31">
        <v>30</v>
      </c>
      <c r="C31" t="s">
        <v>44</v>
      </c>
      <c r="D31">
        <v>-70729.87</v>
      </c>
      <c r="E31">
        <v>-769.52</v>
      </c>
      <c r="F31">
        <v>-3944.47</v>
      </c>
      <c r="G31">
        <v>-12411.6</v>
      </c>
      <c r="H31">
        <v>-15002.99</v>
      </c>
      <c r="I31">
        <v>-22559.360000000001</v>
      </c>
      <c r="J31">
        <v>-3225.14</v>
      </c>
      <c r="K31">
        <v>-11086.3</v>
      </c>
      <c r="L31">
        <v>-1670.99</v>
      </c>
      <c r="M31">
        <v>-59.5</v>
      </c>
      <c r="N31">
        <v>0</v>
      </c>
      <c r="O31">
        <v>0</v>
      </c>
    </row>
    <row r="32" spans="1:15" x14ac:dyDescent="0.3">
      <c r="A32">
        <v>31</v>
      </c>
      <c r="B32">
        <v>31</v>
      </c>
      <c r="C32" t="s">
        <v>45</v>
      </c>
      <c r="D32">
        <v>-282930.08</v>
      </c>
      <c r="E32">
        <v>-16438.27</v>
      </c>
      <c r="F32">
        <v>-18528.54</v>
      </c>
      <c r="G32">
        <v>-56569.91</v>
      </c>
      <c r="H32">
        <v>-67590.75</v>
      </c>
      <c r="I32">
        <v>-47535.76</v>
      </c>
      <c r="J32">
        <v>-14157.69</v>
      </c>
      <c r="K32">
        <v>-40451.769999999997</v>
      </c>
      <c r="L32">
        <v>-21597.89</v>
      </c>
      <c r="M32">
        <v>-59.5</v>
      </c>
      <c r="N32">
        <v>0</v>
      </c>
      <c r="O32">
        <v>0</v>
      </c>
    </row>
    <row r="33" spans="1:15" x14ac:dyDescent="0.3">
      <c r="A33">
        <v>32</v>
      </c>
      <c r="B33">
        <v>32</v>
      </c>
      <c r="C33" t="s">
        <v>46</v>
      </c>
      <c r="D33">
        <v>67669.460000000006</v>
      </c>
      <c r="E33">
        <v>-16504.37</v>
      </c>
      <c r="F33">
        <v>3983.92</v>
      </c>
      <c r="G33">
        <v>27161.040000000001</v>
      </c>
      <c r="H33">
        <v>-1498.7</v>
      </c>
      <c r="I33">
        <v>34451.53</v>
      </c>
      <c r="J33">
        <v>-3787.47</v>
      </c>
      <c r="K33">
        <v>23897.95</v>
      </c>
      <c r="L33">
        <v>25.06</v>
      </c>
      <c r="M33">
        <v>-59.5</v>
      </c>
      <c r="N33">
        <v>0</v>
      </c>
      <c r="O33">
        <v>0</v>
      </c>
    </row>
    <row r="34" spans="1:15" x14ac:dyDescent="0.3">
      <c r="A34">
        <v>33</v>
      </c>
      <c r="B34">
        <v>33</v>
      </c>
      <c r="C34" t="s">
        <v>47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>
        <v>34</v>
      </c>
      <c r="B35">
        <v>34</v>
      </c>
      <c r="C35" t="s">
        <v>48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>
        <v>35</v>
      </c>
      <c r="B36">
        <v>35</v>
      </c>
      <c r="C36" t="s">
        <v>49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>
        <v>36</v>
      </c>
      <c r="B37">
        <v>36</v>
      </c>
      <c r="C37" t="s">
        <v>50</v>
      </c>
      <c r="D37">
        <v>5.19</v>
      </c>
      <c r="E37">
        <v>0</v>
      </c>
      <c r="F37">
        <v>5</v>
      </c>
      <c r="G37">
        <v>0</v>
      </c>
      <c r="H37">
        <v>0</v>
      </c>
      <c r="I37">
        <v>0</v>
      </c>
      <c r="J37">
        <v>0</v>
      </c>
      <c r="K37">
        <v>0</v>
      </c>
      <c r="L37">
        <v>0.19</v>
      </c>
      <c r="M37">
        <v>0</v>
      </c>
      <c r="N37">
        <v>0</v>
      </c>
      <c r="O37">
        <v>0</v>
      </c>
    </row>
    <row r="38" spans="1:15" x14ac:dyDescent="0.3">
      <c r="A38">
        <v>37</v>
      </c>
      <c r="B38">
        <v>37</v>
      </c>
      <c r="C38" t="s">
        <v>51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">
      <c r="A39">
        <v>38</v>
      </c>
      <c r="B39">
        <v>38</v>
      </c>
      <c r="C39" t="s">
        <v>52</v>
      </c>
      <c r="D39">
        <v>5.19</v>
      </c>
      <c r="E39">
        <v>0</v>
      </c>
      <c r="F39">
        <v>5</v>
      </c>
      <c r="G39">
        <v>0</v>
      </c>
      <c r="H39">
        <v>0</v>
      </c>
      <c r="I39">
        <v>0</v>
      </c>
      <c r="J39">
        <v>0</v>
      </c>
      <c r="K39">
        <v>0</v>
      </c>
      <c r="L39">
        <v>0.19</v>
      </c>
      <c r="M39">
        <v>0</v>
      </c>
      <c r="N39">
        <v>0</v>
      </c>
      <c r="O39">
        <v>0</v>
      </c>
    </row>
    <row r="40" spans="1:15" x14ac:dyDescent="0.3">
      <c r="A40">
        <v>39</v>
      </c>
      <c r="B40">
        <v>39</v>
      </c>
      <c r="C40" t="s">
        <v>53</v>
      </c>
      <c r="D40">
        <v>-10630.1</v>
      </c>
      <c r="E40">
        <v>-118.36</v>
      </c>
      <c r="F40">
        <v>-1200.5</v>
      </c>
      <c r="G40">
        <v>-1001.33</v>
      </c>
      <c r="H40">
        <v>-5053.83</v>
      </c>
      <c r="I40">
        <v>-275.04000000000002</v>
      </c>
      <c r="J40">
        <v>-29.23</v>
      </c>
      <c r="K40">
        <v>-2951.81</v>
      </c>
      <c r="L40">
        <v>0</v>
      </c>
      <c r="M40">
        <v>0</v>
      </c>
      <c r="N40">
        <v>0</v>
      </c>
      <c r="O40">
        <v>0</v>
      </c>
    </row>
    <row r="41" spans="1:15" x14ac:dyDescent="0.3">
      <c r="A41">
        <v>40</v>
      </c>
      <c r="B41">
        <v>40</v>
      </c>
      <c r="C41" t="s">
        <v>54</v>
      </c>
      <c r="D41">
        <v>57044.55</v>
      </c>
      <c r="E41">
        <v>-16622.73</v>
      </c>
      <c r="F41">
        <v>2788.42</v>
      </c>
      <c r="G41">
        <v>26159.71</v>
      </c>
      <c r="H41">
        <v>-6552.53</v>
      </c>
      <c r="I41">
        <v>34176.49</v>
      </c>
      <c r="J41">
        <v>-3816.7</v>
      </c>
      <c r="K41">
        <v>20946.14</v>
      </c>
      <c r="L41">
        <v>25.25</v>
      </c>
      <c r="M41">
        <v>-59.5</v>
      </c>
      <c r="N41">
        <v>0</v>
      </c>
      <c r="O41">
        <v>0</v>
      </c>
    </row>
    <row r="42" spans="1:15" x14ac:dyDescent="0.3">
      <c r="A42">
        <v>41</v>
      </c>
      <c r="B42">
        <v>41</v>
      </c>
      <c r="C42" t="s">
        <v>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">
      <c r="A43">
        <v>42</v>
      </c>
      <c r="B43">
        <v>42</v>
      </c>
      <c r="C43" t="s">
        <v>56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>
        <v>43</v>
      </c>
      <c r="B44">
        <v>43</v>
      </c>
      <c r="C44" t="s">
        <v>57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BFF8-3681-4EF8-BE99-A5721FD34439}">
  <dimension ref="A1:J43"/>
  <sheetViews>
    <sheetView topLeftCell="A7" workbookViewId="0">
      <selection activeCell="J9" sqref="J9"/>
    </sheetView>
  </sheetViews>
  <sheetFormatPr baseColWidth="10" defaultColWidth="9.109375" defaultRowHeight="14.4" x14ac:dyDescent="0.3"/>
  <cols>
    <col min="1" max="1" width="33.44140625" bestFit="1" customWidth="1"/>
    <col min="2" max="2" width="12" bestFit="1" customWidth="1"/>
    <col min="3" max="4" width="11.6640625" customWidth="1"/>
    <col min="5" max="5" width="11.21875" customWidth="1"/>
    <col min="6" max="6" width="11.33203125" bestFit="1" customWidth="1"/>
    <col min="7" max="7" width="15" customWidth="1"/>
    <col min="8" max="8" width="13.21875" customWidth="1"/>
    <col min="9" max="10" width="10.33203125" bestFit="1" customWidth="1"/>
  </cols>
  <sheetData>
    <row r="1" spans="1:10" x14ac:dyDescent="0.3">
      <c r="A1" s="1" t="s">
        <v>15</v>
      </c>
      <c r="B1" s="1" t="s">
        <v>3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 x14ac:dyDescent="0.3">
      <c r="A2" t="s">
        <v>16</v>
      </c>
      <c r="B2" s="2">
        <v>446331.96</v>
      </c>
      <c r="C2" s="2">
        <v>0</v>
      </c>
      <c r="D2" s="2">
        <v>30283.89</v>
      </c>
      <c r="E2" s="2">
        <v>109414.65</v>
      </c>
      <c r="F2" s="2">
        <v>91729.33</v>
      </c>
      <c r="G2" s="2">
        <v>95583.89</v>
      </c>
      <c r="H2" s="2">
        <v>15000.29</v>
      </c>
      <c r="I2" s="2">
        <v>84270.8</v>
      </c>
      <c r="J2" s="2">
        <v>20049.11</v>
      </c>
    </row>
    <row r="3" spans="1:10" x14ac:dyDescent="0.3">
      <c r="A3" t="s">
        <v>17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3">
      <c r="A4" t="s">
        <v>18</v>
      </c>
      <c r="B4" s="2">
        <v>4617.95</v>
      </c>
      <c r="C4" s="2">
        <v>0</v>
      </c>
      <c r="D4" s="2">
        <v>0</v>
      </c>
      <c r="E4" s="2">
        <v>0</v>
      </c>
      <c r="F4" s="2">
        <v>317.95</v>
      </c>
      <c r="G4" s="2">
        <v>0</v>
      </c>
      <c r="H4" s="2">
        <v>0</v>
      </c>
      <c r="I4" s="2">
        <v>0</v>
      </c>
      <c r="J4" s="2">
        <v>4300</v>
      </c>
    </row>
    <row r="5" spans="1:10" x14ac:dyDescent="0.3">
      <c r="A5" t="s">
        <v>19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3">
      <c r="A6" s="3" t="s">
        <v>20</v>
      </c>
      <c r="B6" s="4">
        <f>SUM(B2:B5)</f>
        <v>450949.91000000003</v>
      </c>
      <c r="C6" s="4">
        <f t="shared" ref="C6:J6" si="0">SUM(C2:C5)</f>
        <v>0</v>
      </c>
      <c r="D6" s="4">
        <f t="shared" si="0"/>
        <v>30283.89</v>
      </c>
      <c r="E6" s="4">
        <f t="shared" si="0"/>
        <v>109414.65</v>
      </c>
      <c r="F6" s="4">
        <f t="shared" si="0"/>
        <v>92047.28</v>
      </c>
      <c r="G6" s="4">
        <f t="shared" si="0"/>
        <v>95583.89</v>
      </c>
      <c r="H6" s="4">
        <f t="shared" si="0"/>
        <v>15000.29</v>
      </c>
      <c r="I6" s="4">
        <f t="shared" si="0"/>
        <v>84270.8</v>
      </c>
      <c r="J6" s="4">
        <f t="shared" si="0"/>
        <v>24349.11</v>
      </c>
    </row>
    <row r="7" spans="1:10" x14ac:dyDescent="0.3">
      <c r="A7" t="s">
        <v>21</v>
      </c>
      <c r="B7" s="2">
        <v>-96388.53</v>
      </c>
      <c r="C7" s="2">
        <v>0</v>
      </c>
      <c r="D7" s="2">
        <v>-7498.25</v>
      </c>
      <c r="E7" s="2">
        <v>-24942.67</v>
      </c>
      <c r="F7" s="2">
        <v>-24100.62</v>
      </c>
      <c r="G7" s="2">
        <v>-13344.29</v>
      </c>
      <c r="H7" s="2">
        <v>-4483.6099999999997</v>
      </c>
      <c r="I7" s="2">
        <v>-19320.43</v>
      </c>
      <c r="J7" s="2">
        <v>-2698.66</v>
      </c>
    </row>
    <row r="8" spans="1:10" x14ac:dyDescent="0.3">
      <c r="A8" t="s">
        <v>22</v>
      </c>
      <c r="B8" s="2">
        <v>-3961.84</v>
      </c>
      <c r="C8" s="2">
        <v>-66.099999999999994</v>
      </c>
      <c r="D8" s="2">
        <v>-273.18</v>
      </c>
      <c r="E8" s="2">
        <v>-741.03</v>
      </c>
      <c r="F8" s="2">
        <v>-1854.61</v>
      </c>
      <c r="G8" s="2">
        <v>-252.31</v>
      </c>
      <c r="H8" s="2">
        <v>-146.46</v>
      </c>
      <c r="I8" s="2">
        <v>-600.65</v>
      </c>
      <c r="J8" s="2">
        <v>-27.5</v>
      </c>
    </row>
    <row r="9" spans="1:10" x14ac:dyDescent="0.3">
      <c r="A9" t="s">
        <v>23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3">
      <c r="A10" t="s">
        <v>24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3">
      <c r="A11" s="3" t="s">
        <v>25</v>
      </c>
      <c r="B11" s="4">
        <v>-100350.37</v>
      </c>
      <c r="C11" s="4">
        <v>-66.099999999999994</v>
      </c>
      <c r="D11" s="4">
        <v>-7771.43</v>
      </c>
      <c r="E11" s="4">
        <v>-25683.7</v>
      </c>
      <c r="F11" s="4">
        <v>-25955.23</v>
      </c>
      <c r="G11" s="4">
        <v>-13596.6</v>
      </c>
      <c r="H11" s="4">
        <v>-4630.07</v>
      </c>
      <c r="I11" s="4">
        <v>-19921.080000000002</v>
      </c>
      <c r="J11" s="4">
        <v>-2726.16</v>
      </c>
    </row>
    <row r="12" spans="1:10" x14ac:dyDescent="0.3">
      <c r="A12" t="s">
        <v>26</v>
      </c>
      <c r="B12" s="2">
        <v>350599.54</v>
      </c>
      <c r="C12" s="2">
        <v>-66.099999999999994</v>
      </c>
      <c r="D12" s="2">
        <v>22512.46</v>
      </c>
      <c r="E12" s="2">
        <v>83730.95</v>
      </c>
      <c r="F12" s="2">
        <v>66092.05</v>
      </c>
      <c r="G12" s="2">
        <v>81987.289999999994</v>
      </c>
      <c r="H12" s="2">
        <v>10370.219999999999</v>
      </c>
      <c r="I12" s="2">
        <v>64349.72</v>
      </c>
      <c r="J12" s="2">
        <v>21622.95</v>
      </c>
    </row>
    <row r="13" spans="1:10" x14ac:dyDescent="0.3">
      <c r="A13" t="s">
        <v>27</v>
      </c>
      <c r="B13" s="2">
        <v>-164025.81</v>
      </c>
      <c r="C13" s="2">
        <v>-11928.92</v>
      </c>
      <c r="D13" s="2">
        <v>-10934.78</v>
      </c>
      <c r="E13" s="2">
        <v>-36293.56</v>
      </c>
      <c r="F13" s="2">
        <v>-40814.129999999997</v>
      </c>
      <c r="G13" s="2">
        <v>-18135.490000000002</v>
      </c>
      <c r="H13" s="2">
        <v>-7818.24</v>
      </c>
      <c r="I13" s="2">
        <v>-23266.99</v>
      </c>
      <c r="J13" s="2">
        <v>-14833.7</v>
      </c>
    </row>
    <row r="14" spans="1:10" x14ac:dyDescent="0.3">
      <c r="A14" t="s">
        <v>28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3">
      <c r="A15" t="s">
        <v>29</v>
      </c>
      <c r="B15" s="2">
        <v>-46455.839999999997</v>
      </c>
      <c r="C15" s="2">
        <v>-3723.93</v>
      </c>
      <c r="D15" s="2">
        <v>-3594.25</v>
      </c>
      <c r="E15" s="2">
        <v>-7754.66</v>
      </c>
      <c r="F15" s="2">
        <v>-11604.59</v>
      </c>
      <c r="G15" s="2">
        <v>-6065.4</v>
      </c>
      <c r="H15" s="2">
        <v>-2782.93</v>
      </c>
      <c r="I15" s="2">
        <v>-6036.38</v>
      </c>
      <c r="J15" s="2">
        <v>-4893.7</v>
      </c>
    </row>
    <row r="16" spans="1:10" x14ac:dyDescent="0.3">
      <c r="A16" t="s">
        <v>30</v>
      </c>
      <c r="B16" s="2">
        <v>-1718.56</v>
      </c>
      <c r="C16" s="2">
        <v>-15.9</v>
      </c>
      <c r="D16" s="2">
        <v>-55.04</v>
      </c>
      <c r="E16" s="2">
        <v>-110.09</v>
      </c>
      <c r="F16" s="2">
        <v>-169.04</v>
      </c>
      <c r="G16" s="2">
        <v>-775.51</v>
      </c>
      <c r="H16" s="2">
        <v>-331.38</v>
      </c>
      <c r="I16" s="2">
        <v>-62.1</v>
      </c>
      <c r="J16" s="2">
        <v>-199.5</v>
      </c>
    </row>
    <row r="17" spans="1:10" x14ac:dyDescent="0.3">
      <c r="A17" s="3" t="s">
        <v>31</v>
      </c>
      <c r="B17" s="4">
        <v>-212200.21</v>
      </c>
      <c r="C17" s="4">
        <v>-15668.75</v>
      </c>
      <c r="D17" s="4">
        <v>-14584.07</v>
      </c>
      <c r="E17" s="4">
        <v>-44158.31</v>
      </c>
      <c r="F17" s="4">
        <v>-52587.76</v>
      </c>
      <c r="G17" s="4">
        <v>-24976.400000000001</v>
      </c>
      <c r="H17" s="4">
        <v>-10932.55</v>
      </c>
      <c r="I17" s="4">
        <v>-29365.47</v>
      </c>
      <c r="J17" s="4">
        <v>-19926.900000000001</v>
      </c>
    </row>
    <row r="18" spans="1:10" x14ac:dyDescent="0.3">
      <c r="A18" t="s">
        <v>32</v>
      </c>
      <c r="B18" s="2">
        <v>-29736.65</v>
      </c>
      <c r="C18" s="2">
        <v>0</v>
      </c>
      <c r="D18" s="2">
        <v>-159.65</v>
      </c>
      <c r="E18" s="2">
        <v>-4738.26</v>
      </c>
      <c r="F18" s="2">
        <v>-267.58</v>
      </c>
      <c r="G18" s="2">
        <v>-19116.8</v>
      </c>
      <c r="H18" s="2">
        <v>-1030</v>
      </c>
      <c r="I18" s="2">
        <v>-4424.3599999999997</v>
      </c>
      <c r="J18" s="2">
        <v>0</v>
      </c>
    </row>
    <row r="19" spans="1:10" x14ac:dyDescent="0.3">
      <c r="A19" t="s">
        <v>33</v>
      </c>
      <c r="B19" s="2">
        <v>-15530.5</v>
      </c>
      <c r="C19" s="2">
        <v>-574.83000000000004</v>
      </c>
      <c r="D19" s="2">
        <v>-221.1</v>
      </c>
      <c r="E19" s="2">
        <v>-2826.88</v>
      </c>
      <c r="F19" s="2">
        <v>-8053.28</v>
      </c>
      <c r="G19" s="2">
        <v>-1094.28</v>
      </c>
      <c r="H19" s="2">
        <v>-355.19</v>
      </c>
      <c r="I19" s="2">
        <v>-1703.77</v>
      </c>
      <c r="J19" s="2">
        <v>-701.17</v>
      </c>
    </row>
    <row r="20" spans="1:10" x14ac:dyDescent="0.3">
      <c r="A20" t="s">
        <v>34</v>
      </c>
      <c r="B20" s="2">
        <v>-3449.75</v>
      </c>
      <c r="C20" s="2">
        <v>0</v>
      </c>
      <c r="D20" s="2">
        <v>-337.28</v>
      </c>
      <c r="E20" s="2">
        <v>-883.98</v>
      </c>
      <c r="F20" s="2">
        <v>-687.45</v>
      </c>
      <c r="G20" s="2">
        <v>-181.92</v>
      </c>
      <c r="H20" s="2">
        <v>-312.48</v>
      </c>
      <c r="I20" s="2">
        <v>-318.2</v>
      </c>
      <c r="J20" s="2">
        <v>-728.44</v>
      </c>
    </row>
    <row r="21" spans="1:10" x14ac:dyDescent="0.3">
      <c r="A21" t="s">
        <v>35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3">
      <c r="A22" t="s">
        <v>36</v>
      </c>
      <c r="B22" s="2">
        <v>-1339.87</v>
      </c>
      <c r="C22" s="2">
        <v>0</v>
      </c>
      <c r="D22" s="2">
        <v>-420.33</v>
      </c>
      <c r="E22" s="2">
        <v>-146.9</v>
      </c>
      <c r="F22" s="2">
        <v>-358.37</v>
      </c>
      <c r="G22" s="2">
        <v>-43.33</v>
      </c>
      <c r="H22" s="2">
        <v>-95.77</v>
      </c>
      <c r="I22" s="2">
        <v>-275.17</v>
      </c>
      <c r="J22" s="2">
        <v>0</v>
      </c>
    </row>
    <row r="23" spans="1:10" x14ac:dyDescent="0.3">
      <c r="A23" t="s">
        <v>37</v>
      </c>
      <c r="B23" s="2">
        <v>-2278.08</v>
      </c>
      <c r="C23" s="2">
        <v>-57.66</v>
      </c>
      <c r="D23" s="2">
        <v>-124.74</v>
      </c>
      <c r="E23" s="2">
        <v>-388.93</v>
      </c>
      <c r="F23" s="2">
        <v>-388.06</v>
      </c>
      <c r="G23" s="2">
        <v>-779.24</v>
      </c>
      <c r="H23" s="2">
        <v>-86.88</v>
      </c>
      <c r="I23" s="2">
        <v>-335.33</v>
      </c>
      <c r="J23" s="2">
        <v>-117.24</v>
      </c>
    </row>
    <row r="24" spans="1:10" x14ac:dyDescent="0.3">
      <c r="A24" t="s">
        <v>38</v>
      </c>
      <c r="B24" s="2">
        <v>-361.4</v>
      </c>
      <c r="C24" s="2">
        <v>0</v>
      </c>
      <c r="D24" s="2">
        <v>-8.26</v>
      </c>
      <c r="E24" s="2">
        <v>-22.55</v>
      </c>
      <c r="F24" s="2">
        <v>-140</v>
      </c>
      <c r="G24" s="2">
        <v>0</v>
      </c>
      <c r="H24" s="2">
        <v>-52.76</v>
      </c>
      <c r="I24" s="2">
        <v>-137.83000000000001</v>
      </c>
      <c r="J24" s="2">
        <v>0</v>
      </c>
    </row>
    <row r="25" spans="1:10" x14ac:dyDescent="0.3">
      <c r="A25" t="s">
        <v>39</v>
      </c>
      <c r="B25" s="2">
        <v>-9970.8799999999992</v>
      </c>
      <c r="C25" s="2">
        <v>0</v>
      </c>
      <c r="D25" s="2">
        <v>-1455.87</v>
      </c>
      <c r="E25" s="2">
        <v>-2351.33</v>
      </c>
      <c r="F25" s="2">
        <v>-1668.62</v>
      </c>
      <c r="G25" s="2">
        <v>-468.94</v>
      </c>
      <c r="H25" s="2">
        <v>-1029.73</v>
      </c>
      <c r="I25" s="2">
        <v>-2996.39</v>
      </c>
      <c r="J25" s="2">
        <v>0</v>
      </c>
    </row>
    <row r="26" spans="1:10" x14ac:dyDescent="0.3">
      <c r="A26" t="s">
        <v>40</v>
      </c>
      <c r="B26" s="2">
        <v>-6644.02</v>
      </c>
      <c r="C26" s="2">
        <v>-137.03</v>
      </c>
      <c r="D26" s="2">
        <v>-632.99</v>
      </c>
      <c r="E26" s="2">
        <v>-720.27</v>
      </c>
      <c r="F26" s="2">
        <v>-3297.29</v>
      </c>
      <c r="G26" s="2">
        <v>-766.87</v>
      </c>
      <c r="H26" s="2">
        <v>-49</v>
      </c>
      <c r="I26" s="2">
        <v>-856.93</v>
      </c>
      <c r="J26" s="2">
        <v>-124.14</v>
      </c>
    </row>
    <row r="27" spans="1:10" x14ac:dyDescent="0.3">
      <c r="A27" t="s">
        <v>41</v>
      </c>
      <c r="B27" s="2">
        <v>-1418.72</v>
      </c>
      <c r="C27" s="2">
        <v>0</v>
      </c>
      <c r="D27" s="2">
        <v>-584.25</v>
      </c>
      <c r="E27" s="2">
        <v>-332.5</v>
      </c>
      <c r="F27" s="2">
        <v>-142.34</v>
      </c>
      <c r="G27" s="2">
        <v>-107.98</v>
      </c>
      <c r="H27" s="2">
        <v>-213.33</v>
      </c>
      <c r="I27" s="2">
        <v>-38.32</v>
      </c>
      <c r="J27" s="2">
        <v>0</v>
      </c>
    </row>
    <row r="28" spans="1:10" x14ac:dyDescent="0.3">
      <c r="A28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3">
      <c r="A29" t="s">
        <v>43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3">
      <c r="A30" t="s">
        <v>44</v>
      </c>
      <c r="B30" s="2">
        <v>-70729.87</v>
      </c>
      <c r="C30" s="2">
        <v>-769.52</v>
      </c>
      <c r="D30" s="2">
        <v>-3944.47</v>
      </c>
      <c r="E30" s="2">
        <v>-12411.6</v>
      </c>
      <c r="F30" s="2">
        <v>-15002.99</v>
      </c>
      <c r="G30" s="2">
        <v>-22559.360000000001</v>
      </c>
      <c r="H30" s="2">
        <v>-3225.14</v>
      </c>
      <c r="I30" s="2">
        <v>-11086.3</v>
      </c>
      <c r="J30" s="2">
        <v>-1670.99</v>
      </c>
    </row>
    <row r="31" spans="1:10" x14ac:dyDescent="0.3">
      <c r="A31" t="s">
        <v>45</v>
      </c>
      <c r="B31" s="2">
        <v>-282930.08</v>
      </c>
      <c r="C31" s="2">
        <v>-16438.27</v>
      </c>
      <c r="D31" s="2">
        <v>-18528.54</v>
      </c>
      <c r="E31" s="2">
        <v>-56569.91</v>
      </c>
      <c r="F31" s="2">
        <v>-67590.75</v>
      </c>
      <c r="G31" s="2">
        <v>-47535.76</v>
      </c>
      <c r="H31" s="2">
        <v>-14157.69</v>
      </c>
      <c r="I31" s="2">
        <v>-40451.769999999997</v>
      </c>
      <c r="J31" s="2">
        <v>-21597.89</v>
      </c>
    </row>
    <row r="32" spans="1:10" x14ac:dyDescent="0.3">
      <c r="A32" s="3" t="s">
        <v>46</v>
      </c>
      <c r="B32" s="4">
        <v>67669.460000000006</v>
      </c>
      <c r="C32" s="4">
        <v>-16504.37</v>
      </c>
      <c r="D32" s="4">
        <v>3983.92</v>
      </c>
      <c r="E32" s="4">
        <v>27161.040000000001</v>
      </c>
      <c r="F32" s="4">
        <v>-1498.7</v>
      </c>
      <c r="G32" s="4">
        <v>34451.53</v>
      </c>
      <c r="H32" s="4">
        <v>-3787.47</v>
      </c>
      <c r="I32" s="4">
        <v>23897.95</v>
      </c>
      <c r="J32" s="4">
        <v>25.06</v>
      </c>
    </row>
    <row r="33" spans="1:10" x14ac:dyDescent="0.3">
      <c r="A33" t="s">
        <v>47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3">
      <c r="A34" t="s">
        <v>48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3">
      <c r="A35" t="s">
        <v>49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3">
      <c r="A36" t="s">
        <v>50</v>
      </c>
      <c r="B36" s="2">
        <v>5.19</v>
      </c>
      <c r="C36" s="2">
        <v>0</v>
      </c>
      <c r="D36" s="2">
        <v>5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0.19</v>
      </c>
    </row>
    <row r="37" spans="1:10" x14ac:dyDescent="0.3">
      <c r="A37" t="s">
        <v>51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3">
      <c r="A38" t="s">
        <v>52</v>
      </c>
      <c r="B38" s="2">
        <v>5.19</v>
      </c>
      <c r="C38" s="2">
        <v>0</v>
      </c>
      <c r="D38" s="2">
        <v>5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0.19</v>
      </c>
    </row>
    <row r="39" spans="1:10" x14ac:dyDescent="0.3">
      <c r="A39" t="s">
        <v>53</v>
      </c>
      <c r="B39" s="2">
        <v>-10630.1</v>
      </c>
      <c r="C39" s="2">
        <v>-118.36</v>
      </c>
      <c r="D39" s="2">
        <v>-1200.5</v>
      </c>
      <c r="E39" s="2">
        <v>-1001.33</v>
      </c>
      <c r="F39" s="2">
        <v>-5053.83</v>
      </c>
      <c r="G39" s="2">
        <v>-275.04000000000002</v>
      </c>
      <c r="H39" s="2">
        <v>-29.23</v>
      </c>
      <c r="I39" s="2">
        <v>-2951.81</v>
      </c>
      <c r="J39" s="2">
        <v>0</v>
      </c>
    </row>
    <row r="40" spans="1:10" x14ac:dyDescent="0.3">
      <c r="A40" t="s">
        <v>54</v>
      </c>
      <c r="B40" s="2">
        <v>57044.55</v>
      </c>
      <c r="C40" s="2">
        <v>-16622.73</v>
      </c>
      <c r="D40" s="2">
        <v>2788.42</v>
      </c>
      <c r="E40" s="2">
        <v>26159.71</v>
      </c>
      <c r="F40" s="2">
        <v>-6552.53</v>
      </c>
      <c r="G40" s="2">
        <v>34176.49</v>
      </c>
      <c r="H40" s="2">
        <v>-3816.7</v>
      </c>
      <c r="I40" s="2">
        <v>20946.14</v>
      </c>
      <c r="J40" s="2">
        <v>25.25</v>
      </c>
    </row>
    <row r="41" spans="1:10" x14ac:dyDescent="0.3">
      <c r="A41" t="s">
        <v>55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3">
      <c r="A42" t="s">
        <v>56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3">
      <c r="A43" t="s">
        <v>57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Oriol Puig - CAL BLAY</cp:lastModifiedBy>
  <cp:revision/>
  <dcterms:created xsi:type="dcterms:W3CDTF">2026-04-21T16:31:31Z</dcterms:created>
  <dcterms:modified xsi:type="dcterms:W3CDTF">2026-06-01T19:54:39Z</dcterms:modified>
  <cp:category/>
  <cp:contentStatus/>
</cp:coreProperties>
</file>