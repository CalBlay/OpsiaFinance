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2" documentId="13_ncr:1_{0A255919-8422-49C0-BF93-5B70D975434B}" xr6:coauthVersionLast="47" xr6:coauthVersionMax="47" xr10:uidLastSave="{6F267B0D-FDC1-4DCE-A8E0-C917885EE069}"/>
  <bookViews>
    <workbookView minimized="1" xWindow="2040" yWindow="4515" windowWidth="17280" windowHeight="89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G7" i="1"/>
  <c r="H7" i="1"/>
  <c r="I7" i="1"/>
  <c r="J7" i="1"/>
  <c r="K7" i="1"/>
  <c r="L7" i="1"/>
  <c r="M7" i="1"/>
  <c r="N7" i="1"/>
  <c r="O7" i="1"/>
  <c r="D7" i="1"/>
  <c r="E14" i="1"/>
  <c r="D14" i="1" s="1"/>
  <c r="D15" i="1"/>
  <c r="D16" i="1"/>
  <c r="D17" i="1"/>
  <c r="D12" i="1"/>
  <c r="D10" i="1"/>
  <c r="D18" i="1" l="1"/>
</calcChain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<sst xmlns="http://schemas.openxmlformats.org/spreadsheetml/2006/main" count="59" uniqueCount="59">
  <si>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</si>
  <si>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</si>
  <si>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</si>
  <si>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</si>
  <si>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</si>
  <si>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</si>
  <si>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</si>
  <si>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</si>
  <si>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</si>
  <si>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</si>
  <si>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</si>
  <si>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</si>
  <si>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CCR00008</t>
  </si>
  <si>
    <t>CCR00009</t>
  </si>
  <si>
    <t>CCR00010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</si>
  <si>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</si>
  <si>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</si>
  <si>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</si>
  <si>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</si>
  <si>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</si>
  <si>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</si>
  <si>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</si>
  <si>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</si>
  <si>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</si>
  <si>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</si>
  <si>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</si>
  <si>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</si>
  <si>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</si>
  <si>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</si>
  <si>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</si>
  <si>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</si>
  <si>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</si>
  <si>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</si>
  <si>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</si>
  <si>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</si>
  <si>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</si>
  <si>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</si>
  <si>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</si>
  <si>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</si>
  <si>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</si>
  <si>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DESPESSES</t>
  </si>
  <si>
    <t>.   ALTRES TRIBUTS</t>
  </si>
  <si>
    <t>.   DOTACIO PER INSOLVENICA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</si>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</sst>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workbookViewId="0">
      <selection activeCell="N7" sqref="N7"/>
    </sheetView>
  </sheetViews>
  <sheetFormatPr defaultRowHeight="15"/>
  <cols>
    <col min="3" max="3" width="19.28515625" customWidth="1"/>
    <col min="13" max="13" width="16" customWidth="1"/>
    <col min="14" max="14" width="1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</v>
      </c>
      <c r="C2" t="s">
        <v>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>
        <v>2</v>
      </c>
      <c r="B3">
        <v>2</v>
      </c>
      <c r="C3" t="s">
        <v>16</v>
      </c>
      <c r="D3">
        <v>506474.11</v>
      </c>
      <c r="E3">
        <v>0</v>
      </c>
      <c r="F3">
        <v>31834.3</v>
      </c>
      <c r="G3">
        <v>102376.95</v>
      </c>
      <c r="H3">
        <v>169254.18</v>
      </c>
      <c r="I3">
        <v>59351.74</v>
      </c>
      <c r="J3">
        <v>15796.69</v>
      </c>
      <c r="K3">
        <v>85312.69</v>
      </c>
      <c r="L3">
        <v>29188.81</v>
      </c>
      <c r="M3">
        <v>6270.74</v>
      </c>
      <c r="N3">
        <v>7088.01</v>
      </c>
      <c r="O3">
        <v>0</v>
      </c>
    </row>
    <row r="4" spans="1:15">
      <c r="A4">
        <v>3</v>
      </c>
      <c r="B4">
        <v>3</v>
      </c>
      <c r="C4" t="s">
        <v>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4</v>
      </c>
      <c r="B5">
        <v>4</v>
      </c>
      <c r="C5" t="s">
        <v>18</v>
      </c>
      <c r="D5">
        <v>4617.95</v>
      </c>
      <c r="E5">
        <v>0</v>
      </c>
      <c r="F5">
        <v>0</v>
      </c>
      <c r="G5">
        <v>0</v>
      </c>
      <c r="H5">
        <v>317.95</v>
      </c>
      <c r="I5">
        <v>0</v>
      </c>
      <c r="J5">
        <v>0</v>
      </c>
      <c r="K5">
        <v>0</v>
      </c>
      <c r="L5">
        <v>4300</v>
      </c>
      <c r="M5">
        <v>0</v>
      </c>
      <c r="N5">
        <v>0</v>
      </c>
      <c r="O5">
        <v>0</v>
      </c>
    </row>
    <row r="6" spans="1:15">
      <c r="A6">
        <v>5</v>
      </c>
      <c r="B6">
        <v>5</v>
      </c>
      <c r="C6" t="s">
        <v>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6</v>
      </c>
      <c r="B7">
        <v>6</v>
      </c>
      <c r="C7" t="s">
        <v>20</v>
      </c>
      <c r="D7">
        <f>SUM(D3:D6)</f>
        <v>511092.06</v>
      </c>
      <c r="E7">
        <f t="shared" ref="E7:O7" si="0">SUM(E3:E6)</f>
        <v>0</v>
      </c>
      <c r="F7">
        <f t="shared" si="0"/>
        <v>31834.3</v>
      </c>
      <c r="G7">
        <f t="shared" si="0"/>
        <v>102376.95</v>
      </c>
      <c r="H7">
        <f t="shared" si="0"/>
        <v>169572.13</v>
      </c>
      <c r="I7">
        <f t="shared" si="0"/>
        <v>59351.74</v>
      </c>
      <c r="J7">
        <f t="shared" si="0"/>
        <v>15796.69</v>
      </c>
      <c r="K7">
        <f t="shared" si="0"/>
        <v>85312.69</v>
      </c>
      <c r="L7">
        <f t="shared" si="0"/>
        <v>33488.81</v>
      </c>
      <c r="M7">
        <f t="shared" si="0"/>
        <v>6270.74</v>
      </c>
      <c r="N7">
        <f t="shared" si="0"/>
        <v>7088.01</v>
      </c>
      <c r="O7">
        <f t="shared" si="0"/>
        <v>0</v>
      </c>
    </row>
    <row r="8" spans="1:15">
      <c r="A8">
        <v>7</v>
      </c>
      <c r="B8">
        <v>7</v>
      </c>
      <c r="C8" t="s">
        <v>21</v>
      </c>
      <c r="D8">
        <v>-107697.97</v>
      </c>
      <c r="E8">
        <v>0</v>
      </c>
      <c r="F8">
        <v>-7350.23</v>
      </c>
      <c r="G8">
        <v>-21595.69</v>
      </c>
      <c r="H8">
        <v>-35012.49</v>
      </c>
      <c r="I8">
        <v>-12274.76</v>
      </c>
      <c r="J8">
        <v>-4005.22</v>
      </c>
      <c r="K8">
        <v>-17635.68</v>
      </c>
      <c r="L8">
        <v>-3364.21</v>
      </c>
      <c r="M8">
        <v>-4382.9799999999996</v>
      </c>
      <c r="N8">
        <v>-2076.71</v>
      </c>
      <c r="O8">
        <v>0</v>
      </c>
    </row>
    <row r="9" spans="1:15">
      <c r="A9">
        <v>8</v>
      </c>
      <c r="B9">
        <v>8</v>
      </c>
      <c r="C9" t="s">
        <v>22</v>
      </c>
      <c r="D9">
        <v>-9714.68</v>
      </c>
      <c r="E9">
        <v>0</v>
      </c>
      <c r="F9">
        <v>-428.48</v>
      </c>
      <c r="G9">
        <v>-1249.72</v>
      </c>
      <c r="H9">
        <v>-4131.58</v>
      </c>
      <c r="I9">
        <v>-430.24</v>
      </c>
      <c r="J9">
        <v>-250.41</v>
      </c>
      <c r="K9">
        <v>-2360.63</v>
      </c>
      <c r="L9">
        <v>-19.75</v>
      </c>
      <c r="M9">
        <v>-103.18</v>
      </c>
      <c r="N9">
        <v>-740.69</v>
      </c>
      <c r="O9">
        <v>0</v>
      </c>
    </row>
    <row r="10" spans="1:15">
      <c r="A10">
        <v>9</v>
      </c>
      <c r="B10">
        <v>9</v>
      </c>
      <c r="C10" t="s">
        <v>23</v>
      </c>
      <c r="D10">
        <f>SUM(F10:N10)</f>
        <v>-44225.179999999993</v>
      </c>
      <c r="E10">
        <v>0</v>
      </c>
      <c r="F10">
        <v>-4779.68</v>
      </c>
      <c r="G10">
        <v>-7684.51</v>
      </c>
      <c r="H10">
        <v>-12619.85</v>
      </c>
      <c r="I10">
        <v>-3710.12</v>
      </c>
      <c r="J10">
        <v>-2797.37</v>
      </c>
      <c r="K10">
        <v>-5231</v>
      </c>
      <c r="L10">
        <v>-1730.92</v>
      </c>
      <c r="M10">
        <v>0</v>
      </c>
      <c r="N10">
        <v>-5671.73</v>
      </c>
      <c r="O10">
        <v>0</v>
      </c>
    </row>
    <row r="11" spans="1:15">
      <c r="A11">
        <v>10</v>
      </c>
      <c r="B11">
        <v>10</v>
      </c>
      <c r="C11" t="s">
        <v>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>
        <v>11</v>
      </c>
      <c r="B12">
        <v>11</v>
      </c>
      <c r="C12" t="s">
        <v>25</v>
      </c>
      <c r="D12">
        <f>SUM(D8:D11)</f>
        <v>-161637.82999999999</v>
      </c>
      <c r="E12">
        <v>0</v>
      </c>
      <c r="F12">
        <v>-7778.71</v>
      </c>
      <c r="G12">
        <v>-22845.41</v>
      </c>
      <c r="H12">
        <v>-39144.07</v>
      </c>
      <c r="I12">
        <v>-12705</v>
      </c>
      <c r="J12">
        <v>-4255.63</v>
      </c>
      <c r="K12">
        <v>-19996.310000000001</v>
      </c>
      <c r="L12">
        <v>-3383.96</v>
      </c>
      <c r="M12">
        <v>-4486.16</v>
      </c>
      <c r="N12">
        <v>-2817.4</v>
      </c>
      <c r="O12">
        <v>0</v>
      </c>
    </row>
    <row r="13" spans="1:15">
      <c r="A13">
        <v>12</v>
      </c>
      <c r="B13">
        <v>12</v>
      </c>
      <c r="C13" t="s">
        <v>26</v>
      </c>
      <c r="D13">
        <v>393679.41</v>
      </c>
      <c r="E13">
        <v>0</v>
      </c>
      <c r="F13">
        <v>24055.59</v>
      </c>
      <c r="G13">
        <v>79531.539999999994</v>
      </c>
      <c r="H13">
        <v>130428.06</v>
      </c>
      <c r="I13">
        <v>46646.74</v>
      </c>
      <c r="J13">
        <v>11541.06</v>
      </c>
      <c r="K13">
        <v>65316.38</v>
      </c>
      <c r="L13">
        <v>30104.85</v>
      </c>
      <c r="M13">
        <v>1784.58</v>
      </c>
      <c r="N13">
        <v>4270.6099999999997</v>
      </c>
      <c r="O13">
        <v>0</v>
      </c>
    </row>
    <row r="14" spans="1:15">
      <c r="A14">
        <v>13</v>
      </c>
      <c r="B14">
        <v>13</v>
      </c>
      <c r="C14" t="s">
        <v>27</v>
      </c>
      <c r="D14">
        <f>SUM(E14:N14)</f>
        <v>-194798.39</v>
      </c>
      <c r="E14">
        <f>-18794.11</f>
        <v>-18794.11</v>
      </c>
      <c r="F14">
        <v>-12492.05</v>
      </c>
      <c r="G14">
        <v>-39826.449999999997</v>
      </c>
      <c r="H14">
        <v>-44156.55</v>
      </c>
      <c r="I14">
        <v>-26803.200000000001</v>
      </c>
      <c r="J14">
        <v>-7318.79</v>
      </c>
      <c r="K14">
        <v>-24962.27</v>
      </c>
      <c r="L14">
        <v>-12888.19</v>
      </c>
      <c r="M14">
        <v>0</v>
      </c>
      <c r="N14">
        <v>-7556.78</v>
      </c>
      <c r="O14">
        <v>0</v>
      </c>
    </row>
    <row r="15" spans="1:15">
      <c r="A15">
        <v>14</v>
      </c>
      <c r="B15">
        <v>14</v>
      </c>
      <c r="C15" t="s">
        <v>28</v>
      </c>
      <c r="D15">
        <f t="shared" ref="D15:D17" si="1">SUM(E15:N15)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15</v>
      </c>
      <c r="B16">
        <v>15</v>
      </c>
      <c r="C16" t="s">
        <v>29</v>
      </c>
      <c r="D16">
        <f t="shared" si="1"/>
        <v>-56193.149999999994</v>
      </c>
      <c r="E16">
        <v>-6044.82</v>
      </c>
      <c r="F16">
        <v>-4127.9399999999996</v>
      </c>
      <c r="G16">
        <v>-10500.35</v>
      </c>
      <c r="H16">
        <v>-13996.07</v>
      </c>
      <c r="I16">
        <v>-6490.35</v>
      </c>
      <c r="J16">
        <v>-2261.41</v>
      </c>
      <c r="K16">
        <v>-7715.84</v>
      </c>
      <c r="L16">
        <v>-2722.81</v>
      </c>
      <c r="M16">
        <v>0</v>
      </c>
      <c r="N16">
        <v>-2333.56</v>
      </c>
      <c r="O16">
        <v>0</v>
      </c>
    </row>
    <row r="17" spans="1:15">
      <c r="A17">
        <v>16</v>
      </c>
      <c r="B17">
        <v>16</v>
      </c>
      <c r="C17" t="s">
        <v>30</v>
      </c>
      <c r="D17">
        <f t="shared" si="1"/>
        <v>-1524.85</v>
      </c>
      <c r="E17">
        <v>0</v>
      </c>
      <c r="F17">
        <v>0</v>
      </c>
      <c r="G17">
        <v>-1.4</v>
      </c>
      <c r="H17">
        <v>-19.899999999999999</v>
      </c>
      <c r="I17">
        <v>-787.69</v>
      </c>
      <c r="J17">
        <v>-414.2</v>
      </c>
      <c r="K17">
        <v>0</v>
      </c>
      <c r="L17">
        <v>-262.3</v>
      </c>
      <c r="M17">
        <v>0</v>
      </c>
      <c r="N17">
        <v>-39.36</v>
      </c>
      <c r="O17">
        <v>0</v>
      </c>
    </row>
    <row r="18" spans="1:15">
      <c r="A18">
        <v>17</v>
      </c>
      <c r="B18">
        <v>17</v>
      </c>
      <c r="C18" t="s">
        <v>31</v>
      </c>
      <c r="D18">
        <f>SUM(D14:D17)</f>
        <v>-252516.39</v>
      </c>
      <c r="E18">
        <v>-24838.93</v>
      </c>
      <c r="F18">
        <v>-16619.990000000002</v>
      </c>
      <c r="G18">
        <v>-50328.2</v>
      </c>
      <c r="H18">
        <v>-58172.52</v>
      </c>
      <c r="I18">
        <v>-34081.24</v>
      </c>
      <c r="J18">
        <v>-9994.4</v>
      </c>
      <c r="K18">
        <v>-32678.11</v>
      </c>
      <c r="L18">
        <v>-15873.3</v>
      </c>
      <c r="M18">
        <v>0</v>
      </c>
      <c r="N18">
        <v>-9929.7000000000007</v>
      </c>
      <c r="O18">
        <v>0</v>
      </c>
    </row>
    <row r="19" spans="1:15">
      <c r="A19">
        <v>18</v>
      </c>
      <c r="B19">
        <v>18</v>
      </c>
      <c r="C19" t="s">
        <v>32</v>
      </c>
      <c r="D19">
        <v>-23685.47</v>
      </c>
      <c r="E19">
        <v>0</v>
      </c>
      <c r="F19">
        <v>-159.65</v>
      </c>
      <c r="G19">
        <v>-4738.26</v>
      </c>
      <c r="H19">
        <v>-267.58</v>
      </c>
      <c r="I19">
        <v>-11681.85</v>
      </c>
      <c r="J19">
        <v>-1030</v>
      </c>
      <c r="K19">
        <v>-4108.13</v>
      </c>
      <c r="L19">
        <v>0</v>
      </c>
      <c r="M19">
        <v>0</v>
      </c>
      <c r="N19">
        <v>-1700</v>
      </c>
      <c r="O19">
        <v>0</v>
      </c>
    </row>
    <row r="20" spans="1:15">
      <c r="A20">
        <v>19</v>
      </c>
      <c r="B20">
        <v>19</v>
      </c>
      <c r="C20" t="s">
        <v>33</v>
      </c>
      <c r="D20">
        <v>-13228.18</v>
      </c>
      <c r="E20">
        <v>-317.64999999999998</v>
      </c>
      <c r="F20">
        <v>-569.95000000000005</v>
      </c>
      <c r="G20">
        <v>-1001.76</v>
      </c>
      <c r="H20">
        <v>-4288.2299999999996</v>
      </c>
      <c r="I20">
        <v>-694.35</v>
      </c>
      <c r="J20">
        <v>-304.25</v>
      </c>
      <c r="K20">
        <v>-2868.75</v>
      </c>
      <c r="L20">
        <v>-269.39999999999998</v>
      </c>
      <c r="M20">
        <v>0</v>
      </c>
      <c r="N20">
        <v>-1979.33</v>
      </c>
      <c r="O20">
        <v>-934.51</v>
      </c>
    </row>
    <row r="21" spans="1:15">
      <c r="A21">
        <v>20</v>
      </c>
      <c r="B21">
        <v>20</v>
      </c>
      <c r="C21" t="s">
        <v>34</v>
      </c>
      <c r="D21">
        <v>-1783.12</v>
      </c>
      <c r="E21">
        <v>0</v>
      </c>
      <c r="F21">
        <v>-262.88</v>
      </c>
      <c r="G21">
        <v>-664.64</v>
      </c>
      <c r="H21">
        <v>-260.39999999999998</v>
      </c>
      <c r="I21">
        <v>-62</v>
      </c>
      <c r="J21">
        <v>-161.19999999999999</v>
      </c>
      <c r="K21">
        <v>-295.12</v>
      </c>
      <c r="L21">
        <v>-76.88</v>
      </c>
      <c r="M21">
        <v>0</v>
      </c>
      <c r="N21">
        <v>0</v>
      </c>
      <c r="O21">
        <v>0</v>
      </c>
    </row>
    <row r="22" spans="1:15">
      <c r="A22">
        <v>21</v>
      </c>
      <c r="B22">
        <v>21</v>
      </c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>
        <v>22</v>
      </c>
      <c r="B23">
        <v>22</v>
      </c>
      <c r="C23" t="s">
        <v>36</v>
      </c>
      <c r="D23">
        <v>-1339.87</v>
      </c>
      <c r="E23">
        <v>0</v>
      </c>
      <c r="F23">
        <v>-420.33</v>
      </c>
      <c r="G23">
        <v>-146.9</v>
      </c>
      <c r="H23">
        <v>-358.37</v>
      </c>
      <c r="I23">
        <v>-43.33</v>
      </c>
      <c r="J23">
        <v>-95.77</v>
      </c>
      <c r="K23">
        <v>-275.17</v>
      </c>
      <c r="L23">
        <v>0</v>
      </c>
      <c r="M23">
        <v>0</v>
      </c>
      <c r="N23">
        <v>0</v>
      </c>
      <c r="O23">
        <v>0</v>
      </c>
    </row>
    <row r="24" spans="1:15">
      <c r="A24">
        <v>23</v>
      </c>
      <c r="B24">
        <v>23</v>
      </c>
      <c r="C24" t="s">
        <v>37</v>
      </c>
      <c r="D24">
        <v>-2061.46</v>
      </c>
      <c r="E24">
        <v>-25.42</v>
      </c>
      <c r="F24">
        <v>-94.72</v>
      </c>
      <c r="G24">
        <v>-338.71</v>
      </c>
      <c r="H24">
        <v>-507.76</v>
      </c>
      <c r="I24">
        <v>-586.04999999999995</v>
      </c>
      <c r="J24">
        <v>-66.569999999999993</v>
      </c>
      <c r="K24">
        <v>-303.47000000000003</v>
      </c>
      <c r="L24">
        <v>-90.41</v>
      </c>
      <c r="M24">
        <v>0</v>
      </c>
      <c r="N24">
        <v>-48.35</v>
      </c>
      <c r="O24">
        <v>0</v>
      </c>
    </row>
    <row r="25" spans="1:15">
      <c r="A25">
        <v>24</v>
      </c>
      <c r="B25">
        <v>24</v>
      </c>
      <c r="C25" t="s">
        <v>38</v>
      </c>
      <c r="D25">
        <v>-1622.22</v>
      </c>
      <c r="E25">
        <v>0</v>
      </c>
      <c r="F25">
        <v>0</v>
      </c>
      <c r="G25">
        <v>-112.64</v>
      </c>
      <c r="H25">
        <v>-35</v>
      </c>
      <c r="I25">
        <v>0</v>
      </c>
      <c r="J25">
        <v>0</v>
      </c>
      <c r="K25">
        <v>-99.17</v>
      </c>
      <c r="L25">
        <v>0</v>
      </c>
      <c r="M25">
        <v>0</v>
      </c>
      <c r="N25">
        <v>-143.41</v>
      </c>
      <c r="O25">
        <v>-1232</v>
      </c>
    </row>
    <row r="26" spans="1:15">
      <c r="A26">
        <v>25</v>
      </c>
      <c r="B26">
        <v>25</v>
      </c>
      <c r="C26" t="s">
        <v>39</v>
      </c>
      <c r="D26">
        <v>-13991.5</v>
      </c>
      <c r="E26">
        <v>0</v>
      </c>
      <c r="F26">
        <v>-1900</v>
      </c>
      <c r="G26">
        <v>-3200</v>
      </c>
      <c r="H26">
        <v>-3427.78</v>
      </c>
      <c r="I26">
        <v>-1472.27</v>
      </c>
      <c r="J26">
        <v>-620.73</v>
      </c>
      <c r="K26">
        <v>-2300</v>
      </c>
      <c r="L26">
        <v>0</v>
      </c>
      <c r="M26">
        <v>0</v>
      </c>
      <c r="N26">
        <v>-1070.72</v>
      </c>
      <c r="O26">
        <v>0</v>
      </c>
    </row>
    <row r="27" spans="1:15">
      <c r="A27">
        <v>26</v>
      </c>
      <c r="B27">
        <v>26</v>
      </c>
      <c r="C27" t="s">
        <v>40</v>
      </c>
      <c r="D27">
        <v>-12315.89</v>
      </c>
      <c r="E27">
        <v>-500.5</v>
      </c>
      <c r="F27">
        <v>-259.08</v>
      </c>
      <c r="G27">
        <v>-1638.83</v>
      </c>
      <c r="H27">
        <v>-4062.93</v>
      </c>
      <c r="I27">
        <v>-1262.52</v>
      </c>
      <c r="J27">
        <v>0</v>
      </c>
      <c r="K27">
        <v>-456.53</v>
      </c>
      <c r="L27">
        <v>-124</v>
      </c>
      <c r="M27">
        <v>0</v>
      </c>
      <c r="N27">
        <v>-468.06</v>
      </c>
      <c r="O27">
        <v>-3543.44</v>
      </c>
    </row>
    <row r="28" spans="1:15">
      <c r="A28">
        <v>27</v>
      </c>
      <c r="B28">
        <v>27</v>
      </c>
      <c r="C28" t="s">
        <v>41</v>
      </c>
      <c r="D28">
        <v>-1613.09</v>
      </c>
      <c r="E28">
        <v>0</v>
      </c>
      <c r="F28">
        <v>-584.25</v>
      </c>
      <c r="G28">
        <v>-332.5</v>
      </c>
      <c r="H28">
        <v>-142.34</v>
      </c>
      <c r="I28">
        <v>-107.98</v>
      </c>
      <c r="J28">
        <v>-213.33</v>
      </c>
      <c r="K28">
        <v>-232.69</v>
      </c>
      <c r="L28">
        <v>0</v>
      </c>
      <c r="M28">
        <v>0</v>
      </c>
      <c r="N28">
        <v>0</v>
      </c>
      <c r="O28">
        <v>0</v>
      </c>
    </row>
    <row r="29" spans="1:15">
      <c r="A29">
        <v>28</v>
      </c>
      <c r="B29">
        <v>28</v>
      </c>
      <c r="C29" t="s">
        <v>42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29</v>
      </c>
      <c r="B30">
        <v>29</v>
      </c>
      <c r="C30" t="s">
        <v>43</v>
      </c>
      <c r="D30">
        <v>0</v>
      </c>
      <c r="E30">
        <v>-20000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30</v>
      </c>
      <c r="B31">
        <v>30</v>
      </c>
      <c r="C31" t="s">
        <v>44</v>
      </c>
      <c r="D31">
        <v>-71640.800000000003</v>
      </c>
      <c r="E31">
        <v>-843.57</v>
      </c>
      <c r="F31">
        <v>-4250.8599999999997</v>
      </c>
      <c r="G31">
        <v>-12174.24</v>
      </c>
      <c r="H31">
        <v>-13350.39</v>
      </c>
      <c r="I31">
        <v>-15910.35</v>
      </c>
      <c r="J31">
        <v>-2491.85</v>
      </c>
      <c r="K31">
        <v>-10939.03</v>
      </c>
      <c r="L31">
        <v>-560.69000000000005</v>
      </c>
      <c r="M31">
        <v>0</v>
      </c>
      <c r="N31">
        <v>-5409.87</v>
      </c>
      <c r="O31">
        <v>-5709.95</v>
      </c>
    </row>
    <row r="32" spans="1:15">
      <c r="A32">
        <v>31</v>
      </c>
      <c r="B32">
        <v>31</v>
      </c>
      <c r="C32" t="s">
        <v>45</v>
      </c>
      <c r="D32">
        <v>-324157.19</v>
      </c>
      <c r="E32">
        <v>-25682.5</v>
      </c>
      <c r="F32">
        <v>-20870.849999999999</v>
      </c>
      <c r="G32">
        <v>-62502.44</v>
      </c>
      <c r="H32">
        <v>-71522.91</v>
      </c>
      <c r="I32">
        <v>-49991.59</v>
      </c>
      <c r="J32">
        <v>-12486.25</v>
      </c>
      <c r="K32">
        <v>-43617.14</v>
      </c>
      <c r="L32">
        <v>-16433.990000000002</v>
      </c>
      <c r="M32">
        <v>0</v>
      </c>
      <c r="N32">
        <v>-15339.57</v>
      </c>
      <c r="O32">
        <v>-5709.95</v>
      </c>
    </row>
    <row r="33" spans="1:15">
      <c r="A33">
        <v>32</v>
      </c>
      <c r="B33">
        <v>32</v>
      </c>
      <c r="C33" t="s">
        <v>46</v>
      </c>
      <c r="D33">
        <v>69522.22</v>
      </c>
      <c r="E33">
        <v>-25682.5</v>
      </c>
      <c r="F33">
        <v>3184.74</v>
      </c>
      <c r="G33">
        <v>17029.099999999999</v>
      </c>
      <c r="H33">
        <v>58905.15</v>
      </c>
      <c r="I33">
        <v>-3344.85</v>
      </c>
      <c r="J33">
        <v>-945.19</v>
      </c>
      <c r="K33">
        <v>21699.24</v>
      </c>
      <c r="L33">
        <v>13670.86</v>
      </c>
      <c r="M33">
        <v>1784.58</v>
      </c>
      <c r="N33">
        <v>-11068.96</v>
      </c>
      <c r="O33">
        <v>-5709.95</v>
      </c>
    </row>
    <row r="34" spans="1:15">
      <c r="A34">
        <v>33</v>
      </c>
      <c r="B34">
        <v>33</v>
      </c>
      <c r="C34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>
        <v>34</v>
      </c>
      <c r="B35">
        <v>34</v>
      </c>
      <c r="C35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35</v>
      </c>
      <c r="B36">
        <v>35</v>
      </c>
      <c r="C36" t="s">
        <v>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36</v>
      </c>
      <c r="B37">
        <v>36</v>
      </c>
      <c r="C37" t="s">
        <v>50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>
        <v>37</v>
      </c>
      <c r="B38">
        <v>37</v>
      </c>
      <c r="C38" t="s">
        <v>51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>
        <v>38</v>
      </c>
      <c r="B39">
        <v>38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>
        <v>39</v>
      </c>
      <c r="B40">
        <v>39</v>
      </c>
      <c r="C40" t="s">
        <v>53</v>
      </c>
      <c r="D40">
        <v>-11093.65</v>
      </c>
      <c r="E40">
        <v>-142.82</v>
      </c>
      <c r="F40">
        <v>-1283.71</v>
      </c>
      <c r="G40">
        <v>-975.31</v>
      </c>
      <c r="H40">
        <v>-5252.79</v>
      </c>
      <c r="I40">
        <v>-274.08</v>
      </c>
      <c r="J40">
        <v>-99.99</v>
      </c>
      <c r="K40">
        <v>-3063.65</v>
      </c>
      <c r="L40">
        <v>0</v>
      </c>
      <c r="M40">
        <v>0</v>
      </c>
      <c r="N40">
        <v>0</v>
      </c>
      <c r="O40">
        <v>-1.3</v>
      </c>
    </row>
    <row r="41" spans="1:15">
      <c r="A41">
        <v>40</v>
      </c>
      <c r="B41">
        <v>40</v>
      </c>
      <c r="C41" t="s">
        <v>54</v>
      </c>
      <c r="D41">
        <v>58428.57</v>
      </c>
      <c r="E41">
        <v>-25825.32</v>
      </c>
      <c r="F41">
        <v>1901.03</v>
      </c>
      <c r="G41">
        <v>16053.79</v>
      </c>
      <c r="H41">
        <v>53652.36</v>
      </c>
      <c r="I41">
        <v>-3618.93</v>
      </c>
      <c r="J41">
        <v>-1045.18</v>
      </c>
      <c r="K41">
        <v>18635.59</v>
      </c>
      <c r="L41">
        <v>13670.86</v>
      </c>
      <c r="M41">
        <v>1784.58</v>
      </c>
      <c r="N41">
        <v>-11068.96</v>
      </c>
      <c r="O41">
        <v>-5711.25</v>
      </c>
    </row>
    <row r="42" spans="1:15">
      <c r="A42">
        <v>41</v>
      </c>
      <c r="B42">
        <v>41</v>
      </c>
      <c r="C42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>
        <v>42</v>
      </c>
      <c r="B43">
        <v>42</v>
      </c>
      <c r="C43" t="s">
        <v>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43</v>
      </c>
      <c r="B44">
        <v>43</v>
      </c>
      <c r="C44" t="s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>
        <v>44</v>
      </c>
      <c r="B45">
        <v>999</v>
      </c>
      <c r="C45" t="s">
        <v>58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Roman Gómez - CAL BLAY</cp:lastModifiedBy>
  <cp:revision/>
  <dcterms:created xsi:type="dcterms:W3CDTF">2026-04-23T16:30:59Z</dcterms:created>
  <dcterms:modified xsi:type="dcterms:W3CDTF">2026-04-23T16:30:59Z</dcterms:modified>
  <cp:category/>
  <cp:contentStatus/>
</cp:coreProperties>
</file>