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8" documentId="13_ncr:1_{E9F18220-CD81-4D53-AF0A-FE51A01364E4}" xr6:coauthVersionLast="47" xr6:coauthVersionMax="47" xr10:uidLastSave="{BBB55191-C2CE-4D62-A091-A6A6CDC307BC}"/>
  <bookViews>
    <workbookView xWindow="22932" yWindow="-108" windowWidth="23256" windowHeight="12456" xr2:uid="{00000000-000D-0000-FFFF-FFFF00000000}"/>
  </bookViews>
  <sheets>
    <sheet name="Sheet1" sheetId="1" r:id="rId1"/>
    <sheet name="Consums Inter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K13" i="2"/>
  <c r="J13" i="2"/>
  <c r="I13" i="2"/>
  <c r="H13" i="2"/>
  <c r="G13" i="2"/>
  <c r="F13" i="2"/>
  <c r="E13" i="2"/>
  <c r="D13" i="2"/>
  <c r="C13" i="2"/>
  <c r="B13" i="2"/>
  <c r="E31" i="1"/>
  <c r="F31" i="1"/>
  <c r="G31" i="1"/>
  <c r="H31" i="1"/>
  <c r="I31" i="1"/>
  <c r="J31" i="1"/>
  <c r="K31" i="1"/>
  <c r="L31" i="1"/>
  <c r="M31" i="1"/>
  <c r="N31" i="1"/>
  <c r="D20" i="1"/>
  <c r="D21" i="1"/>
  <c r="D22" i="1"/>
  <c r="D23" i="1"/>
  <c r="D24" i="1"/>
  <c r="D25" i="1"/>
  <c r="D26" i="1"/>
  <c r="D27" i="1"/>
  <c r="D28" i="1"/>
  <c r="D29" i="1"/>
  <c r="D30" i="1"/>
  <c r="D19" i="1"/>
  <c r="D4" i="1"/>
  <c r="D5" i="1"/>
  <c r="D6" i="1"/>
  <c r="F14" i="1"/>
  <c r="G14" i="1"/>
  <c r="K14" i="1"/>
  <c r="H14" i="1"/>
  <c r="L14" i="1"/>
  <c r="I14" i="1"/>
  <c r="M14" i="1"/>
  <c r="D31" i="1" l="1"/>
  <c r="J14" i="1"/>
  <c r="N14" i="1"/>
  <c r="F18" i="1"/>
  <c r="G18" i="1"/>
  <c r="H18" i="1"/>
  <c r="I18" i="1"/>
  <c r="J18" i="1"/>
  <c r="L18" i="1"/>
  <c r="M18" i="1"/>
  <c r="N18" i="1"/>
  <c r="E7" i="1"/>
  <c r="F7" i="1"/>
  <c r="F33" i="1" s="1"/>
  <c r="G7" i="1"/>
  <c r="G33" i="1" s="1"/>
  <c r="H7" i="1"/>
  <c r="H33" i="1" s="1"/>
  <c r="I7" i="1"/>
  <c r="I33" i="1" s="1"/>
  <c r="J7" i="1"/>
  <c r="K7" i="1"/>
  <c r="L7" i="1"/>
  <c r="M7" i="1"/>
  <c r="N7" i="1"/>
  <c r="F3" i="1"/>
  <c r="D3" i="1" s="1"/>
  <c r="D7" i="1" s="1"/>
  <c r="D15" i="1"/>
  <c r="D16" i="1"/>
  <c r="D17" i="1"/>
  <c r="E14" i="1"/>
  <c r="E18" i="1" s="1"/>
  <c r="D8" i="1"/>
  <c r="D9" i="1"/>
  <c r="D10" i="1"/>
  <c r="D11" i="1"/>
  <c r="E12" i="1"/>
  <c r="F12" i="1"/>
  <c r="G12" i="1"/>
  <c r="H12" i="1"/>
  <c r="I12" i="1"/>
  <c r="J12" i="1"/>
  <c r="K12" i="1"/>
  <c r="L12" i="1"/>
  <c r="M12" i="1"/>
  <c r="N12" i="1"/>
  <c r="E33" i="1" l="1"/>
  <c r="N33" i="1"/>
  <c r="M33" i="1"/>
  <c r="L33" i="1"/>
  <c r="J33" i="1"/>
  <c r="D14" i="1"/>
  <c r="D18" i="1" s="1"/>
  <c r="K18" i="1"/>
  <c r="K33" i="1" s="1"/>
  <c r="D12" i="1"/>
  <c r="D32" i="1" l="1"/>
  <c r="D33" i="1"/>
</calcChain>
</file>

<file path=xl/sharedStrings.xml><?xml version="1.0" encoding="utf-8"?>
<sst xmlns="http://schemas.openxmlformats.org/spreadsheetml/2006/main" count="69" uniqueCount="69">
  <si>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</si>
  <si>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</si>
  <si>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</si>
  <si>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</si>
  <si>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</si>
  <si>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</si>
  <si>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</si>
  <si>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</si>
  <si>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</si>
  <si>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</si>
  <si>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</si>
  <si>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</si>
  <si>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</si>
  <si>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</si>
  <si>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</si>
  <si>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</si>
  <si>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</si>
  <si>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</si>
  <si>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</si>
  <si>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</si>
  <si>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</si>
  <si>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</si>
  <si>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</si>
  <si>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</si>
  <si>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</si>
  <si>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</si>
  <si>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</si>
  <si>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</si>
  <si>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</si>
  <si>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</si>
  <si>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</si>
  <si>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</si>
  <si>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</si>
  <si>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</si>
  <si>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</si>
  <si>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</si>
  <si>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</si>
  <si>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</si>
  <si>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</si>
  <si>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</si>
  <si>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</si>
  <si>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</si>
  <si>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</si>
  <si>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</si>
  <si>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</si>
  <si>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</si>
  <si>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</si>
  <si>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Nom Proveïdor</t>
  </si>
  <si>
    <t>Total Base Imposable</t>
  </si>
  <si>
    <t>CB BASES</t>
  </si>
  <si>
    <t>CB BEGUDES</t>
  </si>
  <si>
    <t>CB CONGELAT</t>
  </si>
  <si>
    <t>CB EMBALATGE CUINA</t>
  </si>
  <si>
    <t>CB FRESC</t>
  </si>
  <si>
    <t>CB MATERIAL</t>
  </si>
  <si>
    <t>CB MATERIAL OFICINA</t>
  </si>
  <si>
    <t>CB NETEJA</t>
  </si>
  <si>
    <t>CB PRECUINATS CCEE</t>
  </si>
  <si>
    <t>CB SEC</t>
  </si>
  <si>
    <t>ORIGENS</t>
  </si>
  <si>
    <t xml:space="preserve"> NAUTIC</t>
  </si>
  <si>
    <t>LA MASIA</t>
  </si>
  <si>
    <t xml:space="preserve"> CAMP NOU</t>
  </si>
  <si>
    <t>TARRACO</t>
  </si>
  <si>
    <t>MIRADOR</t>
  </si>
  <si>
    <t xml:space="preserve"> JUNO HOUSE</t>
  </si>
  <si>
    <t>FDLC</t>
  </si>
  <si>
    <t xml:space="preserve"> PLURAL</t>
  </si>
  <si>
    <t>SOLIVER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</si>
</sst>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42" applyFont="1"/>
    <xf numFmtId="0" fontId="18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8" fillId="34" borderId="0" xfId="0" applyFont="1" applyFill="1" applyAlignment="1">
      <alignment horizontal="left" indent="1"/>
    </xf>
    <xf numFmtId="44" fontId="18" fillId="0" borderId="0" xfId="43" applyFont="1"/>
    <xf numFmtId="4" fontId="0" fillId="0" borderId="0" xfId="0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9" workbookViewId="0">
      <selection activeCell="E2" sqref="E2:E33"/>
    </sheetView>
  </sheetViews>
  <sheetFormatPr baseColWidth="10" defaultColWidth="11.42578125" defaultRowHeight="15" x14ac:dyDescent="0.25"/>
  <cols>
    <col min="3" max="3" width="39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 t="s">
        <v>15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>
        <v>0</v>
      </c>
    </row>
    <row r="3" spans="1:15" x14ac:dyDescent="0.25">
      <c r="A3">
        <v>2</v>
      </c>
      <c r="B3">
        <v>2</v>
      </c>
      <c r="C3" t="s">
        <v>16</v>
      </c>
      <c r="D3" s="1">
        <f t="shared" ref="D3:D6" si="0">SUM(E3:N3)</f>
        <v>584544.21</v>
      </c>
      <c r="E3" s="1">
        <v>0</v>
      </c>
      <c r="F3" s="1">
        <f>34715.3+1100</f>
        <v>35815.300000000003</v>
      </c>
      <c r="G3" s="1">
        <v>100069.21</v>
      </c>
      <c r="H3" s="1">
        <v>186639.53</v>
      </c>
      <c r="I3" s="1">
        <v>99746.34</v>
      </c>
      <c r="J3" s="1">
        <v>6572.48</v>
      </c>
      <c r="K3" s="1">
        <v>87466.44</v>
      </c>
      <c r="L3" s="1">
        <v>30063.06</v>
      </c>
      <c r="M3" s="1">
        <v>6486</v>
      </c>
      <c r="N3" s="1">
        <v>31685.85</v>
      </c>
      <c r="O3">
        <v>0</v>
      </c>
    </row>
    <row r="4" spans="1:15" x14ac:dyDescent="0.25">
      <c r="A4">
        <v>3</v>
      </c>
      <c r="B4">
        <v>3</v>
      </c>
      <c r="C4" t="s">
        <v>17</v>
      </c>
      <c r="D4" s="1">
        <f t="shared" si="0"/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>
        <v>0</v>
      </c>
    </row>
    <row r="5" spans="1:15" x14ac:dyDescent="0.25">
      <c r="A5">
        <v>4</v>
      </c>
      <c r="B5">
        <v>4</v>
      </c>
      <c r="C5" t="s">
        <v>18</v>
      </c>
      <c r="D5" s="1">
        <f t="shared" si="0"/>
        <v>4617.95</v>
      </c>
      <c r="E5" s="1">
        <v>0</v>
      </c>
      <c r="F5" s="1">
        <v>0</v>
      </c>
      <c r="G5" s="1">
        <v>0</v>
      </c>
      <c r="H5" s="1">
        <v>317.95</v>
      </c>
      <c r="I5" s="1">
        <v>0</v>
      </c>
      <c r="J5" s="1">
        <v>0</v>
      </c>
      <c r="K5" s="1">
        <v>0</v>
      </c>
      <c r="L5" s="1">
        <v>4300</v>
      </c>
      <c r="M5" s="1">
        <v>0</v>
      </c>
      <c r="N5" s="1">
        <v>0</v>
      </c>
      <c r="O5">
        <v>0</v>
      </c>
    </row>
    <row r="6" spans="1:15" x14ac:dyDescent="0.25">
      <c r="A6">
        <v>5</v>
      </c>
      <c r="B6">
        <v>5</v>
      </c>
      <c r="C6" t="s">
        <v>19</v>
      </c>
      <c r="D6" s="1">
        <f t="shared" si="0"/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>
        <v>0</v>
      </c>
    </row>
    <row r="7" spans="1:15" x14ac:dyDescent="0.25">
      <c r="A7">
        <v>6</v>
      </c>
      <c r="B7">
        <v>6</v>
      </c>
      <c r="C7" t="s">
        <v>20</v>
      </c>
      <c r="D7" s="1">
        <f>SUM(D3:D6)</f>
        <v>589162.15999999992</v>
      </c>
      <c r="E7" s="1">
        <f t="shared" ref="E7:N7" si="1">SUM(E3:E6)</f>
        <v>0</v>
      </c>
      <c r="F7" s="1">
        <f t="shared" si="1"/>
        <v>35815.300000000003</v>
      </c>
      <c r="G7" s="1">
        <f t="shared" si="1"/>
        <v>100069.21</v>
      </c>
      <c r="H7" s="1">
        <f t="shared" si="1"/>
        <v>186957.48</v>
      </c>
      <c r="I7" s="1">
        <f t="shared" si="1"/>
        <v>99746.34</v>
      </c>
      <c r="J7" s="1">
        <f t="shared" si="1"/>
        <v>6572.48</v>
      </c>
      <c r="K7" s="1">
        <f t="shared" si="1"/>
        <v>87466.44</v>
      </c>
      <c r="L7" s="1">
        <f t="shared" si="1"/>
        <v>34363.06</v>
      </c>
      <c r="M7" s="1">
        <f t="shared" si="1"/>
        <v>6486</v>
      </c>
      <c r="N7" s="1">
        <f t="shared" si="1"/>
        <v>31685.85</v>
      </c>
      <c r="O7">
        <v>0</v>
      </c>
    </row>
    <row r="8" spans="1:15" x14ac:dyDescent="0.25">
      <c r="A8">
        <v>7</v>
      </c>
      <c r="B8">
        <v>7</v>
      </c>
      <c r="C8" t="s">
        <v>21</v>
      </c>
      <c r="D8" s="1">
        <f t="shared" ref="D8:D11" si="2">SUM(E8:N8)</f>
        <v>-117868.81000000001</v>
      </c>
      <c r="E8" s="1">
        <v>0</v>
      </c>
      <c r="F8" s="1">
        <v>-7125.8</v>
      </c>
      <c r="G8" s="1">
        <v>-26112.02</v>
      </c>
      <c r="H8" s="1">
        <v>-33967.97</v>
      </c>
      <c r="I8" s="1">
        <v>-20937.830000000002</v>
      </c>
      <c r="J8" s="1">
        <v>-2047.52</v>
      </c>
      <c r="K8" s="1">
        <v>-18747.32</v>
      </c>
      <c r="L8" s="1">
        <v>-2782.84</v>
      </c>
      <c r="M8" s="1">
        <v>-1332.28</v>
      </c>
      <c r="N8" s="1">
        <v>-4815.2299999999996</v>
      </c>
      <c r="O8">
        <v>0</v>
      </c>
    </row>
    <row r="9" spans="1:15" x14ac:dyDescent="0.25">
      <c r="A9">
        <v>8</v>
      </c>
      <c r="B9">
        <v>8</v>
      </c>
      <c r="C9" t="s">
        <v>22</v>
      </c>
      <c r="D9" s="1">
        <f t="shared" si="2"/>
        <v>-8859.42</v>
      </c>
      <c r="E9" s="1">
        <v>0</v>
      </c>
      <c r="F9" s="1">
        <v>-183.65</v>
      </c>
      <c r="G9" s="1">
        <v>-1175.3399999999999</v>
      </c>
      <c r="H9" s="1">
        <v>-4507.62</v>
      </c>
      <c r="I9" s="1">
        <v>-415.22</v>
      </c>
      <c r="J9" s="1">
        <v>-254.46</v>
      </c>
      <c r="K9" s="1">
        <v>-1344.17</v>
      </c>
      <c r="L9" s="1">
        <v>-36.700000000000003</v>
      </c>
      <c r="M9" s="1">
        <v>-286.56</v>
      </c>
      <c r="N9" s="1">
        <v>-655.7</v>
      </c>
      <c r="O9">
        <v>0</v>
      </c>
    </row>
    <row r="10" spans="1:15" x14ac:dyDescent="0.25">
      <c r="A10">
        <v>9</v>
      </c>
      <c r="B10">
        <v>9</v>
      </c>
      <c r="C10" t="s">
        <v>23</v>
      </c>
      <c r="D10" s="1">
        <f t="shared" si="2"/>
        <v>-53459.600000000006</v>
      </c>
      <c r="E10" s="1">
        <v>0</v>
      </c>
      <c r="F10" s="1">
        <v>-4619.8</v>
      </c>
      <c r="G10" s="1">
        <v>-9766.8700000000008</v>
      </c>
      <c r="H10" s="1">
        <v>-14430.12</v>
      </c>
      <c r="I10" s="1">
        <v>-5023.9399999999996</v>
      </c>
      <c r="J10" s="1">
        <v>-1522.77</v>
      </c>
      <c r="K10" s="1">
        <v>-11244.79</v>
      </c>
      <c r="L10" s="1">
        <v>-2653.21</v>
      </c>
      <c r="M10" s="1">
        <v>-1229.44</v>
      </c>
      <c r="N10" s="1">
        <v>-2968.66</v>
      </c>
      <c r="O10">
        <v>0</v>
      </c>
    </row>
    <row r="11" spans="1:15" x14ac:dyDescent="0.25">
      <c r="A11">
        <v>10</v>
      </c>
      <c r="B11">
        <v>10</v>
      </c>
      <c r="C11" t="s">
        <v>24</v>
      </c>
      <c r="D11" s="1">
        <f t="shared" si="2"/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>
        <v>0</v>
      </c>
    </row>
    <row r="12" spans="1:15" x14ac:dyDescent="0.25">
      <c r="A12">
        <v>11</v>
      </c>
      <c r="B12">
        <v>11</v>
      </c>
      <c r="C12" t="s">
        <v>25</v>
      </c>
      <c r="D12" s="1">
        <f>SUM(D8:D10)</f>
        <v>-180187.83000000002</v>
      </c>
      <c r="E12" s="1">
        <f t="shared" ref="E12:N12" si="3">SUM(E8:E10)</f>
        <v>0</v>
      </c>
      <c r="F12" s="1">
        <f t="shared" si="3"/>
        <v>-11929.25</v>
      </c>
      <c r="G12" s="1">
        <f t="shared" si="3"/>
        <v>-37054.230000000003</v>
      </c>
      <c r="H12" s="1">
        <f t="shared" si="3"/>
        <v>-52905.710000000006</v>
      </c>
      <c r="I12" s="1">
        <f t="shared" si="3"/>
        <v>-26376.99</v>
      </c>
      <c r="J12" s="1">
        <f t="shared" si="3"/>
        <v>-3824.75</v>
      </c>
      <c r="K12" s="1">
        <f t="shared" si="3"/>
        <v>-31336.28</v>
      </c>
      <c r="L12" s="1">
        <f t="shared" si="3"/>
        <v>-5472.75</v>
      </c>
      <c r="M12" s="1">
        <f t="shared" si="3"/>
        <v>-2848.2799999999997</v>
      </c>
      <c r="N12" s="1">
        <f t="shared" si="3"/>
        <v>-8439.59</v>
      </c>
      <c r="O12">
        <v>0</v>
      </c>
    </row>
    <row r="13" spans="1:15" x14ac:dyDescent="0.25">
      <c r="A13">
        <v>12</v>
      </c>
      <c r="B13">
        <v>12</v>
      </c>
      <c r="C13" t="s">
        <v>26</v>
      </c>
      <c r="D13" s="1">
        <v>461333.93</v>
      </c>
      <c r="E13" s="1">
        <v>0</v>
      </c>
      <c r="F13" s="1">
        <v>27405.85</v>
      </c>
      <c r="G13" s="1">
        <v>72781.850000000006</v>
      </c>
      <c r="H13" s="1">
        <v>148481.89000000001</v>
      </c>
      <c r="I13" s="1">
        <v>78393.289999999994</v>
      </c>
      <c r="J13" s="1">
        <v>4270.5</v>
      </c>
      <c r="K13" s="1">
        <v>67374.95</v>
      </c>
      <c r="L13" s="1">
        <v>31543.52</v>
      </c>
      <c r="M13" s="1">
        <v>4867.16</v>
      </c>
      <c r="N13" s="1">
        <v>26214.92</v>
      </c>
      <c r="O13">
        <v>0</v>
      </c>
    </row>
    <row r="14" spans="1:15" x14ac:dyDescent="0.25">
      <c r="A14">
        <v>13</v>
      </c>
      <c r="B14">
        <v>13</v>
      </c>
      <c r="C14" t="s">
        <v>27</v>
      </c>
      <c r="D14" s="1">
        <f>SUM(E14:N14)</f>
        <v>-253674.15</v>
      </c>
      <c r="E14" s="1">
        <f>-21882.21+(-20000)</f>
        <v>-41882.21</v>
      </c>
      <c r="F14" s="1">
        <f>-14859.05-625.25+2517.4-431.4</f>
        <v>-13398.3</v>
      </c>
      <c r="G14" s="1">
        <f>-39258.57-725-6183</f>
        <v>-46166.57</v>
      </c>
      <c r="H14" s="1">
        <f>-43731.78-2636.71+259.5-566.4</f>
        <v>-46675.39</v>
      </c>
      <c r="I14" s="1">
        <f>-28225.76+1656-126.9</f>
        <v>-26696.66</v>
      </c>
      <c r="J14" s="1">
        <f>-7928.64-90</f>
        <v>-8018.64</v>
      </c>
      <c r="K14" s="1">
        <f>-28587.51-3847.75+527.4-880.5</f>
        <v>-32788.36</v>
      </c>
      <c r="L14" s="1">
        <f>-12923.99+1448-162</f>
        <v>-11637.99</v>
      </c>
      <c r="M14" s="1">
        <f>-5839.23+1207.8</f>
        <v>-4631.4299999999994</v>
      </c>
      <c r="N14" s="1">
        <f>-21013.6-765</f>
        <v>-21778.6</v>
      </c>
      <c r="O14">
        <v>0</v>
      </c>
    </row>
    <row r="15" spans="1:15" x14ac:dyDescent="0.25">
      <c r="A15">
        <v>14</v>
      </c>
      <c r="B15">
        <v>14</v>
      </c>
      <c r="C15" t="s">
        <v>28</v>
      </c>
      <c r="D15" s="1">
        <f t="shared" ref="D15:D17" si="4">SUM(E15:N15)</f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>
        <v>0</v>
      </c>
    </row>
    <row r="16" spans="1:15" x14ac:dyDescent="0.25">
      <c r="A16">
        <v>15</v>
      </c>
      <c r="B16">
        <v>15</v>
      </c>
      <c r="C16" t="s">
        <v>29</v>
      </c>
      <c r="D16" s="1">
        <f t="shared" si="4"/>
        <v>-67531.7</v>
      </c>
      <c r="E16" s="1">
        <v>-6706.46</v>
      </c>
      <c r="F16" s="1">
        <v>-4790.16</v>
      </c>
      <c r="G16" s="1">
        <v>-10982.44</v>
      </c>
      <c r="H16" s="1">
        <v>-14225.03</v>
      </c>
      <c r="I16" s="1">
        <v>-7826.67</v>
      </c>
      <c r="J16" s="1">
        <v>-2719.78</v>
      </c>
      <c r="K16" s="1">
        <v>-7445.6</v>
      </c>
      <c r="L16" s="1">
        <v>-3997.76</v>
      </c>
      <c r="M16" s="1">
        <v>-1909.98</v>
      </c>
      <c r="N16" s="1">
        <v>-6927.82</v>
      </c>
      <c r="O16">
        <v>0</v>
      </c>
    </row>
    <row r="17" spans="1:15" x14ac:dyDescent="0.25">
      <c r="A17">
        <v>16</v>
      </c>
      <c r="B17">
        <v>16</v>
      </c>
      <c r="C17" t="s">
        <v>30</v>
      </c>
      <c r="D17" s="1">
        <f t="shared" si="4"/>
        <v>-1480.31</v>
      </c>
      <c r="E17" s="1">
        <v>-428.1</v>
      </c>
      <c r="F17" s="1">
        <v>0</v>
      </c>
      <c r="G17" s="1">
        <v>0</v>
      </c>
      <c r="H17" s="1">
        <v>-23.55</v>
      </c>
      <c r="I17" s="1">
        <v>-294.52999999999997</v>
      </c>
      <c r="J17" s="1">
        <v>-401.38</v>
      </c>
      <c r="K17" s="1">
        <v>-45.5</v>
      </c>
      <c r="L17" s="1">
        <v>-287.25</v>
      </c>
      <c r="M17" s="1">
        <v>0</v>
      </c>
      <c r="N17" s="1">
        <v>0</v>
      </c>
      <c r="O17">
        <v>0</v>
      </c>
    </row>
    <row r="18" spans="1:15" x14ac:dyDescent="0.25">
      <c r="A18">
        <v>17</v>
      </c>
      <c r="B18">
        <v>17</v>
      </c>
      <c r="C18" t="s">
        <v>31</v>
      </c>
      <c r="D18" s="1">
        <f>SUM(D14:D17)</f>
        <v>-322686.15999999997</v>
      </c>
      <c r="E18" s="1">
        <f t="shared" ref="E18:N18" si="5">SUM(E14:E17)</f>
        <v>-49016.77</v>
      </c>
      <c r="F18" s="1">
        <f t="shared" si="5"/>
        <v>-18188.46</v>
      </c>
      <c r="G18" s="1">
        <f t="shared" si="5"/>
        <v>-57149.01</v>
      </c>
      <c r="H18" s="1">
        <f t="shared" si="5"/>
        <v>-60923.97</v>
      </c>
      <c r="I18" s="1">
        <f t="shared" si="5"/>
        <v>-34817.86</v>
      </c>
      <c r="J18" s="1">
        <f t="shared" si="5"/>
        <v>-11139.8</v>
      </c>
      <c r="K18" s="1">
        <f t="shared" si="5"/>
        <v>-40279.46</v>
      </c>
      <c r="L18" s="1">
        <f t="shared" si="5"/>
        <v>-15923</v>
      </c>
      <c r="M18" s="1">
        <f t="shared" si="5"/>
        <v>-6541.41</v>
      </c>
      <c r="N18" s="1">
        <f t="shared" si="5"/>
        <v>-28706.42</v>
      </c>
      <c r="O18">
        <v>0</v>
      </c>
    </row>
    <row r="19" spans="1:15" x14ac:dyDescent="0.25">
      <c r="A19">
        <v>18</v>
      </c>
      <c r="B19">
        <v>18</v>
      </c>
      <c r="C19" t="s">
        <v>32</v>
      </c>
      <c r="D19" s="1">
        <f>SUM(E19:N19)</f>
        <v>-34830.200000000004</v>
      </c>
      <c r="E19" s="1">
        <v>0</v>
      </c>
      <c r="F19">
        <v>0</v>
      </c>
      <c r="G19" s="6">
        <v>-4832.99</v>
      </c>
      <c r="H19">
        <v>-267.58</v>
      </c>
      <c r="I19" s="6">
        <v>-19382.47</v>
      </c>
      <c r="J19" s="6">
        <v>-1500</v>
      </c>
      <c r="K19" s="6">
        <v>-4220.3599999999997</v>
      </c>
      <c r="L19">
        <v>-50</v>
      </c>
      <c r="M19" s="6">
        <v>-1729.9</v>
      </c>
      <c r="N19" s="6">
        <v>-2846.9</v>
      </c>
      <c r="O19">
        <v>0</v>
      </c>
    </row>
    <row r="20" spans="1:15" x14ac:dyDescent="0.25">
      <c r="A20">
        <v>19</v>
      </c>
      <c r="B20">
        <v>19</v>
      </c>
      <c r="C20" t="s">
        <v>33</v>
      </c>
      <c r="D20" s="1">
        <f t="shared" ref="D20:D30" si="6">SUM(E20:N20)</f>
        <v>-18277.79</v>
      </c>
      <c r="E20" s="1">
        <v>-243.11</v>
      </c>
      <c r="F20">
        <v>-538.53</v>
      </c>
      <c r="G20">
        <v>-542.24</v>
      </c>
      <c r="H20" s="6">
        <v>-5604.76</v>
      </c>
      <c r="I20">
        <v>-421.07</v>
      </c>
      <c r="J20">
        <v>-271.81</v>
      </c>
      <c r="K20" s="6">
        <v>-6295.59</v>
      </c>
      <c r="L20">
        <v>-74</v>
      </c>
      <c r="M20">
        <v>-44</v>
      </c>
      <c r="N20" s="6">
        <v>-4242.68</v>
      </c>
      <c r="O20">
        <v>0</v>
      </c>
    </row>
    <row r="21" spans="1:15" x14ac:dyDescent="0.25">
      <c r="A21">
        <v>20</v>
      </c>
      <c r="B21">
        <v>20</v>
      </c>
      <c r="C21" t="s">
        <v>34</v>
      </c>
      <c r="D21" s="1">
        <f t="shared" si="6"/>
        <v>-2627.1599999999994</v>
      </c>
      <c r="E21" s="1">
        <v>0</v>
      </c>
      <c r="F21">
        <v>-242.36</v>
      </c>
      <c r="G21">
        <v>-749.81</v>
      </c>
      <c r="H21">
        <v>-980.3</v>
      </c>
      <c r="I21">
        <v>-63.86</v>
      </c>
      <c r="J21">
        <v>-170.96</v>
      </c>
      <c r="K21">
        <v>-170.96</v>
      </c>
      <c r="L21">
        <v>-66.41</v>
      </c>
      <c r="M21">
        <v>-89.28</v>
      </c>
      <c r="N21">
        <v>-93.22</v>
      </c>
      <c r="O21">
        <v>0</v>
      </c>
    </row>
    <row r="22" spans="1:15" x14ac:dyDescent="0.25">
      <c r="A22">
        <v>21</v>
      </c>
      <c r="B22">
        <v>21</v>
      </c>
      <c r="C22" t="s">
        <v>35</v>
      </c>
      <c r="D22" s="1">
        <f t="shared" si="6"/>
        <v>-25.2</v>
      </c>
      <c r="E22" s="1">
        <v>0</v>
      </c>
      <c r="F22">
        <v>0</v>
      </c>
      <c r="G22">
        <v>0</v>
      </c>
      <c r="H22">
        <v>-25.2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22</v>
      </c>
      <c r="B23">
        <v>22</v>
      </c>
      <c r="C23" t="s">
        <v>36</v>
      </c>
      <c r="D23" s="1">
        <f t="shared" si="6"/>
        <v>-1417.1700000000003</v>
      </c>
      <c r="E23" s="1">
        <v>0</v>
      </c>
      <c r="F23">
        <v>-439.61</v>
      </c>
      <c r="G23">
        <v>-150.36000000000001</v>
      </c>
      <c r="H23">
        <v>-374.13</v>
      </c>
      <c r="I23">
        <v>-40.81</v>
      </c>
      <c r="J23">
        <v>-96.37</v>
      </c>
      <c r="K23">
        <v>-287.54000000000002</v>
      </c>
      <c r="L23">
        <v>0</v>
      </c>
      <c r="M23">
        <v>-14.18</v>
      </c>
      <c r="N23">
        <v>-14.17</v>
      </c>
      <c r="O23">
        <v>0</v>
      </c>
    </row>
    <row r="24" spans="1:15" x14ac:dyDescent="0.25">
      <c r="A24">
        <v>23</v>
      </c>
      <c r="B24">
        <v>23</v>
      </c>
      <c r="C24" t="s">
        <v>37</v>
      </c>
      <c r="D24" s="1">
        <f t="shared" si="6"/>
        <v>-32471.009999999991</v>
      </c>
      <c r="E24" s="1">
        <v>-29677.05</v>
      </c>
      <c r="F24">
        <v>-122.66</v>
      </c>
      <c r="G24">
        <v>-376.96</v>
      </c>
      <c r="H24">
        <v>-684.75</v>
      </c>
      <c r="I24" s="6">
        <v>-1034.05</v>
      </c>
      <c r="J24">
        <v>-52.37</v>
      </c>
      <c r="K24">
        <v>-283.39</v>
      </c>
      <c r="L24">
        <v>-88.85</v>
      </c>
      <c r="M24">
        <v>-63.17</v>
      </c>
      <c r="N24">
        <v>-87.76</v>
      </c>
      <c r="O24">
        <v>0</v>
      </c>
    </row>
    <row r="25" spans="1:15" x14ac:dyDescent="0.25">
      <c r="A25">
        <v>24</v>
      </c>
      <c r="B25">
        <v>24</v>
      </c>
      <c r="C25" t="s">
        <v>38</v>
      </c>
      <c r="D25" s="1">
        <f t="shared" si="6"/>
        <v>-1628.25</v>
      </c>
      <c r="E25" s="1">
        <v>0</v>
      </c>
      <c r="F25">
        <v>-138</v>
      </c>
      <c r="G25">
        <v>-48</v>
      </c>
      <c r="H25">
        <v>-48</v>
      </c>
      <c r="I25">
        <v>0</v>
      </c>
      <c r="J25">
        <v>-50</v>
      </c>
      <c r="K25">
        <v>-418.25</v>
      </c>
      <c r="L25">
        <v>0</v>
      </c>
      <c r="M25">
        <v>0</v>
      </c>
      <c r="N25">
        <v>-926</v>
      </c>
      <c r="O25">
        <v>0</v>
      </c>
    </row>
    <row r="26" spans="1:15" x14ac:dyDescent="0.25">
      <c r="A26">
        <v>25</v>
      </c>
      <c r="B26">
        <v>25</v>
      </c>
      <c r="C26" t="s">
        <v>39</v>
      </c>
      <c r="D26" s="1">
        <f t="shared" si="6"/>
        <v>-18511.09</v>
      </c>
      <c r="E26" s="1">
        <v>0</v>
      </c>
      <c r="F26" s="6">
        <v>-1891.5</v>
      </c>
      <c r="G26">
        <v>-721.17</v>
      </c>
      <c r="H26" s="6">
        <v>-5635.62</v>
      </c>
      <c r="I26" s="6">
        <v>-1034</v>
      </c>
      <c r="J26">
        <v>-77.260000000000005</v>
      </c>
      <c r="K26" s="6">
        <v>-3654.54</v>
      </c>
      <c r="L26">
        <v>0</v>
      </c>
      <c r="M26" s="6">
        <v>-3143.92</v>
      </c>
      <c r="N26" s="6">
        <v>-2353.08</v>
      </c>
      <c r="O26">
        <v>0</v>
      </c>
    </row>
    <row r="27" spans="1:15" x14ac:dyDescent="0.25">
      <c r="A27">
        <v>26</v>
      </c>
      <c r="B27">
        <v>26</v>
      </c>
      <c r="C27" t="s">
        <v>40</v>
      </c>
      <c r="D27" s="1">
        <f t="shared" si="6"/>
        <v>-10688.509999999998</v>
      </c>
      <c r="E27" s="1">
        <v>0</v>
      </c>
      <c r="F27">
        <v>-451</v>
      </c>
      <c r="G27" s="6">
        <v>-1316.38</v>
      </c>
      <c r="H27" s="6">
        <v>-4179.8999999999996</v>
      </c>
      <c r="I27" s="6">
        <v>-1089.32</v>
      </c>
      <c r="J27">
        <v>-118.78</v>
      </c>
      <c r="K27" s="6">
        <v>-1596.49</v>
      </c>
      <c r="L27" s="6">
        <v>-1074.5</v>
      </c>
      <c r="M27">
        <v>-25.14</v>
      </c>
      <c r="N27">
        <v>-837</v>
      </c>
      <c r="O27">
        <v>0</v>
      </c>
    </row>
    <row r="28" spans="1:15" x14ac:dyDescent="0.25">
      <c r="A28">
        <v>27</v>
      </c>
      <c r="B28">
        <v>27</v>
      </c>
      <c r="C28" t="s">
        <v>41</v>
      </c>
      <c r="D28" s="1">
        <f t="shared" si="6"/>
        <v>-2533.33</v>
      </c>
      <c r="E28" s="1">
        <v>0</v>
      </c>
      <c r="F28" s="6">
        <v>-1159.76</v>
      </c>
      <c r="G28">
        <v>-656.64</v>
      </c>
      <c r="H28">
        <v>-276.39</v>
      </c>
      <c r="I28">
        <v>-207.23</v>
      </c>
      <c r="J28">
        <v>-114</v>
      </c>
      <c r="K28">
        <v>-68.650000000000006</v>
      </c>
      <c r="L28">
        <v>0</v>
      </c>
      <c r="M28">
        <v>-25.33</v>
      </c>
      <c r="N28">
        <v>-25.33</v>
      </c>
      <c r="O28">
        <v>0</v>
      </c>
    </row>
    <row r="29" spans="1:15" x14ac:dyDescent="0.25">
      <c r="A29">
        <v>28</v>
      </c>
      <c r="B29">
        <v>28</v>
      </c>
      <c r="C29" t="s">
        <v>42</v>
      </c>
      <c r="D29" s="1">
        <f t="shared" si="6"/>
        <v>0</v>
      </c>
      <c r="E29" s="1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29</v>
      </c>
      <c r="B30">
        <v>29</v>
      </c>
      <c r="C30" t="s">
        <v>43</v>
      </c>
      <c r="D30" s="1">
        <f t="shared" si="6"/>
        <v>0</v>
      </c>
      <c r="E30" s="1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30</v>
      </c>
      <c r="B31">
        <v>30</v>
      </c>
      <c r="C31" t="s">
        <v>44</v>
      </c>
      <c r="D31" s="1">
        <f>SUM(D19:D30)</f>
        <v>-123009.70999999998</v>
      </c>
      <c r="E31" s="1">
        <f t="shared" ref="E31:N31" si="7">SUM(E19:E30)</f>
        <v>-29920.16</v>
      </c>
      <c r="F31" s="1">
        <f t="shared" si="7"/>
        <v>-4983.42</v>
      </c>
      <c r="G31" s="1">
        <f t="shared" si="7"/>
        <v>-9394.5499999999993</v>
      </c>
      <c r="H31" s="1">
        <f t="shared" si="7"/>
        <v>-18076.629999999997</v>
      </c>
      <c r="I31" s="1">
        <f t="shared" si="7"/>
        <v>-23272.81</v>
      </c>
      <c r="J31" s="1">
        <f t="shared" si="7"/>
        <v>-2451.5500000000002</v>
      </c>
      <c r="K31" s="1">
        <f t="shared" si="7"/>
        <v>-16995.770000000004</v>
      </c>
      <c r="L31" s="1">
        <f t="shared" si="7"/>
        <v>-1353.76</v>
      </c>
      <c r="M31" s="1">
        <f t="shared" si="7"/>
        <v>-5134.920000000001</v>
      </c>
      <c r="N31" s="1">
        <f t="shared" si="7"/>
        <v>-11426.14</v>
      </c>
      <c r="O31">
        <v>0</v>
      </c>
    </row>
    <row r="32" spans="1:15" x14ac:dyDescent="0.25">
      <c r="A32">
        <v>31</v>
      </c>
      <c r="B32">
        <v>31</v>
      </c>
      <c r="C32" t="s">
        <v>45</v>
      </c>
      <c r="D32" s="1">
        <f>D31+D18</f>
        <v>-445695.86999999994</v>
      </c>
      <c r="E32" s="1">
        <v>-58936.93</v>
      </c>
      <c r="F32" s="1">
        <v>-22479.52</v>
      </c>
      <c r="G32" s="1">
        <v>-49236.62</v>
      </c>
      <c r="H32" s="1">
        <v>-7562.07</v>
      </c>
      <c r="I32" s="1">
        <v>-37104.39</v>
      </c>
      <c r="J32" s="1">
        <v>-22731.14</v>
      </c>
      <c r="K32" s="1">
        <v>-38099.94</v>
      </c>
      <c r="L32" s="1">
        <v>-5582</v>
      </c>
      <c r="M32" s="1">
        <v>-18199.5</v>
      </c>
      <c r="N32" s="1">
        <v>-56306.2</v>
      </c>
      <c r="O32">
        <v>0</v>
      </c>
    </row>
    <row r="33" spans="1:15" x14ac:dyDescent="0.25">
      <c r="A33">
        <v>32</v>
      </c>
      <c r="B33">
        <v>32</v>
      </c>
      <c r="C33" t="s">
        <v>46</v>
      </c>
      <c r="D33" s="1">
        <f>D7+(D12+D18+D31)</f>
        <v>-36721.540000000037</v>
      </c>
      <c r="E33" s="1">
        <f t="shared" ref="E33:N33" si="8">E7+(E12+E18+E31)</f>
        <v>-78936.929999999993</v>
      </c>
      <c r="F33" s="1">
        <f t="shared" si="8"/>
        <v>714.17000000000553</v>
      </c>
      <c r="G33" s="1">
        <f t="shared" si="8"/>
        <v>-3528.5800000000017</v>
      </c>
      <c r="H33" s="1">
        <f t="shared" si="8"/>
        <v>55051.170000000013</v>
      </c>
      <c r="I33" s="1">
        <f t="shared" si="8"/>
        <v>15278.679999999993</v>
      </c>
      <c r="J33" s="1">
        <f t="shared" si="8"/>
        <v>-10843.619999999999</v>
      </c>
      <c r="K33" s="1">
        <f t="shared" si="8"/>
        <v>-1145.0699999999924</v>
      </c>
      <c r="L33" s="1">
        <f t="shared" si="8"/>
        <v>11613.55</v>
      </c>
      <c r="M33" s="1">
        <f t="shared" si="8"/>
        <v>-8038.6100000000006</v>
      </c>
      <c r="N33" s="1">
        <f t="shared" si="8"/>
        <v>-16886.299999999996</v>
      </c>
      <c r="O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CCD2-52E3-4957-93DC-0E9DDEA295E0}">
  <dimension ref="A1:L13"/>
  <sheetViews>
    <sheetView workbookViewId="0">
      <selection activeCell="G15" sqref="G15"/>
    </sheetView>
  </sheetViews>
  <sheetFormatPr baseColWidth="10" defaultRowHeight="15" x14ac:dyDescent="0.25"/>
  <cols>
    <col min="1" max="1" width="25.28515625" customWidth="1"/>
    <col min="2" max="11" width="16.7109375" customWidth="1"/>
    <col min="12" max="12" width="23.85546875" customWidth="1"/>
    <col min="13" max="13" width="16.7109375" customWidth="1"/>
  </cols>
  <sheetData>
    <row r="1" spans="1:12" x14ac:dyDescent="0.25">
      <c r="A1" s="2" t="s">
        <v>47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48</v>
      </c>
    </row>
    <row r="2" spans="1:12" x14ac:dyDescent="0.25">
      <c r="A2" s="4" t="s">
        <v>49</v>
      </c>
      <c r="B2" s="1">
        <v>2596.1799999999998</v>
      </c>
      <c r="C2" s="1">
        <v>5063.42</v>
      </c>
      <c r="D2" s="1">
        <v>6797.74</v>
      </c>
      <c r="E2" s="1">
        <v>1321.46</v>
      </c>
      <c r="F2" s="1">
        <v>147.35</v>
      </c>
      <c r="G2" s="1">
        <v>4072.56</v>
      </c>
      <c r="H2" s="1">
        <v>525.79999999999995</v>
      </c>
      <c r="I2" s="1">
        <v>1177.3</v>
      </c>
      <c r="J2" s="1">
        <v>612.96</v>
      </c>
      <c r="K2" s="1">
        <v>1489.49</v>
      </c>
      <c r="L2" s="1">
        <v>35315.839999999997</v>
      </c>
    </row>
    <row r="3" spans="1:12" x14ac:dyDescent="0.25">
      <c r="A3" s="4" t="s">
        <v>50</v>
      </c>
      <c r="B3" s="1">
        <v>40.020000000000003</v>
      </c>
      <c r="C3" s="1">
        <v>56.03</v>
      </c>
      <c r="D3" s="1">
        <v>298.23</v>
      </c>
      <c r="E3" s="1">
        <v>1071.97</v>
      </c>
      <c r="F3" s="1">
        <v>133.77000000000001</v>
      </c>
      <c r="G3" s="1">
        <v>1539.5</v>
      </c>
      <c r="H3" s="1">
        <v>60.77</v>
      </c>
      <c r="I3" s="1">
        <v>224.92</v>
      </c>
      <c r="J3" s="1">
        <v>29.4</v>
      </c>
      <c r="K3" s="1">
        <v>26</v>
      </c>
      <c r="L3" s="1">
        <v>3730.38</v>
      </c>
    </row>
    <row r="4" spans="1:12" x14ac:dyDescent="0.25">
      <c r="A4" s="4" t="s">
        <v>51</v>
      </c>
      <c r="B4" s="1">
        <v>1156.31</v>
      </c>
      <c r="C4" s="1">
        <v>2231.86</v>
      </c>
      <c r="D4" s="1">
        <v>2943.24</v>
      </c>
      <c r="E4" s="1">
        <v>1229.5999999999999</v>
      </c>
      <c r="F4" s="1">
        <v>566.1</v>
      </c>
      <c r="G4" s="1">
        <v>1732.8</v>
      </c>
      <c r="H4" s="1">
        <v>1058.52</v>
      </c>
      <c r="I4" s="1">
        <v>553.25</v>
      </c>
      <c r="J4" s="1">
        <v>317.39</v>
      </c>
      <c r="K4" s="1">
        <v>944.45</v>
      </c>
      <c r="L4" s="1">
        <v>15886.7</v>
      </c>
    </row>
    <row r="5" spans="1:12" x14ac:dyDescent="0.25">
      <c r="A5" s="4" t="s">
        <v>52</v>
      </c>
      <c r="B5" s="1">
        <v>14.49</v>
      </c>
      <c r="C5" s="1">
        <v>41.82</v>
      </c>
      <c r="D5" s="1">
        <v>87.06</v>
      </c>
      <c r="E5" s="1">
        <v>24.07</v>
      </c>
      <c r="F5" s="1">
        <v>4.8899999999999997</v>
      </c>
      <c r="G5" s="1">
        <v>135.58000000000001</v>
      </c>
      <c r="H5" s="1">
        <v>23.86</v>
      </c>
      <c r="I5" s="1">
        <v>10.77</v>
      </c>
      <c r="J5" s="1">
        <v>1.8</v>
      </c>
      <c r="K5" s="1">
        <v>15.52</v>
      </c>
      <c r="L5" s="1">
        <v>359.86</v>
      </c>
    </row>
    <row r="6" spans="1:12" x14ac:dyDescent="0.25">
      <c r="A6" s="4" t="s">
        <v>53</v>
      </c>
      <c r="B6" s="1">
        <v>157.25</v>
      </c>
      <c r="C6" s="1">
        <v>8.99</v>
      </c>
      <c r="D6" s="1">
        <v>1549.36</v>
      </c>
      <c r="E6" s="1">
        <v>55.94</v>
      </c>
      <c r="F6" s="1">
        <v>7.25</v>
      </c>
      <c r="G6" s="1">
        <v>541.35</v>
      </c>
      <c r="H6" s="1">
        <v>292.58999999999997</v>
      </c>
      <c r="I6" s="1">
        <v>195.86</v>
      </c>
      <c r="J6" s="1">
        <v>80.680000000000007</v>
      </c>
      <c r="K6" s="1">
        <v>247.83</v>
      </c>
      <c r="L6" s="1">
        <v>3987.06</v>
      </c>
    </row>
    <row r="7" spans="1:12" x14ac:dyDescent="0.25">
      <c r="A7" s="4" t="s">
        <v>54</v>
      </c>
      <c r="B7" s="1">
        <v>197.15</v>
      </c>
      <c r="C7" s="1">
        <v>540.91</v>
      </c>
      <c r="D7" s="1">
        <v>367.87</v>
      </c>
      <c r="E7" s="1">
        <v>396.38</v>
      </c>
      <c r="F7" s="1">
        <v>372.3</v>
      </c>
      <c r="G7" s="1">
        <v>485.21</v>
      </c>
      <c r="H7" s="1">
        <v>67.989999999999995</v>
      </c>
      <c r="I7" s="1">
        <v>42.34</v>
      </c>
      <c r="J7" s="1">
        <v>75.819999999999993</v>
      </c>
      <c r="K7" s="1">
        <v>5.61</v>
      </c>
      <c r="L7" s="1">
        <v>2551.5700000000002</v>
      </c>
    </row>
    <row r="8" spans="1:12" x14ac:dyDescent="0.25">
      <c r="A8" s="4" t="s">
        <v>55</v>
      </c>
      <c r="B8" s="1">
        <v>0</v>
      </c>
      <c r="C8" s="1">
        <v>306.33999999999997</v>
      </c>
      <c r="D8" s="1">
        <v>291.19</v>
      </c>
      <c r="E8" s="1">
        <v>0</v>
      </c>
      <c r="F8" s="1">
        <v>9.1999999999999993</v>
      </c>
      <c r="G8" s="1">
        <v>0</v>
      </c>
      <c r="H8" s="1">
        <v>108.88</v>
      </c>
      <c r="I8" s="1">
        <v>0</v>
      </c>
      <c r="J8" s="1">
        <v>0</v>
      </c>
      <c r="K8" s="1">
        <v>15.06</v>
      </c>
      <c r="L8" s="1">
        <v>730.67</v>
      </c>
    </row>
    <row r="9" spans="1:12" x14ac:dyDescent="0.25">
      <c r="A9" s="4" t="s">
        <v>56</v>
      </c>
      <c r="B9" s="1">
        <v>19.41</v>
      </c>
      <c r="C9" s="1">
        <v>0</v>
      </c>
      <c r="D9" s="1">
        <v>0</v>
      </c>
      <c r="E9" s="1">
        <v>42.94</v>
      </c>
      <c r="F9" s="1">
        <v>34.119999999999997</v>
      </c>
      <c r="G9" s="1">
        <v>0</v>
      </c>
      <c r="H9" s="1">
        <v>57.65</v>
      </c>
      <c r="I9" s="1">
        <v>0</v>
      </c>
      <c r="J9" s="1">
        <v>58.66</v>
      </c>
      <c r="K9" s="1">
        <v>37.64</v>
      </c>
      <c r="L9" s="1">
        <v>250.42</v>
      </c>
    </row>
    <row r="10" spans="1:12" x14ac:dyDescent="0.25">
      <c r="A10" s="4" t="s">
        <v>57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227.49</v>
      </c>
    </row>
    <row r="11" spans="1:12" x14ac:dyDescent="0.25">
      <c r="A11" s="4" t="s">
        <v>58</v>
      </c>
      <c r="B11" s="1">
        <v>438.99</v>
      </c>
      <c r="C11" s="1">
        <v>1517.5</v>
      </c>
      <c r="D11" s="1">
        <v>2363.9899999999998</v>
      </c>
      <c r="E11" s="1">
        <v>850.33</v>
      </c>
      <c r="F11" s="1">
        <v>254.44</v>
      </c>
      <c r="G11" s="1">
        <v>2445.79</v>
      </c>
      <c r="H11" s="1">
        <v>450.31</v>
      </c>
      <c r="I11" s="1">
        <v>1114.98</v>
      </c>
      <c r="J11" s="1">
        <v>65.010000000000005</v>
      </c>
      <c r="K11" s="1">
        <v>234.18</v>
      </c>
      <c r="L11" s="1">
        <v>9793.65</v>
      </c>
    </row>
    <row r="13" spans="1:12" x14ac:dyDescent="0.25">
      <c r="B13" s="5">
        <f>SUM(B2:B11)*-1</f>
        <v>-4619.7999999999993</v>
      </c>
      <c r="C13" s="5">
        <f t="shared" ref="C13:L13" si="0">SUM(C2:C11)*-1</f>
        <v>-9766.869999999999</v>
      </c>
      <c r="D13" s="5">
        <f t="shared" si="0"/>
        <v>-14698.68</v>
      </c>
      <c r="E13" s="5">
        <f t="shared" si="0"/>
        <v>-4992.6899999999996</v>
      </c>
      <c r="F13" s="5">
        <f t="shared" si="0"/>
        <v>-1529.42</v>
      </c>
      <c r="G13" s="5">
        <f t="shared" si="0"/>
        <v>-10952.79</v>
      </c>
      <c r="H13" s="5">
        <f t="shared" si="0"/>
        <v>-2646.37</v>
      </c>
      <c r="I13" s="5">
        <f t="shared" si="0"/>
        <v>-3319.42</v>
      </c>
      <c r="J13" s="5">
        <f t="shared" si="0"/>
        <v>-1241.72</v>
      </c>
      <c r="K13" s="5">
        <f t="shared" si="0"/>
        <v>-3015.7799999999997</v>
      </c>
      <c r="L13" s="5">
        <f t="shared" si="0"/>
        <v>-72833.639999999985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Consums Interns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2026-04-21T16:32:37Z</dcterms:created>
  <dcterms:modified xsi:type="dcterms:W3CDTF">2026-06-29T15:02:27Z</dcterms:modified>
  <cp:category/>
  <cp:contentStatus/>
</cp:coreProperties>
</file>