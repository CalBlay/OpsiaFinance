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0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alblayrest-my.sharepoint.com/personal/oriol_calblay_com/Documents/Escritorio/Numbers/RESTAURANTS/c.eXPLOT/"/>
    </mc:Choice>
  </mc:AlternateContent>
  <xr:revisionPtr revIDLastSave="6" documentId="11_D894220A3E9073BF73983A8341D07A55C8907349" xr6:coauthVersionLast="47" xr6:coauthVersionMax="47" xr10:uidLastSave="{07F2D262-4C0D-4F74-A41C-7C2A35C2FA8F}"/>
  <bookViews>
    <workbookView minimized="1" xWindow="3036" yWindow="2724" windowWidth="17280" windowHeight="8928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1" l="1"/>
  <c r="F7" i="1"/>
  <c r="G7" i="1"/>
  <c r="H7" i="1"/>
  <c r="I7" i="1"/>
  <c r="J7" i="1"/>
  <c r="K7" i="1"/>
  <c r="L7" i="1"/>
  <c r="M7" i="1"/>
  <c r="N7" i="1"/>
  <c r="O7" i="1"/>
  <c r="D7" i="1"/>
</calcChain>
</file>

<file path=xl/sharedStrings.xml><?xml version="1.0" encoding="utf-8"?>
<sst xmlns="http://schemas.openxmlformats.org/spreadsheetml/2006/main" count="58" uniqueCount="58">
  <si>
    <t>#</t>
  </si>
  <si>
    <t>Node</t>
  </si>
  <si>
    <t>Description</t>
  </si>
  <si>
    <t>TOTAL</t>
  </si>
  <si>
    <t>CCR00000</t>
  </si>
  <si>
    <t>CCR00001</t>
  </si>
  <si>
    <t>CCR00002</t>
  </si>
  <si>
    <t>CCR00003</t>
  </si>
  <si>
    <t>CCR00004</t>
  </si>
  <si>
    <t>CCR00005</t>
  </si>
  <si>
    <t>CCR00006</t>
  </si>
  <si>
    <t>CCR00007</t>
  </si>
  <si>
    <t>CCR00008</t>
  </si>
  <si>
    <t>CCR00009</t>
  </si>
  <si>
    <t>CCR00010</t>
  </si>
  <si>
    <t>COMPTE DE RESULTATS</t>
  </si>
  <si>
    <t>.   VENDES</t>
  </si>
  <si>
    <t>.   PRESTACIO DE SEVEIS</t>
  </si>
  <si>
    <t>.   ALTRES INGRESSOS</t>
  </si>
  <si>
    <t>.   VARIACIO EXISTENCIES</t>
  </si>
  <si>
    <t>TOTAL INGRESSOS EXPLOTACIO</t>
  </si>
  <si>
    <t>.   COMPRES</t>
  </si>
  <si>
    <t>.   ALTRES APROVISIONAMENTS</t>
  </si>
  <si>
    <t>.   CONSUMS INTERNS</t>
  </si>
  <si>
    <t>.   VARIACIO EXISTENICIES COMPRES</t>
  </si>
  <si>
    <t>TOTAL COMPRES</t>
  </si>
  <si>
    <t>MARGE BRUT TOTAL</t>
  </si>
  <si>
    <t>.   SOUS I SALARIS</t>
  </si>
  <si>
    <t>.   INDEMNITZACIONS</t>
  </si>
  <si>
    <t>.   SEGURETAT SOCIAL</t>
  </si>
  <si>
    <t>.   ALTRES DESPESES SOCIALS</t>
  </si>
  <si>
    <t>TOTAL COST SALARIAL</t>
  </si>
  <si>
    <t>.   ARRENDAMENTS I CANONS</t>
  </si>
  <si>
    <t>.   REPARACIONS I CONSERVACIO</t>
  </si>
  <si>
    <t>.   SERVEIS PROFESSIONALS</t>
  </si>
  <si>
    <t>.   TRANSPORTS</t>
  </si>
  <si>
    <t>.   PRIMES D'ASSEGURANCES</t>
  </si>
  <si>
    <t>.   SERVEIS BANCARIS</t>
  </si>
  <si>
    <t>.   PUBLICITAT I PROPAGANDA</t>
  </si>
  <si>
    <t>.   SUBMINISTRAMENTS</t>
  </si>
  <si>
    <t>.   ALTRES DESPESSES</t>
  </si>
  <si>
    <t>.   ALTRES TRIBUTS</t>
  </si>
  <si>
    <t>.   DOTACIO PER INSOLVENICA</t>
  </si>
  <si>
    <t>MOVIMENTS INTERNS</t>
  </si>
  <si>
    <t>TOTAL DESPESES GESTIO</t>
  </si>
  <si>
    <t>TOTAL  GESTIO + SALARIS</t>
  </si>
  <si>
    <t>EBITDA</t>
  </si>
  <si>
    <t>.   INGRESSOS FINANCERS</t>
  </si>
  <si>
    <t>.   DESPESSES FINANCERES</t>
  </si>
  <si>
    <t>RESULTAT FINANCER</t>
  </si>
  <si>
    <t>.   INGRESOS EXCEPCIONALS</t>
  </si>
  <si>
    <t>.   DESPESSES EXCEPCIONALS</t>
  </si>
  <si>
    <t>RESULTAT EXCEPCIONAL</t>
  </si>
  <si>
    <t>.   AMORTITZACIONS</t>
  </si>
  <si>
    <t>RESULTAT ABANS D'IMPOSTOS</t>
  </si>
  <si>
    <t>IMPOST SOBRE BENEFICIS</t>
  </si>
  <si>
    <t>RESULTAT DESPRES D'IMPOSTOS</t>
  </si>
  <si>
    <t>RESULTAT ACUMULAT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</si>
</sst>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4"/>
  <sheetViews>
    <sheetView tabSelected="1" workbookViewId="0">
      <selection activeCell="F7" sqref="F7:O7"/>
    </sheetView>
  </sheetViews>
  <sheetFormatPr defaultRowHeight="15"/>
  <cols>
    <col min="3" max="3" width="37.85546875" customWidth="1"/>
    <col min="4" max="4" width="10" bestFit="1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1</v>
      </c>
      <c r="B2">
        <v>1</v>
      </c>
      <c r="C2" t="s">
        <v>15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>
        <v>2</v>
      </c>
      <c r="B3">
        <v>2</v>
      </c>
      <c r="C3" t="s">
        <v>16</v>
      </c>
      <c r="D3">
        <v>452182.16</v>
      </c>
      <c r="E3">
        <v>0</v>
      </c>
      <c r="F3">
        <v>3106.18</v>
      </c>
      <c r="G3">
        <v>195390.91</v>
      </c>
      <c r="H3">
        <v>29350.240000000002</v>
      </c>
      <c r="I3">
        <v>111425.98</v>
      </c>
      <c r="J3">
        <v>13553.98</v>
      </c>
      <c r="K3">
        <v>93175.93</v>
      </c>
      <c r="L3">
        <v>6178.94</v>
      </c>
      <c r="M3">
        <v>0</v>
      </c>
      <c r="N3">
        <v>0</v>
      </c>
      <c r="O3">
        <v>0</v>
      </c>
    </row>
    <row r="4" spans="1:15">
      <c r="A4">
        <v>3</v>
      </c>
      <c r="B4">
        <v>3</v>
      </c>
      <c r="C4" t="s">
        <v>17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>
        <v>4</v>
      </c>
      <c r="B5">
        <v>4</v>
      </c>
      <c r="C5" t="s">
        <v>18</v>
      </c>
      <c r="D5">
        <v>4617.95</v>
      </c>
      <c r="E5">
        <v>0</v>
      </c>
      <c r="F5">
        <v>0</v>
      </c>
      <c r="G5">
        <v>0</v>
      </c>
      <c r="H5">
        <v>317.95</v>
      </c>
      <c r="I5">
        <v>0</v>
      </c>
      <c r="J5">
        <v>0</v>
      </c>
      <c r="K5">
        <v>0</v>
      </c>
      <c r="L5">
        <v>4300</v>
      </c>
      <c r="M5">
        <v>0</v>
      </c>
      <c r="N5">
        <v>0</v>
      </c>
      <c r="O5">
        <v>0</v>
      </c>
    </row>
    <row r="6" spans="1:15">
      <c r="A6">
        <v>5</v>
      </c>
      <c r="B6">
        <v>5</v>
      </c>
      <c r="C6" t="s">
        <v>19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>
        <v>6</v>
      </c>
      <c r="B7">
        <v>6</v>
      </c>
      <c r="C7" t="s">
        <v>20</v>
      </c>
      <c r="D7">
        <f>SUM(D3:D6)</f>
        <v>456800.11</v>
      </c>
      <c r="E7">
        <f t="shared" ref="E7:O7" si="0">SUM(E3:E6)</f>
        <v>0</v>
      </c>
      <c r="F7">
        <f t="shared" si="0"/>
        <v>3106.18</v>
      </c>
      <c r="G7">
        <f t="shared" si="0"/>
        <v>195390.91</v>
      </c>
      <c r="H7">
        <f t="shared" si="0"/>
        <v>29668.190000000002</v>
      </c>
      <c r="I7">
        <f t="shared" si="0"/>
        <v>111425.98</v>
      </c>
      <c r="J7">
        <f t="shared" si="0"/>
        <v>13553.98</v>
      </c>
      <c r="K7">
        <f t="shared" si="0"/>
        <v>93175.93</v>
      </c>
      <c r="L7">
        <f t="shared" si="0"/>
        <v>10478.939999999999</v>
      </c>
      <c r="M7">
        <f t="shared" si="0"/>
        <v>0</v>
      </c>
      <c r="N7">
        <f t="shared" si="0"/>
        <v>0</v>
      </c>
      <c r="O7">
        <f t="shared" si="0"/>
        <v>0</v>
      </c>
    </row>
    <row r="8" spans="1:15">
      <c r="A8">
        <v>7</v>
      </c>
      <c r="B8">
        <v>7</v>
      </c>
      <c r="C8" t="s">
        <v>21</v>
      </c>
      <c r="D8">
        <v>-124837.08</v>
      </c>
      <c r="E8">
        <v>0</v>
      </c>
      <c r="F8">
        <v>-1455.18</v>
      </c>
      <c r="G8">
        <v>-51315.11</v>
      </c>
      <c r="H8">
        <v>-8914.4699999999993</v>
      </c>
      <c r="I8">
        <v>-30716.87</v>
      </c>
      <c r="J8">
        <v>-3851.94</v>
      </c>
      <c r="K8">
        <v>-25208.35</v>
      </c>
      <c r="L8">
        <v>-2843.16</v>
      </c>
      <c r="M8">
        <v>-532</v>
      </c>
      <c r="N8">
        <v>0</v>
      </c>
      <c r="O8">
        <v>0</v>
      </c>
    </row>
    <row r="9" spans="1:15">
      <c r="A9">
        <v>8</v>
      </c>
      <c r="B9">
        <v>8</v>
      </c>
      <c r="C9" t="s">
        <v>22</v>
      </c>
      <c r="D9">
        <v>-7121.85</v>
      </c>
      <c r="E9">
        <v>0</v>
      </c>
      <c r="F9">
        <v>-324.66000000000003</v>
      </c>
      <c r="G9">
        <v>-3293.82</v>
      </c>
      <c r="H9">
        <v>-1409.52</v>
      </c>
      <c r="I9">
        <v>-470.02</v>
      </c>
      <c r="J9">
        <v>-320.77999999999997</v>
      </c>
      <c r="K9">
        <v>-1131.46</v>
      </c>
      <c r="L9">
        <v>-166.62</v>
      </c>
      <c r="M9">
        <v>-4.97</v>
      </c>
      <c r="N9">
        <v>0</v>
      </c>
      <c r="O9">
        <v>0</v>
      </c>
    </row>
    <row r="10" spans="1:15">
      <c r="A10">
        <v>9</v>
      </c>
      <c r="B10">
        <v>9</v>
      </c>
      <c r="C10" t="s">
        <v>23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>
        <v>10</v>
      </c>
      <c r="B11">
        <v>10</v>
      </c>
      <c r="C11" t="s">
        <v>24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>
        <v>11</v>
      </c>
      <c r="B12">
        <v>11</v>
      </c>
      <c r="C12" t="s">
        <v>25</v>
      </c>
      <c r="D12">
        <v>-131958.93</v>
      </c>
      <c r="E12">
        <v>0</v>
      </c>
      <c r="F12">
        <v>-1779.84</v>
      </c>
      <c r="G12">
        <v>-54608.93</v>
      </c>
      <c r="H12">
        <v>-10323.99</v>
      </c>
      <c r="I12">
        <v>-31186.89</v>
      </c>
      <c r="J12">
        <v>-4172.72</v>
      </c>
      <c r="K12">
        <v>-26339.81</v>
      </c>
      <c r="L12">
        <v>-3009.78</v>
      </c>
      <c r="M12">
        <v>-536.97</v>
      </c>
      <c r="N12">
        <v>0</v>
      </c>
      <c r="O12">
        <v>0</v>
      </c>
    </row>
    <row r="13" spans="1:15">
      <c r="A13">
        <v>12</v>
      </c>
      <c r="B13">
        <v>12</v>
      </c>
      <c r="C13" t="s">
        <v>26</v>
      </c>
      <c r="D13">
        <v>324841.18</v>
      </c>
      <c r="E13">
        <v>0</v>
      </c>
      <c r="F13">
        <v>1326.34</v>
      </c>
      <c r="G13">
        <v>140781.98000000001</v>
      </c>
      <c r="H13">
        <v>19344.2</v>
      </c>
      <c r="I13">
        <v>80239.09</v>
      </c>
      <c r="J13">
        <v>9381.26</v>
      </c>
      <c r="K13">
        <v>66836.12</v>
      </c>
      <c r="L13">
        <v>7469.16</v>
      </c>
      <c r="M13">
        <v>-536.97</v>
      </c>
      <c r="N13">
        <v>0</v>
      </c>
      <c r="O13">
        <v>0</v>
      </c>
    </row>
    <row r="14" spans="1:15">
      <c r="A14">
        <v>13</v>
      </c>
      <c r="B14">
        <v>13</v>
      </c>
      <c r="C14" t="s">
        <v>27</v>
      </c>
      <c r="D14">
        <v>-191136.32</v>
      </c>
      <c r="E14">
        <v>-13373.67</v>
      </c>
      <c r="F14">
        <v>-11195.28</v>
      </c>
      <c r="G14">
        <v>-52941.81</v>
      </c>
      <c r="H14">
        <v>-39837.550000000003</v>
      </c>
      <c r="I14">
        <v>-27656.720000000001</v>
      </c>
      <c r="J14">
        <v>-7967.8</v>
      </c>
      <c r="K14">
        <v>-26373.89</v>
      </c>
      <c r="L14">
        <v>-11789.6</v>
      </c>
      <c r="M14">
        <v>0</v>
      </c>
      <c r="N14">
        <v>0</v>
      </c>
      <c r="O14">
        <v>0</v>
      </c>
    </row>
    <row r="15" spans="1:15">
      <c r="A15">
        <v>14</v>
      </c>
      <c r="B15">
        <v>14</v>
      </c>
      <c r="C15" t="s">
        <v>28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>
      <c r="A16">
        <v>15</v>
      </c>
      <c r="B16">
        <v>15</v>
      </c>
      <c r="C16" t="s">
        <v>29</v>
      </c>
      <c r="D16">
        <v>-52386.61</v>
      </c>
      <c r="E16">
        <v>-4298.82</v>
      </c>
      <c r="F16">
        <v>-3731.46</v>
      </c>
      <c r="G16">
        <v>-11667.13</v>
      </c>
      <c r="H16">
        <v>-11454.02</v>
      </c>
      <c r="I16">
        <v>-7719.35</v>
      </c>
      <c r="J16">
        <v>-2666.38</v>
      </c>
      <c r="K16">
        <v>-7120.18</v>
      </c>
      <c r="L16">
        <v>-3729.27</v>
      </c>
      <c r="M16">
        <v>0</v>
      </c>
      <c r="N16">
        <v>0</v>
      </c>
      <c r="O16">
        <v>0</v>
      </c>
    </row>
    <row r="17" spans="1:15">
      <c r="A17">
        <v>16</v>
      </c>
      <c r="B17">
        <v>16</v>
      </c>
      <c r="C17" t="s">
        <v>30</v>
      </c>
      <c r="D17">
        <v>-1104.8699999999999</v>
      </c>
      <c r="E17">
        <v>-30.79</v>
      </c>
      <c r="F17">
        <v>-22.59</v>
      </c>
      <c r="G17">
        <v>-45.18</v>
      </c>
      <c r="H17">
        <v>-138.6</v>
      </c>
      <c r="I17">
        <v>-348.35</v>
      </c>
      <c r="J17">
        <v>-240.02</v>
      </c>
      <c r="K17">
        <v>-89.18</v>
      </c>
      <c r="L17">
        <v>-190.16</v>
      </c>
      <c r="M17">
        <v>0</v>
      </c>
      <c r="N17">
        <v>0</v>
      </c>
      <c r="O17">
        <v>0</v>
      </c>
    </row>
    <row r="18" spans="1:15">
      <c r="A18">
        <v>17</v>
      </c>
      <c r="B18">
        <v>17</v>
      </c>
      <c r="C18" t="s">
        <v>31</v>
      </c>
      <c r="D18">
        <v>-244627.8</v>
      </c>
      <c r="E18">
        <v>-17703.28</v>
      </c>
      <c r="F18">
        <v>-14949.33</v>
      </c>
      <c r="G18">
        <v>-64654.12</v>
      </c>
      <c r="H18">
        <v>-51430.17</v>
      </c>
      <c r="I18">
        <v>-35724.42</v>
      </c>
      <c r="J18">
        <v>-10874.2</v>
      </c>
      <c r="K18">
        <v>-33583.25</v>
      </c>
      <c r="L18">
        <v>-15709.03</v>
      </c>
      <c r="M18">
        <v>0</v>
      </c>
      <c r="N18">
        <v>0</v>
      </c>
      <c r="O18">
        <v>0</v>
      </c>
    </row>
    <row r="19" spans="1:15">
      <c r="A19">
        <v>18</v>
      </c>
      <c r="B19">
        <v>18</v>
      </c>
      <c r="C19" t="s">
        <v>32</v>
      </c>
      <c r="D19">
        <v>-31803.42</v>
      </c>
      <c r="E19">
        <v>0</v>
      </c>
      <c r="F19">
        <v>-159.65</v>
      </c>
      <c r="G19">
        <v>-4738.26</v>
      </c>
      <c r="H19">
        <v>-267.58</v>
      </c>
      <c r="I19">
        <v>-21499.8</v>
      </c>
      <c r="J19">
        <v>-1030</v>
      </c>
      <c r="K19">
        <v>-4108.13</v>
      </c>
      <c r="L19">
        <v>0</v>
      </c>
      <c r="M19">
        <v>0</v>
      </c>
      <c r="N19">
        <v>0</v>
      </c>
      <c r="O19">
        <v>0</v>
      </c>
    </row>
    <row r="20" spans="1:15">
      <c r="A20">
        <v>19</v>
      </c>
      <c r="B20">
        <v>19</v>
      </c>
      <c r="C20" t="s">
        <v>33</v>
      </c>
      <c r="D20">
        <v>-13641.68</v>
      </c>
      <c r="E20">
        <v>0</v>
      </c>
      <c r="F20">
        <v>-663.8</v>
      </c>
      <c r="G20">
        <v>-1692.92</v>
      </c>
      <c r="H20">
        <v>-6978.79</v>
      </c>
      <c r="I20">
        <v>-1058.99</v>
      </c>
      <c r="J20">
        <v>-157.47</v>
      </c>
      <c r="K20">
        <v>-2924.81</v>
      </c>
      <c r="L20">
        <v>-164.9</v>
      </c>
      <c r="M20">
        <v>0</v>
      </c>
      <c r="N20">
        <v>0</v>
      </c>
      <c r="O20">
        <v>0</v>
      </c>
    </row>
    <row r="21" spans="1:15">
      <c r="A21">
        <v>20</v>
      </c>
      <c r="B21">
        <v>20</v>
      </c>
      <c r="C21" t="s">
        <v>34</v>
      </c>
      <c r="D21">
        <v>-2676.59</v>
      </c>
      <c r="E21">
        <v>0</v>
      </c>
      <c r="F21">
        <v>-370.39</v>
      </c>
      <c r="G21">
        <v>-1200.32</v>
      </c>
      <c r="H21">
        <v>-267.64</v>
      </c>
      <c r="I21">
        <v>-62</v>
      </c>
      <c r="J21">
        <v>-220.72</v>
      </c>
      <c r="K21">
        <v>-491.04</v>
      </c>
      <c r="L21">
        <v>-64.48</v>
      </c>
      <c r="M21">
        <v>0</v>
      </c>
      <c r="N21">
        <v>0</v>
      </c>
      <c r="O21">
        <v>0</v>
      </c>
    </row>
    <row r="22" spans="1:15">
      <c r="A22">
        <v>21</v>
      </c>
      <c r="B22">
        <v>21</v>
      </c>
      <c r="C22" t="s">
        <v>35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</row>
    <row r="23" spans="1:15">
      <c r="A23">
        <v>22</v>
      </c>
      <c r="B23">
        <v>22</v>
      </c>
      <c r="C23" t="s">
        <v>36</v>
      </c>
      <c r="D23">
        <v>-1339.87</v>
      </c>
      <c r="E23">
        <v>0</v>
      </c>
      <c r="F23">
        <v>-420.33</v>
      </c>
      <c r="G23">
        <v>-146.9</v>
      </c>
      <c r="H23">
        <v>-358.37</v>
      </c>
      <c r="I23">
        <v>-43.33</v>
      </c>
      <c r="J23">
        <v>-95.77</v>
      </c>
      <c r="K23">
        <v>-275.17</v>
      </c>
      <c r="L23">
        <v>0</v>
      </c>
      <c r="M23">
        <v>0</v>
      </c>
      <c r="N23">
        <v>0</v>
      </c>
      <c r="O23">
        <v>0</v>
      </c>
    </row>
    <row r="24" spans="1:15">
      <c r="A24">
        <v>23</v>
      </c>
      <c r="B24">
        <v>23</v>
      </c>
      <c r="C24" t="s">
        <v>37</v>
      </c>
      <c r="D24">
        <v>-851.87</v>
      </c>
      <c r="E24">
        <v>0</v>
      </c>
      <c r="F24">
        <v>-10.11</v>
      </c>
      <c r="G24">
        <v>-609.76</v>
      </c>
      <c r="H24">
        <v>-120.8</v>
      </c>
      <c r="I24">
        <v>-12</v>
      </c>
      <c r="J24">
        <v>-23.31</v>
      </c>
      <c r="K24">
        <v>-18</v>
      </c>
      <c r="L24">
        <v>-57.89</v>
      </c>
      <c r="M24">
        <v>0</v>
      </c>
      <c r="N24">
        <v>0</v>
      </c>
      <c r="O24">
        <v>0</v>
      </c>
    </row>
    <row r="25" spans="1:15">
      <c r="A25">
        <v>24</v>
      </c>
      <c r="B25">
        <v>24</v>
      </c>
      <c r="C25" t="s">
        <v>38</v>
      </c>
      <c r="D25">
        <v>-85</v>
      </c>
      <c r="E25">
        <v>0</v>
      </c>
      <c r="F25">
        <v>0</v>
      </c>
      <c r="G25">
        <v>0</v>
      </c>
      <c r="H25">
        <v>-85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</row>
    <row r="26" spans="1:15">
      <c r="A26">
        <v>25</v>
      </c>
      <c r="B26">
        <v>25</v>
      </c>
      <c r="C26" t="s">
        <v>39</v>
      </c>
      <c r="D26">
        <v>-14942.36</v>
      </c>
      <c r="E26">
        <v>0</v>
      </c>
      <c r="F26">
        <v>-1319.92</v>
      </c>
      <c r="G26">
        <v>-3957.17</v>
      </c>
      <c r="H26">
        <v>-4384.1499999999996</v>
      </c>
      <c r="I26">
        <v>-1034</v>
      </c>
      <c r="J26">
        <v>-622.70000000000005</v>
      </c>
      <c r="K26">
        <v>-3624.42</v>
      </c>
      <c r="L26">
        <v>0</v>
      </c>
      <c r="M26">
        <v>0</v>
      </c>
      <c r="N26">
        <v>0</v>
      </c>
      <c r="O26">
        <v>0</v>
      </c>
    </row>
    <row r="27" spans="1:15">
      <c r="A27">
        <v>26</v>
      </c>
      <c r="B27">
        <v>26</v>
      </c>
      <c r="C27" t="s">
        <v>40</v>
      </c>
      <c r="D27">
        <v>-8116.04</v>
      </c>
      <c r="E27">
        <v>0</v>
      </c>
      <c r="F27">
        <v>-45.6</v>
      </c>
      <c r="G27">
        <v>-5422.79</v>
      </c>
      <c r="H27">
        <v>-1632.39</v>
      </c>
      <c r="I27">
        <v>-166</v>
      </c>
      <c r="J27">
        <v>-49</v>
      </c>
      <c r="K27">
        <v>-676.26</v>
      </c>
      <c r="L27">
        <v>-124</v>
      </c>
      <c r="M27">
        <v>0</v>
      </c>
      <c r="N27">
        <v>0</v>
      </c>
      <c r="O27">
        <v>0</v>
      </c>
    </row>
    <row r="28" spans="1:15">
      <c r="A28">
        <v>27</v>
      </c>
      <c r="B28">
        <v>27</v>
      </c>
      <c r="C28" t="s">
        <v>41</v>
      </c>
      <c r="D28">
        <v>-1567</v>
      </c>
      <c r="E28">
        <v>0</v>
      </c>
      <c r="F28">
        <v>-584.25</v>
      </c>
      <c r="G28">
        <v>-332.5</v>
      </c>
      <c r="H28">
        <v>-142.34</v>
      </c>
      <c r="I28">
        <v>-107.98</v>
      </c>
      <c r="J28">
        <v>-361.61</v>
      </c>
      <c r="K28">
        <v>-38.32</v>
      </c>
      <c r="L28">
        <v>0</v>
      </c>
      <c r="M28">
        <v>0</v>
      </c>
      <c r="N28">
        <v>0</v>
      </c>
      <c r="O28">
        <v>0</v>
      </c>
    </row>
    <row r="29" spans="1:15">
      <c r="A29">
        <v>28</v>
      </c>
      <c r="B29">
        <v>28</v>
      </c>
      <c r="C29" t="s">
        <v>42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</row>
    <row r="30" spans="1:15">
      <c r="A30">
        <v>29</v>
      </c>
      <c r="B30">
        <v>29</v>
      </c>
      <c r="C30" t="s">
        <v>43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</row>
    <row r="31" spans="1:15">
      <c r="A31">
        <v>30</v>
      </c>
      <c r="B31">
        <v>30</v>
      </c>
      <c r="C31" t="s">
        <v>44</v>
      </c>
      <c r="D31">
        <v>-75023.83</v>
      </c>
      <c r="E31">
        <v>0</v>
      </c>
      <c r="F31">
        <v>-3574.05</v>
      </c>
      <c r="G31">
        <v>-18100.62</v>
      </c>
      <c r="H31">
        <v>-14237.06</v>
      </c>
      <c r="I31">
        <v>-23984.1</v>
      </c>
      <c r="J31">
        <v>-2560.58</v>
      </c>
      <c r="K31">
        <v>-12156.15</v>
      </c>
      <c r="L31">
        <v>-411.27</v>
      </c>
      <c r="M31">
        <v>0</v>
      </c>
      <c r="N31">
        <v>0</v>
      </c>
      <c r="O31">
        <v>0</v>
      </c>
    </row>
    <row r="32" spans="1:15">
      <c r="A32">
        <v>31</v>
      </c>
      <c r="B32">
        <v>31</v>
      </c>
      <c r="C32" t="s">
        <v>45</v>
      </c>
      <c r="D32">
        <v>-319651.63</v>
      </c>
      <c r="E32">
        <v>-17703.28</v>
      </c>
      <c r="F32">
        <v>-18523.38</v>
      </c>
      <c r="G32">
        <v>-82754.740000000005</v>
      </c>
      <c r="H32">
        <v>-65667.23</v>
      </c>
      <c r="I32">
        <v>-59708.52</v>
      </c>
      <c r="J32">
        <v>-13434.78</v>
      </c>
      <c r="K32">
        <v>-45739.4</v>
      </c>
      <c r="L32">
        <v>-16120.3</v>
      </c>
      <c r="M32">
        <v>0</v>
      </c>
      <c r="N32">
        <v>0</v>
      </c>
      <c r="O32">
        <v>0</v>
      </c>
    </row>
    <row r="33" spans="1:15">
      <c r="A33">
        <v>32</v>
      </c>
      <c r="B33">
        <v>32</v>
      </c>
      <c r="C33" t="s">
        <v>46</v>
      </c>
      <c r="D33">
        <v>5189.55</v>
      </c>
      <c r="E33">
        <v>-17703.28</v>
      </c>
      <c r="F33">
        <v>-17197.04</v>
      </c>
      <c r="G33">
        <v>58027.24</v>
      </c>
      <c r="H33">
        <v>-46323.03</v>
      </c>
      <c r="I33">
        <v>20530.57</v>
      </c>
      <c r="J33">
        <v>-4053.52</v>
      </c>
      <c r="K33">
        <v>21096.720000000001</v>
      </c>
      <c r="L33">
        <v>-8651.14</v>
      </c>
      <c r="M33">
        <v>-536.97</v>
      </c>
      <c r="N33">
        <v>0</v>
      </c>
      <c r="O33">
        <v>0</v>
      </c>
    </row>
    <row r="34" spans="1:15">
      <c r="A34">
        <v>33</v>
      </c>
      <c r="B34">
        <v>33</v>
      </c>
      <c r="C34" t="s">
        <v>47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</row>
    <row r="35" spans="1:15">
      <c r="A35">
        <v>34</v>
      </c>
      <c r="B35">
        <v>34</v>
      </c>
      <c r="C35" t="s">
        <v>48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</row>
    <row r="36" spans="1:15">
      <c r="A36">
        <v>35</v>
      </c>
      <c r="B36">
        <v>35</v>
      </c>
      <c r="C36" t="s">
        <v>49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</row>
    <row r="37" spans="1:15">
      <c r="A37">
        <v>36</v>
      </c>
      <c r="B37">
        <v>36</v>
      </c>
      <c r="C37" t="s">
        <v>50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</row>
    <row r="38" spans="1:15">
      <c r="A38">
        <v>37</v>
      </c>
      <c r="B38">
        <v>37</v>
      </c>
      <c r="C38" t="s">
        <v>51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</row>
    <row r="39" spans="1:15">
      <c r="A39">
        <v>38</v>
      </c>
      <c r="B39">
        <v>38</v>
      </c>
      <c r="C39" t="s">
        <v>52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</row>
    <row r="40" spans="1:15">
      <c r="A40">
        <v>39</v>
      </c>
      <c r="B40">
        <v>39</v>
      </c>
      <c r="C40" t="s">
        <v>53</v>
      </c>
      <c r="D40">
        <v>-11101.74</v>
      </c>
      <c r="E40">
        <v>-143.13</v>
      </c>
      <c r="F40">
        <v>-1290.53</v>
      </c>
      <c r="G40">
        <v>-938.25</v>
      </c>
      <c r="H40">
        <v>-5212.54</v>
      </c>
      <c r="I40">
        <v>-284.19</v>
      </c>
      <c r="J40">
        <v>-103.31</v>
      </c>
      <c r="K40">
        <v>-3129.79</v>
      </c>
      <c r="L40">
        <v>0</v>
      </c>
      <c r="M40">
        <v>0</v>
      </c>
      <c r="N40">
        <v>0</v>
      </c>
      <c r="O40">
        <v>0</v>
      </c>
    </row>
    <row r="41" spans="1:15">
      <c r="A41">
        <v>40</v>
      </c>
      <c r="B41">
        <v>40</v>
      </c>
      <c r="C41" t="s">
        <v>54</v>
      </c>
      <c r="D41">
        <v>-5912.19</v>
      </c>
      <c r="E41">
        <v>-17846.41</v>
      </c>
      <c r="F41">
        <v>-18487.57</v>
      </c>
      <c r="G41">
        <v>57088.99</v>
      </c>
      <c r="H41">
        <v>-51535.57</v>
      </c>
      <c r="I41">
        <v>20246.38</v>
      </c>
      <c r="J41">
        <v>-4156.83</v>
      </c>
      <c r="K41">
        <v>17966.93</v>
      </c>
      <c r="L41">
        <v>-8651.14</v>
      </c>
      <c r="M41">
        <v>-536.97</v>
      </c>
      <c r="N41">
        <v>0</v>
      </c>
      <c r="O41">
        <v>0</v>
      </c>
    </row>
    <row r="42" spans="1:15">
      <c r="A42">
        <v>41</v>
      </c>
      <c r="B42">
        <v>41</v>
      </c>
      <c r="C42" t="s">
        <v>55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</row>
    <row r="43" spans="1:15">
      <c r="A43">
        <v>42</v>
      </c>
      <c r="B43">
        <v>42</v>
      </c>
      <c r="C43" t="s">
        <v>56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</row>
    <row r="44" spans="1:15">
      <c r="A44">
        <v>43</v>
      </c>
      <c r="B44">
        <v>43</v>
      </c>
      <c r="C44" t="s">
        <v>57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Roman Gómez - CAL BLAY</cp:lastModifiedBy>
  <cp:revision/>
  <dcterms:created xsi:type="dcterms:W3CDTF">2026-04-21T16:30:13Z</dcterms:created>
  <dcterms:modified xsi:type="dcterms:W3CDTF">2026-04-21T16:30:13Z</dcterms:modified>
  <cp:category/>
  <cp:contentStatus/>
</cp:coreProperties>
</file>