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lblayrest-my.sharepoint.com/personal/oriol_calblay_com/Documents/Escritorio/Numbers/RESTAURANTS/c.eXPLOT/"/>
    </mc:Choice>
  </mc:AlternateContent>
  <xr:revisionPtr revIDLastSave="17" documentId="13_ncr:1_{FFFC3B3F-D976-44E5-9E60-7C622B97D74D}" xr6:coauthVersionLast="47" xr6:coauthVersionMax="47" xr10:uidLastSave="{A23EC314-54F8-421A-8213-06F480EDB1E8}"/>
  <bookViews>
    <workbookView xWindow="22932" yWindow="-108" windowWidth="23256" windowHeight="12456" activeTab="1" xr2:uid="{00000000-000D-0000-FFFF-FFFF00000000}"/>
  </bookViews>
  <sheets>
    <sheet name="Sheet1" sheetId="1" r:id="rId1"/>
    <sheet name="Consums Interns" sheetId="3" r:id="rId2"/>
    <sheet name="OFICIAL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1" l="1"/>
  <c r="N14" i="1"/>
  <c r="F14" i="1"/>
  <c r="G14" i="1"/>
  <c r="K14" i="1"/>
  <c r="H14" i="1"/>
  <c r="L14" i="1"/>
  <c r="I14" i="1"/>
  <c r="J14" i="1"/>
  <c r="H21" i="1"/>
  <c r="H3" i="1"/>
  <c r="C13" i="3" l="1"/>
  <c r="G10" i="1" s="1"/>
  <c r="D13" i="3"/>
  <c r="H10" i="1" s="1"/>
  <c r="E13" i="3"/>
  <c r="I10" i="1" s="1"/>
  <c r="F13" i="3"/>
  <c r="J10" i="1" s="1"/>
  <c r="G13" i="3"/>
  <c r="K10" i="1" s="1"/>
  <c r="H13" i="3"/>
  <c r="I13" i="3"/>
  <c r="J13" i="3"/>
  <c r="K13" i="3"/>
  <c r="L13" i="3"/>
  <c r="B13" i="3"/>
  <c r="N10" i="1"/>
  <c r="M10" i="1"/>
  <c r="L10" i="1"/>
  <c r="F10" i="1"/>
  <c r="E14" i="1"/>
  <c r="E18" i="1" l="1"/>
  <c r="M18" i="1"/>
  <c r="N18" i="1"/>
  <c r="F18" i="1"/>
  <c r="K18" i="1"/>
  <c r="H18" i="1"/>
  <c r="L18" i="1"/>
  <c r="I18" i="1"/>
  <c r="J18" i="1"/>
  <c r="G18" i="1"/>
  <c r="D14" i="1" l="1"/>
  <c r="E7" i="1"/>
  <c r="F7" i="1"/>
  <c r="G7" i="1"/>
  <c r="H7" i="1"/>
  <c r="I7" i="1"/>
  <c r="J7" i="1"/>
  <c r="K7" i="1"/>
  <c r="L7" i="1"/>
  <c r="M7" i="1"/>
  <c r="N7" i="1"/>
  <c r="D4" i="1"/>
  <c r="D5" i="1"/>
  <c r="D6" i="1"/>
  <c r="D3" i="1"/>
  <c r="D7" i="1" s="1"/>
  <c r="E31" i="1"/>
  <c r="F31" i="1"/>
  <c r="G31" i="1"/>
  <c r="H31" i="1"/>
  <c r="I31" i="1"/>
  <c r="J31" i="1"/>
  <c r="K31" i="1"/>
  <c r="L31" i="1"/>
  <c r="M31" i="1"/>
  <c r="N31" i="1"/>
  <c r="D30" i="1"/>
  <c r="D29" i="1"/>
  <c r="D28" i="1"/>
  <c r="D27" i="1"/>
  <c r="D26" i="1"/>
  <c r="D25" i="1"/>
  <c r="D24" i="1"/>
  <c r="D23" i="1"/>
  <c r="D22" i="1"/>
  <c r="D21" i="1"/>
  <c r="D20" i="1"/>
  <c r="D19" i="1"/>
  <c r="D15" i="1"/>
  <c r="D16" i="1"/>
  <c r="D17" i="1"/>
  <c r="E12" i="1"/>
  <c r="F12" i="1"/>
  <c r="G12" i="1"/>
  <c r="H12" i="1"/>
  <c r="I12" i="1"/>
  <c r="J12" i="1"/>
  <c r="K12" i="1"/>
  <c r="L12" i="1"/>
  <c r="M12" i="1"/>
  <c r="N12" i="1"/>
  <c r="D9" i="1"/>
  <c r="D10" i="1"/>
  <c r="D11" i="1"/>
  <c r="D8" i="1"/>
  <c r="N33" i="1" l="1"/>
  <c r="M33" i="1"/>
  <c r="D31" i="1"/>
  <c r="L33" i="1"/>
  <c r="K33" i="1"/>
  <c r="I33" i="1"/>
  <c r="J33" i="1"/>
  <c r="G33" i="1"/>
  <c r="H33" i="1"/>
  <c r="F33" i="1"/>
  <c r="E33" i="1"/>
  <c r="D12" i="1"/>
  <c r="P12" i="1" s="1"/>
  <c r="D18" i="1"/>
  <c r="D33" i="1" l="1"/>
  <c r="P18" i="1"/>
</calcChain>
</file>

<file path=xl/sharedStrings.xml><?xml version="1.0" encoding="utf-8"?>
<sst xmlns="http://schemas.openxmlformats.org/spreadsheetml/2006/main" count="127" uniqueCount="81">
  <si>
    <t>#</t>
  </si>
  <si>
    <t>Node</t>
  </si>
  <si>
    <t>Description</t>
  </si>
  <si>
    <t>TOTAL</t>
  </si>
  <si>
    <t>CCR00000</t>
  </si>
  <si>
    <t>CCR00001</t>
  </si>
  <si>
    <t>CCR00002</t>
  </si>
  <si>
    <t>CCR00003</t>
  </si>
  <si>
    <t>CCR00004</t>
  </si>
  <si>
    <t>CCR00005</t>
  </si>
  <si>
    <t>CCR00006</t>
  </si>
  <si>
    <t>CCR00007</t>
  </si>
  <si>
    <t>CCR00009</t>
  </si>
  <si>
    <t>CCR00010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</si>
  <si>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</si>
  <si>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</si>
  <si>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</si>
  <si>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</si>
  <si>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</si>
  <si>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</si>
  <si>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</si>
  <si>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</si>
  <si>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</si>
  <si>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</si>
  <si>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</si>
  <si>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</si>
  <si>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</si>
  <si>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</si>
  <si>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</si>
  <si>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</si>
  <si>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</si>
  <si>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</si>
  <si>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</si>
  <si>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</si>
  <si>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</si>
  <si>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</si>
  <si>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</si>
  <si>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</si>
  <si>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</si>
  <si>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</si>
  <si>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</si>
  <si>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</si>
  <si>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</si>
  <si>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</si>
  <si>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</si>
  <si>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</si>
  <si>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</si>
  <si>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</si>
  <si>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</si>
  <si>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</si>
  <si>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</si>
  <si>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</si>
  <si>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</si>
  <si>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</si>
  <si>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</si>
  <si>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</si>
  <si>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</si>
  <si>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</si>
  <si>
    <t>.   No definido !!!</t>
  </si>
  <si>
    <t>Nom Proveïdor</t>
  </si>
  <si>
    <t>Total Base Imposable</t>
  </si>
  <si>
    <t>CB BASES</t>
  </si>
  <si>
    <t>CB BEGUDES</t>
  </si>
  <si>
    <t>CB CONGELAT</t>
  </si>
  <si>
    <t>CB EMBALATGE CUINA</t>
  </si>
  <si>
    <t>CB FRESC</t>
  </si>
  <si>
    <t>CB MATERIAL</t>
  </si>
  <si>
    <t>CB MATERIAL OFICINA</t>
  </si>
  <si>
    <t>CB NETEJA</t>
  </si>
  <si>
    <t>CB PARAMENT</t>
  </si>
  <si>
    <t>CB SEC</t>
  </si>
  <si>
    <t>ORIGENS</t>
  </si>
  <si>
    <t xml:space="preserve"> NAUTIC</t>
  </si>
  <si>
    <t>LA MASIA</t>
  </si>
  <si>
    <t xml:space="preserve"> CAMP NOU</t>
  </si>
  <si>
    <t>TARRACO</t>
  </si>
  <si>
    <t>MIRADOR</t>
  </si>
  <si>
    <t xml:space="preserve"> JUNO HOUSE</t>
  </si>
  <si>
    <t>FDLC</t>
  </si>
  <si>
    <t xml:space="preserve"> PLURAL</t>
  </si>
  <si>
    <t>SOLIVER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</si>
</sst>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.00\ _€_-;\-* #,##0.00\ _€_-;_-* &quot;-&quot;??\ _€_-;_-@_-"/>
  </numFmts>
  <fonts count="20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">
    <xf numFmtId="0" fontId="0" fillId="0" borderId="0" xfId="0"/>
    <xf numFmtId="43" fontId="0" fillId="0" borderId="0" xfId="43" applyFont="1" applyFill="1"/>
    <xf numFmtId="10" fontId="0" fillId="0" borderId="0" xfId="42" applyNumberFormat="1" applyFont="1" applyFill="1"/>
    <xf numFmtId="10" fontId="0" fillId="0" borderId="0" xfId="0" applyNumberFormat="1"/>
    <xf numFmtId="164" fontId="0" fillId="0" borderId="0" xfId="0" applyNumberFormat="1"/>
    <xf numFmtId="4" fontId="0" fillId="0" borderId="0" xfId="0" applyNumberFormat="1"/>
    <xf numFmtId="43" fontId="0" fillId="0" borderId="0" xfId="43" applyFont="1"/>
    <xf numFmtId="0" fontId="18" fillId="0" borderId="0" xfId="0" applyFont="1" applyAlignment="1">
      <alignment horizontal="center"/>
    </xf>
    <xf numFmtId="0" fontId="19" fillId="33" borderId="0" xfId="0" applyFont="1" applyFill="1" applyAlignment="1">
      <alignment horizontal="center"/>
    </xf>
    <xf numFmtId="0" fontId="18" fillId="34" borderId="0" xfId="0" applyFont="1" applyFill="1" applyAlignment="1">
      <alignment horizontal="left" indent="1"/>
    </xf>
    <xf numFmtId="44" fontId="18" fillId="0" borderId="0" xfId="44" applyFont="1"/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" xfId="43" builtinId="3"/>
    <cellStyle name="Moneda" xfId="44" builtinId="4"/>
    <cellStyle name="Neutral" xfId="8" builtinId="28" customBuiltin="1"/>
    <cellStyle name="Normal" xfId="0" builtinId="0"/>
    <cellStyle name="Notas" xfId="15" builtinId="10" customBuiltin="1"/>
    <cellStyle name="Porcentaje" xfId="42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3"/>
  <sheetViews>
    <sheetView topLeftCell="C1" workbookViewId="0">
      <selection activeCell="E43" sqref="E43"/>
    </sheetView>
  </sheetViews>
  <sheetFormatPr baseColWidth="10" defaultColWidth="9.140625" defaultRowHeight="15" x14ac:dyDescent="0.25"/>
  <cols>
    <col min="3" max="3" width="33.42578125" bestFit="1" customWidth="1"/>
    <col min="4" max="4" width="17.42578125" customWidth="1"/>
    <col min="5" max="5" width="10.5703125" bestFit="1" customWidth="1"/>
    <col min="6" max="6" width="10.7109375" customWidth="1"/>
    <col min="7" max="7" width="12.42578125" customWidth="1"/>
    <col min="8" max="9" width="11.5703125" bestFit="1" customWidth="1"/>
    <col min="10" max="12" width="10.5703125" bestFit="1" customWidth="1"/>
    <col min="13" max="13" width="11.5703125" customWidth="1"/>
    <col min="14" max="14" width="10.5703125" bestFit="1" customWidth="1"/>
    <col min="20" max="20" width="12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6" x14ac:dyDescent="0.25">
      <c r="A2">
        <v>1</v>
      </c>
      <c r="B2">
        <v>1</v>
      </c>
      <c r="C2" t="s">
        <v>15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6" x14ac:dyDescent="0.25">
      <c r="A3">
        <v>2</v>
      </c>
      <c r="B3">
        <v>2</v>
      </c>
      <c r="C3" t="s">
        <v>16</v>
      </c>
      <c r="D3" s="1">
        <f>SUM(E3:N3)</f>
        <v>642279.9800000001</v>
      </c>
      <c r="E3" s="1">
        <v>0</v>
      </c>
      <c r="F3" s="1">
        <v>33967.08</v>
      </c>
      <c r="G3" s="1">
        <v>136858.38</v>
      </c>
      <c r="H3" s="1">
        <f>187948.27+2185.44</f>
        <v>190133.71</v>
      </c>
      <c r="I3" s="1">
        <v>121798.71</v>
      </c>
      <c r="J3" s="1">
        <v>17474.96</v>
      </c>
      <c r="K3" s="1">
        <v>96794.86</v>
      </c>
      <c r="L3" s="1">
        <v>19731.36</v>
      </c>
      <c r="M3" s="1">
        <v>4375</v>
      </c>
      <c r="N3" s="1">
        <v>21145.919999999998</v>
      </c>
      <c r="O3">
        <v>0</v>
      </c>
    </row>
    <row r="4" spans="1:16" x14ac:dyDescent="0.25">
      <c r="A4">
        <v>3</v>
      </c>
      <c r="B4">
        <v>3</v>
      </c>
      <c r="C4" t="s">
        <v>17</v>
      </c>
      <c r="D4" s="1">
        <f t="shared" ref="D4:D6" si="0">SUM(E4:N4)</f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>
        <v>0</v>
      </c>
    </row>
    <row r="5" spans="1:16" x14ac:dyDescent="0.25">
      <c r="A5">
        <v>4</v>
      </c>
      <c r="B5">
        <v>4</v>
      </c>
      <c r="C5" t="s">
        <v>18</v>
      </c>
      <c r="D5" s="1">
        <f t="shared" si="0"/>
        <v>4617.95</v>
      </c>
      <c r="E5" s="1">
        <v>0</v>
      </c>
      <c r="F5" s="1">
        <v>0</v>
      </c>
      <c r="G5" s="1">
        <v>0</v>
      </c>
      <c r="H5" s="1">
        <v>317.95</v>
      </c>
      <c r="I5" s="1">
        <v>0</v>
      </c>
      <c r="J5" s="1">
        <v>0</v>
      </c>
      <c r="K5" s="1">
        <v>0</v>
      </c>
      <c r="L5" s="1">
        <v>4300</v>
      </c>
      <c r="M5" s="1">
        <v>0</v>
      </c>
      <c r="N5" s="1">
        <v>0</v>
      </c>
      <c r="O5">
        <v>0</v>
      </c>
    </row>
    <row r="6" spans="1:16" x14ac:dyDescent="0.25">
      <c r="A6">
        <v>5</v>
      </c>
      <c r="B6">
        <v>5</v>
      </c>
      <c r="C6" t="s">
        <v>19</v>
      </c>
      <c r="D6" s="1">
        <f t="shared" si="0"/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>
        <v>0</v>
      </c>
    </row>
    <row r="7" spans="1:16" x14ac:dyDescent="0.25">
      <c r="A7">
        <v>6</v>
      </c>
      <c r="B7">
        <v>6</v>
      </c>
      <c r="C7" t="s">
        <v>20</v>
      </c>
      <c r="D7" s="1">
        <f>SUM(D3:D6)</f>
        <v>646897.93000000005</v>
      </c>
      <c r="E7" s="1">
        <f t="shared" ref="E7:N7" si="1">SUM(E3:E6)</f>
        <v>0</v>
      </c>
      <c r="F7" s="1">
        <f t="shared" si="1"/>
        <v>33967.08</v>
      </c>
      <c r="G7" s="1">
        <f t="shared" si="1"/>
        <v>136858.38</v>
      </c>
      <c r="H7" s="1">
        <f t="shared" si="1"/>
        <v>190451.66</v>
      </c>
      <c r="I7" s="1">
        <f t="shared" si="1"/>
        <v>121798.71</v>
      </c>
      <c r="J7" s="1">
        <f t="shared" si="1"/>
        <v>17474.96</v>
      </c>
      <c r="K7" s="1">
        <f t="shared" si="1"/>
        <v>96794.86</v>
      </c>
      <c r="L7" s="1">
        <f t="shared" si="1"/>
        <v>24031.360000000001</v>
      </c>
      <c r="M7" s="1">
        <f t="shared" si="1"/>
        <v>4375</v>
      </c>
      <c r="N7" s="1">
        <f t="shared" si="1"/>
        <v>21145.919999999998</v>
      </c>
      <c r="O7">
        <v>0</v>
      </c>
    </row>
    <row r="8" spans="1:16" x14ac:dyDescent="0.25">
      <c r="A8">
        <v>7</v>
      </c>
      <c r="B8">
        <v>7</v>
      </c>
      <c r="C8" t="s">
        <v>21</v>
      </c>
      <c r="D8" s="1">
        <f>SUM(E8:N8)</f>
        <v>-130129.79</v>
      </c>
      <c r="E8" s="1">
        <v>0</v>
      </c>
      <c r="F8" s="1">
        <v>-8643.92</v>
      </c>
      <c r="G8" s="1">
        <v>-27957.1</v>
      </c>
      <c r="H8" s="1">
        <v>-38115.440000000002</v>
      </c>
      <c r="I8" s="1">
        <v>-22034.97</v>
      </c>
      <c r="J8" s="1">
        <v>-4520</v>
      </c>
      <c r="K8" s="1">
        <v>-20498.490000000002</v>
      </c>
      <c r="L8" s="1">
        <v>-2164.37</v>
      </c>
      <c r="M8" s="1">
        <v>-1272.26</v>
      </c>
      <c r="N8" s="1">
        <v>-4923.24</v>
      </c>
      <c r="O8">
        <v>0</v>
      </c>
    </row>
    <row r="9" spans="1:16" x14ac:dyDescent="0.25">
      <c r="A9">
        <v>8</v>
      </c>
      <c r="B9">
        <v>8</v>
      </c>
      <c r="C9" t="s">
        <v>22</v>
      </c>
      <c r="D9" s="1">
        <f t="shared" ref="D9:D11" si="2">SUM(E9:N9)</f>
        <v>-8068.6600000000008</v>
      </c>
      <c r="E9" s="1">
        <v>0</v>
      </c>
      <c r="F9" s="1">
        <v>-436.94</v>
      </c>
      <c r="G9" s="1">
        <v>-1180.3800000000001</v>
      </c>
      <c r="H9" s="1">
        <v>-2481.5</v>
      </c>
      <c r="I9" s="1">
        <v>-416.43</v>
      </c>
      <c r="J9" s="1">
        <v>-382.18</v>
      </c>
      <c r="K9" s="1">
        <v>-2577.15</v>
      </c>
      <c r="L9" s="1">
        <v>-21.85</v>
      </c>
      <c r="M9" s="1">
        <v>-7.72</v>
      </c>
      <c r="N9" s="1">
        <v>-564.51</v>
      </c>
      <c r="O9">
        <v>0</v>
      </c>
    </row>
    <row r="10" spans="1:16" x14ac:dyDescent="0.25">
      <c r="A10">
        <v>9</v>
      </c>
      <c r="B10">
        <v>9</v>
      </c>
      <c r="C10" t="s">
        <v>23</v>
      </c>
      <c r="D10" s="1">
        <f t="shared" si="2"/>
        <v>-69917.98000000001</v>
      </c>
      <c r="E10" s="1">
        <v>0</v>
      </c>
      <c r="F10" s="1">
        <f>'Consums Interns'!B13</f>
        <v>-7297.03</v>
      </c>
      <c r="G10" s="1">
        <f>'Consums Interns'!C13</f>
        <v>-13640.979999999998</v>
      </c>
      <c r="H10" s="1">
        <f>'Consums Interns'!D13</f>
        <v>-20280.870000000006</v>
      </c>
      <c r="I10" s="1">
        <f>'Consums Interns'!E13</f>
        <v>-7562.8899999999994</v>
      </c>
      <c r="J10" s="1">
        <f>'Consums Interns'!F13</f>
        <v>-3814.0599999999995</v>
      </c>
      <c r="K10" s="1">
        <f>'Consums Interns'!G13</f>
        <v>-11218.300000000001</v>
      </c>
      <c r="L10" s="1">
        <f>'Consums Interns'!H13</f>
        <v>-2188.87</v>
      </c>
      <c r="M10" s="1">
        <f>'Consums Interns'!J13</f>
        <v>-1085.24</v>
      </c>
      <c r="N10" s="1">
        <f>'Consums Interns'!K13</f>
        <v>-2829.74</v>
      </c>
      <c r="O10">
        <v>0</v>
      </c>
    </row>
    <row r="11" spans="1:16" x14ac:dyDescent="0.25">
      <c r="A11">
        <v>10</v>
      </c>
      <c r="B11">
        <v>10</v>
      </c>
      <c r="C11" t="s">
        <v>24</v>
      </c>
      <c r="D11" s="1">
        <f t="shared" si="2"/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>
        <v>0</v>
      </c>
    </row>
    <row r="12" spans="1:16" x14ac:dyDescent="0.25">
      <c r="A12">
        <v>11</v>
      </c>
      <c r="B12">
        <v>11</v>
      </c>
      <c r="C12" t="s">
        <v>25</v>
      </c>
      <c r="D12" s="1">
        <f>SUM(D8:D11)</f>
        <v>-208116.43</v>
      </c>
      <c r="E12" s="1">
        <f t="shared" ref="E12:N12" si="3">SUM(E8:E11)</f>
        <v>0</v>
      </c>
      <c r="F12" s="1">
        <f t="shared" si="3"/>
        <v>-16377.89</v>
      </c>
      <c r="G12" s="1">
        <f t="shared" si="3"/>
        <v>-42778.46</v>
      </c>
      <c r="H12" s="1">
        <f t="shared" si="3"/>
        <v>-60877.810000000012</v>
      </c>
      <c r="I12" s="1">
        <f t="shared" si="3"/>
        <v>-30014.29</v>
      </c>
      <c r="J12" s="1">
        <f t="shared" si="3"/>
        <v>-8716.24</v>
      </c>
      <c r="K12" s="1">
        <f t="shared" si="3"/>
        <v>-34293.94</v>
      </c>
      <c r="L12" s="1">
        <f t="shared" si="3"/>
        <v>-4375.09</v>
      </c>
      <c r="M12" s="1">
        <f t="shared" si="3"/>
        <v>-2365.2200000000003</v>
      </c>
      <c r="N12" s="1">
        <f t="shared" si="3"/>
        <v>-8317.49</v>
      </c>
      <c r="O12">
        <v>0</v>
      </c>
      <c r="P12" s="2">
        <f>D12/D7</f>
        <v>-0.32171447820214849</v>
      </c>
    </row>
    <row r="13" spans="1:16" x14ac:dyDescent="0.25">
      <c r="A13">
        <v>12</v>
      </c>
      <c r="B13">
        <v>12</v>
      </c>
      <c r="C13" t="s">
        <v>26</v>
      </c>
      <c r="D13" s="1">
        <v>521786.53</v>
      </c>
      <c r="E13" s="1">
        <v>0</v>
      </c>
      <c r="F13" s="1">
        <v>25646.34</v>
      </c>
      <c r="G13" s="1">
        <v>112653.34</v>
      </c>
      <c r="H13" s="1">
        <v>152451.29</v>
      </c>
      <c r="I13" s="1">
        <v>99986.25</v>
      </c>
      <c r="J13" s="1">
        <v>13267.26</v>
      </c>
      <c r="K13" s="1">
        <v>76576.53</v>
      </c>
      <c r="L13" s="1">
        <v>21954.31</v>
      </c>
      <c r="M13" s="1">
        <v>3135.43</v>
      </c>
      <c r="N13" s="1">
        <v>16115.78</v>
      </c>
      <c r="O13">
        <v>0</v>
      </c>
    </row>
    <row r="14" spans="1:16" x14ac:dyDescent="0.25">
      <c r="A14">
        <v>13</v>
      </c>
      <c r="B14">
        <v>13</v>
      </c>
      <c r="C14" t="s">
        <v>27</v>
      </c>
      <c r="D14" s="1">
        <f>SUM(E14:N14)</f>
        <v>-262022.03999999998</v>
      </c>
      <c r="E14" s="1">
        <f>-21913.97-20000+2006.7</f>
        <v>-39907.270000000004</v>
      </c>
      <c r="F14" s="1">
        <f>-15329.84-611.75+2790.8-720</f>
        <v>-13870.79</v>
      </c>
      <c r="G14" s="1">
        <f>-47216.24-804.25-1540.2</f>
        <v>-49560.689999999995</v>
      </c>
      <c r="H14" s="1">
        <f>-55201.27-507+2333.3-1943.4</f>
        <v>-55318.369999999995</v>
      </c>
      <c r="I14" s="1">
        <f>-30946.54+1492.5-597.9</f>
        <v>-30051.940000000002</v>
      </c>
      <c r="J14" s="1">
        <f>-8840.63-1240.25+75.6</f>
        <v>-10005.279999999999</v>
      </c>
      <c r="K14" s="1">
        <f>-31152.63-949.16+1079.74-425.1</f>
        <v>-31447.149999999998</v>
      </c>
      <c r="L14" s="1">
        <f>-12910.25-349</f>
        <v>-13259.25</v>
      </c>
      <c r="M14" s="1">
        <f>-6371.22+4795.2-355.5</f>
        <v>-1931.5200000000004</v>
      </c>
      <c r="N14" s="1">
        <f>-23240.78-860+8006.7-575.7</f>
        <v>-16669.78</v>
      </c>
      <c r="O14">
        <v>0</v>
      </c>
    </row>
    <row r="15" spans="1:16" x14ac:dyDescent="0.25">
      <c r="A15">
        <v>14</v>
      </c>
      <c r="B15">
        <v>14</v>
      </c>
      <c r="C15" t="s">
        <v>28</v>
      </c>
      <c r="D15" s="1">
        <f t="shared" ref="D15:D17" si="4">SUM(E15:N15)</f>
        <v>-2200</v>
      </c>
      <c r="E15" s="1">
        <v>0</v>
      </c>
      <c r="F15" s="1">
        <v>0</v>
      </c>
      <c r="G15" s="1">
        <v>0</v>
      </c>
      <c r="H15" s="1">
        <v>0</v>
      </c>
      <c r="I15" s="1">
        <v>-2200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>
        <v>0</v>
      </c>
    </row>
    <row r="16" spans="1:16" x14ac:dyDescent="0.25">
      <c r="A16">
        <v>15</v>
      </c>
      <c r="B16">
        <v>15</v>
      </c>
      <c r="C16" t="s">
        <v>29</v>
      </c>
      <c r="D16" s="1">
        <f t="shared" si="4"/>
        <v>-75385.48</v>
      </c>
      <c r="E16" s="1">
        <v>-6794.11</v>
      </c>
      <c r="F16" s="1">
        <v>-4438.09</v>
      </c>
      <c r="G16" s="1">
        <v>-12436.82</v>
      </c>
      <c r="H16" s="1">
        <v>-16841.82</v>
      </c>
      <c r="I16" s="1">
        <v>-8926.75</v>
      </c>
      <c r="J16" s="5">
        <v>-2954.4</v>
      </c>
      <c r="K16" s="1">
        <v>-10112</v>
      </c>
      <c r="L16" s="1">
        <v>-3987</v>
      </c>
      <c r="M16" s="1">
        <v>-2099.85</v>
      </c>
      <c r="N16" s="1">
        <v>-6794.64</v>
      </c>
      <c r="O16">
        <v>0</v>
      </c>
    </row>
    <row r="17" spans="1:20" x14ac:dyDescent="0.25">
      <c r="A17">
        <v>16</v>
      </c>
      <c r="B17">
        <v>16</v>
      </c>
      <c r="C17" t="s">
        <v>30</v>
      </c>
      <c r="D17" s="1">
        <f t="shared" si="4"/>
        <v>-1778.57</v>
      </c>
      <c r="E17" s="1">
        <v>-533.02</v>
      </c>
      <c r="F17" s="1">
        <v>0</v>
      </c>
      <c r="G17" s="1">
        <v>-22.2</v>
      </c>
      <c r="H17" s="1">
        <v>-31.8</v>
      </c>
      <c r="I17" s="1">
        <v>-476.58</v>
      </c>
      <c r="J17" s="1">
        <v>-486.57</v>
      </c>
      <c r="K17" s="1">
        <v>0</v>
      </c>
      <c r="L17" s="1">
        <v>-228.4</v>
      </c>
      <c r="M17" s="1">
        <v>0</v>
      </c>
      <c r="N17" s="1">
        <v>0</v>
      </c>
      <c r="O17">
        <v>0</v>
      </c>
    </row>
    <row r="18" spans="1:20" x14ac:dyDescent="0.25">
      <c r="A18">
        <v>17</v>
      </c>
      <c r="B18">
        <v>17</v>
      </c>
      <c r="C18" t="s">
        <v>31</v>
      </c>
      <c r="D18" s="1">
        <f>SUM(D14:D17)</f>
        <v>-341386.08999999997</v>
      </c>
      <c r="E18" s="1">
        <f t="shared" ref="E18:H18" si="5">SUM(E14:E17)</f>
        <v>-47234.400000000001</v>
      </c>
      <c r="F18" s="1">
        <f t="shared" si="5"/>
        <v>-18308.88</v>
      </c>
      <c r="G18" s="1">
        <f t="shared" si="5"/>
        <v>-62019.709999999992</v>
      </c>
      <c r="H18" s="1">
        <f t="shared" si="5"/>
        <v>-72191.990000000005</v>
      </c>
      <c r="I18" s="1">
        <f>SUM(I14:I17)</f>
        <v>-41655.270000000004</v>
      </c>
      <c r="J18" s="1">
        <f t="shared" ref="J18" si="6">SUM(J14:J17)</f>
        <v>-13446.249999999998</v>
      </c>
      <c r="K18" s="1">
        <f t="shared" ref="K18" si="7">SUM(K14:K17)</f>
        <v>-41559.149999999994</v>
      </c>
      <c r="L18" s="1">
        <f t="shared" ref="L18" si="8">SUM(L14:L17)</f>
        <v>-17474.650000000001</v>
      </c>
      <c r="M18" s="1">
        <f t="shared" ref="M18" si="9">SUM(M14:M17)</f>
        <v>-4031.3700000000003</v>
      </c>
      <c r="N18" s="1">
        <f>SUM(N14:N17)</f>
        <v>-23464.42</v>
      </c>
      <c r="O18">
        <v>0</v>
      </c>
      <c r="P18" s="2">
        <f>D18/D7</f>
        <v>-0.527727906008294</v>
      </c>
      <c r="R18" s="2"/>
      <c r="S18" s="3"/>
      <c r="T18" s="4"/>
    </row>
    <row r="19" spans="1:20" x14ac:dyDescent="0.25">
      <c r="A19">
        <v>18</v>
      </c>
      <c r="B19">
        <v>18</v>
      </c>
      <c r="C19" t="s">
        <v>32</v>
      </c>
      <c r="D19" s="1">
        <f t="shared" ref="D19:D30" si="10">SUM(E19:N19)</f>
        <v>-40399.14</v>
      </c>
      <c r="E19" s="1">
        <v>0</v>
      </c>
      <c r="F19" s="1">
        <v>0</v>
      </c>
      <c r="G19" s="1">
        <v>-5131.99</v>
      </c>
      <c r="H19" s="1">
        <v>-267.58</v>
      </c>
      <c r="I19" s="1">
        <v>-24359.07</v>
      </c>
      <c r="J19" s="1">
        <v>-1500</v>
      </c>
      <c r="K19" s="1">
        <v>-4220.3599999999997</v>
      </c>
      <c r="L19" s="1">
        <v>0</v>
      </c>
      <c r="M19" s="1">
        <v>-1729.9</v>
      </c>
      <c r="N19" s="1">
        <v>-3190.24</v>
      </c>
      <c r="O19">
        <v>0</v>
      </c>
    </row>
    <row r="20" spans="1:20" x14ac:dyDescent="0.25">
      <c r="A20">
        <v>19</v>
      </c>
      <c r="B20">
        <v>19</v>
      </c>
      <c r="C20" t="s">
        <v>33</v>
      </c>
      <c r="D20" s="1">
        <f t="shared" si="10"/>
        <v>-16224.729999999998</v>
      </c>
      <c r="E20" s="1">
        <v>0</v>
      </c>
      <c r="F20" s="1">
        <v>-797.99</v>
      </c>
      <c r="G20" s="1">
        <v>-763.74</v>
      </c>
      <c r="H20" s="1">
        <v>-3403.34</v>
      </c>
      <c r="I20" s="1">
        <v>-328.34</v>
      </c>
      <c r="J20" s="1">
        <v>-509.48</v>
      </c>
      <c r="K20" s="1">
        <v>-8521.2099999999991</v>
      </c>
      <c r="L20" s="1">
        <v>-422.49</v>
      </c>
      <c r="M20" s="1">
        <v>-44</v>
      </c>
      <c r="N20" s="1">
        <v>-1434.14</v>
      </c>
      <c r="O20">
        <v>0</v>
      </c>
    </row>
    <row r="21" spans="1:20" x14ac:dyDescent="0.25">
      <c r="A21">
        <v>20</v>
      </c>
      <c r="B21">
        <v>20</v>
      </c>
      <c r="C21" t="s">
        <v>34</v>
      </c>
      <c r="D21" s="1">
        <f t="shared" si="10"/>
        <v>-6783.63</v>
      </c>
      <c r="E21" s="1">
        <v>0</v>
      </c>
      <c r="F21" s="1">
        <v>-260.20999999999998</v>
      </c>
      <c r="G21" s="1">
        <v>-1076.21</v>
      </c>
      <c r="H21" s="1">
        <f>-1182.96-200</f>
        <v>-1382.96</v>
      </c>
      <c r="I21" s="1">
        <v>-63.86</v>
      </c>
      <c r="J21" s="1">
        <v>-288.26</v>
      </c>
      <c r="K21" s="1">
        <v>-250.01</v>
      </c>
      <c r="L21" s="1">
        <v>-86.81</v>
      </c>
      <c r="M21" s="1">
        <v>-62</v>
      </c>
      <c r="N21" s="1">
        <v>-3313.31</v>
      </c>
      <c r="O21">
        <v>0</v>
      </c>
    </row>
    <row r="22" spans="1:20" x14ac:dyDescent="0.25">
      <c r="A22">
        <v>21</v>
      </c>
      <c r="B22">
        <v>21</v>
      </c>
      <c r="C22" t="s">
        <v>35</v>
      </c>
      <c r="D22" s="1">
        <f t="shared" si="10"/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>
        <v>0</v>
      </c>
    </row>
    <row r="23" spans="1:20" x14ac:dyDescent="0.25">
      <c r="A23">
        <v>22</v>
      </c>
      <c r="B23">
        <v>22</v>
      </c>
      <c r="C23" t="s">
        <v>36</v>
      </c>
      <c r="D23" s="1">
        <f t="shared" si="10"/>
        <v>-1417.1700000000003</v>
      </c>
      <c r="E23" s="1">
        <v>0</v>
      </c>
      <c r="F23" s="1">
        <v>-439.61</v>
      </c>
      <c r="G23" s="1">
        <v>-150.36000000000001</v>
      </c>
      <c r="H23" s="1">
        <v>-374.13</v>
      </c>
      <c r="I23" s="1">
        <v>-40.81</v>
      </c>
      <c r="J23" s="1">
        <v>-96.37</v>
      </c>
      <c r="K23" s="1">
        <v>-287.54000000000002</v>
      </c>
      <c r="L23" s="1">
        <v>0</v>
      </c>
      <c r="M23" s="1">
        <v>-14.18</v>
      </c>
      <c r="N23" s="1">
        <v>-14.17</v>
      </c>
      <c r="O23">
        <v>0</v>
      </c>
    </row>
    <row r="24" spans="1:20" x14ac:dyDescent="0.25">
      <c r="A24">
        <v>23</v>
      </c>
      <c r="B24">
        <v>23</v>
      </c>
      <c r="C24" t="s">
        <v>37</v>
      </c>
      <c r="D24" s="1">
        <f t="shared" si="10"/>
        <v>-2927.84</v>
      </c>
      <c r="E24" s="1">
        <v>0</v>
      </c>
      <c r="F24" s="1">
        <v>-148.58000000000001</v>
      </c>
      <c r="G24" s="1">
        <v>-445.24</v>
      </c>
      <c r="H24" s="1">
        <v>-473.9</v>
      </c>
      <c r="I24" s="1">
        <v>-1249.49</v>
      </c>
      <c r="J24" s="1">
        <v>-96.01</v>
      </c>
      <c r="K24" s="1">
        <v>-339.2</v>
      </c>
      <c r="L24" s="1">
        <v>-67.010000000000005</v>
      </c>
      <c r="M24" s="1">
        <v>-38.69</v>
      </c>
      <c r="N24" s="1">
        <v>-69.72</v>
      </c>
      <c r="O24">
        <v>0</v>
      </c>
    </row>
    <row r="25" spans="1:20" x14ac:dyDescent="0.25">
      <c r="A25">
        <v>24</v>
      </c>
      <c r="B25">
        <v>24</v>
      </c>
      <c r="C25" t="s">
        <v>38</v>
      </c>
      <c r="D25" s="1">
        <f t="shared" si="10"/>
        <v>-1248.74</v>
      </c>
      <c r="E25" s="1">
        <v>0</v>
      </c>
      <c r="F25" s="1">
        <v>-10.74</v>
      </c>
      <c r="G25" s="1">
        <v>0</v>
      </c>
      <c r="H25" s="1">
        <v>0</v>
      </c>
      <c r="I25" s="1">
        <v>0</v>
      </c>
      <c r="J25" s="1">
        <v>-800</v>
      </c>
      <c r="K25" s="1">
        <v>0</v>
      </c>
      <c r="L25" s="1">
        <v>0</v>
      </c>
      <c r="M25" s="1">
        <v>0</v>
      </c>
      <c r="N25" s="1">
        <v>-438</v>
      </c>
      <c r="O25">
        <v>0</v>
      </c>
    </row>
    <row r="26" spans="1:20" x14ac:dyDescent="0.25">
      <c r="A26">
        <v>25</v>
      </c>
      <c r="B26">
        <v>25</v>
      </c>
      <c r="C26" t="s">
        <v>39</v>
      </c>
      <c r="D26" s="1">
        <f t="shared" si="10"/>
        <v>-18492.400000000001</v>
      </c>
      <c r="E26" s="1">
        <v>0</v>
      </c>
      <c r="F26" s="1">
        <v>-1591.65</v>
      </c>
      <c r="G26" s="1">
        <v>-1700</v>
      </c>
      <c r="H26" s="1">
        <v>-4936.12</v>
      </c>
      <c r="I26" s="1">
        <v>-1034</v>
      </c>
      <c r="J26" s="1">
        <v>0</v>
      </c>
      <c r="K26" s="1">
        <v>-3099.2</v>
      </c>
      <c r="L26" s="1">
        <v>0</v>
      </c>
      <c r="M26" s="1">
        <v>-1770</v>
      </c>
      <c r="N26" s="1">
        <v>-4361.43</v>
      </c>
      <c r="O26">
        <v>0</v>
      </c>
    </row>
    <row r="27" spans="1:20" x14ac:dyDescent="0.25">
      <c r="A27">
        <v>26</v>
      </c>
      <c r="B27">
        <v>26</v>
      </c>
      <c r="C27" t="s">
        <v>40</v>
      </c>
      <c r="D27" s="1">
        <f t="shared" si="10"/>
        <v>-8604.39</v>
      </c>
      <c r="E27" s="1">
        <v>-120</v>
      </c>
      <c r="F27" s="1">
        <v>-672.77</v>
      </c>
      <c r="G27" s="1">
        <v>-965.93</v>
      </c>
      <c r="H27" s="1">
        <v>-3689.8</v>
      </c>
      <c r="I27" s="1">
        <v>-967.62</v>
      </c>
      <c r="J27" s="1">
        <v>-118.78</v>
      </c>
      <c r="K27" s="1">
        <v>-1386.57</v>
      </c>
      <c r="L27" s="1">
        <v>-124</v>
      </c>
      <c r="M27" s="1">
        <v>0</v>
      </c>
      <c r="N27" s="1">
        <v>-558.91999999999996</v>
      </c>
      <c r="O27">
        <v>0</v>
      </c>
    </row>
    <row r="28" spans="1:20" x14ac:dyDescent="0.25">
      <c r="A28">
        <v>27</v>
      </c>
      <c r="B28">
        <v>27</v>
      </c>
      <c r="C28" t="s">
        <v>41</v>
      </c>
      <c r="D28" s="1">
        <f t="shared" si="10"/>
        <v>-2891.37</v>
      </c>
      <c r="E28" s="1">
        <v>0</v>
      </c>
      <c r="F28" s="1">
        <v>-1159.76</v>
      </c>
      <c r="G28" s="1">
        <v>-656.64</v>
      </c>
      <c r="H28" s="1">
        <v>-276.39</v>
      </c>
      <c r="I28" s="1">
        <v>-207.23</v>
      </c>
      <c r="J28" s="1">
        <v>-114</v>
      </c>
      <c r="K28" s="1">
        <v>-161.44999999999999</v>
      </c>
      <c r="L28" s="1">
        <v>0</v>
      </c>
      <c r="M28" s="1">
        <v>-25.33</v>
      </c>
      <c r="N28" s="1">
        <v>-290.57</v>
      </c>
      <c r="O28">
        <v>0</v>
      </c>
    </row>
    <row r="29" spans="1:20" x14ac:dyDescent="0.25">
      <c r="A29">
        <v>28</v>
      </c>
      <c r="B29">
        <v>28</v>
      </c>
      <c r="C29" t="s">
        <v>42</v>
      </c>
      <c r="D29" s="1">
        <f t="shared" si="10"/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>
        <v>0</v>
      </c>
    </row>
    <row r="30" spans="1:20" x14ac:dyDescent="0.25">
      <c r="A30">
        <v>29</v>
      </c>
      <c r="B30">
        <v>29</v>
      </c>
      <c r="C30" t="s">
        <v>43</v>
      </c>
      <c r="D30" s="1">
        <f t="shared" si="10"/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>
        <v>0</v>
      </c>
    </row>
    <row r="31" spans="1:20" x14ac:dyDescent="0.25">
      <c r="A31">
        <v>30</v>
      </c>
      <c r="B31">
        <v>30</v>
      </c>
      <c r="C31" t="s">
        <v>44</v>
      </c>
      <c r="D31" s="1">
        <f>SUM(D19:D30)</f>
        <v>-98989.409999999989</v>
      </c>
      <c r="E31" s="1">
        <f t="shared" ref="E31:N31" si="11">SUM(E19:E30)</f>
        <v>-120</v>
      </c>
      <c r="F31" s="1">
        <f t="shared" si="11"/>
        <v>-5081.3099999999995</v>
      </c>
      <c r="G31" s="1">
        <f t="shared" si="11"/>
        <v>-10890.109999999999</v>
      </c>
      <c r="H31" s="1">
        <f t="shared" si="11"/>
        <v>-14804.219999999998</v>
      </c>
      <c r="I31" s="1">
        <f t="shared" si="11"/>
        <v>-28250.420000000002</v>
      </c>
      <c r="J31" s="1">
        <f t="shared" si="11"/>
        <v>-3522.9</v>
      </c>
      <c r="K31" s="1">
        <f t="shared" si="11"/>
        <v>-18265.54</v>
      </c>
      <c r="L31" s="1">
        <f t="shared" si="11"/>
        <v>-700.31000000000006</v>
      </c>
      <c r="M31" s="1">
        <f t="shared" si="11"/>
        <v>-3684.1000000000004</v>
      </c>
      <c r="N31" s="1">
        <f t="shared" si="11"/>
        <v>-13670.500000000002</v>
      </c>
      <c r="O31">
        <v>0</v>
      </c>
    </row>
    <row r="32" spans="1:20" x14ac:dyDescent="0.25">
      <c r="A32">
        <v>31</v>
      </c>
      <c r="B32">
        <v>31</v>
      </c>
      <c r="C32" t="s">
        <v>45</v>
      </c>
      <c r="D32" s="1">
        <v>-65871.92</v>
      </c>
      <c r="E32" s="1">
        <v>-120</v>
      </c>
      <c r="F32" s="1">
        <v>-4735.0200000000004</v>
      </c>
      <c r="G32" s="1">
        <v>-9107.92</v>
      </c>
      <c r="H32" s="1">
        <v>-9464.07</v>
      </c>
      <c r="I32" s="1">
        <v>-5730.91</v>
      </c>
      <c r="J32" s="1">
        <v>-3502.54</v>
      </c>
      <c r="K32" s="1">
        <v>-17571.73</v>
      </c>
      <c r="L32" s="1">
        <v>149.35</v>
      </c>
      <c r="M32" s="1">
        <v>-3640.1</v>
      </c>
      <c r="N32" s="1">
        <v>-12148.98</v>
      </c>
      <c r="O32">
        <v>0</v>
      </c>
    </row>
    <row r="33" spans="1:15" x14ac:dyDescent="0.25">
      <c r="A33">
        <v>32</v>
      </c>
      <c r="B33">
        <v>32</v>
      </c>
      <c r="C33" t="s">
        <v>46</v>
      </c>
      <c r="D33" s="1">
        <f>D7+(D12+D18+D31)</f>
        <v>-1594</v>
      </c>
      <c r="E33" s="1">
        <f t="shared" ref="E33:N33" si="12">E7+(E12+E18+E31)</f>
        <v>-47354.400000000001</v>
      </c>
      <c r="F33" s="1">
        <f t="shared" si="12"/>
        <v>-5801</v>
      </c>
      <c r="G33" s="1">
        <f t="shared" si="12"/>
        <v>21170.10000000002</v>
      </c>
      <c r="H33" s="1">
        <f t="shared" si="12"/>
        <v>42577.639999999985</v>
      </c>
      <c r="I33" s="1">
        <f t="shared" si="12"/>
        <v>21878.73000000001</v>
      </c>
      <c r="J33" s="1">
        <f t="shared" si="12"/>
        <v>-8210.43</v>
      </c>
      <c r="K33" s="1">
        <f t="shared" si="12"/>
        <v>2676.2299999999959</v>
      </c>
      <c r="L33" s="1">
        <f t="shared" si="12"/>
        <v>1481.3099999999977</v>
      </c>
      <c r="M33" s="1">
        <f t="shared" si="12"/>
        <v>-5705.6900000000005</v>
      </c>
      <c r="N33" s="1">
        <f t="shared" si="12"/>
        <v>-24306.489999999998</v>
      </c>
      <c r="O33">
        <v>0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4B41F-B133-41D3-95D8-A5E74C16B9D5}">
  <dimension ref="A1:L13"/>
  <sheetViews>
    <sheetView tabSelected="1" workbookViewId="0">
      <selection activeCell="L13" sqref="A13:L13"/>
    </sheetView>
  </sheetViews>
  <sheetFormatPr baseColWidth="10" defaultRowHeight="15" x14ac:dyDescent="0.25"/>
  <cols>
    <col min="1" max="1" width="25.28515625" customWidth="1"/>
    <col min="2" max="11" width="16.7109375" customWidth="1"/>
    <col min="12" max="12" width="23.85546875" customWidth="1"/>
    <col min="13" max="13" width="16.7109375" customWidth="1"/>
  </cols>
  <sheetData>
    <row r="1" spans="1:12" x14ac:dyDescent="0.25">
      <c r="A1" s="7" t="s">
        <v>59</v>
      </c>
      <c r="B1" s="8" t="s">
        <v>71</v>
      </c>
      <c r="C1" s="8" t="s">
        <v>72</v>
      </c>
      <c r="D1" s="8" t="s">
        <v>73</v>
      </c>
      <c r="E1" s="8" t="s">
        <v>74</v>
      </c>
      <c r="F1" s="8" t="s">
        <v>75</v>
      </c>
      <c r="G1" s="8" t="s">
        <v>76</v>
      </c>
      <c r="H1" s="8" t="s">
        <v>77</v>
      </c>
      <c r="I1" s="8" t="s">
        <v>78</v>
      </c>
      <c r="J1" s="8" t="s">
        <v>79</v>
      </c>
      <c r="K1" s="8" t="s">
        <v>80</v>
      </c>
      <c r="L1" s="8" t="s">
        <v>60</v>
      </c>
    </row>
    <row r="2" spans="1:12" x14ac:dyDescent="0.25">
      <c r="A2" s="9" t="s">
        <v>61</v>
      </c>
      <c r="B2" s="6">
        <v>3573.37</v>
      </c>
      <c r="C2" s="6">
        <v>5118.07</v>
      </c>
      <c r="D2" s="6">
        <v>8212.0400000000009</v>
      </c>
      <c r="E2" s="6">
        <v>3673.77</v>
      </c>
      <c r="F2" s="6">
        <v>930.3</v>
      </c>
      <c r="G2" s="6">
        <v>3937.21</v>
      </c>
      <c r="H2" s="6">
        <v>898.51</v>
      </c>
      <c r="I2" s="6">
        <v>1160.2</v>
      </c>
      <c r="J2" s="6">
        <v>626.39</v>
      </c>
      <c r="K2" s="6">
        <v>832.8</v>
      </c>
      <c r="L2" s="6">
        <v>47989.78</v>
      </c>
    </row>
    <row r="3" spans="1:12" x14ac:dyDescent="0.25">
      <c r="A3" s="9" t="s">
        <v>62</v>
      </c>
      <c r="B3" s="6">
        <v>15.88</v>
      </c>
      <c r="C3" s="6">
        <v>778.73</v>
      </c>
      <c r="D3" s="6">
        <v>1007</v>
      </c>
      <c r="E3" s="6">
        <v>1242.58</v>
      </c>
      <c r="F3" s="6">
        <v>597.04</v>
      </c>
      <c r="G3" s="6">
        <v>828.39</v>
      </c>
      <c r="H3" s="6">
        <v>0</v>
      </c>
      <c r="I3" s="6">
        <v>752.7</v>
      </c>
      <c r="J3" s="6">
        <v>0</v>
      </c>
      <c r="K3" s="6">
        <v>302.72000000000003</v>
      </c>
      <c r="L3" s="6">
        <v>6240.21</v>
      </c>
    </row>
    <row r="4" spans="1:12" x14ac:dyDescent="0.25">
      <c r="A4" s="9" t="s">
        <v>63</v>
      </c>
      <c r="B4" s="6">
        <v>2534.96</v>
      </c>
      <c r="C4" s="6">
        <v>5099.66</v>
      </c>
      <c r="D4" s="6">
        <v>6224.79</v>
      </c>
      <c r="E4" s="6">
        <v>1038.08</v>
      </c>
      <c r="F4" s="6">
        <v>1317.18</v>
      </c>
      <c r="G4" s="6">
        <v>3782.57</v>
      </c>
      <c r="H4" s="6">
        <v>372.08</v>
      </c>
      <c r="I4" s="6">
        <v>553.20000000000005</v>
      </c>
      <c r="J4" s="6">
        <v>219.46</v>
      </c>
      <c r="K4" s="6">
        <v>777.77</v>
      </c>
      <c r="L4" s="6">
        <v>25325.02</v>
      </c>
    </row>
    <row r="5" spans="1:12" x14ac:dyDescent="0.25">
      <c r="A5" s="9" t="s">
        <v>64</v>
      </c>
      <c r="B5" s="6">
        <v>102.93</v>
      </c>
      <c r="C5" s="6">
        <v>77.650000000000006</v>
      </c>
      <c r="D5" s="6">
        <v>138.09</v>
      </c>
      <c r="E5" s="6">
        <v>12.49</v>
      </c>
      <c r="F5" s="6">
        <v>19.77</v>
      </c>
      <c r="G5" s="6">
        <v>13.52</v>
      </c>
      <c r="H5" s="6">
        <v>3.48</v>
      </c>
      <c r="I5" s="6">
        <v>38.28</v>
      </c>
      <c r="J5" s="6">
        <v>1.5</v>
      </c>
      <c r="K5" s="6">
        <v>25.05</v>
      </c>
      <c r="L5" s="6">
        <v>432.76</v>
      </c>
    </row>
    <row r="6" spans="1:12" x14ac:dyDescent="0.25">
      <c r="A6" s="9" t="s">
        <v>65</v>
      </c>
      <c r="B6" s="6">
        <v>160.28</v>
      </c>
      <c r="C6" s="6">
        <v>95.5</v>
      </c>
      <c r="D6" s="6">
        <v>1579.82</v>
      </c>
      <c r="E6" s="6">
        <v>59.36</v>
      </c>
      <c r="F6" s="6">
        <v>114.74</v>
      </c>
      <c r="G6" s="6">
        <v>734.63</v>
      </c>
      <c r="H6" s="6">
        <v>308.05</v>
      </c>
      <c r="I6" s="6">
        <v>251.81</v>
      </c>
      <c r="J6" s="6">
        <v>32</v>
      </c>
      <c r="K6" s="6">
        <v>211.01</v>
      </c>
      <c r="L6" s="6">
        <v>4748.3500000000004</v>
      </c>
    </row>
    <row r="7" spans="1:12" x14ac:dyDescent="0.25">
      <c r="A7" s="9" t="s">
        <v>66</v>
      </c>
      <c r="B7" s="6">
        <v>209.15</v>
      </c>
      <c r="C7" s="6">
        <v>310.13</v>
      </c>
      <c r="D7" s="6">
        <v>84.54</v>
      </c>
      <c r="E7" s="6">
        <v>292.62</v>
      </c>
      <c r="F7" s="6">
        <v>235.2</v>
      </c>
      <c r="G7" s="6">
        <v>217.29</v>
      </c>
      <c r="H7" s="6">
        <v>10</v>
      </c>
      <c r="I7" s="6">
        <v>32.299999999999997</v>
      </c>
      <c r="J7" s="6">
        <v>0</v>
      </c>
      <c r="K7" s="6">
        <v>0</v>
      </c>
      <c r="L7" s="6">
        <v>1391.23</v>
      </c>
    </row>
    <row r="8" spans="1:12" x14ac:dyDescent="0.25">
      <c r="A8" s="9" t="s">
        <v>67</v>
      </c>
      <c r="B8" s="6">
        <v>0</v>
      </c>
      <c r="C8" s="6">
        <v>30</v>
      </c>
      <c r="D8" s="6">
        <v>110.88</v>
      </c>
      <c r="E8" s="6">
        <v>83.2</v>
      </c>
      <c r="F8" s="6">
        <v>8.8800000000000008</v>
      </c>
      <c r="G8" s="6">
        <v>0</v>
      </c>
      <c r="H8" s="6">
        <v>0</v>
      </c>
      <c r="I8" s="6">
        <v>0</v>
      </c>
      <c r="J8" s="6">
        <v>0</v>
      </c>
      <c r="K8" s="6">
        <v>13.08</v>
      </c>
      <c r="L8" s="6">
        <v>246.04</v>
      </c>
    </row>
    <row r="9" spans="1:12" x14ac:dyDescent="0.25">
      <c r="A9" s="9" t="s">
        <v>68</v>
      </c>
      <c r="B9" s="6">
        <v>0</v>
      </c>
      <c r="C9" s="6">
        <v>0</v>
      </c>
      <c r="D9" s="6">
        <v>34.11</v>
      </c>
      <c r="E9" s="6">
        <v>34.119999999999997</v>
      </c>
      <c r="F9" s="6">
        <v>60</v>
      </c>
      <c r="G9" s="6">
        <v>0</v>
      </c>
      <c r="H9" s="6">
        <v>124.55</v>
      </c>
      <c r="I9" s="6">
        <v>0</v>
      </c>
      <c r="J9" s="6">
        <v>19.309999999999999</v>
      </c>
      <c r="K9" s="6">
        <v>15.68</v>
      </c>
      <c r="L9" s="6">
        <v>287.77</v>
      </c>
    </row>
    <row r="10" spans="1:12" x14ac:dyDescent="0.25">
      <c r="A10" s="9" t="s">
        <v>69</v>
      </c>
      <c r="B10" s="6">
        <v>0</v>
      </c>
      <c r="C10" s="6">
        <v>452.93</v>
      </c>
      <c r="D10" s="6">
        <v>32.22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485.15</v>
      </c>
    </row>
    <row r="11" spans="1:12" x14ac:dyDescent="0.25">
      <c r="A11" s="9" t="s">
        <v>70</v>
      </c>
      <c r="B11" s="6">
        <v>700.46</v>
      </c>
      <c r="C11" s="6">
        <v>1678.31</v>
      </c>
      <c r="D11" s="6">
        <v>2857.38</v>
      </c>
      <c r="E11" s="6">
        <v>1126.67</v>
      </c>
      <c r="F11" s="6">
        <v>530.95000000000005</v>
      </c>
      <c r="G11" s="6">
        <v>1704.69</v>
      </c>
      <c r="H11" s="6">
        <v>472.2</v>
      </c>
      <c r="I11" s="6">
        <v>1060.04</v>
      </c>
      <c r="J11" s="6">
        <v>186.58</v>
      </c>
      <c r="K11" s="6">
        <v>651.63</v>
      </c>
      <c r="L11" s="6">
        <v>11225.68</v>
      </c>
    </row>
    <row r="13" spans="1:12" x14ac:dyDescent="0.25">
      <c r="B13" s="10">
        <f>SUM(B2:B11)*-1</f>
        <v>-7297.03</v>
      </c>
      <c r="C13" s="10">
        <f t="shared" ref="C13:L13" si="0">SUM(C2:C11)*-1</f>
        <v>-13640.979999999998</v>
      </c>
      <c r="D13" s="10">
        <f t="shared" si="0"/>
        <v>-20280.870000000006</v>
      </c>
      <c r="E13" s="10">
        <f t="shared" si="0"/>
        <v>-7562.8899999999994</v>
      </c>
      <c r="F13" s="10">
        <f t="shared" si="0"/>
        <v>-3814.0599999999995</v>
      </c>
      <c r="G13" s="10">
        <f t="shared" si="0"/>
        <v>-11218.300000000001</v>
      </c>
      <c r="H13" s="10">
        <f t="shared" si="0"/>
        <v>-2188.87</v>
      </c>
      <c r="I13" s="10">
        <f t="shared" si="0"/>
        <v>-3848.5300000000007</v>
      </c>
      <c r="J13" s="10">
        <f t="shared" si="0"/>
        <v>-1085.24</v>
      </c>
      <c r="K13" s="10">
        <f t="shared" si="0"/>
        <v>-2829.74</v>
      </c>
      <c r="L13" s="10">
        <f t="shared" si="0"/>
        <v>-98371.989999999991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18B54-DE8E-44BC-8632-D2B8F9C68375}">
  <dimension ref="A1:N45"/>
  <sheetViews>
    <sheetView workbookViewId="0">
      <selection sqref="A1:XFD1048576"/>
    </sheetView>
  </sheetViews>
  <sheetFormatPr baseColWidth="10" defaultRowHeight="15" x14ac:dyDescent="0.25"/>
  <sheetData>
    <row r="1" spans="1:14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25">
      <c r="A2">
        <v>1</v>
      </c>
      <c r="B2" t="s">
        <v>15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5">
      <c r="A3">
        <v>2</v>
      </c>
      <c r="B3" t="s">
        <v>16</v>
      </c>
      <c r="C3" s="5">
        <v>640094.54</v>
      </c>
      <c r="D3">
        <v>0</v>
      </c>
      <c r="E3" s="5">
        <v>33967.08</v>
      </c>
      <c r="F3" s="5">
        <v>136858.38</v>
      </c>
      <c r="G3" s="5">
        <v>187948.27</v>
      </c>
      <c r="H3" s="5">
        <v>121798.71</v>
      </c>
      <c r="I3" s="5">
        <v>17474.96</v>
      </c>
      <c r="J3" s="5">
        <v>96794.86</v>
      </c>
      <c r="K3" s="5">
        <v>19731.36</v>
      </c>
      <c r="L3" s="5">
        <v>4375</v>
      </c>
      <c r="M3" s="5">
        <v>21145.919999999998</v>
      </c>
      <c r="N3">
        <v>0</v>
      </c>
    </row>
    <row r="4" spans="1:14" x14ac:dyDescent="0.25">
      <c r="A4">
        <v>3</v>
      </c>
      <c r="B4" t="s">
        <v>17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5">
      <c r="A5">
        <v>4</v>
      </c>
      <c r="B5" t="s">
        <v>18</v>
      </c>
      <c r="C5" s="5">
        <v>4617.95</v>
      </c>
      <c r="D5">
        <v>0</v>
      </c>
      <c r="E5">
        <v>0</v>
      </c>
      <c r="F5">
        <v>0</v>
      </c>
      <c r="G5">
        <v>317.95</v>
      </c>
      <c r="H5">
        <v>0</v>
      </c>
      <c r="I5">
        <v>0</v>
      </c>
      <c r="J5">
        <v>0</v>
      </c>
      <c r="K5" s="5">
        <v>4300</v>
      </c>
      <c r="L5">
        <v>0</v>
      </c>
      <c r="M5">
        <v>0</v>
      </c>
      <c r="N5">
        <v>0</v>
      </c>
    </row>
    <row r="6" spans="1:14" x14ac:dyDescent="0.25">
      <c r="A6">
        <v>5</v>
      </c>
      <c r="B6" t="s">
        <v>19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5">
      <c r="A7">
        <v>6</v>
      </c>
      <c r="B7" t="s">
        <v>20</v>
      </c>
      <c r="C7" s="5">
        <v>644712.49</v>
      </c>
      <c r="D7">
        <v>0</v>
      </c>
      <c r="E7" s="5">
        <v>33967.08</v>
      </c>
      <c r="F7" s="5">
        <v>136858.38</v>
      </c>
      <c r="G7" s="5">
        <v>188266.22</v>
      </c>
      <c r="H7" s="5">
        <v>121798.71</v>
      </c>
      <c r="I7" s="5">
        <v>17474.96</v>
      </c>
      <c r="J7" s="5">
        <v>96794.86</v>
      </c>
      <c r="K7" s="5">
        <v>24031.360000000001</v>
      </c>
      <c r="L7" s="5">
        <v>4375</v>
      </c>
      <c r="M7" s="5">
        <v>21145.919999999998</v>
      </c>
      <c r="N7">
        <v>0</v>
      </c>
    </row>
    <row r="8" spans="1:14" x14ac:dyDescent="0.25">
      <c r="A8">
        <v>7</v>
      </c>
      <c r="B8" t="s">
        <v>21</v>
      </c>
      <c r="C8" s="5">
        <v>-130129.79</v>
      </c>
      <c r="D8">
        <v>0</v>
      </c>
      <c r="E8" s="5">
        <v>-8643.92</v>
      </c>
      <c r="F8" s="5">
        <v>-27957.1</v>
      </c>
      <c r="G8" s="5">
        <v>-38115.440000000002</v>
      </c>
      <c r="H8" s="5">
        <v>-22034.97</v>
      </c>
      <c r="I8" s="5">
        <v>-4520</v>
      </c>
      <c r="J8" s="5">
        <v>-20498.490000000002</v>
      </c>
      <c r="K8" s="5">
        <v>-2164.37</v>
      </c>
      <c r="L8" s="5">
        <v>-1272.26</v>
      </c>
      <c r="M8" s="5">
        <v>-4923.24</v>
      </c>
      <c r="N8">
        <v>0</v>
      </c>
    </row>
    <row r="9" spans="1:14" x14ac:dyDescent="0.25">
      <c r="A9">
        <v>8</v>
      </c>
      <c r="B9" t="s">
        <v>22</v>
      </c>
      <c r="C9" s="5">
        <v>-8068.66</v>
      </c>
      <c r="D9">
        <v>0</v>
      </c>
      <c r="E9">
        <v>-436.94</v>
      </c>
      <c r="F9" s="5">
        <v>-1180.3800000000001</v>
      </c>
      <c r="G9" s="5">
        <v>-2481.5</v>
      </c>
      <c r="H9">
        <v>-416.43</v>
      </c>
      <c r="I9">
        <v>-382.18</v>
      </c>
      <c r="J9" s="5">
        <v>-2577.15</v>
      </c>
      <c r="K9">
        <v>-21.85</v>
      </c>
      <c r="L9">
        <v>-7.72</v>
      </c>
      <c r="M9">
        <v>-564.51</v>
      </c>
      <c r="N9">
        <v>0</v>
      </c>
    </row>
    <row r="10" spans="1:14" x14ac:dyDescent="0.25">
      <c r="A10">
        <v>9</v>
      </c>
      <c r="B10" t="s">
        <v>23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25">
      <c r="A11">
        <v>10</v>
      </c>
      <c r="B11" t="s">
        <v>24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5">
      <c r="A12">
        <v>11</v>
      </c>
      <c r="B12" t="s">
        <v>25</v>
      </c>
      <c r="C12" s="5">
        <v>-138198.45000000001</v>
      </c>
      <c r="D12">
        <v>0</v>
      </c>
      <c r="E12" s="5">
        <v>-9080.86</v>
      </c>
      <c r="F12" s="5">
        <v>-29137.48</v>
      </c>
      <c r="G12" s="5">
        <v>-40596.94</v>
      </c>
      <c r="H12" s="5">
        <v>-22451.4</v>
      </c>
      <c r="I12" s="5">
        <v>-4902.18</v>
      </c>
      <c r="J12" s="5">
        <v>-23075.64</v>
      </c>
      <c r="K12" s="5">
        <v>-2186.2199999999998</v>
      </c>
      <c r="L12" s="5">
        <v>-1279.98</v>
      </c>
      <c r="M12" s="5">
        <v>-5487.75</v>
      </c>
      <c r="N12">
        <v>0</v>
      </c>
    </row>
    <row r="13" spans="1:14" x14ac:dyDescent="0.25">
      <c r="A13">
        <v>12</v>
      </c>
      <c r="B13" t="s">
        <v>26</v>
      </c>
      <c r="C13" s="5">
        <v>506514.04</v>
      </c>
      <c r="D13">
        <v>0</v>
      </c>
      <c r="E13" s="5">
        <v>24886.22</v>
      </c>
      <c r="F13" s="5">
        <v>107720.9</v>
      </c>
      <c r="G13" s="5">
        <v>147669.28</v>
      </c>
      <c r="H13" s="5">
        <v>99347.31</v>
      </c>
      <c r="I13" s="5">
        <v>12572.78</v>
      </c>
      <c r="J13" s="5">
        <v>73719.22</v>
      </c>
      <c r="K13" s="5">
        <v>21845.14</v>
      </c>
      <c r="L13" s="5">
        <v>3095.02</v>
      </c>
      <c r="M13" s="5">
        <v>15658.17</v>
      </c>
      <c r="N13">
        <v>0</v>
      </c>
    </row>
    <row r="14" spans="1:14" x14ac:dyDescent="0.25">
      <c r="A14">
        <v>13</v>
      </c>
      <c r="B14" t="s">
        <v>27</v>
      </c>
      <c r="C14" s="5">
        <v>-253123.37</v>
      </c>
      <c r="D14" s="5">
        <v>-21913.97</v>
      </c>
      <c r="E14" s="5">
        <v>-15329.84</v>
      </c>
      <c r="F14" s="5">
        <v>-47216.24</v>
      </c>
      <c r="G14" s="5">
        <v>-55201.27</v>
      </c>
      <c r="H14" s="5">
        <v>-30946.54</v>
      </c>
      <c r="I14" s="5">
        <v>-8840.6299999999992</v>
      </c>
      <c r="J14" s="5">
        <v>-31152.63</v>
      </c>
      <c r="K14" s="5">
        <v>-12910.25</v>
      </c>
      <c r="L14" s="5">
        <v>-6371.22</v>
      </c>
      <c r="M14" s="5">
        <v>-23240.78</v>
      </c>
      <c r="N14">
        <v>0</v>
      </c>
    </row>
    <row r="15" spans="1:14" x14ac:dyDescent="0.25">
      <c r="A15">
        <v>14</v>
      </c>
      <c r="B15" t="s">
        <v>28</v>
      </c>
      <c r="C15" s="5">
        <v>-2200</v>
      </c>
      <c r="D15">
        <v>0</v>
      </c>
      <c r="E15">
        <v>0</v>
      </c>
      <c r="F15">
        <v>0</v>
      </c>
      <c r="G15">
        <v>0</v>
      </c>
      <c r="H15" s="5">
        <v>-2200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25">
      <c r="A16">
        <v>15</v>
      </c>
      <c r="B16" t="s">
        <v>29</v>
      </c>
      <c r="C16" s="5">
        <v>-75385.48</v>
      </c>
      <c r="D16" s="5">
        <v>-6794.11</v>
      </c>
      <c r="E16" s="5">
        <v>-4438.09</v>
      </c>
      <c r="F16" s="5">
        <v>-12436.82</v>
      </c>
      <c r="G16" s="5">
        <v>-16841.82</v>
      </c>
      <c r="H16" s="5">
        <v>-8926.75</v>
      </c>
      <c r="I16" s="5">
        <v>-2954.4</v>
      </c>
      <c r="J16" s="5">
        <v>-10112</v>
      </c>
      <c r="K16" s="5">
        <v>-3987</v>
      </c>
      <c r="L16" s="5">
        <v>-2099.85</v>
      </c>
      <c r="M16" s="5">
        <v>-6794.64</v>
      </c>
      <c r="N16">
        <v>0</v>
      </c>
    </row>
    <row r="17" spans="1:14" x14ac:dyDescent="0.25">
      <c r="A17">
        <v>16</v>
      </c>
      <c r="B17" t="s">
        <v>30</v>
      </c>
      <c r="C17" s="5">
        <v>-1778.57</v>
      </c>
      <c r="D17">
        <v>-533.02</v>
      </c>
      <c r="E17">
        <v>0</v>
      </c>
      <c r="F17">
        <v>-22.2</v>
      </c>
      <c r="G17">
        <v>-31.8</v>
      </c>
      <c r="H17">
        <v>-476.58</v>
      </c>
      <c r="I17">
        <v>-486.57</v>
      </c>
      <c r="J17">
        <v>0</v>
      </c>
      <c r="K17">
        <v>-228.4</v>
      </c>
      <c r="L17">
        <v>0</v>
      </c>
      <c r="M17">
        <v>0</v>
      </c>
      <c r="N17">
        <v>0</v>
      </c>
    </row>
    <row r="18" spans="1:14" x14ac:dyDescent="0.25">
      <c r="A18">
        <v>17</v>
      </c>
      <c r="B18" t="s">
        <v>31</v>
      </c>
      <c r="C18" s="5">
        <v>-332487.42</v>
      </c>
      <c r="D18" s="5">
        <v>-29241.1</v>
      </c>
      <c r="E18" s="5">
        <v>-19767.93</v>
      </c>
      <c r="F18" s="5">
        <v>-59675.26</v>
      </c>
      <c r="G18" s="5">
        <v>-72074.89</v>
      </c>
      <c r="H18" s="5">
        <v>-42549.87</v>
      </c>
      <c r="I18" s="5">
        <v>-12281.6</v>
      </c>
      <c r="J18" s="5">
        <v>-41264.629999999997</v>
      </c>
      <c r="K18" s="5">
        <v>-17125.650000000001</v>
      </c>
      <c r="L18" s="5">
        <v>-8471.07</v>
      </c>
      <c r="M18" s="5">
        <v>-30035.42</v>
      </c>
      <c r="N18">
        <v>0</v>
      </c>
    </row>
    <row r="19" spans="1:14" x14ac:dyDescent="0.25">
      <c r="A19">
        <v>18</v>
      </c>
      <c r="B19" t="s">
        <v>32</v>
      </c>
      <c r="C19" s="5">
        <v>-40399.14</v>
      </c>
      <c r="D19">
        <v>0</v>
      </c>
      <c r="E19">
        <v>0</v>
      </c>
      <c r="F19" s="5">
        <v>-5131.99</v>
      </c>
      <c r="G19">
        <v>-267.58</v>
      </c>
      <c r="H19" s="5">
        <v>-24359.07</v>
      </c>
      <c r="I19" s="5">
        <v>-1500</v>
      </c>
      <c r="J19" s="5">
        <v>-4220.3599999999997</v>
      </c>
      <c r="K19">
        <v>0</v>
      </c>
      <c r="L19" s="5">
        <v>-1729.9</v>
      </c>
      <c r="M19" s="5">
        <v>-3190.24</v>
      </c>
      <c r="N19">
        <v>0</v>
      </c>
    </row>
    <row r="20" spans="1:14" x14ac:dyDescent="0.25">
      <c r="A20">
        <v>19</v>
      </c>
      <c r="B20" t="s">
        <v>33</v>
      </c>
      <c r="C20" s="5">
        <v>-16224.73</v>
      </c>
      <c r="D20">
        <v>0</v>
      </c>
      <c r="E20">
        <v>-797.99</v>
      </c>
      <c r="F20">
        <v>-763.74</v>
      </c>
      <c r="G20" s="5">
        <v>-3403.34</v>
      </c>
      <c r="H20">
        <v>-328.34</v>
      </c>
      <c r="I20">
        <v>-509.48</v>
      </c>
      <c r="J20" s="5">
        <v>-8521.2099999999991</v>
      </c>
      <c r="K20">
        <v>-422.49</v>
      </c>
      <c r="L20">
        <v>-44</v>
      </c>
      <c r="M20" s="5">
        <v>-1434.14</v>
      </c>
      <c r="N20">
        <v>0</v>
      </c>
    </row>
    <row r="21" spans="1:14" x14ac:dyDescent="0.25">
      <c r="A21">
        <v>20</v>
      </c>
      <c r="B21" t="s">
        <v>34</v>
      </c>
      <c r="C21" s="5">
        <v>-6583.63</v>
      </c>
      <c r="D21">
        <v>0</v>
      </c>
      <c r="E21">
        <v>-260.20999999999998</v>
      </c>
      <c r="F21" s="5">
        <v>-1076.21</v>
      </c>
      <c r="G21" s="5">
        <v>-1182.96</v>
      </c>
      <c r="H21">
        <v>-63.86</v>
      </c>
      <c r="I21">
        <v>-288.26</v>
      </c>
      <c r="J21">
        <v>-250.01</v>
      </c>
      <c r="K21">
        <v>-86.81</v>
      </c>
      <c r="L21">
        <v>-62</v>
      </c>
      <c r="M21" s="5">
        <v>-3313.31</v>
      </c>
      <c r="N21">
        <v>0</v>
      </c>
    </row>
    <row r="22" spans="1:14" x14ac:dyDescent="0.25">
      <c r="A22">
        <v>21</v>
      </c>
      <c r="B22" t="s">
        <v>35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5">
      <c r="A23">
        <v>22</v>
      </c>
      <c r="B23" t="s">
        <v>36</v>
      </c>
      <c r="C23" s="5">
        <v>-1417.17</v>
      </c>
      <c r="D23">
        <v>0</v>
      </c>
      <c r="E23">
        <v>-439.61</v>
      </c>
      <c r="F23">
        <v>-150.36000000000001</v>
      </c>
      <c r="G23">
        <v>-374.13</v>
      </c>
      <c r="H23">
        <v>-40.81</v>
      </c>
      <c r="I23">
        <v>-96.37</v>
      </c>
      <c r="J23">
        <v>-287.54000000000002</v>
      </c>
      <c r="K23">
        <v>0</v>
      </c>
      <c r="L23">
        <v>-14.18</v>
      </c>
      <c r="M23">
        <v>-14.17</v>
      </c>
      <c r="N23">
        <v>0</v>
      </c>
    </row>
    <row r="24" spans="1:14" x14ac:dyDescent="0.25">
      <c r="A24">
        <v>23</v>
      </c>
      <c r="B24" t="s">
        <v>37</v>
      </c>
      <c r="C24" s="5">
        <v>-2927.84</v>
      </c>
      <c r="D24">
        <v>0</v>
      </c>
      <c r="E24">
        <v>-148.58000000000001</v>
      </c>
      <c r="F24">
        <v>-445.24</v>
      </c>
      <c r="G24">
        <v>-473.9</v>
      </c>
      <c r="H24" s="5">
        <v>-1249.49</v>
      </c>
      <c r="I24">
        <v>-96.01</v>
      </c>
      <c r="J24">
        <v>-339.2</v>
      </c>
      <c r="K24">
        <v>-67.010000000000005</v>
      </c>
      <c r="L24">
        <v>-38.69</v>
      </c>
      <c r="M24">
        <v>-69.72</v>
      </c>
      <c r="N24">
        <v>0</v>
      </c>
    </row>
    <row r="25" spans="1:14" x14ac:dyDescent="0.25">
      <c r="A25">
        <v>24</v>
      </c>
      <c r="B25" t="s">
        <v>38</v>
      </c>
      <c r="C25" s="5">
        <v>-1248.74</v>
      </c>
      <c r="D25">
        <v>0</v>
      </c>
      <c r="E25">
        <v>-10.74</v>
      </c>
      <c r="F25">
        <v>0</v>
      </c>
      <c r="G25">
        <v>0</v>
      </c>
      <c r="H25">
        <v>0</v>
      </c>
      <c r="I25">
        <v>-800</v>
      </c>
      <c r="J25">
        <v>0</v>
      </c>
      <c r="K25">
        <v>0</v>
      </c>
      <c r="L25">
        <v>0</v>
      </c>
      <c r="M25">
        <v>-438</v>
      </c>
      <c r="N25">
        <v>0</v>
      </c>
    </row>
    <row r="26" spans="1:14" x14ac:dyDescent="0.25">
      <c r="A26">
        <v>25</v>
      </c>
      <c r="B26" t="s">
        <v>39</v>
      </c>
      <c r="C26" s="5">
        <v>-18492.400000000001</v>
      </c>
      <c r="D26">
        <v>0</v>
      </c>
      <c r="E26" s="5">
        <v>-1591.65</v>
      </c>
      <c r="F26" s="5">
        <v>-1700</v>
      </c>
      <c r="G26" s="5">
        <v>-4936.12</v>
      </c>
      <c r="H26" s="5">
        <v>-1034</v>
      </c>
      <c r="I26">
        <v>0</v>
      </c>
      <c r="J26" s="5">
        <v>-3099.2</v>
      </c>
      <c r="K26">
        <v>0</v>
      </c>
      <c r="L26" s="5">
        <v>-1770</v>
      </c>
      <c r="M26" s="5">
        <v>-4361.43</v>
      </c>
      <c r="N26">
        <v>0</v>
      </c>
    </row>
    <row r="27" spans="1:14" x14ac:dyDescent="0.25">
      <c r="A27">
        <v>26</v>
      </c>
      <c r="B27" t="s">
        <v>40</v>
      </c>
      <c r="C27" s="5">
        <v>-8604.39</v>
      </c>
      <c r="D27">
        <v>-120</v>
      </c>
      <c r="E27">
        <v>-672.77</v>
      </c>
      <c r="F27">
        <v>-965.93</v>
      </c>
      <c r="G27" s="5">
        <v>-3689.8</v>
      </c>
      <c r="H27">
        <v>-967.62</v>
      </c>
      <c r="I27">
        <v>-118.78</v>
      </c>
      <c r="J27" s="5">
        <v>-1386.57</v>
      </c>
      <c r="K27">
        <v>-124</v>
      </c>
      <c r="L27">
        <v>0</v>
      </c>
      <c r="M27">
        <v>-558.91999999999996</v>
      </c>
      <c r="N27">
        <v>0</v>
      </c>
    </row>
    <row r="28" spans="1:14" x14ac:dyDescent="0.25">
      <c r="A28">
        <v>27</v>
      </c>
      <c r="B28" t="s">
        <v>41</v>
      </c>
      <c r="C28" s="5">
        <v>-2891.37</v>
      </c>
      <c r="D28">
        <v>0</v>
      </c>
      <c r="E28" s="5">
        <v>-1159.76</v>
      </c>
      <c r="F28">
        <v>-656.64</v>
      </c>
      <c r="G28">
        <v>-276.39</v>
      </c>
      <c r="H28">
        <v>-207.23</v>
      </c>
      <c r="I28">
        <v>-114</v>
      </c>
      <c r="J28">
        <v>-161.44999999999999</v>
      </c>
      <c r="K28">
        <v>0</v>
      </c>
      <c r="L28">
        <v>-25.33</v>
      </c>
      <c r="M28">
        <v>-290.57</v>
      </c>
      <c r="N28">
        <v>0</v>
      </c>
    </row>
    <row r="29" spans="1:14" x14ac:dyDescent="0.25">
      <c r="A29">
        <v>28</v>
      </c>
      <c r="B29" t="s">
        <v>42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25">
      <c r="A30">
        <v>29</v>
      </c>
      <c r="B30" t="s">
        <v>43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25">
      <c r="A31">
        <v>30</v>
      </c>
      <c r="B31" t="s">
        <v>44</v>
      </c>
      <c r="C31" s="5">
        <v>-98789.41</v>
      </c>
      <c r="D31">
        <v>-120</v>
      </c>
      <c r="E31" s="5">
        <v>-5081.3100000000004</v>
      </c>
      <c r="F31" s="5">
        <v>-10890.11</v>
      </c>
      <c r="G31" s="5">
        <v>-14604.22</v>
      </c>
      <c r="H31" s="5">
        <v>-28250.42</v>
      </c>
      <c r="I31" s="5">
        <v>-3522.9</v>
      </c>
      <c r="J31" s="5">
        <v>-18265.54</v>
      </c>
      <c r="K31">
        <v>-700.31</v>
      </c>
      <c r="L31" s="5">
        <v>-3684.1</v>
      </c>
      <c r="M31" s="5">
        <v>-13670.5</v>
      </c>
      <c r="N31">
        <v>0</v>
      </c>
    </row>
    <row r="32" spans="1:14" x14ac:dyDescent="0.25">
      <c r="A32">
        <v>31</v>
      </c>
      <c r="B32" t="s">
        <v>45</v>
      </c>
      <c r="C32" s="5">
        <v>-431276.83</v>
      </c>
      <c r="D32" s="5">
        <v>-29361.1</v>
      </c>
      <c r="E32" s="5">
        <v>-24849.24</v>
      </c>
      <c r="F32" s="5">
        <v>-70565.37</v>
      </c>
      <c r="G32" s="5">
        <v>-86679.11</v>
      </c>
      <c r="H32" s="5">
        <v>-70800.289999999994</v>
      </c>
      <c r="I32" s="5">
        <v>-15804.5</v>
      </c>
      <c r="J32" s="5">
        <v>-59530.17</v>
      </c>
      <c r="K32" s="5">
        <v>-17825.96</v>
      </c>
      <c r="L32" s="5">
        <v>-12155.17</v>
      </c>
      <c r="M32" s="5">
        <v>-43705.919999999998</v>
      </c>
      <c r="N32">
        <v>0</v>
      </c>
    </row>
    <row r="33" spans="1:14" x14ac:dyDescent="0.25">
      <c r="A33">
        <v>32</v>
      </c>
      <c r="B33" t="s">
        <v>46</v>
      </c>
      <c r="C33" s="5">
        <v>75237.210000000006</v>
      </c>
      <c r="D33" s="5">
        <v>-29361.1</v>
      </c>
      <c r="E33">
        <v>36.979999999999997</v>
      </c>
      <c r="F33" s="5">
        <v>37155.53</v>
      </c>
      <c r="G33" s="5">
        <v>60990.17</v>
      </c>
      <c r="H33" s="5">
        <v>28547.02</v>
      </c>
      <c r="I33" s="5">
        <v>-3231.72</v>
      </c>
      <c r="J33" s="5">
        <v>14189.05</v>
      </c>
      <c r="K33" s="5">
        <v>4019.18</v>
      </c>
      <c r="L33" s="5">
        <v>-9060.15</v>
      </c>
      <c r="M33" s="5">
        <v>-28047.75</v>
      </c>
      <c r="N33">
        <v>0</v>
      </c>
    </row>
    <row r="34" spans="1:14" x14ac:dyDescent="0.25">
      <c r="A34">
        <v>33</v>
      </c>
      <c r="B34" t="s">
        <v>47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25">
      <c r="A35">
        <v>34</v>
      </c>
      <c r="B35" t="s">
        <v>48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25">
      <c r="A36">
        <v>35</v>
      </c>
      <c r="B36" t="s">
        <v>49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>
        <v>36</v>
      </c>
      <c r="B37" t="s">
        <v>50</v>
      </c>
      <c r="C37">
        <v>969.6</v>
      </c>
      <c r="D37">
        <v>0</v>
      </c>
      <c r="E37">
        <v>0</v>
      </c>
      <c r="F37">
        <v>969.6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25">
      <c r="A38">
        <v>37</v>
      </c>
      <c r="B38" t="s">
        <v>51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25">
      <c r="A39">
        <v>38</v>
      </c>
      <c r="B39" t="s">
        <v>52</v>
      </c>
      <c r="C39">
        <v>969.6</v>
      </c>
      <c r="D39">
        <v>0</v>
      </c>
      <c r="E39">
        <v>0</v>
      </c>
      <c r="F39">
        <v>969.6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25">
      <c r="A40">
        <v>39</v>
      </c>
      <c r="B40" t="s">
        <v>53</v>
      </c>
      <c r="C40" s="5">
        <v>-10975.33</v>
      </c>
      <c r="D40">
        <v>-143.03</v>
      </c>
      <c r="E40" s="5">
        <v>-1054.9100000000001</v>
      </c>
      <c r="F40" s="5">
        <v>-1033.49</v>
      </c>
      <c r="G40" s="5">
        <v>-4961.74</v>
      </c>
      <c r="H40">
        <v>-274.08999999999997</v>
      </c>
      <c r="I40">
        <v>-161.02000000000001</v>
      </c>
      <c r="J40" s="5">
        <v>-2937.8</v>
      </c>
      <c r="K40">
        <v>0</v>
      </c>
      <c r="L40">
        <v>-46.24</v>
      </c>
      <c r="M40">
        <v>-363.01</v>
      </c>
      <c r="N40">
        <v>0</v>
      </c>
    </row>
    <row r="41" spans="1:14" x14ac:dyDescent="0.25">
      <c r="A41">
        <v>40</v>
      </c>
      <c r="B41" t="s">
        <v>54</v>
      </c>
      <c r="C41" s="5">
        <v>65231.48</v>
      </c>
      <c r="D41" s="5">
        <v>-29504.13</v>
      </c>
      <c r="E41" s="5">
        <v>-1017.93</v>
      </c>
      <c r="F41" s="5">
        <v>37091.64</v>
      </c>
      <c r="G41" s="5">
        <v>56028.43</v>
      </c>
      <c r="H41" s="5">
        <v>28272.93</v>
      </c>
      <c r="I41" s="5">
        <v>-3392.74</v>
      </c>
      <c r="J41" s="5">
        <v>11251.25</v>
      </c>
      <c r="K41" s="5">
        <v>4019.18</v>
      </c>
      <c r="L41" s="5">
        <v>-9106.39</v>
      </c>
      <c r="M41" s="5">
        <v>-28410.76</v>
      </c>
      <c r="N41">
        <v>0</v>
      </c>
    </row>
    <row r="42" spans="1:14" x14ac:dyDescent="0.25">
      <c r="A42">
        <v>41</v>
      </c>
      <c r="B42" t="s">
        <v>55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25">
      <c r="A43">
        <v>42</v>
      </c>
      <c r="B43" t="s">
        <v>56</v>
      </c>
      <c r="C43" s="5">
        <v>65231.48</v>
      </c>
      <c r="D43" s="5">
        <v>-29504.13</v>
      </c>
      <c r="E43" s="5">
        <v>-1017.93</v>
      </c>
      <c r="F43" s="5">
        <v>37091.64</v>
      </c>
      <c r="G43" s="5">
        <v>56028.43</v>
      </c>
      <c r="H43" s="5">
        <v>28272.93</v>
      </c>
      <c r="I43" s="5">
        <v>-3392.74</v>
      </c>
      <c r="J43" s="5">
        <v>11251.25</v>
      </c>
      <c r="K43" s="5">
        <v>4019.18</v>
      </c>
      <c r="L43" s="5">
        <v>-9106.39</v>
      </c>
      <c r="M43" s="5">
        <v>-28410.76</v>
      </c>
      <c r="N43">
        <v>0</v>
      </c>
    </row>
    <row r="44" spans="1:14" x14ac:dyDescent="0.25">
      <c r="A44">
        <v>43</v>
      </c>
      <c r="B44" t="s">
        <v>57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25">
      <c r="A45">
        <v>999</v>
      </c>
      <c r="B45" t="s">
        <v>58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Consums Interns</vt:lpstr>
      <vt:lpstr>OFICIAL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Oriol Puig - CAL BLAY</cp:lastModifiedBy>
  <cp:revision/>
  <dcterms:created xsi:type="dcterms:W3CDTF">2026-06-04T14:06:49Z</dcterms:created>
  <dcterms:modified xsi:type="dcterms:W3CDTF">2026-06-29T13:42:33Z</dcterms:modified>
  <cp:category/>
  <cp:contentStatus/>
</cp:coreProperties>
</file>