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3/FUENTES FINANCIACION ALTERNATIVAS/"/>
    </mc:Choice>
  </mc:AlternateContent>
  <xr:revisionPtr revIDLastSave="22" documentId="8_{07810731-21BD-4963-BFCB-8EE5C9F0D46B}" xr6:coauthVersionLast="47" xr6:coauthVersionMax="47" xr10:uidLastSave="{10B39E60-F56F-4159-A611-162CCAC429EE}"/>
  <bookViews>
    <workbookView xWindow="-120" yWindow="-120" windowWidth="29040" windowHeight="15720" xr2:uid="{00000000-000D-0000-FFFF-FFFF00000000}"/>
  </bookViews>
  <sheets>
    <sheet name="Template para el alumno" sheetId="1" r:id="rId1"/>
    <sheet name="Ful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U7lCgapLOZSHRJH1mHBH0hlCK+A=="/>
    </ext>
  </extLst>
</workbook>
</file>

<file path=xl/calcChain.xml><?xml version="1.0" encoding="utf-8"?>
<calcChain xmlns="http://schemas.openxmlformats.org/spreadsheetml/2006/main">
  <c r="AR29" i="1" l="1"/>
  <c r="AQ29" i="1"/>
  <c r="AU29" i="1" s="1"/>
  <c r="AJ29" i="1"/>
  <c r="AI29" i="1"/>
  <c r="AM29" i="1" s="1"/>
  <c r="AB29" i="1"/>
  <c r="AA29" i="1"/>
  <c r="AE29" i="1" s="1"/>
  <c r="T29" i="1"/>
  <c r="S29" i="1"/>
  <c r="L29" i="1"/>
  <c r="K29" i="1"/>
  <c r="D29" i="1"/>
  <c r="D22" i="1" s="1"/>
  <c r="C29" i="1"/>
  <c r="C22" i="1" s="1"/>
  <c r="V25" i="1"/>
  <c r="AD25" i="1" s="1"/>
  <c r="R28" i="1"/>
  <c r="N24" i="1"/>
  <c r="Q24" i="1" s="1"/>
  <c r="R24" i="1" s="1"/>
  <c r="N26" i="1"/>
  <c r="V26" i="1" s="1"/>
  <c r="N27" i="1"/>
  <c r="Q27" i="1" s="1"/>
  <c r="R27" i="1" s="1"/>
  <c r="N28" i="1"/>
  <c r="V28" i="1" s="1"/>
  <c r="AD28" i="1" s="1"/>
  <c r="AL28" i="1" s="1"/>
  <c r="N25" i="1"/>
  <c r="Q25" i="1" s="1"/>
  <c r="Q28" i="1"/>
  <c r="O28" i="1"/>
  <c r="P28" i="1" s="1"/>
  <c r="O26" i="1"/>
  <c r="P26" i="1" s="1"/>
  <c r="I28" i="1"/>
  <c r="J28" i="1" s="1"/>
  <c r="G28" i="1"/>
  <c r="H28" i="1" s="1"/>
  <c r="I27" i="1"/>
  <c r="J27" i="1" s="1"/>
  <c r="G27" i="1"/>
  <c r="H27" i="1" s="1"/>
  <c r="I26" i="1"/>
  <c r="J26" i="1" s="1"/>
  <c r="G26" i="1"/>
  <c r="H26" i="1" s="1"/>
  <c r="I25" i="1"/>
  <c r="J25" i="1" s="1"/>
  <c r="G25" i="1"/>
  <c r="H25" i="1" s="1"/>
  <c r="I24" i="1"/>
  <c r="J24" i="1" s="1"/>
  <c r="G24" i="1"/>
  <c r="H24" i="1" s="1"/>
  <c r="K15" i="1"/>
  <c r="K21" i="1" s="1"/>
  <c r="K18" i="1" s="1"/>
  <c r="AD26" i="1" l="1"/>
  <c r="Y26" i="1"/>
  <c r="O27" i="1"/>
  <c r="P27" i="1" s="1"/>
  <c r="W25" i="1"/>
  <c r="X25" i="1" s="1"/>
  <c r="R25" i="1"/>
  <c r="O29" i="1"/>
  <c r="V27" i="1"/>
  <c r="AD27" i="1" s="1"/>
  <c r="AL27" i="1" s="1"/>
  <c r="Q26" i="1"/>
  <c r="R26" i="1" s="1"/>
  <c r="W29" i="1"/>
  <c r="AE25" i="1"/>
  <c r="AF25" i="1" s="1"/>
  <c r="AL25" i="1"/>
  <c r="AT25" i="1" s="1"/>
  <c r="AW25" i="1" s="1"/>
  <c r="AG26" i="1"/>
  <c r="AL26" i="1"/>
  <c r="AT26" i="1" s="1"/>
  <c r="Z26" i="1"/>
  <c r="I29" i="1"/>
  <c r="J29" i="1" s="1"/>
  <c r="O24" i="1"/>
  <c r="W26" i="1"/>
  <c r="X26" i="1" s="1"/>
  <c r="G29" i="1"/>
  <c r="L15" i="1"/>
  <c r="M15" i="1" s="1"/>
  <c r="AB21" i="1" s="1"/>
  <c r="V24" i="1"/>
  <c r="AT28" i="1"/>
  <c r="AW28" i="1" s="1"/>
  <c r="AO28" i="1"/>
  <c r="AE28" i="1"/>
  <c r="AF28" i="1" s="1"/>
  <c r="AO25" i="1"/>
  <c r="AM26" i="1"/>
  <c r="AN26" i="1" s="1"/>
  <c r="AM28" i="1"/>
  <c r="AN28" i="1" s="1"/>
  <c r="W28" i="1"/>
  <c r="X28" i="1" s="1"/>
  <c r="AE26" i="1"/>
  <c r="AF26" i="1" s="1"/>
  <c r="AG28" i="1"/>
  <c r="AG25" i="1"/>
  <c r="Y25" i="1"/>
  <c r="W27" i="1"/>
  <c r="X27" i="1" s="1"/>
  <c r="Y28" i="1"/>
  <c r="O25" i="1"/>
  <c r="P25" i="1" s="1"/>
  <c r="G22" i="1"/>
  <c r="T21" i="1"/>
  <c r="AO27" i="1" l="1"/>
  <c r="AM27" i="1"/>
  <c r="AN27" i="1" s="1"/>
  <c r="Z25" i="1"/>
  <c r="AE27" i="1"/>
  <c r="AF27" i="1" s="1"/>
  <c r="Y27" i="1"/>
  <c r="Z27" i="1" s="1"/>
  <c r="AG27" i="1"/>
  <c r="N15" i="1"/>
  <c r="AJ21" i="1" s="1"/>
  <c r="AP27" i="1" s="1"/>
  <c r="AO26" i="1"/>
  <c r="Q29" i="1"/>
  <c r="R29" i="1" s="1"/>
  <c r="AU25" i="1"/>
  <c r="AV25" i="1" s="1"/>
  <c r="O22" i="1"/>
  <c r="Z28" i="1"/>
  <c r="AM25" i="1"/>
  <c r="AN25" i="1" s="1"/>
  <c r="AH27" i="1"/>
  <c r="P24" i="1"/>
  <c r="AT27" i="1"/>
  <c r="AH25" i="1"/>
  <c r="Y24" i="1"/>
  <c r="W24" i="1"/>
  <c r="X24" i="1" s="1"/>
  <c r="AD24" i="1"/>
  <c r="AG24" i="1" s="1"/>
  <c r="AH24" i="1" s="1"/>
  <c r="AU26" i="1"/>
  <c r="AV26" i="1" s="1"/>
  <c r="AW26" i="1"/>
  <c r="AH28" i="1"/>
  <c r="AH26" i="1"/>
  <c r="I22" i="1"/>
  <c r="J22" i="1" s="1"/>
  <c r="AU28" i="1"/>
  <c r="AV28" i="1" s="1"/>
  <c r="W22" i="1"/>
  <c r="O15" i="1"/>
  <c r="AR21" i="1" s="1"/>
  <c r="AX28" i="1" s="1"/>
  <c r="Q22" i="1" l="1"/>
  <c r="R22" i="1" s="1"/>
  <c r="AX26" i="1"/>
  <c r="AW27" i="1"/>
  <c r="AX27" i="1" s="1"/>
  <c r="AU27" i="1"/>
  <c r="AV27" i="1" s="1"/>
  <c r="AX25" i="1"/>
  <c r="AL24" i="1"/>
  <c r="AE24" i="1"/>
  <c r="AP28" i="1"/>
  <c r="AP26" i="1"/>
  <c r="AG29" i="1"/>
  <c r="AH29" i="1" s="1"/>
  <c r="AP25" i="1"/>
  <c r="Z24" i="1"/>
  <c r="Y29" i="1"/>
  <c r="AG22" i="1"/>
  <c r="AH22" i="1" s="1"/>
  <c r="AF24" i="1" l="1"/>
  <c r="AE22" i="1"/>
  <c r="AT24" i="1"/>
  <c r="AM24" i="1"/>
  <c r="AO24" i="1"/>
  <c r="Z29" i="1"/>
  <c r="Y22" i="1"/>
  <c r="Z22" i="1" s="1"/>
  <c r="AW24" i="1" l="1"/>
  <c r="AU24" i="1"/>
  <c r="AP24" i="1"/>
  <c r="AO29" i="1"/>
  <c r="AP29" i="1" s="1"/>
  <c r="AO22" i="1"/>
  <c r="AP22" i="1" s="1"/>
  <c r="AN24" i="1"/>
  <c r="AM22" i="1"/>
  <c r="AV24" i="1" l="1"/>
  <c r="AU22" i="1"/>
  <c r="AW29" i="1"/>
  <c r="AX29" i="1" s="1"/>
  <c r="AX24" i="1"/>
  <c r="AW22" i="1"/>
  <c r="AX22" i="1" s="1"/>
</calcChain>
</file>

<file path=xl/sharedStrings.xml><?xml version="1.0" encoding="utf-8"?>
<sst xmlns="http://schemas.openxmlformats.org/spreadsheetml/2006/main" count="76" uniqueCount="61">
  <si>
    <t>Actual</t>
  </si>
  <si>
    <t>Año 1</t>
  </si>
  <si>
    <t>Año 2</t>
  </si>
  <si>
    <t>Año 3</t>
  </si>
  <si>
    <t>Año 4</t>
  </si>
  <si>
    <t>Año 5</t>
  </si>
  <si>
    <t>Ventas</t>
  </si>
  <si>
    <t>equipo</t>
  </si>
  <si>
    <t>mujeres</t>
  </si>
  <si>
    <t>hombres</t>
  </si>
  <si>
    <t>Año1</t>
  </si>
  <si>
    <t># Hombres</t>
  </si>
  <si>
    <t># Mujeres</t>
  </si>
  <si>
    <t>Sueldo Hombres</t>
  </si>
  <si>
    <t>Sueldo Mujeres</t>
  </si>
  <si>
    <t>Brecha Salarial</t>
  </si>
  <si>
    <t>En %</t>
  </si>
  <si>
    <t>Masa salarial</t>
  </si>
  <si>
    <t>Año actual
% s/vts</t>
  </si>
  <si>
    <r>
      <rPr>
        <sz val="9"/>
        <color rgb="FF548135"/>
        <rFont val="Calibri"/>
        <family val="2"/>
      </rPr>
      <t xml:space="preserve">Propuesta </t>
    </r>
    <r>
      <rPr>
        <sz val="9"/>
        <color rgb="FF548135"/>
        <rFont val="Franklin Gothic Book"/>
        <family val="2"/>
      </rPr>
      <t>∆</t>
    </r>
    <r>
      <rPr>
        <sz val="9"/>
        <color rgb="FF548135"/>
        <rFont val="Calibri"/>
        <family val="2"/>
      </rPr>
      <t xml:space="preserve"> H Año 1 %</t>
    </r>
  </si>
  <si>
    <r>
      <rPr>
        <sz val="9"/>
        <color rgb="FF548135"/>
        <rFont val="Calibri"/>
        <family val="2"/>
      </rPr>
      <t xml:space="preserve">Propuesta </t>
    </r>
    <r>
      <rPr>
        <sz val="9"/>
        <color rgb="FF548135"/>
        <rFont val="Franklin Gothic Book"/>
        <family val="2"/>
      </rPr>
      <t>∆ M Año 1 %</t>
    </r>
  </si>
  <si>
    <t>Sueldo Hombres A1</t>
  </si>
  <si>
    <t>Sueldo Mujeres A1</t>
  </si>
  <si>
    <t>Brecha A1</t>
  </si>
  <si>
    <t>Masa salarial año 1</t>
  </si>
  <si>
    <t>Año 1
% s/vts</t>
  </si>
  <si>
    <r>
      <rPr>
        <sz val="9"/>
        <color rgb="FF2F5496"/>
        <rFont val="Calibri"/>
        <family val="2"/>
      </rPr>
      <t xml:space="preserve">Propuesta </t>
    </r>
    <r>
      <rPr>
        <sz val="9"/>
        <color rgb="FF2F5496"/>
        <rFont val="Franklin Gothic Book"/>
        <family val="2"/>
      </rPr>
      <t>∆</t>
    </r>
    <r>
      <rPr>
        <sz val="9"/>
        <color rgb="FF2F5496"/>
        <rFont val="Calibri"/>
        <family val="2"/>
      </rPr>
      <t xml:space="preserve"> H Año 2 %</t>
    </r>
  </si>
  <si>
    <r>
      <rPr>
        <sz val="9"/>
        <color rgb="FF2F5496"/>
        <rFont val="Calibri"/>
        <family val="2"/>
      </rPr>
      <t xml:space="preserve">Propuesta </t>
    </r>
    <r>
      <rPr>
        <sz val="9"/>
        <color rgb="FF2F5496"/>
        <rFont val="Franklin Gothic Book"/>
        <family val="2"/>
      </rPr>
      <t>∆ M Año 2 %</t>
    </r>
  </si>
  <si>
    <t>Sueldo Hombres A2</t>
  </si>
  <si>
    <t>Sueldo Mujeres A2</t>
  </si>
  <si>
    <t>Brecha A2</t>
  </si>
  <si>
    <t>Masa salarial año 2</t>
  </si>
  <si>
    <t>Año 2
% s/vts</t>
  </si>
  <si>
    <r>
      <rPr>
        <sz val="9"/>
        <color rgb="FF7F6000"/>
        <rFont val="Calibri"/>
        <family val="2"/>
      </rPr>
      <t xml:space="preserve">Propuesta </t>
    </r>
    <r>
      <rPr>
        <sz val="9"/>
        <color rgb="FF7F6000"/>
        <rFont val="Franklin Gothic Book"/>
        <family val="2"/>
      </rPr>
      <t>∆</t>
    </r>
    <r>
      <rPr>
        <sz val="9"/>
        <color rgb="FF7F6000"/>
        <rFont val="Calibri"/>
        <family val="2"/>
      </rPr>
      <t xml:space="preserve"> H Año 3 %</t>
    </r>
  </si>
  <si>
    <r>
      <rPr>
        <sz val="9"/>
        <color rgb="FF7F6000"/>
        <rFont val="Calibri"/>
        <family val="2"/>
      </rPr>
      <t xml:space="preserve">Propuesta </t>
    </r>
    <r>
      <rPr>
        <sz val="9"/>
        <color rgb="FF7F6000"/>
        <rFont val="Franklin Gothic Book"/>
        <family val="2"/>
      </rPr>
      <t>∆ M Año 3 %</t>
    </r>
  </si>
  <si>
    <t>Sueldo Hombres A3</t>
  </si>
  <si>
    <t>Sueldo Mujeres A3</t>
  </si>
  <si>
    <t>Brecha A3</t>
  </si>
  <si>
    <t>Masa salarial año 3</t>
  </si>
  <si>
    <t>Año 3
% s/vts</t>
  </si>
  <si>
    <r>
      <rPr>
        <sz val="9"/>
        <color rgb="FFFF7C80"/>
        <rFont val="Calibri"/>
        <family val="2"/>
      </rPr>
      <t xml:space="preserve">Propuesta </t>
    </r>
    <r>
      <rPr>
        <sz val="9"/>
        <color rgb="FFFF7C80"/>
        <rFont val="Franklin Gothic Book"/>
        <family val="2"/>
      </rPr>
      <t>∆</t>
    </r>
    <r>
      <rPr>
        <sz val="9"/>
        <color rgb="FFFF7C80"/>
        <rFont val="Calibri"/>
        <family val="2"/>
      </rPr>
      <t xml:space="preserve"> H Año 4 %</t>
    </r>
  </si>
  <si>
    <r>
      <rPr>
        <sz val="9"/>
        <color rgb="FFFF7C80"/>
        <rFont val="Calibri"/>
        <family val="2"/>
      </rPr>
      <t xml:space="preserve">Propuesta </t>
    </r>
    <r>
      <rPr>
        <sz val="9"/>
        <color rgb="FFFF7C80"/>
        <rFont val="Franklin Gothic Book"/>
        <family val="2"/>
      </rPr>
      <t>∆ M Año 4 %</t>
    </r>
  </si>
  <si>
    <t>Sueldo Hombres A4</t>
  </si>
  <si>
    <t>Sueldo Mujeres A4</t>
  </si>
  <si>
    <t>Brecha A4</t>
  </si>
  <si>
    <t>Masa salarial año 4</t>
  </si>
  <si>
    <t>Año 4
% s/vts</t>
  </si>
  <si>
    <r>
      <rPr>
        <sz val="9"/>
        <color rgb="FF6600FF"/>
        <rFont val="Calibri"/>
        <family val="2"/>
      </rPr>
      <t xml:space="preserve">Propuesta </t>
    </r>
    <r>
      <rPr>
        <sz val="9"/>
        <color rgb="FF6600FF"/>
        <rFont val="Franklin Gothic Book"/>
        <family val="2"/>
      </rPr>
      <t>∆</t>
    </r>
    <r>
      <rPr>
        <sz val="9"/>
        <color rgb="FF6600FF"/>
        <rFont val="Calibri"/>
        <family val="2"/>
      </rPr>
      <t xml:space="preserve"> H Año 5 %</t>
    </r>
  </si>
  <si>
    <r>
      <rPr>
        <sz val="9"/>
        <color rgb="FF6600FF"/>
        <rFont val="Calibri"/>
        <family val="2"/>
      </rPr>
      <t xml:space="preserve">Propuesta </t>
    </r>
    <r>
      <rPr>
        <sz val="9"/>
        <color rgb="FF6600FF"/>
        <rFont val="Franklin Gothic Book"/>
        <family val="2"/>
      </rPr>
      <t>∆ M Año 5 %</t>
    </r>
  </si>
  <si>
    <t>Sueldo Hombres A5</t>
  </si>
  <si>
    <t>Sueldo Mujeres A5</t>
  </si>
  <si>
    <t>Brecha A5</t>
  </si>
  <si>
    <t>Masa salarial año 5</t>
  </si>
  <si>
    <t>Año 5
% s/vts</t>
  </si>
  <si>
    <t>Equipo Directivo</t>
  </si>
  <si>
    <t>Responsables</t>
  </si>
  <si>
    <t>Ventas y Marketing</t>
  </si>
  <si>
    <t>Oficina</t>
  </si>
  <si>
    <t>Operarios</t>
  </si>
  <si>
    <t xml:space="preserve">TOTAL </t>
  </si>
  <si>
    <t xml:space="preserve">Una vez detectadad la brecha salarial, hemos realizado la proyeccion en 5 años para que no exista esta injusta desigualdad.
Para ello lo hemos prolongado en 5 años, a parte de ir subiendo escaladamente los salarios Mujeres, tambien hemos ido ampliado en plantilla l numero de mujeres.
Hemos calculado el % de coste salarial, y hemos querido mantenerlo segun la proyeccion de ventas.
El numero de trabajadore mjueres, también lo hemos ido incrementado quedando en año 3 en plena igualdad llegando al año 5 estando 1 por encima en total y concretamente en Equipo directivo.
Como se puede comprovar en los primeros años hemos realizado subidas de salario (mujeres) % igual para todas las categorias a partir delñ año 3 ya sido proporcional con las diferencias.
Lo que presentamos es una posibilidad dentro de las muchas variaciones puedan a ver, siempre y cuando el final sea el mismo. Nosotros hemos considerado que esta variable es la que mas se ajustaba a la filosfia de empresa, es decir primero hem igualdao el numero de personal mujeres contratado y paralelamente aumentando los salarios sin que la partida y % en sueldos trabajadores se vea condicionada. Tambíen creemos que en crecimiento de facturacion hemos reforzado esas areas que hemos creido mas conveniente.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</si>
</sst>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sz val="9"/>
      <color rgb="FF548135"/>
      <name val="Calibri"/>
      <family val="2"/>
    </font>
    <font>
      <sz val="9"/>
      <color rgb="FF2F5496"/>
      <name val="Calibri"/>
      <family val="2"/>
    </font>
    <font>
      <sz val="9"/>
      <color rgb="FF7F6000"/>
      <name val="Calibri"/>
      <family val="2"/>
    </font>
    <font>
      <sz val="9"/>
      <color rgb="FFFF7C80"/>
      <name val="Calibri"/>
      <family val="2"/>
    </font>
    <font>
      <sz val="9"/>
      <color rgb="FF6600FF"/>
      <name val="Calibri"/>
      <family val="2"/>
    </font>
    <font>
      <sz val="9"/>
      <color rgb="FF548135"/>
      <name val="Franklin Gothic Book"/>
      <family val="2"/>
    </font>
    <font>
      <sz val="9"/>
      <color rgb="FF2F5496"/>
      <name val="Franklin Gothic Book"/>
      <family val="2"/>
    </font>
    <font>
      <sz val="9"/>
      <color rgb="FF7F6000"/>
      <name val="Franklin Gothic Book"/>
      <family val="2"/>
    </font>
    <font>
      <sz val="9"/>
      <color rgb="FFFF7C80"/>
      <name val="Franklin Gothic Book"/>
      <family val="2"/>
    </font>
    <font>
      <sz val="9"/>
      <color rgb="FF6600FF"/>
      <name val="Franklin Gothic Book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/>
    <xf numFmtId="0" fontId="1" fillId="0" borderId="0" xfId="0" applyFont="1"/>
    <xf numFmtId="3" fontId="2" fillId="0" borderId="0" xfId="0" applyNumberFormat="1" applyFont="1"/>
    <xf numFmtId="3" fontId="1" fillId="0" borderId="1" xfId="0" applyNumberFormat="1" applyFont="1" applyBorder="1"/>
    <xf numFmtId="3" fontId="1" fillId="0" borderId="0" xfId="0" applyNumberFormat="1" applyFont="1"/>
    <xf numFmtId="9" fontId="1" fillId="0" borderId="0" xfId="0" applyNumberFormat="1" applyFont="1"/>
    <xf numFmtId="9" fontId="3" fillId="0" borderId="0" xfId="0" applyNumberFormat="1" applyFont="1"/>
    <xf numFmtId="1" fontId="1" fillId="0" borderId="1" xfId="0" applyNumberFormat="1" applyFont="1" applyBorder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/>
    <xf numFmtId="0" fontId="1" fillId="0" borderId="5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1" fillId="0" borderId="6" xfId="0" applyFont="1" applyBorder="1"/>
    <xf numFmtId="9" fontId="1" fillId="0" borderId="7" xfId="0" applyNumberFormat="1" applyFont="1" applyBorder="1"/>
    <xf numFmtId="9" fontId="1" fillId="0" borderId="8" xfId="0" applyNumberFormat="1" applyFont="1" applyBorder="1"/>
    <xf numFmtId="0" fontId="1" fillId="0" borderId="0" xfId="0" applyFont="1" applyAlignment="1">
      <alignment wrapText="1"/>
    </xf>
    <xf numFmtId="0" fontId="1" fillId="0" borderId="9" xfId="0" applyFont="1" applyBorder="1"/>
    <xf numFmtId="0" fontId="1" fillId="0" borderId="10" xfId="0" applyFont="1" applyBorder="1"/>
    <xf numFmtId="3" fontId="1" fillId="0" borderId="10" xfId="0" applyNumberFormat="1" applyFont="1" applyBorder="1"/>
    <xf numFmtId="9" fontId="1" fillId="0" borderId="11" xfId="0" applyNumberFormat="1" applyFont="1" applyBorder="1"/>
    <xf numFmtId="9" fontId="1" fillId="0" borderId="12" xfId="0" applyNumberFormat="1" applyFont="1" applyBorder="1"/>
    <xf numFmtId="3" fontId="0" fillId="0" borderId="0" xfId="0" applyNumberFormat="1"/>
    <xf numFmtId="3" fontId="1" fillId="0" borderId="13" xfId="0" applyNumberFormat="1" applyFont="1" applyBorder="1"/>
    <xf numFmtId="0" fontId="1" fillId="0" borderId="11" xfId="0" applyFont="1" applyBorder="1"/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X29"/>
  <sheetViews>
    <sheetView tabSelected="1" workbookViewId="0">
      <pane xSplit="2" ySplit="20" topLeftCell="C21" activePane="bottomRight" state="frozen"/>
      <selection pane="topRight" activeCell="C1" sqref="C1"/>
      <selection pane="bottomLeft" activeCell="A19" sqref="A19"/>
      <selection pane="bottomRight" sqref="A1:XFD1048576"/>
    </sheetView>
  </sheetViews>
  <sheetFormatPr defaultColWidth="12.625" defaultRowHeight="15" customHeight="1" x14ac:dyDescent="0.2"/>
  <cols>
    <col min="1" max="1" width="6.625" customWidth="1"/>
    <col min="2" max="2" width="6.5" customWidth="1"/>
    <col min="3" max="11" width="10.625" customWidth="1"/>
    <col min="12" max="12" width="8.75" customWidth="1"/>
    <col min="13" max="13" width="9" customWidth="1"/>
    <col min="14" max="14" width="8.5" customWidth="1"/>
    <col min="15" max="15" width="8.125" customWidth="1"/>
    <col min="16" max="16" width="7.375" customWidth="1"/>
    <col min="17" max="17" width="8.375" customWidth="1"/>
    <col min="18" max="18" width="5.875" customWidth="1"/>
    <col min="19" max="19" width="9.125" customWidth="1"/>
    <col min="20" max="20" width="7.25" customWidth="1"/>
    <col min="21" max="21" width="9.75" customWidth="1"/>
    <col min="22" max="22" width="9.375" customWidth="1"/>
    <col min="23" max="23" width="8.375" customWidth="1"/>
    <col min="24" max="24" width="8" customWidth="1"/>
    <col min="25" max="25" width="9" customWidth="1"/>
    <col min="26" max="27" width="9.375" customWidth="1"/>
    <col min="28" max="28" width="9" customWidth="1"/>
    <col min="29" max="30" width="9.375" customWidth="1"/>
    <col min="31" max="31" width="7.75" customWidth="1"/>
    <col min="32" max="39" width="9.375" customWidth="1"/>
    <col min="40" max="40" width="5.5" customWidth="1"/>
    <col min="41" max="41" width="8.75" customWidth="1"/>
    <col min="42" max="44" width="9.375" customWidth="1"/>
    <col min="45" max="45" width="9.5" customWidth="1"/>
    <col min="46" max="46" width="8.25" customWidth="1"/>
    <col min="47" max="47" width="8" customWidth="1"/>
    <col min="48" max="48" width="7" customWidth="1"/>
    <col min="49" max="50" width="8.375" customWidth="1"/>
  </cols>
  <sheetData>
    <row r="1" spans="2:23" ht="15" customHeight="1" x14ac:dyDescent="0.2">
      <c r="D1" s="45" t="s">
        <v>60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7"/>
    </row>
    <row r="2" spans="2:23" ht="15" customHeight="1" x14ac:dyDescent="0.2">
      <c r="D2" s="48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49"/>
    </row>
    <row r="3" spans="2:23" ht="15" customHeight="1" x14ac:dyDescent="0.2">
      <c r="D3" s="48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49"/>
    </row>
    <row r="4" spans="2:23" ht="15" customHeight="1" x14ac:dyDescent="0.2">
      <c r="D4" s="48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49"/>
    </row>
    <row r="5" spans="2:23" ht="15" customHeight="1" x14ac:dyDescent="0.2">
      <c r="D5" s="48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49"/>
    </row>
    <row r="6" spans="2:23" ht="15" customHeight="1" x14ac:dyDescent="0.2">
      <c r="D6" s="48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49"/>
    </row>
    <row r="7" spans="2:23" ht="15" customHeight="1" x14ac:dyDescent="0.2">
      <c r="D7" s="48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49"/>
    </row>
    <row r="8" spans="2:23" ht="15" customHeight="1" x14ac:dyDescent="0.2">
      <c r="D8" s="48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49"/>
    </row>
    <row r="9" spans="2:23" ht="15" customHeight="1" x14ac:dyDescent="0.2">
      <c r="D9" s="48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49"/>
    </row>
    <row r="10" spans="2:23" ht="15" customHeight="1" x14ac:dyDescent="0.2">
      <c r="D10" s="48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49"/>
    </row>
    <row r="11" spans="2:23" ht="15" customHeight="1" x14ac:dyDescent="0.2">
      <c r="D11" s="48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49"/>
    </row>
    <row r="12" spans="2:23" ht="15" customHeight="1" x14ac:dyDescent="0.2">
      <c r="D12" s="48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49"/>
    </row>
    <row r="13" spans="2:23" ht="15" customHeight="1" thickBot="1" x14ac:dyDescent="0.25">
      <c r="D13" s="50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2"/>
    </row>
    <row r="14" spans="2:23" ht="15" customHeight="1" x14ac:dyDescent="0.2">
      <c r="I14" s="44"/>
      <c r="J14" s="44" t="s">
        <v>0</v>
      </c>
      <c r="K14" s="44" t="s">
        <v>1</v>
      </c>
      <c r="L14" s="44" t="s">
        <v>2</v>
      </c>
      <c r="M14" s="44" t="s">
        <v>3</v>
      </c>
      <c r="N14" s="44" t="s">
        <v>4</v>
      </c>
      <c r="O14" s="44" t="s">
        <v>5</v>
      </c>
    </row>
    <row r="15" spans="2:23" ht="15" customHeight="1" x14ac:dyDescent="0.2">
      <c r="B15" s="2"/>
      <c r="C15" s="2"/>
      <c r="D15" s="3"/>
      <c r="I15" s="1" t="s">
        <v>6</v>
      </c>
      <c r="J15" s="4">
        <v>1000000</v>
      </c>
      <c r="K15" s="4">
        <f t="shared" ref="K15:O15" si="0">+J15*(1+K16)</f>
        <v>1120000</v>
      </c>
      <c r="L15" s="4">
        <f t="shared" si="0"/>
        <v>1254400.0000000002</v>
      </c>
      <c r="M15" s="4">
        <f t="shared" si="0"/>
        <v>1404928.0000000005</v>
      </c>
      <c r="N15" s="4">
        <f t="shared" si="0"/>
        <v>1573519.3600000006</v>
      </c>
      <c r="O15" s="4">
        <f t="shared" si="0"/>
        <v>1762341.6832000008</v>
      </c>
    </row>
    <row r="16" spans="2:23" ht="15" customHeight="1" x14ac:dyDescent="0.2">
      <c r="B16" s="2"/>
      <c r="C16" s="2"/>
      <c r="D16" s="5"/>
      <c r="K16" s="6">
        <v>0.12</v>
      </c>
      <c r="L16" s="6">
        <v>0.12</v>
      </c>
      <c r="M16" s="6">
        <v>0.12</v>
      </c>
      <c r="N16" s="6">
        <v>0.12</v>
      </c>
      <c r="O16" s="6">
        <v>0.12</v>
      </c>
    </row>
    <row r="17" spans="2:50" ht="15" customHeight="1" x14ac:dyDescent="0.2">
      <c r="B17" s="2" t="s">
        <v>7</v>
      </c>
      <c r="C17" s="2">
        <v>15</v>
      </c>
      <c r="D17" s="5"/>
    </row>
    <row r="18" spans="2:50" x14ac:dyDescent="0.25">
      <c r="B18" s="2" t="s">
        <v>8</v>
      </c>
      <c r="C18" s="2">
        <v>5</v>
      </c>
      <c r="D18" s="5"/>
      <c r="K18" s="7">
        <f>+K21/J21-1</f>
        <v>0.12000000000000011</v>
      </c>
    </row>
    <row r="19" spans="2:50" ht="15" customHeight="1" x14ac:dyDescent="0.2">
      <c r="B19" s="2" t="s">
        <v>9</v>
      </c>
      <c r="C19" s="2">
        <v>10</v>
      </c>
      <c r="D19" s="5"/>
    </row>
    <row r="20" spans="2:50" ht="15" customHeight="1" x14ac:dyDescent="0.2">
      <c r="B20" s="2"/>
      <c r="C20" s="2"/>
      <c r="D20" s="2"/>
      <c r="E20" s="2"/>
      <c r="F20" s="2"/>
      <c r="G20" s="2"/>
      <c r="H20" s="2"/>
      <c r="I20" s="1"/>
      <c r="J20" s="1" t="s">
        <v>0</v>
      </c>
      <c r="K20" s="1" t="s">
        <v>10</v>
      </c>
      <c r="L20" s="2"/>
      <c r="M20" s="2"/>
      <c r="N20" s="2"/>
      <c r="O20" s="2"/>
      <c r="P20" s="2"/>
      <c r="Q20" s="2"/>
      <c r="R20" s="2"/>
      <c r="S20" s="1"/>
      <c r="T20" s="1" t="s">
        <v>2</v>
      </c>
      <c r="U20" s="2"/>
      <c r="V20" s="2"/>
      <c r="W20" s="2"/>
      <c r="X20" s="2"/>
      <c r="Y20" s="2"/>
      <c r="Z20" s="2"/>
      <c r="AA20" s="1"/>
      <c r="AB20" s="1" t="s">
        <v>3</v>
      </c>
      <c r="AC20" s="2"/>
      <c r="AD20" s="2"/>
      <c r="AE20" s="2"/>
      <c r="AF20" s="2"/>
      <c r="AG20" s="2"/>
      <c r="AH20" s="2"/>
      <c r="AI20" s="1"/>
      <c r="AJ20" s="1" t="s">
        <v>4</v>
      </c>
      <c r="AK20" s="2"/>
      <c r="AL20" s="2"/>
      <c r="AM20" s="2"/>
      <c r="AN20" s="2"/>
      <c r="AO20" s="2"/>
      <c r="AP20" s="2"/>
      <c r="AQ20" s="1"/>
      <c r="AR20" s="1" t="s">
        <v>5</v>
      </c>
      <c r="AS20" s="2"/>
      <c r="AT20" s="2"/>
      <c r="AU20" s="2"/>
      <c r="AV20" s="2"/>
      <c r="AW20" s="2"/>
      <c r="AX20" s="2"/>
    </row>
    <row r="21" spans="2:50" ht="15" customHeight="1" x14ac:dyDescent="0.2">
      <c r="I21" s="1" t="s">
        <v>6</v>
      </c>
      <c r="J21" s="1">
        <v>1000000</v>
      </c>
      <c r="K21" s="4">
        <f>+K15</f>
        <v>1120000</v>
      </c>
      <c r="L21" s="2"/>
      <c r="M21" s="2"/>
      <c r="N21" s="2"/>
      <c r="O21" s="2"/>
      <c r="P21" s="2"/>
      <c r="Q21" s="2"/>
      <c r="R21" s="2"/>
      <c r="S21" s="1" t="s">
        <v>6</v>
      </c>
      <c r="T21" s="8">
        <f>+L15</f>
        <v>1254400.0000000002</v>
      </c>
      <c r="U21" s="2"/>
      <c r="V21" s="2"/>
      <c r="W21" s="2"/>
      <c r="X21" s="2"/>
      <c r="Y21" s="2"/>
      <c r="Z21" s="2"/>
      <c r="AA21" s="1" t="s">
        <v>6</v>
      </c>
      <c r="AB21" s="8">
        <f>+M15</f>
        <v>1404928.0000000005</v>
      </c>
      <c r="AC21" s="2"/>
      <c r="AD21" s="2"/>
      <c r="AE21" s="2"/>
      <c r="AF21" s="2"/>
      <c r="AG21" s="2"/>
      <c r="AH21" s="2"/>
      <c r="AI21" s="1" t="s">
        <v>6</v>
      </c>
      <c r="AJ21" s="8">
        <f>+N15</f>
        <v>1573519.3600000006</v>
      </c>
      <c r="AK21" s="2"/>
      <c r="AL21" s="2"/>
      <c r="AM21" s="2"/>
      <c r="AN21" s="2"/>
      <c r="AO21" s="2"/>
      <c r="AP21" s="2"/>
      <c r="AQ21" s="1" t="s">
        <v>6</v>
      </c>
      <c r="AR21" s="8">
        <f>+O15</f>
        <v>1762341.6832000008</v>
      </c>
      <c r="AS21" s="2"/>
      <c r="AT21" s="2"/>
      <c r="AU21" s="2"/>
      <c r="AV21" s="2"/>
      <c r="AW21" s="2"/>
      <c r="AX21" s="2"/>
    </row>
    <row r="22" spans="2:50" ht="15" customHeight="1" x14ac:dyDescent="0.2">
      <c r="B22" s="2"/>
      <c r="C22" s="2">
        <f t="shared" ref="C22:D22" si="1">SUM(C24:C33)</f>
        <v>20</v>
      </c>
      <c r="D22" s="2">
        <f t="shared" si="1"/>
        <v>10</v>
      </c>
      <c r="E22" s="2"/>
      <c r="F22" s="2"/>
      <c r="G22" s="5">
        <f>SUM(G24:G33)</f>
        <v>-20895</v>
      </c>
      <c r="H22" s="2"/>
      <c r="I22" s="5">
        <f>SUM(I24:I33)</f>
        <v>871200</v>
      </c>
      <c r="J22" s="6">
        <f>+I22/J21</f>
        <v>0.87119999999999997</v>
      </c>
      <c r="K22" s="2"/>
      <c r="L22" s="2"/>
      <c r="M22" s="2"/>
      <c r="N22" s="2"/>
      <c r="O22" s="5">
        <f>SUM(O24:O33)</f>
        <v>-18315</v>
      </c>
      <c r="P22" s="2"/>
      <c r="Q22" s="5">
        <f>SUM(Q24:Q33)</f>
        <v>967348</v>
      </c>
      <c r="R22" s="6">
        <f>+Q22/K21</f>
        <v>0.86370357142857146</v>
      </c>
      <c r="S22" s="2"/>
      <c r="T22" s="2"/>
      <c r="U22" s="2"/>
      <c r="V22" s="2"/>
      <c r="W22" s="5">
        <f>SUM(W24:W33)</f>
        <v>-13049.719999999998</v>
      </c>
      <c r="X22" s="2"/>
      <c r="Y22" s="5">
        <f>SUM(Y24:Y33)</f>
        <v>1098209.92</v>
      </c>
      <c r="Z22" s="6">
        <f>+Y22/$T$21</f>
        <v>0.87548622448979574</v>
      </c>
      <c r="AA22" s="2"/>
      <c r="AB22" s="2"/>
      <c r="AC22" s="2"/>
      <c r="AD22" s="2"/>
      <c r="AE22" s="5">
        <f>SUM(AE24:AE33)</f>
        <v>-7975.8527999999969</v>
      </c>
      <c r="AF22" s="2"/>
      <c r="AG22" s="5">
        <f>SUM(AG24:AG33)</f>
        <v>1194632.3968</v>
      </c>
      <c r="AH22" s="6">
        <f>+AG22/AB21</f>
        <v>0.85031574344023297</v>
      </c>
      <c r="AI22" s="2"/>
      <c r="AJ22" s="2"/>
      <c r="AK22" s="2"/>
      <c r="AL22" s="2"/>
      <c r="AM22" s="5">
        <f>SUM(AM24:AM33)</f>
        <v>-3323.1203520000017</v>
      </c>
      <c r="AN22" s="2"/>
      <c r="AO22" s="5">
        <f>SUM(AO24:AO33)</f>
        <v>1213019.073472</v>
      </c>
      <c r="AP22" s="6">
        <f>+AO22/AJ21</f>
        <v>0.77089555064133408</v>
      </c>
      <c r="AQ22" s="2"/>
      <c r="AR22" s="2"/>
      <c r="AS22" s="2"/>
      <c r="AT22" s="2"/>
      <c r="AU22" s="5">
        <f>SUM(AU24:AU33)</f>
        <v>408.95196031999149</v>
      </c>
      <c r="AV22" s="2"/>
      <c r="AW22" s="5">
        <f>SUM(AW24:AW33)</f>
        <v>1538324.64238848</v>
      </c>
      <c r="AX22" s="6">
        <f>+AW22/AR21</f>
        <v>0.87288671490493364</v>
      </c>
    </row>
    <row r="23" spans="2:50" ht="37.5" x14ac:dyDescent="0.25">
      <c r="B23" s="2"/>
      <c r="C23" s="9" t="s">
        <v>11</v>
      </c>
      <c r="D23" s="10" t="s">
        <v>12</v>
      </c>
      <c r="E23" s="10" t="s">
        <v>13</v>
      </c>
      <c r="F23" s="10" t="s">
        <v>14</v>
      </c>
      <c r="G23" s="10" t="s">
        <v>15</v>
      </c>
      <c r="H23" s="11" t="s">
        <v>16</v>
      </c>
      <c r="I23" s="10" t="s">
        <v>17</v>
      </c>
      <c r="J23" s="12" t="s">
        <v>18</v>
      </c>
      <c r="K23" s="13" t="s">
        <v>19</v>
      </c>
      <c r="L23" s="14" t="s">
        <v>20</v>
      </c>
      <c r="M23" s="14" t="s">
        <v>21</v>
      </c>
      <c r="N23" s="14" t="s">
        <v>22</v>
      </c>
      <c r="O23" s="14" t="s">
        <v>23</v>
      </c>
      <c r="P23" s="15" t="s">
        <v>16</v>
      </c>
      <c r="Q23" s="14" t="s">
        <v>24</v>
      </c>
      <c r="R23" s="16" t="s">
        <v>25</v>
      </c>
      <c r="S23" s="17" t="s">
        <v>26</v>
      </c>
      <c r="T23" s="18" t="s">
        <v>27</v>
      </c>
      <c r="U23" s="18" t="s">
        <v>28</v>
      </c>
      <c r="V23" s="18" t="s">
        <v>29</v>
      </c>
      <c r="W23" s="18" t="s">
        <v>30</v>
      </c>
      <c r="X23" s="19" t="s">
        <v>16</v>
      </c>
      <c r="Y23" s="18" t="s">
        <v>31</v>
      </c>
      <c r="Z23" s="20" t="s">
        <v>32</v>
      </c>
      <c r="AA23" s="21" t="s">
        <v>33</v>
      </c>
      <c r="AB23" s="22" t="s">
        <v>34</v>
      </c>
      <c r="AC23" s="22" t="s">
        <v>35</v>
      </c>
      <c r="AD23" s="22" t="s">
        <v>36</v>
      </c>
      <c r="AE23" s="22" t="s">
        <v>37</v>
      </c>
      <c r="AF23" s="23" t="s">
        <v>16</v>
      </c>
      <c r="AG23" s="22" t="s">
        <v>38</v>
      </c>
      <c r="AH23" s="24" t="s">
        <v>39</v>
      </c>
      <c r="AI23" s="25" t="s">
        <v>40</v>
      </c>
      <c r="AJ23" s="26" t="s">
        <v>41</v>
      </c>
      <c r="AK23" s="26" t="s">
        <v>42</v>
      </c>
      <c r="AL23" s="26" t="s">
        <v>43</v>
      </c>
      <c r="AM23" s="26" t="s">
        <v>44</v>
      </c>
      <c r="AN23" s="27" t="s">
        <v>16</v>
      </c>
      <c r="AO23" s="26" t="s">
        <v>45</v>
      </c>
      <c r="AP23" s="28" t="s">
        <v>46</v>
      </c>
      <c r="AQ23" s="29" t="s">
        <v>47</v>
      </c>
      <c r="AR23" s="30" t="s">
        <v>48</v>
      </c>
      <c r="AS23" s="30" t="s">
        <v>49</v>
      </c>
      <c r="AT23" s="30" t="s">
        <v>50</v>
      </c>
      <c r="AU23" s="30" t="s">
        <v>51</v>
      </c>
      <c r="AV23" s="31" t="s">
        <v>16</v>
      </c>
      <c r="AW23" s="30" t="s">
        <v>52</v>
      </c>
      <c r="AX23" s="32" t="s">
        <v>53</v>
      </c>
    </row>
    <row r="24" spans="2:50" ht="15" customHeight="1" x14ac:dyDescent="0.2">
      <c r="B24" s="2" t="s">
        <v>54</v>
      </c>
      <c r="C24" s="33">
        <v>3</v>
      </c>
      <c r="D24" s="2">
        <v>1</v>
      </c>
      <c r="E24" s="5">
        <v>42000</v>
      </c>
      <c r="F24" s="5">
        <v>36000</v>
      </c>
      <c r="G24" s="5">
        <f t="shared" ref="G24:G28" si="2">+F24-E24</f>
        <v>-6000</v>
      </c>
      <c r="H24" s="34">
        <f t="shared" ref="H24:H28" si="3">+G24/F24</f>
        <v>-0.16666666666666666</v>
      </c>
      <c r="I24" s="5">
        <f t="shared" ref="I24:I28" si="4">+C24*E24+F24*D24</f>
        <v>162000</v>
      </c>
      <c r="J24" s="35">
        <f t="shared" ref="J24:J29" si="5">+I24/$J$21</f>
        <v>0.16200000000000001</v>
      </c>
      <c r="K24" s="33">
        <v>3</v>
      </c>
      <c r="L24" s="2">
        <v>1</v>
      </c>
      <c r="M24" s="5">
        <v>42000</v>
      </c>
      <c r="N24" s="5">
        <f>F24+(F24*2%)</f>
        <v>36720</v>
      </c>
      <c r="O24" s="5">
        <f t="shared" ref="O24:O28" si="6">+N24-M24</f>
        <v>-5280</v>
      </c>
      <c r="P24" s="34">
        <f t="shared" ref="P24:P28" si="7">+O24/N24</f>
        <v>-0.1437908496732026</v>
      </c>
      <c r="Q24" s="5">
        <f t="shared" ref="Q24:Q28" si="8">+K24*M24+N24*L24</f>
        <v>162720</v>
      </c>
      <c r="R24" s="35">
        <f>+Q24/$K$21</f>
        <v>0.1452857142857143</v>
      </c>
      <c r="S24" s="33">
        <v>3</v>
      </c>
      <c r="T24" s="2">
        <v>2</v>
      </c>
      <c r="U24" s="5">
        <v>42000</v>
      </c>
      <c r="V24" s="5">
        <f>N24+(N24*4%)</f>
        <v>38188.800000000003</v>
      </c>
      <c r="W24" s="5">
        <f t="shared" ref="W24:W28" si="9">+V24-U24</f>
        <v>-3811.1999999999971</v>
      </c>
      <c r="X24" s="34">
        <f t="shared" ref="X24:X28" si="10">+W24/V24</f>
        <v>-9.9798893916540898E-2</v>
      </c>
      <c r="Y24" s="5">
        <f t="shared" ref="Y24:Y28" si="11">+S24*U24+V24*T24</f>
        <v>202377.60000000001</v>
      </c>
      <c r="Z24" s="35">
        <f>+Y24/$T$21</f>
        <v>0.16133418367346936</v>
      </c>
      <c r="AA24" s="33">
        <v>3</v>
      </c>
      <c r="AB24" s="2">
        <v>3</v>
      </c>
      <c r="AC24" s="5">
        <v>42000</v>
      </c>
      <c r="AD24" s="5">
        <f>V24+(V24*4%)</f>
        <v>39716.352000000006</v>
      </c>
      <c r="AE24" s="5">
        <f t="shared" ref="AE24:AE28" si="12">+AD24-AC24</f>
        <v>-2283.6479999999938</v>
      </c>
      <c r="AF24" s="34">
        <f t="shared" ref="AF24:AF28" si="13">+AE24/AD24</f>
        <v>-5.7498936458212309E-2</v>
      </c>
      <c r="AG24" s="5">
        <f t="shared" ref="AG24:AG28" si="14">+AA24*AC24+AD24*AB24</f>
        <v>245149.05600000001</v>
      </c>
      <c r="AH24" s="35">
        <f>+AG24/$AB$21</f>
        <v>0.17449225583090375</v>
      </c>
      <c r="AI24" s="33">
        <v>3</v>
      </c>
      <c r="AJ24" s="2">
        <v>3</v>
      </c>
      <c r="AK24" s="5">
        <v>42000</v>
      </c>
      <c r="AL24" s="5">
        <f>AD24+(AD24*3%)</f>
        <v>40907.842560000005</v>
      </c>
      <c r="AM24" s="5">
        <f t="shared" ref="AM24:AM28" si="15">+AL24-AK24</f>
        <v>-1092.1574399999954</v>
      </c>
      <c r="AN24" s="34">
        <f t="shared" ref="AN24:AN28" si="16">+AM24/AL24</f>
        <v>-2.6697996561371222E-2</v>
      </c>
      <c r="AO24" s="5">
        <f t="shared" ref="AO24:AO28" si="17">+AI24*AK24+AL24*AJ24</f>
        <v>248723.52768</v>
      </c>
      <c r="AP24" s="35">
        <f>+AO24/$AJ$21</f>
        <v>0.15806829836526443</v>
      </c>
      <c r="AQ24" s="33">
        <v>3</v>
      </c>
      <c r="AR24" s="2">
        <v>4</v>
      </c>
      <c r="AS24" s="5">
        <v>42000</v>
      </c>
      <c r="AT24" s="5">
        <f>AL24+(AL24*3%)</f>
        <v>42135.077836800003</v>
      </c>
      <c r="AU24" s="5">
        <f t="shared" ref="AU24:AU28" si="18">+AT24-AS24</f>
        <v>135.07783680000284</v>
      </c>
      <c r="AV24" s="34">
        <f t="shared" ref="AV24:AV28" si="19">+AU24/AT24</f>
        <v>3.2058285811929449E-3</v>
      </c>
      <c r="AW24" s="5">
        <f t="shared" ref="AW24:AW28" si="20">+AQ24*AS24+AT24*AR24</f>
        <v>294540.31134720001</v>
      </c>
      <c r="AX24" s="35">
        <f>+AW24/$AR$21</f>
        <v>0.16713008275011892</v>
      </c>
    </row>
    <row r="25" spans="2:50" ht="15" customHeight="1" x14ac:dyDescent="0.2">
      <c r="B25" s="2" t="s">
        <v>55</v>
      </c>
      <c r="C25" s="33">
        <v>1</v>
      </c>
      <c r="D25" s="2">
        <v>1</v>
      </c>
      <c r="E25" s="5">
        <v>34500</v>
      </c>
      <c r="F25" s="5">
        <v>29000</v>
      </c>
      <c r="G25" s="5">
        <f t="shared" si="2"/>
        <v>-5500</v>
      </c>
      <c r="H25" s="34">
        <f t="shared" si="3"/>
        <v>-0.18965517241379309</v>
      </c>
      <c r="I25" s="5">
        <f t="shared" si="4"/>
        <v>63500</v>
      </c>
      <c r="J25" s="35">
        <f t="shared" si="5"/>
        <v>6.3500000000000001E-2</v>
      </c>
      <c r="K25" s="33">
        <v>1</v>
      </c>
      <c r="L25" s="2">
        <v>1</v>
      </c>
      <c r="M25" s="5">
        <v>34500</v>
      </c>
      <c r="N25" s="5">
        <f>F25+(F25*2%)</f>
        <v>29580</v>
      </c>
      <c r="O25" s="5">
        <f t="shared" si="6"/>
        <v>-4920</v>
      </c>
      <c r="P25" s="34">
        <f t="shared" si="7"/>
        <v>-0.16632860040567951</v>
      </c>
      <c r="Q25" s="5">
        <f t="shared" si="8"/>
        <v>64080</v>
      </c>
      <c r="R25" s="35">
        <f t="shared" ref="R25:R28" si="21">+Q25/$K$21</f>
        <v>5.7214285714285718E-2</v>
      </c>
      <c r="S25" s="33">
        <v>1</v>
      </c>
      <c r="T25" s="2">
        <v>1</v>
      </c>
      <c r="U25" s="5">
        <v>34500</v>
      </c>
      <c r="V25" s="5">
        <f t="shared" ref="V25:V28" si="22">N25+(N25*4%)</f>
        <v>30763.200000000001</v>
      </c>
      <c r="W25" s="5">
        <f t="shared" si="9"/>
        <v>-3736.7999999999993</v>
      </c>
      <c r="X25" s="34">
        <f t="shared" si="10"/>
        <v>-0.12146980808238413</v>
      </c>
      <c r="Y25" s="5">
        <f t="shared" si="11"/>
        <v>65263.199999999997</v>
      </c>
      <c r="Z25" s="35">
        <f t="shared" ref="Z25:Z28" si="23">+Y25/$T$21</f>
        <v>5.202742346938774E-2</v>
      </c>
      <c r="AA25" s="33">
        <v>1</v>
      </c>
      <c r="AB25" s="2">
        <v>1</v>
      </c>
      <c r="AC25" s="5">
        <v>34500</v>
      </c>
      <c r="AD25" s="5">
        <f>V25+(V25*4%)</f>
        <v>31993.727999999999</v>
      </c>
      <c r="AE25" s="5">
        <f t="shared" si="12"/>
        <v>-2506.2720000000008</v>
      </c>
      <c r="AF25" s="34">
        <f t="shared" si="13"/>
        <v>-7.8336353925369404E-2</v>
      </c>
      <c r="AG25" s="5">
        <f t="shared" si="14"/>
        <v>66493.728000000003</v>
      </c>
      <c r="AH25" s="35">
        <f t="shared" ref="AH25:AH28" si="24">+AG25/$AB$21</f>
        <v>4.7328922193877535E-2</v>
      </c>
      <c r="AI25" s="33">
        <v>1</v>
      </c>
      <c r="AJ25" s="2">
        <v>1</v>
      </c>
      <c r="AK25" s="5">
        <v>34500</v>
      </c>
      <c r="AL25" s="5">
        <f>AD25+(AD25*4%)</f>
        <v>33273.477119999996</v>
      </c>
      <c r="AM25" s="5">
        <f t="shared" si="15"/>
        <v>-1226.5228800000041</v>
      </c>
      <c r="AN25" s="34">
        <f t="shared" si="16"/>
        <v>-3.6861878774393751E-2</v>
      </c>
      <c r="AO25" s="5">
        <f t="shared" si="17"/>
        <v>67773.477119999996</v>
      </c>
      <c r="AP25" s="35">
        <f t="shared" ref="AP25:AP28" si="25">+AO25/$AJ$21</f>
        <v>4.3071269946116181E-2</v>
      </c>
      <c r="AQ25" s="33">
        <v>2</v>
      </c>
      <c r="AR25" s="2">
        <v>2</v>
      </c>
      <c r="AS25" s="5">
        <v>34500</v>
      </c>
      <c r="AT25" s="5">
        <f>AL25+(AL25*4%)</f>
        <v>34604.416204799993</v>
      </c>
      <c r="AU25" s="5">
        <f t="shared" si="18"/>
        <v>104.41620479999256</v>
      </c>
      <c r="AV25" s="34">
        <f t="shared" si="19"/>
        <v>3.0174242553905285E-3</v>
      </c>
      <c r="AW25" s="5">
        <f t="shared" si="20"/>
        <v>138208.83240959997</v>
      </c>
      <c r="AX25" s="35">
        <f t="shared" ref="AX25:AX28" si="26">+AW25/$AR$21</f>
        <v>7.8423403206718131E-2</v>
      </c>
    </row>
    <row r="26" spans="2:50" ht="15" customHeight="1" x14ac:dyDescent="0.2">
      <c r="B26" s="36" t="s">
        <v>56</v>
      </c>
      <c r="C26" s="33">
        <v>2</v>
      </c>
      <c r="D26" s="2">
        <v>1</v>
      </c>
      <c r="E26" s="5">
        <v>30500</v>
      </c>
      <c r="F26" s="5">
        <v>25600</v>
      </c>
      <c r="G26" s="5">
        <f t="shared" si="2"/>
        <v>-4900</v>
      </c>
      <c r="H26" s="34">
        <f t="shared" si="3"/>
        <v>-0.19140625</v>
      </c>
      <c r="I26" s="5">
        <f t="shared" si="4"/>
        <v>86600</v>
      </c>
      <c r="J26" s="35">
        <f t="shared" si="5"/>
        <v>8.6599999999999996E-2</v>
      </c>
      <c r="K26" s="33">
        <v>2</v>
      </c>
      <c r="L26" s="2">
        <v>2</v>
      </c>
      <c r="M26" s="5">
        <v>30500</v>
      </c>
      <c r="N26" s="5">
        <f t="shared" ref="N26:N28" si="27">F26+(F26*2%)</f>
        <v>26112</v>
      </c>
      <c r="O26" s="5">
        <f t="shared" si="6"/>
        <v>-4388</v>
      </c>
      <c r="P26" s="34">
        <f t="shared" si="7"/>
        <v>-0.16804534313725492</v>
      </c>
      <c r="Q26" s="5">
        <f t="shared" si="8"/>
        <v>113224</v>
      </c>
      <c r="R26" s="35">
        <f t="shared" si="21"/>
        <v>0.10109285714285714</v>
      </c>
      <c r="S26" s="33">
        <v>2</v>
      </c>
      <c r="T26" s="2">
        <v>2</v>
      </c>
      <c r="U26" s="5">
        <v>30500</v>
      </c>
      <c r="V26" s="5">
        <f t="shared" si="22"/>
        <v>27156.48</v>
      </c>
      <c r="W26" s="5">
        <f t="shared" si="9"/>
        <v>-3343.5200000000004</v>
      </c>
      <c r="X26" s="34">
        <f t="shared" si="10"/>
        <v>-0.1231205222473605</v>
      </c>
      <c r="Y26" s="5">
        <f t="shared" si="11"/>
        <v>115312.95999999999</v>
      </c>
      <c r="Z26" s="35">
        <f t="shared" si="23"/>
        <v>9.1926785714285697E-2</v>
      </c>
      <c r="AA26" s="33">
        <v>2</v>
      </c>
      <c r="AB26" s="2">
        <v>2</v>
      </c>
      <c r="AC26" s="5">
        <v>30500</v>
      </c>
      <c r="AD26" s="5">
        <f>V26+(V26*4%)</f>
        <v>28242.7392</v>
      </c>
      <c r="AE26" s="5">
        <f t="shared" si="12"/>
        <v>-2257.2608</v>
      </c>
      <c r="AF26" s="34">
        <f t="shared" si="13"/>
        <v>-7.9923579084000468E-2</v>
      </c>
      <c r="AG26" s="5">
        <f t="shared" si="14"/>
        <v>117485.47839999999</v>
      </c>
      <c r="AH26" s="35">
        <f t="shared" si="24"/>
        <v>8.3623842930029127E-2</v>
      </c>
      <c r="AI26" s="33">
        <v>2</v>
      </c>
      <c r="AJ26" s="2">
        <v>2</v>
      </c>
      <c r="AK26" s="5">
        <v>30500</v>
      </c>
      <c r="AL26" s="5">
        <f>AD26+(AD26*4%)</f>
        <v>29372.448767999998</v>
      </c>
      <c r="AM26" s="5">
        <f t="shared" si="15"/>
        <v>-1127.5512320000016</v>
      </c>
      <c r="AN26" s="34">
        <f t="shared" si="16"/>
        <v>-3.8388056811538965E-2</v>
      </c>
      <c r="AO26" s="5">
        <f t="shared" si="17"/>
        <v>119744.897536</v>
      </c>
      <c r="AP26" s="35">
        <f t="shared" si="25"/>
        <v>7.6100047180862121E-2</v>
      </c>
      <c r="AQ26" s="33">
        <v>2</v>
      </c>
      <c r="AR26" s="2">
        <v>2</v>
      </c>
      <c r="AS26" s="5">
        <v>30500</v>
      </c>
      <c r="AT26" s="5">
        <f>AL26+(AL26*4%)</f>
        <v>30547.346718719997</v>
      </c>
      <c r="AU26" s="5">
        <f t="shared" si="18"/>
        <v>47.346718719996716</v>
      </c>
      <c r="AV26" s="34">
        <f t="shared" si="19"/>
        <v>1.5499453735201736E-3</v>
      </c>
      <c r="AW26" s="5">
        <f t="shared" si="20"/>
        <v>122094.69343744</v>
      </c>
      <c r="AX26" s="35">
        <f t="shared" si="26"/>
        <v>6.9279807997132861E-2</v>
      </c>
    </row>
    <row r="27" spans="2:50" ht="15" customHeight="1" x14ac:dyDescent="0.2">
      <c r="B27" s="2" t="s">
        <v>57</v>
      </c>
      <c r="C27" s="33">
        <v>1</v>
      </c>
      <c r="D27" s="2">
        <v>1</v>
      </c>
      <c r="E27" s="5">
        <v>22000</v>
      </c>
      <c r="F27" s="5">
        <v>19500</v>
      </c>
      <c r="G27" s="5">
        <f t="shared" si="2"/>
        <v>-2500</v>
      </c>
      <c r="H27" s="34">
        <f t="shared" si="3"/>
        <v>-0.12820512820512819</v>
      </c>
      <c r="I27" s="5">
        <f t="shared" si="4"/>
        <v>41500</v>
      </c>
      <c r="J27" s="35">
        <f t="shared" si="5"/>
        <v>4.1500000000000002E-2</v>
      </c>
      <c r="K27" s="33">
        <v>1</v>
      </c>
      <c r="L27" s="2">
        <v>1</v>
      </c>
      <c r="M27" s="5">
        <v>22000</v>
      </c>
      <c r="N27" s="5">
        <f t="shared" si="27"/>
        <v>19890</v>
      </c>
      <c r="O27" s="5">
        <f t="shared" si="6"/>
        <v>-2110</v>
      </c>
      <c r="P27" s="34">
        <f t="shared" si="7"/>
        <v>-0.10608345902463549</v>
      </c>
      <c r="Q27" s="5">
        <f t="shared" si="8"/>
        <v>41890</v>
      </c>
      <c r="R27" s="35">
        <f t="shared" si="21"/>
        <v>3.7401785714285714E-2</v>
      </c>
      <c r="S27" s="33">
        <v>1</v>
      </c>
      <c r="T27" s="2">
        <v>1</v>
      </c>
      <c r="U27" s="5">
        <v>22000</v>
      </c>
      <c r="V27" s="5">
        <f t="shared" si="22"/>
        <v>20685.599999999999</v>
      </c>
      <c r="W27" s="5">
        <f t="shared" si="9"/>
        <v>-1314.4000000000015</v>
      </c>
      <c r="X27" s="34">
        <f t="shared" si="10"/>
        <v>-6.3541787523688054E-2</v>
      </c>
      <c r="Y27" s="5">
        <f t="shared" si="11"/>
        <v>42685.599999999999</v>
      </c>
      <c r="Z27" s="35">
        <f t="shared" si="23"/>
        <v>3.4028698979591827E-2</v>
      </c>
      <c r="AA27" s="33">
        <v>1</v>
      </c>
      <c r="AB27" s="2">
        <v>1</v>
      </c>
      <c r="AC27" s="5">
        <v>22000</v>
      </c>
      <c r="AD27" s="5">
        <f>V27+(V27*4%)</f>
        <v>21513.023999999998</v>
      </c>
      <c r="AE27" s="5">
        <f t="shared" si="12"/>
        <v>-486.97600000000239</v>
      </c>
      <c r="AF27" s="34">
        <f t="shared" si="13"/>
        <v>-2.2636334157392399E-2</v>
      </c>
      <c r="AG27" s="5">
        <f t="shared" si="14"/>
        <v>43513.023999999998</v>
      </c>
      <c r="AH27" s="35">
        <f t="shared" si="24"/>
        <v>3.097171100583089E-2</v>
      </c>
      <c r="AI27" s="33">
        <v>1</v>
      </c>
      <c r="AJ27" s="2">
        <v>1</v>
      </c>
      <c r="AK27" s="5">
        <v>22000</v>
      </c>
      <c r="AL27" s="5">
        <f>AD27+(AD27*2.5%)</f>
        <v>22050.849599999998</v>
      </c>
      <c r="AM27" s="5">
        <f t="shared" si="15"/>
        <v>50.849599999997736</v>
      </c>
      <c r="AN27" s="34">
        <f t="shared" si="16"/>
        <v>2.3060154562025465E-3</v>
      </c>
      <c r="AO27" s="5">
        <f t="shared" si="17"/>
        <v>44050.849600000001</v>
      </c>
      <c r="AP27" s="35">
        <f t="shared" si="25"/>
        <v>2.7995111289892224E-2</v>
      </c>
      <c r="AQ27" s="33">
        <v>2</v>
      </c>
      <c r="AR27" s="2">
        <v>2</v>
      </c>
      <c r="AS27" s="5">
        <v>22000</v>
      </c>
      <c r="AT27" s="5">
        <f>AL27</f>
        <v>22050.849599999998</v>
      </c>
      <c r="AU27" s="5">
        <f t="shared" si="18"/>
        <v>50.849599999997736</v>
      </c>
      <c r="AV27" s="34">
        <f t="shared" si="19"/>
        <v>2.3060154562025465E-3</v>
      </c>
      <c r="AW27" s="5">
        <f t="shared" si="20"/>
        <v>88101.699200000003</v>
      </c>
      <c r="AX27" s="35">
        <f t="shared" si="26"/>
        <v>4.9991270160521822E-2</v>
      </c>
    </row>
    <row r="28" spans="2:50" ht="15" customHeight="1" x14ac:dyDescent="0.2">
      <c r="B28" s="2" t="s">
        <v>58</v>
      </c>
      <c r="C28" s="37">
        <v>3</v>
      </c>
      <c r="D28" s="38">
        <v>1</v>
      </c>
      <c r="E28" s="39">
        <v>21000</v>
      </c>
      <c r="F28" s="39">
        <v>19000</v>
      </c>
      <c r="G28" s="39">
        <f t="shared" si="2"/>
        <v>-2000</v>
      </c>
      <c r="H28" s="40">
        <f t="shared" si="3"/>
        <v>-0.10526315789473684</v>
      </c>
      <c r="I28" s="39">
        <f t="shared" si="4"/>
        <v>82000</v>
      </c>
      <c r="J28" s="41">
        <f t="shared" si="5"/>
        <v>8.2000000000000003E-2</v>
      </c>
      <c r="K28" s="37">
        <v>3</v>
      </c>
      <c r="L28" s="38">
        <v>2</v>
      </c>
      <c r="M28" s="39">
        <v>21000</v>
      </c>
      <c r="N28" s="39">
        <f t="shared" si="27"/>
        <v>19380</v>
      </c>
      <c r="O28" s="39">
        <f t="shared" si="6"/>
        <v>-1620</v>
      </c>
      <c r="P28" s="40">
        <f t="shared" si="7"/>
        <v>-8.3591331269349839E-2</v>
      </c>
      <c r="Q28" s="39">
        <f t="shared" si="8"/>
        <v>101760</v>
      </c>
      <c r="R28" s="35">
        <f t="shared" si="21"/>
        <v>9.0857142857142859E-2</v>
      </c>
      <c r="S28" s="37">
        <v>3</v>
      </c>
      <c r="T28" s="38">
        <v>3</v>
      </c>
      <c r="U28" s="39">
        <v>21000</v>
      </c>
      <c r="V28" s="39">
        <f t="shared" si="22"/>
        <v>20155.2</v>
      </c>
      <c r="W28" s="39">
        <f t="shared" si="9"/>
        <v>-844.79999999999927</v>
      </c>
      <c r="X28" s="40">
        <f t="shared" si="10"/>
        <v>-4.1914741605144044E-2</v>
      </c>
      <c r="Y28" s="39">
        <f t="shared" si="11"/>
        <v>123465.60000000001</v>
      </c>
      <c r="Z28" s="35">
        <f t="shared" si="23"/>
        <v>9.8426020408163256E-2</v>
      </c>
      <c r="AA28" s="37">
        <v>3</v>
      </c>
      <c r="AB28" s="38">
        <v>3</v>
      </c>
      <c r="AC28" s="39">
        <v>21000</v>
      </c>
      <c r="AD28" s="43">
        <f>V28+(V28*2%)</f>
        <v>20558.304</v>
      </c>
      <c r="AE28" s="39">
        <f t="shared" si="12"/>
        <v>-441.69599999999991</v>
      </c>
      <c r="AF28" s="40">
        <f t="shared" si="13"/>
        <v>-2.1485040789356938E-2</v>
      </c>
      <c r="AG28" s="39">
        <f t="shared" si="14"/>
        <v>124674.912</v>
      </c>
      <c r="AH28" s="35">
        <f t="shared" si="24"/>
        <v>8.8741139759475188E-2</v>
      </c>
      <c r="AI28" s="37">
        <v>3</v>
      </c>
      <c r="AJ28" s="38">
        <v>3</v>
      </c>
      <c r="AK28" s="39">
        <v>21000</v>
      </c>
      <c r="AL28" s="5">
        <f>AD28+(AD28*2.5%)</f>
        <v>21072.261600000002</v>
      </c>
      <c r="AM28" s="39">
        <f t="shared" si="15"/>
        <v>72.261600000001636</v>
      </c>
      <c r="AN28" s="40">
        <f t="shared" si="16"/>
        <v>3.4292284981884257E-3</v>
      </c>
      <c r="AO28" s="39">
        <f t="shared" si="17"/>
        <v>126216.78480000001</v>
      </c>
      <c r="AP28" s="35">
        <f t="shared" si="25"/>
        <v>8.0213048538532103E-2</v>
      </c>
      <c r="AQ28" s="37">
        <v>3</v>
      </c>
      <c r="AR28" s="38">
        <v>3</v>
      </c>
      <c r="AS28" s="39">
        <v>21000</v>
      </c>
      <c r="AT28" s="5">
        <f>AL28</f>
        <v>21072.261600000002</v>
      </c>
      <c r="AU28" s="39">
        <f t="shared" si="18"/>
        <v>72.261600000001636</v>
      </c>
      <c r="AV28" s="40">
        <f t="shared" si="19"/>
        <v>3.4292284981884257E-3</v>
      </c>
      <c r="AW28" s="39">
        <f t="shared" si="20"/>
        <v>126216.78480000001</v>
      </c>
      <c r="AX28" s="35">
        <f t="shared" si="26"/>
        <v>7.1618793337975079E-2</v>
      </c>
    </row>
    <row r="29" spans="2:50" ht="15" customHeight="1" x14ac:dyDescent="0.2">
      <c r="B29" s="2" t="s">
        <v>59</v>
      </c>
      <c r="C29">
        <f>SUM(C24:C28)</f>
        <v>10</v>
      </c>
      <c r="D29">
        <f>SUM(D24:D28)</f>
        <v>5</v>
      </c>
      <c r="G29" s="5">
        <f>C29-D29</f>
        <v>5</v>
      </c>
      <c r="I29" s="42">
        <f>SUM(I24:I28)</f>
        <v>435600</v>
      </c>
      <c r="J29" s="35">
        <f t="shared" si="5"/>
        <v>0.43559999999999999</v>
      </c>
      <c r="K29">
        <f>SUM(K24:K28)</f>
        <v>10</v>
      </c>
      <c r="L29">
        <f>SUM(L24:L28)</f>
        <v>7</v>
      </c>
      <c r="O29" s="5">
        <f>K29-L29</f>
        <v>3</v>
      </c>
      <c r="Q29" s="42">
        <f>SUM(Q24:Q28)</f>
        <v>483674</v>
      </c>
      <c r="R29" s="35">
        <f>+Q29/$K$21</f>
        <v>0.43185178571428573</v>
      </c>
      <c r="S29">
        <f>SUM(S24:S28)</f>
        <v>10</v>
      </c>
      <c r="T29">
        <f>SUM(T24:T28)</f>
        <v>9</v>
      </c>
      <c r="W29" s="5">
        <f>S29-T29</f>
        <v>1</v>
      </c>
      <c r="Y29" s="42">
        <f>SUM(Y24:Y28)</f>
        <v>549104.96</v>
      </c>
      <c r="Z29" s="35">
        <f>+Y29/$T$21</f>
        <v>0.43774311224489787</v>
      </c>
      <c r="AA29">
        <f>SUM(AA24:AA28)</f>
        <v>10</v>
      </c>
      <c r="AB29">
        <f>SUM(AB24:AB28)</f>
        <v>10</v>
      </c>
      <c r="AE29" s="5">
        <f>AA29-AB29</f>
        <v>0</v>
      </c>
      <c r="AG29" s="42">
        <f>SUM(AG24:AG28)</f>
        <v>597316.19839999999</v>
      </c>
      <c r="AH29" s="35">
        <f>+AG29/$AB$21</f>
        <v>0.42515787172011649</v>
      </c>
      <c r="AI29">
        <f>SUM(AI24:AI28)</f>
        <v>10</v>
      </c>
      <c r="AJ29">
        <f>SUM(AJ24:AJ28)</f>
        <v>10</v>
      </c>
      <c r="AM29" s="5">
        <f>AI29-AJ29</f>
        <v>0</v>
      </c>
      <c r="AO29" s="42">
        <f>SUM(AO24:AO28)</f>
        <v>606509.53673599998</v>
      </c>
      <c r="AP29" s="35">
        <f>+AO29/$AB$21</f>
        <v>0.43170150835914706</v>
      </c>
      <c r="AQ29">
        <f>SUM(AQ24:AQ28)</f>
        <v>12</v>
      </c>
      <c r="AR29">
        <f>SUM(AR24:AR28)</f>
        <v>13</v>
      </c>
      <c r="AU29" s="5">
        <f>AQ29-AR29</f>
        <v>-1</v>
      </c>
      <c r="AW29" s="42">
        <f>SUM(AW24:AW28)</f>
        <v>769162.32119424001</v>
      </c>
      <c r="AX29" s="35">
        <f>+AW29/$AR$21</f>
        <v>0.43644335745246682</v>
      </c>
    </row>
  </sheetData>
  <mergeCells count="1">
    <mergeCell ref="D1:W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20785-2908-4B8B-BAAD-FD01BBD5DE10}">
  <dimension ref="A1"/>
  <sheetViews>
    <sheetView workbookViewId="0">
      <selection activeCell="E36" sqref="E36"/>
    </sheetView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Template para el alumno</vt:lpstr>
      <vt:lpstr>Full1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</dc:creator>
  <cp:lastModifiedBy>Oriol puig i Carreró</cp:lastModifiedBy>
  <dcterms:created xsi:type="dcterms:W3CDTF">2021-05-08T18:42:19Z</dcterms:created>
  <dcterms:modified xsi:type="dcterms:W3CDTF">2024-02-28T18:14:16Z</dcterms:modified>
</cp:coreProperties>
</file>