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FUENTES FINANCIACION ALTERNATIVAS/"/>
    </mc:Choice>
  </mc:AlternateContent>
  <xr:revisionPtr revIDLastSave="0" documentId="8_{1CB9854F-80FE-4971-B9A2-570DC1774219}" xr6:coauthVersionLast="47" xr6:coauthVersionMax="47" xr10:uidLastSave="{00000000-0000-0000-0000-000000000000}"/>
  <bookViews>
    <workbookView xWindow="-120" yWindow="-120" windowWidth="29040" windowHeight="15720" xr2:uid="{78C02C53-6DC2-4B74-A9E9-25C7D62E9172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" i="1" l="1"/>
  <c r="J42" i="1"/>
  <c r="G42" i="1"/>
  <c r="F42" i="1"/>
  <c r="E42" i="1"/>
  <c r="D42" i="1"/>
  <c r="I42" i="1" s="1"/>
  <c r="O41" i="1"/>
  <c r="J41" i="1"/>
  <c r="L41" i="1" s="1"/>
  <c r="H41" i="1"/>
  <c r="G41" i="1"/>
  <c r="F41" i="1"/>
  <c r="I41" i="1" s="1"/>
  <c r="E41" i="1"/>
  <c r="D41" i="1"/>
  <c r="N37" i="1"/>
  <c r="L37" i="1"/>
  <c r="J37" i="1"/>
  <c r="G37" i="1"/>
  <c r="F37" i="1"/>
  <c r="E37" i="1"/>
  <c r="D37" i="1"/>
  <c r="I37" i="1" s="1"/>
  <c r="O36" i="1"/>
  <c r="J36" i="1"/>
  <c r="L36" i="1" s="1"/>
  <c r="I36" i="1"/>
  <c r="H36" i="1"/>
  <c r="G36" i="1"/>
  <c r="F36" i="1"/>
  <c r="E36" i="1"/>
  <c r="D36" i="1"/>
  <c r="N31" i="1"/>
  <c r="J31" i="1"/>
  <c r="L31" i="1" s="1"/>
  <c r="H31" i="1"/>
  <c r="G31" i="1"/>
  <c r="F31" i="1"/>
  <c r="E31" i="1"/>
  <c r="D31" i="1"/>
  <c r="I31" i="1" s="1"/>
  <c r="O30" i="1"/>
  <c r="J30" i="1"/>
  <c r="L30" i="1" s="1"/>
  <c r="G30" i="1"/>
  <c r="F30" i="1"/>
  <c r="E30" i="1"/>
  <c r="D30" i="1"/>
  <c r="I30" i="1" s="1"/>
  <c r="O23" i="1"/>
  <c r="J23" i="1"/>
  <c r="L23" i="1" s="1"/>
  <c r="H23" i="1"/>
  <c r="G23" i="1"/>
  <c r="K23" i="1" s="1"/>
  <c r="E23" i="1"/>
  <c r="D23" i="1"/>
  <c r="B23" i="1"/>
  <c r="F23" i="1" s="1"/>
  <c r="I23" i="1" s="1"/>
  <c r="M23" i="1" s="1"/>
  <c r="P23" i="1" s="1"/>
  <c r="O20" i="1"/>
  <c r="O12" i="1" s="1"/>
  <c r="J20" i="1"/>
  <c r="L20" i="1" s="1"/>
  <c r="H20" i="1"/>
  <c r="G20" i="1"/>
  <c r="F20" i="1"/>
  <c r="E20" i="1"/>
  <c r="D20" i="1"/>
  <c r="I20" i="1" s="1"/>
  <c r="B20" i="1"/>
  <c r="O17" i="1"/>
  <c r="L17" i="1"/>
  <c r="J17" i="1"/>
  <c r="E17" i="1"/>
  <c r="D17" i="1"/>
  <c r="B17" i="1"/>
  <c r="G17" i="1" s="1"/>
  <c r="O14" i="1"/>
  <c r="J14" i="1"/>
  <c r="L14" i="1" s="1"/>
  <c r="H14" i="1"/>
  <c r="E14" i="1"/>
  <c r="D14" i="1"/>
  <c r="B14" i="1"/>
  <c r="G14" i="1" s="1"/>
  <c r="H11" i="1"/>
  <c r="F7" i="1"/>
  <c r="F6" i="1"/>
  <c r="G6" i="1" s="1"/>
  <c r="E6" i="1"/>
  <c r="D6" i="1"/>
  <c r="F5" i="1"/>
  <c r="G5" i="1" s="1"/>
  <c r="E5" i="1"/>
  <c r="D5" i="1"/>
  <c r="D8" i="1" s="1"/>
  <c r="K17" i="1" l="1"/>
  <c r="G8" i="1"/>
  <c r="K42" i="1"/>
  <c r="M42" i="1" s="1"/>
  <c r="P42" i="1" s="1"/>
  <c r="M20" i="1"/>
  <c r="P20" i="1" s="1"/>
  <c r="L42" i="1"/>
  <c r="G7" i="1"/>
  <c r="H7" i="1" s="1"/>
  <c r="K14" i="1"/>
  <c r="F17" i="1"/>
  <c r="I17" i="1" s="1"/>
  <c r="M17" i="1" s="1"/>
  <c r="P17" i="1" s="1"/>
  <c r="K36" i="1"/>
  <c r="M36" i="1" s="1"/>
  <c r="P36" i="1" s="1"/>
  <c r="O37" i="1"/>
  <c r="H37" i="1"/>
  <c r="K37" i="1" s="1"/>
  <c r="M37" i="1" s="1"/>
  <c r="P37" i="1" s="1"/>
  <c r="O31" i="1"/>
  <c r="H17" i="1"/>
  <c r="K20" i="1"/>
  <c r="K31" i="1"/>
  <c r="M31" i="1" s="1"/>
  <c r="P31" i="1" s="1"/>
  <c r="K41" i="1"/>
  <c r="M41" i="1" s="1"/>
  <c r="P41" i="1" s="1"/>
  <c r="P43" i="1" s="1"/>
  <c r="O42" i="1"/>
  <c r="F8" i="1"/>
  <c r="F14" i="1"/>
  <c r="I14" i="1" s="1"/>
  <c r="H30" i="1"/>
  <c r="K30" i="1" s="1"/>
  <c r="M30" i="1" s="1"/>
  <c r="P30" i="1" s="1"/>
  <c r="H42" i="1"/>
  <c r="P32" i="1" l="1"/>
  <c r="P38" i="1"/>
  <c r="Q23" i="1" s="1"/>
  <c r="Q20" i="1"/>
  <c r="R20" i="1"/>
  <c r="M14" i="1"/>
  <c r="P14" i="1" s="1"/>
  <c r="P12" i="1" s="1"/>
  <c r="I5" i="1" s="1"/>
  <c r="L5" i="1" l="1"/>
  <c r="K5" i="1"/>
  <c r="J5" i="1"/>
</calcChain>
</file>

<file path=xl/sharedStrings.xml><?xml version="1.0" encoding="utf-8"?>
<sst xmlns="http://schemas.openxmlformats.org/spreadsheetml/2006/main" count="59" uniqueCount="49">
  <si>
    <t>Costes</t>
  </si>
  <si>
    <t>Unidades</t>
  </si>
  <si>
    <t>Coste unitario</t>
  </si>
  <si>
    <t xml:space="preserve">Total </t>
  </si>
  <si>
    <t>unidades pre venta</t>
  </si>
  <si>
    <t>Coste por cubrir. No pre vta</t>
  </si>
  <si>
    <t>Coste por cubrir sin IVA</t>
  </si>
  <si>
    <t>Dif IVA</t>
  </si>
  <si>
    <t>Diferencia Neto Campaña
y Coste a cubrir</t>
  </si>
  <si>
    <t>Propuesta 1</t>
  </si>
  <si>
    <t>Propuesta 2</t>
  </si>
  <si>
    <t>Propuesta 3</t>
  </si>
  <si>
    <t>Bolsa Grande</t>
  </si>
  <si>
    <t>Bolsa Pequeña</t>
  </si>
  <si>
    <t>Video</t>
  </si>
  <si>
    <t>Total</t>
  </si>
  <si>
    <t>Comision Plataforma (incluir IVA)</t>
  </si>
  <si>
    <t>IVA</t>
  </si>
  <si>
    <t>Comision Pasarela pago (incluir IVA)</t>
  </si>
  <si>
    <t>Costes IVA inc</t>
  </si>
  <si>
    <t>Recompensas</t>
  </si>
  <si>
    <t xml:space="preserve">Costes </t>
  </si>
  <si>
    <t>Aportación</t>
  </si>
  <si>
    <t>Comisión Pasarela</t>
  </si>
  <si>
    <t>Comisión Plataforma</t>
  </si>
  <si>
    <t>Costes recompensa y envio</t>
  </si>
  <si>
    <t>IVA Costes</t>
  </si>
  <si>
    <t>IVA comisiones</t>
  </si>
  <si>
    <t>Costes sin IVA</t>
  </si>
  <si>
    <t>IVA Recompensa</t>
  </si>
  <si>
    <t>Neto IVAS</t>
  </si>
  <si>
    <t>Ingreso Neto</t>
  </si>
  <si>
    <t>Resultado Neto</t>
  </si>
  <si>
    <t>Donantes</t>
  </si>
  <si>
    <t>Objetivo</t>
  </si>
  <si>
    <t>Neto Campaña</t>
  </si>
  <si>
    <t>I. Etiqueta de equipaje con logo de la empresa y mención de agradecimiento en la web</t>
  </si>
  <si>
    <t>Coste (IVA inc)</t>
  </si>
  <si>
    <t>Coste envio (media España- IVA inc)</t>
  </si>
  <si>
    <t>II. Bolsa de tela de cortesía con logo + etiqueta de equipaje  con logo de la empresa y mención de agradecimiento en la web</t>
  </si>
  <si>
    <t>III. Etiqueta de equipaje con logo de la empresa y 
bolsa de viaje modelo grande + agradecimiento en la web</t>
  </si>
  <si>
    <t>IV. Etiqueta de equipaje con logo + bolsa de viaje grande + 
bolsa de viaje pequeña + Agradecimiento en la web</t>
  </si>
  <si>
    <t>Coste libro (IVA inc) + punto (IVA inc)</t>
  </si>
  <si>
    <t>Coste envio libro (media España- IVA inc)</t>
  </si>
  <si>
    <t>eaarly birds</t>
  </si>
  <si>
    <t>Evaluación de la propuesta</t>
  </si>
  <si>
    <t xml:space="preserve">III. Los  50 primeros  aportacion de 30 </t>
  </si>
  <si>
    <t>IV.  Los  50 primeros  aportacion de 45</t>
  </si>
  <si>
    <t>III. Los  100 primeros con una aportacion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</si>
</sst>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5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1" fillId="0" borderId="1" xfId="1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4" fillId="0" borderId="7" xfId="0" applyNumberFormat="1" applyFont="1" applyBorder="1" applyAlignment="1">
      <alignment horizontal="center" vertical="center"/>
    </xf>
    <xf numFmtId="43" fontId="1" fillId="0" borderId="8" xfId="1" applyFont="1" applyFill="1" applyBorder="1" applyAlignment="1">
      <alignment vertical="center"/>
    </xf>
    <xf numFmtId="43" fontId="1" fillId="0" borderId="9" xfId="1" applyFont="1" applyFill="1" applyBorder="1" applyAlignment="1">
      <alignment vertical="center"/>
    </xf>
    <xf numFmtId="43" fontId="1" fillId="0" borderId="10" xfId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10" fontId="1" fillId="0" borderId="1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4" fillId="0" borderId="3" xfId="1" applyNumberFormat="1" applyFont="1" applyBorder="1" applyAlignment="1">
      <alignment vertical="center"/>
    </xf>
    <xf numFmtId="4" fontId="4" fillId="0" borderId="3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7" fillId="0" borderId="0" xfId="2" applyFont="1"/>
    <xf numFmtId="0" fontId="8" fillId="0" borderId="0" xfId="2" applyFont="1" applyAlignment="1">
      <alignment wrapText="1"/>
    </xf>
    <xf numFmtId="0" fontId="8" fillId="0" borderId="0" xfId="2" applyFont="1"/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3">
    <cellStyle name="Coma" xfId="1" builtinId="3"/>
    <cellStyle name="Normal" xfId="0" builtinId="0"/>
    <cellStyle name="Normal 2" xfId="2" xr:uid="{4A815C45-262B-46BA-940A-5E7D7F02D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7132-3594-4D59-93AD-D18A572ACE3B}">
  <dimension ref="A3:R45"/>
  <sheetViews>
    <sheetView tabSelected="1" workbookViewId="0">
      <selection activeCell="J10" sqref="J10"/>
    </sheetView>
  </sheetViews>
  <sheetFormatPr defaultColWidth="10.5703125" defaultRowHeight="15" x14ac:dyDescent="0.25"/>
  <cols>
    <col min="1" max="1" width="45.5703125" style="4" customWidth="1"/>
    <col min="2" max="2" width="10.5703125" style="4"/>
    <col min="3" max="3" width="15" style="4" customWidth="1"/>
    <col min="4" max="4" width="10.5703125" style="4"/>
    <col min="5" max="5" width="13.42578125" style="4" customWidth="1"/>
    <col min="6" max="6" width="17.42578125" style="4" customWidth="1"/>
    <col min="7" max="7" width="15.28515625" style="4" customWidth="1"/>
    <col min="8" max="8" width="13.85546875" style="4" customWidth="1"/>
    <col min="9" max="9" width="16.42578125" style="4" customWidth="1"/>
    <col min="10" max="10" width="19.140625" style="4" customWidth="1"/>
    <col min="11" max="11" width="16.42578125" style="4" customWidth="1"/>
    <col min="12" max="12" width="16.140625" style="4" customWidth="1"/>
    <col min="13" max="14" width="10.5703125" style="4"/>
    <col min="15" max="15" width="13.85546875" style="4" customWidth="1"/>
    <col min="16" max="16" width="13.42578125" style="4" customWidth="1"/>
    <col min="17" max="16384" width="10.5703125" style="4"/>
  </cols>
  <sheetData>
    <row r="3" spans="1:16" ht="15.75" thickBot="1" x14ac:dyDescent="0.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45.75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7" t="s">
        <v>6</v>
      </c>
      <c r="H4" s="8" t="s">
        <v>7</v>
      </c>
      <c r="I4" s="9" t="s">
        <v>8</v>
      </c>
      <c r="J4" s="10" t="s">
        <v>9</v>
      </c>
      <c r="K4" s="11" t="s">
        <v>10</v>
      </c>
      <c r="L4" s="12" t="s">
        <v>11</v>
      </c>
      <c r="M4" s="3"/>
      <c r="N4" s="3"/>
      <c r="O4" s="3"/>
      <c r="P4" s="3"/>
    </row>
    <row r="5" spans="1:16" ht="15.75" thickBot="1" x14ac:dyDescent="0.3">
      <c r="A5" s="1" t="s">
        <v>12</v>
      </c>
      <c r="B5" s="1">
        <v>700</v>
      </c>
      <c r="C5" s="1">
        <v>12</v>
      </c>
      <c r="D5" s="13">
        <f>B5*C5</f>
        <v>8400</v>
      </c>
      <c r="E5" s="1">
        <f>N20+N23</f>
        <v>275</v>
      </c>
      <c r="F5" s="13">
        <f>(B5-E5)*C5</f>
        <v>5100</v>
      </c>
      <c r="G5" s="14">
        <f>+F5/121*100</f>
        <v>4214.8760330578516</v>
      </c>
      <c r="H5" s="3"/>
      <c r="I5" s="15">
        <f>P12-G8</f>
        <v>321.76677685950472</v>
      </c>
      <c r="J5" s="16">
        <f>I5-Q20</f>
        <v>127.99270661157084</v>
      </c>
      <c r="K5" s="17">
        <f>I5-Q23</f>
        <v>-65.781363636362585</v>
      </c>
      <c r="L5" s="18">
        <f>I5-R20</f>
        <v>89.237892561983926</v>
      </c>
      <c r="M5" s="3"/>
      <c r="N5" s="3"/>
      <c r="O5" s="3"/>
      <c r="P5" s="3"/>
    </row>
    <row r="6" spans="1:16" x14ac:dyDescent="0.25">
      <c r="A6" s="1" t="s">
        <v>13</v>
      </c>
      <c r="B6" s="1">
        <v>300</v>
      </c>
      <c r="C6" s="1">
        <v>6</v>
      </c>
      <c r="D6" s="13">
        <f>B6*C6</f>
        <v>1800</v>
      </c>
      <c r="E6" s="1">
        <f>N23</f>
        <v>150</v>
      </c>
      <c r="F6" s="19">
        <f>(B6-E6)*C6</f>
        <v>900</v>
      </c>
      <c r="G6" s="14">
        <f>+F6/121*100</f>
        <v>743.80165289256195</v>
      </c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1" t="s">
        <v>14</v>
      </c>
      <c r="B7" s="1"/>
      <c r="C7" s="1">
        <v>1</v>
      </c>
      <c r="D7" s="13">
        <v>500</v>
      </c>
      <c r="E7" s="1"/>
      <c r="F7" s="1">
        <f>+D7</f>
        <v>500</v>
      </c>
      <c r="G7" s="14">
        <f>+F7/121*100</f>
        <v>413.22314049586771</v>
      </c>
      <c r="H7" s="14">
        <f>+F7-G7</f>
        <v>86.77685950413229</v>
      </c>
      <c r="I7" s="3"/>
      <c r="J7" s="3"/>
      <c r="K7" s="3"/>
      <c r="L7" s="3"/>
      <c r="M7" s="3"/>
      <c r="N7" s="3"/>
      <c r="O7" s="3"/>
      <c r="P7" s="3"/>
    </row>
    <row r="8" spans="1:16" x14ac:dyDescent="0.25">
      <c r="A8" s="5" t="s">
        <v>15</v>
      </c>
      <c r="B8" s="1"/>
      <c r="C8" s="1"/>
      <c r="D8" s="13">
        <f>SUM(D5:D7)</f>
        <v>10700</v>
      </c>
      <c r="E8" s="1"/>
      <c r="F8" s="13">
        <f>SUM(F5:F7)</f>
        <v>6500</v>
      </c>
      <c r="G8" s="20">
        <f>SUM(G5:G7)</f>
        <v>5371.9008264462809</v>
      </c>
      <c r="H8" s="3"/>
      <c r="M8" s="3"/>
      <c r="N8" s="3"/>
      <c r="O8" s="3"/>
      <c r="P8" s="3"/>
    </row>
    <row r="9" spans="1:16" x14ac:dyDescent="0.25">
      <c r="A9" s="1" t="s">
        <v>16</v>
      </c>
      <c r="B9" s="21">
        <v>0.05</v>
      </c>
      <c r="C9" s="21">
        <v>0.21</v>
      </c>
      <c r="D9" s="6" t="s">
        <v>17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1" t="s">
        <v>18</v>
      </c>
      <c r="B10" s="22">
        <v>1.4999999999999999E-2</v>
      </c>
      <c r="C10" s="21">
        <v>0.21</v>
      </c>
      <c r="D10" s="6" t="s">
        <v>17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5.75" thickBot="1" x14ac:dyDescent="0.3">
      <c r="A11" s="3"/>
      <c r="B11" s="23"/>
      <c r="C11" s="24"/>
      <c r="D11" s="25"/>
      <c r="E11" s="3"/>
      <c r="F11" s="3"/>
      <c r="G11" s="3"/>
      <c r="H11" s="3">
        <f>3*C10</f>
        <v>0.63</v>
      </c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3"/>
      <c r="B12" s="23"/>
      <c r="C12" s="24"/>
      <c r="D12" s="26" t="s">
        <v>19</v>
      </c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9">
        <f>SUM(O14:O28)</f>
        <v>13200</v>
      </c>
      <c r="P12" s="30">
        <f>SUM(P14:P28)</f>
        <v>5693.6676033057856</v>
      </c>
    </row>
    <row r="13" spans="1:16" s="36" customFormat="1" ht="45" x14ac:dyDescent="0.25">
      <c r="A13" s="31" t="s">
        <v>20</v>
      </c>
      <c r="B13" s="31" t="s">
        <v>21</v>
      </c>
      <c r="C13" s="7" t="s">
        <v>22</v>
      </c>
      <c r="D13" s="32" t="s">
        <v>23</v>
      </c>
      <c r="E13" s="32" t="s">
        <v>24</v>
      </c>
      <c r="F13" s="32" t="s">
        <v>25</v>
      </c>
      <c r="G13" s="33" t="s">
        <v>26</v>
      </c>
      <c r="H13" s="33" t="s">
        <v>27</v>
      </c>
      <c r="I13" s="33" t="s">
        <v>28</v>
      </c>
      <c r="J13" s="34" t="s">
        <v>29</v>
      </c>
      <c r="K13" s="7" t="s">
        <v>30</v>
      </c>
      <c r="L13" s="7" t="s">
        <v>31</v>
      </c>
      <c r="M13" s="35" t="s">
        <v>32</v>
      </c>
      <c r="N13" s="35" t="s">
        <v>33</v>
      </c>
      <c r="O13" s="35" t="s">
        <v>34</v>
      </c>
      <c r="P13" s="35" t="s">
        <v>35</v>
      </c>
    </row>
    <row r="14" spans="1:16" ht="30" x14ac:dyDescent="0.25">
      <c r="A14" s="37" t="s">
        <v>36</v>
      </c>
      <c r="B14" s="6">
        <f>B15+B16</f>
        <v>3</v>
      </c>
      <c r="C14" s="6">
        <v>8</v>
      </c>
      <c r="D14" s="6">
        <f>C14*$B$10</f>
        <v>0.12</v>
      </c>
      <c r="E14" s="6">
        <f>C14*$B$9</f>
        <v>0.4</v>
      </c>
      <c r="F14" s="6">
        <f>+B14</f>
        <v>3</v>
      </c>
      <c r="G14" s="38">
        <f>B14*$C$9/(1+$C$9)</f>
        <v>0.52066115702479343</v>
      </c>
      <c r="H14" s="38">
        <f>(D14*$C$9)+(E14*$C$10)</f>
        <v>0.10920000000000001</v>
      </c>
      <c r="I14" s="38">
        <f>D14+E14+F14-G14</f>
        <v>2.9993388429752068</v>
      </c>
      <c r="J14" s="38">
        <f>C14*$C$10/121%</f>
        <v>1.3884297520661157</v>
      </c>
      <c r="K14" s="38">
        <f>J14-G14-H14</f>
        <v>0.75856859504132235</v>
      </c>
      <c r="L14" s="38">
        <f>C14-J14</f>
        <v>6.6115702479338845</v>
      </c>
      <c r="M14" s="39">
        <f>C14-I14-K14</f>
        <v>4.2420925619834708</v>
      </c>
      <c r="N14" s="6">
        <v>25</v>
      </c>
      <c r="O14" s="6">
        <f>+N14*C14</f>
        <v>200</v>
      </c>
      <c r="P14" s="38">
        <f>+N14*M14</f>
        <v>106.05231404958677</v>
      </c>
    </row>
    <row r="15" spans="1:16" x14ac:dyDescent="0.25">
      <c r="A15" s="1" t="s">
        <v>37</v>
      </c>
      <c r="B15" s="6">
        <v>2</v>
      </c>
      <c r="C15" s="1"/>
      <c r="D15" s="1"/>
      <c r="E15" s="1"/>
      <c r="F15" s="1"/>
      <c r="G15" s="14"/>
      <c r="H15" s="14"/>
      <c r="I15" s="14"/>
      <c r="J15" s="14"/>
      <c r="K15" s="14"/>
      <c r="L15" s="1"/>
      <c r="M15" s="40"/>
      <c r="N15" s="6"/>
      <c r="O15" s="6"/>
      <c r="P15" s="38"/>
    </row>
    <row r="16" spans="1:16" x14ac:dyDescent="0.25">
      <c r="A16" s="1" t="s">
        <v>38</v>
      </c>
      <c r="B16" s="6">
        <v>1</v>
      </c>
      <c r="C16" s="1"/>
      <c r="D16" s="1"/>
      <c r="E16" s="1"/>
      <c r="F16" s="1"/>
      <c r="G16" s="14"/>
      <c r="H16" s="14"/>
      <c r="I16" s="14"/>
      <c r="J16" s="14"/>
      <c r="K16" s="14"/>
      <c r="L16" s="1"/>
      <c r="M16" s="40"/>
      <c r="N16" s="6"/>
      <c r="O16" s="6"/>
      <c r="P16" s="38"/>
    </row>
    <row r="17" spans="1:18" ht="45" x14ac:dyDescent="0.25">
      <c r="A17" s="41" t="s">
        <v>39</v>
      </c>
      <c r="B17" s="6">
        <f>B18+B19</f>
        <v>7</v>
      </c>
      <c r="C17" s="1">
        <v>15</v>
      </c>
      <c r="D17" s="6">
        <f>C17*$B$10</f>
        <v>0.22499999999999998</v>
      </c>
      <c r="E17" s="6">
        <f>C17*$B$9</f>
        <v>0.75</v>
      </c>
      <c r="F17" s="6">
        <f>+B17</f>
        <v>7</v>
      </c>
      <c r="G17" s="38">
        <f>B17*$C$9/(1+$C$9)</f>
        <v>1.2148760330578512</v>
      </c>
      <c r="H17" s="38">
        <f>(D17*$C$9)+(E17*$C$10)</f>
        <v>0.20474999999999999</v>
      </c>
      <c r="I17" s="38">
        <f>D17+E17+F17-G17</f>
        <v>6.7601239669421487</v>
      </c>
      <c r="J17" s="38">
        <f>C17*$C$10/121%</f>
        <v>2.6033057851239669</v>
      </c>
      <c r="K17" s="38">
        <f>J17-G17-H17</f>
        <v>1.1836797520661158</v>
      </c>
      <c r="L17" s="38">
        <f>C17-J17</f>
        <v>12.396694214876034</v>
      </c>
      <c r="M17" s="39">
        <f>C17-I17-K17</f>
        <v>7.0561962809917347</v>
      </c>
      <c r="N17" s="6">
        <v>25</v>
      </c>
      <c r="O17" s="6">
        <f>+N17*C17</f>
        <v>375</v>
      </c>
      <c r="P17" s="38">
        <f>+N17*M17</f>
        <v>176.40490702479337</v>
      </c>
    </row>
    <row r="18" spans="1:18" x14ac:dyDescent="0.25">
      <c r="A18" s="1" t="s">
        <v>37</v>
      </c>
      <c r="B18" s="6">
        <v>6</v>
      </c>
      <c r="C18" s="1"/>
      <c r="D18" s="1"/>
      <c r="E18" s="1"/>
      <c r="F18" s="1"/>
      <c r="G18" s="14"/>
      <c r="H18" s="14"/>
      <c r="I18" s="14"/>
      <c r="J18" s="14"/>
      <c r="K18" s="14"/>
      <c r="L18" s="1"/>
      <c r="M18" s="40"/>
      <c r="N18" s="6"/>
      <c r="O18" s="6"/>
      <c r="P18" s="6"/>
    </row>
    <row r="19" spans="1:18" x14ac:dyDescent="0.25">
      <c r="A19" s="1" t="s">
        <v>38</v>
      </c>
      <c r="B19" s="6">
        <v>1</v>
      </c>
      <c r="C19" s="1"/>
      <c r="D19" s="1"/>
      <c r="E19" s="1"/>
      <c r="F19" s="1"/>
      <c r="G19" s="14"/>
      <c r="H19" s="14"/>
      <c r="I19" s="14"/>
      <c r="J19" s="14"/>
      <c r="K19" s="14"/>
      <c r="L19" s="1"/>
      <c r="M19" s="42"/>
      <c r="N19" s="6"/>
      <c r="O19" s="6"/>
      <c r="P19" s="6"/>
    </row>
    <row r="20" spans="1:18" ht="45" x14ac:dyDescent="0.25">
      <c r="A20" s="41" t="s">
        <v>40</v>
      </c>
      <c r="B20" s="6">
        <f>B21+B22</f>
        <v>20</v>
      </c>
      <c r="C20" s="1">
        <v>35</v>
      </c>
      <c r="D20" s="6">
        <f>C20*$B$10</f>
        <v>0.52500000000000002</v>
      </c>
      <c r="E20" s="6">
        <f>C20*$B$9</f>
        <v>1.75</v>
      </c>
      <c r="F20" s="6">
        <f>+B20</f>
        <v>20</v>
      </c>
      <c r="G20" s="38">
        <f>B20*$C$9/(1+$C$9)</f>
        <v>3.4710743801652897</v>
      </c>
      <c r="H20" s="38">
        <f>(D20*$C$9)+(E20*$C$10)</f>
        <v>0.47775000000000001</v>
      </c>
      <c r="I20" s="38">
        <f>D20+E20+F20-G20</f>
        <v>18.803925619834708</v>
      </c>
      <c r="J20" s="38">
        <f>C20*$C$10/121%</f>
        <v>6.0743801652892557</v>
      </c>
      <c r="K20" s="38">
        <f>J20-G20-H20</f>
        <v>2.1255557851239661</v>
      </c>
      <c r="L20" s="38">
        <f>C20-J20</f>
        <v>28.925619834710744</v>
      </c>
      <c r="M20" s="39">
        <f>C20-I20-K20</f>
        <v>14.070518595041326</v>
      </c>
      <c r="N20" s="43">
        <v>125</v>
      </c>
      <c r="O20" s="6">
        <f>+N20*C20</f>
        <v>4375</v>
      </c>
      <c r="P20" s="38">
        <f>+N20*M20</f>
        <v>1758.8148243801659</v>
      </c>
      <c r="Q20" s="44">
        <f>P20-P32</f>
        <v>193.77407024793388</v>
      </c>
      <c r="R20" s="44">
        <f>P20-P43</f>
        <v>232.52888429752079</v>
      </c>
    </row>
    <row r="21" spans="1:18" x14ac:dyDescent="0.25">
      <c r="A21" s="1" t="s">
        <v>37</v>
      </c>
      <c r="B21" s="6">
        <v>14</v>
      </c>
      <c r="C21" s="1"/>
      <c r="D21" s="1"/>
      <c r="E21" s="1"/>
      <c r="F21" s="1"/>
      <c r="G21" s="14"/>
      <c r="H21" s="14"/>
      <c r="I21" s="14"/>
      <c r="J21" s="14"/>
      <c r="K21" s="14"/>
      <c r="L21" s="1"/>
      <c r="M21" s="40"/>
      <c r="N21" s="6"/>
      <c r="O21" s="6"/>
      <c r="P21" s="6"/>
    </row>
    <row r="22" spans="1:18" x14ac:dyDescent="0.25">
      <c r="A22" s="1" t="s">
        <v>38</v>
      </c>
      <c r="B22" s="6">
        <v>6</v>
      </c>
      <c r="C22" s="1"/>
      <c r="D22" s="1"/>
      <c r="E22" s="1"/>
      <c r="F22" s="1"/>
      <c r="G22" s="14"/>
      <c r="H22" s="14"/>
      <c r="I22" s="14"/>
      <c r="J22" s="14"/>
      <c r="K22" s="14"/>
      <c r="L22" s="1"/>
      <c r="M22" s="42"/>
      <c r="N22" s="6"/>
      <c r="O22" s="6"/>
      <c r="P22" s="6"/>
    </row>
    <row r="23" spans="1:18" ht="60" x14ac:dyDescent="0.25">
      <c r="A23" s="41" t="s">
        <v>41</v>
      </c>
      <c r="B23" s="6">
        <f>B24+B25</f>
        <v>28</v>
      </c>
      <c r="C23" s="1">
        <v>55</v>
      </c>
      <c r="D23" s="6">
        <f>C23*$B$10</f>
        <v>0.82499999999999996</v>
      </c>
      <c r="E23" s="6">
        <f>C23*$B$9</f>
        <v>2.75</v>
      </c>
      <c r="F23" s="6">
        <f>+B23</f>
        <v>28</v>
      </c>
      <c r="G23" s="38">
        <f>B23*$C$9/(1+$C$9)</f>
        <v>4.8595041322314048</v>
      </c>
      <c r="H23" s="38">
        <f>(D23*$C$9)+(E23*$C$10)</f>
        <v>0.75075000000000003</v>
      </c>
      <c r="I23" s="38">
        <f>D23+E23+F23-G23</f>
        <v>26.715495867768595</v>
      </c>
      <c r="J23" s="38">
        <f>C23*$C$10/121%</f>
        <v>9.545454545454545</v>
      </c>
      <c r="K23" s="38">
        <f>J23-G23-H23</f>
        <v>3.9352004132231402</v>
      </c>
      <c r="L23" s="38">
        <f>C23-J23</f>
        <v>45.454545454545453</v>
      </c>
      <c r="M23" s="39">
        <f>C23-I23-K23</f>
        <v>24.349303719008265</v>
      </c>
      <c r="N23" s="43">
        <v>150</v>
      </c>
      <c r="O23" s="6">
        <f>+N23*C23</f>
        <v>8250</v>
      </c>
      <c r="P23" s="38">
        <f>+N23*M23</f>
        <v>3652.3955578512396</v>
      </c>
      <c r="Q23" s="44">
        <f>P23-P38</f>
        <v>387.5481404958673</v>
      </c>
    </row>
    <row r="24" spans="1:18" x14ac:dyDescent="0.25">
      <c r="A24" s="1" t="s">
        <v>42</v>
      </c>
      <c r="B24" s="6">
        <v>20</v>
      </c>
      <c r="C24" s="1"/>
      <c r="D24" s="1"/>
      <c r="E24" s="1"/>
      <c r="F24" s="1"/>
      <c r="G24" s="14"/>
      <c r="H24" s="14"/>
      <c r="I24" s="14"/>
      <c r="J24" s="14"/>
      <c r="K24" s="14"/>
      <c r="L24" s="1"/>
      <c r="M24" s="40"/>
      <c r="N24" s="1"/>
      <c r="O24" s="1"/>
      <c r="P24" s="1"/>
    </row>
    <row r="25" spans="1:18" x14ac:dyDescent="0.25">
      <c r="A25" s="1" t="s">
        <v>43</v>
      </c>
      <c r="B25" s="6">
        <v>8</v>
      </c>
      <c r="C25" s="1"/>
      <c r="D25" s="1"/>
      <c r="E25" s="1"/>
      <c r="F25" s="1"/>
      <c r="G25" s="14"/>
      <c r="H25" s="14"/>
      <c r="I25" s="14"/>
      <c r="J25" s="14"/>
      <c r="K25" s="14"/>
      <c r="L25" s="1"/>
      <c r="M25" s="42"/>
      <c r="N25" s="1"/>
      <c r="O25" s="1"/>
      <c r="P25" s="1"/>
    </row>
    <row r="28" spans="1:18" x14ac:dyDescent="0.25">
      <c r="A28" s="45" t="s">
        <v>44</v>
      </c>
    </row>
    <row r="29" spans="1:18" x14ac:dyDescent="0.25">
      <c r="A29" s="46" t="s">
        <v>9</v>
      </c>
    </row>
    <row r="30" spans="1:18" x14ac:dyDescent="0.25">
      <c r="A30" s="47" t="s">
        <v>45</v>
      </c>
      <c r="B30" s="4">
        <v>20</v>
      </c>
      <c r="C30" s="4">
        <v>30</v>
      </c>
      <c r="D30" s="6">
        <f>C30*$B$10</f>
        <v>0.44999999999999996</v>
      </c>
      <c r="E30" s="6">
        <f>C30*$B$9</f>
        <v>1.5</v>
      </c>
      <c r="F30" s="6">
        <f>+B30</f>
        <v>20</v>
      </c>
      <c r="G30" s="38">
        <f>B30*$C$9/(1+$C$9)</f>
        <v>3.4710743801652897</v>
      </c>
      <c r="H30" s="38">
        <f>(D30*$C$9)+(E30*$C$10)</f>
        <v>0.40949999999999998</v>
      </c>
      <c r="I30" s="38">
        <f>D30+E30+F30-G30</f>
        <v>18.478925619834708</v>
      </c>
      <c r="J30" s="38">
        <f>C30*$C$10/121%</f>
        <v>5.2066115702479339</v>
      </c>
      <c r="K30" s="38">
        <f>J30-G30-H30</f>
        <v>1.3260371900826442</v>
      </c>
      <c r="L30" s="38">
        <f>C30-J30</f>
        <v>24.793388429752067</v>
      </c>
      <c r="M30" s="39">
        <f>C30-I30-K30</f>
        <v>10.195037190082648</v>
      </c>
      <c r="N30" s="43">
        <v>50</v>
      </c>
      <c r="O30" s="6">
        <f>+N30*C30</f>
        <v>1500</v>
      </c>
      <c r="P30" s="38">
        <f>+N30*M30</f>
        <v>509.75185950413237</v>
      </c>
    </row>
    <row r="31" spans="1:18" x14ac:dyDescent="0.25">
      <c r="A31" s="48" t="s">
        <v>46</v>
      </c>
      <c r="B31" s="4">
        <v>20</v>
      </c>
      <c r="C31" s="4">
        <v>35</v>
      </c>
      <c r="D31" s="6">
        <f>C31*$B$10</f>
        <v>0.52500000000000002</v>
      </c>
      <c r="E31" s="6">
        <f>C31*$B$9</f>
        <v>1.75</v>
      </c>
      <c r="F31" s="6">
        <f>+B31</f>
        <v>20</v>
      </c>
      <c r="G31" s="38">
        <f>B31*$C$9/(1+$C$9)</f>
        <v>3.4710743801652897</v>
      </c>
      <c r="H31" s="38">
        <f>(D31*$C$9)+(E31*$C$10)</f>
        <v>0.47775000000000001</v>
      </c>
      <c r="I31" s="38">
        <f>D31+E31+F31-G31</f>
        <v>18.803925619834708</v>
      </c>
      <c r="J31" s="38">
        <f>C31*$C$10/121%</f>
        <v>6.0743801652892557</v>
      </c>
      <c r="K31" s="38">
        <f>J31-G31-H31</f>
        <v>2.1255557851239661</v>
      </c>
      <c r="L31" s="38">
        <f>C31-J31</f>
        <v>28.925619834710744</v>
      </c>
      <c r="M31" s="39">
        <f>C31-I31-K31</f>
        <v>14.070518595041326</v>
      </c>
      <c r="N31" s="43">
        <f>N20-N30</f>
        <v>75</v>
      </c>
      <c r="O31" s="6">
        <f>+N31*C31</f>
        <v>2625</v>
      </c>
      <c r="P31" s="38">
        <f>+N31*M31</f>
        <v>1055.2888946280996</v>
      </c>
    </row>
    <row r="32" spans="1:18" x14ac:dyDescent="0.25">
      <c r="A32" s="48"/>
      <c r="P32" s="44">
        <f>P30+P31</f>
        <v>1565.040754132232</v>
      </c>
    </row>
    <row r="33" spans="1:16" x14ac:dyDescent="0.25">
      <c r="A33" s="48"/>
    </row>
    <row r="34" spans="1:16" x14ac:dyDescent="0.25">
      <c r="A34" s="46" t="s">
        <v>10</v>
      </c>
    </row>
    <row r="35" spans="1:16" x14ac:dyDescent="0.25">
      <c r="A35" s="47" t="s">
        <v>45</v>
      </c>
    </row>
    <row r="36" spans="1:16" x14ac:dyDescent="0.25">
      <c r="A36" s="48" t="s">
        <v>47</v>
      </c>
      <c r="B36" s="4">
        <v>28</v>
      </c>
      <c r="C36" s="4">
        <v>45</v>
      </c>
      <c r="D36" s="6">
        <f>C36*$B$10</f>
        <v>0.67499999999999993</v>
      </c>
      <c r="E36" s="6">
        <f>C36*$B$9</f>
        <v>2.25</v>
      </c>
      <c r="F36" s="6">
        <f>+B36</f>
        <v>28</v>
      </c>
      <c r="G36" s="38">
        <f>B36*$C$9/(1+$C$9)</f>
        <v>4.8595041322314048</v>
      </c>
      <c r="H36" s="38">
        <f>(D36*$C$9)+(E36*$C$10)</f>
        <v>0.61424999999999996</v>
      </c>
      <c r="I36" s="38">
        <f>D36+E36+F36-G36</f>
        <v>26.065495867768597</v>
      </c>
      <c r="J36" s="38">
        <f>C36*$C$10/121%</f>
        <v>7.8099173553719003</v>
      </c>
      <c r="K36" s="38">
        <f>J36-G36-H36</f>
        <v>2.3361632231404954</v>
      </c>
      <c r="L36" s="38">
        <f>C36-J36</f>
        <v>37.190082644628099</v>
      </c>
      <c r="M36" s="39">
        <f>C36-I36-K36</f>
        <v>16.598340909090908</v>
      </c>
      <c r="N36" s="43">
        <v>50</v>
      </c>
      <c r="O36" s="6">
        <f>+N36*C36</f>
        <v>2250</v>
      </c>
      <c r="P36" s="38">
        <f>+N36*M36</f>
        <v>829.91704545454536</v>
      </c>
    </row>
    <row r="37" spans="1:16" x14ac:dyDescent="0.25">
      <c r="A37" s="48"/>
      <c r="B37" s="4">
        <v>28</v>
      </c>
      <c r="C37" s="4">
        <v>55</v>
      </c>
      <c r="D37" s="6">
        <f>C37*$B$10</f>
        <v>0.82499999999999996</v>
      </c>
      <c r="E37" s="6">
        <f>C37*$B$9</f>
        <v>2.75</v>
      </c>
      <c r="F37" s="6">
        <f>+B37</f>
        <v>28</v>
      </c>
      <c r="G37" s="38">
        <f>B37*$C$9/(1+$C$9)</f>
        <v>4.8595041322314048</v>
      </c>
      <c r="H37" s="38">
        <f>(D37*$C$9)+(E37*$C$10)</f>
        <v>0.75075000000000003</v>
      </c>
      <c r="I37" s="38">
        <f>D37+E37+F37-G37</f>
        <v>26.715495867768595</v>
      </c>
      <c r="J37" s="38">
        <f>C37*$C$10/121%</f>
        <v>9.545454545454545</v>
      </c>
      <c r="K37" s="38">
        <f>J37-G37-H37</f>
        <v>3.9352004132231402</v>
      </c>
      <c r="L37" s="38">
        <f>C37-J37</f>
        <v>45.454545454545453</v>
      </c>
      <c r="M37" s="39">
        <f>C37-I37-K37</f>
        <v>24.349303719008265</v>
      </c>
      <c r="N37" s="43">
        <f>N23-N36</f>
        <v>100</v>
      </c>
      <c r="O37" s="6">
        <f>+N37*C37</f>
        <v>5500</v>
      </c>
      <c r="P37" s="38">
        <f>+N37*M37</f>
        <v>2434.9303719008267</v>
      </c>
    </row>
    <row r="38" spans="1:16" x14ac:dyDescent="0.25">
      <c r="A38" s="48"/>
      <c r="P38" s="44">
        <f>P36+P37</f>
        <v>3264.8474173553723</v>
      </c>
    </row>
    <row r="39" spans="1:16" x14ac:dyDescent="0.25">
      <c r="A39" s="47" t="s">
        <v>11</v>
      </c>
    </row>
    <row r="40" spans="1:16" x14ac:dyDescent="0.25">
      <c r="A40" s="47" t="s">
        <v>45</v>
      </c>
    </row>
    <row r="41" spans="1:16" x14ac:dyDescent="0.25">
      <c r="A41" s="49" t="s">
        <v>48</v>
      </c>
      <c r="B41" s="4">
        <v>20</v>
      </c>
      <c r="C41" s="4">
        <v>32</v>
      </c>
      <c r="D41" s="6">
        <f>C41*$B$10</f>
        <v>0.48</v>
      </c>
      <c r="E41" s="6">
        <f>C41*$B$9</f>
        <v>1.6</v>
      </c>
      <c r="F41" s="6">
        <f>+B41</f>
        <v>20</v>
      </c>
      <c r="G41" s="38">
        <f>B41*$C$9/(1+$C$9)</f>
        <v>3.4710743801652897</v>
      </c>
      <c r="H41" s="38">
        <f>(D41*$C$9)+(E41*$C$10)</f>
        <v>0.43680000000000002</v>
      </c>
      <c r="I41" s="38">
        <f>D41+E41+F41-G41</f>
        <v>18.608925619834707</v>
      </c>
      <c r="J41" s="38">
        <f>C41*$C$10/121%</f>
        <v>5.553719008264463</v>
      </c>
      <c r="K41" s="38">
        <f>J41-G41-H41</f>
        <v>1.6458446280991732</v>
      </c>
      <c r="L41" s="38">
        <f>C41-J41</f>
        <v>26.446280991735538</v>
      </c>
      <c r="M41" s="39">
        <f>C41-I41-K41</f>
        <v>11.74522975206612</v>
      </c>
      <c r="N41" s="43">
        <v>100</v>
      </c>
      <c r="O41" s="6">
        <f>+N41*C41</f>
        <v>3200</v>
      </c>
      <c r="P41" s="38">
        <f>+N41*M41</f>
        <v>1174.522975206612</v>
      </c>
    </row>
    <row r="42" spans="1:16" x14ac:dyDescent="0.25">
      <c r="A42" s="49"/>
      <c r="B42" s="4">
        <v>20</v>
      </c>
      <c r="C42" s="4">
        <v>35</v>
      </c>
      <c r="D42" s="6">
        <f>C42*$B$10</f>
        <v>0.52500000000000002</v>
      </c>
      <c r="E42" s="6">
        <f>C42*$B$9</f>
        <v>1.75</v>
      </c>
      <c r="F42" s="6">
        <f>+B42</f>
        <v>20</v>
      </c>
      <c r="G42" s="38">
        <f>B42*$C$9/(1+$C$9)</f>
        <v>3.4710743801652897</v>
      </c>
      <c r="H42" s="38">
        <f>(D42*$C$9)+(E42*$C$10)</f>
        <v>0.47775000000000001</v>
      </c>
      <c r="I42" s="38">
        <f>D42+E42+F42-G42</f>
        <v>18.803925619834708</v>
      </c>
      <c r="J42" s="38">
        <f>C42*$C$10/121%</f>
        <v>6.0743801652892557</v>
      </c>
      <c r="K42" s="38">
        <f>J42-G42-H42</f>
        <v>2.1255557851239661</v>
      </c>
      <c r="L42" s="38">
        <f>C42-J42</f>
        <v>28.925619834710744</v>
      </c>
      <c r="M42" s="39">
        <f>C42-I42-K42</f>
        <v>14.070518595041326</v>
      </c>
      <c r="N42" s="43">
        <f>N20-N41</f>
        <v>25</v>
      </c>
      <c r="O42" s="6">
        <f>+N42*C42</f>
        <v>875</v>
      </c>
      <c r="P42" s="38">
        <f>+N42*M42</f>
        <v>351.76296487603315</v>
      </c>
    </row>
    <row r="43" spans="1:16" x14ac:dyDescent="0.25">
      <c r="P43" s="44">
        <f>P41+P42</f>
        <v>1526.2859400826451</v>
      </c>
    </row>
    <row r="45" spans="1:16" x14ac:dyDescent="0.25">
      <c r="A45" s="49"/>
    </row>
  </sheetData>
  <mergeCells count="1"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2024-02-07T19:05:05Z</dcterms:created>
  <dcterms:modified xsi:type="dcterms:W3CDTF">2024-02-07T19:05:50Z</dcterms:modified>
</cp:coreProperties>
</file>