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176" documentId="8_{4426FE20-DD34-454D-9118-F10EAB18E8E0}" xr6:coauthVersionLast="47" xr6:coauthVersionMax="47" xr10:uidLastSave="{F19D103D-8652-4C3F-833A-9C39345EB950}"/>
  <bookViews>
    <workbookView xWindow="-120" yWindow="-120" windowWidth="29040" windowHeight="15720" xr2:uid="{00000000-000D-0000-FFFF-FFFF00000000}"/>
  </bookViews>
  <sheets>
    <sheet name="Template para el alum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3SIn4lBHCjRutlytZgVfKGEHRpA=="/>
    </ext>
  </extLst>
</workbook>
</file>

<file path=xl/calcChain.xml><?xml version="1.0" encoding="utf-8"?>
<calcChain xmlns="http://schemas.openxmlformats.org/spreadsheetml/2006/main">
  <c r="J26" i="1" l="1"/>
  <c r="J15" i="1"/>
  <c r="H14" i="1"/>
  <c r="I14" i="1" s="1"/>
  <c r="J14" i="1" s="1"/>
  <c r="H13" i="1"/>
  <c r="I13" i="1" s="1"/>
  <c r="J13" i="1" s="1"/>
  <c r="J16" i="1" l="1"/>
  <c r="E24" i="1" l="1"/>
  <c r="D24" i="1"/>
  <c r="C24" i="1"/>
  <c r="E23" i="1"/>
  <c r="D23" i="1"/>
  <c r="C23" i="1"/>
  <c r="E22" i="1"/>
  <c r="D22" i="1"/>
  <c r="C22" i="1"/>
  <c r="E21" i="1"/>
  <c r="D21" i="1"/>
  <c r="C21" i="1"/>
  <c r="E7" i="1"/>
  <c r="E6" i="1"/>
  <c r="E9" i="1" s="1"/>
  <c r="I16" i="1" l="1"/>
  <c r="I24" i="1"/>
  <c r="F21" i="1"/>
  <c r="G21" i="1"/>
  <c r="L21" i="1"/>
  <c r="Q21" i="1"/>
  <c r="N21" i="1"/>
  <c r="I22" i="1"/>
  <c r="G24" i="1"/>
  <c r="Q24" i="1"/>
  <c r="L24" i="1"/>
  <c r="N24" i="1"/>
  <c r="F24" i="1"/>
  <c r="I21" i="1"/>
  <c r="Q22" i="1"/>
  <c r="F22" i="1"/>
  <c r="L22" i="1"/>
  <c r="G22" i="1"/>
  <c r="Q23" i="1"/>
  <c r="L23" i="1"/>
  <c r="G23" i="1"/>
  <c r="F23" i="1"/>
  <c r="I23" i="1"/>
  <c r="H21" i="1" l="1"/>
  <c r="K21" i="1" s="1"/>
  <c r="H23" i="1"/>
  <c r="K23" i="1" s="1"/>
  <c r="J23" i="1"/>
  <c r="J24" i="1"/>
  <c r="J22" i="1"/>
  <c r="M22" i="1" s="1"/>
  <c r="M24" i="1"/>
  <c r="M23" i="1"/>
  <c r="N23" i="1"/>
  <c r="N22" i="1"/>
  <c r="J21" i="1"/>
  <c r="M21" i="1" s="1"/>
  <c r="O21" i="1" s="1"/>
  <c r="R21" i="1" s="1"/>
  <c r="H22" i="1"/>
  <c r="K22" i="1" s="1"/>
  <c r="H24" i="1"/>
  <c r="K24" i="1" s="1"/>
  <c r="O24" i="1" l="1"/>
  <c r="R23" i="1"/>
  <c r="O22" i="1"/>
  <c r="R22" i="1"/>
  <c r="R24" i="1"/>
  <c r="O23" i="1"/>
  <c r="K18" i="1" l="1"/>
</calcChain>
</file>

<file path=xl/sharedStrings.xml><?xml version="1.0" encoding="utf-8"?>
<sst xmlns="http://schemas.openxmlformats.org/spreadsheetml/2006/main" count="54" uniqueCount="47">
  <si>
    <t>Datos Generales</t>
  </si>
  <si>
    <t>Produccion</t>
  </si>
  <si>
    <t>Unidades</t>
  </si>
  <si>
    <t>Coste Unitario</t>
  </si>
  <si>
    <t>Total coste producción</t>
  </si>
  <si>
    <t>Coste de video</t>
  </si>
  <si>
    <t>Bolsa grande</t>
  </si>
  <si>
    <t>Comisión de la plataforma</t>
  </si>
  <si>
    <t>Bolsa pequeña (adicional)</t>
  </si>
  <si>
    <t>Coste pasarela de pago</t>
  </si>
  <si>
    <t>Total</t>
  </si>
  <si>
    <t>Recompensas</t>
  </si>
  <si>
    <t>Donación</t>
  </si>
  <si>
    <t>Coste Producto</t>
  </si>
  <si>
    <t>Coste envio en el pais</t>
  </si>
  <si>
    <t>Resumen costes a cubrir con Ingresos netos</t>
  </si>
  <si>
    <t>Importe</t>
  </si>
  <si>
    <t>I. Etiqueta de equipaje con logo de la empresa y mención de agradecimiento en la web</t>
  </si>
  <si>
    <t>Bolsa grande sin recompensa</t>
  </si>
  <si>
    <t>II. Bolsa de tela de cortesía con logo + etiqueta de equipaje con logo de la empresa y mención de agradecimiento en la web</t>
  </si>
  <si>
    <t>Bolsa pequeña (adicional) sin recompensa</t>
  </si>
  <si>
    <t>III. Etiqueta de equipaje con logo de la empresa y bolsa de viaje modelo grande + agradecimiento en la web</t>
  </si>
  <si>
    <t>Video</t>
  </si>
  <si>
    <t>IV. Etiqueta de equipaje con logo + bolsa de viaje grande + bolsa de viaje pequeña + Agradecimiento en la web</t>
  </si>
  <si>
    <t>Total Costes no involucrados en recompensa</t>
  </si>
  <si>
    <t>Objetivo neto de la campaña</t>
  </si>
  <si>
    <t>Coste recompensa</t>
  </si>
  <si>
    <t>Coste Envio</t>
  </si>
  <si>
    <t>Aportación</t>
  </si>
  <si>
    <t>Comision Plataforma</t>
  </si>
  <si>
    <t>Pasarela pago</t>
  </si>
  <si>
    <t>Total Costes</t>
  </si>
  <si>
    <t># Donantes</t>
  </si>
  <si>
    <t>Ingreso Bruto</t>
  </si>
  <si>
    <t>Neto (Ingresos - costes)</t>
  </si>
  <si>
    <t>Objetivo a publicitar en la Plataforma</t>
  </si>
  <si>
    <t>IVA</t>
  </si>
  <si>
    <t>Costes IVA inc</t>
  </si>
  <si>
    <t>IVA Costes</t>
  </si>
  <si>
    <t>IVA Comisiones</t>
  </si>
  <si>
    <t>Costes sin IVA</t>
  </si>
  <si>
    <t>IVA Recompensa</t>
  </si>
  <si>
    <t>Neto IVA</t>
  </si>
  <si>
    <t>Ingreso Neto</t>
  </si>
  <si>
    <t>Resultado Neto</t>
  </si>
  <si>
    <t>Coste Cubrir s/IVA</t>
  </si>
  <si>
    <t>Video Promocional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</si>
</sst>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sz val="11"/>
      <color theme="1"/>
      <name val="Arial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9" fontId="4" fillId="0" borderId="1" xfId="0" applyNumberFormat="1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2" fontId="4" fillId="0" borderId="0" xfId="0" applyNumberFormat="1" applyFont="1"/>
    <xf numFmtId="0" fontId="3" fillId="0" borderId="2" xfId="0" applyFont="1" applyBorder="1" applyAlignment="1">
      <alignment wrapText="1"/>
    </xf>
    <xf numFmtId="2" fontId="4" fillId="0" borderId="1" xfId="0" applyNumberFormat="1" applyFont="1" applyBorder="1"/>
    <xf numFmtId="0" fontId="3" fillId="0" borderId="5" xfId="0" applyFont="1" applyBorder="1" applyAlignment="1">
      <alignment wrapText="1"/>
    </xf>
    <xf numFmtId="2" fontId="3" fillId="0" borderId="6" xfId="0" applyNumberFormat="1" applyFont="1" applyBorder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3" fontId="4" fillId="0" borderId="1" xfId="1" applyFont="1" applyBorder="1"/>
    <xf numFmtId="43" fontId="3" fillId="0" borderId="1" xfId="1" applyFont="1" applyBorder="1"/>
    <xf numFmtId="0" fontId="0" fillId="0" borderId="0" xfId="0" applyBorder="1"/>
    <xf numFmtId="0" fontId="3" fillId="0" borderId="8" xfId="0" applyFont="1" applyBorder="1" applyAlignment="1">
      <alignment wrapText="1"/>
    </xf>
    <xf numFmtId="43" fontId="4" fillId="0" borderId="0" xfId="1" applyFont="1" applyBorder="1"/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3" xfId="1" applyFont="1" applyBorder="1"/>
    <xf numFmtId="43" fontId="4" fillId="0" borderId="9" xfId="1" applyFont="1" applyBorder="1"/>
  </cellXfs>
  <cellStyles count="2">
    <cellStyle name="C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26"/>
  <sheetViews>
    <sheetView tabSelected="1" topLeftCell="A16" workbookViewId="0">
      <selection activeCell="J27" sqref="J27"/>
    </sheetView>
  </sheetViews>
  <sheetFormatPr defaultColWidth="12.625" defaultRowHeight="15" customHeight="1" x14ac:dyDescent="0.2"/>
  <cols>
    <col min="1" max="1" width="9.375" customWidth="1"/>
    <col min="2" max="2" width="27.25" customWidth="1"/>
    <col min="3" max="3" width="13" customWidth="1"/>
    <col min="4" max="6" width="9.375" customWidth="1"/>
    <col min="7" max="7" width="16.875" customWidth="1"/>
    <col min="8" max="8" width="12.125" customWidth="1"/>
    <col min="9" max="9" width="11.875" customWidth="1"/>
    <col min="10" max="10" width="14.125" customWidth="1"/>
    <col min="11" max="16" width="9.375" customWidth="1"/>
    <col min="17" max="17" width="12.25" customWidth="1"/>
    <col min="18" max="18" width="12.75" customWidth="1"/>
    <col min="19" max="26" width="9.375" customWidth="1"/>
  </cols>
  <sheetData>
    <row r="3" spans="2:10" ht="15.75" x14ac:dyDescent="0.25">
      <c r="B3" s="1" t="s">
        <v>0</v>
      </c>
    </row>
    <row r="5" spans="2:10" ht="45" x14ac:dyDescent="0.25">
      <c r="B5" s="2" t="s">
        <v>1</v>
      </c>
      <c r="C5" s="2" t="s">
        <v>2</v>
      </c>
      <c r="D5" s="3" t="s">
        <v>3</v>
      </c>
      <c r="E5" s="23" t="s">
        <v>4</v>
      </c>
      <c r="G5" s="3" t="s">
        <v>5</v>
      </c>
      <c r="H5" s="2">
        <v>500</v>
      </c>
    </row>
    <row r="6" spans="2:10" ht="30" x14ac:dyDescent="0.25">
      <c r="B6" s="4" t="s">
        <v>6</v>
      </c>
      <c r="C6" s="4">
        <v>700</v>
      </c>
      <c r="D6" s="4">
        <v>12</v>
      </c>
      <c r="E6" s="29">
        <f t="shared" ref="E6:E8" si="0">+D6*C6</f>
        <v>8400</v>
      </c>
      <c r="G6" s="5" t="s">
        <v>7</v>
      </c>
      <c r="H6" s="6">
        <v>0.05</v>
      </c>
      <c r="I6" s="6">
        <v>0.21</v>
      </c>
      <c r="J6" s="6" t="s">
        <v>36</v>
      </c>
    </row>
    <row r="7" spans="2:10" ht="30" x14ac:dyDescent="0.25">
      <c r="B7" s="4" t="s">
        <v>8</v>
      </c>
      <c r="C7" s="4">
        <v>300</v>
      </c>
      <c r="D7" s="4">
        <v>6</v>
      </c>
      <c r="E7" s="29">
        <f t="shared" si="0"/>
        <v>1800</v>
      </c>
      <c r="G7" s="5" t="s">
        <v>9</v>
      </c>
      <c r="H7" s="7">
        <v>1.4999999999999999E-2</v>
      </c>
      <c r="I7" s="6">
        <v>0.21</v>
      </c>
      <c r="J7" s="6" t="s">
        <v>36</v>
      </c>
    </row>
    <row r="8" spans="2:10" x14ac:dyDescent="0.25">
      <c r="B8" s="4" t="s">
        <v>46</v>
      </c>
      <c r="E8" s="29">
        <v>500</v>
      </c>
      <c r="F8" s="22"/>
      <c r="G8" s="24"/>
      <c r="H8" s="22"/>
      <c r="I8" s="22"/>
    </row>
    <row r="9" spans="2:10" ht="15" customHeight="1" x14ac:dyDescent="0.25">
      <c r="B9" s="4" t="s">
        <v>10</v>
      </c>
      <c r="C9" s="4"/>
      <c r="D9" s="4"/>
      <c r="E9" s="29">
        <f>SUM(E6:E7)</f>
        <v>10200</v>
      </c>
      <c r="F9" s="22"/>
      <c r="G9" s="22"/>
      <c r="H9" s="24"/>
      <c r="I9" s="22"/>
    </row>
    <row r="12" spans="2:10" ht="45" x14ac:dyDescent="0.25">
      <c r="B12" s="2" t="s">
        <v>11</v>
      </c>
      <c r="C12" s="2" t="s">
        <v>12</v>
      </c>
      <c r="D12" s="3" t="s">
        <v>13</v>
      </c>
      <c r="E12" s="3" t="s">
        <v>14</v>
      </c>
      <c r="G12" s="3" t="s">
        <v>15</v>
      </c>
      <c r="H12" s="27" t="s">
        <v>2</v>
      </c>
      <c r="I12" s="26" t="s">
        <v>16</v>
      </c>
      <c r="J12" s="25" t="s">
        <v>45</v>
      </c>
    </row>
    <row r="13" spans="2:10" ht="45" x14ac:dyDescent="0.25">
      <c r="B13" s="5" t="s">
        <v>17</v>
      </c>
      <c r="C13" s="4">
        <v>8</v>
      </c>
      <c r="D13" s="4">
        <v>2</v>
      </c>
      <c r="E13" s="8">
        <v>1</v>
      </c>
      <c r="G13" s="5" t="s">
        <v>18</v>
      </c>
      <c r="H13" s="4">
        <f>P23+P24</f>
        <v>70</v>
      </c>
      <c r="I13" s="20">
        <f>(C6-H13)*D6</f>
        <v>7560</v>
      </c>
      <c r="J13" s="20">
        <f>I13/121*100</f>
        <v>6247.9338842975212</v>
      </c>
    </row>
    <row r="14" spans="2:10" ht="60" x14ac:dyDescent="0.25">
      <c r="B14" s="5" t="s">
        <v>19</v>
      </c>
      <c r="C14" s="4">
        <v>15</v>
      </c>
      <c r="D14" s="4">
        <v>6</v>
      </c>
      <c r="E14" s="8">
        <v>1</v>
      </c>
      <c r="G14" s="5" t="s">
        <v>20</v>
      </c>
      <c r="H14" s="4">
        <f>P22+P24</f>
        <v>70</v>
      </c>
      <c r="I14" s="20">
        <f>(C7-H14)*D7</f>
        <v>1380</v>
      </c>
      <c r="J14" s="20">
        <f>I14/121*100</f>
        <v>1140.495867768595</v>
      </c>
    </row>
    <row r="15" spans="2:10" ht="60" x14ac:dyDescent="0.25">
      <c r="B15" s="5" t="s">
        <v>21</v>
      </c>
      <c r="C15" s="4">
        <v>35</v>
      </c>
      <c r="D15" s="4">
        <v>14</v>
      </c>
      <c r="E15" s="8">
        <v>6</v>
      </c>
      <c r="G15" s="4" t="s">
        <v>22</v>
      </c>
      <c r="H15" s="4">
        <v>1</v>
      </c>
      <c r="I15" s="4">
        <v>500</v>
      </c>
      <c r="J15" s="20">
        <f>I15/121*100</f>
        <v>413.22314049586771</v>
      </c>
    </row>
    <row r="16" spans="2:10" ht="60" x14ac:dyDescent="0.25">
      <c r="B16" s="5" t="s">
        <v>23</v>
      </c>
      <c r="C16" s="4">
        <v>55</v>
      </c>
      <c r="D16" s="4">
        <v>20</v>
      </c>
      <c r="E16" s="8">
        <v>8</v>
      </c>
      <c r="G16" s="3" t="s">
        <v>24</v>
      </c>
      <c r="H16" s="2"/>
      <c r="I16" s="21">
        <f>SUM(I13:I15)</f>
        <v>9440</v>
      </c>
      <c r="J16" s="21">
        <f>SUM(J13:J15)</f>
        <v>7801.6528925619841</v>
      </c>
    </row>
    <row r="17" spans="2:18" x14ac:dyDescent="0.25">
      <c r="E17" s="9"/>
    </row>
    <row r="18" spans="2:18" ht="45" customHeight="1" x14ac:dyDescent="0.25">
      <c r="E18" s="9"/>
      <c r="J18" s="10" t="s">
        <v>25</v>
      </c>
      <c r="K18" s="28">
        <f>SUM(R21:R24)</f>
        <v>3962.3842561983474</v>
      </c>
    </row>
    <row r="19" spans="2:18" ht="4.5" customHeight="1" x14ac:dyDescent="0.25">
      <c r="E19" s="9"/>
      <c r="F19" s="18" t="s">
        <v>37</v>
      </c>
      <c r="G19" s="18"/>
      <c r="H19" s="18"/>
    </row>
    <row r="20" spans="2:18" s="17" customFormat="1" ht="34.5" customHeight="1" x14ac:dyDescent="0.2">
      <c r="B20" s="14" t="s">
        <v>11</v>
      </c>
      <c r="C20" s="15" t="s">
        <v>26</v>
      </c>
      <c r="D20" s="15" t="s">
        <v>27</v>
      </c>
      <c r="E20" s="15" t="s">
        <v>28</v>
      </c>
      <c r="F20" s="15" t="s">
        <v>29</v>
      </c>
      <c r="G20" s="16" t="s">
        <v>30</v>
      </c>
      <c r="H20" s="15" t="s">
        <v>31</v>
      </c>
      <c r="I20" s="16" t="s">
        <v>38</v>
      </c>
      <c r="J20" s="19" t="s">
        <v>39</v>
      </c>
      <c r="K20" s="19" t="s">
        <v>40</v>
      </c>
      <c r="L20" s="19" t="s">
        <v>41</v>
      </c>
      <c r="M20" s="19" t="s">
        <v>42</v>
      </c>
      <c r="N20" s="19" t="s">
        <v>43</v>
      </c>
      <c r="O20" s="19" t="s">
        <v>44</v>
      </c>
      <c r="P20" s="15" t="s">
        <v>32</v>
      </c>
      <c r="Q20" s="16" t="s">
        <v>33</v>
      </c>
      <c r="R20" s="15" t="s">
        <v>34</v>
      </c>
    </row>
    <row r="21" spans="2:18" ht="45" x14ac:dyDescent="0.25">
      <c r="B21" s="5" t="s">
        <v>17</v>
      </c>
      <c r="C21" s="8">
        <f t="shared" ref="C21:D21" si="1">+D13</f>
        <v>2</v>
      </c>
      <c r="D21" s="8">
        <f t="shared" si="1"/>
        <v>1</v>
      </c>
      <c r="E21" s="4">
        <f t="shared" ref="E21:E24" si="2">+C13</f>
        <v>8</v>
      </c>
      <c r="F21" s="4">
        <f>$H$6*E21</f>
        <v>0.4</v>
      </c>
      <c r="G21" s="4">
        <f>$H$7*E21</f>
        <v>0.12</v>
      </c>
      <c r="H21" s="11">
        <f>C21+D21+F21+G21</f>
        <v>3.52</v>
      </c>
      <c r="I21" s="11">
        <f>((C21+D21)*$I$7)/(1+$I$7)</f>
        <v>0.52066115702479343</v>
      </c>
      <c r="J21" s="11">
        <f>(F21*$I$6)+(G21*$I$7)</f>
        <v>0.10920000000000001</v>
      </c>
      <c r="K21" s="11">
        <f>H21-I21</f>
        <v>2.9993388429752068</v>
      </c>
      <c r="L21" s="11">
        <f>E21*$I$7/121%</f>
        <v>1.3884297520661157</v>
      </c>
      <c r="M21" s="11">
        <f>L21-I21-J21</f>
        <v>0.75856859504132235</v>
      </c>
      <c r="N21" s="11">
        <f>E21-L21</f>
        <v>6.6115702479338845</v>
      </c>
      <c r="O21" s="11">
        <f>E21-K21-M21</f>
        <v>4.2420925619834708</v>
      </c>
      <c r="P21" s="4">
        <v>100</v>
      </c>
      <c r="Q21" s="11">
        <f>P21*E21</f>
        <v>800</v>
      </c>
      <c r="R21" s="11">
        <f>P21*O21</f>
        <v>424.20925619834708</v>
      </c>
    </row>
    <row r="22" spans="2:18" ht="60" x14ac:dyDescent="0.25">
      <c r="B22" s="5" t="s">
        <v>19</v>
      </c>
      <c r="C22" s="8">
        <f t="shared" ref="C22:D22" si="3">+D14</f>
        <v>6</v>
      </c>
      <c r="D22" s="8">
        <f t="shared" si="3"/>
        <v>1</v>
      </c>
      <c r="E22" s="4">
        <f t="shared" si="2"/>
        <v>15</v>
      </c>
      <c r="F22" s="4">
        <f>$H$6*E22</f>
        <v>0.75</v>
      </c>
      <c r="G22" s="4">
        <f>$H$7*E22</f>
        <v>0.22499999999999998</v>
      </c>
      <c r="H22" s="11">
        <f t="shared" ref="H22:H24" si="4">C22+D22+F22+G22</f>
        <v>7.9749999999999996</v>
      </c>
      <c r="I22" s="11">
        <f>((C22+D22)*$I$7)/(1+$I$7)</f>
        <v>1.2148760330578512</v>
      </c>
      <c r="J22" s="11">
        <f>(F22*$I$6)+(G22*$I$7)</f>
        <v>0.20474999999999999</v>
      </c>
      <c r="K22" s="11">
        <f t="shared" ref="K22:K24" si="5">H22-I22</f>
        <v>6.7601239669421487</v>
      </c>
      <c r="L22" s="11">
        <f>E22*$I$7/121%</f>
        <v>2.6033057851239669</v>
      </c>
      <c r="M22" s="11">
        <f t="shared" ref="M22:M24" si="6">L22-I22-J22</f>
        <v>1.1836797520661158</v>
      </c>
      <c r="N22" s="11">
        <f t="shared" ref="N22:N24" si="7">E22-L22</f>
        <v>12.396694214876034</v>
      </c>
      <c r="O22" s="11">
        <f t="shared" ref="O22:O24" si="8">E22-K22-M22</f>
        <v>7.0561962809917347</v>
      </c>
      <c r="P22" s="4">
        <v>50</v>
      </c>
      <c r="Q22" s="11">
        <f>P22*E22</f>
        <v>750</v>
      </c>
      <c r="R22" s="11">
        <f>Q22-H22</f>
        <v>742.02499999999998</v>
      </c>
    </row>
    <row r="23" spans="2:18" ht="60" x14ac:dyDescent="0.25">
      <c r="B23" s="5" t="s">
        <v>21</v>
      </c>
      <c r="C23" s="8">
        <f t="shared" ref="C23:D23" si="9">+D15</f>
        <v>14</v>
      </c>
      <c r="D23" s="8">
        <f t="shared" si="9"/>
        <v>6</v>
      </c>
      <c r="E23" s="4">
        <f t="shared" si="2"/>
        <v>35</v>
      </c>
      <c r="F23" s="4">
        <f>$H$6*E23</f>
        <v>1.75</v>
      </c>
      <c r="G23" s="4">
        <f>$H$7*E23</f>
        <v>0.52500000000000002</v>
      </c>
      <c r="H23" s="11">
        <f t="shared" si="4"/>
        <v>22.274999999999999</v>
      </c>
      <c r="I23" s="11">
        <f>((C23+D23)*$I$7)/(1+$I$7)</f>
        <v>3.4710743801652897</v>
      </c>
      <c r="J23" s="11">
        <f>(F23*$I$6)+(G23*$I$7)</f>
        <v>0.47775000000000001</v>
      </c>
      <c r="K23" s="11">
        <f t="shared" si="5"/>
        <v>18.803925619834708</v>
      </c>
      <c r="L23" s="11">
        <f>E23*$I$7/121%</f>
        <v>6.0743801652892557</v>
      </c>
      <c r="M23" s="11">
        <f t="shared" si="6"/>
        <v>2.1255557851239661</v>
      </c>
      <c r="N23" s="11">
        <f t="shared" si="7"/>
        <v>28.925619834710744</v>
      </c>
      <c r="O23" s="11">
        <f t="shared" si="8"/>
        <v>14.070518595041326</v>
      </c>
      <c r="P23" s="4">
        <v>50</v>
      </c>
      <c r="Q23" s="11">
        <f>P23*E23</f>
        <v>1750</v>
      </c>
      <c r="R23" s="11">
        <f>Q23-H23</f>
        <v>1727.7249999999999</v>
      </c>
    </row>
    <row r="24" spans="2:18" ht="60" x14ac:dyDescent="0.25">
      <c r="B24" s="5" t="s">
        <v>23</v>
      </c>
      <c r="C24" s="8">
        <f t="shared" ref="C24:D24" si="10">+D16</f>
        <v>20</v>
      </c>
      <c r="D24" s="8">
        <f t="shared" si="10"/>
        <v>8</v>
      </c>
      <c r="E24" s="4">
        <f t="shared" si="2"/>
        <v>55</v>
      </c>
      <c r="F24" s="4">
        <f>$H$6*E24</f>
        <v>2.75</v>
      </c>
      <c r="G24" s="4">
        <f>$H$7*E24</f>
        <v>0.82499999999999996</v>
      </c>
      <c r="H24" s="11">
        <f t="shared" si="4"/>
        <v>31.574999999999999</v>
      </c>
      <c r="I24" s="11">
        <f>((C24+D24)*$I$7)/(1+$I$7)</f>
        <v>4.8595041322314048</v>
      </c>
      <c r="J24" s="11">
        <f>(F24*$I$6)+(G24*$I$7)</f>
        <v>0.75075000000000003</v>
      </c>
      <c r="K24" s="11">
        <f t="shared" si="5"/>
        <v>26.715495867768595</v>
      </c>
      <c r="L24" s="11">
        <f>E24*$I$7/121%</f>
        <v>9.545454545454545</v>
      </c>
      <c r="M24" s="11">
        <f t="shared" si="6"/>
        <v>3.9352004132231402</v>
      </c>
      <c r="N24" s="11">
        <f t="shared" si="7"/>
        <v>45.454545454545453</v>
      </c>
      <c r="O24" s="11">
        <f t="shared" si="8"/>
        <v>24.349303719008265</v>
      </c>
      <c r="P24" s="4">
        <v>20</v>
      </c>
      <c r="Q24" s="11">
        <f>P24*E24</f>
        <v>1100</v>
      </c>
      <c r="R24" s="11">
        <f>Q24-H24</f>
        <v>1068.425</v>
      </c>
    </row>
    <row r="26" spans="2:18" ht="60" x14ac:dyDescent="0.25">
      <c r="I26" s="12" t="s">
        <v>35</v>
      </c>
      <c r="J26" s="13">
        <f>J16-K18</f>
        <v>3839.2686363636367</v>
      </c>
    </row>
  </sheetData>
  <mergeCells count="1">
    <mergeCell ref="F19:H19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Template para el alumno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Oriol puig i Carreró</cp:lastModifiedBy>
  <dcterms:created xsi:type="dcterms:W3CDTF">2020-11-27T20:39:55Z</dcterms:created>
  <dcterms:modified xsi:type="dcterms:W3CDTF">2024-02-26T18:41:20Z</dcterms:modified>
</cp:coreProperties>
</file>