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0" documentId="8_{CB7968F3-A24D-400D-A2A6-EF9FCFC1C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mplo de respuesta al Sprin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F7LXlDsCVqHYAY8Vbn4LYhDrdRQ=="/>
    </ext>
  </extLst>
</workbook>
</file>

<file path=xl/calcChain.xml><?xml version="1.0" encoding="utf-8"?>
<calcChain xmlns="http://schemas.openxmlformats.org/spreadsheetml/2006/main">
  <c r="D30" i="1" l="1"/>
  <c r="F30" i="1" s="1"/>
  <c r="G30" i="1" s="1"/>
  <c r="F27" i="1"/>
  <c r="G27" i="1" s="1"/>
  <c r="D27" i="1"/>
  <c r="F23" i="1"/>
  <c r="G23" i="1" s="1"/>
  <c r="F22" i="1"/>
  <c r="G22" i="1" s="1"/>
  <c r="F19" i="1"/>
  <c r="G19" i="1" s="1"/>
  <c r="F16" i="1"/>
  <c r="G16" i="1" s="1"/>
  <c r="H15" i="1"/>
  <c r="G15" i="1"/>
  <c r="I30" i="1" s="1"/>
  <c r="F15" i="1"/>
  <c r="F14" i="1"/>
  <c r="G14" i="1" s="1"/>
  <c r="H14" i="1" s="1"/>
  <c r="F13" i="1"/>
  <c r="G13" i="1" s="1"/>
  <c r="H13" i="1" s="1"/>
  <c r="E8" i="1"/>
  <c r="E7" i="1"/>
  <c r="E6" i="1"/>
  <c r="I27" i="1" l="1"/>
  <c r="I23" i="1"/>
  <c r="H16" i="1"/>
  <c r="I19" i="1"/>
  <c r="J22" i="1"/>
  <c r="H22" i="1"/>
  <c r="H19" i="1"/>
  <c r="J19" i="1"/>
  <c r="H23" i="1"/>
  <c r="J23" i="1"/>
  <c r="H27" i="1"/>
  <c r="J27" i="1"/>
  <c r="J30" i="1"/>
  <c r="K30" i="1" s="1"/>
  <c r="H30" i="1"/>
  <c r="I22" i="1"/>
  <c r="K22" i="1" s="1"/>
  <c r="K24" i="1" l="1"/>
  <c r="K19" i="1"/>
  <c r="K23" i="1"/>
  <c r="K27" i="1"/>
</calcChain>
</file>

<file path=xl/sharedStrings.xml><?xml version="1.0" encoding="utf-8"?>
<sst xmlns="http://schemas.openxmlformats.org/spreadsheetml/2006/main" count="38" uniqueCount="38">
  <si>
    <t>Produccion</t>
  </si>
  <si>
    <t>Unidades</t>
  </si>
  <si>
    <t>Coste Unitario</t>
  </si>
  <si>
    <t>Total coste producción</t>
  </si>
  <si>
    <t>Bolsa grande</t>
  </si>
  <si>
    <t>Comisión de la plataforma</t>
  </si>
  <si>
    <t>Bolsa pequeña (adicional)</t>
  </si>
  <si>
    <t>Coste pasarela de pago</t>
  </si>
  <si>
    <t>Total</t>
  </si>
  <si>
    <t>Recompensas</t>
  </si>
  <si>
    <t>Donación</t>
  </si>
  <si>
    <t>Coste Producto</t>
  </si>
  <si>
    <t>Coste envio en el pais</t>
  </si>
  <si>
    <t>Total coste unitario</t>
  </si>
  <si>
    <t>Margen unitario</t>
  </si>
  <si>
    <t>Margen %</t>
  </si>
  <si>
    <t>Total Margen sin rebaja</t>
  </si>
  <si>
    <t>Total Margen Rebajado</t>
  </si>
  <si>
    <t>Diferencia</t>
  </si>
  <si>
    <t>Evaluación de la propuesta</t>
  </si>
  <si>
    <t>I. Etiqueta de equipaje con logo de la empresa y mención de agradecimiento en la web</t>
  </si>
  <si>
    <t>II. Bolsa de tela de cortesía con logo + etiqueta de equipaje con logo de la empresa y mención de agradecimiento en la web</t>
  </si>
  <si>
    <t>III. Etiqueta de equipaje con logo de la empresa y bolsa de viaje modelo grande + agradecimiento en la web</t>
  </si>
  <si>
    <t>IV. Etiqueta de equipaje con logo + bolsa de viaje grande + bolsa de viaje pequeña + Agradecimiento en la web</t>
  </si>
  <si>
    <t>eaarly birds</t>
  </si>
  <si>
    <t>Propuesta 1</t>
  </si>
  <si>
    <t>Opción IV con rebaja: solo las bolsas de viaje</t>
  </si>
  <si>
    <t>Recomendable porque iguala el margen de la opción III en %</t>
  </si>
  <si>
    <t>Propuesta 2</t>
  </si>
  <si>
    <t>Opción III con rebaja: solo la bolsa de viaje grande: para 5 donantes</t>
  </si>
  <si>
    <t>Opción IV con rebaja: solo las bolsas de viaje: para 5 donantes</t>
  </si>
  <si>
    <t>Es interesante porque sacrifica menos margen que otras propuestas</t>
  </si>
  <si>
    <t>Propuesta 3</t>
  </si>
  <si>
    <t>Opción IV con rebaja: kit bolsas de viaje + bolsa de tela de cortesía de opción II</t>
  </si>
  <si>
    <t>Aunque en términos de % de margen es el de la opción III. 
A nivel monetario es el que más margen sacrifica por tanto menos recomendable</t>
  </si>
  <si>
    <t>Propuesta 4</t>
  </si>
  <si>
    <t>Opción III: solo bolsa individual + bolsa de tela con logo</t>
  </si>
  <si>
    <t>Propuesta interesante, a evaluar por 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</si>
</sst>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</font>
    <font>
      <sz val="9"/>
      <color theme="1"/>
      <name val="Calibri"/>
    </font>
    <font>
      <b/>
      <sz val="9"/>
      <color theme="1"/>
      <name val="Calibri"/>
    </font>
    <font>
      <sz val="9"/>
      <color rgb="FF6600FF"/>
      <name val="Calibri"/>
    </font>
    <font>
      <b/>
      <sz val="9"/>
      <color rgb="FF6600FF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9" fontId="1" fillId="0" borderId="1" xfId="0" applyNumberFormat="1" applyFont="1" applyBorder="1"/>
    <xf numFmtId="164" fontId="1" fillId="0" borderId="1" xfId="0" applyNumberFormat="1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 applyAlignment="1">
      <alignment wrapText="1"/>
    </xf>
    <xf numFmtId="1" fontId="1" fillId="0" borderId="1" xfId="0" applyNumberFormat="1" applyFont="1" applyBorder="1"/>
    <xf numFmtId="1" fontId="3" fillId="0" borderId="0" xfId="0" applyNumberFormat="1" applyFont="1"/>
    <xf numFmtId="9" fontId="3" fillId="0" borderId="0" xfId="0" applyNumberFormat="1" applyFont="1"/>
    <xf numFmtId="0" fontId="4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/>
    <xf numFmtId="1" fontId="3" fillId="0" borderId="7" xfId="0" applyNumberFormat="1" applyFont="1" applyBorder="1"/>
    <xf numFmtId="9" fontId="3" fillId="0" borderId="7" xfId="0" applyNumberFormat="1" applyFont="1" applyBorder="1"/>
    <xf numFmtId="2" fontId="3" fillId="0" borderId="7" xfId="0" applyNumberFormat="1" applyFont="1" applyBorder="1"/>
    <xf numFmtId="0" fontId="3" fillId="0" borderId="8" xfId="0" applyFont="1" applyBorder="1" applyAlignment="1">
      <alignment wrapText="1"/>
    </xf>
    <xf numFmtId="2" fontId="3" fillId="0" borderId="0" xfId="0" applyNumberFormat="1" applyFont="1"/>
    <xf numFmtId="0" fontId="1" fillId="0" borderId="3" xfId="0" applyFont="1" applyBorder="1"/>
    <xf numFmtId="0" fontId="4" fillId="0" borderId="4" xfId="0" applyFont="1" applyBorder="1" applyAlignment="1">
      <alignment wrapText="1"/>
    </xf>
    <xf numFmtId="2" fontId="3" fillId="0" borderId="4" xfId="0" applyNumberFormat="1" applyFont="1" applyBorder="1"/>
    <xf numFmtId="0" fontId="3" fillId="0" borderId="9" xfId="0" applyFont="1" applyBorder="1"/>
    <xf numFmtId="0" fontId="3" fillId="0" borderId="0" xfId="0" applyFont="1" applyAlignment="1">
      <alignment wrapText="1"/>
    </xf>
    <xf numFmtId="0" fontId="3" fillId="0" borderId="0" xfId="0" applyFont="1"/>
    <xf numFmtId="0" fontId="1" fillId="0" borderId="10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4" xfId="0" applyFont="1" applyBorder="1"/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9" sqref="B19"/>
    </sheetView>
  </sheetViews>
  <sheetFormatPr defaultColWidth="12.625" defaultRowHeight="15" customHeight="1" x14ac:dyDescent="0.2"/>
  <cols>
    <col min="1" max="1" width="7" customWidth="1"/>
    <col min="2" max="2" width="24.875" customWidth="1"/>
    <col min="3" max="3" width="6.25" customWidth="1"/>
    <col min="4" max="4" width="7.125" customWidth="1"/>
    <col min="5" max="5" width="7.625" customWidth="1"/>
    <col min="6" max="6" width="6.75" customWidth="1"/>
    <col min="7" max="7" width="5.75" customWidth="1"/>
    <col min="8" max="8" width="7.625" customWidth="1"/>
    <col min="9" max="9" width="8.5" customWidth="1"/>
    <col min="10" max="10" width="8.125" customWidth="1"/>
    <col min="11" max="11" width="6.375" customWidth="1"/>
    <col min="12" max="12" width="29.625" customWidth="1"/>
    <col min="13" max="26" width="9.375" customWidth="1"/>
  </cols>
  <sheetData>
    <row r="1" spans="1:26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">
      <c r="A5" s="1"/>
      <c r="B5" s="2" t="s">
        <v>0</v>
      </c>
      <c r="C5" s="2" t="s">
        <v>1</v>
      </c>
      <c r="D5" s="3" t="s">
        <v>2</v>
      </c>
      <c r="E5" s="3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">
      <c r="A6" s="1"/>
      <c r="B6" s="4" t="s">
        <v>4</v>
      </c>
      <c r="C6" s="4">
        <v>700</v>
      </c>
      <c r="D6" s="4">
        <v>12</v>
      </c>
      <c r="E6" s="4">
        <f t="shared" ref="E6:E7" si="0">+D6*C6</f>
        <v>8400</v>
      </c>
      <c r="F6" s="1"/>
      <c r="G6" s="5" t="s">
        <v>5</v>
      </c>
      <c r="H6" s="6">
        <v>0.05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">
      <c r="A7" s="1"/>
      <c r="B7" s="4" t="s">
        <v>6</v>
      </c>
      <c r="C7" s="4">
        <v>300</v>
      </c>
      <c r="D7" s="4">
        <v>6</v>
      </c>
      <c r="E7" s="4">
        <f t="shared" si="0"/>
        <v>1800</v>
      </c>
      <c r="F7" s="1"/>
      <c r="G7" s="5" t="s">
        <v>7</v>
      </c>
      <c r="H7" s="7">
        <v>1.4999999999999999E-2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">
      <c r="A8" s="1"/>
      <c r="B8" s="4" t="s">
        <v>8</v>
      </c>
      <c r="C8" s="4"/>
      <c r="D8" s="4"/>
      <c r="E8" s="4">
        <f>SUM(E6:E7)</f>
        <v>10200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">
      <c r="A12" s="1"/>
      <c r="B12" s="2" t="s">
        <v>9</v>
      </c>
      <c r="C12" s="2" t="s">
        <v>10</v>
      </c>
      <c r="D12" s="3" t="s">
        <v>11</v>
      </c>
      <c r="E12" s="3" t="s">
        <v>12</v>
      </c>
      <c r="F12" s="8" t="s">
        <v>13</v>
      </c>
      <c r="G12" s="8" t="s">
        <v>14</v>
      </c>
      <c r="H12" s="9" t="s">
        <v>15</v>
      </c>
      <c r="I12" s="8" t="s">
        <v>16</v>
      </c>
      <c r="J12" s="8" t="s">
        <v>17</v>
      </c>
      <c r="K12" s="10" t="s">
        <v>18</v>
      </c>
      <c r="L12" s="8" t="s">
        <v>19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">
      <c r="A13" s="1"/>
      <c r="B13" s="5" t="s">
        <v>20</v>
      </c>
      <c r="C13" s="4">
        <v>8</v>
      </c>
      <c r="D13" s="4">
        <v>2</v>
      </c>
      <c r="E13" s="11">
        <v>1</v>
      </c>
      <c r="F13" s="12">
        <f t="shared" ref="F13:F16" si="1">+D13+E13+(C13*($H$6+$H$7))</f>
        <v>3.52</v>
      </c>
      <c r="G13" s="12">
        <f t="shared" ref="G13:G16" si="2">+C13-F13</f>
        <v>4.4800000000000004</v>
      </c>
      <c r="H13" s="13">
        <f t="shared" ref="H13:H16" si="3">+G13/C13</f>
        <v>0.56000000000000005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">
      <c r="A14" s="1"/>
      <c r="B14" s="5" t="s">
        <v>21</v>
      </c>
      <c r="C14" s="4">
        <v>15</v>
      </c>
      <c r="D14" s="4">
        <v>6</v>
      </c>
      <c r="E14" s="11">
        <v>1</v>
      </c>
      <c r="F14" s="12">
        <f t="shared" si="1"/>
        <v>7.9749999999999996</v>
      </c>
      <c r="G14" s="12">
        <f t="shared" si="2"/>
        <v>7.0250000000000004</v>
      </c>
      <c r="H14" s="13">
        <f t="shared" si="3"/>
        <v>0.46833333333333338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">
      <c r="A15" s="1"/>
      <c r="B15" s="5" t="s">
        <v>22</v>
      </c>
      <c r="C15" s="4">
        <v>35</v>
      </c>
      <c r="D15" s="4">
        <v>14</v>
      </c>
      <c r="E15" s="11">
        <v>6</v>
      </c>
      <c r="F15" s="12">
        <f t="shared" si="1"/>
        <v>22.274999999999999</v>
      </c>
      <c r="G15" s="12">
        <f t="shared" si="2"/>
        <v>12.725000000000001</v>
      </c>
      <c r="H15" s="13">
        <f t="shared" si="3"/>
        <v>0.3635714285714286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">
      <c r="A16" s="1"/>
      <c r="B16" s="5" t="s">
        <v>23</v>
      </c>
      <c r="C16" s="4">
        <v>55</v>
      </c>
      <c r="D16" s="4">
        <v>20</v>
      </c>
      <c r="E16" s="11">
        <v>8</v>
      </c>
      <c r="F16" s="12">
        <f t="shared" si="1"/>
        <v>31.574999999999999</v>
      </c>
      <c r="G16" s="12">
        <f t="shared" si="2"/>
        <v>23.425000000000001</v>
      </c>
      <c r="H16" s="13">
        <f t="shared" si="3"/>
        <v>0.4259090909090909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9" t="s">
        <v>24</v>
      </c>
      <c r="B18" s="14" t="s">
        <v>25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9">
        <v>10</v>
      </c>
      <c r="B19" s="17" t="s">
        <v>26</v>
      </c>
      <c r="C19" s="18">
        <v>45</v>
      </c>
      <c r="D19" s="18">
        <v>18</v>
      </c>
      <c r="E19" s="19">
        <v>8</v>
      </c>
      <c r="F19" s="19">
        <f>+D19+E19+(C19*($H$6+$H$7))</f>
        <v>28.925000000000001</v>
      </c>
      <c r="G19" s="19">
        <f>+C19-F19</f>
        <v>16.074999999999999</v>
      </c>
      <c r="H19" s="20">
        <f>+G19/C19</f>
        <v>0.35722222222222222</v>
      </c>
      <c r="I19" s="21">
        <f>(+G16+D13)*A19</f>
        <v>254.25</v>
      </c>
      <c r="J19" s="21">
        <f>+A19*G19</f>
        <v>160.75</v>
      </c>
      <c r="K19" s="21">
        <f>+I19-J19</f>
        <v>93.5</v>
      </c>
      <c r="L19" s="22" t="s">
        <v>27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">
      <c r="A20" s="1"/>
      <c r="B20" s="1"/>
      <c r="C20" s="1"/>
      <c r="D20" s="1"/>
      <c r="E20" s="1"/>
      <c r="F20" s="1"/>
      <c r="G20" s="1"/>
      <c r="H20" s="1"/>
      <c r="I20" s="23"/>
      <c r="J20" s="23"/>
      <c r="K20" s="2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">
      <c r="A21" s="24"/>
      <c r="B21" s="25" t="s">
        <v>28</v>
      </c>
      <c r="C21" s="15"/>
      <c r="D21" s="15"/>
      <c r="E21" s="15"/>
      <c r="F21" s="15"/>
      <c r="G21" s="15"/>
      <c r="H21" s="15"/>
      <c r="I21" s="26"/>
      <c r="J21" s="26"/>
      <c r="K21" s="26"/>
      <c r="L21" s="1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">
      <c r="A22" s="27">
        <v>5</v>
      </c>
      <c r="B22" s="28" t="s">
        <v>29</v>
      </c>
      <c r="C22" s="29">
        <v>30</v>
      </c>
      <c r="D22" s="29">
        <v>12</v>
      </c>
      <c r="E22" s="29">
        <v>6</v>
      </c>
      <c r="F22" s="12">
        <f t="shared" ref="F22:F23" si="4">+D22+E22+(C22*($H$6+$H$7))</f>
        <v>19.95</v>
      </c>
      <c r="G22" s="12">
        <f t="shared" ref="G22:G23" si="5">+C22-F22</f>
        <v>10.050000000000001</v>
      </c>
      <c r="H22" s="13">
        <f t="shared" ref="H22:H23" si="6">+G22/C22</f>
        <v>0.33500000000000002</v>
      </c>
      <c r="I22" s="23">
        <f>(G15+D13)*A22</f>
        <v>73.625</v>
      </c>
      <c r="J22" s="23">
        <f t="shared" ref="J22:J23" si="7">+G22*A22</f>
        <v>50.25</v>
      </c>
      <c r="K22" s="23">
        <f t="shared" ref="K22:K23" si="8">+I22-J22</f>
        <v>23.375</v>
      </c>
      <c r="L22" s="3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27">
        <v>5</v>
      </c>
      <c r="B23" s="28" t="s">
        <v>30</v>
      </c>
      <c r="C23" s="29">
        <v>46</v>
      </c>
      <c r="D23" s="29">
        <v>18</v>
      </c>
      <c r="E23" s="29">
        <v>8</v>
      </c>
      <c r="F23" s="12">
        <f t="shared" si="4"/>
        <v>28.990000000000002</v>
      </c>
      <c r="G23" s="12">
        <f t="shared" si="5"/>
        <v>17.009999999999998</v>
      </c>
      <c r="H23" s="13">
        <f t="shared" si="6"/>
        <v>0.3697826086956521</v>
      </c>
      <c r="I23" s="23">
        <f>(G16+D13)*A23</f>
        <v>127.125</v>
      </c>
      <c r="J23" s="23">
        <f t="shared" si="7"/>
        <v>85.049999999999983</v>
      </c>
      <c r="K23" s="23">
        <f t="shared" si="8"/>
        <v>42.075000000000017</v>
      </c>
      <c r="L23" s="3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31"/>
      <c r="B24" s="32"/>
      <c r="C24" s="32"/>
      <c r="D24" s="32"/>
      <c r="E24" s="32"/>
      <c r="F24" s="32"/>
      <c r="G24" s="32"/>
      <c r="H24" s="32"/>
      <c r="I24" s="18"/>
      <c r="J24" s="18"/>
      <c r="K24" s="21">
        <f>SUM(K22:K23)</f>
        <v>65.450000000000017</v>
      </c>
      <c r="L24" s="22" t="s">
        <v>31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1"/>
      <c r="B25" s="1"/>
      <c r="C25" s="1"/>
      <c r="D25" s="1"/>
      <c r="E25" s="1"/>
      <c r="F25" s="1"/>
      <c r="G25" s="1"/>
      <c r="H25" s="1"/>
      <c r="I25" s="29"/>
      <c r="J25" s="29"/>
      <c r="K25" s="23"/>
      <c r="L25" s="2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24"/>
      <c r="B26" s="33" t="s">
        <v>32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34">
        <v>10</v>
      </c>
      <c r="B27" s="35" t="s">
        <v>33</v>
      </c>
      <c r="C27" s="18">
        <v>52</v>
      </c>
      <c r="D27" s="18">
        <f>+D16-D13+D14-D13</f>
        <v>22</v>
      </c>
      <c r="E27" s="18">
        <v>8</v>
      </c>
      <c r="F27" s="19">
        <f>+D27+E27+(C27*($H$6+$H$7))</f>
        <v>33.380000000000003</v>
      </c>
      <c r="G27" s="19">
        <f>+C27-F27</f>
        <v>18.619999999999997</v>
      </c>
      <c r="H27" s="20">
        <f>+G27/C27</f>
        <v>0.35807692307692301</v>
      </c>
      <c r="I27" s="19">
        <f>(+G16+G14+D13+D13)*A27</f>
        <v>344.5</v>
      </c>
      <c r="J27" s="21">
        <f>+G27*A27</f>
        <v>186.2</v>
      </c>
      <c r="K27" s="21">
        <f>+I27-J27</f>
        <v>158.30000000000001</v>
      </c>
      <c r="L27" s="22" t="s">
        <v>34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36"/>
      <c r="B29" s="33" t="s">
        <v>35</v>
      </c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">
      <c r="A30" s="34">
        <v>10</v>
      </c>
      <c r="B30" s="35" t="s">
        <v>36</v>
      </c>
      <c r="C30" s="18">
        <v>40</v>
      </c>
      <c r="D30" s="18">
        <f>+D15+D14-D13-D13</f>
        <v>16</v>
      </c>
      <c r="E30" s="18">
        <v>6</v>
      </c>
      <c r="F30" s="19">
        <f>+D30+E30+(C30*($H$6+$H$7))</f>
        <v>24.6</v>
      </c>
      <c r="G30" s="19">
        <f>+C30-F30</f>
        <v>15.399999999999999</v>
      </c>
      <c r="H30" s="20">
        <f>+G30/C30</f>
        <v>0.38499999999999995</v>
      </c>
      <c r="I30" s="18">
        <f>(G15+G14+D13+D13)*A30</f>
        <v>237.5</v>
      </c>
      <c r="J30" s="21">
        <f>+G30*A30</f>
        <v>154</v>
      </c>
      <c r="K30" s="21">
        <f>+I30-J30</f>
        <v>83.5</v>
      </c>
      <c r="L30" s="39" t="s">
        <v>37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Ejemplo de respuesta al Sprint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2021-05-08T20:27:43Z</dcterms:created>
  <dcterms:modified xsi:type="dcterms:W3CDTF">2024-02-10T11:33:26Z</dcterms:modified>
</cp:coreProperties>
</file>