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3/FUENTES FINANCIACION ALTERNATIVAS/"/>
    </mc:Choice>
  </mc:AlternateContent>
  <xr:revisionPtr revIDLastSave="0" documentId="8_{EFD1970B-0E5A-4AA4-94C4-A27D35D24B55}" xr6:coauthVersionLast="47" xr6:coauthVersionMax="47" xr10:uidLastSave="{00000000-0000-0000-0000-000000000000}"/>
  <bookViews>
    <workbookView xWindow="-120" yWindow="-120" windowWidth="29040" windowHeight="15720" xr2:uid="{D2611F02-FFA4-42DE-8E1B-9B8E7DDDDE6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2" l="1"/>
  <c r="R25" i="2"/>
  <c r="N25" i="2"/>
  <c r="O25" i="2" s="1"/>
  <c r="M25" i="2"/>
  <c r="L25" i="2"/>
  <c r="P25" i="2" s="1"/>
  <c r="W25" i="2"/>
  <c r="T25" i="2"/>
  <c r="W22" i="2"/>
  <c r="R22" i="2"/>
  <c r="T22" i="2" s="1"/>
  <c r="N22" i="2"/>
  <c r="O22" i="2" s="1"/>
  <c r="M22" i="2"/>
  <c r="L22" i="2"/>
  <c r="N19" i="2"/>
  <c r="O19" i="2" s="1"/>
  <c r="M19" i="2"/>
  <c r="L19" i="2"/>
  <c r="M7" i="2"/>
  <c r="N7" i="2" s="1"/>
  <c r="W19" i="2"/>
  <c r="T19" i="2"/>
  <c r="R19" i="2"/>
  <c r="P19" i="2"/>
  <c r="R16" i="2"/>
  <c r="N16" i="2"/>
  <c r="O16" i="2" s="1"/>
  <c r="M16" i="2"/>
  <c r="L16" i="2"/>
  <c r="W16" i="2"/>
  <c r="N8" i="2"/>
  <c r="O8" i="2" s="1"/>
  <c r="R16" i="1"/>
  <c r="W15" i="2"/>
  <c r="T15" i="2"/>
  <c r="N15" i="2"/>
  <c r="K15" i="1"/>
  <c r="T15" i="1" s="1"/>
  <c r="M15" i="2"/>
  <c r="L15" i="2"/>
  <c r="L9" i="2"/>
  <c r="F26" i="1"/>
  <c r="F25" i="1" s="1"/>
  <c r="R25" i="1"/>
  <c r="M25" i="1"/>
  <c r="K25" i="1"/>
  <c r="T25" i="1" s="1"/>
  <c r="R22" i="1"/>
  <c r="M22" i="1"/>
  <c r="K22" i="1"/>
  <c r="F20" i="1"/>
  <c r="F19" i="1" s="1"/>
  <c r="R19" i="1"/>
  <c r="M19" i="1"/>
  <c r="K19" i="1"/>
  <c r="T19" i="1" s="1"/>
  <c r="O16" i="1"/>
  <c r="U16" i="1" s="1"/>
  <c r="M16" i="1"/>
  <c r="K16" i="1"/>
  <c r="T16" i="1" s="1"/>
  <c r="F16" i="1"/>
  <c r="R15" i="1"/>
  <c r="R13" i="1" s="1"/>
  <c r="Q12" i="1" s="1"/>
  <c r="P13" i="1"/>
  <c r="J10" i="1"/>
  <c r="K10" i="1" s="1"/>
  <c r="I9" i="1"/>
  <c r="J9" i="1" s="1"/>
  <c r="H9" i="1"/>
  <c r="H11" i="1" s="1"/>
  <c r="O25" i="1" l="1"/>
  <c r="U25" i="1" s="1"/>
  <c r="O19" i="1"/>
  <c r="U19" i="1" s="1"/>
  <c r="N19" i="1" s="1"/>
  <c r="Q19" i="1" s="1"/>
  <c r="N16" i="1"/>
  <c r="Q16" i="1" s="1"/>
  <c r="S25" i="2"/>
  <c r="L16" i="1"/>
  <c r="S16" i="1" s="1"/>
  <c r="F23" i="1"/>
  <c r="F22" i="1" s="1"/>
  <c r="Q25" i="2"/>
  <c r="U25" i="2" s="1"/>
  <c r="X25" i="2" s="1"/>
  <c r="P15" i="2"/>
  <c r="S15" i="2" s="1"/>
  <c r="L25" i="1"/>
  <c r="L15" i="1"/>
  <c r="S15" i="1" s="1"/>
  <c r="V15" i="1" s="1"/>
  <c r="L19" i="1"/>
  <c r="S19" i="1" s="1"/>
  <c r="P8" i="2"/>
  <c r="W13" i="2"/>
  <c r="Q22" i="2"/>
  <c r="P22" i="2"/>
  <c r="S22" i="2" s="1"/>
  <c r="Q16" i="2"/>
  <c r="U16" i="2" s="1"/>
  <c r="S19" i="2"/>
  <c r="Q19" i="2"/>
  <c r="U19" i="2" s="1"/>
  <c r="P16" i="2"/>
  <c r="S16" i="2"/>
  <c r="Q15" i="2"/>
  <c r="T16" i="2"/>
  <c r="O7" i="2"/>
  <c r="O9" i="2" s="1"/>
  <c r="N9" i="2"/>
  <c r="J11" i="1"/>
  <c r="K9" i="1"/>
  <c r="K11" i="1" s="1"/>
  <c r="T22" i="1"/>
  <c r="L22" i="1"/>
  <c r="G7" i="1"/>
  <c r="H7" i="1" s="1"/>
  <c r="H16" i="1"/>
  <c r="S25" i="1" l="1"/>
  <c r="N25" i="1" s="1"/>
  <c r="Q25" i="1" s="1"/>
  <c r="H25" i="1"/>
  <c r="O22" i="1"/>
  <c r="S22" i="1" s="1"/>
  <c r="H15" i="1"/>
  <c r="U15" i="2"/>
  <c r="X15" i="2" s="1"/>
  <c r="H22" i="1"/>
  <c r="H19" i="1"/>
  <c r="N15" i="1"/>
  <c r="Q15" i="1" s="1"/>
  <c r="U22" i="2"/>
  <c r="X22" i="2" s="1"/>
  <c r="X16" i="2"/>
  <c r="U22" i="1" l="1"/>
  <c r="N22" i="1" s="1"/>
  <c r="Q22" i="1" s="1"/>
  <c r="Q13" i="1" s="1"/>
  <c r="X19" i="2"/>
  <c r="X13" i="2" s="1"/>
</calcChain>
</file>

<file path=xl/sharedStrings.xml><?xml version="1.0" encoding="utf-8"?>
<sst xmlns="http://schemas.openxmlformats.org/spreadsheetml/2006/main" count="92" uniqueCount="59">
  <si>
    <t>Calculo de recompensas y objetivo</t>
  </si>
  <si>
    <t>Pre venta</t>
  </si>
  <si>
    <t>Resto</t>
  </si>
  <si>
    <t>Objetivo</t>
  </si>
  <si>
    <t>¿?</t>
  </si>
  <si>
    <t>Unidades libros</t>
  </si>
  <si>
    <t>Costes</t>
  </si>
  <si>
    <t>unidades pre venta</t>
  </si>
  <si>
    <t>Coste por cubrir. No pre vta</t>
  </si>
  <si>
    <t>Coste por cubrir sin IVA</t>
  </si>
  <si>
    <t>Impresión (IVA incluido)</t>
  </si>
  <si>
    <t>unitario</t>
  </si>
  <si>
    <t>Video</t>
  </si>
  <si>
    <t>media aportacion</t>
  </si>
  <si>
    <t>Recompensas</t>
  </si>
  <si>
    <t xml:space="preserve">Costes </t>
  </si>
  <si>
    <t>Aportación</t>
  </si>
  <si>
    <t>Cash recibir</t>
  </si>
  <si>
    <t>% IVA</t>
  </si>
  <si>
    <t>Comision Plataforma</t>
  </si>
  <si>
    <t>Comisión €</t>
  </si>
  <si>
    <t>IVA Comision</t>
  </si>
  <si>
    <t>IVA recompensa</t>
  </si>
  <si>
    <t>Resultado Neto</t>
  </si>
  <si>
    <t>IVA costes</t>
  </si>
  <si>
    <t>Donantes</t>
  </si>
  <si>
    <t>Neto</t>
  </si>
  <si>
    <t>Bruto</t>
  </si>
  <si>
    <t>Neto IVAS</t>
  </si>
  <si>
    <t>Aportac-Comision</t>
  </si>
  <si>
    <t>Costes sin iva</t>
  </si>
  <si>
    <t>I- Basica  agradecimiento con nombre en el libro</t>
  </si>
  <si>
    <t>II- Punto de libro conmemorativo + agradecimiento</t>
  </si>
  <si>
    <t>Coste (IVA inc)</t>
  </si>
  <si>
    <t>Coste envio (media España- IVA inc)</t>
  </si>
  <si>
    <t>III- Libro + agradecimiento</t>
  </si>
  <si>
    <t>Coste libro (IVA inc)</t>
  </si>
  <si>
    <t>Coste envio libro (media España- IVA inc)</t>
  </si>
  <si>
    <t>IV- Libro + agradecimiento + punto</t>
  </si>
  <si>
    <t>Coste libro (IVA inc) + punto (IVA inc)</t>
  </si>
  <si>
    <t>V- 2 Libros + agradecimiento</t>
  </si>
  <si>
    <t>Impresión  (IVA incluido)</t>
  </si>
  <si>
    <t>Total</t>
  </si>
  <si>
    <t>Comision Plataforma (incluir IVA)</t>
  </si>
  <si>
    <t>IVA</t>
  </si>
  <si>
    <t>Comision Pasarela pago (incluir IVA)</t>
  </si>
  <si>
    <t>Comisión Pasarela</t>
  </si>
  <si>
    <t>Comisión Plataforma</t>
  </si>
  <si>
    <t>Costes IVA inc</t>
  </si>
  <si>
    <t>Costes recompensa y envio</t>
  </si>
  <si>
    <t>IVA Costes</t>
  </si>
  <si>
    <t>IVA Recompensa</t>
  </si>
  <si>
    <t>Ingreso Neto</t>
  </si>
  <si>
    <t>IVA comisiones</t>
  </si>
  <si>
    <t>Costes sin IVA</t>
  </si>
  <si>
    <t>Neto Campaña</t>
  </si>
  <si>
    <t>Dif IVA</t>
  </si>
  <si>
    <t>% Comision Plataforma (no incluye IVA del 21%)</t>
  </si>
  <si>
    <t>% Comision Pasarela pago (no incluye IVA del 21%)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</si>
</sst>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0" xfId="0" applyFont="1"/>
    <xf numFmtId="4" fontId="3" fillId="0" borderId="0" xfId="0" applyNumberFormat="1" applyFo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0" fillId="0" borderId="1" xfId="0" applyBorder="1"/>
    <xf numFmtId="0" fontId="4" fillId="0" borderId="3" xfId="0" applyFont="1" applyBorder="1"/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4" fontId="0" fillId="0" borderId="1" xfId="0" applyNumberFormat="1" applyBorder="1"/>
    <xf numFmtId="4" fontId="2" fillId="0" borderId="1" xfId="0" applyNumberFormat="1" applyFont="1" applyBorder="1"/>
    <xf numFmtId="9" fontId="0" fillId="0" borderId="1" xfId="0" applyNumberFormat="1" applyBorder="1"/>
    <xf numFmtId="1" fontId="0" fillId="0" borderId="4" xfId="0" applyNumberFormat="1" applyBorder="1"/>
    <xf numFmtId="0" fontId="3" fillId="0" borderId="5" xfId="0" applyFont="1" applyBorder="1"/>
    <xf numFmtId="0" fontId="3" fillId="0" borderId="6" xfId="0" applyFont="1" applyBorder="1"/>
    <xf numFmtId="10" fontId="0" fillId="0" borderId="1" xfId="0" applyNumberFormat="1" applyBorder="1"/>
    <xf numFmtId="3" fontId="0" fillId="0" borderId="4" xfId="0" applyNumberFormat="1" applyBorder="1"/>
    <xf numFmtId="3" fontId="2" fillId="0" borderId="1" xfId="0" applyNumberFormat="1" applyFont="1" applyBorder="1"/>
    <xf numFmtId="3" fontId="2" fillId="0" borderId="5" xfId="0" applyNumberFormat="1" applyFont="1" applyBorder="1"/>
    <xf numFmtId="0" fontId="4" fillId="0" borderId="7" xfId="0" applyFont="1" applyBorder="1"/>
    <xf numFmtId="0" fontId="4" fillId="0" borderId="0" xfId="0" applyFont="1"/>
    <xf numFmtId="0" fontId="4" fillId="0" borderId="7" xfId="0" applyFont="1" applyBorder="1" applyAlignment="1">
      <alignment wrapText="1"/>
    </xf>
    <xf numFmtId="0" fontId="4" fillId="0" borderId="7" xfId="0" applyFont="1" applyBorder="1" applyAlignment="1">
      <alignment horizontal="center" wrapText="1"/>
    </xf>
    <xf numFmtId="4" fontId="4" fillId="0" borderId="7" xfId="0" applyNumberFormat="1" applyFont="1" applyBorder="1" applyAlignment="1">
      <alignment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0" fillId="0" borderId="5" xfId="0" applyBorder="1"/>
    <xf numFmtId="0" fontId="0" fillId="2" borderId="1" xfId="0" applyFill="1" applyBorder="1"/>
    <xf numFmtId="4" fontId="0" fillId="2" borderId="5" xfId="0" applyNumberFormat="1" applyFill="1" applyBorder="1"/>
    <xf numFmtId="10" fontId="0" fillId="0" borderId="5" xfId="0" applyNumberFormat="1" applyBorder="1"/>
    <xf numFmtId="4" fontId="1" fillId="0" borderId="5" xfId="0" applyNumberFormat="1" applyFont="1" applyBorder="1"/>
    <xf numFmtId="4" fontId="1" fillId="0" borderId="1" xfId="0" applyNumberFormat="1" applyFont="1" applyBorder="1"/>
    <xf numFmtId="4" fontId="0" fillId="0" borderId="5" xfId="0" applyNumberFormat="1" applyBorder="1"/>
    <xf numFmtId="0" fontId="0" fillId="0" borderId="2" xfId="0" applyBorder="1"/>
    <xf numFmtId="4" fontId="0" fillId="0" borderId="0" xfId="0" applyNumberFormat="1"/>
    <xf numFmtId="4" fontId="0" fillId="0" borderId="2" xfId="0" applyNumberFormat="1" applyBorder="1"/>
    <xf numFmtId="0" fontId="4" fillId="0" borderId="1" xfId="0" applyFont="1" applyBorder="1"/>
    <xf numFmtId="0" fontId="3" fillId="0" borderId="3" xfId="0" applyFont="1" applyBorder="1"/>
    <xf numFmtId="0" fontId="0" fillId="0" borderId="3" xfId="0" applyBorder="1"/>
    <xf numFmtId="4" fontId="0" fillId="0" borderId="3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4" xfId="0" applyBorder="1"/>
    <xf numFmtId="0" fontId="2" fillId="0" borderId="0" xfId="0" applyFont="1"/>
    <xf numFmtId="0" fontId="2" fillId="0" borderId="1" xfId="0" applyFont="1" applyBorder="1" applyAlignment="1">
      <alignment wrapText="1"/>
    </xf>
    <xf numFmtId="10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/>
    <xf numFmtId="0" fontId="2" fillId="0" borderId="5" xfId="0" applyFont="1" applyBorder="1"/>
    <xf numFmtId="164" fontId="0" fillId="2" borderId="1" xfId="0" applyNumberFormat="1" applyFill="1" applyBorder="1"/>
    <xf numFmtId="165" fontId="0" fillId="2" borderId="5" xfId="0" applyNumberFormat="1" applyFill="1" applyBorder="1"/>
    <xf numFmtId="0" fontId="2" fillId="4" borderId="0" xfId="0" applyFont="1" applyFill="1" applyAlignment="1">
      <alignment wrapText="1"/>
    </xf>
    <xf numFmtId="0" fontId="0" fillId="0" borderId="8" xfId="0" applyBorder="1"/>
    <xf numFmtId="0" fontId="2" fillId="4" borderId="7" xfId="0" applyFont="1" applyFill="1" applyBorder="1" applyAlignment="1">
      <alignment wrapText="1"/>
    </xf>
    <xf numFmtId="4" fontId="0" fillId="0" borderId="6" xfId="0" applyNumberFormat="1" applyBorder="1"/>
    <xf numFmtId="0" fontId="2" fillId="3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top" wrapText="1"/>
    </xf>
    <xf numFmtId="0" fontId="5" fillId="0" borderId="2" xfId="0" applyFont="1" applyBorder="1" applyAlignment="1">
      <alignment wrapText="1"/>
    </xf>
    <xf numFmtId="0" fontId="2" fillId="0" borderId="9" xfId="0" applyFont="1" applyBorder="1"/>
    <xf numFmtId="4" fontId="2" fillId="0" borderId="9" xfId="0" applyNumberFormat="1" applyFont="1" applyBorder="1"/>
    <xf numFmtId="0" fontId="2" fillId="3" borderId="2" xfId="0" applyFont="1" applyFill="1" applyBorder="1" applyAlignment="1">
      <alignment wrapText="1"/>
    </xf>
    <xf numFmtId="4" fontId="1" fillId="0" borderId="2" xfId="0" applyNumberFormat="1" applyFont="1" applyBorder="1"/>
    <xf numFmtId="0" fontId="1" fillId="0" borderId="2" xfId="0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/>
    <xf numFmtId="0" fontId="6" fillId="0" borderId="1" xfId="0" applyFont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5730-0A0B-405B-ADD4-7C04D1D98A88}">
  <dimension ref="E4:V34"/>
  <sheetViews>
    <sheetView tabSelected="1" topLeftCell="B5" workbookViewId="0">
      <selection activeCell="E13" sqref="E13"/>
    </sheetView>
  </sheetViews>
  <sheetFormatPr defaultColWidth="11.42578125" defaultRowHeight="15" x14ac:dyDescent="0.25"/>
  <cols>
    <col min="5" max="5" width="29" style="1" customWidth="1"/>
    <col min="6" max="6" width="6.28515625" style="1" customWidth="1"/>
    <col min="7" max="7" width="5.7109375" style="1" customWidth="1"/>
    <col min="8" max="8" width="5.42578125" style="1" bestFit="1" customWidth="1"/>
    <col min="9" max="9" width="5.7109375" style="1" customWidth="1"/>
    <col min="10" max="10" width="8.5703125" style="1" customWidth="1"/>
    <col min="11" max="11" width="7.7109375" style="1" customWidth="1"/>
    <col min="12" max="12" width="7.28515625" style="1" bestFit="1" customWidth="1"/>
    <col min="13" max="13" width="6" style="1" customWidth="1"/>
    <col min="14" max="14" width="5.28515625" style="1" customWidth="1"/>
    <col min="15" max="15" width="5.28515625" style="2" bestFit="1" customWidth="1"/>
    <col min="16" max="16" width="4.7109375" style="1" customWidth="1"/>
    <col min="17" max="17" width="6.42578125" style="1" bestFit="1" customWidth="1"/>
    <col min="18" max="18" width="5.7109375" style="1" bestFit="1" customWidth="1"/>
    <col min="19" max="19" width="5.42578125" style="1" customWidth="1"/>
    <col min="20" max="20" width="7.28515625" style="1" bestFit="1" customWidth="1"/>
    <col min="21" max="21" width="5.42578125" style="1" bestFit="1" customWidth="1"/>
  </cols>
  <sheetData>
    <row r="4" spans="5:22" x14ac:dyDescent="0.25">
      <c r="E4" s="1" t="s">
        <v>0</v>
      </c>
    </row>
    <row r="5" spans="5:22" ht="26.25" x14ac:dyDescent="0.25">
      <c r="G5" s="3" t="s">
        <v>1</v>
      </c>
      <c r="H5" s="4" t="s">
        <v>2</v>
      </c>
    </row>
    <row r="6" spans="5:22" x14ac:dyDescent="0.25">
      <c r="E6" s="4" t="s">
        <v>3</v>
      </c>
      <c r="F6" s="4" t="s">
        <v>4</v>
      </c>
      <c r="G6" s="5"/>
      <c r="H6" s="5"/>
    </row>
    <row r="7" spans="5:22" x14ac:dyDescent="0.25">
      <c r="E7" s="4" t="s">
        <v>5</v>
      </c>
      <c r="F7" s="6">
        <v>100</v>
      </c>
      <c r="G7" s="6">
        <f>+I9</f>
        <v>38</v>
      </c>
      <c r="H7" s="6">
        <f>+F7-G7</f>
        <v>62</v>
      </c>
    </row>
    <row r="8" spans="5:22" ht="51.75" x14ac:dyDescent="0.25">
      <c r="E8" s="7" t="s">
        <v>6</v>
      </c>
      <c r="F8" s="4"/>
      <c r="G8" s="4"/>
      <c r="H8" s="4"/>
      <c r="I8" s="8" t="s">
        <v>7</v>
      </c>
      <c r="J8" s="8" t="s">
        <v>8</v>
      </c>
      <c r="K8" s="8" t="s">
        <v>9</v>
      </c>
      <c r="L8" s="9"/>
    </row>
    <row r="9" spans="5:22" x14ac:dyDescent="0.25">
      <c r="E9" s="4" t="s">
        <v>10</v>
      </c>
      <c r="F9" s="4" t="s">
        <v>11</v>
      </c>
      <c r="G9" s="6">
        <v>5.8</v>
      </c>
      <c r="H9" s="6">
        <f>+G9*F7</f>
        <v>580</v>
      </c>
      <c r="I9" s="6">
        <f>+P19+P22+(P25*2)</f>
        <v>38</v>
      </c>
      <c r="J9" s="6">
        <f>(+F7-I9)*G9</f>
        <v>359.59999999999997</v>
      </c>
      <c r="K9" s="10">
        <f>+J9/121*100</f>
        <v>297.19008264462803</v>
      </c>
    </row>
    <row r="10" spans="5:22" x14ac:dyDescent="0.25">
      <c r="E10" s="4" t="s">
        <v>12</v>
      </c>
      <c r="F10" s="4"/>
      <c r="G10" s="6">
        <v>1</v>
      </c>
      <c r="H10" s="6">
        <v>300</v>
      </c>
      <c r="I10" s="6"/>
      <c r="J10" s="6">
        <f>+H10</f>
        <v>300</v>
      </c>
      <c r="K10" s="10">
        <f>+J10/121*100</f>
        <v>247.93388429752068</v>
      </c>
    </row>
    <row r="11" spans="5:22" x14ac:dyDescent="0.25">
      <c r="E11" s="4"/>
      <c r="F11" s="4"/>
      <c r="G11" s="6"/>
      <c r="H11" s="6">
        <f>SUM(H9:H10)</f>
        <v>880</v>
      </c>
      <c r="I11" s="6"/>
      <c r="J11" s="6">
        <f>SUM(J9:J10)</f>
        <v>659.59999999999991</v>
      </c>
      <c r="K11" s="11">
        <f>SUM(K9:K10)</f>
        <v>545.12396694214874</v>
      </c>
    </row>
    <row r="12" spans="5:22" ht="26.25" x14ac:dyDescent="0.25">
      <c r="E12" s="71" t="s">
        <v>57</v>
      </c>
      <c r="F12" s="12">
        <v>0.05</v>
      </c>
      <c r="G12" s="12">
        <v>0.21</v>
      </c>
      <c r="H12" s="6"/>
      <c r="I12" s="6"/>
      <c r="J12" s="6"/>
      <c r="K12" s="6"/>
      <c r="Q12" s="13">
        <f>+R13/P13</f>
        <v>25.292682926829269</v>
      </c>
      <c r="R12" s="14" t="s">
        <v>13</v>
      </c>
      <c r="S12" s="14"/>
      <c r="T12" s="15"/>
    </row>
    <row r="13" spans="5:22" ht="26.25" x14ac:dyDescent="0.25">
      <c r="E13" s="71" t="s">
        <v>58</v>
      </c>
      <c r="F13" s="16">
        <v>1.4999999999999999E-2</v>
      </c>
      <c r="G13" s="12">
        <v>0.21</v>
      </c>
      <c r="H13" s="6"/>
      <c r="I13" s="6"/>
      <c r="J13" s="6"/>
      <c r="K13" s="6"/>
      <c r="P13" s="17">
        <f>SUM(P15:P49)</f>
        <v>41</v>
      </c>
      <c r="Q13" s="18">
        <f>SUM(Q15:Q49)</f>
        <v>552.82195082644625</v>
      </c>
      <c r="R13" s="19">
        <f>SUM(R15:R49)</f>
        <v>1037</v>
      </c>
      <c r="S13" s="4"/>
    </row>
    <row r="14" spans="5:22" ht="39" x14ac:dyDescent="0.25">
      <c r="E14" s="20" t="s">
        <v>14</v>
      </c>
      <c r="F14" s="21" t="s">
        <v>15</v>
      </c>
      <c r="G14" s="22" t="s">
        <v>16</v>
      </c>
      <c r="H14" s="9" t="s">
        <v>17</v>
      </c>
      <c r="I14" s="20" t="s">
        <v>18</v>
      </c>
      <c r="J14" s="9" t="s">
        <v>19</v>
      </c>
      <c r="K14" s="23" t="s">
        <v>20</v>
      </c>
      <c r="L14" s="9" t="s">
        <v>21</v>
      </c>
      <c r="M14" s="22" t="s">
        <v>22</v>
      </c>
      <c r="N14" s="9" t="s">
        <v>23</v>
      </c>
      <c r="O14" s="24" t="s">
        <v>24</v>
      </c>
      <c r="P14" s="9" t="s">
        <v>25</v>
      </c>
      <c r="Q14" s="25" t="s">
        <v>26</v>
      </c>
      <c r="R14" s="21" t="s">
        <v>27</v>
      </c>
      <c r="S14" s="26" t="s">
        <v>28</v>
      </c>
      <c r="T14" s="9" t="s">
        <v>29</v>
      </c>
      <c r="U14" s="22" t="s">
        <v>30</v>
      </c>
    </row>
    <row r="15" spans="5:22" ht="26.25" x14ac:dyDescent="0.25">
      <c r="E15" s="8" t="s">
        <v>31</v>
      </c>
      <c r="F15" s="27"/>
      <c r="G15" s="28">
        <v>5</v>
      </c>
      <c r="H15" s="29">
        <f>+G15-SUM(K15:L15)</f>
        <v>4.6067499999999999</v>
      </c>
      <c r="I15" s="12">
        <v>0.21</v>
      </c>
      <c r="J15" s="30">
        <v>6.5000000000000002E-2</v>
      </c>
      <c r="K15" s="50">
        <f>+G15*J15</f>
        <v>0.32500000000000001</v>
      </c>
      <c r="L15" s="51">
        <f>+K15*I15</f>
        <v>6.8250000000000005E-2</v>
      </c>
      <c r="M15" s="10"/>
      <c r="N15" s="31">
        <f>+T15-U15-S15</f>
        <v>4.7432499999999997</v>
      </c>
      <c r="O15" s="32"/>
      <c r="P15" s="27">
        <v>1</v>
      </c>
      <c r="Q15" s="10">
        <f>+P15*N15</f>
        <v>4.7432499999999997</v>
      </c>
      <c r="R15" s="27">
        <f>+P15*G15</f>
        <v>5</v>
      </c>
      <c r="S15" s="10">
        <f>+M15-L15</f>
        <v>-6.8250000000000005E-2</v>
      </c>
      <c r="T15" s="31">
        <f>+G15-K15</f>
        <v>4.6749999999999998</v>
      </c>
      <c r="U15" s="6"/>
      <c r="V15" s="35">
        <f>+K15+S15</f>
        <v>0.25675000000000003</v>
      </c>
    </row>
    <row r="16" spans="5:22" ht="26.25" x14ac:dyDescent="0.25">
      <c r="E16" s="8" t="s">
        <v>32</v>
      </c>
      <c r="F16" s="27">
        <f>SUM(F17:F18)</f>
        <v>1.3</v>
      </c>
      <c r="G16" s="6">
        <v>7</v>
      </c>
      <c r="H16" s="33">
        <f>+G16-SUM(K16:L16)</f>
        <v>6.4494499999999997</v>
      </c>
      <c r="I16" s="12">
        <v>0.21</v>
      </c>
      <c r="J16" s="30">
        <v>6.5000000000000002E-2</v>
      </c>
      <c r="K16" s="10">
        <f>+G16*J16</f>
        <v>0.45500000000000002</v>
      </c>
      <c r="L16" s="33">
        <f>+K16*I16</f>
        <v>9.5549999999999996E-2</v>
      </c>
      <c r="M16" s="10">
        <f>+G16*I16/(100%+I16)</f>
        <v>1.2148760330578512</v>
      </c>
      <c r="N16" s="31">
        <f>+T16-U16-S16</f>
        <v>4.5769136363636367</v>
      </c>
      <c r="O16" s="10">
        <f>(F16*21/121)</f>
        <v>0.22561983471074382</v>
      </c>
      <c r="P16" s="27">
        <v>4</v>
      </c>
      <c r="Q16" s="10">
        <f>+P16*N16</f>
        <v>18.307654545454547</v>
      </c>
      <c r="R16" s="27">
        <f>+P16*G16</f>
        <v>28</v>
      </c>
      <c r="S16" s="10">
        <f>+M16-L16-O16</f>
        <v>0.89370619834710729</v>
      </c>
      <c r="T16" s="33">
        <f>+G16-K16</f>
        <v>6.5449999999999999</v>
      </c>
      <c r="U16" s="10">
        <f>+F16-O16</f>
        <v>1.0743801652892562</v>
      </c>
    </row>
    <row r="17" spans="5:21" x14ac:dyDescent="0.25">
      <c r="E17" s="5" t="s">
        <v>33</v>
      </c>
      <c r="F17">
        <v>0.9</v>
      </c>
      <c r="G17" s="34"/>
      <c r="H17" s="35"/>
      <c r="I17" s="34"/>
      <c r="J17"/>
      <c r="K17" s="36"/>
      <c r="L17" s="35"/>
      <c r="M17" s="36"/>
      <c r="N17"/>
      <c r="O17" s="36"/>
      <c r="P17"/>
      <c r="Q17" s="36"/>
      <c r="R17"/>
      <c r="S17" s="34"/>
      <c r="T17"/>
      <c r="U17" s="34"/>
    </row>
    <row r="18" spans="5:21" x14ac:dyDescent="0.25">
      <c r="E18" s="5" t="s">
        <v>34</v>
      </c>
      <c r="F18">
        <v>0.4</v>
      </c>
      <c r="G18" s="34"/>
      <c r="H18" s="35"/>
      <c r="I18" s="34"/>
      <c r="J18"/>
      <c r="K18" s="36"/>
      <c r="L18" s="35"/>
      <c r="M18" s="36"/>
      <c r="N18"/>
      <c r="O18" s="36"/>
      <c r="P18"/>
      <c r="Q18" s="36"/>
      <c r="R18"/>
      <c r="S18" s="34"/>
      <c r="T18"/>
      <c r="U18" s="34"/>
    </row>
    <row r="19" spans="5:21" x14ac:dyDescent="0.25">
      <c r="E19" s="37" t="s">
        <v>35</v>
      </c>
      <c r="F19" s="27">
        <f>SUM(F20:F21)</f>
        <v>9.8000000000000007</v>
      </c>
      <c r="G19" s="6">
        <v>25</v>
      </c>
      <c r="H19" s="33">
        <f>+G19-SUM(K19:L19)</f>
        <v>23.033750000000001</v>
      </c>
      <c r="I19" s="12">
        <v>0.21</v>
      </c>
      <c r="J19" s="30">
        <v>6.5000000000000002E-2</v>
      </c>
      <c r="K19" s="10">
        <f>+G19*J19</f>
        <v>1.625</v>
      </c>
      <c r="L19" s="33">
        <f>+K19*I19</f>
        <v>0.34125</v>
      </c>
      <c r="M19" s="10">
        <f>+G19*I19/(100%+I19)</f>
        <v>4.338842975206612</v>
      </c>
      <c r="N19" s="31">
        <f>+T19-U19-S19</f>
        <v>12.979059917355372</v>
      </c>
      <c r="O19" s="10">
        <f>(F19*21/121)</f>
        <v>1.7008264462809919</v>
      </c>
      <c r="P19" s="27">
        <v>25</v>
      </c>
      <c r="Q19" s="10">
        <f>+P19*N19</f>
        <v>324.47649793388427</v>
      </c>
      <c r="R19" s="27">
        <f>+P19*G19</f>
        <v>625</v>
      </c>
      <c r="S19" s="10">
        <f>+M19-L19-O19</f>
        <v>2.2967665289256201</v>
      </c>
      <c r="T19" s="33">
        <f>+G19-K19</f>
        <v>23.375</v>
      </c>
      <c r="U19" s="10">
        <f>+F19-O19</f>
        <v>8.0991735537190088</v>
      </c>
    </row>
    <row r="20" spans="5:21" x14ac:dyDescent="0.25">
      <c r="E20" s="5" t="s">
        <v>36</v>
      </c>
      <c r="F20">
        <f>+G9</f>
        <v>5.8</v>
      </c>
      <c r="G20" s="34"/>
      <c r="H20" s="35"/>
      <c r="I20" s="34"/>
      <c r="J20"/>
      <c r="K20" s="36"/>
      <c r="L20" s="35"/>
      <c r="M20" s="36"/>
      <c r="N20"/>
      <c r="O20" s="36"/>
      <c r="P20"/>
      <c r="Q20" s="36"/>
      <c r="R20"/>
      <c r="S20" s="34"/>
      <c r="T20"/>
      <c r="U20" s="34"/>
    </row>
    <row r="21" spans="5:21" x14ac:dyDescent="0.25">
      <c r="E21" s="5" t="s">
        <v>37</v>
      </c>
      <c r="F21">
        <v>4</v>
      </c>
      <c r="G21" s="34"/>
      <c r="H21" s="35"/>
      <c r="I21" s="34"/>
      <c r="J21"/>
      <c r="K21" s="36"/>
      <c r="L21" s="35"/>
      <c r="M21" s="36"/>
      <c r="N21"/>
      <c r="O21" s="36"/>
      <c r="P21"/>
      <c r="Q21" s="36"/>
      <c r="R21"/>
      <c r="S21" s="34"/>
      <c r="T21"/>
      <c r="U21" s="34"/>
    </row>
    <row r="22" spans="5:21" x14ac:dyDescent="0.25">
      <c r="E22" s="37" t="s">
        <v>38</v>
      </c>
      <c r="F22" s="27">
        <f>SUM(F23:F24)</f>
        <v>10.7</v>
      </c>
      <c r="G22" s="6">
        <v>31</v>
      </c>
      <c r="H22" s="33">
        <f>+G22-SUM(K22:L22)</f>
        <v>28.56185</v>
      </c>
      <c r="I22" s="12">
        <v>0.21</v>
      </c>
      <c r="J22" s="30">
        <v>6.5000000000000002E-2</v>
      </c>
      <c r="K22" s="10">
        <f>+G22*J22</f>
        <v>2.0150000000000001</v>
      </c>
      <c r="L22" s="33">
        <f>+K22*I22</f>
        <v>0.42315000000000003</v>
      </c>
      <c r="M22" s="10">
        <f>+G22*I22/(100%+I22)</f>
        <v>5.3801652892561984</v>
      </c>
      <c r="N22" s="31">
        <f>+T22-U22-S22</f>
        <v>17.042034297520662</v>
      </c>
      <c r="O22" s="10">
        <f>(F22*21/121)</f>
        <v>1.8570247933884296</v>
      </c>
      <c r="P22" s="27">
        <v>9</v>
      </c>
      <c r="Q22" s="10">
        <f>+P22*N22</f>
        <v>153.37830867768596</v>
      </c>
      <c r="R22" s="27">
        <f>+P22*G22</f>
        <v>279</v>
      </c>
      <c r="S22" s="10">
        <f>+M22-L22-O22</f>
        <v>3.0999904958677691</v>
      </c>
      <c r="T22" s="33">
        <f>+G22-K22</f>
        <v>28.984999999999999</v>
      </c>
      <c r="U22" s="10">
        <f>+F22-O22</f>
        <v>8.8429752066115697</v>
      </c>
    </row>
    <row r="23" spans="5:21" x14ac:dyDescent="0.25">
      <c r="E23" s="5" t="s">
        <v>39</v>
      </c>
      <c r="F23">
        <f>+F20+F17</f>
        <v>6.7</v>
      </c>
      <c r="G23" s="34"/>
      <c r="H23"/>
      <c r="I23" s="34"/>
      <c r="J23"/>
      <c r="K23" s="36"/>
      <c r="L23" s="35"/>
      <c r="M23" s="36"/>
      <c r="N23"/>
      <c r="O23" s="36"/>
      <c r="P23"/>
      <c r="Q23" s="36"/>
      <c r="R23"/>
      <c r="S23" s="34"/>
      <c r="T23"/>
      <c r="U23" s="34"/>
    </row>
    <row r="24" spans="5:21" x14ac:dyDescent="0.25">
      <c r="E24" s="5" t="s">
        <v>37</v>
      </c>
      <c r="F24">
        <v>4</v>
      </c>
      <c r="G24" s="34"/>
      <c r="H24"/>
      <c r="I24" s="34"/>
      <c r="J24"/>
      <c r="K24" s="36"/>
      <c r="L24" s="35"/>
      <c r="M24" s="36"/>
      <c r="N24"/>
      <c r="O24" s="36"/>
      <c r="P24"/>
      <c r="Q24" s="36"/>
      <c r="R24"/>
      <c r="S24" s="34"/>
      <c r="T24"/>
      <c r="U24" s="34"/>
    </row>
    <row r="25" spans="5:21" x14ac:dyDescent="0.25">
      <c r="E25" s="37" t="s">
        <v>40</v>
      </c>
      <c r="F25" s="27">
        <f>SUM(F26:F27)</f>
        <v>19.600000000000001</v>
      </c>
      <c r="G25" s="6">
        <v>50</v>
      </c>
      <c r="H25" s="33">
        <f>+G25-SUM(K25:L25)</f>
        <v>46.067500000000003</v>
      </c>
      <c r="I25" s="12">
        <v>0.21</v>
      </c>
      <c r="J25" s="30">
        <v>6.5000000000000002E-2</v>
      </c>
      <c r="K25" s="10">
        <f>+G25*J25</f>
        <v>3.25</v>
      </c>
      <c r="L25" s="33">
        <f>+K25*I25</f>
        <v>0.6825</v>
      </c>
      <c r="M25" s="10">
        <f>+G25*I25/(100%+I25)</f>
        <v>8.677685950413224</v>
      </c>
      <c r="N25" s="31">
        <f>+T25-U25-S25</f>
        <v>25.958119834710743</v>
      </c>
      <c r="O25" s="10">
        <f>(F25*21/121)</f>
        <v>3.4016528925619838</v>
      </c>
      <c r="P25" s="27">
        <v>2</v>
      </c>
      <c r="Q25" s="10">
        <f>+P25*N25</f>
        <v>51.916239669421486</v>
      </c>
      <c r="R25" s="27">
        <f>+P25*G25</f>
        <v>100</v>
      </c>
      <c r="S25" s="10">
        <f>+M25-L25-O25</f>
        <v>4.5935330578512401</v>
      </c>
      <c r="T25" s="33">
        <f>+G25-K25</f>
        <v>46.75</v>
      </c>
      <c r="U25" s="10">
        <f>+F25-O25</f>
        <v>16.198347107438018</v>
      </c>
    </row>
    <row r="26" spans="5:21" x14ac:dyDescent="0.25">
      <c r="E26" s="5" t="s">
        <v>36</v>
      </c>
      <c r="F26">
        <f>+G9*2</f>
        <v>11.6</v>
      </c>
      <c r="G26" s="34"/>
      <c r="H26"/>
      <c r="I26" s="34"/>
      <c r="J26"/>
      <c r="K26" s="34"/>
      <c r="L26"/>
      <c r="M26" s="34"/>
      <c r="N26"/>
      <c r="O26" s="36"/>
      <c r="P26"/>
      <c r="Q26" s="34"/>
      <c r="R26"/>
      <c r="S26" s="34"/>
      <c r="T26"/>
      <c r="U26" s="34"/>
    </row>
    <row r="27" spans="5:21" x14ac:dyDescent="0.25">
      <c r="E27" s="38" t="s">
        <v>37</v>
      </c>
      <c r="F27">
        <v>8</v>
      </c>
      <c r="G27" s="39"/>
      <c r="H27"/>
      <c r="I27" s="39"/>
      <c r="J27"/>
      <c r="K27" s="40"/>
      <c r="L27" s="35"/>
      <c r="M27" s="40"/>
      <c r="N27"/>
      <c r="O27" s="40"/>
      <c r="P27"/>
      <c r="Q27" s="40"/>
      <c r="R27"/>
      <c r="S27" s="39"/>
      <c r="T27"/>
      <c r="U27" s="39"/>
    </row>
    <row r="29" spans="5:21" x14ac:dyDescent="0.25">
      <c r="K29" s="2"/>
      <c r="L29" s="2"/>
      <c r="M29" s="2"/>
      <c r="Q29" s="2"/>
    </row>
    <row r="30" spans="5:21" x14ac:dyDescent="0.25">
      <c r="K30" s="2"/>
      <c r="Q30" s="2"/>
    </row>
    <row r="31" spans="5:21" x14ac:dyDescent="0.25">
      <c r="K31" s="2"/>
      <c r="Q31" s="2"/>
    </row>
    <row r="32" spans="5:21" x14ac:dyDescent="0.25">
      <c r="K32" s="2"/>
      <c r="Q32" s="2"/>
    </row>
    <row r="33" spans="11:17" x14ac:dyDescent="0.25">
      <c r="K33" s="2"/>
      <c r="Q33" s="2"/>
    </row>
    <row r="34" spans="11:17" x14ac:dyDescent="0.25">
      <c r="Q3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5CF9-DDEE-47A6-A8C7-8301C9C56B15}">
  <dimension ref="G4:X27"/>
  <sheetViews>
    <sheetView showGridLines="0" topLeftCell="F1" workbookViewId="0">
      <selection activeCell="J13" sqref="J13"/>
    </sheetView>
  </sheetViews>
  <sheetFormatPr defaultColWidth="11.42578125" defaultRowHeight="15" x14ac:dyDescent="0.25"/>
  <cols>
    <col min="7" max="7" width="13" bestFit="1" customWidth="1"/>
    <col min="8" max="8" width="4.7109375" customWidth="1"/>
    <col min="9" max="9" width="32.140625" customWidth="1"/>
    <col min="10" max="10" width="6.7109375" customWidth="1"/>
    <col min="11" max="11" width="6.28515625" customWidth="1"/>
    <col min="12" max="12" width="6" style="1" customWidth="1"/>
    <col min="13" max="13" width="6.28515625" customWidth="1"/>
    <col min="14" max="14" width="7.140625" customWidth="1"/>
    <col min="15" max="15" width="7.5703125" customWidth="1"/>
    <col min="16" max="16" width="6.85546875" customWidth="1"/>
    <col min="17" max="17" width="7.140625" customWidth="1"/>
    <col min="18" max="18" width="7" customWidth="1"/>
    <col min="19" max="19" width="6.7109375" customWidth="1"/>
    <col min="20" max="20" width="7" customWidth="1"/>
    <col min="21" max="21" width="7.28515625" customWidth="1"/>
    <col min="22" max="22" width="5.5703125" customWidth="1"/>
    <col min="23" max="23" width="6.42578125" customWidth="1"/>
    <col min="24" max="24" width="6.7109375" customWidth="1"/>
  </cols>
  <sheetData>
    <row r="4" spans="7:24" x14ac:dyDescent="0.25">
      <c r="I4" s="4" t="s">
        <v>3</v>
      </c>
      <c r="J4" s="69" t="s">
        <v>4</v>
      </c>
    </row>
    <row r="5" spans="7:24" x14ac:dyDescent="0.25">
      <c r="I5" s="4" t="s">
        <v>5</v>
      </c>
      <c r="J5" s="70">
        <v>100</v>
      </c>
    </row>
    <row r="6" spans="7:24" ht="52.35" customHeight="1" x14ac:dyDescent="0.25">
      <c r="I6" s="42" t="s">
        <v>6</v>
      </c>
      <c r="J6" s="6"/>
      <c r="K6" s="6"/>
      <c r="L6" s="6"/>
      <c r="M6" s="8" t="s">
        <v>7</v>
      </c>
      <c r="N6" s="62" t="s">
        <v>8</v>
      </c>
      <c r="O6" s="8" t="s">
        <v>9</v>
      </c>
      <c r="P6" s="37" t="s">
        <v>56</v>
      </c>
    </row>
    <row r="7" spans="7:24" x14ac:dyDescent="0.25">
      <c r="I7" s="6" t="s">
        <v>41</v>
      </c>
      <c r="J7" s="4" t="s">
        <v>11</v>
      </c>
      <c r="K7" s="6">
        <v>5.8</v>
      </c>
      <c r="L7" s="6">
        <f>+K7*J5</f>
        <v>580</v>
      </c>
      <c r="M7" s="6">
        <f>+V19+V22+V25*2</f>
        <v>38</v>
      </c>
      <c r="N7" s="6">
        <f>+(J5-M7)*K7</f>
        <v>359.59999999999997</v>
      </c>
      <c r="O7" s="10">
        <f>+N7/121*100</f>
        <v>297.19008264462803</v>
      </c>
    </row>
    <row r="8" spans="7:24" x14ac:dyDescent="0.25">
      <c r="G8" s="44"/>
      <c r="I8" s="6" t="s">
        <v>12</v>
      </c>
      <c r="J8" s="6"/>
      <c r="K8" s="6">
        <v>1</v>
      </c>
      <c r="L8" s="6">
        <v>300</v>
      </c>
      <c r="M8" s="6"/>
      <c r="N8" s="6">
        <f>+L8</f>
        <v>300</v>
      </c>
      <c r="O8" s="10">
        <f>+N8/121*100</f>
        <v>247.93388429752068</v>
      </c>
      <c r="P8" s="10">
        <f>+N8-O8</f>
        <v>52.066115702479323</v>
      </c>
    </row>
    <row r="9" spans="7:24" x14ac:dyDescent="0.25">
      <c r="G9" s="44"/>
      <c r="I9" s="42" t="s">
        <v>42</v>
      </c>
      <c r="J9" s="6"/>
      <c r="K9" s="6"/>
      <c r="L9" s="6">
        <f>SUM(L7:L8)</f>
        <v>880</v>
      </c>
      <c r="M9" s="6"/>
      <c r="N9" s="6">
        <f>SUM(N7:N8)</f>
        <v>659.59999999999991</v>
      </c>
      <c r="O9" s="11">
        <f>SUM(O7:O8)</f>
        <v>545.12396694214874</v>
      </c>
    </row>
    <row r="10" spans="7:24" x14ac:dyDescent="0.25">
      <c r="I10" s="6" t="s">
        <v>43</v>
      </c>
      <c r="J10" s="12">
        <v>0.05</v>
      </c>
      <c r="K10" s="12">
        <v>0.21</v>
      </c>
      <c r="L10" s="41" t="s">
        <v>44</v>
      </c>
    </row>
    <row r="11" spans="7:24" x14ac:dyDescent="0.25">
      <c r="I11" s="6" t="s">
        <v>45</v>
      </c>
      <c r="J11" s="16">
        <v>1.4999999999999999E-2</v>
      </c>
      <c r="K11" s="12">
        <v>0.21</v>
      </c>
      <c r="L11" s="41" t="s">
        <v>44</v>
      </c>
    </row>
    <row r="12" spans="7:24" ht="8.65" customHeight="1" thickBot="1" x14ac:dyDescent="0.3">
      <c r="J12" s="46"/>
      <c r="K12" s="48"/>
      <c r="L12" s="47"/>
    </row>
    <row r="13" spans="7:24" ht="19.7" customHeight="1" thickBot="1" x14ac:dyDescent="0.3">
      <c r="J13" s="46"/>
      <c r="K13" s="48"/>
      <c r="L13" s="72" t="s">
        <v>48</v>
      </c>
      <c r="M13" s="73"/>
      <c r="N13" s="44"/>
      <c r="O13" s="44"/>
      <c r="P13" s="44"/>
      <c r="Q13" s="44"/>
      <c r="R13" s="44"/>
      <c r="S13" s="44"/>
      <c r="T13" s="44"/>
      <c r="U13" s="44"/>
      <c r="V13" s="44"/>
      <c r="W13" s="64">
        <f>SUM(W15:W27)</f>
        <v>1037</v>
      </c>
      <c r="X13" s="65">
        <f>SUM(X15:X27)</f>
        <v>552.82195082644625</v>
      </c>
    </row>
    <row r="14" spans="7:24" ht="75" x14ac:dyDescent="0.25">
      <c r="I14" s="42" t="s">
        <v>14</v>
      </c>
      <c r="J14" s="49" t="s">
        <v>15</v>
      </c>
      <c r="K14" s="45" t="s">
        <v>16</v>
      </c>
      <c r="L14" s="66" t="s">
        <v>46</v>
      </c>
      <c r="M14" s="66" t="s">
        <v>47</v>
      </c>
      <c r="N14" s="56" t="s">
        <v>49</v>
      </c>
      <c r="O14" s="54" t="s">
        <v>50</v>
      </c>
      <c r="P14" s="52" t="s">
        <v>53</v>
      </c>
      <c r="Q14" s="54" t="s">
        <v>54</v>
      </c>
      <c r="R14" s="57" t="s">
        <v>51</v>
      </c>
      <c r="S14" s="60" t="s">
        <v>28</v>
      </c>
      <c r="T14" s="61" t="s">
        <v>52</v>
      </c>
      <c r="U14" s="59" t="s">
        <v>23</v>
      </c>
      <c r="V14" s="58" t="s">
        <v>25</v>
      </c>
      <c r="W14" s="63" t="s">
        <v>3</v>
      </c>
      <c r="X14" s="58" t="s">
        <v>55</v>
      </c>
    </row>
    <row r="15" spans="7:24" ht="30" x14ac:dyDescent="0.25">
      <c r="I15" s="45" t="s">
        <v>31</v>
      </c>
      <c r="J15" s="27"/>
      <c r="K15" s="6">
        <v>5</v>
      </c>
      <c r="L15" s="43">
        <f>+K15*$J$11</f>
        <v>7.4999999999999997E-2</v>
      </c>
      <c r="M15" s="6">
        <f>+K15*$J$10</f>
        <v>0.25</v>
      </c>
      <c r="N15" s="27">
        <f>+J15</f>
        <v>0</v>
      </c>
      <c r="O15" s="10">
        <v>0</v>
      </c>
      <c r="P15" s="33">
        <f>+L15*$K$10+M15*$K$11</f>
        <v>6.8250000000000005E-2</v>
      </c>
      <c r="Q15" s="10">
        <f>+L15+M15+N15-O15</f>
        <v>0.32500000000000001</v>
      </c>
      <c r="R15" s="33">
        <v>0</v>
      </c>
      <c r="S15" s="10">
        <f>+R15-P15-O15</f>
        <v>-6.8250000000000005E-2</v>
      </c>
      <c r="T15" s="53">
        <f>+K15-R15</f>
        <v>5</v>
      </c>
      <c r="U15" s="32">
        <f>+T15-Q15-S15</f>
        <v>4.7432499999999997</v>
      </c>
      <c r="V15" s="27">
        <v>1</v>
      </c>
      <c r="W15" s="6">
        <f>+V15*K15</f>
        <v>5</v>
      </c>
      <c r="X15" s="55">
        <f>+V15*U15</f>
        <v>4.7432499999999997</v>
      </c>
    </row>
    <row r="16" spans="7:24" ht="30" x14ac:dyDescent="0.25">
      <c r="I16" s="45" t="s">
        <v>32</v>
      </c>
      <c r="J16" s="27">
        <v>1.3</v>
      </c>
      <c r="K16" s="6">
        <v>7</v>
      </c>
      <c r="L16" s="43">
        <f>+K16*$J$11</f>
        <v>0.105</v>
      </c>
      <c r="M16" s="6">
        <f>+K16*$J$10</f>
        <v>0.35000000000000003</v>
      </c>
      <c r="N16" s="27">
        <f>+J16</f>
        <v>1.3</v>
      </c>
      <c r="O16" s="10">
        <f>N16*$K$10/(1+$K$10)</f>
        <v>0.22561983471074382</v>
      </c>
      <c r="P16" s="33">
        <f>+L16*$K$10+M16*$K$11</f>
        <v>9.555000000000001E-2</v>
      </c>
      <c r="Q16" s="10">
        <f>+L16+M16+N16-O16</f>
        <v>1.5293801652892562</v>
      </c>
      <c r="R16" s="33">
        <f>+K16*21/121</f>
        <v>1.2148760330578512</v>
      </c>
      <c r="S16" s="10">
        <f>+R16-P16-O16</f>
        <v>0.89370619834710729</v>
      </c>
      <c r="T16" s="33">
        <f>+K16-R16</f>
        <v>5.785123966942149</v>
      </c>
      <c r="U16" s="32">
        <f>+K16-Q16-S16</f>
        <v>4.5769136363636367</v>
      </c>
      <c r="V16" s="27">
        <v>4</v>
      </c>
      <c r="W16" s="6">
        <f>+V16*K16</f>
        <v>28</v>
      </c>
      <c r="X16" s="55">
        <f>+V16*U16</f>
        <v>18.307654545454547</v>
      </c>
    </row>
    <row r="17" spans="9:24" x14ac:dyDescent="0.25">
      <c r="I17" s="34" t="s">
        <v>33</v>
      </c>
      <c r="J17">
        <v>0.9</v>
      </c>
      <c r="K17" s="34"/>
      <c r="M17" s="34"/>
      <c r="O17" s="36"/>
      <c r="P17" s="35"/>
      <c r="Q17" s="36"/>
      <c r="R17" s="35"/>
      <c r="S17" s="36"/>
      <c r="U17" s="67"/>
      <c r="W17" s="34"/>
    </row>
    <row r="18" spans="9:24" x14ac:dyDescent="0.25">
      <c r="I18" s="34" t="s">
        <v>34</v>
      </c>
      <c r="J18">
        <v>0.4</v>
      </c>
      <c r="K18" s="34"/>
      <c r="M18" s="34"/>
      <c r="O18" s="36"/>
      <c r="P18" s="35"/>
      <c r="Q18" s="36"/>
      <c r="R18" s="35"/>
      <c r="S18" s="36"/>
      <c r="U18" s="68"/>
      <c r="W18" s="34"/>
    </row>
    <row r="19" spans="9:24" x14ac:dyDescent="0.25">
      <c r="I19" s="42" t="s">
        <v>35</v>
      </c>
      <c r="J19" s="27">
        <v>9.8000000000000007</v>
      </c>
      <c r="K19" s="6">
        <v>25</v>
      </c>
      <c r="L19" s="43">
        <f>+K19*$J$11</f>
        <v>0.375</v>
      </c>
      <c r="M19" s="6">
        <f>+K19*$J$10</f>
        <v>1.25</v>
      </c>
      <c r="N19" s="27">
        <f>+J19</f>
        <v>9.8000000000000007</v>
      </c>
      <c r="O19" s="10">
        <f>N19*$K$10/(1+$K$10)</f>
        <v>1.7008264462809921</v>
      </c>
      <c r="P19" s="33">
        <f>+L19*$K$10+M19*$K$11</f>
        <v>0.34125</v>
      </c>
      <c r="Q19" s="10">
        <f>+L19+M19+N19-O19</f>
        <v>9.7241735537190088</v>
      </c>
      <c r="R19" s="33">
        <f>+K19*21/121</f>
        <v>4.338842975206612</v>
      </c>
      <c r="S19" s="10">
        <f>+R19-P19-O19</f>
        <v>2.2967665289256196</v>
      </c>
      <c r="T19" s="33">
        <f>+K19-R19</f>
        <v>20.66115702479339</v>
      </c>
      <c r="U19" s="32">
        <f>+K19-Q19-S19</f>
        <v>12.979059917355372</v>
      </c>
      <c r="V19" s="27">
        <v>25</v>
      </c>
      <c r="W19" s="6">
        <f>+V19*K19</f>
        <v>625</v>
      </c>
      <c r="X19" s="55">
        <f>+V19*U19</f>
        <v>324.47649793388427</v>
      </c>
    </row>
    <row r="20" spans="9:24" x14ac:dyDescent="0.25">
      <c r="I20" s="34" t="s">
        <v>36</v>
      </c>
      <c r="J20">
        <v>5.8</v>
      </c>
      <c r="K20" s="34"/>
      <c r="M20" s="34"/>
      <c r="O20" s="36"/>
      <c r="P20" s="35"/>
      <c r="Q20" s="36"/>
      <c r="R20" s="35"/>
      <c r="S20" s="36"/>
      <c r="U20" s="67"/>
      <c r="W20" s="34"/>
    </row>
    <row r="21" spans="9:24" x14ac:dyDescent="0.25">
      <c r="I21" s="34" t="s">
        <v>37</v>
      </c>
      <c r="J21">
        <v>4</v>
      </c>
      <c r="K21" s="34"/>
      <c r="M21" s="34"/>
      <c r="O21" s="36"/>
      <c r="P21" s="35"/>
      <c r="Q21" s="36"/>
      <c r="R21" s="35"/>
      <c r="S21" s="36"/>
      <c r="U21" s="68"/>
      <c r="W21" s="34"/>
    </row>
    <row r="22" spans="9:24" x14ac:dyDescent="0.25">
      <c r="I22" s="42" t="s">
        <v>38</v>
      </c>
      <c r="J22" s="27">
        <v>10.7</v>
      </c>
      <c r="K22" s="6">
        <v>31</v>
      </c>
      <c r="L22" s="43">
        <f>+K22*$J$11</f>
        <v>0.46499999999999997</v>
      </c>
      <c r="M22" s="6">
        <f>+K22*$J$10</f>
        <v>1.55</v>
      </c>
      <c r="N22" s="27">
        <f>+J22</f>
        <v>10.7</v>
      </c>
      <c r="O22" s="10">
        <f>N22*$K$10/(1+$K$10)</f>
        <v>1.8570247933884296</v>
      </c>
      <c r="P22" s="33">
        <f>+L22*$K$10+M22*$K$11</f>
        <v>0.42315000000000003</v>
      </c>
      <c r="Q22" s="10">
        <f>+L22+M22+N22-O22</f>
        <v>10.85797520661157</v>
      </c>
      <c r="R22" s="33">
        <f>+K22*21/121</f>
        <v>5.3801652892561984</v>
      </c>
      <c r="S22" s="10">
        <f>+R22-P22-O22</f>
        <v>3.0999904958677691</v>
      </c>
      <c r="T22" s="33">
        <f>+K22-R22</f>
        <v>25.619834710743802</v>
      </c>
      <c r="U22" s="32">
        <f>+K22-Q22-S22</f>
        <v>17.042034297520662</v>
      </c>
      <c r="V22" s="27">
        <v>9</v>
      </c>
      <c r="W22" s="6">
        <f>+V22*K22</f>
        <v>279</v>
      </c>
      <c r="X22" s="55">
        <f>+V22*U22</f>
        <v>153.37830867768596</v>
      </c>
    </row>
    <row r="23" spans="9:24" x14ac:dyDescent="0.25">
      <c r="I23" s="34" t="s">
        <v>39</v>
      </c>
      <c r="J23">
        <v>6.7</v>
      </c>
      <c r="K23" s="34"/>
      <c r="M23" s="34"/>
      <c r="O23" s="36"/>
      <c r="P23" s="35"/>
      <c r="Q23" s="36"/>
      <c r="R23" s="35"/>
      <c r="S23" s="36"/>
      <c r="U23" s="67"/>
      <c r="W23" s="34"/>
    </row>
    <row r="24" spans="9:24" x14ac:dyDescent="0.25">
      <c r="I24" s="34" t="s">
        <v>37</v>
      </c>
      <c r="J24">
        <v>4</v>
      </c>
      <c r="K24" s="34"/>
      <c r="M24" s="34"/>
      <c r="O24" s="36"/>
      <c r="P24" s="35"/>
      <c r="Q24" s="36"/>
      <c r="R24" s="35"/>
      <c r="S24" s="36"/>
      <c r="U24" s="68"/>
      <c r="W24" s="34"/>
    </row>
    <row r="25" spans="9:24" x14ac:dyDescent="0.25">
      <c r="I25" s="42" t="s">
        <v>40</v>
      </c>
      <c r="J25" s="27">
        <v>19.600000000000001</v>
      </c>
      <c r="K25" s="6">
        <v>50</v>
      </c>
      <c r="L25" s="43">
        <f>+K25*$J$11</f>
        <v>0.75</v>
      </c>
      <c r="M25" s="6">
        <f>+K25*$J$10</f>
        <v>2.5</v>
      </c>
      <c r="N25" s="27">
        <f>+J25</f>
        <v>19.600000000000001</v>
      </c>
      <c r="O25" s="10">
        <f>N25*$K$10/(1+$K$10)</f>
        <v>3.4016528925619842</v>
      </c>
      <c r="P25" s="33">
        <f>+L25*$K$10+M25*$K$11</f>
        <v>0.6825</v>
      </c>
      <c r="Q25" s="10">
        <f>+L25+M25+N25-O25</f>
        <v>19.448347107438018</v>
      </c>
      <c r="R25" s="33">
        <f>+K25*21/121</f>
        <v>8.677685950413224</v>
      </c>
      <c r="S25" s="10">
        <f>+R25-P25-O25</f>
        <v>4.5935330578512392</v>
      </c>
      <c r="T25" s="33">
        <f>+K25-R25</f>
        <v>41.32231404958678</v>
      </c>
      <c r="U25" s="32">
        <f>+K25-Q25-S25</f>
        <v>25.958119834710743</v>
      </c>
      <c r="V25" s="27">
        <v>2</v>
      </c>
      <c r="W25" s="6">
        <f>+V25*K25</f>
        <v>100</v>
      </c>
      <c r="X25" s="55">
        <f>+V25*U25</f>
        <v>51.916239669421486</v>
      </c>
    </row>
    <row r="26" spans="9:24" x14ac:dyDescent="0.25">
      <c r="I26" s="34" t="s">
        <v>36</v>
      </c>
      <c r="J26">
        <v>11.6</v>
      </c>
      <c r="K26" s="34"/>
      <c r="M26" s="34"/>
      <c r="O26" s="36"/>
      <c r="P26" s="35"/>
      <c r="Q26" s="34"/>
      <c r="R26" s="35"/>
      <c r="S26" s="36"/>
      <c r="U26" s="36"/>
      <c r="W26" s="34"/>
    </row>
    <row r="27" spans="9:24" x14ac:dyDescent="0.25">
      <c r="I27" s="39" t="s">
        <v>37</v>
      </c>
      <c r="J27">
        <v>8</v>
      </c>
      <c r="K27" s="39"/>
      <c r="M27" s="39"/>
      <c r="O27" s="39"/>
      <c r="Q27" s="39"/>
      <c r="S27" s="39"/>
      <c r="U27" s="39"/>
      <c r="W27" s="39"/>
    </row>
  </sheetData>
  <mergeCells count="1">
    <mergeCell ref="L13: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Oriol puig i Carreró</cp:lastModifiedBy>
  <dcterms:created xsi:type="dcterms:W3CDTF">2021-09-11T16:26:04Z</dcterms:created>
  <dcterms:modified xsi:type="dcterms:W3CDTF">2024-02-03T10:15:47Z</dcterms:modified>
</cp:coreProperties>
</file>