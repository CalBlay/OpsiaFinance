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3/FUENTES FINANCIACION ALTERNATIVAS/"/>
    </mc:Choice>
  </mc:AlternateContent>
  <xr:revisionPtr revIDLastSave="412" documentId="8_{4E84D1DA-F599-4EF9-AC52-8FAA7F7120BF}" xr6:coauthVersionLast="47" xr6:coauthVersionMax="47" xr10:uidLastSave="{E435C7F3-DD6F-415E-9B48-12A042A477FE}"/>
  <bookViews>
    <workbookView xWindow="-120" yWindow="-120" windowWidth="29040" windowHeight="15720" activeTab="1" xr2:uid="{00000000-000D-0000-FFFF-FFFF00000000}"/>
  </bookViews>
  <sheets>
    <sheet name="Template Sprint de la clase 1" sheetId="1" r:id="rId1"/>
    <sheet name="Sprint 1" sheetId="3" r:id="rId2"/>
    <sheet name="Full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1" i="3" l="1"/>
  <c r="N42" i="3"/>
  <c r="O42" i="3" s="1"/>
  <c r="N37" i="3"/>
  <c r="O37" i="3" s="1"/>
  <c r="J42" i="3"/>
  <c r="L42" i="3" s="1"/>
  <c r="G42" i="3"/>
  <c r="F42" i="3"/>
  <c r="E42" i="3"/>
  <c r="D42" i="3"/>
  <c r="J37" i="3"/>
  <c r="L37" i="3" s="1"/>
  <c r="G37" i="3"/>
  <c r="F37" i="3"/>
  <c r="E37" i="3"/>
  <c r="D37" i="3"/>
  <c r="I37" i="3" s="1"/>
  <c r="O31" i="3"/>
  <c r="J31" i="3"/>
  <c r="L31" i="3" s="1"/>
  <c r="G31" i="3"/>
  <c r="F31" i="3"/>
  <c r="E31" i="3"/>
  <c r="D31" i="3"/>
  <c r="I31" i="3" s="1"/>
  <c r="H31" i="3" l="1"/>
  <c r="K31" i="3" s="1"/>
  <c r="H37" i="3"/>
  <c r="I42" i="3"/>
  <c r="H42" i="3"/>
  <c r="K42" i="3" s="1"/>
  <c r="M42" i="3" s="1"/>
  <c r="P42" i="3" s="1"/>
  <c r="K37" i="3"/>
  <c r="M37" i="3" s="1"/>
  <c r="P37" i="3" s="1"/>
  <c r="M31" i="3"/>
  <c r="P31" i="3" s="1"/>
  <c r="O41" i="3" l="1"/>
  <c r="J41" i="3"/>
  <c r="G41" i="3"/>
  <c r="F41" i="3"/>
  <c r="E41" i="3"/>
  <c r="H41" i="3" s="1"/>
  <c r="O36" i="3"/>
  <c r="J36" i="3"/>
  <c r="L36" i="3" s="1"/>
  <c r="G36" i="3"/>
  <c r="F36" i="3"/>
  <c r="E36" i="3"/>
  <c r="O30" i="3"/>
  <c r="J30" i="3"/>
  <c r="L30" i="3" s="1"/>
  <c r="G30" i="3"/>
  <c r="F30" i="3"/>
  <c r="E30" i="3"/>
  <c r="D41" i="3"/>
  <c r="D36" i="3"/>
  <c r="H36" i="3" s="1"/>
  <c r="D30" i="3"/>
  <c r="B14" i="3"/>
  <c r="F14" i="3" s="1"/>
  <c r="B17" i="3"/>
  <c r="F17" i="3" s="1"/>
  <c r="E6" i="3"/>
  <c r="F6" i="3" s="1"/>
  <c r="G6" i="3" s="1"/>
  <c r="E5" i="3"/>
  <c r="F5" i="3" s="1"/>
  <c r="D6" i="3"/>
  <c r="D5" i="3"/>
  <c r="D8" i="3" s="1"/>
  <c r="J23" i="3"/>
  <c r="J20" i="3"/>
  <c r="L20" i="3" s="1"/>
  <c r="J17" i="3"/>
  <c r="L17" i="3" s="1"/>
  <c r="J14" i="3"/>
  <c r="E23" i="3"/>
  <c r="E20" i="3"/>
  <c r="E17" i="3"/>
  <c r="E14" i="3"/>
  <c r="D23" i="3"/>
  <c r="D20" i="3"/>
  <c r="D17" i="3"/>
  <c r="D14" i="3"/>
  <c r="G20" i="3"/>
  <c r="O23" i="3"/>
  <c r="B23" i="3"/>
  <c r="G23" i="3" s="1"/>
  <c r="O20" i="3"/>
  <c r="B20" i="3"/>
  <c r="F20" i="3" s="1"/>
  <c r="O17" i="3"/>
  <c r="O14" i="3"/>
  <c r="H11" i="3"/>
  <c r="F7" i="3"/>
  <c r="G7" i="3" s="1"/>
  <c r="N16" i="1"/>
  <c r="S16" i="1" s="1"/>
  <c r="T25" i="1"/>
  <c r="V25" i="1" s="1"/>
  <c r="T22" i="1"/>
  <c r="V22" i="1" s="1"/>
  <c r="T19" i="1"/>
  <c r="V19" i="1" s="1"/>
  <c r="Q25" i="1"/>
  <c r="Q22" i="1"/>
  <c r="Q19" i="1"/>
  <c r="P25" i="1"/>
  <c r="P22" i="1"/>
  <c r="P19" i="1"/>
  <c r="O25" i="1"/>
  <c r="O22" i="1"/>
  <c r="S22" i="1" s="1"/>
  <c r="O19" i="1"/>
  <c r="N25" i="1"/>
  <c r="N22" i="1"/>
  <c r="N19" i="1"/>
  <c r="T16" i="1"/>
  <c r="Q16" i="1"/>
  <c r="R13" i="1"/>
  <c r="L25" i="1"/>
  <c r="L22" i="1"/>
  <c r="L19" i="1"/>
  <c r="L16" i="1"/>
  <c r="P16" i="1" s="1"/>
  <c r="O16" i="1"/>
  <c r="Y25" i="1"/>
  <c r="Y22" i="1"/>
  <c r="Y19" i="1"/>
  <c r="Y16" i="1"/>
  <c r="N10" i="1"/>
  <c r="P9" i="1"/>
  <c r="Q9" i="1" s="1"/>
  <c r="R9" i="1" s="1"/>
  <c r="O8" i="1"/>
  <c r="N8" i="1"/>
  <c r="Q26" i="2"/>
  <c r="L26" i="2"/>
  <c r="N26" i="2" s="1"/>
  <c r="J26" i="2"/>
  <c r="H26" i="2"/>
  <c r="I26" i="2" s="1"/>
  <c r="K26" i="2" s="1"/>
  <c r="G26" i="2"/>
  <c r="F26" i="2"/>
  <c r="Q23" i="2"/>
  <c r="N23" i="2"/>
  <c r="L23" i="2"/>
  <c r="H23" i="2"/>
  <c r="I23" i="2" s="1"/>
  <c r="G23" i="2"/>
  <c r="F23" i="2"/>
  <c r="K23" i="2" s="1"/>
  <c r="Q20" i="2"/>
  <c r="L20" i="2"/>
  <c r="N20" i="2" s="1"/>
  <c r="J20" i="2"/>
  <c r="H20" i="2"/>
  <c r="I20" i="2" s="1"/>
  <c r="K20" i="2" s="1"/>
  <c r="G20" i="2"/>
  <c r="F20" i="2"/>
  <c r="Q17" i="2"/>
  <c r="Q14" i="2" s="1"/>
  <c r="N17" i="2"/>
  <c r="L17" i="2"/>
  <c r="H17" i="2"/>
  <c r="I17" i="2" s="1"/>
  <c r="G17" i="2"/>
  <c r="F17" i="2"/>
  <c r="K17" i="2" s="1"/>
  <c r="Q16" i="2"/>
  <c r="N16" i="2"/>
  <c r="J16" i="2"/>
  <c r="M16" i="2" s="1"/>
  <c r="H16" i="2"/>
  <c r="K16" i="2" s="1"/>
  <c r="G16" i="2"/>
  <c r="F16" i="2"/>
  <c r="F10" i="2"/>
  <c r="H9" i="2"/>
  <c r="I9" i="2" s="1"/>
  <c r="J9" i="2" s="1"/>
  <c r="G8" i="2"/>
  <c r="H8" i="2" s="1"/>
  <c r="F8" i="2"/>
  <c r="I41" i="3" l="1"/>
  <c r="I36" i="3"/>
  <c r="K41" i="3"/>
  <c r="M41" i="3" s="1"/>
  <c r="P41" i="3" s="1"/>
  <c r="P43" i="3" s="1"/>
  <c r="I30" i="3"/>
  <c r="H7" i="3"/>
  <c r="L41" i="3"/>
  <c r="K36" i="3"/>
  <c r="M36" i="3" s="1"/>
  <c r="P36" i="3" s="1"/>
  <c r="P38" i="3" s="1"/>
  <c r="H30" i="3"/>
  <c r="K30" i="3" s="1"/>
  <c r="H23" i="3"/>
  <c r="K23" i="3" s="1"/>
  <c r="H14" i="3"/>
  <c r="O12" i="3"/>
  <c r="H17" i="3"/>
  <c r="I20" i="3"/>
  <c r="H20" i="3"/>
  <c r="K20" i="3" s="1"/>
  <c r="G14" i="3"/>
  <c r="I14" i="3" s="1"/>
  <c r="G17" i="3"/>
  <c r="I17" i="3" s="1"/>
  <c r="F8" i="3"/>
  <c r="G5" i="3"/>
  <c r="G8" i="3" s="1"/>
  <c r="L23" i="3"/>
  <c r="L14" i="3"/>
  <c r="F23" i="3"/>
  <c r="I23" i="3" s="1"/>
  <c r="S25" i="1"/>
  <c r="R19" i="1"/>
  <c r="R22" i="1"/>
  <c r="U19" i="1"/>
  <c r="U22" i="1"/>
  <c r="W22" i="1" s="1"/>
  <c r="R16" i="1"/>
  <c r="U16" i="1" s="1"/>
  <c r="W16" i="1" s="1"/>
  <c r="Z16" i="1" s="1"/>
  <c r="R25" i="1"/>
  <c r="U25" i="1" s="1"/>
  <c r="W25" i="1" s="1"/>
  <c r="S19" i="1"/>
  <c r="W19" i="1" s="1"/>
  <c r="V16" i="1"/>
  <c r="Y14" i="1"/>
  <c r="P8" i="1"/>
  <c r="Q8" i="1" s="1"/>
  <c r="Q10" i="1" s="1"/>
  <c r="P10" i="1"/>
  <c r="O26" i="2"/>
  <c r="R26" i="2" s="1"/>
  <c r="O16" i="2"/>
  <c r="R16" i="2" s="1"/>
  <c r="I8" i="2"/>
  <c r="I10" i="2" s="1"/>
  <c r="H10" i="2"/>
  <c r="M20" i="2"/>
  <c r="O20" i="2" s="1"/>
  <c r="R20" i="2" s="1"/>
  <c r="M26" i="2"/>
  <c r="J17" i="2"/>
  <c r="M17" i="2" s="1"/>
  <c r="O17" i="2" s="1"/>
  <c r="R17" i="2" s="1"/>
  <c r="J23" i="2"/>
  <c r="M23" i="2" s="1"/>
  <c r="O23" i="2" s="1"/>
  <c r="R23" i="2" s="1"/>
  <c r="M30" i="3" l="1"/>
  <c r="P30" i="3" s="1"/>
  <c r="P32" i="3" s="1"/>
  <c r="K17" i="3"/>
  <c r="Z22" i="1"/>
  <c r="Z25" i="1"/>
  <c r="Z19" i="1"/>
  <c r="R14" i="2"/>
  <c r="K14" i="3" l="1"/>
  <c r="Z14" i="1"/>
  <c r="F16" i="1"/>
  <c r="G16" i="1" s="1"/>
  <c r="H16" i="1" s="1"/>
  <c r="F15" i="1"/>
  <c r="G15" i="1" s="1"/>
  <c r="H15" i="1" s="1"/>
  <c r="F14" i="1"/>
  <c r="G14" i="1" s="1"/>
  <c r="H14" i="1" s="1"/>
  <c r="F13" i="1"/>
  <c r="G13" i="1" s="1"/>
  <c r="H13" i="1" s="1"/>
  <c r="E7" i="1"/>
  <c r="E6" i="1"/>
  <c r="E8" i="1" s="1"/>
  <c r="M14" i="3" l="1"/>
  <c r="P14" i="3" s="1"/>
  <c r="M20" i="3"/>
  <c r="P20" i="3" s="1"/>
  <c r="M17" i="3"/>
  <c r="P17" i="3" s="1"/>
  <c r="M23" i="3"/>
  <c r="P23" i="3" s="1"/>
  <c r="Q23" i="3" s="1"/>
  <c r="R20" i="3" l="1"/>
  <c r="Q20" i="3"/>
  <c r="P12" i="3"/>
  <c r="I5" i="3" s="1"/>
  <c r="L5" i="3" l="1"/>
  <c r="J5" i="3"/>
  <c r="K5" i="3"/>
</calcChain>
</file>

<file path=xl/sharedStrings.xml><?xml version="1.0" encoding="utf-8"?>
<sst xmlns="http://schemas.openxmlformats.org/spreadsheetml/2006/main" count="179" uniqueCount="76">
  <si>
    <t>Produccion</t>
  </si>
  <si>
    <t>Unidades</t>
  </si>
  <si>
    <t>Coste Unitario</t>
  </si>
  <si>
    <t>Total coste producción</t>
  </si>
  <si>
    <t>Bolsa grande</t>
  </si>
  <si>
    <t>Comisión de la plataforma</t>
  </si>
  <si>
    <t>Bolsa pequeña (adicional)</t>
  </si>
  <si>
    <t>Coste pasarela de pago</t>
  </si>
  <si>
    <t>Total</t>
  </si>
  <si>
    <t>Recompensas</t>
  </si>
  <si>
    <t>Donación</t>
  </si>
  <si>
    <t>Coste Producto</t>
  </si>
  <si>
    <t>Coste envio en el pais</t>
  </si>
  <si>
    <t>Total coste unitario</t>
  </si>
  <si>
    <t>Margen unitario</t>
  </si>
  <si>
    <t>Margen %</t>
  </si>
  <si>
    <t>I. Etiqueta de equipaje con logo de la empresa y mención de agradecimiento en la web</t>
  </si>
  <si>
    <t>II. Bolsa de tela de cortesía con logo + etiqueta de equipaje con logo de la empresa y mención de agradecimiento en la web</t>
  </si>
  <si>
    <t>III. Etiqueta de equipaje con logo de la empresa y bolsa de viaje modelo grande + agradecimiento en la web</t>
  </si>
  <si>
    <t>IV. Etiqueta de equipaje con logo + bolsa de viaje grande + bolsa de viaje pequeña + Agradecimiento en la web</t>
  </si>
  <si>
    <t>eaarly birds</t>
  </si>
  <si>
    <t>Propuesta 1</t>
  </si>
  <si>
    <t>Evaluación de la propuesta</t>
  </si>
  <si>
    <t>Propuesta 2</t>
  </si>
  <si>
    <t>Propuesta 3</t>
  </si>
  <si>
    <t>Objetivo</t>
  </si>
  <si>
    <t>¿?</t>
  </si>
  <si>
    <t>Unidades libros</t>
  </si>
  <si>
    <t>Costes</t>
  </si>
  <si>
    <t>unidades pre venta</t>
  </si>
  <si>
    <t>Coste por cubrir. No pre vta</t>
  </si>
  <si>
    <t>Coste por cubrir sin IVA</t>
  </si>
  <si>
    <t>Dif IVA</t>
  </si>
  <si>
    <t>Impresión  (IVA incluido)</t>
  </si>
  <si>
    <t>unitario</t>
  </si>
  <si>
    <t>Video</t>
  </si>
  <si>
    <t>Comision Plataforma (incluir IVA)</t>
  </si>
  <si>
    <t>IVA</t>
  </si>
  <si>
    <t>Comision Pasarela pago (incluir IVA)</t>
  </si>
  <si>
    <t>Costes IVA inc</t>
  </si>
  <si>
    <t xml:space="preserve">Costes </t>
  </si>
  <si>
    <t>Aportación</t>
  </si>
  <si>
    <t>Comisión Pasarela</t>
  </si>
  <si>
    <t>Comisión Plataforma</t>
  </si>
  <si>
    <t>Costes recompensa y envio</t>
  </si>
  <si>
    <t>IVA Costes</t>
  </si>
  <si>
    <t>IVA comisiones</t>
  </si>
  <si>
    <t>Costes sin IVA</t>
  </si>
  <si>
    <t>IVA Recompensa</t>
  </si>
  <si>
    <t>Neto IVAS</t>
  </si>
  <si>
    <t>Ingreso Neto</t>
  </si>
  <si>
    <t>Resultado Neto</t>
  </si>
  <si>
    <t>Donantes</t>
  </si>
  <si>
    <t>Neto Campaña</t>
  </si>
  <si>
    <t>I- Basica  agradecimiento con nombre en el libro</t>
  </si>
  <si>
    <t>II- Punto de libro conmemorativo + agradecimiento</t>
  </si>
  <si>
    <t>Coste (IVA inc)</t>
  </si>
  <si>
    <t>Coste envio (media España- IVA inc)</t>
  </si>
  <si>
    <t>III- Libro + agradecimiento</t>
  </si>
  <si>
    <t>Coste libro (IVA inc)</t>
  </si>
  <si>
    <t>Coste envio libro (media España- IVA inc)</t>
  </si>
  <si>
    <t>IV- Libro + agradecimiento + punto</t>
  </si>
  <si>
    <t>Coste libro (IVA inc) + punto (IVA inc)</t>
  </si>
  <si>
    <t>V- 2 Libros + agradecimiento</t>
  </si>
  <si>
    <t>IV. Etiqueta de equipaje con logo + bolsa de viaje grande + 
bolsa de viaje pequeña + Agradecimiento en la web</t>
  </si>
  <si>
    <t>III. Etiqueta de equipaje con logo de la empresa y 
bolsa de viaje modelo grande + agradecimiento en la web</t>
  </si>
  <si>
    <t>II. Bolsa de tela de cortesía con logo + etiqueta de equipaje
 con logo de la empresa y mención de agradecimiento en la web</t>
  </si>
  <si>
    <t>Bolsa Grande</t>
  </si>
  <si>
    <t>Coste unitario</t>
  </si>
  <si>
    <t xml:space="preserve">Total </t>
  </si>
  <si>
    <t>Bolsa Pequeña</t>
  </si>
  <si>
    <t>II. Bolsa de tela de cortesía con logo + etiqueta de equipaje  con logo de la empresa y mención de agradecimiento en la web</t>
  </si>
  <si>
    <t>Diferencia Neto Campaña
y Coste a cubrir</t>
  </si>
  <si>
    <t xml:space="preserve">III. Los  50 primeros  aportacion de 30 </t>
  </si>
  <si>
    <t>IV.  Los  50 primeros  aportacion de 45</t>
  </si>
  <si>
    <t>III. Los  100 primeros con una aportacion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</si>
</sst>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6" formatCode="_-* #,##0_-;\-* #,##0_-;_-* &quot;-&quot;??_-;_-@_-"/>
  </numFmts>
  <fonts count="16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6600FF"/>
      <name val="Calibri"/>
      <family val="2"/>
      <scheme val="minor"/>
    </font>
    <font>
      <b/>
      <sz val="11"/>
      <color rgb="FF6600FF"/>
      <name val="Calibri"/>
      <family val="2"/>
      <scheme val="minor"/>
    </font>
    <font>
      <sz val="11"/>
      <color theme="1"/>
      <name val="Arial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12" fillId="0" borderId="0"/>
  </cellStyleXfs>
  <cellXfs count="154">
    <xf numFmtId="0" fontId="0" fillId="0" borderId="0" xfId="0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0" xfId="0" applyFont="1"/>
    <xf numFmtId="0" fontId="5" fillId="0" borderId="3" xfId="0" applyFont="1" applyBorder="1"/>
    <xf numFmtId="0" fontId="4" fillId="0" borderId="2" xfId="0" applyFont="1" applyBorder="1"/>
    <xf numFmtId="0" fontId="0" fillId="0" borderId="2" xfId="0" applyBorder="1"/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/>
    <xf numFmtId="4" fontId="0" fillId="0" borderId="2" xfId="0" applyNumberFormat="1" applyBorder="1"/>
    <xf numFmtId="4" fontId="4" fillId="0" borderId="2" xfId="0" applyNumberFormat="1" applyFont="1" applyBorder="1"/>
    <xf numFmtId="9" fontId="0" fillId="0" borderId="2" xfId="0" applyNumberFormat="1" applyBorder="1"/>
    <xf numFmtId="0" fontId="0" fillId="0" borderId="2" xfId="0" applyBorder="1" applyAlignment="1">
      <alignment horizontal="center"/>
    </xf>
    <xf numFmtId="10" fontId="0" fillId="0" borderId="2" xfId="0" applyNumberFormat="1" applyBorder="1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/>
    <xf numFmtId="0" fontId="4" fillId="0" borderId="5" xfId="0" applyFont="1" applyBorder="1"/>
    <xf numFmtId="4" fontId="4" fillId="0" borderId="5" xfId="0" applyNumberFormat="1" applyFont="1" applyBorder="1"/>
    <xf numFmtId="0" fontId="4" fillId="0" borderId="6" xfId="0" applyFont="1" applyBorder="1"/>
    <xf numFmtId="0" fontId="4" fillId="0" borderId="2" xfId="0" applyFont="1" applyBorder="1" applyAlignment="1">
      <alignment wrapText="1"/>
    </xf>
    <xf numFmtId="0" fontId="4" fillId="2" borderId="7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4" fillId="3" borderId="8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4" fillId="0" borderId="8" xfId="0" applyFont="1" applyBorder="1" applyAlignment="1">
      <alignment wrapText="1"/>
    </xf>
    <xf numFmtId="0" fontId="4" fillId="0" borderId="0" xfId="0" applyFont="1" applyAlignment="1">
      <alignment wrapText="1"/>
    </xf>
    <xf numFmtId="0" fontId="7" fillId="0" borderId="8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0" fillId="0" borderId="6" xfId="0" applyBorder="1"/>
    <xf numFmtId="0" fontId="0" fillId="0" borderId="3" xfId="0" applyBorder="1"/>
    <xf numFmtId="4" fontId="0" fillId="0" borderId="6" xfId="0" applyNumberFormat="1" applyBorder="1"/>
    <xf numFmtId="0" fontId="0" fillId="0" borderId="9" xfId="0" applyBorder="1"/>
    <xf numFmtId="4" fontId="3" fillId="0" borderId="2" xfId="0" applyNumberFormat="1" applyFont="1" applyBorder="1"/>
    <xf numFmtId="4" fontId="0" fillId="0" borderId="4" xfId="0" applyNumberFormat="1" applyBorder="1"/>
    <xf numFmtId="0" fontId="0" fillId="0" borderId="7" xfId="0" applyBorder="1"/>
    <xf numFmtId="4" fontId="0" fillId="0" borderId="7" xfId="0" applyNumberFormat="1" applyBorder="1"/>
    <xf numFmtId="4" fontId="0" fillId="0" borderId="0" xfId="0" applyNumberFormat="1"/>
    <xf numFmtId="4" fontId="3" fillId="0" borderId="7" xfId="0" applyNumberFormat="1" applyFont="1" applyBorder="1"/>
    <xf numFmtId="0" fontId="3" fillId="0" borderId="7" xfId="0" applyFont="1" applyBorder="1"/>
    <xf numFmtId="0" fontId="0" fillId="0" borderId="10" xfId="0" applyBorder="1"/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4" fontId="3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6" xfId="0" applyNumberFormat="1" applyFont="1" applyBorder="1" applyAlignment="1">
      <alignment horizontal="center" vertical="center"/>
    </xf>
    <xf numFmtId="4" fontId="2" fillId="0" borderId="9" xfId="0" applyNumberFormat="1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vertical="center"/>
    </xf>
    <xf numFmtId="1" fontId="8" fillId="0" borderId="0" xfId="0" applyNumberFormat="1" applyFont="1" applyAlignment="1">
      <alignment vertical="center"/>
    </xf>
    <xf numFmtId="9" fontId="8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9" fontId="2" fillId="0" borderId="2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4" fontId="4" fillId="0" borderId="2" xfId="0" applyNumberFormat="1" applyFont="1" applyBorder="1" applyAlignment="1">
      <alignment vertical="center"/>
    </xf>
    <xf numFmtId="10" fontId="2" fillId="0" borderId="2" xfId="0" applyNumberFormat="1" applyFont="1" applyBorder="1" applyAlignment="1">
      <alignment vertical="center"/>
    </xf>
    <xf numFmtId="10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4" fontId="4" fillId="0" borderId="5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4" fontId="2" fillId="0" borderId="6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" fontId="2" fillId="0" borderId="7" xfId="0" applyNumberFormat="1" applyFont="1" applyBorder="1" applyAlignment="1">
      <alignment vertical="center"/>
    </xf>
    <xf numFmtId="4" fontId="2" fillId="0" borderId="0" xfId="0" applyNumberFormat="1" applyFont="1" applyAlignment="1">
      <alignment vertical="center"/>
    </xf>
    <xf numFmtId="4" fontId="3" fillId="0" borderId="7" xfId="0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4" fontId="3" fillId="0" borderId="0" xfId="0" applyNumberFormat="1" applyFont="1" applyAlignment="1">
      <alignment vertical="center"/>
    </xf>
    <xf numFmtId="0" fontId="4" fillId="3" borderId="8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166" fontId="2" fillId="0" borderId="2" xfId="1" applyNumberFormat="1" applyFont="1" applyBorder="1" applyAlignment="1">
      <alignment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66" fontId="2" fillId="0" borderId="2" xfId="0" applyNumberFormat="1" applyFont="1" applyBorder="1" applyAlignment="1">
      <alignment vertical="center"/>
    </xf>
    <xf numFmtId="4" fontId="4" fillId="0" borderId="13" xfId="0" applyNumberFormat="1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166" fontId="4" fillId="0" borderId="13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" fontId="0" fillId="0" borderId="0" xfId="0" applyNumberFormat="1" applyAlignment="1">
      <alignment vertical="center"/>
    </xf>
    <xf numFmtId="0" fontId="11" fillId="6" borderId="14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43" fontId="1" fillId="0" borderId="17" xfId="1" applyFont="1" applyFill="1" applyBorder="1" applyAlignment="1">
      <alignment vertical="center"/>
    </xf>
    <xf numFmtId="43" fontId="2" fillId="0" borderId="18" xfId="1" applyFont="1" applyFill="1" applyBorder="1" applyAlignment="1">
      <alignment vertical="center"/>
    </xf>
    <xf numFmtId="43" fontId="2" fillId="0" borderId="19" xfId="1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 wrapText="1"/>
    </xf>
    <xf numFmtId="4" fontId="4" fillId="0" borderId="20" xfId="0" applyNumberFormat="1" applyFont="1" applyBorder="1" applyAlignment="1">
      <alignment horizontal="center" vertical="center"/>
    </xf>
    <xf numFmtId="0" fontId="14" fillId="0" borderId="0" xfId="2" applyFont="1"/>
    <xf numFmtId="0" fontId="15" fillId="0" borderId="0" xfId="2" applyFont="1" applyAlignment="1">
      <alignment wrapText="1"/>
    </xf>
    <xf numFmtId="0" fontId="15" fillId="0" borderId="0" xfId="2" applyFont="1"/>
  </cellXfs>
  <cellStyles count="3">
    <cellStyle name="Coma" xfId="1" builtinId="3"/>
    <cellStyle name="Normal" xfId="0" builtinId="0"/>
    <cellStyle name="Normal 2" xfId="2" xr:uid="{08059A5A-7BF7-4045-8956-14E0FEC68B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"/>
  <sheetViews>
    <sheetView topLeftCell="A16" workbookViewId="0">
      <selection activeCell="U16" sqref="U16"/>
    </sheetView>
  </sheetViews>
  <sheetFormatPr defaultColWidth="12.625" defaultRowHeight="42" customHeight="1" x14ac:dyDescent="0.2"/>
  <cols>
    <col min="1" max="1" width="9.375" style="62" customWidth="1"/>
    <col min="2" max="2" width="33.625" style="62" customWidth="1"/>
    <col min="3" max="3" width="10.25" style="62" customWidth="1"/>
    <col min="4" max="4" width="8.5" style="62" customWidth="1"/>
    <col min="5" max="5" width="11.75" style="62" customWidth="1"/>
    <col min="6" max="6" width="6.75" style="62" customWidth="1"/>
    <col min="7" max="7" width="11.5" style="62" customWidth="1"/>
    <col min="8" max="8" width="7.625" style="62" customWidth="1"/>
    <col min="9" max="10" width="9.375" style="62" customWidth="1"/>
    <col min="11" max="11" width="53" style="62" customWidth="1"/>
    <col min="12" max="12" width="16.25" style="62" customWidth="1"/>
    <col min="13" max="15" width="9.375" style="62" customWidth="1"/>
    <col min="16" max="16" width="11.625" style="62" customWidth="1"/>
    <col min="17" max="17" width="9.375" style="62" customWidth="1"/>
    <col min="18" max="18" width="12.25" style="62" customWidth="1"/>
    <col min="19" max="19" width="11.875" style="62" customWidth="1"/>
    <col min="20" max="20" width="11.5" style="62" customWidth="1"/>
    <col min="21" max="21" width="12.375" style="62" customWidth="1"/>
    <col min="22" max="26" width="9.375" style="62" customWidth="1"/>
    <col min="27" max="16384" width="12.625" style="62"/>
  </cols>
  <sheetData>
    <row r="1" spans="2:26" ht="15" customHeight="1" x14ac:dyDescent="0.2"/>
    <row r="2" spans="2:26" ht="15" customHeight="1" x14ac:dyDescent="0.2"/>
    <row r="3" spans="2:26" ht="15" customHeight="1" x14ac:dyDescent="0.2"/>
    <row r="4" spans="2:26" ht="15" customHeight="1" x14ac:dyDescent="0.2"/>
    <row r="5" spans="2:26" ht="30" customHeight="1" x14ac:dyDescent="0.2">
      <c r="B5" s="76" t="s">
        <v>0</v>
      </c>
      <c r="C5" s="76" t="s">
        <v>1</v>
      </c>
      <c r="D5" s="77" t="s">
        <v>2</v>
      </c>
      <c r="E5" s="77" t="s">
        <v>3</v>
      </c>
      <c r="K5" s="94" t="s">
        <v>25</v>
      </c>
      <c r="L5" s="65" t="s">
        <v>26</v>
      </c>
    </row>
    <row r="6" spans="2:26" ht="30" customHeight="1" x14ac:dyDescent="0.2">
      <c r="B6" s="72" t="s">
        <v>4</v>
      </c>
      <c r="C6" s="72">
        <v>700</v>
      </c>
      <c r="D6" s="72">
        <v>12</v>
      </c>
      <c r="E6" s="72">
        <f t="shared" ref="E6:E7" si="0">+D6*C6</f>
        <v>8400</v>
      </c>
      <c r="G6" s="73" t="s">
        <v>5</v>
      </c>
      <c r="H6" s="74">
        <v>0.05</v>
      </c>
      <c r="I6" s="95">
        <v>0.21</v>
      </c>
      <c r="J6" s="65" t="s">
        <v>37</v>
      </c>
      <c r="K6" s="94" t="s">
        <v>27</v>
      </c>
      <c r="L6" s="96"/>
    </row>
    <row r="7" spans="2:26" ht="30" customHeight="1" x14ac:dyDescent="0.2">
      <c r="B7" s="72" t="s">
        <v>6</v>
      </c>
      <c r="C7" s="72">
        <v>300</v>
      </c>
      <c r="D7" s="72">
        <v>6</v>
      </c>
      <c r="E7" s="72">
        <f t="shared" si="0"/>
        <v>1800</v>
      </c>
      <c r="G7" s="73" t="s">
        <v>7</v>
      </c>
      <c r="H7" s="75">
        <v>1.4999999999999999E-2</v>
      </c>
      <c r="I7" s="95">
        <v>0.21</v>
      </c>
      <c r="J7" s="65" t="s">
        <v>37</v>
      </c>
      <c r="K7" s="45" t="s">
        <v>28</v>
      </c>
      <c r="L7" s="94"/>
      <c r="M7" s="94"/>
      <c r="N7" s="94"/>
      <c r="O7" s="46" t="s">
        <v>29</v>
      </c>
      <c r="P7" s="46" t="s">
        <v>30</v>
      </c>
      <c r="Q7" s="46" t="s">
        <v>31</v>
      </c>
      <c r="R7" s="45" t="s">
        <v>32</v>
      </c>
    </row>
    <row r="8" spans="2:26" ht="45.75" customHeight="1" x14ac:dyDescent="0.2">
      <c r="B8" s="72" t="s">
        <v>8</v>
      </c>
      <c r="C8" s="72"/>
      <c r="D8" s="72"/>
      <c r="E8" s="72">
        <f>SUM(E6:E7)</f>
        <v>10200</v>
      </c>
      <c r="K8" s="94" t="s">
        <v>33</v>
      </c>
      <c r="L8" s="94" t="s">
        <v>34</v>
      </c>
      <c r="M8" s="94">
        <v>5.8</v>
      </c>
      <c r="N8" s="94">
        <f>+M8*L6</f>
        <v>0</v>
      </c>
      <c r="O8" s="94">
        <f>+X22+X25+X28*2</f>
        <v>34</v>
      </c>
      <c r="P8" s="94">
        <f>+(L6-O8)*M8</f>
        <v>-197.2</v>
      </c>
      <c r="Q8" s="97">
        <f>+P8/121*100</f>
        <v>-162.97520661157023</v>
      </c>
    </row>
    <row r="9" spans="2:26" ht="15" customHeight="1" x14ac:dyDescent="0.2">
      <c r="K9" s="94" t="s">
        <v>35</v>
      </c>
      <c r="L9" s="94"/>
      <c r="M9" s="94">
        <v>1</v>
      </c>
      <c r="N9" s="94">
        <v>300</v>
      </c>
      <c r="O9" s="94"/>
      <c r="P9" s="94">
        <f>+N9</f>
        <v>300</v>
      </c>
      <c r="Q9" s="97">
        <f>+P9/121*100</f>
        <v>247.93388429752068</v>
      </c>
      <c r="R9" s="97">
        <f>+P9-Q9</f>
        <v>52.066115702479323</v>
      </c>
    </row>
    <row r="10" spans="2:26" ht="15" customHeight="1" x14ac:dyDescent="0.2">
      <c r="K10" s="45" t="s">
        <v>8</v>
      </c>
      <c r="L10" s="94"/>
      <c r="M10" s="94"/>
      <c r="N10" s="94">
        <f>SUM(N8:N9)</f>
        <v>300</v>
      </c>
      <c r="O10" s="94"/>
      <c r="P10" s="94">
        <f>SUM(P8:P9)</f>
        <v>102.80000000000001</v>
      </c>
      <c r="Q10" s="98">
        <f>SUM(Q8:Q9)</f>
        <v>84.958677685950448</v>
      </c>
    </row>
    <row r="11" spans="2:26" ht="15" customHeight="1" x14ac:dyDescent="0.2">
      <c r="K11" s="94" t="s">
        <v>36</v>
      </c>
      <c r="L11" s="95">
        <v>0.05</v>
      </c>
      <c r="M11" s="95">
        <v>0.21</v>
      </c>
      <c r="N11" s="65" t="s">
        <v>37</v>
      </c>
    </row>
    <row r="12" spans="2:26" s="63" customFormat="1" ht="42" customHeight="1" x14ac:dyDescent="0.2">
      <c r="B12" s="76" t="s">
        <v>9</v>
      </c>
      <c r="C12" s="76" t="s">
        <v>10</v>
      </c>
      <c r="D12" s="77" t="s">
        <v>11</v>
      </c>
      <c r="E12" s="77" t="s">
        <v>12</v>
      </c>
      <c r="F12" s="78" t="s">
        <v>13</v>
      </c>
      <c r="G12" s="78" t="s">
        <v>14</v>
      </c>
      <c r="H12" s="79" t="s">
        <v>15</v>
      </c>
      <c r="K12" s="94" t="s">
        <v>38</v>
      </c>
      <c r="L12" s="99">
        <v>1.4999999999999999E-2</v>
      </c>
      <c r="M12" s="95">
        <v>0.21</v>
      </c>
      <c r="N12" s="65" t="s">
        <v>37</v>
      </c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2:26" ht="42" customHeight="1" thickBot="1" x14ac:dyDescent="0.25">
      <c r="B13" s="80" t="s">
        <v>16</v>
      </c>
      <c r="C13" s="72">
        <v>8</v>
      </c>
      <c r="D13" s="72">
        <v>2</v>
      </c>
      <c r="E13" s="81">
        <v>1</v>
      </c>
      <c r="F13" s="82">
        <f t="shared" ref="F13:F16" si="1">+D13+E13+(C13*($H$6+$H$7))</f>
        <v>3.52</v>
      </c>
      <c r="G13" s="82">
        <f t="shared" ref="G13:G16" si="2">+C13-F13</f>
        <v>4.4800000000000004</v>
      </c>
      <c r="H13" s="83">
        <f t="shared" ref="H13:H16" si="3">+G13/C13</f>
        <v>0.56000000000000005</v>
      </c>
      <c r="L13" s="100"/>
      <c r="M13" s="101"/>
      <c r="N13" s="63"/>
      <c r="R13" s="62">
        <f>3*M12</f>
        <v>0.63</v>
      </c>
    </row>
    <row r="14" spans="2:26" ht="42" customHeight="1" thickBot="1" x14ac:dyDescent="0.25">
      <c r="B14" s="73" t="s">
        <v>17</v>
      </c>
      <c r="C14" s="72">
        <v>15</v>
      </c>
      <c r="D14" s="72">
        <v>6</v>
      </c>
      <c r="E14" s="81">
        <v>1</v>
      </c>
      <c r="F14" s="82">
        <f t="shared" si="1"/>
        <v>7.9749999999999996</v>
      </c>
      <c r="G14" s="82">
        <f t="shared" si="2"/>
        <v>7.0250000000000004</v>
      </c>
      <c r="H14" s="83">
        <f t="shared" si="3"/>
        <v>0.46833333333333338</v>
      </c>
      <c r="L14" s="100"/>
      <c r="M14" s="101"/>
      <c r="N14" s="115" t="s">
        <v>39</v>
      </c>
      <c r="O14" s="116"/>
      <c r="P14" s="102"/>
      <c r="Q14" s="102"/>
      <c r="R14" s="102"/>
      <c r="S14" s="102"/>
      <c r="T14" s="102"/>
      <c r="U14" s="102"/>
      <c r="V14" s="102"/>
      <c r="W14" s="102"/>
      <c r="X14" s="102"/>
      <c r="Y14" s="103">
        <f>SUM(Y16:Y30)</f>
        <v>1438</v>
      </c>
      <c r="Z14" s="104">
        <f>SUM(Z16:Z30)</f>
        <v>603.37357603305793</v>
      </c>
    </row>
    <row r="15" spans="2:26" ht="42" customHeight="1" x14ac:dyDescent="0.2">
      <c r="B15" s="73" t="s">
        <v>18</v>
      </c>
      <c r="C15" s="72">
        <v>35</v>
      </c>
      <c r="D15" s="72">
        <v>14</v>
      </c>
      <c r="E15" s="81">
        <v>6</v>
      </c>
      <c r="F15" s="82">
        <f t="shared" si="1"/>
        <v>22.274999999999999</v>
      </c>
      <c r="G15" s="82">
        <f t="shared" si="2"/>
        <v>12.725000000000001</v>
      </c>
      <c r="H15" s="83">
        <f t="shared" si="3"/>
        <v>0.3635714285714286</v>
      </c>
      <c r="K15" s="45" t="s">
        <v>9</v>
      </c>
      <c r="L15" s="61" t="s">
        <v>40</v>
      </c>
      <c r="M15" s="57" t="s">
        <v>41</v>
      </c>
      <c r="N15" s="55" t="s">
        <v>42</v>
      </c>
      <c r="O15" s="55" t="s">
        <v>43</v>
      </c>
      <c r="P15" s="54" t="s">
        <v>44</v>
      </c>
      <c r="Q15" s="113" t="s">
        <v>45</v>
      </c>
      <c r="R15" s="53" t="s">
        <v>46</v>
      </c>
      <c r="S15" s="47" t="s">
        <v>47</v>
      </c>
      <c r="T15" s="60" t="s">
        <v>48</v>
      </c>
      <c r="U15" s="48" t="s">
        <v>49</v>
      </c>
      <c r="V15" s="49" t="s">
        <v>50</v>
      </c>
      <c r="W15" s="50" t="s">
        <v>51</v>
      </c>
      <c r="X15" s="51" t="s">
        <v>52</v>
      </c>
      <c r="Y15" s="52" t="s">
        <v>25</v>
      </c>
      <c r="Z15" s="51" t="s">
        <v>53</v>
      </c>
    </row>
    <row r="16" spans="2:26" s="63" customFormat="1" ht="30" customHeight="1" x14ac:dyDescent="0.2">
      <c r="B16" s="84" t="s">
        <v>19</v>
      </c>
      <c r="C16" s="85">
        <v>55</v>
      </c>
      <c r="D16" s="85">
        <v>20</v>
      </c>
      <c r="E16" s="86">
        <v>8</v>
      </c>
      <c r="F16" s="87">
        <f t="shared" si="1"/>
        <v>31.574999999999999</v>
      </c>
      <c r="G16" s="87">
        <f t="shared" si="2"/>
        <v>23.425000000000001</v>
      </c>
      <c r="H16" s="88">
        <f t="shared" si="3"/>
        <v>0.4259090909090909</v>
      </c>
      <c r="K16" s="59" t="s">
        <v>16</v>
      </c>
      <c r="L16" s="64">
        <f>L17+L18</f>
        <v>3</v>
      </c>
      <c r="M16" s="65">
        <v>8</v>
      </c>
      <c r="N16" s="66">
        <f>M16*$H$7</f>
        <v>0.12</v>
      </c>
      <c r="O16" s="66">
        <f>M16*$H$6</f>
        <v>0.4</v>
      </c>
      <c r="P16" s="64">
        <f>+L16</f>
        <v>3</v>
      </c>
      <c r="Q16" s="67">
        <f>L16*$I$6/(1+$I$6)</f>
        <v>0.52066115702479343</v>
      </c>
      <c r="R16" s="68">
        <f>(N16*$I$6)+(O16*$I$7)</f>
        <v>0.10920000000000001</v>
      </c>
      <c r="S16" s="67">
        <f>N16+O16+P16-Q16</f>
        <v>2.9993388429752068</v>
      </c>
      <c r="T16" s="68">
        <f>M16*$I$6/121%</f>
        <v>1.3884297520661157</v>
      </c>
      <c r="U16" s="67">
        <f>T16-Q16-R16</f>
        <v>0.75856859504132235</v>
      </c>
      <c r="V16" s="69">
        <f>M16-T16</f>
        <v>6.6115702479338845</v>
      </c>
      <c r="W16" s="58">
        <f>M16-S16-U16</f>
        <v>4.2420925619834708</v>
      </c>
      <c r="X16" s="64">
        <v>1</v>
      </c>
      <c r="Y16" s="65">
        <f>+X16*M16</f>
        <v>8</v>
      </c>
      <c r="Z16" s="70">
        <f>+X16*W16</f>
        <v>4.2420925619834708</v>
      </c>
    </row>
    <row r="17" spans="1:26" ht="20.100000000000001" customHeight="1" x14ac:dyDescent="0.2">
      <c r="B17" s="89"/>
      <c r="E17" s="90"/>
      <c r="F17" s="82"/>
      <c r="G17" s="82"/>
      <c r="H17" s="83"/>
      <c r="K17" s="71" t="s">
        <v>56</v>
      </c>
      <c r="L17" s="64">
        <v>2</v>
      </c>
      <c r="M17" s="94"/>
      <c r="N17" s="96"/>
      <c r="O17" s="96"/>
      <c r="P17" s="105"/>
      <c r="Q17" s="97"/>
      <c r="R17" s="106"/>
      <c r="S17" s="97"/>
      <c r="T17" s="106"/>
      <c r="U17" s="97"/>
      <c r="V17" s="107"/>
      <c r="W17" s="56"/>
      <c r="X17" s="64"/>
      <c r="Y17" s="65"/>
      <c r="Z17" s="70"/>
    </row>
    <row r="18" spans="1:26" ht="20.100000000000001" customHeight="1" x14ac:dyDescent="0.2">
      <c r="B18" s="89"/>
      <c r="E18" s="90"/>
      <c r="F18" s="82"/>
      <c r="G18" s="82"/>
      <c r="H18" s="83"/>
      <c r="K18" s="71" t="s">
        <v>57</v>
      </c>
      <c r="L18" s="64">
        <v>1</v>
      </c>
      <c r="M18" s="94"/>
      <c r="N18" s="96"/>
      <c r="O18" s="96"/>
      <c r="P18" s="105"/>
      <c r="Q18" s="97"/>
      <c r="R18" s="106"/>
      <c r="S18" s="97"/>
      <c r="T18" s="106"/>
      <c r="U18" s="97"/>
      <c r="V18" s="107"/>
      <c r="W18" s="56"/>
      <c r="X18" s="64"/>
      <c r="Y18" s="65"/>
      <c r="Z18" s="70"/>
    </row>
    <row r="19" spans="1:26" ht="30" customHeight="1" x14ac:dyDescent="0.2">
      <c r="K19" s="46" t="s">
        <v>66</v>
      </c>
      <c r="L19" s="64">
        <f>L20+L21</f>
        <v>7</v>
      </c>
      <c r="M19" s="94">
        <v>15</v>
      </c>
      <c r="N19" s="66">
        <f>M19*$H$7</f>
        <v>0.22499999999999998</v>
      </c>
      <c r="O19" s="66">
        <f>M19*$H$6</f>
        <v>0.75</v>
      </c>
      <c r="P19" s="64">
        <f>+L19</f>
        <v>7</v>
      </c>
      <c r="Q19" s="67">
        <f>L19*$I$6/(1+$I$6)</f>
        <v>1.2148760330578512</v>
      </c>
      <c r="R19" s="68">
        <f>(N19*$I$6)+(O19*$I$7)</f>
        <v>0.20474999999999999</v>
      </c>
      <c r="S19" s="67">
        <f>N19+O19+P19-Q19</f>
        <v>6.7601239669421487</v>
      </c>
      <c r="T19" s="68">
        <f>M19*$I$6/121%</f>
        <v>2.6033057851239669</v>
      </c>
      <c r="U19" s="67">
        <f>T19-Q19-R19</f>
        <v>1.1836797520661158</v>
      </c>
      <c r="V19" s="69">
        <f>M19-T19</f>
        <v>12.396694214876034</v>
      </c>
      <c r="W19" s="58">
        <f>M19-S19-U19</f>
        <v>7.0561962809917347</v>
      </c>
      <c r="X19" s="64">
        <v>4</v>
      </c>
      <c r="Y19" s="65">
        <f>+X19*M19</f>
        <v>60</v>
      </c>
      <c r="Z19" s="70">
        <f>+X19*W19</f>
        <v>28.224785123966939</v>
      </c>
    </row>
    <row r="20" spans="1:26" ht="20.100000000000001" customHeight="1" x14ac:dyDescent="0.2">
      <c r="K20" s="71" t="s">
        <v>56</v>
      </c>
      <c r="L20" s="63">
        <v>6</v>
      </c>
      <c r="M20" s="71"/>
      <c r="O20" s="71"/>
      <c r="Q20" s="108"/>
      <c r="R20" s="109"/>
      <c r="S20" s="108"/>
      <c r="T20" s="109"/>
      <c r="U20" s="108"/>
      <c r="W20" s="110"/>
      <c r="X20" s="63"/>
      <c r="Y20" s="114"/>
      <c r="Z20" s="63"/>
    </row>
    <row r="21" spans="1:26" ht="20.100000000000001" customHeight="1" x14ac:dyDescent="0.2">
      <c r="A21" s="91" t="s">
        <v>20</v>
      </c>
      <c r="B21" s="92" t="s">
        <v>21</v>
      </c>
      <c r="K21" s="71" t="s">
        <v>57</v>
      </c>
      <c r="L21" s="63">
        <v>1</v>
      </c>
      <c r="M21" s="71"/>
      <c r="O21" s="71"/>
      <c r="Q21" s="108"/>
      <c r="R21" s="109"/>
      <c r="S21" s="108"/>
      <c r="T21" s="109"/>
      <c r="U21" s="108"/>
      <c r="W21" s="111"/>
      <c r="X21" s="63"/>
      <c r="Y21" s="114"/>
      <c r="Z21" s="63"/>
    </row>
    <row r="22" spans="1:26" ht="30" customHeight="1" x14ac:dyDescent="0.2">
      <c r="B22" s="91" t="s">
        <v>22</v>
      </c>
      <c r="K22" s="46" t="s">
        <v>65</v>
      </c>
      <c r="L22" s="64">
        <f>L23+L24</f>
        <v>20</v>
      </c>
      <c r="M22" s="94">
        <v>35</v>
      </c>
      <c r="N22" s="66">
        <f>M22*$H$7</f>
        <v>0.52500000000000002</v>
      </c>
      <c r="O22" s="66">
        <f>M22*$H$6</f>
        <v>1.75</v>
      </c>
      <c r="P22" s="64">
        <f>+L22</f>
        <v>20</v>
      </c>
      <c r="Q22" s="67">
        <f>L22*$I$6/(1+$I$6)</f>
        <v>3.4710743801652897</v>
      </c>
      <c r="R22" s="68">
        <f>(N22*$I$6)+(O22*$I$7)</f>
        <v>0.47775000000000001</v>
      </c>
      <c r="S22" s="67">
        <f>N22+O22+P22-Q22</f>
        <v>18.803925619834708</v>
      </c>
      <c r="T22" s="68">
        <f>M22*$I$6/121%</f>
        <v>6.0743801652892557</v>
      </c>
      <c r="U22" s="67">
        <f>T22-Q22-R22</f>
        <v>2.1255557851239661</v>
      </c>
      <c r="V22" s="69">
        <f>M22-T22</f>
        <v>28.925619834710744</v>
      </c>
      <c r="W22" s="58">
        <f>M22-S22-U22</f>
        <v>14.070518595041326</v>
      </c>
      <c r="X22" s="64">
        <v>25</v>
      </c>
      <c r="Y22" s="65">
        <f>+X22*M22</f>
        <v>875</v>
      </c>
      <c r="Z22" s="70">
        <f>+X22*W22</f>
        <v>351.76296487603315</v>
      </c>
    </row>
    <row r="23" spans="1:26" ht="20.100000000000001" customHeight="1" x14ac:dyDescent="0.2">
      <c r="K23" s="71" t="s">
        <v>56</v>
      </c>
      <c r="L23" s="63">
        <v>14</v>
      </c>
      <c r="M23" s="71"/>
      <c r="O23" s="71"/>
      <c r="Q23" s="108"/>
      <c r="R23" s="109"/>
      <c r="S23" s="108"/>
      <c r="T23" s="109"/>
      <c r="U23" s="108"/>
      <c r="W23" s="110"/>
      <c r="X23" s="63"/>
      <c r="Y23" s="114"/>
      <c r="Z23" s="63"/>
    </row>
    <row r="24" spans="1:26" ht="20.100000000000001" customHeight="1" x14ac:dyDescent="0.2">
      <c r="K24" s="71" t="s">
        <v>57</v>
      </c>
      <c r="L24" s="63">
        <v>6</v>
      </c>
      <c r="M24" s="71"/>
      <c r="O24" s="71"/>
      <c r="Q24" s="108"/>
      <c r="R24" s="109"/>
      <c r="S24" s="108"/>
      <c r="T24" s="109"/>
      <c r="U24" s="108"/>
      <c r="W24" s="111"/>
      <c r="X24" s="63"/>
      <c r="Y24" s="114"/>
      <c r="Z24" s="63"/>
    </row>
    <row r="25" spans="1:26" ht="30" customHeight="1" x14ac:dyDescent="0.2">
      <c r="K25" s="46" t="s">
        <v>64</v>
      </c>
      <c r="L25" s="64">
        <f>L26+L27</f>
        <v>28</v>
      </c>
      <c r="M25" s="94">
        <v>55</v>
      </c>
      <c r="N25" s="66">
        <f>M25*$H$7</f>
        <v>0.82499999999999996</v>
      </c>
      <c r="O25" s="66">
        <f>M25*$H$6</f>
        <v>2.75</v>
      </c>
      <c r="P25" s="64">
        <f>+L25</f>
        <v>28</v>
      </c>
      <c r="Q25" s="67">
        <f>L25*$I$6/(1+$I$6)</f>
        <v>4.8595041322314048</v>
      </c>
      <c r="R25" s="68">
        <f>(N25*$I$6)+(O25*$I$7)</f>
        <v>0.75075000000000003</v>
      </c>
      <c r="S25" s="67">
        <f>N25+O25+P25-Q25</f>
        <v>26.715495867768595</v>
      </c>
      <c r="T25" s="68">
        <f>M25*$I$6/121%</f>
        <v>9.545454545454545</v>
      </c>
      <c r="U25" s="67">
        <f>T25-Q25-R25</f>
        <v>3.9352004132231402</v>
      </c>
      <c r="V25" s="69">
        <f>M25-T25</f>
        <v>45.454545454545453</v>
      </c>
      <c r="W25" s="58">
        <f>M25-S25-U25</f>
        <v>24.349303719008265</v>
      </c>
      <c r="X25" s="64">
        <v>9</v>
      </c>
      <c r="Y25" s="65">
        <f>+X25*M25</f>
        <v>495</v>
      </c>
      <c r="Z25" s="70">
        <f>+X25*W25</f>
        <v>219.1437334710744</v>
      </c>
    </row>
    <row r="26" spans="1:26" ht="20.100000000000001" customHeight="1" x14ac:dyDescent="0.2">
      <c r="B26" s="92" t="s">
        <v>23</v>
      </c>
      <c r="K26" s="71" t="s">
        <v>62</v>
      </c>
      <c r="L26" s="63">
        <v>20</v>
      </c>
      <c r="M26" s="71"/>
      <c r="O26" s="71"/>
      <c r="Q26" s="108"/>
      <c r="R26" s="109"/>
      <c r="S26" s="108"/>
      <c r="T26" s="109"/>
      <c r="U26" s="108"/>
      <c r="W26" s="110"/>
      <c r="Y26" s="71"/>
    </row>
    <row r="27" spans="1:26" ht="20.100000000000001" customHeight="1" x14ac:dyDescent="0.2">
      <c r="B27" s="91" t="s">
        <v>22</v>
      </c>
      <c r="K27" s="71" t="s">
        <v>60</v>
      </c>
      <c r="L27" s="63">
        <v>8</v>
      </c>
      <c r="M27" s="71"/>
      <c r="O27" s="71"/>
      <c r="Q27" s="108"/>
      <c r="R27" s="109"/>
      <c r="S27" s="108"/>
      <c r="T27" s="109"/>
      <c r="U27" s="108"/>
      <c r="W27" s="111"/>
      <c r="Y27" s="71"/>
    </row>
    <row r="28" spans="1:26" ht="42" customHeight="1" x14ac:dyDescent="0.2">
      <c r="K28" s="102"/>
      <c r="Q28" s="109"/>
      <c r="R28" s="109"/>
      <c r="S28" s="109"/>
      <c r="T28" s="109"/>
      <c r="U28" s="109"/>
      <c r="V28" s="109"/>
      <c r="W28" s="112"/>
      <c r="Z28" s="109"/>
    </row>
    <row r="29" spans="1:26" ht="42" customHeight="1" x14ac:dyDescent="0.2">
      <c r="Q29" s="109"/>
      <c r="R29" s="109"/>
      <c r="T29" s="109"/>
      <c r="U29" s="109"/>
      <c r="W29" s="109"/>
    </row>
    <row r="31" spans="1:26" ht="42" customHeight="1" x14ac:dyDescent="0.2">
      <c r="B31" s="93" t="s">
        <v>24</v>
      </c>
    </row>
    <row r="32" spans="1:26" ht="42" customHeight="1" x14ac:dyDescent="0.2">
      <c r="B32" s="91" t="s">
        <v>22</v>
      </c>
    </row>
  </sheetData>
  <mergeCells count="1">
    <mergeCell ref="N14:O14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3414-7521-4DAD-B91D-CC73286BE152}">
  <dimension ref="A3:R45"/>
  <sheetViews>
    <sheetView tabSelected="1" topLeftCell="A8" workbookViewId="0">
      <selection activeCell="C42" sqref="C42"/>
    </sheetView>
  </sheetViews>
  <sheetFormatPr defaultColWidth="9.25" defaultRowHeight="14.25" x14ac:dyDescent="0.2"/>
  <cols>
    <col min="1" max="1" width="39.875" style="119" customWidth="1"/>
    <col min="2" max="2" width="9.25" style="119"/>
    <col min="3" max="3" width="13.125" style="119" customWidth="1"/>
    <col min="4" max="4" width="9.25" style="119"/>
    <col min="5" max="5" width="11.75" style="119" customWidth="1"/>
    <col min="6" max="6" width="15.25" style="119" customWidth="1"/>
    <col min="7" max="7" width="13.375" style="119" customWidth="1"/>
    <col min="8" max="8" width="12.125" style="119" customWidth="1"/>
    <col min="9" max="9" width="14.375" style="119" customWidth="1"/>
    <col min="10" max="10" width="16.75" style="119" customWidth="1"/>
    <col min="11" max="11" width="14.375" style="119" customWidth="1"/>
    <col min="12" max="12" width="14.125" style="119" customWidth="1"/>
    <col min="13" max="14" width="9.25" style="119"/>
    <col min="15" max="15" width="12.125" style="119" customWidth="1"/>
    <col min="16" max="16" width="11.75" style="119" customWidth="1"/>
    <col min="17" max="16384" width="9.25" style="119"/>
  </cols>
  <sheetData>
    <row r="3" spans="1:16" ht="15.75" thickBot="1" x14ac:dyDescent="0.25">
      <c r="A3" s="94"/>
      <c r="B3" s="96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</row>
    <row r="4" spans="1:16" ht="28.5" customHeight="1" thickBot="1" x14ac:dyDescent="0.25">
      <c r="A4" s="45" t="s">
        <v>28</v>
      </c>
      <c r="B4" s="123" t="s">
        <v>1</v>
      </c>
      <c r="C4" s="123" t="s">
        <v>68</v>
      </c>
      <c r="D4" s="123" t="s">
        <v>69</v>
      </c>
      <c r="E4" s="57" t="s">
        <v>29</v>
      </c>
      <c r="F4" s="57" t="s">
        <v>30</v>
      </c>
      <c r="G4" s="57" t="s">
        <v>31</v>
      </c>
      <c r="H4" s="148" t="s">
        <v>32</v>
      </c>
      <c r="I4" s="149" t="s">
        <v>72</v>
      </c>
      <c r="J4" s="142" t="s">
        <v>21</v>
      </c>
      <c r="K4" s="143" t="s">
        <v>23</v>
      </c>
      <c r="L4" s="144" t="s">
        <v>24</v>
      </c>
      <c r="M4" s="62"/>
      <c r="N4" s="62"/>
      <c r="O4" s="62"/>
      <c r="P4" s="62"/>
    </row>
    <row r="5" spans="1:16" ht="15.75" thickBot="1" x14ac:dyDescent="0.25">
      <c r="A5" s="122" t="s">
        <v>67</v>
      </c>
      <c r="B5" s="94">
        <v>700</v>
      </c>
      <c r="C5" s="94">
        <v>12</v>
      </c>
      <c r="D5" s="124">
        <f>B5*C5</f>
        <v>8400</v>
      </c>
      <c r="E5" s="94">
        <f>N20+N23</f>
        <v>275</v>
      </c>
      <c r="F5" s="124">
        <f>(B5-E5)*C5</f>
        <v>5100</v>
      </c>
      <c r="G5" s="97">
        <f>+F5/121*100</f>
        <v>4214.8760330578516</v>
      </c>
      <c r="H5" s="62"/>
      <c r="I5" s="150">
        <f>P12-G8</f>
        <v>321.76677685950472</v>
      </c>
      <c r="J5" s="145">
        <f>I5-Q20</f>
        <v>127.99270661157084</v>
      </c>
      <c r="K5" s="146">
        <f>I5-Q23</f>
        <v>-65.781363636362585</v>
      </c>
      <c r="L5" s="147">
        <f>I5-R20</f>
        <v>89.237892561983926</v>
      </c>
      <c r="M5" s="62"/>
      <c r="N5" s="62"/>
      <c r="O5" s="62"/>
      <c r="P5" s="62"/>
    </row>
    <row r="6" spans="1:16" ht="15" x14ac:dyDescent="0.2">
      <c r="A6" s="122" t="s">
        <v>70</v>
      </c>
      <c r="B6" s="94">
        <v>300</v>
      </c>
      <c r="C6" s="94">
        <v>6</v>
      </c>
      <c r="D6" s="124">
        <f>B6*C6</f>
        <v>1800</v>
      </c>
      <c r="E6" s="94">
        <f>N23</f>
        <v>150</v>
      </c>
      <c r="F6" s="130">
        <f>(B6-E6)*C6</f>
        <v>900</v>
      </c>
      <c r="G6" s="97">
        <f>+F6/121*100</f>
        <v>743.80165289256195</v>
      </c>
      <c r="H6" s="62"/>
      <c r="I6" s="62"/>
      <c r="J6" s="128"/>
      <c r="K6" s="129"/>
      <c r="L6" s="127"/>
      <c r="M6" s="62"/>
      <c r="N6" s="62"/>
      <c r="O6" s="62"/>
      <c r="P6" s="62"/>
    </row>
    <row r="7" spans="1:16" ht="15" x14ac:dyDescent="0.2">
      <c r="A7" s="94" t="s">
        <v>35</v>
      </c>
      <c r="B7" s="94"/>
      <c r="C7" s="94">
        <v>1</v>
      </c>
      <c r="D7" s="124">
        <v>500</v>
      </c>
      <c r="E7" s="94"/>
      <c r="F7" s="94">
        <f>+D7</f>
        <v>500</v>
      </c>
      <c r="G7" s="97">
        <f>+F7/121*100</f>
        <v>413.22314049586771</v>
      </c>
      <c r="H7" s="97">
        <f>+F7-G7</f>
        <v>86.77685950413229</v>
      </c>
      <c r="I7" s="62"/>
      <c r="J7" s="128"/>
      <c r="K7" s="129"/>
      <c r="L7" s="127"/>
      <c r="M7" s="62"/>
      <c r="N7" s="62"/>
      <c r="O7" s="62"/>
      <c r="P7" s="62"/>
    </row>
    <row r="8" spans="1:16" ht="15" x14ac:dyDescent="0.2">
      <c r="A8" s="45" t="s">
        <v>8</v>
      </c>
      <c r="B8" s="94"/>
      <c r="C8" s="94"/>
      <c r="D8" s="124">
        <f>SUM(D5:D7)</f>
        <v>10700</v>
      </c>
      <c r="E8" s="94"/>
      <c r="F8" s="124">
        <f>SUM(F5:F7)</f>
        <v>6500</v>
      </c>
      <c r="G8" s="98">
        <f>SUM(G5:G7)</f>
        <v>5371.9008264462809</v>
      </c>
      <c r="H8" s="62"/>
      <c r="M8" s="62"/>
      <c r="N8" s="62"/>
      <c r="O8" s="62"/>
      <c r="P8" s="62"/>
    </row>
    <row r="9" spans="1:16" ht="15" x14ac:dyDescent="0.2">
      <c r="A9" s="94" t="s">
        <v>36</v>
      </c>
      <c r="B9" s="95">
        <v>0.05</v>
      </c>
      <c r="C9" s="95">
        <v>0.21</v>
      </c>
      <c r="D9" s="65" t="s">
        <v>37</v>
      </c>
      <c r="E9" s="62"/>
      <c r="F9" s="62"/>
      <c r="G9" s="62"/>
      <c r="H9" s="62"/>
      <c r="I9" s="62"/>
      <c r="J9" s="128"/>
      <c r="K9" s="129"/>
      <c r="L9" s="62"/>
      <c r="M9" s="62"/>
      <c r="N9" s="62"/>
      <c r="O9" s="62"/>
      <c r="P9" s="62"/>
    </row>
    <row r="10" spans="1:16" ht="15" x14ac:dyDescent="0.2">
      <c r="A10" s="94" t="s">
        <v>38</v>
      </c>
      <c r="B10" s="99">
        <v>1.4999999999999999E-2</v>
      </c>
      <c r="C10" s="95">
        <v>0.21</v>
      </c>
      <c r="D10" s="65" t="s">
        <v>37</v>
      </c>
      <c r="E10" s="62"/>
      <c r="F10" s="62"/>
      <c r="G10" s="62"/>
      <c r="H10" s="62"/>
      <c r="I10" s="62"/>
      <c r="J10" s="128"/>
      <c r="K10" s="129"/>
      <c r="L10" s="62"/>
      <c r="M10" s="62"/>
      <c r="N10" s="62"/>
      <c r="O10" s="62"/>
      <c r="P10" s="62"/>
    </row>
    <row r="11" spans="1:16" ht="15.75" thickBot="1" x14ac:dyDescent="0.25">
      <c r="A11" s="62"/>
      <c r="B11" s="100"/>
      <c r="C11" s="101"/>
      <c r="D11" s="63"/>
      <c r="E11" s="62"/>
      <c r="F11" s="62"/>
      <c r="G11" s="62"/>
      <c r="H11" s="62">
        <f>3*C10</f>
        <v>0.63</v>
      </c>
      <c r="I11" s="62"/>
      <c r="J11" s="62"/>
      <c r="K11" s="62"/>
      <c r="L11" s="62"/>
      <c r="M11" s="62"/>
      <c r="N11" s="62"/>
      <c r="O11" s="62"/>
      <c r="P11" s="62"/>
    </row>
    <row r="12" spans="1:16" ht="15" x14ac:dyDescent="0.2">
      <c r="A12" s="62"/>
      <c r="B12" s="100"/>
      <c r="C12" s="101"/>
      <c r="D12" s="125" t="s">
        <v>39</v>
      </c>
      <c r="E12" s="126"/>
      <c r="F12" s="102"/>
      <c r="G12" s="102"/>
      <c r="H12" s="102"/>
      <c r="I12" s="102"/>
      <c r="J12" s="102"/>
      <c r="K12" s="102"/>
      <c r="L12" s="102"/>
      <c r="M12" s="102"/>
      <c r="N12" s="102"/>
      <c r="O12" s="138">
        <f>SUM(O14:O28)</f>
        <v>13200</v>
      </c>
      <c r="P12" s="131">
        <f>SUM(P14:P28)</f>
        <v>5693.6676033057856</v>
      </c>
    </row>
    <row r="13" spans="1:16" s="121" customFormat="1" ht="45" x14ac:dyDescent="0.2">
      <c r="A13" s="120" t="s">
        <v>9</v>
      </c>
      <c r="B13" s="120" t="s">
        <v>40</v>
      </c>
      <c r="C13" s="57" t="s">
        <v>41</v>
      </c>
      <c r="D13" s="132" t="s">
        <v>42</v>
      </c>
      <c r="E13" s="132" t="s">
        <v>43</v>
      </c>
      <c r="F13" s="132" t="s">
        <v>44</v>
      </c>
      <c r="G13" s="133" t="s">
        <v>45</v>
      </c>
      <c r="H13" s="133" t="s">
        <v>46</v>
      </c>
      <c r="I13" s="133" t="s">
        <v>47</v>
      </c>
      <c r="J13" s="134" t="s">
        <v>48</v>
      </c>
      <c r="K13" s="57" t="s">
        <v>49</v>
      </c>
      <c r="L13" s="57" t="s">
        <v>50</v>
      </c>
      <c r="M13" s="135" t="s">
        <v>51</v>
      </c>
      <c r="N13" s="135" t="s">
        <v>52</v>
      </c>
      <c r="O13" s="135" t="s">
        <v>25</v>
      </c>
      <c r="P13" s="135" t="s">
        <v>53</v>
      </c>
    </row>
    <row r="14" spans="1:16" ht="30" x14ac:dyDescent="0.2">
      <c r="A14" s="59" t="s">
        <v>16</v>
      </c>
      <c r="B14" s="65">
        <f>B15+B16</f>
        <v>3</v>
      </c>
      <c r="C14" s="65">
        <v>8</v>
      </c>
      <c r="D14" s="65">
        <f>C14*$B$10</f>
        <v>0.12</v>
      </c>
      <c r="E14" s="65">
        <f>C14*$B$9</f>
        <v>0.4</v>
      </c>
      <c r="F14" s="65">
        <f>+B14</f>
        <v>3</v>
      </c>
      <c r="G14" s="67">
        <f>B14*$C$9/(1+$C$9)</f>
        <v>0.52066115702479343</v>
      </c>
      <c r="H14" s="67">
        <f>(D14*$C$9)+(E14*$C$10)</f>
        <v>0.10920000000000001</v>
      </c>
      <c r="I14" s="67">
        <f>D14+E14+F14-G14</f>
        <v>2.9993388429752068</v>
      </c>
      <c r="J14" s="67">
        <f>C14*$C$10/121%</f>
        <v>1.3884297520661157</v>
      </c>
      <c r="K14" s="67">
        <f>J14-G14-H14</f>
        <v>0.75856859504132235</v>
      </c>
      <c r="L14" s="67">
        <f>C14-J14</f>
        <v>6.6115702479338845</v>
      </c>
      <c r="M14" s="58">
        <f>C14-I14-K14</f>
        <v>4.2420925619834708</v>
      </c>
      <c r="N14" s="65">
        <v>25</v>
      </c>
      <c r="O14" s="65">
        <f>+N14*C14</f>
        <v>200</v>
      </c>
      <c r="P14" s="67">
        <f>+N14*M14</f>
        <v>106.05231404958677</v>
      </c>
    </row>
    <row r="15" spans="1:16" ht="15" x14ac:dyDescent="0.2">
      <c r="A15" s="94" t="s">
        <v>56</v>
      </c>
      <c r="B15" s="65">
        <v>2</v>
      </c>
      <c r="C15" s="94"/>
      <c r="D15" s="94"/>
      <c r="E15" s="94"/>
      <c r="F15" s="94"/>
      <c r="G15" s="97"/>
      <c r="H15" s="97"/>
      <c r="I15" s="97"/>
      <c r="J15" s="97"/>
      <c r="K15" s="97"/>
      <c r="L15" s="94"/>
      <c r="M15" s="56"/>
      <c r="N15" s="65"/>
      <c r="O15" s="65"/>
      <c r="P15" s="67"/>
    </row>
    <row r="16" spans="1:16" ht="15" x14ac:dyDescent="0.2">
      <c r="A16" s="94" t="s">
        <v>57</v>
      </c>
      <c r="B16" s="65">
        <v>1</v>
      </c>
      <c r="C16" s="94"/>
      <c r="D16" s="94"/>
      <c r="E16" s="94"/>
      <c r="F16" s="94"/>
      <c r="G16" s="97"/>
      <c r="H16" s="97"/>
      <c r="I16" s="97"/>
      <c r="J16" s="97"/>
      <c r="K16" s="97"/>
      <c r="L16" s="94"/>
      <c r="M16" s="56"/>
      <c r="N16" s="65"/>
      <c r="O16" s="65"/>
      <c r="P16" s="67"/>
    </row>
    <row r="17" spans="1:18" ht="45" x14ac:dyDescent="0.2">
      <c r="A17" s="46" t="s">
        <v>71</v>
      </c>
      <c r="B17" s="65">
        <f>B18+B19</f>
        <v>7</v>
      </c>
      <c r="C17" s="94">
        <v>15</v>
      </c>
      <c r="D17" s="65">
        <f>C17*$B$10</f>
        <v>0.22499999999999998</v>
      </c>
      <c r="E17" s="65">
        <f>C17*$B$9</f>
        <v>0.75</v>
      </c>
      <c r="F17" s="65">
        <f>+B17</f>
        <v>7</v>
      </c>
      <c r="G17" s="67">
        <f>B17*$C$9/(1+$C$9)</f>
        <v>1.2148760330578512</v>
      </c>
      <c r="H17" s="67">
        <f>(D17*$C$9)+(E17*$C$10)</f>
        <v>0.20474999999999999</v>
      </c>
      <c r="I17" s="67">
        <f>D17+E17+F17-G17</f>
        <v>6.7601239669421487</v>
      </c>
      <c r="J17" s="67">
        <f>C17*$C$10/121%</f>
        <v>2.6033057851239669</v>
      </c>
      <c r="K17" s="67">
        <f>J17-G17-H17</f>
        <v>1.1836797520661158</v>
      </c>
      <c r="L17" s="67">
        <f>C17-J17</f>
        <v>12.396694214876034</v>
      </c>
      <c r="M17" s="58">
        <f>C17-I17-K17</f>
        <v>7.0561962809917347</v>
      </c>
      <c r="N17" s="65">
        <v>25</v>
      </c>
      <c r="O17" s="65">
        <f>+N17*C17</f>
        <v>375</v>
      </c>
      <c r="P17" s="67">
        <f>+N17*M17</f>
        <v>176.40490702479337</v>
      </c>
    </row>
    <row r="18" spans="1:18" ht="15" x14ac:dyDescent="0.2">
      <c r="A18" s="94" t="s">
        <v>56</v>
      </c>
      <c r="B18" s="65">
        <v>6</v>
      </c>
      <c r="C18" s="94"/>
      <c r="D18" s="94"/>
      <c r="E18" s="94"/>
      <c r="F18" s="94"/>
      <c r="G18" s="97"/>
      <c r="H18" s="97"/>
      <c r="I18" s="97"/>
      <c r="J18" s="97"/>
      <c r="K18" s="97"/>
      <c r="L18" s="94"/>
      <c r="M18" s="56"/>
      <c r="N18" s="65"/>
      <c r="O18" s="65"/>
      <c r="P18" s="65"/>
    </row>
    <row r="19" spans="1:18" ht="15" x14ac:dyDescent="0.2">
      <c r="A19" s="94" t="s">
        <v>57</v>
      </c>
      <c r="B19" s="65">
        <v>1</v>
      </c>
      <c r="C19" s="94"/>
      <c r="D19" s="94"/>
      <c r="E19" s="94"/>
      <c r="F19" s="94"/>
      <c r="G19" s="97"/>
      <c r="H19" s="97"/>
      <c r="I19" s="97"/>
      <c r="J19" s="97"/>
      <c r="K19" s="97"/>
      <c r="L19" s="94"/>
      <c r="M19" s="136"/>
      <c r="N19" s="65"/>
      <c r="O19" s="65"/>
      <c r="P19" s="65"/>
    </row>
    <row r="20" spans="1:18" ht="45" x14ac:dyDescent="0.2">
      <c r="A20" s="46" t="s">
        <v>65</v>
      </c>
      <c r="B20" s="65">
        <f>B21+B22</f>
        <v>20</v>
      </c>
      <c r="C20" s="94">
        <v>35</v>
      </c>
      <c r="D20" s="65">
        <f>C20*$B$10</f>
        <v>0.52500000000000002</v>
      </c>
      <c r="E20" s="65">
        <f>C20*$B$9</f>
        <v>1.75</v>
      </c>
      <c r="F20" s="65">
        <f>+B20</f>
        <v>20</v>
      </c>
      <c r="G20" s="67">
        <f>B20*$C$9/(1+$C$9)</f>
        <v>3.4710743801652897</v>
      </c>
      <c r="H20" s="67">
        <f>(D20*$C$9)+(E20*$C$10)</f>
        <v>0.47775000000000001</v>
      </c>
      <c r="I20" s="67">
        <f>D20+E20+F20-G20</f>
        <v>18.803925619834708</v>
      </c>
      <c r="J20" s="67">
        <f>C20*$C$10/121%</f>
        <v>6.0743801652892557</v>
      </c>
      <c r="K20" s="67">
        <f>J20-G20-H20</f>
        <v>2.1255557851239661</v>
      </c>
      <c r="L20" s="67">
        <f>C20-J20</f>
        <v>28.925619834710744</v>
      </c>
      <c r="M20" s="58">
        <f>C20-I20-K20</f>
        <v>14.070518595041326</v>
      </c>
      <c r="N20" s="137">
        <v>125</v>
      </c>
      <c r="O20" s="65">
        <f>+N20*C20</f>
        <v>4375</v>
      </c>
      <c r="P20" s="67">
        <f>+N20*M20</f>
        <v>1758.8148243801659</v>
      </c>
      <c r="Q20" s="141">
        <f>P20-P32</f>
        <v>193.77407024793388</v>
      </c>
      <c r="R20" s="141">
        <f>P20-P43</f>
        <v>232.52888429752079</v>
      </c>
    </row>
    <row r="21" spans="1:18" ht="15" x14ac:dyDescent="0.2">
      <c r="A21" s="94" t="s">
        <v>56</v>
      </c>
      <c r="B21" s="65">
        <v>14</v>
      </c>
      <c r="C21" s="94"/>
      <c r="D21" s="94"/>
      <c r="E21" s="94"/>
      <c r="F21" s="94"/>
      <c r="G21" s="97"/>
      <c r="H21" s="97"/>
      <c r="I21" s="97"/>
      <c r="J21" s="97"/>
      <c r="K21" s="97"/>
      <c r="L21" s="94"/>
      <c r="M21" s="56"/>
      <c r="N21" s="65"/>
      <c r="O21" s="65"/>
      <c r="P21" s="65"/>
    </row>
    <row r="22" spans="1:18" ht="15" x14ac:dyDescent="0.2">
      <c r="A22" s="94" t="s">
        <v>57</v>
      </c>
      <c r="B22" s="65">
        <v>6</v>
      </c>
      <c r="C22" s="94"/>
      <c r="D22" s="94"/>
      <c r="E22" s="94"/>
      <c r="F22" s="94"/>
      <c r="G22" s="97"/>
      <c r="H22" s="97"/>
      <c r="I22" s="97"/>
      <c r="J22" s="97"/>
      <c r="K22" s="97"/>
      <c r="L22" s="94"/>
      <c r="M22" s="136"/>
      <c r="N22" s="65"/>
      <c r="O22" s="65"/>
      <c r="P22" s="65"/>
    </row>
    <row r="23" spans="1:18" ht="60" x14ac:dyDescent="0.2">
      <c r="A23" s="46" t="s">
        <v>64</v>
      </c>
      <c r="B23" s="65">
        <f>B24+B25</f>
        <v>28</v>
      </c>
      <c r="C23" s="94">
        <v>55</v>
      </c>
      <c r="D23" s="65">
        <f>C23*$B$10</f>
        <v>0.82499999999999996</v>
      </c>
      <c r="E23" s="65">
        <f>C23*$B$9</f>
        <v>2.75</v>
      </c>
      <c r="F23" s="65">
        <f>+B23</f>
        <v>28</v>
      </c>
      <c r="G23" s="67">
        <f>B23*$C$9/(1+$C$9)</f>
        <v>4.8595041322314048</v>
      </c>
      <c r="H23" s="67">
        <f>(D23*$C$9)+(E23*$C$10)</f>
        <v>0.75075000000000003</v>
      </c>
      <c r="I23" s="67">
        <f>D23+E23+F23-G23</f>
        <v>26.715495867768595</v>
      </c>
      <c r="J23" s="67">
        <f>C23*$C$10/121%</f>
        <v>9.545454545454545</v>
      </c>
      <c r="K23" s="67">
        <f>J23-G23-H23</f>
        <v>3.9352004132231402</v>
      </c>
      <c r="L23" s="67">
        <f>C23-J23</f>
        <v>45.454545454545453</v>
      </c>
      <c r="M23" s="58">
        <f>C23-I23-K23</f>
        <v>24.349303719008265</v>
      </c>
      <c r="N23" s="137">
        <v>150</v>
      </c>
      <c r="O23" s="65">
        <f>+N23*C23</f>
        <v>8250</v>
      </c>
      <c r="P23" s="67">
        <f>+N23*M23</f>
        <v>3652.3955578512396</v>
      </c>
      <c r="Q23" s="141">
        <f>P23-P38</f>
        <v>387.5481404958673</v>
      </c>
    </row>
    <row r="24" spans="1:18" ht="15" x14ac:dyDescent="0.2">
      <c r="A24" s="94" t="s">
        <v>62</v>
      </c>
      <c r="B24" s="65">
        <v>20</v>
      </c>
      <c r="C24" s="94"/>
      <c r="D24" s="94"/>
      <c r="E24" s="94"/>
      <c r="F24" s="94"/>
      <c r="G24" s="97"/>
      <c r="H24" s="97"/>
      <c r="I24" s="97"/>
      <c r="J24" s="97"/>
      <c r="K24" s="97"/>
      <c r="L24" s="94"/>
      <c r="M24" s="56"/>
      <c r="N24" s="94"/>
      <c r="O24" s="94"/>
      <c r="P24" s="94"/>
    </row>
    <row r="25" spans="1:18" ht="15" x14ac:dyDescent="0.2">
      <c r="A25" s="94" t="s">
        <v>60</v>
      </c>
      <c r="B25" s="65">
        <v>8</v>
      </c>
      <c r="C25" s="94"/>
      <c r="D25" s="94"/>
      <c r="E25" s="94"/>
      <c r="F25" s="94"/>
      <c r="G25" s="97"/>
      <c r="H25" s="97"/>
      <c r="I25" s="97"/>
      <c r="J25" s="97"/>
      <c r="K25" s="97"/>
      <c r="L25" s="94"/>
      <c r="M25" s="136"/>
      <c r="N25" s="94"/>
      <c r="O25" s="94"/>
      <c r="P25" s="94"/>
    </row>
    <row r="28" spans="1:18" ht="15" x14ac:dyDescent="0.25">
      <c r="A28" s="151" t="s">
        <v>20</v>
      </c>
    </row>
    <row r="29" spans="1:18" ht="15" x14ac:dyDescent="0.25">
      <c r="A29" s="152" t="s">
        <v>21</v>
      </c>
    </row>
    <row r="30" spans="1:18" ht="15" x14ac:dyDescent="0.25">
      <c r="A30" s="153" t="s">
        <v>22</v>
      </c>
      <c r="B30" s="119">
        <v>20</v>
      </c>
      <c r="C30" s="119">
        <v>30</v>
      </c>
      <c r="D30" s="65">
        <f>C30*$B$10</f>
        <v>0.44999999999999996</v>
      </c>
      <c r="E30" s="65">
        <f>C30*$B$9</f>
        <v>1.5</v>
      </c>
      <c r="F30" s="65">
        <f>+B30</f>
        <v>20</v>
      </c>
      <c r="G30" s="67">
        <f>B30*$C$9/(1+$C$9)</f>
        <v>3.4710743801652897</v>
      </c>
      <c r="H30" s="67">
        <f>(D30*$C$9)+(E30*$C$10)</f>
        <v>0.40949999999999998</v>
      </c>
      <c r="I30" s="67">
        <f>D30+E30+F30-G30</f>
        <v>18.478925619834708</v>
      </c>
      <c r="J30" s="67">
        <f>C30*$C$10/121%</f>
        <v>5.2066115702479339</v>
      </c>
      <c r="K30" s="67">
        <f>J30-G30-H30</f>
        <v>1.3260371900826442</v>
      </c>
      <c r="L30" s="67">
        <f>C30-J30</f>
        <v>24.793388429752067</v>
      </c>
      <c r="M30" s="58">
        <f>C30-I30-K30</f>
        <v>10.195037190082648</v>
      </c>
      <c r="N30" s="137">
        <v>50</v>
      </c>
      <c r="O30" s="65">
        <f>+N30*C30</f>
        <v>1500</v>
      </c>
      <c r="P30" s="67">
        <f>+N30*M30</f>
        <v>509.75185950413237</v>
      </c>
    </row>
    <row r="31" spans="1:18" ht="15" x14ac:dyDescent="0.2">
      <c r="A31" s="139" t="s">
        <v>73</v>
      </c>
      <c r="B31" s="119">
        <v>20</v>
      </c>
      <c r="C31" s="119">
        <v>35</v>
      </c>
      <c r="D31" s="65">
        <f>C31*$B$10</f>
        <v>0.52500000000000002</v>
      </c>
      <c r="E31" s="65">
        <f>C31*$B$9</f>
        <v>1.75</v>
      </c>
      <c r="F31" s="65">
        <f>+B31</f>
        <v>20</v>
      </c>
      <c r="G31" s="67">
        <f>B31*$C$9/(1+$C$9)</f>
        <v>3.4710743801652897</v>
      </c>
      <c r="H31" s="67">
        <f>(D31*$C$9)+(E31*$C$10)</f>
        <v>0.47775000000000001</v>
      </c>
      <c r="I31" s="67">
        <f>D31+E31+F31-G31</f>
        <v>18.803925619834708</v>
      </c>
      <c r="J31" s="67">
        <f>C31*$C$10/121%</f>
        <v>6.0743801652892557</v>
      </c>
      <c r="K31" s="67">
        <f>J31-G31-H31</f>
        <v>2.1255557851239661</v>
      </c>
      <c r="L31" s="67">
        <f>C31-J31</f>
        <v>28.925619834710744</v>
      </c>
      <c r="M31" s="58">
        <f>C31-I31-K31</f>
        <v>14.070518595041326</v>
      </c>
      <c r="N31" s="137">
        <f>N20-N30</f>
        <v>75</v>
      </c>
      <c r="O31" s="65">
        <f>+N31*C31</f>
        <v>2625</v>
      </c>
      <c r="P31" s="67">
        <f>+N31*M31</f>
        <v>1055.2888946280996</v>
      </c>
    </row>
    <row r="32" spans="1:18" x14ac:dyDescent="0.2">
      <c r="A32" s="139"/>
      <c r="P32" s="141">
        <f>P30+P31</f>
        <v>1565.040754132232</v>
      </c>
    </row>
    <row r="33" spans="1:16" x14ac:dyDescent="0.2">
      <c r="A33" s="139"/>
    </row>
    <row r="34" spans="1:16" ht="15" x14ac:dyDescent="0.25">
      <c r="A34" s="152" t="s">
        <v>23</v>
      </c>
    </row>
    <row r="35" spans="1:16" ht="15" x14ac:dyDescent="0.25">
      <c r="A35" s="153" t="s">
        <v>22</v>
      </c>
    </row>
    <row r="36" spans="1:16" ht="15" x14ac:dyDescent="0.2">
      <c r="A36" s="139" t="s">
        <v>74</v>
      </c>
      <c r="B36" s="119">
        <v>28</v>
      </c>
      <c r="C36" s="119">
        <v>45</v>
      </c>
      <c r="D36" s="65">
        <f>C36*$B$10</f>
        <v>0.67499999999999993</v>
      </c>
      <c r="E36" s="65">
        <f>C36*$B$9</f>
        <v>2.25</v>
      </c>
      <c r="F36" s="65">
        <f>+B36</f>
        <v>28</v>
      </c>
      <c r="G36" s="67">
        <f>B36*$C$9/(1+$C$9)</f>
        <v>4.8595041322314048</v>
      </c>
      <c r="H36" s="67">
        <f>(D36*$C$9)+(E36*$C$10)</f>
        <v>0.61424999999999996</v>
      </c>
      <c r="I36" s="67">
        <f>D36+E36+F36-G36</f>
        <v>26.065495867768597</v>
      </c>
      <c r="J36" s="67">
        <f>C36*$C$10/121%</f>
        <v>7.8099173553719003</v>
      </c>
      <c r="K36" s="67">
        <f>J36-G36-H36</f>
        <v>2.3361632231404954</v>
      </c>
      <c r="L36" s="67">
        <f>C36-J36</f>
        <v>37.190082644628099</v>
      </c>
      <c r="M36" s="58">
        <f>C36-I36-K36</f>
        <v>16.598340909090908</v>
      </c>
      <c r="N36" s="137">
        <v>50</v>
      </c>
      <c r="O36" s="65">
        <f>+N36*C36</f>
        <v>2250</v>
      </c>
      <c r="P36" s="67">
        <f>+N36*M36</f>
        <v>829.91704545454536</v>
      </c>
    </row>
    <row r="37" spans="1:16" ht="15" x14ac:dyDescent="0.2">
      <c r="A37" s="139"/>
      <c r="B37" s="119">
        <v>28</v>
      </c>
      <c r="C37" s="119">
        <v>55</v>
      </c>
      <c r="D37" s="65">
        <f>C37*$B$10</f>
        <v>0.82499999999999996</v>
      </c>
      <c r="E37" s="65">
        <f>C37*$B$9</f>
        <v>2.75</v>
      </c>
      <c r="F37" s="65">
        <f>+B37</f>
        <v>28</v>
      </c>
      <c r="G37" s="67">
        <f>B37*$C$9/(1+$C$9)</f>
        <v>4.8595041322314048</v>
      </c>
      <c r="H37" s="67">
        <f>(D37*$C$9)+(E37*$C$10)</f>
        <v>0.75075000000000003</v>
      </c>
      <c r="I37" s="67">
        <f>D37+E37+F37-G37</f>
        <v>26.715495867768595</v>
      </c>
      <c r="J37" s="67">
        <f>C37*$C$10/121%</f>
        <v>9.545454545454545</v>
      </c>
      <c r="K37" s="67">
        <f>J37-G37-H37</f>
        <v>3.9352004132231402</v>
      </c>
      <c r="L37" s="67">
        <f>C37-J37</f>
        <v>45.454545454545453</v>
      </c>
      <c r="M37" s="58">
        <f>C37-I37-K37</f>
        <v>24.349303719008265</v>
      </c>
      <c r="N37" s="137">
        <f>N23-N36</f>
        <v>100</v>
      </c>
      <c r="O37" s="65">
        <f>+N37*C37</f>
        <v>5500</v>
      </c>
      <c r="P37" s="67">
        <f>+N37*M37</f>
        <v>2434.9303719008267</v>
      </c>
    </row>
    <row r="38" spans="1:16" x14ac:dyDescent="0.2">
      <c r="A38" s="139"/>
      <c r="P38" s="141">
        <f>P36+P37</f>
        <v>3264.8474173553723</v>
      </c>
    </row>
    <row r="39" spans="1:16" ht="15" x14ac:dyDescent="0.25">
      <c r="A39" s="153" t="s">
        <v>24</v>
      </c>
    </row>
    <row r="40" spans="1:16" ht="15" x14ac:dyDescent="0.25">
      <c r="A40" s="153" t="s">
        <v>22</v>
      </c>
    </row>
    <row r="41" spans="1:16" ht="15" x14ac:dyDescent="0.2">
      <c r="A41" s="140" t="s">
        <v>75</v>
      </c>
      <c r="B41" s="119">
        <v>20</v>
      </c>
      <c r="C41" s="119">
        <v>32</v>
      </c>
      <c r="D41" s="65">
        <f>C41*$B$10</f>
        <v>0.48</v>
      </c>
      <c r="E41" s="65">
        <f>C41*$B$9</f>
        <v>1.6</v>
      </c>
      <c r="F41" s="65">
        <f>+B41</f>
        <v>20</v>
      </c>
      <c r="G41" s="67">
        <f>B41*$C$9/(1+$C$9)</f>
        <v>3.4710743801652897</v>
      </c>
      <c r="H41" s="67">
        <f>(D41*$C$9)+(E41*$C$10)</f>
        <v>0.43680000000000002</v>
      </c>
      <c r="I41" s="67">
        <f>D41+E41+F41-G41</f>
        <v>18.608925619834707</v>
      </c>
      <c r="J41" s="67">
        <f>C41*$C$10/121%</f>
        <v>5.553719008264463</v>
      </c>
      <c r="K41" s="67">
        <f>J41-G41-H41</f>
        <v>1.6458446280991732</v>
      </c>
      <c r="L41" s="67">
        <f>C41-J41</f>
        <v>26.446280991735538</v>
      </c>
      <c r="M41" s="58">
        <f>C41-I41-K41</f>
        <v>11.74522975206612</v>
      </c>
      <c r="N41" s="137">
        <v>100</v>
      </c>
      <c r="O41" s="65">
        <f>+N41*C41</f>
        <v>3200</v>
      </c>
      <c r="P41" s="67">
        <f>+N41*M41</f>
        <v>1174.522975206612</v>
      </c>
    </row>
    <row r="42" spans="1:16" ht="15" x14ac:dyDescent="0.2">
      <c r="A42" s="140"/>
      <c r="B42" s="119">
        <v>20</v>
      </c>
      <c r="C42" s="119">
        <v>35</v>
      </c>
      <c r="D42" s="65">
        <f>C42*$B$10</f>
        <v>0.52500000000000002</v>
      </c>
      <c r="E42" s="65">
        <f>C42*$B$9</f>
        <v>1.75</v>
      </c>
      <c r="F42" s="65">
        <f>+B42</f>
        <v>20</v>
      </c>
      <c r="G42" s="67">
        <f>B42*$C$9/(1+$C$9)</f>
        <v>3.4710743801652897</v>
      </c>
      <c r="H42" s="67">
        <f>(D42*$C$9)+(E42*$C$10)</f>
        <v>0.47775000000000001</v>
      </c>
      <c r="I42" s="67">
        <f>D42+E42+F42-G42</f>
        <v>18.803925619834708</v>
      </c>
      <c r="J42" s="67">
        <f>C42*$C$10/121%</f>
        <v>6.0743801652892557</v>
      </c>
      <c r="K42" s="67">
        <f>J42-G42-H42</f>
        <v>2.1255557851239661</v>
      </c>
      <c r="L42" s="67">
        <f>C42-J42</f>
        <v>28.925619834710744</v>
      </c>
      <c r="M42" s="58">
        <f>C42-I42-K42</f>
        <v>14.070518595041326</v>
      </c>
      <c r="N42" s="137">
        <f>N20-N41</f>
        <v>25</v>
      </c>
      <c r="O42" s="65">
        <f>+N42*C42</f>
        <v>875</v>
      </c>
      <c r="P42" s="67">
        <f>+N42*M42</f>
        <v>351.76296487603315</v>
      </c>
    </row>
    <row r="43" spans="1:16" x14ac:dyDescent="0.2">
      <c r="P43" s="141">
        <f>P41+P42</f>
        <v>1526.2859400826451</v>
      </c>
    </row>
    <row r="45" spans="1:16" x14ac:dyDescent="0.2">
      <c r="A45" s="140"/>
    </row>
  </sheetData>
  <mergeCells count="1">
    <mergeCell ref="D12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A001-5158-40DF-BEA6-D37701C48A4C}">
  <dimension ref="C5:R28"/>
  <sheetViews>
    <sheetView topLeftCell="A8" workbookViewId="0">
      <selection activeCell="F16" sqref="F16"/>
    </sheetView>
  </sheetViews>
  <sheetFormatPr defaultRowHeight="14.25" x14ac:dyDescent="0.2"/>
  <cols>
    <col min="3" max="3" width="22.25" customWidth="1"/>
    <col min="5" max="5" width="10.5" customWidth="1"/>
    <col min="10" max="10" width="12.625" customWidth="1"/>
  </cols>
  <sheetData>
    <row r="5" spans="3:18" x14ac:dyDescent="0.2">
      <c r="C5" s="1" t="s">
        <v>25</v>
      </c>
      <c r="D5" s="2" t="s">
        <v>26</v>
      </c>
      <c r="F5" s="3"/>
    </row>
    <row r="6" spans="3:18" x14ac:dyDescent="0.2">
      <c r="C6" s="1" t="s">
        <v>27</v>
      </c>
      <c r="D6" s="4">
        <v>100</v>
      </c>
      <c r="F6" s="3"/>
    </row>
    <row r="7" spans="3:18" ht="39" x14ac:dyDescent="0.25">
      <c r="C7" s="5" t="s">
        <v>28</v>
      </c>
      <c r="D7" s="6"/>
      <c r="E7" s="6"/>
      <c r="F7" s="6"/>
      <c r="G7" s="7" t="s">
        <v>29</v>
      </c>
      <c r="H7" s="8" t="s">
        <v>30</v>
      </c>
      <c r="I7" s="7" t="s">
        <v>31</v>
      </c>
      <c r="J7" s="9" t="s">
        <v>32</v>
      </c>
    </row>
    <row r="8" spans="3:18" x14ac:dyDescent="0.2">
      <c r="C8" s="6" t="s">
        <v>33</v>
      </c>
      <c r="D8" s="1" t="s">
        <v>34</v>
      </c>
      <c r="E8" s="6">
        <v>5.8</v>
      </c>
      <c r="F8" s="6">
        <f>+E8*D6</f>
        <v>580</v>
      </c>
      <c r="G8" s="6">
        <f>+P20+P23+P26*2</f>
        <v>38</v>
      </c>
      <c r="H8" s="6">
        <f>+(D6-G8)*E8</f>
        <v>359.59999999999997</v>
      </c>
      <c r="I8" s="10">
        <f>+H8/121*100</f>
        <v>297.19008264462803</v>
      </c>
    </row>
    <row r="9" spans="3:18" x14ac:dyDescent="0.2">
      <c r="C9" s="6" t="s">
        <v>35</v>
      </c>
      <c r="D9" s="6"/>
      <c r="E9" s="6">
        <v>1</v>
      </c>
      <c r="F9" s="6">
        <v>300</v>
      </c>
      <c r="G9" s="6"/>
      <c r="H9" s="6">
        <f>+F9</f>
        <v>300</v>
      </c>
      <c r="I9" s="10">
        <f>+H9/121*100</f>
        <v>247.93388429752068</v>
      </c>
      <c r="J9" s="10">
        <f>+H9-I9</f>
        <v>52.066115702479323</v>
      </c>
    </row>
    <row r="10" spans="3:18" ht="15" x14ac:dyDescent="0.25">
      <c r="C10" s="5" t="s">
        <v>8</v>
      </c>
      <c r="D10" s="6"/>
      <c r="E10" s="6"/>
      <c r="F10" s="6">
        <f>SUM(F8:F9)</f>
        <v>880</v>
      </c>
      <c r="G10" s="6"/>
      <c r="H10" s="6">
        <f>SUM(H8:H9)</f>
        <v>659.59999999999991</v>
      </c>
      <c r="I10" s="11">
        <f>SUM(I8:I9)</f>
        <v>545.12396694214874</v>
      </c>
    </row>
    <row r="11" spans="3:18" x14ac:dyDescent="0.2">
      <c r="C11" s="6" t="s">
        <v>36</v>
      </c>
      <c r="D11" s="12">
        <v>0.05</v>
      </c>
      <c r="E11" s="12">
        <v>0.21</v>
      </c>
      <c r="F11" s="13" t="s">
        <v>37</v>
      </c>
    </row>
    <row r="12" spans="3:18" x14ac:dyDescent="0.2">
      <c r="C12" s="6" t="s">
        <v>38</v>
      </c>
      <c r="D12" s="14">
        <v>1.4999999999999999E-2</v>
      </c>
      <c r="E12" s="12">
        <v>0.21</v>
      </c>
      <c r="F12" s="13" t="s">
        <v>37</v>
      </c>
    </row>
    <row r="13" spans="3:18" ht="15" thickBot="1" x14ac:dyDescent="0.25">
      <c r="D13" s="15"/>
      <c r="E13" s="16"/>
      <c r="F13" s="17"/>
    </row>
    <row r="14" spans="3:18" ht="15.75" thickBot="1" x14ac:dyDescent="0.3">
      <c r="D14" s="15"/>
      <c r="E14" s="16"/>
      <c r="F14" s="117" t="s">
        <v>39</v>
      </c>
      <c r="G14" s="118"/>
      <c r="H14" s="18"/>
      <c r="I14" s="18"/>
      <c r="J14" s="18"/>
      <c r="K14" s="18"/>
      <c r="L14" s="18"/>
      <c r="M14" s="18"/>
      <c r="N14" s="18"/>
      <c r="O14" s="18"/>
      <c r="P14" s="18"/>
      <c r="Q14" s="19">
        <f>SUM(Q16:Q28)</f>
        <v>1037</v>
      </c>
      <c r="R14" s="20">
        <f>SUM(R16:R28)</f>
        <v>472.19256198347108</v>
      </c>
    </row>
    <row r="15" spans="3:18" ht="45" x14ac:dyDescent="0.25">
      <c r="C15" s="5" t="s">
        <v>9</v>
      </c>
      <c r="D15" s="21" t="s">
        <v>40</v>
      </c>
      <c r="E15" s="22" t="s">
        <v>41</v>
      </c>
      <c r="F15" s="23" t="s">
        <v>42</v>
      </c>
      <c r="G15" s="23" t="s">
        <v>43</v>
      </c>
      <c r="H15" s="24" t="s">
        <v>44</v>
      </c>
      <c r="I15" s="25" t="s">
        <v>45</v>
      </c>
      <c r="J15" s="26" t="s">
        <v>46</v>
      </c>
      <c r="K15" s="25" t="s">
        <v>47</v>
      </c>
      <c r="L15" s="27" t="s">
        <v>48</v>
      </c>
      <c r="M15" s="28" t="s">
        <v>49</v>
      </c>
      <c r="N15" s="29" t="s">
        <v>50</v>
      </c>
      <c r="O15" s="30" t="s">
        <v>51</v>
      </c>
      <c r="P15" s="31" t="s">
        <v>52</v>
      </c>
      <c r="Q15" s="32" t="s">
        <v>25</v>
      </c>
      <c r="R15" s="31" t="s">
        <v>53</v>
      </c>
    </row>
    <row r="16" spans="3:18" ht="75" x14ac:dyDescent="0.25">
      <c r="C16" s="22" t="s">
        <v>54</v>
      </c>
      <c r="D16" s="33"/>
      <c r="E16" s="6">
        <v>5</v>
      </c>
      <c r="F16" s="34">
        <f>+E16*$J$11</f>
        <v>0</v>
      </c>
      <c r="G16" s="6">
        <f>+E16*$J$10</f>
        <v>0</v>
      </c>
      <c r="H16" s="33">
        <f>+D16</f>
        <v>0</v>
      </c>
      <c r="I16" s="10">
        <v>0</v>
      </c>
      <c r="J16" s="35">
        <f>+F16*$K$10+G16*$K$11</f>
        <v>0</v>
      </c>
      <c r="K16" s="10">
        <f>+F16+G16+H16-I16</f>
        <v>0</v>
      </c>
      <c r="L16" s="35">
        <v>0</v>
      </c>
      <c r="M16" s="10">
        <f>+L16-J16-I16</f>
        <v>0</v>
      </c>
      <c r="N16" s="36">
        <f>+E16-L16</f>
        <v>5</v>
      </c>
      <c r="O16" s="37">
        <f>+N16-K16-M16</f>
        <v>5</v>
      </c>
      <c r="P16" s="33">
        <v>1</v>
      </c>
      <c r="Q16" s="6">
        <f>+P16*E16</f>
        <v>5</v>
      </c>
      <c r="R16" s="38">
        <f>+P16*O16</f>
        <v>5</v>
      </c>
    </row>
    <row r="17" spans="3:18" ht="90" x14ac:dyDescent="0.25">
      <c r="C17" s="22" t="s">
        <v>55</v>
      </c>
      <c r="D17" s="33">
        <v>1.3</v>
      </c>
      <c r="E17" s="6">
        <v>7</v>
      </c>
      <c r="F17" s="34">
        <f>+E17*$J$11</f>
        <v>0</v>
      </c>
      <c r="G17" s="6">
        <f>+E17*$J$10</f>
        <v>0</v>
      </c>
      <c r="H17" s="33">
        <f>+D17</f>
        <v>1.3</v>
      </c>
      <c r="I17" s="10">
        <f>H17*$K$10/(1+$K$10)</f>
        <v>0</v>
      </c>
      <c r="J17" s="35">
        <f>+F17*$K$10+G17*$K$11</f>
        <v>0</v>
      </c>
      <c r="K17" s="10">
        <f>+F17+G17+H17-I17</f>
        <v>1.3</v>
      </c>
      <c r="L17" s="35">
        <f>+E17*21/121</f>
        <v>1.2148760330578512</v>
      </c>
      <c r="M17" s="10">
        <f>+L17-J17-I17</f>
        <v>1.2148760330578512</v>
      </c>
      <c r="N17" s="35">
        <f>+E17-L17</f>
        <v>5.785123966942149</v>
      </c>
      <c r="O17" s="37">
        <f>+E17-K17-M17</f>
        <v>4.4851239669421492</v>
      </c>
      <c r="P17" s="33">
        <v>4</v>
      </c>
      <c r="Q17" s="6">
        <f>+P17*E17</f>
        <v>28</v>
      </c>
      <c r="R17" s="38">
        <f>+P17*O17</f>
        <v>17.940495867768597</v>
      </c>
    </row>
    <row r="18" spans="3:18" ht="15" x14ac:dyDescent="0.25">
      <c r="C18" s="39" t="s">
        <v>56</v>
      </c>
      <c r="D18">
        <v>0.9</v>
      </c>
      <c r="E18" s="39"/>
      <c r="F18" s="3"/>
      <c r="G18" s="39"/>
      <c r="I18" s="40"/>
      <c r="J18" s="41"/>
      <c r="K18" s="40"/>
      <c r="L18" s="41"/>
      <c r="M18" s="40"/>
      <c r="O18" s="42"/>
      <c r="Q18" s="39"/>
    </row>
    <row r="19" spans="3:18" ht="15" x14ac:dyDescent="0.25">
      <c r="C19" s="39" t="s">
        <v>57</v>
      </c>
      <c r="D19">
        <v>0.4</v>
      </c>
      <c r="E19" s="39"/>
      <c r="F19" s="3"/>
      <c r="G19" s="39"/>
      <c r="I19" s="40"/>
      <c r="J19" s="41"/>
      <c r="K19" s="40"/>
      <c r="L19" s="41"/>
      <c r="M19" s="40"/>
      <c r="O19" s="43"/>
      <c r="Q19" s="39"/>
    </row>
    <row r="20" spans="3:18" ht="15" x14ac:dyDescent="0.25">
      <c r="C20" s="5" t="s">
        <v>58</v>
      </c>
      <c r="D20" s="33">
        <v>9.8000000000000007</v>
      </c>
      <c r="E20" s="6">
        <v>25</v>
      </c>
      <c r="F20" s="34">
        <f>+E20*$J$11</f>
        <v>0</v>
      </c>
      <c r="G20" s="6">
        <f>+E20*$J$10</f>
        <v>0</v>
      </c>
      <c r="H20" s="33">
        <f>+D20</f>
        <v>9.8000000000000007</v>
      </c>
      <c r="I20" s="10">
        <f>H20*$K$10/(1+$K$10)</f>
        <v>0</v>
      </c>
      <c r="J20" s="35">
        <f>+F20*$K$10+G20*$K$11</f>
        <v>0</v>
      </c>
      <c r="K20" s="10">
        <f>+F20+G20+H20-I20</f>
        <v>9.8000000000000007</v>
      </c>
      <c r="L20" s="35">
        <f>+E20*21/121</f>
        <v>4.338842975206612</v>
      </c>
      <c r="M20" s="10">
        <f>+L20-J20-I20</f>
        <v>4.338842975206612</v>
      </c>
      <c r="N20" s="35">
        <f>+E20-L20</f>
        <v>20.66115702479339</v>
      </c>
      <c r="O20" s="37">
        <f>+E20-K20-M20</f>
        <v>10.861157024793387</v>
      </c>
      <c r="P20" s="33">
        <v>25</v>
      </c>
      <c r="Q20" s="6">
        <f>+P20*E20</f>
        <v>625</v>
      </c>
      <c r="R20" s="38">
        <f>+P20*O20</f>
        <v>271.52892561983469</v>
      </c>
    </row>
    <row r="21" spans="3:18" ht="15" x14ac:dyDescent="0.25">
      <c r="C21" s="39" t="s">
        <v>59</v>
      </c>
      <c r="D21">
        <v>5.8</v>
      </c>
      <c r="E21" s="39"/>
      <c r="F21" s="3"/>
      <c r="G21" s="39"/>
      <c r="I21" s="40"/>
      <c r="J21" s="41"/>
      <c r="K21" s="40"/>
      <c r="L21" s="41"/>
      <c r="M21" s="40"/>
      <c r="O21" s="42"/>
      <c r="Q21" s="39"/>
    </row>
    <row r="22" spans="3:18" ht="15" x14ac:dyDescent="0.25">
      <c r="C22" s="39" t="s">
        <v>60</v>
      </c>
      <c r="D22">
        <v>4</v>
      </c>
      <c r="E22" s="39"/>
      <c r="F22" s="3"/>
      <c r="G22" s="39"/>
      <c r="I22" s="40"/>
      <c r="J22" s="41"/>
      <c r="K22" s="40"/>
      <c r="L22" s="41"/>
      <c r="M22" s="40"/>
      <c r="O22" s="43"/>
      <c r="Q22" s="39"/>
    </row>
    <row r="23" spans="3:18" ht="15" x14ac:dyDescent="0.25">
      <c r="C23" s="5" t="s">
        <v>61</v>
      </c>
      <c r="D23" s="33">
        <v>10.7</v>
      </c>
      <c r="E23" s="6">
        <v>31</v>
      </c>
      <c r="F23" s="34">
        <f>+E23*$J$11</f>
        <v>0</v>
      </c>
      <c r="G23" s="6">
        <f>+E23*$J$10</f>
        <v>0</v>
      </c>
      <c r="H23" s="33">
        <f>+D23</f>
        <v>10.7</v>
      </c>
      <c r="I23" s="10">
        <f>H23*$K$10/(1+$K$10)</f>
        <v>0</v>
      </c>
      <c r="J23" s="35">
        <f>+F23*$K$10+G23*$K$11</f>
        <v>0</v>
      </c>
      <c r="K23" s="10">
        <f>+F23+G23+H23-I23</f>
        <v>10.7</v>
      </c>
      <c r="L23" s="35">
        <f>+E23*21/121</f>
        <v>5.3801652892561984</v>
      </c>
      <c r="M23" s="10">
        <f>+L23-J23-I23</f>
        <v>5.3801652892561984</v>
      </c>
      <c r="N23" s="35">
        <f>+E23-L23</f>
        <v>25.619834710743802</v>
      </c>
      <c r="O23" s="37">
        <f>+E23-K23-M23</f>
        <v>14.919834710743803</v>
      </c>
      <c r="P23" s="33">
        <v>9</v>
      </c>
      <c r="Q23" s="6">
        <f>+P23*E23</f>
        <v>279</v>
      </c>
      <c r="R23" s="38">
        <f>+P23*O23</f>
        <v>134.27851239669423</v>
      </c>
    </row>
    <row r="24" spans="3:18" ht="15" x14ac:dyDescent="0.25">
      <c r="C24" s="39" t="s">
        <v>62</v>
      </c>
      <c r="D24">
        <v>6.7</v>
      </c>
      <c r="E24" s="39"/>
      <c r="F24" s="3"/>
      <c r="G24" s="39"/>
      <c r="I24" s="40"/>
      <c r="J24" s="41"/>
      <c r="K24" s="40"/>
      <c r="L24" s="41"/>
      <c r="M24" s="40"/>
      <c r="O24" s="42"/>
      <c r="Q24" s="39"/>
    </row>
    <row r="25" spans="3:18" ht="15" x14ac:dyDescent="0.25">
      <c r="C25" s="39" t="s">
        <v>60</v>
      </c>
      <c r="D25">
        <v>4</v>
      </c>
      <c r="E25" s="39"/>
      <c r="F25" s="3"/>
      <c r="G25" s="39"/>
      <c r="I25" s="40"/>
      <c r="J25" s="41"/>
      <c r="K25" s="40"/>
      <c r="L25" s="41"/>
      <c r="M25" s="40"/>
      <c r="O25" s="43"/>
      <c r="Q25" s="39"/>
    </row>
    <row r="26" spans="3:18" ht="15" x14ac:dyDescent="0.25">
      <c r="C26" s="5" t="s">
        <v>63</v>
      </c>
      <c r="D26" s="33">
        <v>19.600000000000001</v>
      </c>
      <c r="E26" s="6">
        <v>50</v>
      </c>
      <c r="F26" s="34">
        <f>+E26*$J$11</f>
        <v>0</v>
      </c>
      <c r="G26" s="6">
        <f>+E26*$J$10</f>
        <v>0</v>
      </c>
      <c r="H26" s="33">
        <f>+D26</f>
        <v>19.600000000000001</v>
      </c>
      <c r="I26" s="10">
        <f>H26*$K$10/(1+$K$10)</f>
        <v>0</v>
      </c>
      <c r="J26" s="35">
        <f>+F26*$K$10+G26*$K$11</f>
        <v>0</v>
      </c>
      <c r="K26" s="10">
        <f>+F26+G26+H26-I26</f>
        <v>19.600000000000001</v>
      </c>
      <c r="L26" s="35">
        <f>+E26*21/121</f>
        <v>8.677685950413224</v>
      </c>
      <c r="M26" s="10">
        <f>+L26-J26-I26</f>
        <v>8.677685950413224</v>
      </c>
      <c r="N26" s="35">
        <f>+E26-L26</f>
        <v>41.32231404958678</v>
      </c>
      <c r="O26" s="37">
        <f>+E26-K26-M26</f>
        <v>21.722314049586775</v>
      </c>
      <c r="P26" s="33">
        <v>2</v>
      </c>
      <c r="Q26" s="6">
        <f>+P26*E26</f>
        <v>100</v>
      </c>
      <c r="R26" s="38">
        <f>+P26*O26</f>
        <v>43.444628099173549</v>
      </c>
    </row>
    <row r="27" spans="3:18" x14ac:dyDescent="0.2">
      <c r="C27" s="39" t="s">
        <v>59</v>
      </c>
      <c r="D27">
        <v>11.6</v>
      </c>
      <c r="E27" s="39"/>
      <c r="F27" s="3"/>
      <c r="G27" s="39"/>
      <c r="I27" s="40"/>
      <c r="J27" s="41"/>
      <c r="K27" s="39"/>
      <c r="L27" s="41"/>
      <c r="M27" s="40"/>
      <c r="O27" s="40"/>
      <c r="Q27" s="39"/>
    </row>
    <row r="28" spans="3:18" x14ac:dyDescent="0.2">
      <c r="C28" s="44" t="s">
        <v>60</v>
      </c>
      <c r="D28">
        <v>8</v>
      </c>
      <c r="E28" s="44"/>
      <c r="F28" s="3"/>
      <c r="G28" s="44"/>
      <c r="I28" s="44"/>
      <c r="K28" s="44"/>
      <c r="M28" s="44"/>
      <c r="O28" s="44"/>
      <c r="Q28" s="44"/>
    </row>
  </sheetData>
  <mergeCells count="1">
    <mergeCell ref="F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Template Sprint de la clase 1</vt:lpstr>
      <vt:lpstr>Sprint 1</vt:lpstr>
      <vt:lpstr>Full1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Oriol puig i Carreró</cp:lastModifiedBy>
  <dcterms:created xsi:type="dcterms:W3CDTF">2021-05-08T20:27:43Z</dcterms:created>
  <dcterms:modified xsi:type="dcterms:W3CDTF">2024-02-07T19:04:36Z</dcterms:modified>
</cp:coreProperties>
</file>