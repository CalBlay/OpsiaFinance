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https://d.docs.live.net/e6c7bcb4eb356115/Escritorio/IEBS/MODULO 3/CONTROLLING/"/>
    </mc:Choice>
  </mc:AlternateContent>
  <xr:revisionPtr revIDLastSave="0" documentId="8_{57F16E55-A5A4-440E-9550-0CA8183ADAF3}" xr6:coauthVersionLast="47" xr6:coauthVersionMax="47" xr10:uidLastSave="{00000000-0000-0000-0000-000000000000}"/>
  <bookViews>
    <workbookView xWindow="-120" yWindow="-120" windowWidth="29040" windowHeight="15720" xr2:uid="{00000000-000D-0000-FFFF-FFFF00000000}"/>
  </bookViews>
  <sheets>
    <sheet name="Servidores" sheetId="1" r:id="rId1"/>
    <sheet name="Empresas comparabl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5" i="1" l="1"/>
  <c r="N18" i="2"/>
  <c r="F35" i="1"/>
  <c r="E35" i="1"/>
  <c r="D35" i="1"/>
  <c r="C35" i="1"/>
  <c r="C27" i="1"/>
  <c r="C25" i="1"/>
  <c r="C23" i="1"/>
  <c r="C21" i="1"/>
  <c r="C20" i="1"/>
  <c r="C19" i="1"/>
  <c r="C18" i="1"/>
  <c r="C15" i="1"/>
  <c r="N17" i="2"/>
  <c r="N16" i="2"/>
  <c r="N15" i="2"/>
  <c r="N14" i="2"/>
  <c r="N7" i="2"/>
  <c r="N8" i="2"/>
  <c r="N9" i="2"/>
  <c r="N10" i="2"/>
  <c r="N11" i="2"/>
  <c r="N12" i="2"/>
  <c r="N6" i="2"/>
  <c r="L6" i="2"/>
  <c r="M6" i="2"/>
  <c r="L7" i="2"/>
  <c r="M7" i="2"/>
  <c r="L8" i="2"/>
  <c r="M8" i="2"/>
  <c r="L9" i="2"/>
  <c r="M9" i="2"/>
  <c r="L10" i="2"/>
  <c r="M10" i="2"/>
  <c r="L11" i="2"/>
  <c r="M11" i="2"/>
  <c r="L12" i="2"/>
  <c r="M12" i="2"/>
  <c r="K12" i="2"/>
  <c r="K11" i="2"/>
  <c r="K10" i="2"/>
  <c r="K9" i="2"/>
  <c r="K8" i="2"/>
  <c r="K7" i="2"/>
  <c r="K6" i="2"/>
  <c r="E115" i="2"/>
  <c r="D115" i="2"/>
  <c r="C115" i="2"/>
  <c r="E99" i="2"/>
  <c r="D99" i="2"/>
  <c r="C99" i="2"/>
  <c r="E83" i="2"/>
  <c r="D83" i="2"/>
  <c r="C83" i="2"/>
  <c r="E67" i="2"/>
  <c r="D67" i="2"/>
  <c r="C67" i="2"/>
  <c r="E51" i="2"/>
  <c r="D51" i="2"/>
  <c r="C51" i="2"/>
  <c r="E35" i="2"/>
  <c r="D35" i="2"/>
  <c r="C35" i="2"/>
  <c r="D19" i="2"/>
  <c r="E19" i="2"/>
  <c r="C19" i="2"/>
  <c r="I9" i="1"/>
  <c r="G9" i="1"/>
  <c r="F9" i="1"/>
  <c r="E9" i="1"/>
  <c r="D9" i="1"/>
  <c r="C9" i="1"/>
</calcChain>
</file>

<file path=xl/sharedStrings.xml><?xml version="1.0" encoding="utf-8"?>
<sst xmlns="http://schemas.openxmlformats.org/spreadsheetml/2006/main" count="203" uniqueCount="48">
  <si>
    <t>Coste Adquisición</t>
  </si>
  <si>
    <t>Amortización del ejercicio</t>
  </si>
  <si>
    <t>Valor contable fin de ejercicio</t>
  </si>
  <si>
    <t>Servidor 1</t>
  </si>
  <si>
    <t>Servidor 2</t>
  </si>
  <si>
    <t>Servidor 3</t>
  </si>
  <si>
    <t>Servidor 4</t>
  </si>
  <si>
    <t>Costes financieros</t>
  </si>
  <si>
    <t>Resto de gastos imputables</t>
  </si>
  <si>
    <t>Precio alquiler ofertado</t>
  </si>
  <si>
    <t>Turnover</t>
  </si>
  <si>
    <t>n.a.</t>
  </si>
  <si>
    <t>Cost of goods sold</t>
  </si>
  <si>
    <t>Gross profit</t>
  </si>
  <si>
    <t>Other operating expenses</t>
  </si>
  <si>
    <t>Operating P/L</t>
  </si>
  <si>
    <t>Total fixed assets</t>
  </si>
  <si>
    <t>Intangible fixed assets</t>
  </si>
  <si>
    <t>Stocks</t>
  </si>
  <si>
    <t>Debtors</t>
  </si>
  <si>
    <t>Cash</t>
  </si>
  <si>
    <t>Total assets</t>
  </si>
  <si>
    <t>Creditors</t>
  </si>
  <si>
    <t>EMPRESA 1</t>
  </si>
  <si>
    <t>EMPRESA 2</t>
  </si>
  <si>
    <t>EMPRESA 3</t>
  </si>
  <si>
    <t>EMPRESA 4</t>
  </si>
  <si>
    <t>EMPRESA 5</t>
  </si>
  <si>
    <t>EMPRESA 6</t>
  </si>
  <si>
    <t>EMPESA 7</t>
  </si>
  <si>
    <t>EMPRESAS QUE PRESTAN SERVICIOS DE ARRENDAMIENTO DE EQUIPOS INFORMÁTICOS</t>
  </si>
  <si>
    <t>EMPRESA 7</t>
  </si>
  <si>
    <t>ROA</t>
  </si>
  <si>
    <t>Promedio 2 años</t>
  </si>
  <si>
    <t>Minimo</t>
  </si>
  <si>
    <t>Cuartil bajo</t>
  </si>
  <si>
    <t>Mediana</t>
  </si>
  <si>
    <t>Cuartil alto</t>
  </si>
  <si>
    <t>Máximo</t>
  </si>
  <si>
    <t>Calculo ROA</t>
  </si>
  <si>
    <t>Total Ingresos</t>
  </si>
  <si>
    <t>Costees directos</t>
  </si>
  <si>
    <t>Amortización</t>
  </si>
  <si>
    <t>Resultado</t>
  </si>
  <si>
    <t>Coste Propiedad</t>
  </si>
  <si>
    <t>Comparabilidad:</t>
  </si>
  <si>
    <t>Mínimo</t>
  </si>
  <si>
    <t>Valores comparabilidad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</si>
</sst>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b/>
      <u/>
      <sz val="12"/>
      <color theme="1"/>
      <name val="Calibri"/>
      <family val="2"/>
      <scheme val="minor"/>
    </font>
    <font>
      <sz val="9"/>
      <name val="Arial"/>
      <family val="2"/>
    </font>
    <font>
      <sz val="7"/>
      <color theme="1"/>
      <name val="Verdana"/>
      <family val="2"/>
    </font>
    <font>
      <sz val="7"/>
      <color theme="1"/>
      <name val="Times New Roman"/>
      <family val="1"/>
    </font>
    <font>
      <sz val="6.5"/>
      <color theme="1"/>
      <name val="Times New Roman"/>
      <family val="1"/>
    </font>
    <font>
      <sz val="12"/>
      <color theme="1"/>
      <name val="Calibri"/>
      <family val="2"/>
      <scheme val="minor"/>
    </font>
    <font>
      <sz val="12"/>
      <color rgb="FFFF0000"/>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rgb="FF000000"/>
      </top>
      <bottom/>
      <diagonal/>
    </border>
    <border>
      <left style="medium">
        <color indexed="64"/>
      </left>
      <right/>
      <top style="medium">
        <color indexed="64"/>
      </top>
      <bottom style="medium">
        <color rgb="FFFFFFFF"/>
      </bottom>
      <diagonal/>
    </border>
    <border>
      <left/>
      <right/>
      <top style="medium">
        <color indexed="64"/>
      </top>
      <bottom style="medium">
        <color rgb="FFFFFFFF"/>
      </bottom>
      <diagonal/>
    </border>
    <border>
      <left/>
      <right style="medium">
        <color indexed="64"/>
      </right>
      <top style="medium">
        <color indexed="64"/>
      </top>
      <bottom style="medium">
        <color rgb="FFFFFFFF"/>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7" fillId="0" borderId="0" applyFont="0" applyFill="0" applyBorder="0" applyAlignment="0" applyProtection="0"/>
  </cellStyleXfs>
  <cellXfs count="42">
    <xf numFmtId="0" fontId="0" fillId="0" borderId="0" xfId="0"/>
    <xf numFmtId="4" fontId="0" fillId="0" borderId="0" xfId="0" applyNumberFormat="1"/>
    <xf numFmtId="0" fontId="0" fillId="0" borderId="2" xfId="0" applyBorder="1" applyAlignment="1">
      <alignment wrapText="1"/>
    </xf>
    <xf numFmtId="0" fontId="0" fillId="0" borderId="3" xfId="0" applyBorder="1"/>
    <xf numFmtId="0" fontId="0" fillId="0" borderId="4" xfId="0" applyBorder="1"/>
    <xf numFmtId="0" fontId="0" fillId="0" borderId="5" xfId="0" applyBorder="1"/>
    <xf numFmtId="0" fontId="0" fillId="0" borderId="1" xfId="0" applyBorder="1" applyAlignment="1">
      <alignment wrapText="1"/>
    </xf>
    <xf numFmtId="0" fontId="3" fillId="0" borderId="2" xfId="0" applyFont="1" applyBorder="1"/>
    <xf numFmtId="0" fontId="3" fillId="0" borderId="6" xfId="0" applyFont="1" applyBorder="1"/>
    <xf numFmtId="4" fontId="2" fillId="0" borderId="7" xfId="0" applyNumberFormat="1" applyFont="1" applyBorder="1"/>
    <xf numFmtId="4" fontId="0" fillId="0" borderId="2" xfId="0" applyNumberFormat="1" applyBorder="1"/>
    <xf numFmtId="4" fontId="0" fillId="0" borderId="6" xfId="0" applyNumberFormat="1" applyBorder="1"/>
    <xf numFmtId="0" fontId="0" fillId="2" borderId="1" xfId="0" applyFill="1" applyBorder="1" applyAlignment="1">
      <alignment wrapText="1"/>
    </xf>
    <xf numFmtId="4" fontId="1" fillId="0" borderId="7" xfId="0" applyNumberFormat="1" applyFont="1" applyBorder="1"/>
    <xf numFmtId="0" fontId="4" fillId="0" borderId="0" xfId="0" applyFont="1" applyAlignment="1">
      <alignment horizontal="left" vertical="center"/>
    </xf>
    <xf numFmtId="0" fontId="4" fillId="0" borderId="0" xfId="0" applyFont="1" applyAlignment="1">
      <alignment horizontal="center" vertical="center"/>
    </xf>
    <xf numFmtId="0" fontId="0" fillId="0" borderId="0" xfId="0" applyAlignment="1">
      <alignment horizontal="center"/>
    </xf>
    <xf numFmtId="0" fontId="0" fillId="0" borderId="0" xfId="0" applyAlignment="1">
      <alignment horizontal="left"/>
    </xf>
    <xf numFmtId="0" fontId="4" fillId="0" borderId="9" xfId="0" applyFont="1" applyBorder="1" applyAlignment="1">
      <alignment horizontal="left" vertical="center"/>
    </xf>
    <xf numFmtId="0" fontId="0" fillId="0" borderId="12" xfId="0" applyBorder="1" applyAlignment="1">
      <alignment horizontal="left" vertical="center"/>
    </xf>
    <xf numFmtId="0" fontId="4" fillId="0" borderId="13" xfId="0" applyFont="1" applyBorder="1" applyAlignment="1">
      <alignment horizontal="center" vertical="center"/>
    </xf>
    <xf numFmtId="0" fontId="4" fillId="0" borderId="12" xfId="0" applyFont="1" applyBorder="1" applyAlignment="1">
      <alignment horizontal="left" vertical="center"/>
    </xf>
    <xf numFmtId="0" fontId="4" fillId="0" borderId="14" xfId="0" applyFont="1" applyBorder="1" applyAlignment="1">
      <alignment horizontal="left"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2" fillId="0" borderId="0" xfId="0" applyFont="1" applyAlignment="1">
      <alignment horizontal="left"/>
    </xf>
    <xf numFmtId="10" fontId="0" fillId="0" borderId="0" xfId="1" applyNumberFormat="1" applyFont="1" applyAlignment="1">
      <alignment horizontal="center"/>
    </xf>
    <xf numFmtId="0" fontId="5" fillId="0" borderId="17" xfId="0" applyFont="1" applyBorder="1" applyAlignment="1">
      <alignment vertical="center"/>
    </xf>
    <xf numFmtId="0" fontId="5" fillId="0" borderId="8" xfId="0" applyFont="1" applyBorder="1" applyAlignment="1">
      <alignment vertical="center"/>
    </xf>
    <xf numFmtId="10" fontId="0" fillId="0" borderId="0" xfId="0" applyNumberFormat="1" applyAlignment="1">
      <alignment horizontal="center"/>
    </xf>
    <xf numFmtId="10" fontId="8" fillId="0" borderId="0" xfId="0" applyNumberFormat="1" applyFont="1" applyAlignment="1">
      <alignment horizontal="center"/>
    </xf>
    <xf numFmtId="10" fontId="8" fillId="0" borderId="0" xfId="1" applyNumberFormat="1" applyFont="1" applyAlignment="1">
      <alignment horizontal="center"/>
    </xf>
    <xf numFmtId="0" fontId="0" fillId="0" borderId="0" xfId="0" applyAlignment="1">
      <alignment horizontal="center" wrapText="1"/>
    </xf>
    <xf numFmtId="10" fontId="0" fillId="0" borderId="0" xfId="0" applyNumberFormat="1"/>
    <xf numFmtId="10" fontId="0" fillId="0" borderId="0" xfId="1" applyNumberFormat="1" applyFont="1"/>
    <xf numFmtId="0" fontId="0" fillId="3" borderId="1" xfId="0" applyFill="1" applyBorder="1"/>
    <xf numFmtId="0" fontId="0" fillId="0" borderId="18" xfId="0" applyBorder="1"/>
    <xf numFmtId="10" fontId="0" fillId="0" borderId="19" xfId="1" applyNumberFormat="1" applyFont="1" applyBorder="1"/>
    <xf numFmtId="10" fontId="0" fillId="0" borderId="1" xfId="0" applyNumberFormat="1" applyBorder="1" applyAlignment="1">
      <alignment horizontal="center"/>
    </xf>
    <xf numFmtId="0" fontId="0" fillId="0" borderId="10" xfId="0" applyBorder="1" applyAlignment="1">
      <alignment horizontal="center" vertical="center"/>
    </xf>
    <xf numFmtId="0" fontId="0" fillId="0" borderId="11" xfId="0" applyBorder="1" applyAlignment="1">
      <alignment horizontal="center" vertical="center"/>
    </xf>
    <xf numFmtId="0" fontId="6" fillId="0" borderId="0" xfId="0" applyFont="1" applyAlignment="1">
      <alignment horizontal="center" vertical="center"/>
    </xf>
  </cellXfs>
  <cellStyles count="2">
    <cellStyle name="Normal" xfId="0" builtinId="0"/>
    <cellStyle name="Percentat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63500</xdr:colOff>
      <xdr:row>26</xdr:row>
      <xdr:rowOff>12700</xdr:rowOff>
    </xdr:from>
    <xdr:to>
      <xdr:col>5</xdr:col>
      <xdr:colOff>355600</xdr:colOff>
      <xdr:row>31</xdr:row>
      <xdr:rowOff>177800</xdr:rowOff>
    </xdr:to>
    <xdr:sp macro="" textlink="">
      <xdr:nvSpPr>
        <xdr:cNvPr id="2" name="Flecha curva 1">
          <a:extLst>
            <a:ext uri="{FF2B5EF4-FFF2-40B4-BE49-F238E27FC236}">
              <a16:creationId xmlns:a16="http://schemas.microsoft.com/office/drawing/2014/main" id="{E0F17787-B738-8440-A69A-398D0F84F9AE}"/>
            </a:ext>
          </a:extLst>
        </xdr:cNvPr>
        <xdr:cNvSpPr/>
      </xdr:nvSpPr>
      <xdr:spPr>
        <a:xfrm rot="5400000">
          <a:off x="3898900" y="5346700"/>
          <a:ext cx="1193800" cy="2006600"/>
        </a:xfrm>
        <a:prstGeom prst="bentArrow">
          <a:avLst>
            <a:gd name="adj1" fmla="val 18617"/>
            <a:gd name="adj2" fmla="val 20982"/>
            <a:gd name="adj3" fmla="val 31309"/>
            <a:gd name="adj4" fmla="val 4426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solidFill>
              <a:schemeClr val="tx1"/>
            </a:solidFill>
          </a:endParaRPr>
        </a:p>
      </xdr:txBody>
    </xdr:sp>
    <xdr:clientData/>
  </xdr:twoCellAnchor>
  <xdr:twoCellAnchor>
    <xdr:from>
      <xdr:col>9</xdr:col>
      <xdr:colOff>419100</xdr:colOff>
      <xdr:row>10</xdr:row>
      <xdr:rowOff>123825</xdr:rowOff>
    </xdr:from>
    <xdr:to>
      <xdr:col>20</xdr:col>
      <xdr:colOff>419100</xdr:colOff>
      <xdr:row>32</xdr:row>
      <xdr:rowOff>76200</xdr:rowOff>
    </xdr:to>
    <xdr:sp macro="" textlink="">
      <xdr:nvSpPr>
        <xdr:cNvPr id="3" name="QuadreDeText 2">
          <a:extLst>
            <a:ext uri="{FF2B5EF4-FFF2-40B4-BE49-F238E27FC236}">
              <a16:creationId xmlns:a16="http://schemas.microsoft.com/office/drawing/2014/main" id="{1EBEAA21-C92B-AFCC-5250-154922C995D3}"/>
            </a:ext>
          </a:extLst>
        </xdr:cNvPr>
        <xdr:cNvSpPr txBox="1"/>
      </xdr:nvSpPr>
      <xdr:spPr>
        <a:xfrm>
          <a:off x="8391525" y="2524125"/>
          <a:ext cx="9220200" cy="437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ca-ES" sz="1100" b="0" i="0">
              <a:solidFill>
                <a:schemeClr val="dk1"/>
              </a:solidFill>
              <a:effectLst/>
              <a:latin typeface="+mn-lt"/>
              <a:ea typeface="+mn-ea"/>
              <a:cs typeface="+mn-cs"/>
            </a:rPr>
            <a:t>Dado que estamos ante una actividad de servicios de alquileres de servidores, se opta por el método del margen neto.</a:t>
          </a:r>
        </a:p>
        <a:p>
          <a:pPr rtl="0"/>
          <a:r>
            <a:rPr lang="ca-ES" sz="1100" b="0" i="0">
              <a:solidFill>
                <a:schemeClr val="dk1"/>
              </a:solidFill>
              <a:effectLst/>
              <a:latin typeface="+mn-lt"/>
              <a:ea typeface="+mn-ea"/>
              <a:cs typeface="+mn-cs"/>
            </a:rPr>
            <a:t>No se utilizan los otros métodos por estar enfocados al análisis del precio, o en márgenes de comercialización sin costes específicos, mientras que en el caso que nos ocupa no se conoce de las empresas comparables la estructuración de los servicios que prestan, y, además, no estamos en un caso de intermediación, producción o servicios comisionables.</a:t>
          </a:r>
        </a:p>
        <a:p>
          <a:pPr rtl="0"/>
          <a:r>
            <a:rPr lang="ca-ES" sz="1100" b="0" i="0">
              <a:solidFill>
                <a:schemeClr val="dk1"/>
              </a:solidFill>
              <a:effectLst/>
              <a:latin typeface="+mn-lt"/>
              <a:ea typeface="+mn-ea"/>
              <a:cs typeface="+mn-cs"/>
            </a:rPr>
            <a:t>Se procede primero a calcular con los datos aportados el ROA de los cuatro servidores que se pretenden arrendar. Para ello se calcula el resultado de la operación, restando a los ingresos ofertados el coste conocido de amortización, financieros y otros. Da un resultado de 52M€, que respecto del coste de los servidores da un ROA de 7,91%</a:t>
          </a:r>
        </a:p>
        <a:p>
          <a:pPr rtl="0"/>
          <a:r>
            <a:rPr lang="ca-ES" sz="1100" b="0" i="0">
              <a:solidFill>
                <a:schemeClr val="dk1"/>
              </a:solidFill>
              <a:effectLst/>
              <a:latin typeface="+mn-lt"/>
              <a:ea typeface="+mn-ea"/>
              <a:cs typeface="+mn-cs"/>
            </a:rPr>
            <a:t>Posteriormente se procede a realizar el análisis de comparabilidad con empresas localizadas de las que se aportó información. </a:t>
          </a:r>
        </a:p>
        <a:p>
          <a:pPr rtl="0"/>
          <a:r>
            <a:rPr lang="ca-ES" sz="1100" b="0" i="0">
              <a:solidFill>
                <a:schemeClr val="dk1"/>
              </a:solidFill>
              <a:effectLst/>
              <a:latin typeface="+mn-lt"/>
              <a:ea typeface="+mn-ea"/>
              <a:cs typeface="+mn-cs"/>
            </a:rPr>
            <a:t>El criterio seguido es el de usar datos de empresas que en los 2 últimos años hayan tenido resultado positivo (no se amplía el rango de años puesto que analizados los datos que arrojan, se considera que no hay valor diferenciador, y, además, hay 2 empresas que o bien no tienen información en ese tercer año o bien tienen resultado negativo)</a:t>
          </a:r>
        </a:p>
        <a:p>
          <a:pPr rtl="0"/>
          <a:r>
            <a:rPr lang="ca-ES" sz="1100" b="0" i="0">
              <a:solidFill>
                <a:schemeClr val="dk1"/>
              </a:solidFill>
              <a:effectLst/>
              <a:latin typeface="+mn-lt"/>
              <a:ea typeface="+mn-ea"/>
              <a:cs typeface="+mn-cs"/>
            </a:rPr>
            <a:t>Realizada la comparabilidad, se obtiene una clasificación intercuartílica de los datos obtenidos.</a:t>
          </a:r>
        </a:p>
        <a:p>
          <a:pPr rtl="0"/>
          <a:r>
            <a:rPr lang="ca-ES" sz="1100" b="0" i="0">
              <a:solidFill>
                <a:schemeClr val="dk1"/>
              </a:solidFill>
              <a:effectLst/>
              <a:latin typeface="+mn-lt"/>
              <a:ea typeface="+mn-ea"/>
              <a:cs typeface="+mn-cs"/>
            </a:rPr>
            <a:t>Comparando el ROA de la actividad analizada, respecto de los datos comparables, dicho ROA se sitúa entre la mediana y el cuartil alto, por lo que podemos concluir que el precio ofertado sí cumple el criterio de precio de mercado o de libre competencia.</a:t>
          </a:r>
        </a:p>
        <a:p>
          <a:pPr rtl="0"/>
          <a:br>
            <a:rPr lang="ca-ES"/>
          </a:br>
          <a:r>
            <a:rPr lang="ca-ES" sz="1100" b="0" i="0">
              <a:solidFill>
                <a:schemeClr val="dk1"/>
              </a:solidFill>
              <a:effectLst/>
              <a:latin typeface="+mn-lt"/>
              <a:ea typeface="+mn-ea"/>
              <a:cs typeface="+mn-cs"/>
            </a:rPr>
            <a:t>Respecto de la imputación de Resto de gastos imputables, se observa que está distribuido por igual en los cuatro servidores, lo cual podría ser un factor descompensador del ROA si el cálculo se hiciera individualmente. Dado que el cálculo se ha hecho en conjunto de los cuatro servidores, no afectaría al resultado final.</a:t>
          </a:r>
        </a:p>
        <a:p>
          <a:pPr rtl="0"/>
          <a:r>
            <a:rPr lang="ca-ES" sz="1100" b="0" i="0">
              <a:solidFill>
                <a:schemeClr val="dk1"/>
              </a:solidFill>
              <a:effectLst/>
              <a:latin typeface="+mn-lt"/>
              <a:ea typeface="+mn-ea"/>
              <a:cs typeface="+mn-cs"/>
            </a:rPr>
            <a:t>Se asume que el importe final imputado es correcto. No se entra en detalles de si el importe de gasto imputables en origen podría tener otro criterio de reparto y por ello variar el importe que corresponda a los servidores, en cuyo caso sí que habría que recalcular el ROA obtenido (para ello se necesitaría más información que la aportada).</a:t>
          </a:r>
        </a:p>
        <a:p>
          <a:endParaRPr lang="ca-ES" sz="1100"/>
        </a:p>
      </xdr:txBody>
    </xdr:sp>
    <xdr:clientData/>
  </xdr:twoCellAnchor>
</xdr:wsDr>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J35"/>
  <sheetViews>
    <sheetView tabSelected="1" topLeftCell="A6" workbookViewId="0">
      <selection activeCell="I26" sqref="I26"/>
    </sheetView>
  </sheetViews>
  <sheetFormatPr defaultColWidth="11" defaultRowHeight="15.75" x14ac:dyDescent="0.25"/>
  <cols>
    <col min="2" max="2" width="23.375" customWidth="1"/>
    <col min="4" max="4" width="11.625" customWidth="1"/>
    <col min="8" max="8" width="3.625" customWidth="1"/>
  </cols>
  <sheetData>
    <row r="4" spans="2:10" ht="47.25" x14ac:dyDescent="0.25">
      <c r="C4" s="2" t="s">
        <v>0</v>
      </c>
      <c r="D4" s="2" t="s">
        <v>1</v>
      </c>
      <c r="E4" s="2" t="s">
        <v>2</v>
      </c>
      <c r="F4" s="6" t="s">
        <v>7</v>
      </c>
      <c r="G4" s="6" t="s">
        <v>8</v>
      </c>
      <c r="I4" s="12" t="s">
        <v>9</v>
      </c>
    </row>
    <row r="5" spans="2:10" x14ac:dyDescent="0.25">
      <c r="B5" s="3" t="s">
        <v>3</v>
      </c>
      <c r="C5" s="10">
        <v>150947.88</v>
      </c>
      <c r="D5" s="10">
        <v>-7547.39</v>
      </c>
      <c r="E5" s="10">
        <v>132079.39000000001</v>
      </c>
      <c r="F5" s="7">
        <v>4431.95</v>
      </c>
      <c r="G5" s="10">
        <v>3668.85</v>
      </c>
      <c r="I5" s="10">
        <v>30000</v>
      </c>
      <c r="J5" s="1"/>
    </row>
    <row r="6" spans="2:10" x14ac:dyDescent="0.25">
      <c r="B6" s="4" t="s">
        <v>4</v>
      </c>
      <c r="C6" s="11">
        <v>153940.44</v>
      </c>
      <c r="D6" s="11">
        <v>-7697.02</v>
      </c>
      <c r="E6" s="11">
        <v>139829.23000000001</v>
      </c>
      <c r="F6" s="8">
        <v>5031.4399999999996</v>
      </c>
      <c r="G6" s="11">
        <v>3668.85</v>
      </c>
      <c r="I6" s="11">
        <v>30000</v>
      </c>
      <c r="J6" s="1"/>
    </row>
    <row r="7" spans="2:10" x14ac:dyDescent="0.25">
      <c r="B7" s="4" t="s">
        <v>5</v>
      </c>
      <c r="C7" s="11">
        <v>182110.41</v>
      </c>
      <c r="D7" s="11">
        <v>-9105.52</v>
      </c>
      <c r="E7" s="11">
        <v>169969.72</v>
      </c>
      <c r="F7" s="8">
        <v>6076.84</v>
      </c>
      <c r="G7" s="11">
        <v>3668.85</v>
      </c>
      <c r="I7" s="11">
        <v>30000</v>
      </c>
      <c r="J7" s="1"/>
    </row>
    <row r="8" spans="2:10" x14ac:dyDescent="0.25">
      <c r="B8" s="4" t="s">
        <v>6</v>
      </c>
      <c r="C8" s="11">
        <v>183200.25</v>
      </c>
      <c r="D8" s="11">
        <v>-9160.01</v>
      </c>
      <c r="E8" s="11">
        <v>171750.23</v>
      </c>
      <c r="F8" s="8">
        <v>3294.72</v>
      </c>
      <c r="G8" s="11">
        <v>3668.85</v>
      </c>
      <c r="I8" s="11">
        <v>30000</v>
      </c>
      <c r="J8" s="1"/>
    </row>
    <row r="9" spans="2:10" x14ac:dyDescent="0.25">
      <c r="B9" s="5"/>
      <c r="C9" s="9">
        <f>SUM(C5:C8)</f>
        <v>670198.98</v>
      </c>
      <c r="D9" s="9">
        <f>SUM(D5:D8)</f>
        <v>-33509.94</v>
      </c>
      <c r="E9" s="9">
        <f>SUM(E5:E8)</f>
        <v>613628.56999999995</v>
      </c>
      <c r="F9" s="9">
        <f>SUM(F5:F8)</f>
        <v>18834.95</v>
      </c>
      <c r="G9" s="13">
        <f>SUM(G5:G8)</f>
        <v>14675.4</v>
      </c>
      <c r="I9" s="13">
        <f>SUM(I5:I8)</f>
        <v>120000</v>
      </c>
      <c r="J9" s="1"/>
    </row>
    <row r="10" spans="2:10" x14ac:dyDescent="0.25">
      <c r="F10" s="1"/>
      <c r="G10" s="1"/>
      <c r="H10" s="1"/>
      <c r="I10" s="1"/>
      <c r="J10" s="1"/>
    </row>
    <row r="11" spans="2:10" x14ac:dyDescent="0.25">
      <c r="F11" s="1"/>
      <c r="G11" s="1"/>
      <c r="H11" s="1"/>
      <c r="I11" s="1"/>
      <c r="J11" s="1"/>
    </row>
    <row r="12" spans="2:10" x14ac:dyDescent="0.25">
      <c r="F12" s="1"/>
      <c r="G12" s="1"/>
      <c r="H12" s="1"/>
      <c r="I12" s="1"/>
      <c r="J12" s="1"/>
    </row>
    <row r="13" spans="2:10" x14ac:dyDescent="0.25">
      <c r="F13" s="1"/>
      <c r="G13" s="1"/>
      <c r="H13" s="1"/>
      <c r="I13" s="1"/>
      <c r="J13" s="1"/>
    </row>
    <row r="14" spans="2:10" x14ac:dyDescent="0.25">
      <c r="B14" t="s">
        <v>39</v>
      </c>
      <c r="C14" s="1"/>
    </row>
    <row r="15" spans="2:10" x14ac:dyDescent="0.25">
      <c r="B15" t="s">
        <v>40</v>
      </c>
      <c r="C15" s="1">
        <f>+I9</f>
        <v>120000</v>
      </c>
    </row>
    <row r="17" spans="2:3" x14ac:dyDescent="0.25">
      <c r="B17" t="s">
        <v>41</v>
      </c>
    </row>
    <row r="18" spans="2:3" x14ac:dyDescent="0.25">
      <c r="B18" t="s">
        <v>42</v>
      </c>
      <c r="C18" s="1">
        <f>+D9</f>
        <v>-33509.94</v>
      </c>
    </row>
    <row r="19" spans="2:3" x14ac:dyDescent="0.25">
      <c r="B19" t="s">
        <v>7</v>
      </c>
      <c r="C19" s="1">
        <f>-F9</f>
        <v>-18834.95</v>
      </c>
    </row>
    <row r="20" spans="2:3" x14ac:dyDescent="0.25">
      <c r="B20" t="s">
        <v>8</v>
      </c>
      <c r="C20" s="1">
        <f>-G9</f>
        <v>-14675.4</v>
      </c>
    </row>
    <row r="21" spans="2:3" x14ac:dyDescent="0.25">
      <c r="C21" s="1">
        <f>SUM(C18:C20)</f>
        <v>-67020.289999999994</v>
      </c>
    </row>
    <row r="23" spans="2:3" x14ac:dyDescent="0.25">
      <c r="B23" t="s">
        <v>43</v>
      </c>
      <c r="C23" s="1">
        <f>+C15+C21</f>
        <v>52979.710000000006</v>
      </c>
    </row>
    <row r="25" spans="2:3" x14ac:dyDescent="0.25">
      <c r="B25" t="s">
        <v>44</v>
      </c>
      <c r="C25" s="1">
        <f>+C9</f>
        <v>670198.98</v>
      </c>
    </row>
    <row r="26" spans="2:3" ht="16.5" thickBot="1" x14ac:dyDescent="0.3"/>
    <row r="27" spans="2:3" ht="16.5" thickBot="1" x14ac:dyDescent="0.3">
      <c r="B27" s="36" t="s">
        <v>32</v>
      </c>
      <c r="C27" s="37">
        <f>+C23/C25</f>
        <v>7.9050717146719629E-2</v>
      </c>
    </row>
    <row r="33" spans="2:7" x14ac:dyDescent="0.25">
      <c r="B33" t="s">
        <v>45</v>
      </c>
    </row>
    <row r="34" spans="2:7" x14ac:dyDescent="0.25">
      <c r="C34" s="35" t="s">
        <v>46</v>
      </c>
      <c r="D34" s="35" t="s">
        <v>35</v>
      </c>
      <c r="E34" s="35" t="s">
        <v>36</v>
      </c>
      <c r="F34" s="35" t="s">
        <v>37</v>
      </c>
      <c r="G34" s="35" t="s">
        <v>38</v>
      </c>
    </row>
    <row r="35" spans="2:7" x14ac:dyDescent="0.25">
      <c r="B35" t="s">
        <v>47</v>
      </c>
      <c r="C35" s="38">
        <f>+'Empresas comparables'!N14</f>
        <v>2.3962148208838831E-2</v>
      </c>
      <c r="D35" s="38">
        <f>+'Empresas comparables'!N15</f>
        <v>4.4691766223230442E-2</v>
      </c>
      <c r="E35" s="38">
        <f>+'Empresas comparables'!N16</f>
        <v>6.2721631205673756E-2</v>
      </c>
      <c r="F35" s="38">
        <f>+'Empresas comparables'!N17</f>
        <v>9.1675743891708419E-2</v>
      </c>
      <c r="G35" s="38">
        <f>+'Empresas comparables'!N18</f>
        <v>0.1212628290941544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115"/>
  <sheetViews>
    <sheetView topLeftCell="A2" workbookViewId="0">
      <selection activeCell="J17" sqref="J17"/>
    </sheetView>
  </sheetViews>
  <sheetFormatPr defaultColWidth="10.875" defaultRowHeight="15.75" x14ac:dyDescent="0.25"/>
  <cols>
    <col min="1" max="1" width="10.875" style="16"/>
    <col min="2" max="2" width="20.625" style="17" bestFit="1" customWidth="1"/>
    <col min="3" max="16384" width="10.875" style="16"/>
  </cols>
  <sheetData>
    <row r="2" spans="2:14" x14ac:dyDescent="0.25">
      <c r="B2" s="25" t="s">
        <v>30</v>
      </c>
    </row>
    <row r="4" spans="2:14" ht="16.5" thickBot="1" x14ac:dyDescent="0.3">
      <c r="B4" s="14"/>
      <c r="C4" s="15"/>
      <c r="D4" s="15"/>
      <c r="E4" s="15"/>
      <c r="F4" s="15"/>
      <c r="G4" s="15"/>
      <c r="J4" s="16" t="s">
        <v>32</v>
      </c>
    </row>
    <row r="5" spans="2:14" ht="32.25" thickBot="1" x14ac:dyDescent="0.3">
      <c r="B5" s="18" t="s">
        <v>23</v>
      </c>
      <c r="C5" s="39"/>
      <c r="D5" s="39"/>
      <c r="E5" s="39"/>
      <c r="F5" s="39"/>
      <c r="G5" s="40"/>
      <c r="K5" s="16">
        <v>2018</v>
      </c>
      <c r="L5" s="16">
        <v>2017</v>
      </c>
      <c r="M5" s="16">
        <v>2016</v>
      </c>
      <c r="N5" s="32" t="s">
        <v>33</v>
      </c>
    </row>
    <row r="6" spans="2:14" x14ac:dyDescent="0.25">
      <c r="B6" s="19"/>
      <c r="C6" s="15">
        <v>2018</v>
      </c>
      <c r="D6" s="15">
        <v>2017</v>
      </c>
      <c r="E6" s="15">
        <v>2016</v>
      </c>
      <c r="F6" s="15">
        <v>2015</v>
      </c>
      <c r="G6" s="20">
        <v>2014</v>
      </c>
      <c r="J6" s="16" t="s">
        <v>23</v>
      </c>
      <c r="K6" s="26">
        <f>+C19</f>
        <v>7.9025923016496469E-2</v>
      </c>
      <c r="L6" s="26">
        <f t="shared" ref="L6:M6" si="0">+D19</f>
        <v>8.2877697841726619E-2</v>
      </c>
      <c r="M6" s="31" t="e">
        <f t="shared" si="0"/>
        <v>#VALUE!</v>
      </c>
      <c r="N6" s="29">
        <f>AVERAGE(K6:L6)</f>
        <v>8.0951810429111537E-2</v>
      </c>
    </row>
    <row r="7" spans="2:14" x14ac:dyDescent="0.25">
      <c r="B7" s="21" t="s">
        <v>10</v>
      </c>
      <c r="C7" s="15">
        <v>2223</v>
      </c>
      <c r="D7" s="15">
        <v>1192</v>
      </c>
      <c r="E7" s="15">
        <v>440</v>
      </c>
      <c r="F7" s="15" t="s">
        <v>11</v>
      </c>
      <c r="G7" s="20" t="s">
        <v>11</v>
      </c>
      <c r="J7" s="16" t="s">
        <v>24</v>
      </c>
      <c r="K7" s="29">
        <f>+C35</f>
        <v>9.4377510040160636E-2</v>
      </c>
      <c r="L7" s="29">
        <f t="shared" ref="L7:M7" si="1">+D35</f>
        <v>0.14814814814814814</v>
      </c>
      <c r="M7" s="29">
        <f t="shared" si="1"/>
        <v>4.7872340425531915E-2</v>
      </c>
      <c r="N7" s="29">
        <f t="shared" ref="N7:N12" si="2">AVERAGE(K7:L7)</f>
        <v>0.1212628290941544</v>
      </c>
    </row>
    <row r="8" spans="2:14" x14ac:dyDescent="0.25">
      <c r="B8" s="21" t="s">
        <v>12</v>
      </c>
      <c r="C8" s="15">
        <v>144</v>
      </c>
      <c r="D8" s="15">
        <v>65</v>
      </c>
      <c r="E8" s="15">
        <v>17</v>
      </c>
      <c r="F8" s="15" t="s">
        <v>11</v>
      </c>
      <c r="G8" s="20" t="s">
        <v>11</v>
      </c>
      <c r="J8" s="16" t="s">
        <v>25</v>
      </c>
      <c r="K8" s="29">
        <f>+C51</f>
        <v>2.5990099009900989E-2</v>
      </c>
      <c r="L8" s="29">
        <f t="shared" ref="L8:M8" si="3">+D51</f>
        <v>2.1934197407776669E-2</v>
      </c>
      <c r="M8" s="29">
        <f t="shared" si="3"/>
        <v>3.1865042174320526E-2</v>
      </c>
      <c r="N8" s="29">
        <f t="shared" si="2"/>
        <v>2.3962148208838831E-2</v>
      </c>
    </row>
    <row r="9" spans="2:14" x14ac:dyDescent="0.25">
      <c r="B9" s="21" t="s">
        <v>13</v>
      </c>
      <c r="C9" s="15">
        <v>2078</v>
      </c>
      <c r="D9" s="15">
        <v>1128</v>
      </c>
      <c r="E9" s="15">
        <v>423</v>
      </c>
      <c r="F9" s="15" t="s">
        <v>11</v>
      </c>
      <c r="G9" s="20" t="s">
        <v>11</v>
      </c>
      <c r="J9" s="16" t="s">
        <v>26</v>
      </c>
      <c r="K9" s="29">
        <f>+C67</f>
        <v>7.5503355704697989E-2</v>
      </c>
      <c r="L9" s="29">
        <f t="shared" ref="L9:M9" si="4">+D67</f>
        <v>4.1894353369763208E-2</v>
      </c>
      <c r="M9" s="29">
        <f t="shared" si="4"/>
        <v>6.4030131826741998E-2</v>
      </c>
      <c r="N9" s="29">
        <f t="shared" si="2"/>
        <v>5.8698854537230602E-2</v>
      </c>
    </row>
    <row r="10" spans="2:14" x14ac:dyDescent="0.25">
      <c r="B10" s="21" t="s">
        <v>14</v>
      </c>
      <c r="C10" s="15">
        <v>1575</v>
      </c>
      <c r="D10" s="15">
        <v>840</v>
      </c>
      <c r="E10" s="15">
        <v>382</v>
      </c>
      <c r="F10" s="15" t="s">
        <v>11</v>
      </c>
      <c r="G10" s="20" t="s">
        <v>11</v>
      </c>
      <c r="J10" s="16" t="s">
        <v>27</v>
      </c>
      <c r="K10" s="29">
        <f>+C83</f>
        <v>4.9214659685863874E-2</v>
      </c>
      <c r="L10" s="29">
        <f t="shared" ref="L10:M10" si="5">+D83</f>
        <v>1.2154696132596685E-2</v>
      </c>
      <c r="M10" s="30">
        <f t="shared" si="5"/>
        <v>-2.4444444444444446E-2</v>
      </c>
      <c r="N10" s="29">
        <f t="shared" si="2"/>
        <v>3.0684677909230278E-2</v>
      </c>
    </row>
    <row r="11" spans="2:14" x14ac:dyDescent="0.25">
      <c r="B11" s="21" t="s">
        <v>15</v>
      </c>
      <c r="C11" s="15">
        <v>503</v>
      </c>
      <c r="D11" s="15">
        <v>288</v>
      </c>
      <c r="E11" s="15">
        <v>41</v>
      </c>
      <c r="F11" s="15" t="s">
        <v>11</v>
      </c>
      <c r="G11" s="20" t="s">
        <v>11</v>
      </c>
      <c r="J11" s="16" t="s">
        <v>28</v>
      </c>
      <c r="K11" s="29">
        <f>+C99</f>
        <v>2.1276595744680851E-2</v>
      </c>
      <c r="L11" s="29">
        <f t="shared" ref="L11:M11" si="6">+D99</f>
        <v>0.10416666666666667</v>
      </c>
      <c r="M11" s="29">
        <f t="shared" si="6"/>
        <v>0.11904761904761904</v>
      </c>
      <c r="N11" s="29">
        <f t="shared" si="2"/>
        <v>6.2721631205673756E-2</v>
      </c>
    </row>
    <row r="12" spans="2:14" x14ac:dyDescent="0.25">
      <c r="B12" s="21" t="s">
        <v>16</v>
      </c>
      <c r="C12" s="15">
        <v>5390</v>
      </c>
      <c r="D12" s="15">
        <v>2790</v>
      </c>
      <c r="E12" s="15" t="s">
        <v>11</v>
      </c>
      <c r="F12" s="15" t="s">
        <v>11</v>
      </c>
      <c r="G12" s="20" t="s">
        <v>11</v>
      </c>
      <c r="J12" s="16" t="s">
        <v>31</v>
      </c>
      <c r="K12" s="29">
        <f>+C115</f>
        <v>1.532567049808429E-2</v>
      </c>
      <c r="L12" s="29">
        <f t="shared" ref="L12:M12" si="7">+D115</f>
        <v>0.18947368421052632</v>
      </c>
      <c r="M12" s="29">
        <f t="shared" si="7"/>
        <v>0.125</v>
      </c>
      <c r="N12" s="29">
        <f t="shared" si="2"/>
        <v>0.1023996773543053</v>
      </c>
    </row>
    <row r="13" spans="2:14" x14ac:dyDescent="0.25">
      <c r="B13" s="21" t="s">
        <v>17</v>
      </c>
      <c r="C13" s="15">
        <v>0</v>
      </c>
      <c r="D13" s="15">
        <v>0</v>
      </c>
      <c r="E13" s="15" t="s">
        <v>11</v>
      </c>
      <c r="F13" s="15" t="s">
        <v>11</v>
      </c>
      <c r="G13" s="20" t="s">
        <v>11</v>
      </c>
    </row>
    <row r="14" spans="2:14" x14ac:dyDescent="0.25">
      <c r="B14" s="21" t="s">
        <v>18</v>
      </c>
      <c r="C14" s="15">
        <v>0</v>
      </c>
      <c r="D14" s="15">
        <v>0</v>
      </c>
      <c r="E14" s="15" t="s">
        <v>11</v>
      </c>
      <c r="F14" s="15" t="s">
        <v>11</v>
      </c>
      <c r="G14" s="20" t="s">
        <v>11</v>
      </c>
      <c r="M14" t="s">
        <v>34</v>
      </c>
      <c r="N14" s="33">
        <f>MIN(N6:N12)</f>
        <v>2.3962148208838831E-2</v>
      </c>
    </row>
    <row r="15" spans="2:14" x14ac:dyDescent="0.25">
      <c r="B15" s="21" t="s">
        <v>19</v>
      </c>
      <c r="C15" s="15">
        <v>859</v>
      </c>
      <c r="D15" s="15">
        <v>498</v>
      </c>
      <c r="E15" s="15" t="s">
        <v>11</v>
      </c>
      <c r="F15" s="15" t="s">
        <v>11</v>
      </c>
      <c r="G15" s="20" t="s">
        <v>11</v>
      </c>
      <c r="M15" t="s">
        <v>35</v>
      </c>
      <c r="N15" s="34">
        <f>QUARTILE(N6:N12,1)</f>
        <v>4.4691766223230442E-2</v>
      </c>
    </row>
    <row r="16" spans="2:14" x14ac:dyDescent="0.25">
      <c r="B16" s="21" t="s">
        <v>20</v>
      </c>
      <c r="C16" s="15">
        <v>93</v>
      </c>
      <c r="D16" s="15">
        <v>176</v>
      </c>
      <c r="E16" s="15" t="s">
        <v>11</v>
      </c>
      <c r="F16" s="15" t="s">
        <v>11</v>
      </c>
      <c r="G16" s="20" t="s">
        <v>11</v>
      </c>
      <c r="M16" t="s">
        <v>36</v>
      </c>
      <c r="N16" s="33">
        <f>MEDIAN(N6:N12)</f>
        <v>6.2721631205673756E-2</v>
      </c>
    </row>
    <row r="17" spans="2:14" x14ac:dyDescent="0.25">
      <c r="B17" s="21" t="s">
        <v>21</v>
      </c>
      <c r="C17" s="15">
        <v>6365</v>
      </c>
      <c r="D17" s="15">
        <v>3475</v>
      </c>
      <c r="E17" s="15" t="s">
        <v>11</v>
      </c>
      <c r="F17" s="15" t="s">
        <v>11</v>
      </c>
      <c r="G17" s="20" t="s">
        <v>11</v>
      </c>
      <c r="M17" t="s">
        <v>37</v>
      </c>
      <c r="N17" s="34">
        <f>QUARTILE(N6:N12,3)</f>
        <v>9.1675743891708419E-2</v>
      </c>
    </row>
    <row r="18" spans="2:14" ht="16.5" thickBot="1" x14ac:dyDescent="0.3">
      <c r="B18" s="22" t="s">
        <v>22</v>
      </c>
      <c r="C18" s="23">
        <v>534</v>
      </c>
      <c r="D18" s="23">
        <v>177</v>
      </c>
      <c r="E18" s="23" t="s">
        <v>11</v>
      </c>
      <c r="F18" s="23" t="s">
        <v>11</v>
      </c>
      <c r="G18" s="24" t="s">
        <v>11</v>
      </c>
      <c r="M18" t="s">
        <v>38</v>
      </c>
      <c r="N18" s="33">
        <f>MAX(N6:N12)</f>
        <v>0.1212628290941544</v>
      </c>
    </row>
    <row r="19" spans="2:14" x14ac:dyDescent="0.25">
      <c r="C19" s="26">
        <f>+C11/C17</f>
        <v>7.9025923016496469E-2</v>
      </c>
      <c r="D19" s="26">
        <f t="shared" ref="D19:E19" si="8">+D11/D17</f>
        <v>8.2877697841726619E-2</v>
      </c>
      <c r="E19" s="26" t="e">
        <f t="shared" si="8"/>
        <v>#VALUE!</v>
      </c>
    </row>
    <row r="20" spans="2:14" ht="16.5" thickBot="1" x14ac:dyDescent="0.3"/>
    <row r="21" spans="2:14" ht="16.5" thickBot="1" x14ac:dyDescent="0.3">
      <c r="B21" s="18" t="s">
        <v>24</v>
      </c>
      <c r="C21" s="39"/>
      <c r="D21" s="39"/>
      <c r="E21" s="39"/>
      <c r="F21" s="39"/>
      <c r="G21" s="40"/>
    </row>
    <row r="22" spans="2:14" x14ac:dyDescent="0.25">
      <c r="B22" s="19"/>
      <c r="C22" s="15">
        <v>2018</v>
      </c>
      <c r="D22" s="15">
        <v>2017</v>
      </c>
      <c r="E22" s="15">
        <v>2016</v>
      </c>
      <c r="F22" s="15">
        <v>2015</v>
      </c>
      <c r="G22" s="20">
        <v>2014</v>
      </c>
    </row>
    <row r="23" spans="2:14" x14ac:dyDescent="0.25">
      <c r="B23" s="21" t="s">
        <v>10</v>
      </c>
      <c r="C23" s="15">
        <v>308</v>
      </c>
      <c r="D23" s="15">
        <v>267</v>
      </c>
      <c r="E23" s="15">
        <v>233</v>
      </c>
      <c r="F23" s="15">
        <v>243</v>
      </c>
      <c r="G23" s="20">
        <v>207</v>
      </c>
    </row>
    <row r="24" spans="2:14" x14ac:dyDescent="0.25">
      <c r="B24" s="21" t="s">
        <v>12</v>
      </c>
      <c r="C24" s="15">
        <v>56</v>
      </c>
      <c r="D24" s="15">
        <v>50</v>
      </c>
      <c r="E24" s="15">
        <v>41</v>
      </c>
      <c r="F24" s="15">
        <v>44</v>
      </c>
      <c r="G24" s="20">
        <v>34</v>
      </c>
    </row>
    <row r="25" spans="2:14" x14ac:dyDescent="0.25">
      <c r="B25" s="21" t="s">
        <v>13</v>
      </c>
      <c r="C25" s="15">
        <v>252</v>
      </c>
      <c r="D25" s="15">
        <v>217</v>
      </c>
      <c r="E25" s="15">
        <v>192</v>
      </c>
      <c r="F25" s="15">
        <v>199</v>
      </c>
      <c r="G25" s="20">
        <v>173</v>
      </c>
    </row>
    <row r="26" spans="2:14" x14ac:dyDescent="0.25">
      <c r="B26" s="21" t="s">
        <v>14</v>
      </c>
      <c r="C26" s="15">
        <v>206</v>
      </c>
      <c r="D26" s="15">
        <v>153</v>
      </c>
      <c r="E26" s="15">
        <v>174</v>
      </c>
      <c r="F26" s="15">
        <v>187</v>
      </c>
      <c r="G26" s="20">
        <v>158</v>
      </c>
    </row>
    <row r="27" spans="2:14" x14ac:dyDescent="0.25">
      <c r="B27" s="21" t="s">
        <v>15</v>
      </c>
      <c r="C27" s="15">
        <v>47</v>
      </c>
      <c r="D27" s="15">
        <v>64</v>
      </c>
      <c r="E27" s="15">
        <v>18</v>
      </c>
      <c r="F27" s="15">
        <v>12</v>
      </c>
      <c r="G27" s="20">
        <v>15</v>
      </c>
    </row>
    <row r="28" spans="2:14" x14ac:dyDescent="0.25">
      <c r="B28" s="21" t="s">
        <v>16</v>
      </c>
      <c r="C28" s="15">
        <v>155</v>
      </c>
      <c r="D28" s="15">
        <v>125</v>
      </c>
      <c r="E28" s="15">
        <v>103</v>
      </c>
      <c r="F28" s="15">
        <v>110</v>
      </c>
      <c r="G28" s="20">
        <v>116</v>
      </c>
    </row>
    <row r="29" spans="2:14" x14ac:dyDescent="0.25">
      <c r="B29" s="21" t="s">
        <v>17</v>
      </c>
      <c r="C29" s="15">
        <v>0</v>
      </c>
      <c r="D29" s="15">
        <v>0</v>
      </c>
      <c r="E29" s="15">
        <v>0</v>
      </c>
      <c r="F29" s="15">
        <v>0</v>
      </c>
      <c r="G29" s="20">
        <v>0</v>
      </c>
    </row>
    <row r="30" spans="2:14" x14ac:dyDescent="0.25">
      <c r="B30" s="21" t="s">
        <v>18</v>
      </c>
      <c r="C30" s="15">
        <v>0</v>
      </c>
      <c r="D30" s="15">
        <v>0</v>
      </c>
      <c r="E30" s="15">
        <v>0</v>
      </c>
      <c r="F30" s="15">
        <v>0</v>
      </c>
      <c r="G30" s="20">
        <v>0</v>
      </c>
    </row>
    <row r="31" spans="2:14" x14ac:dyDescent="0.25">
      <c r="B31" s="21" t="s">
        <v>19</v>
      </c>
      <c r="C31" s="15">
        <v>294</v>
      </c>
      <c r="D31" s="15">
        <v>278</v>
      </c>
      <c r="E31" s="15">
        <v>246</v>
      </c>
      <c r="F31" s="15">
        <v>313</v>
      </c>
      <c r="G31" s="20">
        <v>291</v>
      </c>
    </row>
    <row r="32" spans="2:14" x14ac:dyDescent="0.25">
      <c r="B32" s="21" t="s">
        <v>20</v>
      </c>
      <c r="C32" s="15">
        <v>49</v>
      </c>
      <c r="D32" s="15">
        <v>29</v>
      </c>
      <c r="E32" s="15">
        <v>27</v>
      </c>
      <c r="F32" s="15">
        <v>28</v>
      </c>
      <c r="G32" s="20">
        <v>23</v>
      </c>
    </row>
    <row r="33" spans="2:7" x14ac:dyDescent="0.25">
      <c r="B33" s="21" t="s">
        <v>21</v>
      </c>
      <c r="C33" s="15">
        <v>498</v>
      </c>
      <c r="D33" s="15">
        <v>432</v>
      </c>
      <c r="E33" s="15">
        <v>376</v>
      </c>
      <c r="F33" s="15">
        <v>451</v>
      </c>
      <c r="G33" s="20">
        <v>430</v>
      </c>
    </row>
    <row r="34" spans="2:7" ht="16.5" thickBot="1" x14ac:dyDescent="0.3">
      <c r="B34" s="22" t="s">
        <v>22</v>
      </c>
      <c r="C34" s="23">
        <v>145</v>
      </c>
      <c r="D34" s="23">
        <v>232</v>
      </c>
      <c r="E34" s="23">
        <v>227</v>
      </c>
      <c r="F34" s="23">
        <v>271</v>
      </c>
      <c r="G34" s="24">
        <v>264</v>
      </c>
    </row>
    <row r="35" spans="2:7" x14ac:dyDescent="0.25">
      <c r="B35" s="27"/>
      <c r="C35" s="26">
        <f>+C27/C33</f>
        <v>9.4377510040160636E-2</v>
      </c>
      <c r="D35" s="26">
        <f t="shared" ref="D35:E35" si="9">+D27/D33</f>
        <v>0.14814814814814814</v>
      </c>
      <c r="E35" s="26">
        <f t="shared" si="9"/>
        <v>4.7872340425531915E-2</v>
      </c>
      <c r="F35" s="27"/>
      <c r="G35" s="27"/>
    </row>
    <row r="36" spans="2:7" ht="16.5" thickBot="1" x14ac:dyDescent="0.3">
      <c r="B36" s="41"/>
      <c r="C36" s="41"/>
      <c r="D36" s="41"/>
      <c r="E36" s="41"/>
      <c r="F36" s="41"/>
      <c r="G36" s="41"/>
    </row>
    <row r="37" spans="2:7" ht="16.5" thickBot="1" x14ac:dyDescent="0.3">
      <c r="B37" s="18" t="s">
        <v>25</v>
      </c>
      <c r="C37" s="39"/>
      <c r="D37" s="39"/>
      <c r="E37" s="39"/>
      <c r="F37" s="39"/>
      <c r="G37" s="40"/>
    </row>
    <row r="38" spans="2:7" x14ac:dyDescent="0.25">
      <c r="B38" s="19"/>
      <c r="C38" s="15">
        <v>2018</v>
      </c>
      <c r="D38" s="15">
        <v>2017</v>
      </c>
      <c r="E38" s="15">
        <v>2016</v>
      </c>
      <c r="F38" s="15">
        <v>2015</v>
      </c>
      <c r="G38" s="20">
        <v>2014</v>
      </c>
    </row>
    <row r="39" spans="2:7" x14ac:dyDescent="0.25">
      <c r="B39" s="21" t="s">
        <v>10</v>
      </c>
      <c r="C39" s="15">
        <v>949</v>
      </c>
      <c r="D39" s="15">
        <v>1143</v>
      </c>
      <c r="E39" s="15">
        <v>1158</v>
      </c>
      <c r="F39" s="15">
        <v>1074</v>
      </c>
      <c r="G39" s="20">
        <v>998</v>
      </c>
    </row>
    <row r="40" spans="2:7" x14ac:dyDescent="0.25">
      <c r="B40" s="21" t="s">
        <v>12</v>
      </c>
      <c r="C40" s="15">
        <v>370</v>
      </c>
      <c r="D40" s="15">
        <v>511</v>
      </c>
      <c r="E40" s="15">
        <v>552</v>
      </c>
      <c r="F40" s="15">
        <v>392</v>
      </c>
      <c r="G40" s="20">
        <v>391</v>
      </c>
    </row>
    <row r="41" spans="2:7" x14ac:dyDescent="0.25">
      <c r="B41" s="21" t="s">
        <v>13</v>
      </c>
      <c r="C41" s="15">
        <v>579</v>
      </c>
      <c r="D41" s="15">
        <v>632</v>
      </c>
      <c r="E41" s="15">
        <v>606</v>
      </c>
      <c r="F41" s="15">
        <v>682</v>
      </c>
      <c r="G41" s="20">
        <v>607</v>
      </c>
    </row>
    <row r="42" spans="2:7" x14ac:dyDescent="0.25">
      <c r="B42" s="21" t="s">
        <v>14</v>
      </c>
      <c r="C42" s="15">
        <v>558</v>
      </c>
      <c r="D42" s="15">
        <v>610</v>
      </c>
      <c r="E42" s="15">
        <v>572</v>
      </c>
      <c r="F42" s="15">
        <v>622</v>
      </c>
      <c r="G42" s="20">
        <v>538</v>
      </c>
    </row>
    <row r="43" spans="2:7" x14ac:dyDescent="0.25">
      <c r="B43" s="21" t="s">
        <v>15</v>
      </c>
      <c r="C43" s="15">
        <v>21</v>
      </c>
      <c r="D43" s="15">
        <v>22</v>
      </c>
      <c r="E43" s="15">
        <v>34</v>
      </c>
      <c r="F43" s="15">
        <v>60</v>
      </c>
      <c r="G43" s="20">
        <v>69</v>
      </c>
    </row>
    <row r="44" spans="2:7" x14ac:dyDescent="0.25">
      <c r="B44" s="21" t="s">
        <v>16</v>
      </c>
      <c r="C44" s="15">
        <v>313</v>
      </c>
      <c r="D44" s="15">
        <v>407</v>
      </c>
      <c r="E44" s="15">
        <v>487</v>
      </c>
      <c r="F44" s="15">
        <v>535</v>
      </c>
      <c r="G44" s="20">
        <v>537</v>
      </c>
    </row>
    <row r="45" spans="2:7" x14ac:dyDescent="0.25">
      <c r="B45" s="21" t="s">
        <v>17</v>
      </c>
      <c r="C45" s="15">
        <v>0</v>
      </c>
      <c r="D45" s="15">
        <v>0</v>
      </c>
      <c r="E45" s="15">
        <v>0</v>
      </c>
      <c r="F45" s="15">
        <v>2</v>
      </c>
      <c r="G45" s="20">
        <v>5</v>
      </c>
    </row>
    <row r="46" spans="2:7" x14ac:dyDescent="0.25">
      <c r="B46" s="21" t="s">
        <v>18</v>
      </c>
      <c r="C46" s="15">
        <v>157</v>
      </c>
      <c r="D46" s="15">
        <v>122</v>
      </c>
      <c r="E46" s="15">
        <v>165</v>
      </c>
      <c r="F46" s="15">
        <v>189</v>
      </c>
      <c r="G46" s="20">
        <v>163</v>
      </c>
    </row>
    <row r="47" spans="2:7" x14ac:dyDescent="0.25">
      <c r="B47" s="21" t="s">
        <v>19</v>
      </c>
      <c r="C47" s="15">
        <v>310</v>
      </c>
      <c r="D47" s="15">
        <v>430</v>
      </c>
      <c r="E47" s="15">
        <v>366</v>
      </c>
      <c r="F47" s="15">
        <v>282</v>
      </c>
      <c r="G47" s="20">
        <v>266</v>
      </c>
    </row>
    <row r="48" spans="2:7" x14ac:dyDescent="0.25">
      <c r="B48" s="21" t="s">
        <v>20</v>
      </c>
      <c r="C48" s="15">
        <v>27</v>
      </c>
      <c r="D48" s="15">
        <v>42</v>
      </c>
      <c r="E48" s="15">
        <v>47</v>
      </c>
      <c r="F48" s="15">
        <v>42</v>
      </c>
      <c r="G48" s="20">
        <v>44</v>
      </c>
    </row>
    <row r="49" spans="2:7" x14ac:dyDescent="0.25">
      <c r="B49" s="21" t="s">
        <v>21</v>
      </c>
      <c r="C49" s="15">
        <v>808</v>
      </c>
      <c r="D49" s="15">
        <v>1003</v>
      </c>
      <c r="E49" s="15">
        <v>1067</v>
      </c>
      <c r="F49" s="15">
        <v>1050</v>
      </c>
      <c r="G49" s="20">
        <v>1011</v>
      </c>
    </row>
    <row r="50" spans="2:7" ht="16.5" thickBot="1" x14ac:dyDescent="0.3">
      <c r="B50" s="22" t="s">
        <v>22</v>
      </c>
      <c r="C50" s="23">
        <v>152</v>
      </c>
      <c r="D50" s="23">
        <v>224</v>
      </c>
      <c r="E50" s="23">
        <v>240</v>
      </c>
      <c r="F50" s="23">
        <v>197</v>
      </c>
      <c r="G50" s="24">
        <v>144</v>
      </c>
    </row>
    <row r="51" spans="2:7" x14ac:dyDescent="0.25">
      <c r="B51" s="14"/>
      <c r="C51" s="26">
        <f>+C43/C49</f>
        <v>2.5990099009900989E-2</v>
      </c>
      <c r="D51" s="26">
        <f t="shared" ref="D51:E51" si="10">+D43/D49</f>
        <v>2.1934197407776669E-2</v>
      </c>
      <c r="E51" s="26">
        <f t="shared" si="10"/>
        <v>3.1865042174320526E-2</v>
      </c>
      <c r="F51" s="15"/>
      <c r="G51" s="15"/>
    </row>
    <row r="52" spans="2:7" ht="16.5" thickBot="1" x14ac:dyDescent="0.3">
      <c r="B52" s="14"/>
      <c r="C52" s="15"/>
      <c r="D52" s="15"/>
      <c r="E52" s="15"/>
      <c r="F52" s="15"/>
      <c r="G52" s="15"/>
    </row>
    <row r="53" spans="2:7" ht="16.5" thickBot="1" x14ac:dyDescent="0.3">
      <c r="B53" s="18" t="s">
        <v>26</v>
      </c>
      <c r="C53" s="39"/>
      <c r="D53" s="39"/>
      <c r="E53" s="39"/>
      <c r="F53" s="39"/>
      <c r="G53" s="40"/>
    </row>
    <row r="54" spans="2:7" x14ac:dyDescent="0.25">
      <c r="B54" s="19"/>
      <c r="C54" s="15">
        <v>2018</v>
      </c>
      <c r="D54" s="15">
        <v>2017</v>
      </c>
      <c r="E54" s="15">
        <v>2016</v>
      </c>
      <c r="F54" s="15">
        <v>2015</v>
      </c>
      <c r="G54" s="20">
        <v>2014</v>
      </c>
    </row>
    <row r="55" spans="2:7" x14ac:dyDescent="0.25">
      <c r="B55" s="21" t="s">
        <v>10</v>
      </c>
      <c r="C55" s="15">
        <v>764</v>
      </c>
      <c r="D55" s="15">
        <v>972</v>
      </c>
      <c r="E55" s="15">
        <v>702</v>
      </c>
      <c r="F55" s="15">
        <v>1106</v>
      </c>
      <c r="G55" s="20">
        <v>705</v>
      </c>
    </row>
    <row r="56" spans="2:7" x14ac:dyDescent="0.25">
      <c r="B56" s="21" t="s">
        <v>12</v>
      </c>
      <c r="C56" s="15">
        <v>366</v>
      </c>
      <c r="D56" s="15">
        <v>529</v>
      </c>
      <c r="E56" s="15">
        <v>245</v>
      </c>
      <c r="F56" s="15">
        <v>693</v>
      </c>
      <c r="G56" s="20">
        <v>274</v>
      </c>
    </row>
    <row r="57" spans="2:7" x14ac:dyDescent="0.25">
      <c r="B57" s="21" t="s">
        <v>13</v>
      </c>
      <c r="C57" s="15">
        <v>399</v>
      </c>
      <c r="D57" s="15">
        <v>443</v>
      </c>
      <c r="E57" s="15">
        <v>456</v>
      </c>
      <c r="F57" s="15">
        <v>413</v>
      </c>
      <c r="G57" s="20">
        <v>431</v>
      </c>
    </row>
    <row r="58" spans="2:7" x14ac:dyDescent="0.25">
      <c r="B58" s="21" t="s">
        <v>14</v>
      </c>
      <c r="C58" s="15">
        <v>353</v>
      </c>
      <c r="D58" s="15">
        <v>420</v>
      </c>
      <c r="E58" s="15">
        <v>422</v>
      </c>
      <c r="F58" s="15">
        <v>388</v>
      </c>
      <c r="G58" s="20">
        <v>400</v>
      </c>
    </row>
    <row r="59" spans="2:7" x14ac:dyDescent="0.25">
      <c r="B59" s="21" t="s">
        <v>15</v>
      </c>
      <c r="C59" s="15">
        <v>45</v>
      </c>
      <c r="D59" s="15">
        <v>23</v>
      </c>
      <c r="E59" s="15">
        <v>34</v>
      </c>
      <c r="F59" s="15">
        <v>25</v>
      </c>
      <c r="G59" s="20">
        <v>31</v>
      </c>
    </row>
    <row r="60" spans="2:7" x14ac:dyDescent="0.25">
      <c r="B60" s="21" t="s">
        <v>16</v>
      </c>
      <c r="C60" s="15">
        <v>337</v>
      </c>
      <c r="D60" s="15">
        <v>283</v>
      </c>
      <c r="E60" s="15">
        <v>275</v>
      </c>
      <c r="F60" s="15">
        <v>268</v>
      </c>
      <c r="G60" s="20">
        <v>266</v>
      </c>
    </row>
    <row r="61" spans="2:7" x14ac:dyDescent="0.25">
      <c r="B61" s="21" t="s">
        <v>17</v>
      </c>
      <c r="C61" s="15">
        <v>0</v>
      </c>
      <c r="D61" s="15">
        <v>0</v>
      </c>
      <c r="E61" s="15">
        <v>0</v>
      </c>
      <c r="F61" s="15">
        <v>0</v>
      </c>
      <c r="G61" s="20">
        <v>0</v>
      </c>
    </row>
    <row r="62" spans="2:7" x14ac:dyDescent="0.25">
      <c r="B62" s="21" t="s">
        <v>18</v>
      </c>
      <c r="C62" s="15">
        <v>114</v>
      </c>
      <c r="D62" s="15">
        <v>113</v>
      </c>
      <c r="E62" s="15">
        <v>104</v>
      </c>
      <c r="F62" s="15">
        <v>87</v>
      </c>
      <c r="G62" s="20">
        <v>81</v>
      </c>
    </row>
    <row r="63" spans="2:7" x14ac:dyDescent="0.25">
      <c r="B63" s="21" t="s">
        <v>19</v>
      </c>
      <c r="C63" s="15">
        <v>107</v>
      </c>
      <c r="D63" s="15">
        <v>90</v>
      </c>
      <c r="E63" s="15">
        <v>96</v>
      </c>
      <c r="F63" s="15">
        <v>101</v>
      </c>
      <c r="G63" s="20">
        <v>81</v>
      </c>
    </row>
    <row r="64" spans="2:7" x14ac:dyDescent="0.25">
      <c r="B64" s="21" t="s">
        <v>20</v>
      </c>
      <c r="C64" s="15">
        <v>39</v>
      </c>
      <c r="D64" s="15">
        <v>63</v>
      </c>
      <c r="E64" s="15">
        <v>56</v>
      </c>
      <c r="F64" s="15">
        <v>25</v>
      </c>
      <c r="G64" s="20">
        <v>34</v>
      </c>
    </row>
    <row r="65" spans="2:7" x14ac:dyDescent="0.25">
      <c r="B65" s="21" t="s">
        <v>21</v>
      </c>
      <c r="C65" s="15">
        <v>596</v>
      </c>
      <c r="D65" s="15">
        <v>549</v>
      </c>
      <c r="E65" s="15">
        <v>531</v>
      </c>
      <c r="F65" s="15">
        <v>495</v>
      </c>
      <c r="G65" s="20">
        <v>477</v>
      </c>
    </row>
    <row r="66" spans="2:7" ht="16.5" thickBot="1" x14ac:dyDescent="0.3">
      <c r="B66" s="22" t="s">
        <v>22</v>
      </c>
      <c r="C66" s="23">
        <v>16</v>
      </c>
      <c r="D66" s="23">
        <v>20</v>
      </c>
      <c r="E66" s="23">
        <v>14</v>
      </c>
      <c r="F66" s="23">
        <v>13</v>
      </c>
      <c r="G66" s="24">
        <v>12</v>
      </c>
    </row>
    <row r="67" spans="2:7" x14ac:dyDescent="0.25">
      <c r="C67" s="26">
        <f>+C59/C65</f>
        <v>7.5503355704697989E-2</v>
      </c>
      <c r="D67" s="26">
        <f t="shared" ref="D67:E67" si="11">+D59/D65</f>
        <v>4.1894353369763208E-2</v>
      </c>
      <c r="E67" s="26">
        <f t="shared" si="11"/>
        <v>6.4030131826741998E-2</v>
      </c>
    </row>
    <row r="68" spans="2:7" ht="16.5" thickBot="1" x14ac:dyDescent="0.3"/>
    <row r="69" spans="2:7" ht="16.5" thickBot="1" x14ac:dyDescent="0.3">
      <c r="B69" s="18" t="s">
        <v>27</v>
      </c>
      <c r="C69" s="39"/>
      <c r="D69" s="39"/>
      <c r="E69" s="39"/>
      <c r="F69" s="39"/>
      <c r="G69" s="40"/>
    </row>
    <row r="70" spans="2:7" x14ac:dyDescent="0.25">
      <c r="B70" s="19"/>
      <c r="C70" s="15">
        <v>2018</v>
      </c>
      <c r="D70" s="15">
        <v>2017</v>
      </c>
      <c r="E70" s="15">
        <v>2016</v>
      </c>
      <c r="F70" s="15">
        <v>2015</v>
      </c>
      <c r="G70" s="20">
        <v>2014</v>
      </c>
    </row>
    <row r="71" spans="2:7" x14ac:dyDescent="0.25">
      <c r="B71" s="21" t="s">
        <v>10</v>
      </c>
      <c r="C71" s="15">
        <v>206</v>
      </c>
      <c r="D71" s="15">
        <v>227</v>
      </c>
      <c r="E71" s="15">
        <v>143</v>
      </c>
      <c r="F71" s="15">
        <v>201</v>
      </c>
      <c r="G71" s="20">
        <v>260</v>
      </c>
    </row>
    <row r="72" spans="2:7" x14ac:dyDescent="0.25">
      <c r="B72" s="21" t="s">
        <v>12</v>
      </c>
      <c r="C72" s="15">
        <v>3</v>
      </c>
      <c r="D72" s="15">
        <v>2</v>
      </c>
      <c r="E72" s="15">
        <v>5</v>
      </c>
      <c r="F72" s="15">
        <v>6</v>
      </c>
      <c r="G72" s="20">
        <v>3</v>
      </c>
    </row>
    <row r="73" spans="2:7" x14ac:dyDescent="0.25">
      <c r="B73" s="21" t="s">
        <v>13</v>
      </c>
      <c r="C73" s="15">
        <v>203</v>
      </c>
      <c r="D73" s="15">
        <v>225</v>
      </c>
      <c r="E73" s="15">
        <v>138</v>
      </c>
      <c r="F73" s="15">
        <v>195</v>
      </c>
      <c r="G73" s="20">
        <v>257</v>
      </c>
    </row>
    <row r="74" spans="2:7" x14ac:dyDescent="0.25">
      <c r="B74" s="21" t="s">
        <v>14</v>
      </c>
      <c r="C74" s="15">
        <v>156</v>
      </c>
      <c r="D74" s="15">
        <v>214</v>
      </c>
      <c r="E74" s="15">
        <v>160</v>
      </c>
      <c r="F74" s="15">
        <v>196</v>
      </c>
      <c r="G74" s="20">
        <v>192</v>
      </c>
    </row>
    <row r="75" spans="2:7" x14ac:dyDescent="0.25">
      <c r="B75" s="21" t="s">
        <v>15</v>
      </c>
      <c r="C75" s="15">
        <v>47</v>
      </c>
      <c r="D75" s="15">
        <v>11</v>
      </c>
      <c r="E75" s="15">
        <v>-22</v>
      </c>
      <c r="F75" s="15">
        <v>-1</v>
      </c>
      <c r="G75" s="20">
        <v>64</v>
      </c>
    </row>
    <row r="76" spans="2:7" x14ac:dyDescent="0.25">
      <c r="B76" s="21" t="s">
        <v>16</v>
      </c>
      <c r="C76" s="15">
        <v>328</v>
      </c>
      <c r="D76" s="15">
        <v>373</v>
      </c>
      <c r="E76" s="15">
        <v>426</v>
      </c>
      <c r="F76" s="15">
        <v>440</v>
      </c>
      <c r="G76" s="20">
        <v>438</v>
      </c>
    </row>
    <row r="77" spans="2:7" x14ac:dyDescent="0.25">
      <c r="B77" s="21" t="s">
        <v>17</v>
      </c>
      <c r="C77" s="15">
        <v>0</v>
      </c>
      <c r="D77" s="15">
        <v>0</v>
      </c>
      <c r="E77" s="15">
        <v>0</v>
      </c>
      <c r="F77" s="15">
        <v>0</v>
      </c>
      <c r="G77" s="20">
        <v>0</v>
      </c>
    </row>
    <row r="78" spans="2:7" x14ac:dyDescent="0.25">
      <c r="B78" s="21" t="s">
        <v>18</v>
      </c>
      <c r="C78" s="15">
        <v>3</v>
      </c>
      <c r="D78" s="15">
        <v>3</v>
      </c>
      <c r="E78" s="15">
        <v>3</v>
      </c>
      <c r="F78" s="15">
        <v>3</v>
      </c>
      <c r="G78" s="20">
        <v>3</v>
      </c>
    </row>
    <row r="79" spans="2:7" x14ac:dyDescent="0.25">
      <c r="B79" s="21" t="s">
        <v>19</v>
      </c>
      <c r="C79" s="15">
        <v>10</v>
      </c>
      <c r="D79" s="15">
        <v>28</v>
      </c>
      <c r="E79" s="15">
        <v>70</v>
      </c>
      <c r="F79" s="15">
        <v>95</v>
      </c>
      <c r="G79" s="20">
        <v>90</v>
      </c>
    </row>
    <row r="80" spans="2:7" x14ac:dyDescent="0.25">
      <c r="B80" s="21" t="s">
        <v>20</v>
      </c>
      <c r="C80" s="15">
        <v>249</v>
      </c>
      <c r="D80" s="15">
        <v>181</v>
      </c>
      <c r="E80" s="15">
        <v>72</v>
      </c>
      <c r="F80" s="15">
        <v>43</v>
      </c>
      <c r="G80" s="20">
        <v>116</v>
      </c>
    </row>
    <row r="81" spans="2:7" x14ac:dyDescent="0.25">
      <c r="B81" s="21" t="s">
        <v>21</v>
      </c>
      <c r="C81" s="15">
        <v>955</v>
      </c>
      <c r="D81" s="15">
        <v>905</v>
      </c>
      <c r="E81" s="15">
        <v>900</v>
      </c>
      <c r="F81" s="15">
        <v>928</v>
      </c>
      <c r="G81" s="20">
        <v>918</v>
      </c>
    </row>
    <row r="82" spans="2:7" ht="16.5" thickBot="1" x14ac:dyDescent="0.3">
      <c r="B82" s="22" t="s">
        <v>22</v>
      </c>
      <c r="C82" s="23">
        <v>505</v>
      </c>
      <c r="D82" s="23">
        <v>506</v>
      </c>
      <c r="E82" s="23">
        <v>508</v>
      </c>
      <c r="F82" s="23">
        <v>514</v>
      </c>
      <c r="G82" s="24">
        <v>259</v>
      </c>
    </row>
    <row r="83" spans="2:7" x14ac:dyDescent="0.25">
      <c r="B83" s="14"/>
      <c r="C83" s="26">
        <f>+C75/C81</f>
        <v>4.9214659685863874E-2</v>
      </c>
      <c r="D83" s="26">
        <f t="shared" ref="D83:E83" si="12">+D75/D81</f>
        <v>1.2154696132596685E-2</v>
      </c>
      <c r="E83" s="26">
        <f t="shared" si="12"/>
        <v>-2.4444444444444446E-2</v>
      </c>
      <c r="F83" s="15"/>
      <c r="G83" s="15"/>
    </row>
    <row r="84" spans="2:7" ht="16.5" thickBot="1" x14ac:dyDescent="0.3">
      <c r="B84" s="14"/>
      <c r="C84" s="15"/>
      <c r="D84" s="15"/>
      <c r="E84" s="15"/>
      <c r="F84" s="15"/>
      <c r="G84" s="15"/>
    </row>
    <row r="85" spans="2:7" ht="16.5" thickBot="1" x14ac:dyDescent="0.3">
      <c r="B85" s="18" t="s">
        <v>28</v>
      </c>
      <c r="C85" s="39"/>
      <c r="D85" s="39"/>
      <c r="E85" s="39"/>
      <c r="F85" s="39"/>
      <c r="G85" s="40"/>
    </row>
    <row r="86" spans="2:7" x14ac:dyDescent="0.25">
      <c r="B86" s="19"/>
      <c r="C86" s="15">
        <v>2018</v>
      </c>
      <c r="D86" s="15">
        <v>2017</v>
      </c>
      <c r="E86" s="15">
        <v>2016</v>
      </c>
      <c r="F86" s="15">
        <v>2015</v>
      </c>
      <c r="G86" s="20">
        <v>2014</v>
      </c>
    </row>
    <row r="87" spans="2:7" x14ac:dyDescent="0.25">
      <c r="B87" s="21" t="s">
        <v>10</v>
      </c>
      <c r="C87" s="15">
        <v>28</v>
      </c>
      <c r="D87" s="15">
        <v>46</v>
      </c>
      <c r="E87" s="15">
        <v>41</v>
      </c>
      <c r="F87" s="15">
        <v>57</v>
      </c>
      <c r="G87" s="20" t="s">
        <v>11</v>
      </c>
    </row>
    <row r="88" spans="2:7" x14ac:dyDescent="0.25">
      <c r="B88" s="21" t="s">
        <v>12</v>
      </c>
      <c r="C88" s="15" t="s">
        <v>11</v>
      </c>
      <c r="D88" s="15" t="s">
        <v>11</v>
      </c>
      <c r="E88" s="15" t="s">
        <v>11</v>
      </c>
      <c r="F88" s="15" t="s">
        <v>11</v>
      </c>
      <c r="G88" s="20" t="s">
        <v>11</v>
      </c>
    </row>
    <row r="89" spans="2:7" x14ac:dyDescent="0.25">
      <c r="B89" s="21" t="s">
        <v>13</v>
      </c>
      <c r="C89" s="15" t="s">
        <v>11</v>
      </c>
      <c r="D89" s="15" t="s">
        <v>11</v>
      </c>
      <c r="E89" s="15" t="s">
        <v>11</v>
      </c>
      <c r="F89" s="15" t="s">
        <v>11</v>
      </c>
      <c r="G89" s="20" t="s">
        <v>11</v>
      </c>
    </row>
    <row r="90" spans="2:7" x14ac:dyDescent="0.25">
      <c r="B90" s="21" t="s">
        <v>14</v>
      </c>
      <c r="C90" s="15" t="s">
        <v>11</v>
      </c>
      <c r="D90" s="15" t="s">
        <v>11</v>
      </c>
      <c r="E90" s="15" t="s">
        <v>11</v>
      </c>
      <c r="F90" s="15" t="s">
        <v>11</v>
      </c>
      <c r="G90" s="20" t="s">
        <v>11</v>
      </c>
    </row>
    <row r="91" spans="2:7" x14ac:dyDescent="0.25">
      <c r="B91" s="21" t="s">
        <v>15</v>
      </c>
      <c r="C91" s="15">
        <v>1</v>
      </c>
      <c r="D91" s="15">
        <v>5</v>
      </c>
      <c r="E91" s="15">
        <v>5</v>
      </c>
      <c r="F91" s="15">
        <v>3</v>
      </c>
      <c r="G91" s="20" t="s">
        <v>11</v>
      </c>
    </row>
    <row r="92" spans="2:7" x14ac:dyDescent="0.25">
      <c r="B92" s="21" t="s">
        <v>16</v>
      </c>
      <c r="C92" s="15">
        <v>44</v>
      </c>
      <c r="D92" s="15">
        <v>44</v>
      </c>
      <c r="E92" s="15">
        <v>38</v>
      </c>
      <c r="F92" s="15" t="s">
        <v>11</v>
      </c>
      <c r="G92" s="20" t="s">
        <v>11</v>
      </c>
    </row>
    <row r="93" spans="2:7" x14ac:dyDescent="0.25">
      <c r="B93" s="21" t="s">
        <v>17</v>
      </c>
      <c r="C93" s="15">
        <v>0</v>
      </c>
      <c r="D93" s="15">
        <v>0</v>
      </c>
      <c r="E93" s="15">
        <v>0</v>
      </c>
      <c r="F93" s="15" t="s">
        <v>11</v>
      </c>
      <c r="G93" s="20" t="s">
        <v>11</v>
      </c>
    </row>
    <row r="94" spans="2:7" x14ac:dyDescent="0.25">
      <c r="B94" s="21" t="s">
        <v>18</v>
      </c>
      <c r="C94" s="15">
        <v>0</v>
      </c>
      <c r="D94" s="15">
        <v>0</v>
      </c>
      <c r="E94" s="15">
        <v>0</v>
      </c>
      <c r="F94" s="15" t="s">
        <v>11</v>
      </c>
      <c r="G94" s="20" t="s">
        <v>11</v>
      </c>
    </row>
    <row r="95" spans="2:7" x14ac:dyDescent="0.25">
      <c r="B95" s="21" t="s">
        <v>19</v>
      </c>
      <c r="C95" s="15">
        <v>1</v>
      </c>
      <c r="D95" s="15">
        <v>1</v>
      </c>
      <c r="E95" s="15">
        <v>3</v>
      </c>
      <c r="F95" s="15" t="s">
        <v>11</v>
      </c>
      <c r="G95" s="20" t="s">
        <v>11</v>
      </c>
    </row>
    <row r="96" spans="2:7" x14ac:dyDescent="0.25">
      <c r="B96" s="21" t="s">
        <v>20</v>
      </c>
      <c r="C96" s="15">
        <v>2</v>
      </c>
      <c r="D96" s="15">
        <v>2</v>
      </c>
      <c r="E96" s="15">
        <v>1</v>
      </c>
      <c r="F96" s="15" t="s">
        <v>11</v>
      </c>
      <c r="G96" s="20" t="s">
        <v>11</v>
      </c>
    </row>
    <row r="97" spans="2:7" x14ac:dyDescent="0.25">
      <c r="B97" s="21" t="s">
        <v>21</v>
      </c>
      <c r="C97" s="15">
        <v>47</v>
      </c>
      <c r="D97" s="15">
        <v>48</v>
      </c>
      <c r="E97" s="15">
        <v>42</v>
      </c>
      <c r="F97" s="15" t="s">
        <v>11</v>
      </c>
      <c r="G97" s="20" t="s">
        <v>11</v>
      </c>
    </row>
    <row r="98" spans="2:7" ht="16.5" thickBot="1" x14ac:dyDescent="0.3">
      <c r="B98" s="22" t="s">
        <v>22</v>
      </c>
      <c r="C98" s="23">
        <v>0</v>
      </c>
      <c r="D98" s="23">
        <v>0</v>
      </c>
      <c r="E98" s="23">
        <v>0</v>
      </c>
      <c r="F98" s="23" t="s">
        <v>11</v>
      </c>
      <c r="G98" s="24" t="s">
        <v>11</v>
      </c>
    </row>
    <row r="99" spans="2:7" x14ac:dyDescent="0.25">
      <c r="B99" s="28"/>
      <c r="C99" s="26">
        <f>+C91/C97</f>
        <v>2.1276595744680851E-2</v>
      </c>
      <c r="D99" s="26">
        <f t="shared" ref="D99:E99" si="13">+D91/D97</f>
        <v>0.10416666666666667</v>
      </c>
      <c r="E99" s="26">
        <f t="shared" si="13"/>
        <v>0.11904761904761904</v>
      </c>
      <c r="F99" s="28"/>
      <c r="G99" s="28"/>
    </row>
    <row r="100" spans="2:7" ht="16.5" thickBot="1" x14ac:dyDescent="0.3">
      <c r="B100" s="41"/>
      <c r="C100" s="41"/>
      <c r="D100" s="41"/>
      <c r="E100" s="41"/>
      <c r="F100" s="41"/>
      <c r="G100" s="41"/>
    </row>
    <row r="101" spans="2:7" ht="16.5" thickBot="1" x14ac:dyDescent="0.3">
      <c r="B101" s="18" t="s">
        <v>29</v>
      </c>
      <c r="C101" s="39"/>
      <c r="D101" s="39"/>
      <c r="E101" s="39"/>
      <c r="F101" s="39"/>
      <c r="G101" s="40"/>
    </row>
    <row r="102" spans="2:7" x14ac:dyDescent="0.25">
      <c r="B102" s="19"/>
      <c r="C102" s="15">
        <v>2018</v>
      </c>
      <c r="D102" s="15">
        <v>2017</v>
      </c>
      <c r="E102" s="15">
        <v>2016</v>
      </c>
      <c r="F102" s="15">
        <v>2015</v>
      </c>
      <c r="G102" s="20">
        <v>2014</v>
      </c>
    </row>
    <row r="103" spans="2:7" x14ac:dyDescent="0.25">
      <c r="B103" s="21" t="s">
        <v>10</v>
      </c>
      <c r="C103" s="15">
        <v>833</v>
      </c>
      <c r="D103" s="15">
        <v>617</v>
      </c>
      <c r="E103" s="15">
        <v>345</v>
      </c>
      <c r="F103" s="15">
        <v>262</v>
      </c>
      <c r="G103" s="20">
        <v>145</v>
      </c>
    </row>
    <row r="104" spans="2:7" x14ac:dyDescent="0.25">
      <c r="B104" s="21" t="s">
        <v>12</v>
      </c>
      <c r="C104" s="15">
        <v>543</v>
      </c>
      <c r="D104" s="15">
        <v>332</v>
      </c>
      <c r="E104" s="15">
        <v>177</v>
      </c>
      <c r="F104" s="15">
        <v>187</v>
      </c>
      <c r="G104" s="20">
        <v>110</v>
      </c>
    </row>
    <row r="105" spans="2:7" x14ac:dyDescent="0.25">
      <c r="B105" s="21" t="s">
        <v>13</v>
      </c>
      <c r="C105" s="15">
        <v>290</v>
      </c>
      <c r="D105" s="15">
        <v>284</v>
      </c>
      <c r="E105" s="15">
        <v>168</v>
      </c>
      <c r="F105" s="15">
        <v>74</v>
      </c>
      <c r="G105" s="20">
        <v>35</v>
      </c>
    </row>
    <row r="106" spans="2:7" x14ac:dyDescent="0.25">
      <c r="B106" s="21" t="s">
        <v>14</v>
      </c>
      <c r="C106" s="15">
        <v>286</v>
      </c>
      <c r="D106" s="15">
        <v>248</v>
      </c>
      <c r="E106" s="15">
        <v>156</v>
      </c>
      <c r="F106" s="15">
        <v>86</v>
      </c>
      <c r="G106" s="20">
        <v>25</v>
      </c>
    </row>
    <row r="107" spans="2:7" x14ac:dyDescent="0.25">
      <c r="B107" s="21" t="s">
        <v>15</v>
      </c>
      <c r="C107" s="15">
        <v>4</v>
      </c>
      <c r="D107" s="15">
        <v>36</v>
      </c>
      <c r="E107" s="15">
        <v>12</v>
      </c>
      <c r="F107" s="15">
        <v>-12</v>
      </c>
      <c r="G107" s="20">
        <v>10</v>
      </c>
    </row>
    <row r="108" spans="2:7" x14ac:dyDescent="0.25">
      <c r="B108" s="21" t="s">
        <v>16</v>
      </c>
      <c r="C108" s="15">
        <v>89</v>
      </c>
      <c r="D108" s="15">
        <v>70</v>
      </c>
      <c r="E108" s="15">
        <v>24</v>
      </c>
      <c r="F108" s="15">
        <v>0</v>
      </c>
      <c r="G108" s="20" t="s">
        <v>11</v>
      </c>
    </row>
    <row r="109" spans="2:7" x14ac:dyDescent="0.25">
      <c r="B109" s="21" t="s">
        <v>17</v>
      </c>
      <c r="C109" s="15">
        <v>0</v>
      </c>
      <c r="D109" s="15">
        <v>0</v>
      </c>
      <c r="E109" s="15" t="s">
        <v>11</v>
      </c>
      <c r="F109" s="15" t="s">
        <v>11</v>
      </c>
      <c r="G109" s="20" t="s">
        <v>11</v>
      </c>
    </row>
    <row r="110" spans="2:7" x14ac:dyDescent="0.25">
      <c r="B110" s="21" t="s">
        <v>18</v>
      </c>
      <c r="C110" s="15">
        <v>0</v>
      </c>
      <c r="D110" s="15">
        <v>0</v>
      </c>
      <c r="E110" s="15">
        <v>0</v>
      </c>
      <c r="F110" s="15">
        <v>0</v>
      </c>
      <c r="G110" s="20" t="s">
        <v>11</v>
      </c>
    </row>
    <row r="111" spans="2:7" x14ac:dyDescent="0.25">
      <c r="B111" s="21" t="s">
        <v>19</v>
      </c>
      <c r="C111" s="15">
        <v>142</v>
      </c>
      <c r="D111" s="15">
        <v>100</v>
      </c>
      <c r="E111" s="15">
        <v>55</v>
      </c>
      <c r="F111" s="15">
        <v>40</v>
      </c>
      <c r="G111" s="20" t="s">
        <v>11</v>
      </c>
    </row>
    <row r="112" spans="2:7" x14ac:dyDescent="0.25">
      <c r="B112" s="21" t="s">
        <v>20</v>
      </c>
      <c r="C112" s="15">
        <v>31</v>
      </c>
      <c r="D112" s="15">
        <v>19</v>
      </c>
      <c r="E112" s="15">
        <v>18</v>
      </c>
      <c r="F112" s="15">
        <v>17</v>
      </c>
      <c r="G112" s="20" t="s">
        <v>11</v>
      </c>
    </row>
    <row r="113" spans="2:7" x14ac:dyDescent="0.25">
      <c r="B113" s="21" t="s">
        <v>21</v>
      </c>
      <c r="C113" s="15">
        <v>261</v>
      </c>
      <c r="D113" s="15">
        <v>190</v>
      </c>
      <c r="E113" s="15">
        <v>96</v>
      </c>
      <c r="F113" s="15">
        <v>57</v>
      </c>
      <c r="G113" s="20" t="s">
        <v>11</v>
      </c>
    </row>
    <row r="114" spans="2:7" ht="16.5" thickBot="1" x14ac:dyDescent="0.3">
      <c r="B114" s="22" t="s">
        <v>22</v>
      </c>
      <c r="C114" s="23">
        <v>71</v>
      </c>
      <c r="D114" s="23">
        <v>73</v>
      </c>
      <c r="E114" s="23">
        <v>69</v>
      </c>
      <c r="F114" s="23">
        <v>36</v>
      </c>
      <c r="G114" s="24" t="s">
        <v>11</v>
      </c>
    </row>
    <row r="115" spans="2:7" x14ac:dyDescent="0.25">
      <c r="C115" s="26">
        <f>+C107/C113</f>
        <v>1.532567049808429E-2</v>
      </c>
      <c r="D115" s="26">
        <f t="shared" ref="D115:E115" si="14">+D107/D113</f>
        <v>0.18947368421052632</v>
      </c>
      <c r="E115" s="26">
        <f t="shared" si="14"/>
        <v>0.125</v>
      </c>
    </row>
  </sheetData>
  <mergeCells count="9">
    <mergeCell ref="C5:G5"/>
    <mergeCell ref="B100:G100"/>
    <mergeCell ref="C85:G85"/>
    <mergeCell ref="C101:G101"/>
    <mergeCell ref="C53:G53"/>
    <mergeCell ref="C37:G37"/>
    <mergeCell ref="C21:G21"/>
    <mergeCell ref="B36:G36"/>
    <mergeCell ref="C69:G69"/>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2</vt:i4>
      </vt:variant>
    </vt:vector>
  </HeadingPairs>
  <TitlesOfParts>
    <vt:vector size="2" baseType="lpstr">
      <vt:lpstr>Servidores</vt:lpstr>
      <vt:lpstr>Empresas comparables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SR</dc:creator>
  <cp:lastModifiedBy>Oriol puig i Carreró</cp:lastModifiedBy>
  <dcterms:created xsi:type="dcterms:W3CDTF">2021-05-10T17:26:22Z</dcterms:created>
  <dcterms:modified xsi:type="dcterms:W3CDTF">2024-02-16T16:28:55Z</dcterms:modified>
</cp:coreProperties>
</file>