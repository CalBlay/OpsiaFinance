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3/CONTROLLING/"/>
    </mc:Choice>
  </mc:AlternateContent>
  <xr:revisionPtr revIDLastSave="469" documentId="8_{FAC31818-CB14-4AA2-818B-C94B69D1BEDE}" xr6:coauthVersionLast="47" xr6:coauthVersionMax="47" xr10:uidLastSave="{2689943B-8306-47A1-A547-F32791EAA386}"/>
  <bookViews>
    <workbookView xWindow="-120" yWindow="-120" windowWidth="29040" windowHeight="15720" firstSheet="1" activeTab="6" xr2:uid="{00000000-000D-0000-FFFF-FFFF00000000}"/>
  </bookViews>
  <sheets>
    <sheet name="Cuentas y asignaciones" sheetId="1" r:id="rId1"/>
    <sheet name="Organigrama" sheetId="2" r:id="rId2"/>
    <sheet name="Servicios" sheetId="3" r:id="rId3"/>
    <sheet name="Actividades" sheetId="5" r:id="rId4"/>
    <sheet name="Plantilla" sheetId="4" r:id="rId5"/>
    <sheet name="Asignación Actividades Directas" sheetId="6" r:id="rId6"/>
    <sheet name="Volumen Servicios" sheetId="7" r:id="rId7"/>
    <sheet name="Datos Ctbl" sheetId="8" r:id="rId8"/>
    <sheet name="Otros da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3" roundtripDataSignature="AMtx7mjiyPnSwmPDIIAyRvhhwGpaUaLRdw=="/>
    </ext>
  </extLst>
</workbook>
</file>

<file path=xl/calcChain.xml><?xml version="1.0" encoding="utf-8"?>
<calcChain xmlns="http://schemas.openxmlformats.org/spreadsheetml/2006/main">
  <c r="H9" i="7" l="1"/>
  <c r="H10" i="7"/>
  <c r="H11" i="7"/>
  <c r="I11" i="7" s="1"/>
  <c r="H8" i="7"/>
  <c r="H7" i="7"/>
  <c r="I6" i="7"/>
  <c r="I7" i="7"/>
  <c r="I8" i="7"/>
  <c r="I9" i="7"/>
  <c r="I10" i="7"/>
  <c r="H6" i="7"/>
  <c r="I5" i="7"/>
  <c r="H5" i="7"/>
  <c r="G6" i="7"/>
  <c r="G7" i="7"/>
  <c r="G8" i="7"/>
  <c r="G9" i="7"/>
  <c r="G10" i="7"/>
  <c r="G11" i="7"/>
  <c r="G5" i="7"/>
  <c r="U25" i="7"/>
  <c r="S26" i="7"/>
  <c r="V26" i="7" s="1"/>
  <c r="G23" i="7"/>
  <c r="I23" i="7"/>
  <c r="K23" i="7"/>
  <c r="M23" i="7"/>
  <c r="O23" i="7"/>
  <c r="U23" i="7"/>
  <c r="S23" i="7"/>
  <c r="Q23" i="7"/>
  <c r="U20" i="7"/>
  <c r="S20" i="7"/>
  <c r="Q20" i="7"/>
  <c r="O20" i="7"/>
  <c r="M20" i="7"/>
  <c r="U24" i="7"/>
  <c r="U22" i="7"/>
  <c r="U21" i="7"/>
  <c r="S24" i="7"/>
  <c r="S22" i="7"/>
  <c r="S21" i="7"/>
  <c r="Q24" i="7"/>
  <c r="Q22" i="7"/>
  <c r="Q21" i="7"/>
  <c r="O24" i="7"/>
  <c r="O22" i="7"/>
  <c r="O21" i="7"/>
  <c r="M24" i="7"/>
  <c r="M22" i="7"/>
  <c r="M21" i="7"/>
  <c r="K24" i="7"/>
  <c r="K22" i="7"/>
  <c r="K21" i="7"/>
  <c r="V25" i="7"/>
  <c r="I22" i="7"/>
  <c r="I21" i="7"/>
  <c r="I24" i="7"/>
  <c r="G24" i="7"/>
  <c r="G21" i="7"/>
  <c r="M11" i="4"/>
  <c r="M8" i="4"/>
  <c r="G8" i="4"/>
  <c r="G9" i="4"/>
  <c r="G10" i="4"/>
  <c r="Q10" i="4"/>
  <c r="Q11" i="4" s="1"/>
  <c r="D4" i="4"/>
  <c r="E4" i="4" s="1"/>
  <c r="I4" i="4" s="1"/>
  <c r="D5" i="4"/>
  <c r="E5" i="4" s="1"/>
  <c r="K5" i="4" s="1"/>
  <c r="D6" i="4"/>
  <c r="E6" i="4" s="1"/>
  <c r="K6" i="4" s="1"/>
  <c r="D7" i="4"/>
  <c r="E7" i="4" s="1"/>
  <c r="K7" i="4" s="1"/>
  <c r="D8" i="4"/>
  <c r="E8" i="4" s="1"/>
  <c r="O8" i="4" s="1"/>
  <c r="D9" i="4"/>
  <c r="E9" i="4" s="1"/>
  <c r="K9" i="4" s="1"/>
  <c r="D10" i="4"/>
  <c r="E10" i="4" s="1"/>
  <c r="O10" i="4" s="1"/>
  <c r="D3" i="4"/>
  <c r="I40" i="8" a="1"/>
  <c r="I40" i="8" s="1"/>
  <c r="G40" i="8"/>
  <c r="H22" i="8"/>
  <c r="I22" i="8"/>
  <c r="J22" i="8"/>
  <c r="K22" i="8"/>
  <c r="L22" i="8"/>
  <c r="M22" i="8"/>
  <c r="N22" i="8"/>
  <c r="O22" i="8"/>
  <c r="G22" i="8"/>
  <c r="F13" i="9"/>
  <c r="E13" i="9"/>
  <c r="D13" i="9"/>
  <c r="M41" i="6"/>
  <c r="M39" i="6"/>
  <c r="M38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A58" i="5"/>
  <c r="F58" i="5" s="1"/>
  <c r="A54" i="5"/>
  <c r="F54" i="5" s="1"/>
  <c r="A51" i="5"/>
  <c r="F48" i="5" s="1"/>
  <c r="A42" i="5"/>
  <c r="F41" i="5" s="1"/>
  <c r="A37" i="5"/>
  <c r="F34" i="5" s="1"/>
  <c r="A33" i="5"/>
  <c r="F27" i="5" s="1"/>
  <c r="A24" i="5"/>
  <c r="F20" i="5" s="1"/>
  <c r="A11" i="5"/>
  <c r="F11" i="5" s="1"/>
  <c r="V23" i="7" l="1"/>
  <c r="V21" i="7"/>
  <c r="V20" i="7"/>
  <c r="V22" i="7"/>
  <c r="V24" i="7"/>
  <c r="S9" i="4"/>
  <c r="S11" i="4" s="1"/>
  <c r="G7" i="4"/>
  <c r="I5" i="4"/>
  <c r="O7" i="4"/>
  <c r="G6" i="4"/>
  <c r="G11" i="4" s="1"/>
  <c r="E5" i="7" s="1"/>
  <c r="K4" i="4"/>
  <c r="O6" i="4"/>
  <c r="I6" i="4"/>
  <c r="O5" i="4"/>
  <c r="O4" i="4"/>
  <c r="I10" i="4"/>
  <c r="I9" i="4"/>
  <c r="I8" i="4"/>
  <c r="O9" i="4"/>
  <c r="K8" i="4"/>
  <c r="K10" i="4"/>
  <c r="I7" i="4"/>
  <c r="E3" i="4"/>
  <c r="O3" i="4" s="1"/>
  <c r="F15" i="5"/>
  <c r="F23" i="5"/>
  <c r="F18" i="5"/>
  <c r="F25" i="5"/>
  <c r="F6" i="5"/>
  <c r="F13" i="5"/>
  <c r="F21" i="5"/>
  <c r="F28" i="5"/>
  <c r="F35" i="5"/>
  <c r="F49" i="5"/>
  <c r="F55" i="5"/>
  <c r="F7" i="5"/>
  <c r="F14" i="5"/>
  <c r="F22" i="5"/>
  <c r="F29" i="5"/>
  <c r="F36" i="5"/>
  <c r="F42" i="5"/>
  <c r="F50" i="5"/>
  <c r="F56" i="5"/>
  <c r="F57" i="5"/>
  <c r="F8" i="5"/>
  <c r="F31" i="5"/>
  <c r="F37" i="5"/>
  <c r="F44" i="5"/>
  <c r="F51" i="5"/>
  <c r="F10" i="5"/>
  <c r="F17" i="5"/>
  <c r="F24" i="5"/>
  <c r="F32" i="5"/>
  <c r="F38" i="5"/>
  <c r="F45" i="5"/>
  <c r="F52" i="5"/>
  <c r="F30" i="5"/>
  <c r="F43" i="5"/>
  <c r="F9" i="5"/>
  <c r="F16" i="5"/>
  <c r="F39" i="5"/>
  <c r="F46" i="5"/>
  <c r="F53" i="5"/>
  <c r="A59" i="5"/>
  <c r="F19" i="5"/>
  <c r="F26" i="5"/>
  <c r="F33" i="5"/>
  <c r="F40" i="5"/>
  <c r="F47" i="5"/>
  <c r="F12" i="5"/>
  <c r="K11" i="4" l="1"/>
  <c r="O11" i="4"/>
  <c r="I3" i="4"/>
  <c r="I11" i="4" s="1"/>
  <c r="F5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<sst xmlns="http://schemas.openxmlformats.org/spreadsheetml/2006/main" count="1027" uniqueCount="402">
  <si>
    <t>ANALISIS DE CUENTAS CONTABLES</t>
  </si>
  <si>
    <t>Cuenta</t>
  </si>
  <si>
    <t xml:space="preserve">Texto breve         </t>
  </si>
  <si>
    <t>Descripción</t>
  </si>
  <si>
    <t>Tipo de coste</t>
  </si>
  <si>
    <t>Criterio de imputación</t>
  </si>
  <si>
    <t>Saldo</t>
  </si>
  <si>
    <t>Licencias Comerciales</t>
  </si>
  <si>
    <t>Venta de licencia Inerza</t>
  </si>
  <si>
    <t xml:space="preserve">Mater.Oficina       </t>
  </si>
  <si>
    <t>Material de oficina (todo aquel material que no se contabilice como inversión en inmovilizado)</t>
  </si>
  <si>
    <t>Prev. Mater Oficina</t>
  </si>
  <si>
    <t>Previsión de gasto para material de oficina (todo aquel material que no se contabilice como inversión en inmovilizado)</t>
  </si>
  <si>
    <t>Mater. Diversos</t>
  </si>
  <si>
    <t xml:space="preserve">Suministro de material de limpieza, polos y otros materiales diversos </t>
  </si>
  <si>
    <t>Prev. Mater. Diversos</t>
  </si>
  <si>
    <t xml:space="preserve">Previsión de gasto para el suministro de material de limpieza, polos y otros materiales diversos </t>
  </si>
  <si>
    <t>Arrto. Vehículos</t>
  </si>
  <si>
    <t>Arrendamiento de vehículos</t>
  </si>
  <si>
    <t>Prev. Arrto. Vehículos</t>
  </si>
  <si>
    <t>Previsión de gasto para el arrendamiento de vehículos</t>
  </si>
  <si>
    <t xml:space="preserve">Arrto.Local y ofi   </t>
  </si>
  <si>
    <t>Alquiler de las oficinas (LPA y TFE).</t>
  </si>
  <si>
    <t xml:space="preserve">Prev. Arrto.Local y ofi   </t>
  </si>
  <si>
    <t xml:space="preserve">Otros Arrtos        </t>
  </si>
  <si>
    <t>Arrendamientos concretos que no se encuadran en la definición del resto de cuentas de arrendamiento (manos remotas, housing/housting, serviio de alijamiento y suministro elctrico, colocación en rack, etc.)</t>
  </si>
  <si>
    <t>Prev. Otros Arrtos.</t>
  </si>
  <si>
    <t>Previsión para arrendamientos concretos que no se encuadran en la definición del resto de cuentas de arrendamiento</t>
  </si>
  <si>
    <t>Canon Marca</t>
  </si>
  <si>
    <t xml:space="preserve">Rep.Mtto HW         </t>
  </si>
  <si>
    <t>Reparaciones y mantenimiento de hardware</t>
  </si>
  <si>
    <t>Ampliación garantía CABIN</t>
  </si>
  <si>
    <t>Actualización Firware Maquinas IER</t>
  </si>
  <si>
    <t>Unidades de distribución de alimentación (16A; 32A)</t>
  </si>
  <si>
    <t>Mantenimiento anual hosting web empresa</t>
  </si>
  <si>
    <t>Reclasificación cuenta web empresa</t>
  </si>
  <si>
    <t xml:space="preserve">Módulo DPR2 </t>
  </si>
  <si>
    <t>Ampliación garantía 7se</t>
  </si>
  <si>
    <t>Mantenimiento CABIN</t>
  </si>
  <si>
    <t>Mantenimiento CSMGR 3.3 Enterpris</t>
  </si>
  <si>
    <t>Mantenimeinto CABIN y SWCX32020</t>
  </si>
  <si>
    <t>Mantenimiento switches lineas ONO</t>
  </si>
  <si>
    <t>Mantenimeinto Appliance</t>
  </si>
  <si>
    <t>Switches 8 puertos</t>
  </si>
  <si>
    <t>Transcend MICHOSDHC 16GB</t>
  </si>
  <si>
    <t>Casco</t>
  </si>
  <si>
    <t>Teléfonos y auricular</t>
  </si>
  <si>
    <t>Teléfono y auricular</t>
  </si>
  <si>
    <t>Ratón M90 óptico</t>
  </si>
  <si>
    <t>Teckado negro USB K190</t>
  </si>
  <si>
    <t>Rep. y mant. equipos SW</t>
  </si>
  <si>
    <t>Reparaciones y mantenimiento de software</t>
  </si>
  <si>
    <t xml:space="preserve">Rep.Edif.y Mobil.   </t>
  </si>
  <si>
    <t>Reparaciones de edificio y mobiliario (LPA y TFE).</t>
  </si>
  <si>
    <t>Prev. Mtto. Edif.</t>
  </si>
  <si>
    <t xml:space="preserve">Asist Técnica       </t>
  </si>
  <si>
    <t>Servicios profesionales contratatados a terceros</t>
  </si>
  <si>
    <t>Costes corporativos, de administración y de gestión de rrhh imputados por empresas del grupo (auditorías, confirming, servicios, etc.)</t>
  </si>
  <si>
    <t>Gastos derivados de mantenimiento de aplicaciones</t>
  </si>
  <si>
    <t>Gastos derivados del mantenimeinto de infraestructuras</t>
  </si>
  <si>
    <t>Gastos derivados de nuevos desarrollos</t>
  </si>
  <si>
    <t>Otros gastos por asistencias técnicas</t>
  </si>
  <si>
    <t>Previsión de gasto para asistencias técnicas</t>
  </si>
  <si>
    <t>Consultorías</t>
  </si>
  <si>
    <t>Consultoría para el análisis y protección de aplicaciones</t>
  </si>
  <si>
    <t>Previsión de gasto para consultorías</t>
  </si>
  <si>
    <t>Transportes</t>
  </si>
  <si>
    <t>Coste del transporte de elementos solicitados a proveedores</t>
  </si>
  <si>
    <t>Prev.Transportes</t>
  </si>
  <si>
    <t>Seguros flota</t>
  </si>
  <si>
    <t>Son gastos de seguros generales tratar como la cuenta de multiseguros</t>
  </si>
  <si>
    <t xml:space="preserve">Multiseguros        </t>
  </si>
  <si>
    <t>Seguro patrimonial de la compañía</t>
  </si>
  <si>
    <t>Prevision Seguro patrimonial de la compañía</t>
  </si>
  <si>
    <t>La parte del seguro general que le corresponde</t>
  </si>
  <si>
    <t>Previsión de La parte del seguro general que le corresponde</t>
  </si>
  <si>
    <t>Publicidad</t>
  </si>
  <si>
    <t>Gastos de billetes de cortesía</t>
  </si>
  <si>
    <t>Gastos Representación</t>
  </si>
  <si>
    <t>Gastos varios (caja)</t>
  </si>
  <si>
    <t>Billetes cortesia</t>
  </si>
  <si>
    <t>Obsequios y donativos</t>
  </si>
  <si>
    <t>Regalo nacimiento</t>
  </si>
  <si>
    <t>Gasts tarjeta</t>
  </si>
  <si>
    <t>Prev.Gasts tarjeta</t>
  </si>
  <si>
    <t>D</t>
  </si>
  <si>
    <t xml:space="preserve">Agua                </t>
  </si>
  <si>
    <t>Agua consumida por el personal de BS</t>
  </si>
  <si>
    <t>Comb. Equipos Tierra</t>
  </si>
  <si>
    <t>Gasto en combustible</t>
  </si>
  <si>
    <t>Prev. Agua</t>
  </si>
  <si>
    <t>Previsión de gasto en agua consumida por el personal de BS</t>
  </si>
  <si>
    <t>Luz</t>
  </si>
  <si>
    <t>Luz consumida por el personal</t>
  </si>
  <si>
    <t>Prev. Luz</t>
  </si>
  <si>
    <t>Previsión de gasto en luz del personal</t>
  </si>
  <si>
    <t>Teléfonos</t>
  </si>
  <si>
    <t>Teléfono y conexiones consumido.</t>
  </si>
  <si>
    <t>Prev. Teléfonos</t>
  </si>
  <si>
    <t>Previsión de gatsos de teléfono y conexiones consumido.</t>
  </si>
  <si>
    <t>Desp. Aduanas</t>
  </si>
  <si>
    <t>Prev Desp Aduanas</t>
  </si>
  <si>
    <t xml:space="preserve">Limp.Locales        </t>
  </si>
  <si>
    <t>Servicios de limpieza subcontratados (LPA y TFE).</t>
  </si>
  <si>
    <t xml:space="preserve">Prev. Limp.Locales        </t>
  </si>
  <si>
    <t>Previsión de gastos de servicios de limpieza subcontratados (LPA y TFE).</t>
  </si>
  <si>
    <t>correos</t>
  </si>
  <si>
    <t>Facturación de servicios de mensajería</t>
  </si>
  <si>
    <t xml:space="preserve">Mensajeria          </t>
  </si>
  <si>
    <t>Suscrip.y revist</t>
  </si>
  <si>
    <t>Suscripciones y revistas (Cuota anual socio Cluster Empresas)</t>
  </si>
  <si>
    <t>Prev. Suscrip.y revist</t>
  </si>
  <si>
    <t>Previsión de gastos para suscripciones y revistas (Cuota anual socio Cluster Empresas)</t>
  </si>
  <si>
    <t>ETT, Fund y selecc</t>
  </si>
  <si>
    <t>Pagos realziados a ETT, fundaciones y labores de selección</t>
  </si>
  <si>
    <t>Prev.ETT, Fund y selecc</t>
  </si>
  <si>
    <t>Gastos Varios</t>
  </si>
  <si>
    <t>Otros gastos no vindulados al resto de cuentas</t>
  </si>
  <si>
    <t>Prev. Gastos Varios</t>
  </si>
  <si>
    <t>Previsión para otros gastos no vindulados al resto de cuentas</t>
  </si>
  <si>
    <t xml:space="preserve">Limp vehículos      </t>
  </si>
  <si>
    <t xml:space="preserve">Prev. Limp vehículos      </t>
  </si>
  <si>
    <t>Previsión para los gastos de servicios de limpieza subcontratados (LPA y TFE).</t>
  </si>
  <si>
    <t xml:space="preserve">Gtos viajes         </t>
  </si>
  <si>
    <t>Principalmente viajes de comisión de servicios (dietas, hotel y coche)</t>
  </si>
  <si>
    <t>Prev Gtos viaje</t>
  </si>
  <si>
    <t xml:space="preserve">Bill de Servicio    </t>
  </si>
  <si>
    <t>Billetes para desplazamientos de trabajo</t>
  </si>
  <si>
    <t xml:space="preserve">Prev. Bill de Servicio    </t>
  </si>
  <si>
    <t>Previsión para gastos de billetes para desplazamientos de trabajo</t>
  </si>
  <si>
    <t xml:space="preserve">Gtos Locomoc        </t>
  </si>
  <si>
    <t>Gastos de transporte en viajes (no alquiler de vehículos, taxis, trenes, etc.)</t>
  </si>
  <si>
    <t>Dif OC y Fras</t>
  </si>
  <si>
    <t>Dif en registro facturas y OC</t>
  </si>
  <si>
    <t>Impuesto Diferido</t>
  </si>
  <si>
    <t>Impuesto diferido</t>
  </si>
  <si>
    <t>Impuesto sobre actividades económicas</t>
  </si>
  <si>
    <t>Pago IAE</t>
  </si>
  <si>
    <t>Otros impuestos municipales</t>
  </si>
  <si>
    <t>Tasas de basura</t>
  </si>
  <si>
    <t>Prev IBIU</t>
  </si>
  <si>
    <t>IBIU</t>
  </si>
  <si>
    <t>AIEM</t>
  </si>
  <si>
    <t>Tasa Cámara Oficial</t>
  </si>
  <si>
    <t>Derechos y tasas</t>
  </si>
  <si>
    <t>Otros tributos BCV</t>
  </si>
  <si>
    <t xml:space="preserve">Remun.fijas         </t>
  </si>
  <si>
    <t>Sueldos de los trabajadores</t>
  </si>
  <si>
    <t>Pagas Extras</t>
  </si>
  <si>
    <t>Pagas Extras de los trabajadores</t>
  </si>
  <si>
    <t>Prev. Pagas Extras</t>
  </si>
  <si>
    <t>Previsión de gasto en pagas extras de los trabajadores</t>
  </si>
  <si>
    <t xml:space="preserve">Plus, gratrif y pr   </t>
  </si>
  <si>
    <t>Pluses, gratificaciones y promociones</t>
  </si>
  <si>
    <t xml:space="preserve">Prev. Plus, gratrif y pr   </t>
  </si>
  <si>
    <t>Prevision de gastos para pluses, gratificaciones y promociones</t>
  </si>
  <si>
    <t xml:space="preserve">Indemniz.           </t>
  </si>
  <si>
    <t>Indemnizaciones</t>
  </si>
  <si>
    <t xml:space="preserve">Prev. Indemniz.           </t>
  </si>
  <si>
    <t xml:space="preserve">SS empresa          </t>
  </si>
  <si>
    <t>Seguridad Social a cargo de la empresa</t>
  </si>
  <si>
    <t xml:space="preserve">Aport.P.Pensi       </t>
  </si>
  <si>
    <t>Aportaciones a los planes de pensiones</t>
  </si>
  <si>
    <t>Bill. Recreo</t>
  </si>
  <si>
    <t>Billetes para desplazamientos de recreo (gratificaciones)</t>
  </si>
  <si>
    <t xml:space="preserve">Segur vida          </t>
  </si>
  <si>
    <t>Seguros de vida</t>
  </si>
  <si>
    <t>Previsión seguros de vida</t>
  </si>
  <si>
    <t>Prev. Asist.Sanitar.</t>
  </si>
  <si>
    <t>Previsión de gastos para asistencia médica</t>
  </si>
  <si>
    <t xml:space="preserve">Form.Pers.Tierr.    </t>
  </si>
  <si>
    <t>Gastos de formación del personal de tierra</t>
  </si>
  <si>
    <t xml:space="preserve">Prev. Form.Pers.Tierr.    </t>
  </si>
  <si>
    <t>Previsión para gastos de formación del personal de tierra</t>
  </si>
  <si>
    <t>Com.Pers Tierr</t>
  </si>
  <si>
    <t>Comida personal</t>
  </si>
  <si>
    <t>Gtos. Traslado</t>
  </si>
  <si>
    <t>Gastos de Traslado</t>
  </si>
  <si>
    <t xml:space="preserve">Otros Gtos Soc      </t>
  </si>
  <si>
    <t xml:space="preserve">Otros gastos sociales, imputables a los empleados </t>
  </si>
  <si>
    <t xml:space="preserve">Prevision Otros gastos sociales, imputables a los empleados </t>
  </si>
  <si>
    <t>Rem. Consejeros</t>
  </si>
  <si>
    <t>Remuneración consejeros</t>
  </si>
  <si>
    <t>Prev. Rem. Consejeros</t>
  </si>
  <si>
    <t>Previsión Remuneración consejeros</t>
  </si>
  <si>
    <t>Gastos a refacturar</t>
  </si>
  <si>
    <t>Inter Ptmos</t>
  </si>
  <si>
    <t>Intereses</t>
  </si>
  <si>
    <t>Dif neg cbo</t>
  </si>
  <si>
    <t>Com gtos banc</t>
  </si>
  <si>
    <t>Comisiones bancarias</t>
  </si>
  <si>
    <t>Pdas Inm Mater</t>
  </si>
  <si>
    <t>Pérdidas de Inmovilizado material</t>
  </si>
  <si>
    <t>Gtos. Excepción</t>
  </si>
  <si>
    <t>Multa de aparcamiento</t>
  </si>
  <si>
    <t xml:space="preserve">Amort Aplic Inf.    </t>
  </si>
  <si>
    <t>Amortizaciones de aplicaciones informáticas</t>
  </si>
  <si>
    <t>Amort O Instalac</t>
  </si>
  <si>
    <t>Amortizaciones de mobiliario</t>
  </si>
  <si>
    <t xml:space="preserve">Amort Mobil.        </t>
  </si>
  <si>
    <t xml:space="preserve">Amort Eq.Proc.      </t>
  </si>
  <si>
    <t>Amortizaciones de equipos para procesos informáticos.</t>
  </si>
  <si>
    <t>ORGANIGRAMA GESTIN</t>
  </si>
  <si>
    <t>Dirección</t>
  </si>
  <si>
    <t>PMO</t>
  </si>
  <si>
    <t>SISTEMAS INFORMACION</t>
  </si>
  <si>
    <t>PROCESOS</t>
  </si>
  <si>
    <t>RESERVAS Y DISTRIBUCION (GDS-CDS)</t>
  </si>
  <si>
    <t>DSISTEMAS</t>
  </si>
  <si>
    <t>HELP DESK</t>
  </si>
  <si>
    <t>INFRAESTRUCTURA Y COMUNICACION</t>
  </si>
  <si>
    <t>SEGURIDAD</t>
  </si>
  <si>
    <t>Servicios prestados</t>
  </si>
  <si>
    <t>Servicio de asesoramiento y soporte funcional a usuarios</t>
  </si>
  <si>
    <t>Nuevos desarrollos</t>
  </si>
  <si>
    <t>Mantenimiento de aplicaciones</t>
  </si>
  <si>
    <t>Mantenimiento Infraestrutcuras</t>
  </si>
  <si>
    <t>Consultoría de Procesos</t>
  </si>
  <si>
    <t>Canales On Line</t>
  </si>
  <si>
    <t>Servicos de Seguridad Informática</t>
  </si>
  <si>
    <t>Personas equivalentes</t>
  </si>
  <si>
    <t>PMO (Oficina proyectos)</t>
  </si>
  <si>
    <t>DIRECCIÓN SISTEMAS</t>
  </si>
  <si>
    <t>MAPA DE ACTIVIDADES POR DEPARTAMENTO</t>
  </si>
  <si>
    <t>Plantilla</t>
  </si>
  <si>
    <t>Código</t>
  </si>
  <si>
    <t>CECO</t>
  </si>
  <si>
    <t>Actividades</t>
  </si>
  <si>
    <t>% dedicación RR.HH.</t>
  </si>
  <si>
    <t>C1</t>
  </si>
  <si>
    <t>Planificación de BS</t>
  </si>
  <si>
    <t>Organización de BS</t>
  </si>
  <si>
    <t>Dirección de BS</t>
  </si>
  <si>
    <t>Coordinación de recursos financieros</t>
  </si>
  <si>
    <t>Coordinación de recursos humanos</t>
  </si>
  <si>
    <t>Control de resultados</t>
  </si>
  <si>
    <t>C2</t>
  </si>
  <si>
    <t>Soporte GDS-CDS</t>
  </si>
  <si>
    <t>Gestión del Dpto.</t>
  </si>
  <si>
    <t>Gestión y Mantenimiento de Tarifas</t>
  </si>
  <si>
    <t>Desarrollo y mantenimiento de Acuerdos</t>
  </si>
  <si>
    <t>Gestión y mantenimiento de procedimientos</t>
  </si>
  <si>
    <t>Administración del Ticketing</t>
  </si>
  <si>
    <t>Gestión del proceso de Integridad en la venta</t>
  </si>
  <si>
    <t>Administración de usuarios de Altea</t>
  </si>
  <si>
    <t>Administración de Inventario</t>
  </si>
  <si>
    <t>Mantenimiento reservas</t>
  </si>
  <si>
    <t>Mantenimiento Amadeus SSDD</t>
  </si>
  <si>
    <t>Mantenimiento Amadeus CM</t>
  </si>
  <si>
    <t>Desarrollo de servicios de programación</t>
  </si>
  <si>
    <t>Gestión de colas</t>
  </si>
  <si>
    <t>C3</t>
  </si>
  <si>
    <t>Oficina de Gestión de Proyectos</t>
  </si>
  <si>
    <t>Control y gestión de compras</t>
  </si>
  <si>
    <t>Control y gestión de contratos</t>
  </si>
  <si>
    <t>Control y gestión de ayudas y subvenciones</t>
  </si>
  <si>
    <t>Control y seguimiento de proyectos</t>
  </si>
  <si>
    <t>Administración elementos amortizables</t>
  </si>
  <si>
    <t>Control inventario</t>
  </si>
  <si>
    <t>Doc. No vinculada a proyectos</t>
  </si>
  <si>
    <t>Doc. Vinculada a proyectos</t>
  </si>
  <si>
    <t>C4</t>
  </si>
  <si>
    <t>Sistemas de Información</t>
  </si>
  <si>
    <t>Análisis e informes técnicos</t>
  </si>
  <si>
    <t>Desarrollo de  SSII</t>
  </si>
  <si>
    <t>Mantenimiento de SSII</t>
  </si>
  <si>
    <t>C5</t>
  </si>
  <si>
    <t xml:space="preserve">Infraestructuras  </t>
  </si>
  <si>
    <t>Análisis y diseños técnicos</t>
  </si>
  <si>
    <t>Mantenimiento de la infraestructura</t>
  </si>
  <si>
    <t>Soporte al servicio (gestión de incidencias  y peticiones)</t>
  </si>
  <si>
    <t>Gestión de proyectos</t>
  </si>
  <si>
    <t>C6</t>
  </si>
  <si>
    <t>Seguridad Informática</t>
  </si>
  <si>
    <t>Definición de políticas</t>
  </si>
  <si>
    <t>Control del cumplimiento de las políticas de seguridad</t>
  </si>
  <si>
    <t>Administración de riesgos (vulnerabilidades, pruebas de rendimiento y resistencia, planes de contingencia, monitorización, etc.)</t>
  </si>
  <si>
    <t>Gestión de incidencias y continuidad</t>
  </si>
  <si>
    <t>Administración de procedimientos internos (accesos, seguridad en redes, ejecución de planes, etc.)</t>
  </si>
  <si>
    <t>Control de normas y procedimientos de seguridad</t>
  </si>
  <si>
    <t>Elaboración y mantenimiento del plan de continuidad del negocio</t>
  </si>
  <si>
    <t>Gestión de la LOPD, LSSI, etc.</t>
  </si>
  <si>
    <t>C8</t>
  </si>
  <si>
    <t>Gestion del Dpto</t>
  </si>
  <si>
    <t>Elaboración Informes</t>
  </si>
  <si>
    <t>Seguimiento canales</t>
  </si>
  <si>
    <t>C7</t>
  </si>
  <si>
    <t>Procesos</t>
  </si>
  <si>
    <t>Elaboración de informes y análisis funcionales</t>
  </si>
  <si>
    <t>Gestión de proyectos relacionados con procesos transversales</t>
  </si>
  <si>
    <t>Desarrollo de proyectos (funcional)</t>
  </si>
  <si>
    <t>ASIGNACIÓN DE ACTIVIDADES DIRECTAS</t>
  </si>
  <si>
    <t>Actividad</t>
  </si>
  <si>
    <t xml:space="preserve">Inductor </t>
  </si>
  <si>
    <t>Productos</t>
  </si>
  <si>
    <t>Total</t>
  </si>
  <si>
    <t>P1</t>
  </si>
  <si>
    <t>P2</t>
  </si>
  <si>
    <t>P3</t>
  </si>
  <si>
    <t>P4</t>
  </si>
  <si>
    <t>P5</t>
  </si>
  <si>
    <t>P7</t>
  </si>
  <si>
    <t>P6</t>
  </si>
  <si>
    <t>Imputación Directa al Producto Mantenimiento de Aplicaciones</t>
  </si>
  <si>
    <t>Imputación Directa al Producto Servicio de Asesoramiento</t>
  </si>
  <si>
    <t>Imputación Directa al Producto Mantenimiento de Aplicaciones y Servicio de Asesoramiento y Soporte Funcional a usuarios</t>
  </si>
  <si>
    <t>Gestión Checkin</t>
  </si>
  <si>
    <t>Administración de oficinas y usuarios de Altea</t>
  </si>
  <si>
    <t>Aministración otros GDS</t>
  </si>
  <si>
    <t>Gestión del proceso de Revenue Integrity</t>
  </si>
  <si>
    <t>Gestión de colas canales</t>
  </si>
  <si>
    <t>Imputación a los  productos que conllevan control y seguimiento de proyectos (Nuevos Desarrollos y Consultoría de Procesos)</t>
  </si>
  <si>
    <t>Proyectos nuevos Desarrollos de  SSII</t>
  </si>
  <si>
    <t>Imputación Directa al Producto Nuevos Desarrollos</t>
  </si>
  <si>
    <t>Gestión de proyectos Infraestructura. Diseños. Implantaciones</t>
  </si>
  <si>
    <t>Imputación Directa al Producto Mantenimiento de Infraestructuras</t>
  </si>
  <si>
    <t>Mantenimiento de la infraestructura y comunicaciones. Diseños</t>
  </si>
  <si>
    <t>Imputación Directa de los porudctos   que conllevan servicios de soporte (Mant Aplic.; Mant. Infraestruc.; Servicio de Asesoramiento y Soporte Funcioanl a Usuarios)</t>
  </si>
  <si>
    <t>Diseños e implantaciones proyectos de desarrollo</t>
  </si>
  <si>
    <t>Imputación Proporcional a cada uno  de los  productos que conllevan servicios de gestión de proyectos (Nuevos Desarrollos.; Mant. Infraestruc.)</t>
  </si>
  <si>
    <t>Definición de políticas, normas y procedimientos seguridad</t>
  </si>
  <si>
    <t>Imputación Directa al Producto Servicios de Seguridad Informática</t>
  </si>
  <si>
    <t>Control y Gestión de la seguridad</t>
  </si>
  <si>
    <t>Control del cumplimiento de las políticas y normas de seguridad</t>
  </si>
  <si>
    <t>Gestión de Proyectos y documentación</t>
  </si>
  <si>
    <t>Imputación Directa al Producto Canales Online</t>
  </si>
  <si>
    <t>Elaboración de informes y análisis no relacionados con proyectos</t>
  </si>
  <si>
    <t>Gestión del Call Center</t>
  </si>
  <si>
    <t>Control y desarrollo de los canales web y móvil</t>
  </si>
  <si>
    <t>Imputación Directa al Producto Consultoría de Procesos</t>
  </si>
  <si>
    <t>UNIDADES PROMEDIO Y VOLUMEN DE FACTURACIÓN POR SERVICIO/PRODUCTO</t>
  </si>
  <si>
    <t>Producto</t>
  </si>
  <si>
    <t>Unidad de Facturación</t>
  </si>
  <si>
    <t xml:space="preserve">Volumen </t>
  </si>
  <si>
    <t>Nº Usuarios a los que se da soporte</t>
  </si>
  <si>
    <t>Hora/Hombre dedicación</t>
  </si>
  <si>
    <t>Nº Pcs a los que se da soporte</t>
  </si>
  <si>
    <t>Hora/Hombre dedicación (*)</t>
  </si>
  <si>
    <t>INFORMACIÓN DE REGISTROS CONTABLES DE ALGUNAS CUENTAS</t>
  </si>
  <si>
    <t>Dirección BS</t>
  </si>
  <si>
    <t>Infraestructuras</t>
  </si>
  <si>
    <t>Canales on line</t>
  </si>
  <si>
    <t>Varias</t>
  </si>
  <si>
    <t>Número de trabajadores por CECO</t>
  </si>
  <si>
    <t>Reg contable</t>
  </si>
  <si>
    <t>649500/05</t>
  </si>
  <si>
    <t>Orros Gastos Sociales</t>
  </si>
  <si>
    <t>680600 / 680601</t>
  </si>
  <si>
    <t>Amort Aplicaciones Informáticas</t>
  </si>
  <si>
    <t>681600 / 681500</t>
  </si>
  <si>
    <t>Amorti Mobiliario / Amort Otras Instalaciones</t>
  </si>
  <si>
    <t>681700 / 681710</t>
  </si>
  <si>
    <t>Amort equipos de proceso</t>
  </si>
  <si>
    <t>Departamento</t>
  </si>
  <si>
    <t>M2</t>
  </si>
  <si>
    <t>Ordenadores</t>
  </si>
  <si>
    <t>% Uso vehic</t>
  </si>
  <si>
    <t>Indirecto</t>
  </si>
  <si>
    <t>Directo</t>
  </si>
  <si>
    <t>Tipo Coste</t>
  </si>
  <si>
    <t>Ctbl: En función de quien realiza el pedido</t>
  </si>
  <si>
    <t>Ctbl: A partir de la información desagregada por concepto de gasto</t>
  </si>
  <si>
    <t>Imputación indirecta a los CECOS Ctbl: En función de quien realiza el pedido ya que no se identifican directamnete con ningún producto</t>
  </si>
  <si>
    <t>Imputación indirecta al CECO relcionado con la seguridad informática (Seguridad Informática)</t>
  </si>
  <si>
    <t>Directo a Canales On Line</t>
  </si>
  <si>
    <t>Ctbl: En función de quién realiza el pedido</t>
  </si>
  <si>
    <t>Número de personas por CECO</t>
  </si>
  <si>
    <t xml:space="preserve">Asignación directa a los CECOS a los que pertenezcan los trabajadores </t>
  </si>
  <si>
    <t>Imputación a CECO de las aplicaciones utilizadas por BS para prestar el servicio</t>
  </si>
  <si>
    <t>Imputación directa a producto "Mantenimeinto de aplicaciones" o a "Mantenimiento de infraestructuras"para aquellas cuantías relacionadas con los CECOS que desarrollan dicha actividad.
Imputación Indirecta a los CECOS no identificados con producto</t>
  </si>
  <si>
    <t>Imputación a producto "Mantenimiento de aplicaciones"</t>
  </si>
  <si>
    <t>Imputación a producto "Mantenimiento de infraestructuras y comunicaciones"</t>
  </si>
  <si>
    <t xml:space="preserve">Imputación a CECO de las aplicaciones utilizadas por BS para prestar el servicio </t>
  </si>
  <si>
    <t>Ctbl: En función de quien tiene asignado el inmovilizado (mobiliario)</t>
  </si>
  <si>
    <t>Ctbl: En función de quien tiene asignado el inmovilizado (equipos para procesos informáticos)</t>
  </si>
  <si>
    <t>cost</t>
  </si>
  <si>
    <t>Cost treballador</t>
  </si>
  <si>
    <t>Cost total Personal</t>
  </si>
  <si>
    <t>Cost treballador P2</t>
  </si>
  <si>
    <t>Cost treballador P5</t>
  </si>
  <si>
    <t>Cost treballador P3</t>
  </si>
  <si>
    <t>Cost treballador P6</t>
  </si>
  <si>
    <t>Cost treballador P1</t>
  </si>
  <si>
    <t>Cost treballador P7</t>
  </si>
  <si>
    <t>Cost treballador P4</t>
  </si>
  <si>
    <t>TOTAL</t>
  </si>
  <si>
    <t>Producte</t>
  </si>
  <si>
    <t>Cost CECO  1</t>
  </si>
  <si>
    <t>Cost CECO 2</t>
  </si>
  <si>
    <t>Cost CECO 3</t>
  </si>
  <si>
    <t>Cost CECO 4</t>
  </si>
  <si>
    <t>Cost CECO 5</t>
  </si>
  <si>
    <t>Cost CECO 6</t>
  </si>
  <si>
    <t>Cost CECO 7</t>
  </si>
  <si>
    <t>Cost CECO 8</t>
  </si>
  <si>
    <t>Coste CECO</t>
  </si>
  <si>
    <t>TOTAL COSTE</t>
  </si>
  <si>
    <t xml:space="preserve">Precio </t>
  </si>
  <si>
    <t>€ / hora</t>
  </si>
  <si>
    <t>Unidad</t>
  </si>
  <si>
    <t>€ / Und PC</t>
  </si>
  <si>
    <t>Inc Venta Interna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</si>
</sst>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7" formatCode="_-* #,##0.00\ [$€-403]_-;\-* #,##0.00\ [$€-403]_-;_-* &quot;-&quot;??\ [$€-403]_-;_-@_-"/>
  </numFmts>
  <fonts count="3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0"/>
      <color theme="1"/>
      <name val="Arial"/>
    </font>
    <font>
      <b/>
      <u/>
      <sz val="10"/>
      <color theme="1"/>
      <name val="Arial"/>
    </font>
    <font>
      <b/>
      <sz val="12"/>
      <color theme="0"/>
      <name val="Arial"/>
    </font>
    <font>
      <b/>
      <sz val="10"/>
      <color theme="1"/>
      <name val="Arial"/>
    </font>
    <font>
      <sz val="11"/>
      <color theme="1"/>
      <name val="Calibri"/>
    </font>
    <font>
      <b/>
      <u/>
      <sz val="11"/>
      <color theme="1"/>
      <name val="Calibri"/>
    </font>
    <font>
      <sz val="11"/>
      <name val="Arial"/>
    </font>
    <font>
      <sz val="10"/>
      <name val="Arial"/>
    </font>
    <font>
      <b/>
      <u/>
      <sz val="11"/>
      <color theme="1"/>
      <name val="Calibri"/>
    </font>
    <font>
      <sz val="11"/>
      <color theme="1"/>
      <name val="Calibri"/>
    </font>
    <font>
      <b/>
      <sz val="8"/>
      <color theme="1"/>
      <name val="Calibri"/>
    </font>
    <font>
      <sz val="8"/>
      <color theme="1"/>
      <name val="Arial"/>
    </font>
    <font>
      <sz val="8"/>
      <color theme="1"/>
      <name val="Calibri"/>
    </font>
    <font>
      <b/>
      <sz val="8"/>
      <color rgb="FF44546A"/>
      <name val="Calibri"/>
    </font>
    <font>
      <b/>
      <sz val="11"/>
      <color theme="1"/>
      <name val="Calibri"/>
    </font>
    <font>
      <b/>
      <sz val="8"/>
      <color theme="0"/>
      <name val="Calibri"/>
    </font>
    <font>
      <b/>
      <sz val="8"/>
      <color theme="1"/>
      <name val="Arial"/>
    </font>
    <font>
      <b/>
      <sz val="12"/>
      <color theme="1"/>
      <name val="Calibri"/>
    </font>
    <font>
      <b/>
      <sz val="10"/>
      <color theme="1"/>
      <name val="Calibri"/>
    </font>
    <font>
      <sz val="11"/>
      <color theme="1"/>
      <name val="Arial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Arial"/>
      <family val="2"/>
    </font>
    <font>
      <b/>
      <sz val="10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9B65B"/>
        <bgColor rgb="FF39B65B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548135"/>
        <bgColor rgb="FF548135"/>
      </patternFill>
    </fill>
    <fill>
      <patternFill patternType="solid">
        <fgColor rgb="FFC9E0A8"/>
        <bgColor rgb="FFC9E0A8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9B65B"/>
      </left>
      <right/>
      <top/>
      <bottom/>
      <diagonal/>
    </border>
    <border>
      <left/>
      <right style="thin">
        <color rgb="FF39B65B"/>
      </right>
      <top/>
      <bottom/>
      <diagonal/>
    </border>
    <border>
      <left style="medium">
        <color rgb="FF39B65B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9B65B"/>
      </left>
      <right style="thin">
        <color rgb="FF39B65B"/>
      </right>
      <top/>
      <bottom style="thin">
        <color rgb="FF39B65B"/>
      </bottom>
      <diagonal/>
    </border>
    <border>
      <left style="medium">
        <color rgb="FF39B65B"/>
      </left>
      <right/>
      <top/>
      <bottom/>
      <diagonal/>
    </border>
    <border>
      <left/>
      <right style="thin">
        <color rgb="FF39B65B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9B65B"/>
      </left>
      <right style="thin">
        <color rgb="FF39B65B"/>
      </right>
      <top style="thin">
        <color rgb="FF39B65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28"/>
  </cellStyleXfs>
  <cellXfs count="1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4" fontId="2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4" fontId="2" fillId="4" borderId="2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/>
    <xf numFmtId="0" fontId="11" fillId="0" borderId="0" xfId="0" applyFont="1"/>
    <xf numFmtId="4" fontId="6" fillId="0" borderId="0" xfId="0" applyNumberFormat="1" applyFont="1"/>
    <xf numFmtId="0" fontId="8" fillId="0" borderId="0" xfId="0" applyFont="1"/>
    <xf numFmtId="0" fontId="12" fillId="0" borderId="4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5" borderId="4" xfId="0" applyFont="1" applyFill="1" applyBorder="1" applyAlignment="1">
      <alignment vertical="center" wrapText="1"/>
    </xf>
    <xf numFmtId="0" fontId="14" fillId="5" borderId="4" xfId="0" applyFont="1" applyFill="1" applyBorder="1" applyAlignment="1">
      <alignment vertical="center" wrapText="1"/>
    </xf>
    <xf numFmtId="10" fontId="13" fillId="0" borderId="4" xfId="0" applyNumberFormat="1" applyFont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vertical="center" wrapText="1"/>
    </xf>
    <xf numFmtId="0" fontId="14" fillId="6" borderId="4" xfId="0" applyFont="1" applyFill="1" applyBorder="1" applyAlignment="1">
      <alignment vertical="center" wrapText="1"/>
    </xf>
    <xf numFmtId="9" fontId="13" fillId="0" borderId="4" xfId="0" applyNumberFormat="1" applyFont="1" applyBorder="1" applyAlignment="1">
      <alignment horizontal="center" vertical="center" wrapText="1"/>
    </xf>
    <xf numFmtId="0" fontId="15" fillId="6" borderId="4" xfId="0" applyFont="1" applyFill="1" applyBorder="1" applyAlignment="1">
      <alignment vertical="center" wrapText="1"/>
    </xf>
    <xf numFmtId="0" fontId="15" fillId="5" borderId="4" xfId="0" applyFont="1" applyFill="1" applyBorder="1" applyAlignment="1">
      <alignment vertical="center" wrapText="1"/>
    </xf>
    <xf numFmtId="2" fontId="16" fillId="0" borderId="4" xfId="0" applyNumberFormat="1" applyFont="1" applyBorder="1"/>
    <xf numFmtId="0" fontId="13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9" fontId="14" fillId="5" borderId="4" xfId="0" applyNumberFormat="1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left" vertical="center" wrapText="1"/>
    </xf>
    <xf numFmtId="0" fontId="13" fillId="5" borderId="18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4" fontId="18" fillId="5" borderId="4" xfId="0" applyNumberFormat="1" applyFont="1" applyFill="1" applyBorder="1" applyAlignment="1">
      <alignment horizontal="left" vertical="center" wrapText="1"/>
    </xf>
    <xf numFmtId="4" fontId="13" fillId="5" borderId="4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9" fontId="5" fillId="5" borderId="24" xfId="0" applyNumberFormat="1" applyFont="1" applyFill="1" applyBorder="1" applyAlignment="1">
      <alignment vertical="center" wrapText="1"/>
    </xf>
    <xf numFmtId="4" fontId="5" fillId="5" borderId="24" xfId="0" applyNumberFormat="1" applyFont="1" applyFill="1" applyBorder="1" applyAlignment="1">
      <alignment vertical="center" wrapText="1"/>
    </xf>
    <xf numFmtId="4" fontId="5" fillId="5" borderId="29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left" vertical="center"/>
    </xf>
    <xf numFmtId="4" fontId="2" fillId="2" borderId="4" xfId="0" applyNumberFormat="1" applyFont="1" applyFill="1" applyBorder="1" applyAlignment="1">
      <alignment vertical="center"/>
    </xf>
    <xf numFmtId="4" fontId="2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left" vertical="center"/>
    </xf>
    <xf numFmtId="0" fontId="16" fillId="0" borderId="10" xfId="0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4" fontId="6" fillId="0" borderId="0" xfId="0" applyNumberFormat="1" applyFont="1"/>
    <xf numFmtId="0" fontId="6" fillId="0" borderId="3" xfId="0" applyFont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/>
    <xf numFmtId="0" fontId="13" fillId="5" borderId="10" xfId="0" applyFont="1" applyFill="1" applyBorder="1" applyAlignment="1">
      <alignment horizontal="left" vertical="center" wrapText="1"/>
    </xf>
    <xf numFmtId="0" fontId="8" fillId="0" borderId="12" xfId="0" applyFont="1" applyBorder="1"/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8" fillId="0" borderId="9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17" fillId="7" borderId="10" xfId="0" applyFont="1" applyFill="1" applyBorder="1" applyAlignment="1">
      <alignment horizontal="center" vertical="center" wrapText="1"/>
    </xf>
    <xf numFmtId="0" fontId="8" fillId="0" borderId="11" xfId="0" applyFont="1" applyBorder="1"/>
    <xf numFmtId="0" fontId="17" fillId="0" borderId="3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8" fillId="0" borderId="20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7" xfId="0" applyFont="1" applyBorder="1"/>
    <xf numFmtId="0" fontId="8" fillId="0" borderId="28" xfId="0" applyFont="1" applyBorder="1"/>
    <xf numFmtId="0" fontId="23" fillId="4" borderId="2" xfId="3" applyFill="1" applyBorder="1" applyAlignment="1">
      <alignment horizontal="left" vertical="center"/>
    </xf>
    <xf numFmtId="0" fontId="1" fillId="0" borderId="0" xfId="0" applyFont="1"/>
    <xf numFmtId="0" fontId="23" fillId="4" borderId="2" xfId="3" applyFont="1" applyFill="1" applyBorder="1" applyAlignment="1">
      <alignment vertical="center" wrapText="1"/>
    </xf>
    <xf numFmtId="0" fontId="22" fillId="0" borderId="0" xfId="0" applyFont="1"/>
    <xf numFmtId="0" fontId="24" fillId="4" borderId="2" xfId="3" applyFont="1" applyFill="1" applyBorder="1" applyAlignment="1">
      <alignment vertical="center" wrapText="1"/>
    </xf>
    <xf numFmtId="9" fontId="0" fillId="0" borderId="0" xfId="2" applyFont="1"/>
    <xf numFmtId="4" fontId="0" fillId="0" borderId="0" xfId="0" applyNumberFormat="1"/>
    <xf numFmtId="0" fontId="20" fillId="9" borderId="4" xfId="0" applyFont="1" applyFill="1" applyBorder="1" applyAlignment="1">
      <alignment horizontal="center" vertical="center" wrapText="1"/>
    </xf>
    <xf numFmtId="43" fontId="0" fillId="0" borderId="0" xfId="1" applyFont="1"/>
    <xf numFmtId="9" fontId="0" fillId="0" borderId="0" xfId="0" applyNumberFormat="1" applyFill="1"/>
    <xf numFmtId="0" fontId="22" fillId="0" borderId="0" xfId="0" applyFont="1" applyAlignment="1">
      <alignment horizontal="center"/>
    </xf>
    <xf numFmtId="9" fontId="0" fillId="0" borderId="0" xfId="0" applyNumberFormat="1"/>
    <xf numFmtId="0" fontId="6" fillId="0" borderId="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9" fontId="6" fillId="0" borderId="0" xfId="2" applyFont="1"/>
    <xf numFmtId="0" fontId="25" fillId="0" borderId="0" xfId="0" applyFont="1"/>
    <xf numFmtId="0" fontId="22" fillId="0" borderId="0" xfId="0" applyFont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43" fontId="6" fillId="0" borderId="0" xfId="1" applyFont="1"/>
    <xf numFmtId="4" fontId="2" fillId="4" borderId="28" xfId="0" applyNumberFormat="1" applyFont="1" applyFill="1" applyBorder="1" applyAlignment="1">
      <alignment vertical="center" wrapText="1"/>
    </xf>
    <xf numFmtId="0" fontId="13" fillId="0" borderId="4" xfId="0" applyFont="1" applyFill="1" applyBorder="1" applyAlignment="1">
      <alignment vertical="center" wrapText="1"/>
    </xf>
    <xf numFmtId="0" fontId="27" fillId="0" borderId="4" xfId="0" applyFont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left" vertical="center"/>
    </xf>
    <xf numFmtId="0" fontId="2" fillId="0" borderId="28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 wrapText="1"/>
    </xf>
    <xf numFmtId="0" fontId="23" fillId="0" borderId="28" xfId="3" applyFill="1" applyBorder="1" applyAlignment="1">
      <alignment horizontal="left" vertical="center"/>
    </xf>
    <xf numFmtId="0" fontId="24" fillId="0" borderId="28" xfId="3" applyFont="1" applyFill="1" applyBorder="1" applyAlignment="1">
      <alignment vertical="center" wrapText="1"/>
    </xf>
    <xf numFmtId="4" fontId="2" fillId="0" borderId="28" xfId="0" applyNumberFormat="1" applyFont="1" applyFill="1" applyBorder="1" applyAlignment="1">
      <alignment vertical="center" wrapText="1"/>
    </xf>
    <xf numFmtId="0" fontId="27" fillId="0" borderId="14" xfId="0" applyFont="1" applyFill="1" applyBorder="1" applyAlignment="1">
      <alignment horizontal="center" vertical="center" wrapText="1"/>
    </xf>
    <xf numFmtId="0" fontId="27" fillId="0" borderId="28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4" borderId="5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/>
    </xf>
    <xf numFmtId="9" fontId="6" fillId="10" borderId="0" xfId="2" applyFont="1" applyFill="1"/>
    <xf numFmtId="0" fontId="0" fillId="10" borderId="0" xfId="0" applyFill="1"/>
    <xf numFmtId="9" fontId="0" fillId="10" borderId="0" xfId="2" applyFont="1" applyFill="1"/>
    <xf numFmtId="9" fontId="6" fillId="10" borderId="0" xfId="1" applyNumberFormat="1" applyFont="1" applyFill="1"/>
    <xf numFmtId="4" fontId="13" fillId="5" borderId="17" xfId="0" applyNumberFormat="1" applyFont="1" applyFill="1" applyBorder="1" applyAlignment="1">
      <alignment horizontal="center" vertical="center" wrapText="1"/>
    </xf>
    <xf numFmtId="4" fontId="13" fillId="5" borderId="30" xfId="0" applyNumberFormat="1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vertical="center"/>
    </xf>
    <xf numFmtId="167" fontId="29" fillId="0" borderId="33" xfId="0" applyNumberFormat="1" applyFont="1" applyBorder="1" applyAlignment="1">
      <alignment vertical="center"/>
    </xf>
    <xf numFmtId="167" fontId="29" fillId="11" borderId="31" xfId="0" applyNumberFormat="1" applyFont="1" applyFill="1" applyBorder="1" applyAlignment="1">
      <alignment vertical="center"/>
    </xf>
    <xf numFmtId="167" fontId="29" fillId="11" borderId="32" xfId="0" applyNumberFormat="1" applyFont="1" applyFill="1" applyBorder="1" applyAlignment="1">
      <alignment vertical="center"/>
    </xf>
    <xf numFmtId="0" fontId="30" fillId="0" borderId="28" xfId="0" applyFont="1" applyFill="1" applyBorder="1" applyAlignment="1">
      <alignment horizontal="center" vertical="center" wrapText="1"/>
    </xf>
    <xf numFmtId="0" fontId="0" fillId="0" borderId="0" xfId="0" applyFill="1"/>
  </cellXfs>
  <cellStyles count="4">
    <cellStyle name="Coma" xfId="1" builtinId="3"/>
    <cellStyle name="Normal" xfId="0" builtinId="0"/>
    <cellStyle name="Normal 2" xfId="3" xr:uid="{93FD4954-BE03-4FC7-A9C3-62BC90BBF48A}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108" sqref="B108:G108"/>
    </sheetView>
  </sheetViews>
  <sheetFormatPr defaultColWidth="12.625" defaultRowHeight="15" customHeight="1" outlineLevelRow="1" x14ac:dyDescent="0.2"/>
  <cols>
    <col min="1" max="1" width="1.875" customWidth="1"/>
    <col min="2" max="2" width="9.75" customWidth="1"/>
    <col min="3" max="3" width="28.75" customWidth="1"/>
    <col min="4" max="4" width="39" customWidth="1"/>
    <col min="5" max="5" width="12.75" customWidth="1"/>
    <col min="6" max="6" width="54.125" customWidth="1"/>
    <col min="7" max="7" width="10.625" customWidth="1"/>
    <col min="8" max="26" width="9.75" customWidth="1"/>
  </cols>
  <sheetData>
    <row r="1" spans="1:26" ht="12.75" customHeight="1" x14ac:dyDescent="0.2">
      <c r="A1" s="1"/>
      <c r="B1" s="2"/>
      <c r="C1" s="1"/>
      <c r="D1" s="1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2"/>
      <c r="C2" s="1"/>
      <c r="D2" s="1"/>
      <c r="E2" s="2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1"/>
      <c r="B3" s="4" t="s">
        <v>0</v>
      </c>
      <c r="C3" s="1"/>
      <c r="D3" s="1"/>
      <c r="E3" s="2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2"/>
      <c r="C4" s="1"/>
      <c r="D4" s="1"/>
      <c r="E4" s="2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2"/>
      <c r="C5" s="1"/>
      <c r="D5" s="1"/>
      <c r="E5" s="2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5" t="s">
        <v>1</v>
      </c>
      <c r="C6" s="5" t="s">
        <v>2</v>
      </c>
      <c r="D6" s="5" t="s">
        <v>3</v>
      </c>
      <c r="E6" s="6" t="s">
        <v>4</v>
      </c>
      <c r="F6" s="5" t="s">
        <v>5</v>
      </c>
      <c r="G6" s="5" t="s"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7">
        <v>602550</v>
      </c>
      <c r="C7" s="8" t="s">
        <v>7</v>
      </c>
      <c r="D7" s="9" t="s">
        <v>8</v>
      </c>
      <c r="E7" s="83" t="s">
        <v>357</v>
      </c>
      <c r="F7" s="85" t="s">
        <v>343</v>
      </c>
      <c r="G7" s="10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7">
        <v>602600</v>
      </c>
      <c r="C8" s="8" t="s">
        <v>9</v>
      </c>
      <c r="D8" s="9" t="s">
        <v>10</v>
      </c>
      <c r="E8" s="83" t="s">
        <v>357</v>
      </c>
      <c r="F8" s="85" t="s">
        <v>343</v>
      </c>
      <c r="G8" s="10">
        <v>1612.6899999999998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7">
        <v>602605</v>
      </c>
      <c r="C9" s="8" t="s">
        <v>11</v>
      </c>
      <c r="D9" s="9" t="s">
        <v>12</v>
      </c>
      <c r="E9" s="83" t="s">
        <v>357</v>
      </c>
      <c r="F9" s="85" t="s">
        <v>343</v>
      </c>
      <c r="G9" s="10">
        <v>211.65000000000003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7">
        <v>602650</v>
      </c>
      <c r="C10" s="8" t="s">
        <v>13</v>
      </c>
      <c r="D10" s="9" t="s">
        <v>14</v>
      </c>
      <c r="E10" s="83" t="s">
        <v>357</v>
      </c>
      <c r="F10" s="85" t="s">
        <v>343</v>
      </c>
      <c r="G10" s="10">
        <v>628.5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outlineLevel="1" x14ac:dyDescent="0.2">
      <c r="A11" s="1"/>
      <c r="B11" s="7">
        <v>602655</v>
      </c>
      <c r="C11" s="8" t="s">
        <v>15</v>
      </c>
      <c r="D11" s="9" t="s">
        <v>16</v>
      </c>
      <c r="E11" s="83" t="s">
        <v>357</v>
      </c>
      <c r="F11" s="85" t="s">
        <v>343</v>
      </c>
      <c r="G11" s="10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outlineLevel="1" x14ac:dyDescent="0.2">
      <c r="A12" s="1"/>
      <c r="B12" s="7">
        <v>621200</v>
      </c>
      <c r="C12" s="8" t="s">
        <v>17</v>
      </c>
      <c r="D12" s="9" t="s">
        <v>18</v>
      </c>
      <c r="E12" s="83" t="s">
        <v>357</v>
      </c>
      <c r="F12" s="85" t="s">
        <v>360</v>
      </c>
      <c r="G12" s="10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outlineLevel="1" x14ac:dyDescent="0.2">
      <c r="A13" s="1"/>
      <c r="B13" s="7">
        <v>621205</v>
      </c>
      <c r="C13" s="8" t="s">
        <v>19</v>
      </c>
      <c r="D13" s="9" t="s">
        <v>20</v>
      </c>
      <c r="E13" s="83" t="s">
        <v>357</v>
      </c>
      <c r="F13" s="85" t="s">
        <v>360</v>
      </c>
      <c r="G13" s="10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outlineLevel="1" x14ac:dyDescent="0.2">
      <c r="A14" s="1"/>
      <c r="B14" s="7">
        <v>621300</v>
      </c>
      <c r="C14" s="8" t="s">
        <v>21</v>
      </c>
      <c r="D14" s="9" t="s">
        <v>22</v>
      </c>
      <c r="E14" s="83" t="s">
        <v>357</v>
      </c>
      <c r="F14" s="85" t="s">
        <v>343</v>
      </c>
      <c r="G14" s="10">
        <v>215725.85000000009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7">
        <v>621305</v>
      </c>
      <c r="C15" s="8" t="s">
        <v>23</v>
      </c>
      <c r="D15" s="9" t="s">
        <v>22</v>
      </c>
      <c r="E15" s="83" t="s">
        <v>357</v>
      </c>
      <c r="F15" s="85" t="s">
        <v>343</v>
      </c>
      <c r="G15" s="10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outlineLevel="1" x14ac:dyDescent="0.2">
      <c r="A16" s="1"/>
      <c r="B16" s="7">
        <v>621400</v>
      </c>
      <c r="C16" s="8" t="s">
        <v>24</v>
      </c>
      <c r="D16" s="9" t="s">
        <v>25</v>
      </c>
      <c r="E16" s="83" t="s">
        <v>357</v>
      </c>
      <c r="F16" s="85" t="s">
        <v>361</v>
      </c>
      <c r="G16" s="10">
        <v>579.94999999999993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outlineLevel="1" x14ac:dyDescent="0.2">
      <c r="A17" s="1"/>
      <c r="B17" s="7">
        <v>621405</v>
      </c>
      <c r="C17" s="8" t="s">
        <v>26</v>
      </c>
      <c r="D17" s="9" t="s">
        <v>27</v>
      </c>
      <c r="E17" s="83" t="s">
        <v>357</v>
      </c>
      <c r="F17" s="85" t="s">
        <v>361</v>
      </c>
      <c r="G17" s="10"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outlineLevel="1" x14ac:dyDescent="0.2">
      <c r="A18" s="1"/>
      <c r="B18" s="7">
        <v>621600</v>
      </c>
      <c r="C18" s="8" t="s">
        <v>28</v>
      </c>
      <c r="D18" s="9"/>
      <c r="E18" s="83" t="s">
        <v>357</v>
      </c>
      <c r="F18" s="85" t="s">
        <v>361</v>
      </c>
      <c r="G18" s="10">
        <v>4.5488612876454226E-13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outlineLevel="1" x14ac:dyDescent="0.2">
      <c r="A19" s="1"/>
      <c r="B19" s="7">
        <v>621605</v>
      </c>
      <c r="C19" s="8" t="s">
        <v>28</v>
      </c>
      <c r="D19" s="9"/>
      <c r="E19" s="83" t="s">
        <v>357</v>
      </c>
      <c r="F19" s="85" t="s">
        <v>361</v>
      </c>
      <c r="G19" s="10">
        <v>16452.250000000004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outlineLevel="1" x14ac:dyDescent="0.2">
      <c r="A20" s="1"/>
      <c r="B20" s="7">
        <v>622200</v>
      </c>
      <c r="C20" s="8" t="s">
        <v>29</v>
      </c>
      <c r="D20" s="9" t="s">
        <v>30</v>
      </c>
      <c r="E20" s="83" t="s">
        <v>358</v>
      </c>
      <c r="F20" s="85" t="s">
        <v>343</v>
      </c>
      <c r="G20" s="10">
        <v>49788.750000000036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outlineLevel="1" x14ac:dyDescent="0.2">
      <c r="A21" s="1"/>
      <c r="B21" s="7">
        <v>622200</v>
      </c>
      <c r="C21" s="8" t="s">
        <v>29</v>
      </c>
      <c r="D21" s="9" t="s">
        <v>31</v>
      </c>
      <c r="E21" s="83" t="s">
        <v>358</v>
      </c>
      <c r="F21" s="85" t="s">
        <v>343</v>
      </c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outlineLevel="1" x14ac:dyDescent="0.2">
      <c r="A22" s="1"/>
      <c r="B22" s="7">
        <v>622205</v>
      </c>
      <c r="C22" s="8" t="s">
        <v>29</v>
      </c>
      <c r="D22" s="9" t="s">
        <v>31</v>
      </c>
      <c r="E22" s="83" t="s">
        <v>358</v>
      </c>
      <c r="F22" s="85" t="s">
        <v>343</v>
      </c>
      <c r="G22" s="10"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outlineLevel="1" x14ac:dyDescent="0.2">
      <c r="A23" s="1"/>
      <c r="B23" s="7">
        <v>622200</v>
      </c>
      <c r="C23" s="8" t="s">
        <v>29</v>
      </c>
      <c r="D23" s="9" t="s">
        <v>32</v>
      </c>
      <c r="E23" s="83" t="s">
        <v>358</v>
      </c>
      <c r="F23" s="85" t="s">
        <v>343</v>
      </c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outlineLevel="1" x14ac:dyDescent="0.2">
      <c r="A24" s="1"/>
      <c r="B24" s="7">
        <v>622200</v>
      </c>
      <c r="C24" s="8" t="s">
        <v>29</v>
      </c>
      <c r="D24" s="9" t="s">
        <v>33</v>
      </c>
      <c r="E24" s="83" t="s">
        <v>358</v>
      </c>
      <c r="F24" s="85" t="s">
        <v>343</v>
      </c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outlineLevel="1" x14ac:dyDescent="0.2">
      <c r="A25" s="1"/>
      <c r="B25" s="7">
        <v>622200</v>
      </c>
      <c r="C25" s="8" t="s">
        <v>29</v>
      </c>
      <c r="D25" s="9" t="s">
        <v>34</v>
      </c>
      <c r="E25" s="83" t="s">
        <v>358</v>
      </c>
      <c r="F25" s="85" t="s">
        <v>362</v>
      </c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outlineLevel="1" x14ac:dyDescent="0.2">
      <c r="A26" s="1"/>
      <c r="B26" s="7">
        <v>622200</v>
      </c>
      <c r="C26" s="8" t="s">
        <v>29</v>
      </c>
      <c r="D26" s="9" t="s">
        <v>35</v>
      </c>
      <c r="E26" s="83" t="s">
        <v>358</v>
      </c>
      <c r="F26" s="85" t="s">
        <v>363</v>
      </c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outlineLevel="1" x14ac:dyDescent="0.2">
      <c r="A27" s="1"/>
      <c r="B27" s="7">
        <v>622200</v>
      </c>
      <c r="C27" s="8" t="s">
        <v>29</v>
      </c>
      <c r="D27" s="9" t="s">
        <v>36</v>
      </c>
      <c r="E27" s="83" t="s">
        <v>358</v>
      </c>
      <c r="F27" s="85" t="s">
        <v>360</v>
      </c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outlineLevel="1" x14ac:dyDescent="0.2">
      <c r="A28" s="1"/>
      <c r="B28" s="7">
        <v>622200</v>
      </c>
      <c r="C28" s="8" t="s">
        <v>29</v>
      </c>
      <c r="D28" s="9" t="s">
        <v>37</v>
      </c>
      <c r="E28" s="83" t="s">
        <v>358</v>
      </c>
      <c r="F28" s="85" t="s">
        <v>360</v>
      </c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outlineLevel="1" x14ac:dyDescent="0.2">
      <c r="A29" s="1"/>
      <c r="B29" s="7">
        <v>622200</v>
      </c>
      <c r="C29" s="8" t="s">
        <v>29</v>
      </c>
      <c r="D29" s="9" t="s">
        <v>38</v>
      </c>
      <c r="E29" s="83" t="s">
        <v>358</v>
      </c>
      <c r="F29" s="85" t="s">
        <v>343</v>
      </c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7">
        <v>622200</v>
      </c>
      <c r="C30" s="8" t="s">
        <v>29</v>
      </c>
      <c r="D30" s="9" t="s">
        <v>39</v>
      </c>
      <c r="E30" s="83" t="s">
        <v>358</v>
      </c>
      <c r="F30" s="85" t="s">
        <v>343</v>
      </c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7">
        <v>622200</v>
      </c>
      <c r="C31" s="8" t="s">
        <v>29</v>
      </c>
      <c r="D31" s="9" t="s">
        <v>40</v>
      </c>
      <c r="E31" s="83" t="s">
        <v>358</v>
      </c>
      <c r="F31" s="85" t="s">
        <v>360</v>
      </c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outlineLevel="1" x14ac:dyDescent="0.2">
      <c r="A32" s="1"/>
      <c r="B32" s="7">
        <v>622200</v>
      </c>
      <c r="C32" s="8" t="s">
        <v>29</v>
      </c>
      <c r="D32" s="9" t="s">
        <v>41</v>
      </c>
      <c r="E32" s="83" t="s">
        <v>358</v>
      </c>
      <c r="F32" s="85" t="s">
        <v>360</v>
      </c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outlineLevel="1" x14ac:dyDescent="0.2">
      <c r="A33" s="1"/>
      <c r="B33" s="7">
        <v>622200</v>
      </c>
      <c r="C33" s="8" t="s">
        <v>29</v>
      </c>
      <c r="D33" s="9" t="s">
        <v>42</v>
      </c>
      <c r="E33" s="83" t="s">
        <v>358</v>
      </c>
      <c r="F33" s="85" t="s">
        <v>343</v>
      </c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outlineLevel="1" x14ac:dyDescent="0.2">
      <c r="A34" s="1"/>
      <c r="B34" s="7">
        <v>622200</v>
      </c>
      <c r="C34" s="8" t="s">
        <v>29</v>
      </c>
      <c r="D34" s="9" t="s">
        <v>43</v>
      </c>
      <c r="E34" s="83" t="s">
        <v>358</v>
      </c>
      <c r="F34" s="85" t="s">
        <v>343</v>
      </c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outlineLevel="1" x14ac:dyDescent="0.2">
      <c r="A35" s="1"/>
      <c r="B35" s="7">
        <v>622200</v>
      </c>
      <c r="C35" s="8" t="s">
        <v>29</v>
      </c>
      <c r="D35" s="9" t="s">
        <v>44</v>
      </c>
      <c r="E35" s="83" t="s">
        <v>358</v>
      </c>
      <c r="F35" s="85" t="s">
        <v>360</v>
      </c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outlineLevel="1" x14ac:dyDescent="0.2">
      <c r="A36" s="1"/>
      <c r="B36" s="7">
        <v>622200</v>
      </c>
      <c r="C36" s="8" t="s">
        <v>29</v>
      </c>
      <c r="D36" s="9" t="s">
        <v>45</v>
      </c>
      <c r="E36" s="83" t="s">
        <v>358</v>
      </c>
      <c r="F36" s="85" t="s">
        <v>343</v>
      </c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outlineLevel="1" x14ac:dyDescent="0.2">
      <c r="A37" s="1"/>
      <c r="B37" s="7">
        <v>622200</v>
      </c>
      <c r="C37" s="8" t="s">
        <v>29</v>
      </c>
      <c r="D37" s="9" t="s">
        <v>46</v>
      </c>
      <c r="E37" s="83" t="s">
        <v>358</v>
      </c>
      <c r="F37" s="85" t="s">
        <v>343</v>
      </c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outlineLevel="1" x14ac:dyDescent="0.2">
      <c r="A38" s="1"/>
      <c r="B38" s="7">
        <v>622200</v>
      </c>
      <c r="C38" s="8" t="s">
        <v>29</v>
      </c>
      <c r="D38" s="9" t="s">
        <v>47</v>
      </c>
      <c r="E38" s="83" t="s">
        <v>358</v>
      </c>
      <c r="F38" s="85" t="s">
        <v>343</v>
      </c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outlineLevel="1" x14ac:dyDescent="0.2">
      <c r="A39" s="1"/>
      <c r="B39" s="7">
        <v>622201</v>
      </c>
      <c r="C39" s="8" t="s">
        <v>29</v>
      </c>
      <c r="D39" s="9" t="s">
        <v>48</v>
      </c>
      <c r="E39" s="83" t="s">
        <v>358</v>
      </c>
      <c r="F39" s="85" t="s">
        <v>360</v>
      </c>
      <c r="G39" s="10">
        <v>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outlineLevel="1" x14ac:dyDescent="0.2">
      <c r="A40" s="1"/>
      <c r="B40" s="7">
        <v>622200</v>
      </c>
      <c r="C40" s="8" t="s">
        <v>29</v>
      </c>
      <c r="D40" s="9" t="s">
        <v>49</v>
      </c>
      <c r="E40" s="83" t="s">
        <v>358</v>
      </c>
      <c r="F40" s="85" t="s">
        <v>360</v>
      </c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outlineLevel="1" x14ac:dyDescent="0.2">
      <c r="A41" s="1"/>
      <c r="B41" s="7">
        <v>622300</v>
      </c>
      <c r="C41" s="8" t="s">
        <v>50</v>
      </c>
      <c r="D41" s="9" t="s">
        <v>51</v>
      </c>
      <c r="E41" s="83" t="s">
        <v>358</v>
      </c>
      <c r="F41" s="85" t="s">
        <v>360</v>
      </c>
      <c r="G41" s="10">
        <v>110880.11000000004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7">
        <v>622305</v>
      </c>
      <c r="C42" s="8" t="s">
        <v>50</v>
      </c>
      <c r="D42" s="9" t="s">
        <v>51</v>
      </c>
      <c r="E42" s="83" t="s">
        <v>358</v>
      </c>
      <c r="F42" s="85" t="s">
        <v>360</v>
      </c>
      <c r="G42" s="10">
        <v>691.34000000000015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7">
        <v>622400</v>
      </c>
      <c r="C43" s="8" t="s">
        <v>52</v>
      </c>
      <c r="D43" s="9" t="s">
        <v>53</v>
      </c>
      <c r="E43" s="83" t="s">
        <v>357</v>
      </c>
      <c r="F43" s="85" t="s">
        <v>343</v>
      </c>
      <c r="G43" s="10">
        <v>10327.459999999997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7">
        <v>622405</v>
      </c>
      <c r="C44" s="8" t="s">
        <v>54</v>
      </c>
      <c r="D44" s="9" t="s">
        <v>53</v>
      </c>
      <c r="E44" s="83" t="s">
        <v>357</v>
      </c>
      <c r="F44" s="85" t="s">
        <v>343</v>
      </c>
      <c r="G44" s="10">
        <v>7505.7599999999966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7">
        <v>623020</v>
      </c>
      <c r="C45" s="8"/>
      <c r="D45" s="9"/>
      <c r="E45" s="83" t="s">
        <v>358</v>
      </c>
      <c r="F45" s="85" t="s">
        <v>364</v>
      </c>
      <c r="G45" s="10"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7">
        <v>623100</v>
      </c>
      <c r="C46" s="8" t="s">
        <v>55</v>
      </c>
      <c r="D46" s="9" t="s">
        <v>56</v>
      </c>
      <c r="E46" s="83" t="s">
        <v>357</v>
      </c>
      <c r="F46" s="85" t="s">
        <v>365</v>
      </c>
      <c r="G46" s="10">
        <v>198472.23999999996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7">
        <v>623100</v>
      </c>
      <c r="C47" s="8" t="s">
        <v>55</v>
      </c>
      <c r="D47" s="9" t="s">
        <v>57</v>
      </c>
      <c r="E47" s="83" t="s">
        <v>357</v>
      </c>
      <c r="F47" s="85" t="s">
        <v>366</v>
      </c>
      <c r="G47" s="10">
        <v>119227.42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7">
        <v>623100</v>
      </c>
      <c r="C48" s="8" t="s">
        <v>55</v>
      </c>
      <c r="D48" s="9" t="s">
        <v>58</v>
      </c>
      <c r="E48" s="83" t="s">
        <v>358</v>
      </c>
      <c r="F48" s="85" t="s">
        <v>366</v>
      </c>
      <c r="G48" s="10">
        <v>39051.799999999996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7">
        <v>623099</v>
      </c>
      <c r="C49" s="8" t="s">
        <v>55</v>
      </c>
      <c r="D49" s="9" t="s">
        <v>59</v>
      </c>
      <c r="E49" s="83" t="s">
        <v>358</v>
      </c>
      <c r="F49" s="85" t="s">
        <v>365</v>
      </c>
      <c r="G49" s="10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7">
        <v>623100</v>
      </c>
      <c r="C50" s="8" t="s">
        <v>55</v>
      </c>
      <c r="D50" s="9" t="s">
        <v>60</v>
      </c>
      <c r="E50" s="83" t="s">
        <v>358</v>
      </c>
      <c r="F50" s="85" t="s">
        <v>343</v>
      </c>
      <c r="G50" s="10">
        <v>55171.690000000024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7">
        <v>623100</v>
      </c>
      <c r="C51" s="8" t="s">
        <v>55</v>
      </c>
      <c r="D51" s="9" t="s">
        <v>61</v>
      </c>
      <c r="E51" s="83" t="s">
        <v>357</v>
      </c>
      <c r="F51" s="85" t="s">
        <v>343</v>
      </c>
      <c r="G51" s="10">
        <v>48.26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7">
        <v>623105</v>
      </c>
      <c r="C52" s="8" t="s">
        <v>62</v>
      </c>
      <c r="D52" s="9"/>
      <c r="E52" s="83" t="s">
        <v>357</v>
      </c>
      <c r="F52" s="85" t="s">
        <v>365</v>
      </c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7">
        <v>623120</v>
      </c>
      <c r="C53" s="8" t="s">
        <v>63</v>
      </c>
      <c r="D53" s="9" t="s">
        <v>64</v>
      </c>
      <c r="E53" s="83" t="s">
        <v>357</v>
      </c>
      <c r="F53" s="85" t="s">
        <v>365</v>
      </c>
      <c r="G53" s="10">
        <v>0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7">
        <v>623125</v>
      </c>
      <c r="C54" s="8" t="s">
        <v>65</v>
      </c>
      <c r="D54" s="9" t="s">
        <v>56</v>
      </c>
      <c r="E54" s="83" t="s">
        <v>357</v>
      </c>
      <c r="F54" s="85" t="s">
        <v>365</v>
      </c>
      <c r="G54" s="10">
        <v>0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7">
        <v>624000</v>
      </c>
      <c r="C55" s="8" t="s">
        <v>66</v>
      </c>
      <c r="D55" s="9" t="s">
        <v>67</v>
      </c>
      <c r="E55" s="83" t="s">
        <v>357</v>
      </c>
      <c r="F55" s="85" t="s">
        <v>365</v>
      </c>
      <c r="G55" s="10">
        <v>10950.38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7">
        <v>624005</v>
      </c>
      <c r="C56" s="8" t="s">
        <v>68</v>
      </c>
      <c r="D56" s="9" t="s">
        <v>67</v>
      </c>
      <c r="E56" s="83" t="s">
        <v>357</v>
      </c>
      <c r="F56" s="85" t="s">
        <v>365</v>
      </c>
      <c r="G56" s="10">
        <v>-375.53000000000043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7">
        <v>625000</v>
      </c>
      <c r="C57" s="8" t="s">
        <v>69</v>
      </c>
      <c r="D57" s="9" t="s">
        <v>70</v>
      </c>
      <c r="E57" s="83" t="s">
        <v>357</v>
      </c>
      <c r="F57" s="85" t="s">
        <v>365</v>
      </c>
      <c r="G57" s="10"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7">
        <v>625200</v>
      </c>
      <c r="C58" s="8" t="s">
        <v>71</v>
      </c>
      <c r="D58" s="9" t="s">
        <v>72</v>
      </c>
      <c r="E58" s="83" t="s">
        <v>357</v>
      </c>
      <c r="F58" s="85" t="s">
        <v>365</v>
      </c>
      <c r="G58" s="10">
        <v>521.98999999999967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7">
        <v>625205</v>
      </c>
      <c r="C59" s="8" t="s">
        <v>71</v>
      </c>
      <c r="D59" s="9" t="s">
        <v>73</v>
      </c>
      <c r="E59" s="83" t="s">
        <v>357</v>
      </c>
      <c r="F59" s="85" t="s">
        <v>365</v>
      </c>
      <c r="G59" s="10">
        <v>-2.8421709430404007E-14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7">
        <v>625210</v>
      </c>
      <c r="C60" s="8" t="s">
        <v>71</v>
      </c>
      <c r="D60" s="9" t="s">
        <v>74</v>
      </c>
      <c r="E60" s="83" t="s">
        <v>357</v>
      </c>
      <c r="F60" s="85" t="s">
        <v>365</v>
      </c>
      <c r="G60" s="10">
        <v>1544.5100000000004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7">
        <v>625215</v>
      </c>
      <c r="C61" s="8" t="s">
        <v>71</v>
      </c>
      <c r="D61" s="9" t="s">
        <v>75</v>
      </c>
      <c r="E61" s="83" t="s">
        <v>357</v>
      </c>
      <c r="F61" s="85" t="s">
        <v>365</v>
      </c>
      <c r="G61" s="10">
        <v>306.41999999999996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7">
        <v>627000</v>
      </c>
      <c r="C62" s="8" t="s">
        <v>76</v>
      </c>
      <c r="D62" s="9" t="s">
        <v>77</v>
      </c>
      <c r="E62" s="83" t="s">
        <v>357</v>
      </c>
      <c r="F62" s="85" t="s">
        <v>343</v>
      </c>
      <c r="G62" s="10"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outlineLevel="1" x14ac:dyDescent="0.2">
      <c r="A63" s="1"/>
      <c r="B63" s="7">
        <v>627005</v>
      </c>
      <c r="C63" s="8" t="s">
        <v>76</v>
      </c>
      <c r="D63" s="9" t="s">
        <v>77</v>
      </c>
      <c r="E63" s="83" t="s">
        <v>357</v>
      </c>
      <c r="F63" s="85" t="s">
        <v>343</v>
      </c>
      <c r="G63" s="10">
        <v>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outlineLevel="1" x14ac:dyDescent="0.2">
      <c r="A64" s="1"/>
      <c r="B64" s="7">
        <v>627030</v>
      </c>
      <c r="C64" s="8" t="s">
        <v>78</v>
      </c>
      <c r="D64" s="9" t="s">
        <v>79</v>
      </c>
      <c r="E64" s="83" t="s">
        <v>357</v>
      </c>
      <c r="F64" s="85" t="s">
        <v>343</v>
      </c>
      <c r="G64" s="10"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outlineLevel="1" x14ac:dyDescent="0.2">
      <c r="A65" s="1"/>
      <c r="B65" s="7">
        <v>627040</v>
      </c>
      <c r="C65" s="8" t="s">
        <v>80</v>
      </c>
      <c r="D65" s="9" t="s">
        <v>79</v>
      </c>
      <c r="E65" s="83" t="s">
        <v>357</v>
      </c>
      <c r="F65" s="85" t="s">
        <v>343</v>
      </c>
      <c r="G65" s="10">
        <v>4401.42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outlineLevel="1" x14ac:dyDescent="0.2">
      <c r="A66" s="1"/>
      <c r="B66" s="7">
        <v>627045</v>
      </c>
      <c r="C66" s="8" t="s">
        <v>80</v>
      </c>
      <c r="D66" s="9" t="s">
        <v>79</v>
      </c>
      <c r="E66" s="83" t="s">
        <v>357</v>
      </c>
      <c r="F66" s="85" t="s">
        <v>343</v>
      </c>
      <c r="G66" s="10">
        <v>3.1263880373444408E-13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outlineLevel="1" x14ac:dyDescent="0.2">
      <c r="A67" s="1"/>
      <c r="B67" s="7">
        <v>627050</v>
      </c>
      <c r="C67" s="8" t="s">
        <v>81</v>
      </c>
      <c r="D67" s="9" t="s">
        <v>82</v>
      </c>
      <c r="E67" s="83" t="s">
        <v>357</v>
      </c>
      <c r="F67" s="85" t="s">
        <v>343</v>
      </c>
      <c r="G67" s="10">
        <v>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outlineLevel="1" x14ac:dyDescent="0.2">
      <c r="A68" s="1"/>
      <c r="B68" s="7">
        <v>627090</v>
      </c>
      <c r="C68" s="8" t="s">
        <v>83</v>
      </c>
      <c r="D68" s="9" t="s">
        <v>79</v>
      </c>
      <c r="E68" s="83" t="s">
        <v>357</v>
      </c>
      <c r="F68" s="85" t="s">
        <v>343</v>
      </c>
      <c r="G68" s="10">
        <v>11574.079999999996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outlineLevel="1" x14ac:dyDescent="0.2">
      <c r="A69" s="1"/>
      <c r="B69" s="7">
        <v>627092</v>
      </c>
      <c r="C69" s="8" t="s">
        <v>83</v>
      </c>
      <c r="D69" s="9" t="s">
        <v>79</v>
      </c>
      <c r="E69" s="83" t="s">
        <v>357</v>
      </c>
      <c r="F69" s="85" t="s">
        <v>343</v>
      </c>
      <c r="G69" s="10">
        <v>14455.96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7">
        <v>627095</v>
      </c>
      <c r="C70" s="8" t="s">
        <v>84</v>
      </c>
      <c r="D70" s="9" t="s">
        <v>79</v>
      </c>
      <c r="E70" s="83" t="s">
        <v>357</v>
      </c>
      <c r="F70" s="85" t="s">
        <v>343</v>
      </c>
      <c r="G70" s="10">
        <v>2.7284841053187847E-12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 t="s">
        <v>85</v>
      </c>
      <c r="B71" s="7">
        <v>628000</v>
      </c>
      <c r="C71" s="8" t="s">
        <v>86</v>
      </c>
      <c r="D71" s="9" t="s">
        <v>87</v>
      </c>
      <c r="E71" s="83" t="s">
        <v>357</v>
      </c>
      <c r="F71" s="85" t="s">
        <v>343</v>
      </c>
      <c r="G71" s="10">
        <v>817.10000000000036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1"/>
      <c r="B72" s="7">
        <v>628004</v>
      </c>
      <c r="C72" s="8" t="s">
        <v>88</v>
      </c>
      <c r="D72" s="9" t="s">
        <v>89</v>
      </c>
      <c r="E72" s="83" t="s">
        <v>357</v>
      </c>
      <c r="F72" s="85" t="s">
        <v>367</v>
      </c>
      <c r="G72" s="10">
        <v>480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2.75" customHeight="1" x14ac:dyDescent="0.2">
      <c r="A73" s="1"/>
      <c r="B73" s="7">
        <v>628005</v>
      </c>
      <c r="C73" s="8" t="s">
        <v>90</v>
      </c>
      <c r="D73" s="9" t="s">
        <v>91</v>
      </c>
      <c r="E73" s="83" t="s">
        <v>357</v>
      </c>
      <c r="F73" s="85" t="s">
        <v>367</v>
      </c>
      <c r="G73" s="10">
        <v>100.00000000000009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7">
        <v>628100</v>
      </c>
      <c r="C74" s="8" t="s">
        <v>92</v>
      </c>
      <c r="D74" s="9" t="s">
        <v>93</v>
      </c>
      <c r="E74" s="83" t="s">
        <v>357</v>
      </c>
      <c r="F74" s="85" t="s">
        <v>367</v>
      </c>
      <c r="G74" s="10">
        <v>40786.209999999992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7">
        <v>628105</v>
      </c>
      <c r="C75" s="8" t="s">
        <v>94</v>
      </c>
      <c r="D75" s="9" t="s">
        <v>95</v>
      </c>
      <c r="E75" s="83" t="s">
        <v>357</v>
      </c>
      <c r="F75" s="85" t="s">
        <v>367</v>
      </c>
      <c r="G75" s="10">
        <v>6999.9999999999991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7">
        <v>628240</v>
      </c>
      <c r="C76" s="8" t="s">
        <v>96</v>
      </c>
      <c r="D76" s="9" t="s">
        <v>97</v>
      </c>
      <c r="E76" s="83" t="s">
        <v>357</v>
      </c>
      <c r="F76" s="85" t="s">
        <v>367</v>
      </c>
      <c r="G76" s="10">
        <v>38043.99000000002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7">
        <v>628245</v>
      </c>
      <c r="C77" s="8" t="s">
        <v>98</v>
      </c>
      <c r="D77" s="9" t="s">
        <v>99</v>
      </c>
      <c r="E77" s="83" t="s">
        <v>357</v>
      </c>
      <c r="F77" s="85" t="s">
        <v>367</v>
      </c>
      <c r="G77" s="10">
        <v>487.93999999999988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7">
        <v>629500</v>
      </c>
      <c r="C78" s="8" t="s">
        <v>100</v>
      </c>
      <c r="D78" s="9" t="s">
        <v>67</v>
      </c>
      <c r="E78" s="83" t="s">
        <v>357</v>
      </c>
      <c r="F78" s="85" t="s">
        <v>367</v>
      </c>
      <c r="G78" s="10">
        <v>2806.45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7">
        <v>629505</v>
      </c>
      <c r="C79" s="8" t="s">
        <v>101</v>
      </c>
      <c r="D79" s="9" t="s">
        <v>67</v>
      </c>
      <c r="E79" s="83" t="s">
        <v>357</v>
      </c>
      <c r="F79" s="85" t="s">
        <v>367</v>
      </c>
      <c r="G79" s="10">
        <v>0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7">
        <v>629510</v>
      </c>
      <c r="C80" s="8" t="s">
        <v>102</v>
      </c>
      <c r="D80" s="9" t="s">
        <v>103</v>
      </c>
      <c r="E80" s="83" t="s">
        <v>357</v>
      </c>
      <c r="F80" s="85" t="s">
        <v>367</v>
      </c>
      <c r="G80" s="10">
        <v>9656.64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7">
        <v>629515</v>
      </c>
      <c r="C81" s="8" t="s">
        <v>104</v>
      </c>
      <c r="D81" s="9" t="s">
        <v>105</v>
      </c>
      <c r="E81" s="83" t="s">
        <v>357</v>
      </c>
      <c r="F81" s="85" t="s">
        <v>367</v>
      </c>
      <c r="G81" s="10">
        <v>1.5916157281026244E-12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7">
        <v>629530</v>
      </c>
      <c r="C82" s="8" t="s">
        <v>106</v>
      </c>
      <c r="D82" s="9" t="s">
        <v>107</v>
      </c>
      <c r="E82" s="83" t="s">
        <v>357</v>
      </c>
      <c r="F82" s="85" t="s">
        <v>365</v>
      </c>
      <c r="G82" s="10">
        <v>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7">
        <v>629540</v>
      </c>
      <c r="C83" s="8" t="s">
        <v>108</v>
      </c>
      <c r="D83" s="9" t="s">
        <v>107</v>
      </c>
      <c r="E83" s="83" t="s">
        <v>357</v>
      </c>
      <c r="F83" s="85" t="s">
        <v>365</v>
      </c>
      <c r="G83" s="10">
        <v>767.96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7">
        <v>629545</v>
      </c>
      <c r="C84" s="8" t="s">
        <v>108</v>
      </c>
      <c r="D84" s="9" t="s">
        <v>107</v>
      </c>
      <c r="E84" s="83" t="s">
        <v>357</v>
      </c>
      <c r="F84" s="85" t="s">
        <v>365</v>
      </c>
      <c r="G84" s="10">
        <v>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7">
        <v>629560</v>
      </c>
      <c r="C85" s="8" t="s">
        <v>109</v>
      </c>
      <c r="D85" s="9" t="s">
        <v>110</v>
      </c>
      <c r="E85" s="83" t="s">
        <v>357</v>
      </c>
      <c r="F85" s="85" t="s">
        <v>343</v>
      </c>
      <c r="G85" s="10">
        <v>1292.58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7">
        <v>629565</v>
      </c>
      <c r="C86" s="8" t="s">
        <v>111</v>
      </c>
      <c r="D86" s="9" t="s">
        <v>112</v>
      </c>
      <c r="E86" s="83" t="s">
        <v>357</v>
      </c>
      <c r="F86" s="85" t="s">
        <v>343</v>
      </c>
      <c r="G86" s="10">
        <v>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7">
        <v>629590</v>
      </c>
      <c r="C87" s="8" t="s">
        <v>113</v>
      </c>
      <c r="D87" s="9" t="s">
        <v>114</v>
      </c>
      <c r="E87" s="83" t="s">
        <v>357</v>
      </c>
      <c r="F87" s="85" t="s">
        <v>343</v>
      </c>
      <c r="G87" s="10">
        <v>5500.1600000000008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7">
        <v>629595</v>
      </c>
      <c r="C88" s="8" t="s">
        <v>115</v>
      </c>
      <c r="D88" s="9" t="s">
        <v>114</v>
      </c>
      <c r="E88" s="83" t="s">
        <v>357</v>
      </c>
      <c r="F88" s="85" t="s">
        <v>343</v>
      </c>
      <c r="G88" s="10">
        <v>0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7">
        <v>629600</v>
      </c>
      <c r="C89" s="8" t="s">
        <v>116</v>
      </c>
      <c r="D89" s="9" t="s">
        <v>117</v>
      </c>
      <c r="E89" s="83" t="s">
        <v>357</v>
      </c>
      <c r="F89" s="85" t="s">
        <v>367</v>
      </c>
      <c r="G89" s="10">
        <v>1842.09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7">
        <v>629605</v>
      </c>
      <c r="C90" s="8" t="s">
        <v>118</v>
      </c>
      <c r="D90" s="9" t="s">
        <v>119</v>
      </c>
      <c r="E90" s="83" t="s">
        <v>357</v>
      </c>
      <c r="F90" s="85" t="s">
        <v>367</v>
      </c>
      <c r="G90" s="10">
        <v>-4.2632564145606011E-14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7">
        <v>629610</v>
      </c>
      <c r="C91" s="8" t="s">
        <v>120</v>
      </c>
      <c r="D91" s="9" t="s">
        <v>103</v>
      </c>
      <c r="E91" s="83" t="s">
        <v>357</v>
      </c>
      <c r="F91" s="85" t="s">
        <v>365</v>
      </c>
      <c r="G91" s="10">
        <v>-16.2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7">
        <v>629615</v>
      </c>
      <c r="C92" s="8" t="s">
        <v>121</v>
      </c>
      <c r="D92" s="9" t="s">
        <v>122</v>
      </c>
      <c r="E92" s="83" t="s">
        <v>357</v>
      </c>
      <c r="F92" s="85" t="s">
        <v>365</v>
      </c>
      <c r="G92" s="10">
        <v>0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7">
        <v>629700</v>
      </c>
      <c r="C93" s="8" t="s">
        <v>123</v>
      </c>
      <c r="D93" s="9" t="s">
        <v>124</v>
      </c>
      <c r="E93" s="83" t="s">
        <v>357</v>
      </c>
      <c r="F93" s="85" t="s">
        <v>365</v>
      </c>
      <c r="G93" s="10">
        <v>1585.0600000000002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7">
        <v>629705</v>
      </c>
      <c r="C94" s="8" t="s">
        <v>125</v>
      </c>
      <c r="D94" s="9" t="s">
        <v>124</v>
      </c>
      <c r="E94" s="83" t="s">
        <v>357</v>
      </c>
      <c r="F94" s="85" t="s">
        <v>365</v>
      </c>
      <c r="G94" s="10">
        <v>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7">
        <v>629710</v>
      </c>
      <c r="C95" s="8" t="s">
        <v>126</v>
      </c>
      <c r="D95" s="9" t="s">
        <v>127</v>
      </c>
      <c r="E95" s="83" t="s">
        <v>357</v>
      </c>
      <c r="F95" s="85" t="s">
        <v>343</v>
      </c>
      <c r="G95" s="10">
        <v>26755.119999999988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7">
        <v>629715</v>
      </c>
      <c r="C96" s="8" t="s">
        <v>128</v>
      </c>
      <c r="D96" s="9" t="s">
        <v>129</v>
      </c>
      <c r="E96" s="83" t="s">
        <v>357</v>
      </c>
      <c r="F96" s="85" t="s">
        <v>343</v>
      </c>
      <c r="G96" s="10">
        <v>-1.1368683772161603E-12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7">
        <v>629720</v>
      </c>
      <c r="C97" s="8" t="s">
        <v>130</v>
      </c>
      <c r="D97" s="9" t="s">
        <v>131</v>
      </c>
      <c r="E97" s="83" t="s">
        <v>357</v>
      </c>
      <c r="F97" s="85" t="s">
        <v>343</v>
      </c>
      <c r="G97" s="10">
        <v>3310.3399999999992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7">
        <v>629725</v>
      </c>
      <c r="C98" s="8" t="s">
        <v>130</v>
      </c>
      <c r="D98" s="9" t="s">
        <v>131</v>
      </c>
      <c r="E98" s="83" t="s">
        <v>357</v>
      </c>
      <c r="F98" s="85" t="s">
        <v>343</v>
      </c>
      <c r="G98" s="10">
        <v>1.1368683772161603E-13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7">
        <v>629900</v>
      </c>
      <c r="C99" s="8" t="s">
        <v>132</v>
      </c>
      <c r="D99" s="9" t="s">
        <v>133</v>
      </c>
      <c r="E99" s="83" t="s">
        <v>357</v>
      </c>
      <c r="F99" s="85" t="s">
        <v>343</v>
      </c>
      <c r="G99" s="10">
        <v>0.13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7">
        <v>630100</v>
      </c>
      <c r="C100" s="8" t="s">
        <v>134</v>
      </c>
      <c r="D100" s="9" t="s">
        <v>135</v>
      </c>
      <c r="E100" s="83" t="s">
        <v>357</v>
      </c>
      <c r="F100" s="85" t="s">
        <v>343</v>
      </c>
      <c r="G100" s="10">
        <v>-120199.19999999998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7">
        <v>631000</v>
      </c>
      <c r="C101" s="8" t="s">
        <v>136</v>
      </c>
      <c r="D101" s="9" t="s">
        <v>137</v>
      </c>
      <c r="E101" s="83" t="s">
        <v>357</v>
      </c>
      <c r="F101" s="85" t="s">
        <v>343</v>
      </c>
      <c r="G101" s="10">
        <v>7482.5499999999993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7">
        <v>631120</v>
      </c>
      <c r="C102" s="8" t="s">
        <v>138</v>
      </c>
      <c r="D102" s="9" t="s">
        <v>139</v>
      </c>
      <c r="E102" s="83" t="s">
        <v>357</v>
      </c>
      <c r="F102" s="85" t="s">
        <v>343</v>
      </c>
      <c r="G102" s="10">
        <v>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7">
        <v>631105</v>
      </c>
      <c r="C103" s="8" t="s">
        <v>140</v>
      </c>
      <c r="D103" s="9" t="s">
        <v>141</v>
      </c>
      <c r="E103" s="83" t="s">
        <v>357</v>
      </c>
      <c r="F103" s="85" t="s">
        <v>343</v>
      </c>
      <c r="G103" s="10">
        <v>0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7">
        <v>631300</v>
      </c>
      <c r="C104" s="8" t="s">
        <v>142</v>
      </c>
      <c r="D104" s="9" t="s">
        <v>143</v>
      </c>
      <c r="E104" s="83" t="s">
        <v>357</v>
      </c>
      <c r="F104" s="85" t="s">
        <v>343</v>
      </c>
      <c r="G104" s="10">
        <v>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7">
        <v>631400</v>
      </c>
      <c r="C105" s="8" t="s">
        <v>144</v>
      </c>
      <c r="D105" s="9" t="s">
        <v>143</v>
      </c>
      <c r="E105" s="83" t="s">
        <v>357</v>
      </c>
      <c r="F105" s="85" t="s">
        <v>343</v>
      </c>
      <c r="G105" s="10">
        <v>563.99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7">
        <v>631800</v>
      </c>
      <c r="C106" s="8" t="s">
        <v>143</v>
      </c>
      <c r="D106" s="9" t="s">
        <v>143</v>
      </c>
      <c r="E106" s="83" t="s">
        <v>357</v>
      </c>
      <c r="F106" s="85" t="s">
        <v>343</v>
      </c>
      <c r="G106" s="10">
        <v>0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7">
        <v>631900</v>
      </c>
      <c r="C107" s="8" t="s">
        <v>145</v>
      </c>
      <c r="D107" s="9" t="s">
        <v>143</v>
      </c>
      <c r="E107" s="83" t="s">
        <v>357</v>
      </c>
      <c r="F107" s="85" t="s">
        <v>343</v>
      </c>
      <c r="G107" s="10">
        <v>10686.74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7">
        <v>640000</v>
      </c>
      <c r="C108" s="8" t="s">
        <v>146</v>
      </c>
      <c r="D108" s="9" t="s">
        <v>147</v>
      </c>
      <c r="E108" s="83" t="s">
        <v>357</v>
      </c>
      <c r="F108" s="85" t="s">
        <v>368</v>
      </c>
      <c r="G108" s="10">
        <v>785656.45999999903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7">
        <v>640010</v>
      </c>
      <c r="C109" s="8" t="s">
        <v>148</v>
      </c>
      <c r="D109" s="9" t="s">
        <v>149</v>
      </c>
      <c r="E109" s="83" t="s">
        <v>357</v>
      </c>
      <c r="F109" s="85" t="s">
        <v>343</v>
      </c>
      <c r="G109" s="10">
        <v>129987.55000000002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7">
        <v>640015</v>
      </c>
      <c r="C110" s="8" t="s">
        <v>150</v>
      </c>
      <c r="D110" s="9" t="s">
        <v>151</v>
      </c>
      <c r="E110" s="83" t="s">
        <v>357</v>
      </c>
      <c r="F110" s="85" t="s">
        <v>343</v>
      </c>
      <c r="G110" s="10">
        <v>9.0949470177292824E-13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7">
        <v>640120</v>
      </c>
      <c r="C111" s="8" t="s">
        <v>152</v>
      </c>
      <c r="D111" s="9" t="s">
        <v>153</v>
      </c>
      <c r="E111" s="83" t="s">
        <v>357</v>
      </c>
      <c r="F111" s="85" t="s">
        <v>367</v>
      </c>
      <c r="G111" s="10">
        <v>33545.949999999997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7">
        <v>640125</v>
      </c>
      <c r="C112" s="8" t="s">
        <v>154</v>
      </c>
      <c r="D112" s="9" t="s">
        <v>155</v>
      </c>
      <c r="E112" s="83" t="s">
        <v>357</v>
      </c>
      <c r="F112" s="85" t="s">
        <v>367</v>
      </c>
      <c r="G112" s="10">
        <v>103586.27999999997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7">
        <v>641000</v>
      </c>
      <c r="C113" s="8" t="s">
        <v>156</v>
      </c>
      <c r="D113" s="9" t="s">
        <v>157</v>
      </c>
      <c r="E113" s="83" t="s">
        <v>357</v>
      </c>
      <c r="F113" s="85" t="s">
        <v>367</v>
      </c>
      <c r="G113" s="10">
        <v>0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7">
        <v>641005</v>
      </c>
      <c r="C114" s="8" t="s">
        <v>158</v>
      </c>
      <c r="D114" s="9" t="s">
        <v>157</v>
      </c>
      <c r="E114" s="83" t="s">
        <v>357</v>
      </c>
      <c r="F114" s="85" t="s">
        <v>367</v>
      </c>
      <c r="G114" s="10">
        <v>0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7">
        <v>642000</v>
      </c>
      <c r="C115" s="8" t="s">
        <v>159</v>
      </c>
      <c r="D115" s="9" t="s">
        <v>160</v>
      </c>
      <c r="E115" s="83" t="s">
        <v>357</v>
      </c>
      <c r="F115" s="85" t="s">
        <v>367</v>
      </c>
      <c r="G115" s="10">
        <v>286360.58999999991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7">
        <v>643000</v>
      </c>
      <c r="C116" s="8" t="s">
        <v>161</v>
      </c>
      <c r="D116" s="9" t="s">
        <v>162</v>
      </c>
      <c r="E116" s="83" t="s">
        <v>357</v>
      </c>
      <c r="F116" s="85" t="s">
        <v>367</v>
      </c>
      <c r="G116" s="10">
        <v>4840.7900000000018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7">
        <v>649000</v>
      </c>
      <c r="C117" s="8" t="s">
        <v>163</v>
      </c>
      <c r="D117" s="9" t="s">
        <v>164</v>
      </c>
      <c r="E117" s="83" t="s">
        <v>357</v>
      </c>
      <c r="F117" s="85" t="s">
        <v>365</v>
      </c>
      <c r="G117" s="10">
        <v>8686.4400000000023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7">
        <v>649005</v>
      </c>
      <c r="C118" s="8" t="s">
        <v>163</v>
      </c>
      <c r="D118" s="9" t="s">
        <v>164</v>
      </c>
      <c r="E118" s="83" t="s">
        <v>357</v>
      </c>
      <c r="F118" s="85" t="s">
        <v>365</v>
      </c>
      <c r="G118" s="10">
        <v>-2.8421709430404007E-14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7">
        <v>649100</v>
      </c>
      <c r="C119" s="8" t="s">
        <v>165</v>
      </c>
      <c r="D119" s="9" t="s">
        <v>166</v>
      </c>
      <c r="E119" s="83" t="s">
        <v>357</v>
      </c>
      <c r="F119" s="85" t="s">
        <v>343</v>
      </c>
      <c r="G119" s="10">
        <v>2680.1899999999978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7">
        <v>649105</v>
      </c>
      <c r="C120" s="8" t="s">
        <v>167</v>
      </c>
      <c r="D120" s="9" t="s">
        <v>167</v>
      </c>
      <c r="E120" s="83" t="s">
        <v>357</v>
      </c>
      <c r="F120" s="85" t="s">
        <v>343</v>
      </c>
      <c r="G120" s="10">
        <v>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7">
        <v>649120</v>
      </c>
      <c r="C121" s="8" t="s">
        <v>168</v>
      </c>
      <c r="D121" s="9" t="s">
        <v>169</v>
      </c>
      <c r="E121" s="83" t="s">
        <v>357</v>
      </c>
      <c r="F121" s="85" t="s">
        <v>343</v>
      </c>
      <c r="G121" s="10">
        <v>4056.4800000000005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7">
        <v>649125</v>
      </c>
      <c r="C122" s="8" t="s">
        <v>168</v>
      </c>
      <c r="D122" s="9" t="s">
        <v>169</v>
      </c>
      <c r="E122" s="83" t="s">
        <v>357</v>
      </c>
      <c r="F122" s="85" t="s">
        <v>343</v>
      </c>
      <c r="G122" s="10">
        <v>8.8817841970012523E-15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7">
        <v>649200</v>
      </c>
      <c r="C123" s="8" t="s">
        <v>170</v>
      </c>
      <c r="D123" s="9" t="s">
        <v>171</v>
      </c>
      <c r="E123" s="83" t="s">
        <v>357</v>
      </c>
      <c r="F123" s="85" t="s">
        <v>367</v>
      </c>
      <c r="G123" s="10">
        <v>2169.9499999999998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7">
        <v>649205</v>
      </c>
      <c r="C124" s="8" t="s">
        <v>172</v>
      </c>
      <c r="D124" s="9" t="s">
        <v>173</v>
      </c>
      <c r="E124" s="83" t="s">
        <v>357</v>
      </c>
      <c r="F124" s="85" t="s">
        <v>367</v>
      </c>
      <c r="G124" s="10">
        <v>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7">
        <v>649300</v>
      </c>
      <c r="C125" s="8" t="s">
        <v>174</v>
      </c>
      <c r="D125" s="9" t="s">
        <v>175</v>
      </c>
      <c r="E125" s="83" t="s">
        <v>357</v>
      </c>
      <c r="F125" s="85" t="s">
        <v>365</v>
      </c>
      <c r="G125" s="10">
        <v>10100.330000000002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7">
        <v>649305</v>
      </c>
      <c r="C126" s="8" t="s">
        <v>174</v>
      </c>
      <c r="D126" s="9" t="s">
        <v>175</v>
      </c>
      <c r="E126" s="83" t="s">
        <v>357</v>
      </c>
      <c r="F126" s="85" t="s">
        <v>365</v>
      </c>
      <c r="G126" s="10">
        <v>302.02999999999969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7">
        <v>649400</v>
      </c>
      <c r="C127" s="8" t="s">
        <v>176</v>
      </c>
      <c r="D127" s="9" t="s">
        <v>177</v>
      </c>
      <c r="E127" s="83" t="s">
        <v>357</v>
      </c>
      <c r="F127" s="85" t="s">
        <v>365</v>
      </c>
      <c r="G127" s="10">
        <v>0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7">
        <v>649500</v>
      </c>
      <c r="C128" s="8" t="s">
        <v>178</v>
      </c>
      <c r="D128" s="9" t="s">
        <v>179</v>
      </c>
      <c r="E128" s="83" t="s">
        <v>357</v>
      </c>
      <c r="F128" s="85" t="s">
        <v>365</v>
      </c>
      <c r="G128" s="10">
        <v>894.51999999999941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7">
        <v>649505</v>
      </c>
      <c r="C129" s="8" t="s">
        <v>178</v>
      </c>
      <c r="D129" s="9" t="s">
        <v>180</v>
      </c>
      <c r="E129" s="83" t="s">
        <v>357</v>
      </c>
      <c r="F129" s="85" t="s">
        <v>365</v>
      </c>
      <c r="G129" s="10">
        <v>7.1054273576010019E-15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7">
        <v>659040</v>
      </c>
      <c r="C130" s="8" t="s">
        <v>181</v>
      </c>
      <c r="D130" s="9" t="s">
        <v>182</v>
      </c>
      <c r="E130" s="83" t="s">
        <v>357</v>
      </c>
      <c r="F130" s="85" t="s">
        <v>343</v>
      </c>
      <c r="G130" s="10">
        <v>3211.079999999999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7">
        <v>659045</v>
      </c>
      <c r="C131" s="8" t="s">
        <v>183</v>
      </c>
      <c r="D131" s="9" t="s">
        <v>184</v>
      </c>
      <c r="E131" s="83" t="s">
        <v>357</v>
      </c>
      <c r="F131" s="85" t="s">
        <v>343</v>
      </c>
      <c r="G131" s="10">
        <v>0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7">
        <v>659999</v>
      </c>
      <c r="C132" s="8" t="s">
        <v>185</v>
      </c>
      <c r="D132" s="9" t="s">
        <v>185</v>
      </c>
      <c r="E132" s="83" t="s">
        <v>357</v>
      </c>
      <c r="F132" s="85" t="s">
        <v>343</v>
      </c>
      <c r="G132" s="10">
        <v>145310.28999999995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7">
        <v>662320</v>
      </c>
      <c r="C133" s="8" t="s">
        <v>186</v>
      </c>
      <c r="D133" s="9" t="s">
        <v>187</v>
      </c>
      <c r="E133" s="83" t="s">
        <v>357</v>
      </c>
      <c r="F133" s="85" t="s">
        <v>343</v>
      </c>
      <c r="G133" s="10">
        <v>53.149999999999977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7">
        <v>668000</v>
      </c>
      <c r="C134" s="8" t="s">
        <v>188</v>
      </c>
      <c r="D134" s="9" t="s">
        <v>188</v>
      </c>
      <c r="E134" s="83" t="s">
        <v>357</v>
      </c>
      <c r="F134" s="85" t="s">
        <v>343</v>
      </c>
      <c r="G134" s="10">
        <v>-14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7">
        <v>669000</v>
      </c>
      <c r="C135" s="8" t="s">
        <v>189</v>
      </c>
      <c r="D135" s="9" t="s">
        <v>190</v>
      </c>
      <c r="E135" s="83" t="s">
        <v>357</v>
      </c>
      <c r="F135" s="85" t="s">
        <v>343</v>
      </c>
      <c r="G135" s="10">
        <v>399.71999999999997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7">
        <v>671000</v>
      </c>
      <c r="C136" s="8" t="s">
        <v>191</v>
      </c>
      <c r="D136" s="9" t="s">
        <v>192</v>
      </c>
      <c r="E136" s="83" t="s">
        <v>357</v>
      </c>
      <c r="F136" s="85" t="s">
        <v>343</v>
      </c>
      <c r="G136" s="10">
        <v>0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7">
        <v>678000</v>
      </c>
      <c r="C137" s="8" t="s">
        <v>193</v>
      </c>
      <c r="D137" s="9" t="s">
        <v>194</v>
      </c>
      <c r="E137" s="83" t="s">
        <v>357</v>
      </c>
      <c r="F137" s="85" t="s">
        <v>343</v>
      </c>
      <c r="G137" s="10">
        <v>65968.66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7">
        <v>680600</v>
      </c>
      <c r="C138" s="8" t="s">
        <v>195</v>
      </c>
      <c r="D138" s="9" t="s">
        <v>196</v>
      </c>
      <c r="E138" s="83" t="s">
        <v>358</v>
      </c>
      <c r="F138" s="85" t="s">
        <v>369</v>
      </c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7">
        <v>680600</v>
      </c>
      <c r="C139" s="8" t="s">
        <v>195</v>
      </c>
      <c r="D139" s="9" t="s">
        <v>196</v>
      </c>
      <c r="E139" s="83" t="s">
        <v>358</v>
      </c>
      <c r="F139" s="85" t="s">
        <v>370</v>
      </c>
      <c r="G139" s="10">
        <v>131916.76999999996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7">
        <v>680600</v>
      </c>
      <c r="C140" s="8" t="s">
        <v>195</v>
      </c>
      <c r="D140" s="9" t="s">
        <v>196</v>
      </c>
      <c r="E140" s="83" t="s">
        <v>358</v>
      </c>
      <c r="F140" s="85" t="s">
        <v>371</v>
      </c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7">
        <v>680600</v>
      </c>
      <c r="C141" s="8" t="s">
        <v>195</v>
      </c>
      <c r="D141" s="9" t="s">
        <v>196</v>
      </c>
      <c r="E141" s="83" t="s">
        <v>357</v>
      </c>
      <c r="F141" s="85" t="s">
        <v>372</v>
      </c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7"/>
      <c r="C142" s="8"/>
      <c r="D142" s="9"/>
      <c r="E142" s="83"/>
      <c r="F142" s="85"/>
      <c r="G142" s="10">
        <v>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7">
        <v>681500</v>
      </c>
      <c r="C143" s="8" t="s">
        <v>197</v>
      </c>
      <c r="D143" s="9" t="s">
        <v>198</v>
      </c>
      <c r="E143" s="83" t="s">
        <v>357</v>
      </c>
      <c r="F143" s="85" t="s">
        <v>373</v>
      </c>
      <c r="G143" s="10">
        <v>34068.719999999987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7">
        <v>681600</v>
      </c>
      <c r="C144" s="8" t="s">
        <v>199</v>
      </c>
      <c r="D144" s="9" t="s">
        <v>198</v>
      </c>
      <c r="E144" s="83" t="s">
        <v>357</v>
      </c>
      <c r="F144" s="85" t="s">
        <v>373</v>
      </c>
      <c r="G144" s="10">
        <v>1418.0200000000018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7">
        <v>680601</v>
      </c>
      <c r="C145" s="8" t="s">
        <v>195</v>
      </c>
      <c r="D145" s="9" t="s">
        <v>196</v>
      </c>
      <c r="E145" s="83" t="s">
        <v>357</v>
      </c>
      <c r="F145" s="85" t="s">
        <v>373</v>
      </c>
      <c r="G145" s="10">
        <v>3857.58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7">
        <v>681700</v>
      </c>
      <c r="C146" s="8" t="s">
        <v>200</v>
      </c>
      <c r="D146" s="9" t="s">
        <v>201</v>
      </c>
      <c r="E146" s="83" t="s">
        <v>357</v>
      </c>
      <c r="F146" s="85" t="s">
        <v>374</v>
      </c>
      <c r="G146" s="10">
        <v>205936.95999999996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7">
        <v>681710</v>
      </c>
      <c r="C147" s="8" t="s">
        <v>200</v>
      </c>
      <c r="D147" s="9" t="s">
        <v>201</v>
      </c>
      <c r="E147" s="83" t="s">
        <v>357</v>
      </c>
      <c r="F147" s="85" t="s">
        <v>374</v>
      </c>
      <c r="G147" s="10">
        <v>1511.3600000000001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2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2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2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1"/>
      <c r="D151" s="1"/>
      <c r="E151" s="2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/>
      <c r="E152" s="2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/>
      <c r="E153" s="2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/>
      <c r="E154" s="2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/>
      <c r="E155" s="2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/>
      <c r="E156" s="2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/>
      <c r="E157" s="2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/>
      <c r="E158" s="2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/>
      <c r="E159" s="2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/>
      <c r="E160" s="2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/>
      <c r="E161" s="2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2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2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2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2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2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2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2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2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2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2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2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2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2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2"/>
      <c r="F175" s="1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2"/>
      <c r="F176" s="1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2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2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2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2"/>
      <c r="F180" s="1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2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2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2"/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2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2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2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2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2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2"/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2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2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2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2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2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2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2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2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2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2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2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2"/>
      <c r="F201" s="1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2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2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2"/>
      <c r="F204" s="1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2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2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2"/>
      <c r="F207" s="1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2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2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2"/>
      <c r="F210" s="1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2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2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2"/>
      <c r="F213" s="1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2"/>
      <c r="F214" s="1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2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2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2"/>
      <c r="F217" s="1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2"/>
      <c r="F218" s="1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2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2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2"/>
      <c r="F221" s="1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2"/>
      <c r="F222" s="1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2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2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2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2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2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2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2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2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2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2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2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2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2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2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2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2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2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2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2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2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2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2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2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2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2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2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2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2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2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2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2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2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2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2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2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2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2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2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2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2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2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2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2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2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2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2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2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2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2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2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2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2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2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2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2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2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2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2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2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2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2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2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2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2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2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2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2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2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2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2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2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2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2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2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2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2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2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2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2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2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2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2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2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2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2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2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2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2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2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2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2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2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2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2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2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2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2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2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2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2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2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2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2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2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2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2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2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2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2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2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2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2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2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2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2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2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2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2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2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2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2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2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2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2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2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2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2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2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2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2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2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2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2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2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2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2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2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2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2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2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2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2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2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2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2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2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2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2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2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2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2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2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2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2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2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2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2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2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2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2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2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2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2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2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2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2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2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2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2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2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2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2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2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2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2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2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2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2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2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2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2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2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2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2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2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2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2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2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2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2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2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2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2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2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2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2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2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2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2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2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2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2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2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2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2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2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2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2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2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2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2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2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2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2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2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2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2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2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2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2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2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2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2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2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2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2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2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2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2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2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2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2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2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2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2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2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2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2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2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2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2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2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2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2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2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2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2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2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2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2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2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2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2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2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2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2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2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2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2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2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2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2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2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2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2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2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2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2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2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2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2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2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2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2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2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2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2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2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2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2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2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2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2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2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2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2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2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2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2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2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2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2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2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2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2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2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2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2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2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2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2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2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2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2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2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2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2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2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2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2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2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2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2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2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2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2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2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2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2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2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2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2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2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2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2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2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2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2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2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2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2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2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2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2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2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2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2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2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2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2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2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2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2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2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2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2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2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2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2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2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2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2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2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2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2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2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2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2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2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2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2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2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2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2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2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2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2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2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2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2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2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2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2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2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2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2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2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2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2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2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2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2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2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2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2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2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2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2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2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2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2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2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2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2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2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2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2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2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2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2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2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2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2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2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2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2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2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2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2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2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2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2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2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2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2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2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2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2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2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2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2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2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2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2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2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2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2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2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2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2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2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2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2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2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2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2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2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2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2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2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2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2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2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2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2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2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2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2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2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2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2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2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2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2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2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2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2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2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2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2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2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2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2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2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2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2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2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2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2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2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2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2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2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2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2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2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2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2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2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2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2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2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2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2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2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2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2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2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2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2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2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2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2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2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2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2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2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2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2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2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2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2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2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2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2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2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2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2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2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2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2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2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2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2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2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2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2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2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2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2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2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2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2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2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2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2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2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2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2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2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2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2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2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2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2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2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2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2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2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2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2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2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2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2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2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2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2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2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2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2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2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2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2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2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2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2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2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2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2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2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2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2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2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2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2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2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2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2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2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2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2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2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2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2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2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2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2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2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2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2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2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2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2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2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2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2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2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2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2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2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2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2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2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2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2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2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2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2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2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2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2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2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2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2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2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2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2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2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2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2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2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2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2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2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2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2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2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2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2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2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2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2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2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2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2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2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2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2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2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2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2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2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2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2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2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2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2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2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2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2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2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2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2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2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2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2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2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2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2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2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2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2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2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2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2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2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2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2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2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2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2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2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2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2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2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2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2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2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2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2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2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2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2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2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2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2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2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2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2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2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2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2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2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2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2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2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2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2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2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2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2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2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2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2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2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2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2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2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2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2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2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2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2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2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2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2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2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2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2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2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2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2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2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2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2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2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2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2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2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2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2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2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2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2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2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2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2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2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2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2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2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2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2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2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2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2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2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2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2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2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2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2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2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2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2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2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2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2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2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2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2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2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2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2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2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2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2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2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2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2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2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2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2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2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2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2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2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2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2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2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2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2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2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2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2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2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2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2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365E4A-C335-4275-A3DB-D8CBF03FA397}">
          <x14:formula1>
            <xm:f>'Otros datos'!$B$17:$B$18</xm:f>
          </x14:formula1>
          <xm:sqref>E7:E147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 x14ac:dyDescent="0.2"/>
  <cols>
    <col min="1" max="1" width="10.125" customWidth="1"/>
    <col min="2" max="2" width="7.75" customWidth="1"/>
    <col min="3" max="3" width="35.25" customWidth="1"/>
    <col min="4" max="6" width="10.125" customWidth="1"/>
    <col min="7" max="26" width="9.375" customWidth="1"/>
  </cols>
  <sheetData>
    <row r="1" spans="1:26" ht="14.2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25" customHeight="1" x14ac:dyDescent="0.25">
      <c r="A3" s="12"/>
      <c r="B3" s="13" t="s">
        <v>202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 x14ac:dyDescent="0.25">
      <c r="A4" s="12"/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25">
      <c r="A5" s="12"/>
      <c r="B5" s="58" t="s">
        <v>203</v>
      </c>
      <c r="C5" s="15" t="s">
        <v>204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25">
      <c r="A6" s="12"/>
      <c r="B6" s="59"/>
      <c r="C6" s="15" t="s">
        <v>205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 x14ac:dyDescent="0.25">
      <c r="A7" s="12"/>
      <c r="B7" s="59"/>
      <c r="C7" s="15" t="s">
        <v>206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 x14ac:dyDescent="0.25">
      <c r="A8" s="12"/>
      <c r="B8" s="59"/>
      <c r="C8" s="16" t="s">
        <v>207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25" customHeight="1" x14ac:dyDescent="0.25">
      <c r="A9" s="12"/>
      <c r="B9" s="59"/>
      <c r="C9" s="15" t="s">
        <v>208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 x14ac:dyDescent="0.25">
      <c r="A10" s="12"/>
      <c r="B10" s="59"/>
      <c r="C10" s="15" t="s">
        <v>209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 x14ac:dyDescent="0.25">
      <c r="A11" s="12"/>
      <c r="B11" s="59"/>
      <c r="C11" s="15" t="s">
        <v>210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 x14ac:dyDescent="0.25">
      <c r="A12" s="12"/>
      <c r="B12" s="60"/>
      <c r="C12" s="15" t="s">
        <v>211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.2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.2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.2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.2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.2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.2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.2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.2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.2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.2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.2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.2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.2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.2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.2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.2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.2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.2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.2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.2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.2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.2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.2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.2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.2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.2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.2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.2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.2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.2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.2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.2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.2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.2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.2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.2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.2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.2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.2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.2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.2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.2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.2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.2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.2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.2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.2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.2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.2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.2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.2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.2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.2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.2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.2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.2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.2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.2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.2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.2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.2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.2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4.2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.2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4.2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4.2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4.2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.2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.2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.2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.2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.2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.2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.2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.2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.2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4.2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.2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.2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.2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.2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4.2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.2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.2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.2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.2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.2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.2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.2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.2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.2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.2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.2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.2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.2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.2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4.2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4.2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4.2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4.2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4.2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4.2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4.2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4.2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.2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4.2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4.2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4.2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4.2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4.2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4.2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4.2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4.2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4.2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4.2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4.2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4.2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4.2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4.2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4.2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4.2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4.2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4.2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4.2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4.2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4.2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4.2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4.2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4.2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4.2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4.2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4.2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4.2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4.2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4.2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4.2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4.2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4.2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4.2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4.2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4.2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4.2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4.2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4.2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4.2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4.2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4.2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4.2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4.2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4.2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4.2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4.2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4.2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4.2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4.2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4.2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4.2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4.2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4.2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4.2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4.2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4.2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4.2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.2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4.2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4.2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4.2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4.2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4.2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4.2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4.2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4.2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4.2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4.2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4.2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4.2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4.2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4.2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4.2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4.2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4.2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4.2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4.2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4.2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4.2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4.2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4.2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4.2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4.2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4.2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4.2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4.2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4.2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4.2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4.2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4.2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4.2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4.2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4.2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4.2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4.2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4.2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4.2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4.2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4.2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4.2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4.2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4.2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4.2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4.2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4.2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4.2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.2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4.2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4.2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4.2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4.2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4.2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4.2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4.2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4.2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4.2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4.2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4.2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4.2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4.2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4.2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4.2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4.2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4.2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4.2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4.2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4.2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4.2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4.2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4.2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4.2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4.2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4.2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4.2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4.2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4.2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4.2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4.2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4.2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4.2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4.2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4.2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4.2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4.2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4.2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4.2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4.2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4.2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4.2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4.2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4.2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4.2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4.2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4.2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4.2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4.2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4.2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4.2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4.2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4.2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4.2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4.2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4.2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4.2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4.2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4.2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4.2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4.2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4.2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4.2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4.2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4.2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4.2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4.2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4.2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4.2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4.2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4.2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4.2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4.2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4.2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4.2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4.2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4.2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4.2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4.2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4.2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4.2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4.2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4.2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4.2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4.2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4.2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4.2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4.2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4.2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4.2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4.2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4.2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4.2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.2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.2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.2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4.2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.2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4.2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4.2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4.2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4.2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.2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4.2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4.2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4.2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4.2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4.2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4.2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4.2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4.2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4.2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4.2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4.2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4.2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4.2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4.2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4.2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4.2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4.2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4.2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4.2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4.2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4.2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4.2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4.2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4.2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4.2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4.2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4.2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4.2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4.2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4.2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4.2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4.2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4.2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4.2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4.2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4.2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4.2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4.2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4.2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4.2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4.2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4.2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4.2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4.2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4.2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4.2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4.2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4.2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4.2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4.2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4.2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4.2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4.2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4.2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4.2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4.2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4.2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4.2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4.2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4.2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4.2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4.2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4.2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4.2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4.2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4.2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4.2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4.2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4.2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4.2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4.2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4.2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4.2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4.2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4.2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4.2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4.2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4.2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4.2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4.2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4.2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4.2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4.2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4.2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4.2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4.2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4.2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4.2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4.2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4.2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4.2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4.2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4.2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4.2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4.2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4.2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4.2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4.2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4.2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4.2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4.2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4.2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4.2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4.2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4.2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4.2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4.2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4.2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4.2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4.2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4.2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4.2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4.2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4.2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4.2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4.2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4.2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4.2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4.2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4.2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4.2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4.2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4.2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4.2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4.2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4.2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4.2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4.2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4.2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4.2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4.2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4.2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4.2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4.2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4.2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4.2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4.2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4.2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4.2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4.2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4.2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4.2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4.2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4.2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4.2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4.2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4.2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4.2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4.2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4.2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4.2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4.2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4.2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4.2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4.2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4.2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4.2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4.2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4.2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4.2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4.2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4.2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4.2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4.2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4.2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4.2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4.2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4.2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4.2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4.2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4.2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4.2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4.2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4.2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4.2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4.2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4.2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4.2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4.2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4.2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4.2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4.2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4.2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4.2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4.2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4.2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4.2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4.2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4.2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4.2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4.2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4.2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4.2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4.2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4.2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4.2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4.2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4.2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4.2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4.2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4.2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4.2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4.2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4.2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4.2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4.2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4.2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4.2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4.2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4.2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4.2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4.2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4.2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4.2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4.2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4.2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4.2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4.2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4.2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4.2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4.2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4.2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4.2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4.2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4.2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4.2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4.2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4.2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4.2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4.2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4.2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4.2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4.2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4.2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4.2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4.2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4.2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4.2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4.2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4.2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4.2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4.2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4.2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4.2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4.2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4.2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4.2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4.2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4.2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4.2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4.2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4.2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4.2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4.2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4.2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4.2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4.2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4.2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4.2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4.2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4.2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4.2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4.2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4.2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4.2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4.2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4.2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4.2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4.2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4.2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4.2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4.2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4.2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4.2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4.2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4.2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4.2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4.2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4.2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4.2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4.2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4.2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4.2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4.2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4.2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4.2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4.2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4.2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4.2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4.2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4.2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4.2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4.2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4.2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4.2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4.2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4.2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4.2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4.2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4.2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4.2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4.2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4.2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4.2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4.2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4.2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4.2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4.2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4.2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4.2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4.2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4.2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4.2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4.2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4.2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4.2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4.2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4.2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4.2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4.2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4.2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4.2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4.2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4.2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4.2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4.2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4.2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4.2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4.2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4.2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4.2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4.2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4.2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4.2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4.2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4.2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4.2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4.2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4.2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4.2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4.2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4.2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4.2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4.2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4.2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4.2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4.2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4.2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4.2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4.2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4.2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4.2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4.2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4.2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4.2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4.2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4.2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4.2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4.2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4.2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4.2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4.2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4.2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4.2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4.2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4.2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4.2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4.2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4.2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4.2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4.2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4.2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4.2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4.2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4.2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4.2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4.2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4.2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4.2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4.2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4.2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4.2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4.2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4.2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4.2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4.2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4.2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4.2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4.2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4.2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4.2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4.2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4.2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4.2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4.2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4.2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4.2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4.2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4.2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4.2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4.2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4.2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4.2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4.2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4.2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4.2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4.2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4.2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4.2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4.2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4.2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4.2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4.2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4.2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4.2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4.2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4.2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4.2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4.2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4.2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4.2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4.2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4.2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4.2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4.2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4.2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4.2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4.2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4.2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4.2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4.2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4.2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4.2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4.2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4.2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4.2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4.2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4.2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4.2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4.2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4.2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4.2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4.2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4.2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4.2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4.2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4.2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4.2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4.2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4.2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4.2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4.2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4.2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4.2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4.2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4.2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4.2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4.2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4.2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4.2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4.2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4.2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4.2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4.2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4.2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4.2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4.2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4.2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4.2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4.2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4.2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4.2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4.2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4.2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4.2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4.2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4.2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4.2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4.2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4.2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4.2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4.2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4.2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4.2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4.2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4.2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4.2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4.2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4.2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4.2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4.2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4.2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4.2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4.2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4.2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4.2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4.2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4.2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4.2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4.2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4.2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4.2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4.2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4.2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4.2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4.2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4.2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4.2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4.2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4.2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4.2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4.2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4.2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4.2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4.2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4.2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4.2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4.2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4.2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4.2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4.2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4.2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4.2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4.2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4.2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4.2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4.2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4.2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4.2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4.2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4.2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4.2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4.2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4.2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4.2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4.2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4.2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4.2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4.2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4.2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4.2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4.2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4.2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4.2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4.2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4.2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4.2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4.2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4.2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4.2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4.2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4.2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4.2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4.2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4.2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4.2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4.2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4.2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4.2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4.2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4.2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4.2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4.2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4.2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4.2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4.2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4.2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4.2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4.2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4.2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4.2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4.2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4.2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4.2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4.2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4.2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4.2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4.2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4.2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4.2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4.2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4.2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4.2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4.2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4.2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4.2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4.2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4.2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4.2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4.2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4.2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4.2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4.2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4.2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4.2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4.2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4.2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4.2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4.2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4.2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4.2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4.2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4.2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4.2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4.2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4.2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4.2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4.2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4.2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4.2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4.2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4.2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4.2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4.2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4.2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4.2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4.2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4.2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4.2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4.2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4.2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4.2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4.2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4.2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4.2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4.2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4.2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4.2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4.2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4.2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4.2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4.2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4.2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4.2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4.2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4.2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4.2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4.2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4.2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4.2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4.2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4.2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4.2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B5:B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:A9"/>
    </sheetView>
  </sheetViews>
  <sheetFormatPr defaultColWidth="12.625" defaultRowHeight="15" customHeight="1" x14ac:dyDescent="0.2"/>
  <cols>
    <col min="1" max="1" width="10.125" customWidth="1"/>
    <col min="2" max="2" width="46" customWidth="1"/>
    <col min="3" max="6" width="10.125" customWidth="1"/>
    <col min="7" max="26" width="9.375" customWidth="1"/>
  </cols>
  <sheetData>
    <row r="1" spans="1:26" ht="14.2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 x14ac:dyDescent="0.25">
      <c r="A2" s="12"/>
      <c r="B2" s="17" t="s">
        <v>212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25" customHeight="1" x14ac:dyDescent="0.25">
      <c r="A3" s="12">
        <v>1</v>
      </c>
      <c r="B3" s="14" t="s">
        <v>213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 x14ac:dyDescent="0.25">
      <c r="A4" s="12">
        <v>2</v>
      </c>
      <c r="B4" s="14" t="s">
        <v>214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25">
      <c r="A5" s="12">
        <v>3</v>
      </c>
      <c r="B5" s="14" t="s">
        <v>215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25">
      <c r="A6" s="12">
        <v>4</v>
      </c>
      <c r="B6" s="14" t="s">
        <v>216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 x14ac:dyDescent="0.25">
      <c r="A7" s="12">
        <v>5</v>
      </c>
      <c r="B7" s="14" t="s">
        <v>217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 x14ac:dyDescent="0.25">
      <c r="A8" s="12">
        <v>6</v>
      </c>
      <c r="B8" s="14" t="s">
        <v>218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25" customHeight="1" x14ac:dyDescent="0.25">
      <c r="A9" s="12">
        <v>7</v>
      </c>
      <c r="B9" s="14" t="s">
        <v>219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25" customHeight="1" x14ac:dyDescent="0.25">
      <c r="A10" s="12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4.2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.2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.2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.2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.2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.2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4.2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.2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.2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.2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.2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.2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.2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.2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.2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.2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.2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.2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.2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.2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.2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.2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.2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.2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.2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.2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.2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.2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.2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.2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.2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.2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.2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.2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.2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.2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.2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.2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.2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.2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.2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.2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4.2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.2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.2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.2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.2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.2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.2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.2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4.2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.2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.2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.2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.2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.2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.2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.2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.2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.2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.2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.2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4.2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.2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4.2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4.2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4.2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.2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.2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.2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.2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.2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.2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.2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.2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.2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4.2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.2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.2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.2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.2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4.2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.2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.2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.2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.2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.2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.2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.2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.2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.2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.2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.2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.2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.2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.2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4.2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4.2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4.2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4.2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4.2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4.2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4.2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4.2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.2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4.2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4.2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4.2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4.2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4.2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4.2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4.2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4.2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4.2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4.2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4.2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4.2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4.2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4.2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4.2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4.2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4.2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4.2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4.2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4.2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4.2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4.2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4.2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4.2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4.2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4.2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4.2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4.2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4.2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4.2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4.2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4.2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4.2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4.2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4.2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4.2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4.2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4.2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4.2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4.2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4.2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4.2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4.2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4.2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4.2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4.2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4.2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4.2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4.2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4.2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4.2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4.2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4.2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4.2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4.2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4.2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4.2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4.2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.2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4.2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4.2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4.2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4.2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4.2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4.2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4.2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4.2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4.2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4.2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4.2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4.2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4.2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4.2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4.2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4.2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4.2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4.2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4.2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4.2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4.2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4.2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4.2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4.2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4.2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4.2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4.2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4.2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4.2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4.2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4.2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4.2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4.2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4.2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4.2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4.2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4.2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4.2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4.2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4.2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4.2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4.2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4.2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4.2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4.2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4.2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4.2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4.2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.2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4.2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4.2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4.2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4.2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4.2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4.2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4.2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4.2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4.2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4.2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4.2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4.2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4.2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4.2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4.2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4.2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4.2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4.2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4.2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4.2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4.2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4.2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4.2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4.2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4.2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4.2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4.2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4.2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4.2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4.2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4.2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4.2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4.2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4.2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4.2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4.2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4.2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4.2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4.2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4.2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4.2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4.2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4.2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4.2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4.2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4.2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4.2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4.2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4.2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4.2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4.2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4.2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4.2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4.2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4.2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4.2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4.2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4.2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4.2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4.2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4.2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4.2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4.2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4.2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4.2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4.2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4.2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4.2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4.2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4.2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4.2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4.2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4.2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4.2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4.2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4.2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4.2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4.2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4.2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4.2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4.2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4.2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4.2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4.2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4.2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4.2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4.2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4.2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4.2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4.2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4.2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4.2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4.2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.2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.2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.2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4.2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.2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4.2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4.2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4.2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4.2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.2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4.2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4.2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4.2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4.2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4.2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4.2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4.2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4.2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4.2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4.2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4.2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4.2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4.2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4.2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4.2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4.2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4.2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4.2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4.2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4.2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4.2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4.2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4.2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4.2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4.2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4.2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4.2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4.2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4.2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4.2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4.2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4.2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4.2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4.2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4.2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4.2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4.2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4.2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4.2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4.2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4.2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4.2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4.2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4.2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4.2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4.2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4.2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4.2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4.2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4.2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4.2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4.2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4.2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4.2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4.2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4.2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4.2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4.2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4.2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4.2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4.2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4.2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4.2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4.2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4.2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4.2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4.2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4.2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4.2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4.2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4.2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4.2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4.2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4.2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4.2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4.2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4.2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4.2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4.2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4.2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4.2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4.2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4.2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4.2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4.2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4.2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4.2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4.2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4.2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4.2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4.2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4.2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4.2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4.2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4.2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4.2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4.2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4.2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4.2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4.2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4.2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4.2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4.2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4.2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4.2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4.2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4.2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4.2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4.2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4.2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4.2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4.2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4.2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4.2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4.2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4.2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4.2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4.2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4.2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4.2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4.2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4.2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4.2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4.2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4.2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4.2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4.2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4.2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4.2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4.2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4.2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4.2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4.2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4.2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4.2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4.2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4.2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4.2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4.2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4.2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4.2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4.2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4.2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4.2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4.2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4.2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4.2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4.2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4.2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4.2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4.2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4.2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4.2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4.2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4.2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4.2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4.2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4.2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4.2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4.2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4.2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4.2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4.2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4.2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4.2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4.2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4.2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4.2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4.2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4.2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4.2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4.2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4.2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4.2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4.2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4.2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4.2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4.2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4.2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4.2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4.2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4.2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4.2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4.2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4.2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4.2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4.2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4.2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4.2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4.2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4.2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4.2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4.2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4.2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4.2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4.2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4.2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4.2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4.2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4.2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4.2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4.2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4.2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4.2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4.2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4.2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4.2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4.2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4.2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4.2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4.2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4.2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4.2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4.2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4.2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4.2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4.2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4.2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4.2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4.2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4.2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4.2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4.2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4.2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4.2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4.2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4.2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4.2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4.2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4.2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4.2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4.2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4.2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4.2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4.2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4.2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4.2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4.2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4.2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4.2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4.2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4.2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4.2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4.2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4.2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4.2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4.2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4.2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4.2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4.2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4.2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4.2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4.2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4.2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4.2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4.2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4.2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4.2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4.2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4.2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4.2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4.2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4.2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4.2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4.2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4.2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4.2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4.2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4.2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4.2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4.2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4.2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4.2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4.2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4.2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4.2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4.2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4.2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4.2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4.2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4.2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4.2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4.2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4.2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4.2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4.2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4.2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4.2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4.2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4.2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4.2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4.2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4.2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4.2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4.2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4.2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4.2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4.2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4.2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4.2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4.2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4.2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4.2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4.2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4.2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4.2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4.2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4.2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4.2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4.2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4.2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4.2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4.2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4.2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4.2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4.2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4.2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4.2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4.2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4.2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4.2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4.2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4.2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4.2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4.2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4.2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4.2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4.2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4.2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4.2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4.2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4.2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4.2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4.2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4.2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4.2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4.2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4.2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4.2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4.2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4.2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4.2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4.2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4.2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4.2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4.2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4.2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4.2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4.2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4.2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4.2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4.2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4.2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4.2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4.2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4.2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4.2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4.2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4.2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4.2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4.2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4.2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4.2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4.2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4.2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4.2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4.2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4.2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4.2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4.2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4.2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4.2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4.2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4.2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4.2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4.2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4.2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4.2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4.2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4.2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4.2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4.2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4.2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4.2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4.2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4.2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4.2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4.2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4.2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4.2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4.2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4.2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4.2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4.2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4.2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4.2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4.2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4.2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4.2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4.2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4.2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4.2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4.2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4.2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4.2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4.2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4.2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4.2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4.2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4.2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4.2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4.2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4.2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4.2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4.2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4.2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4.2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4.2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4.2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4.2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4.2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4.2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4.2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4.2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4.2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4.2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4.2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4.2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4.2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4.2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4.2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4.2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4.2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4.2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4.2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4.2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4.2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4.2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4.2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4.2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4.2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4.2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4.2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4.2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4.2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4.2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4.2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4.2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4.2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4.2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4.2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4.2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4.2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4.2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4.2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4.2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4.2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4.2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4.2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4.2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4.2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4.2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4.2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4.2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4.2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4.2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4.2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4.2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4.2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4.2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4.2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4.2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4.2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4.2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4.2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4.2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4.2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4.2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4.2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4.2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4.2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4.2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4.2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4.2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4.2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4.2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4.2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4.2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4.2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4.2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4.2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4.2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4.2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4.2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4.2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4.2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4.2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4.2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4.2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4.2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4.2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4.2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4.2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4.2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4.2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4.2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4.2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4.2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4.2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4.2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4.2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4.2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4.2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4.2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4.2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4.2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4.2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4.2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4.2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4.2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4.2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4.2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4.2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4.2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4.2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4.2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4.2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4.2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4.2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4.2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4.2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4.2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4.2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4.2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4.2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4.2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4.2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4.2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4.2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4.2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4.2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4.2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4.2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4.2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4.2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4.2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4.2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4.2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4.2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4.2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4.2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4.2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4.2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4.2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4.2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4.2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4.2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4.2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4.2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4.2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4.2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4.2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4.2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4.2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4.2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4.2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4.2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4.2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4.2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4.2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4.2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4.2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4.2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4.2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4.2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4.2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4.2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4.2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4.2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4.2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4.2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4.2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4.2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4.2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4.2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4.2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4.2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4.2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4.2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4.2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4.2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4.2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4.2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4.2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4.2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4.2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4.2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4.2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4.2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4.2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4.2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4.2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4.2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4.2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4.2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4.2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4.2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4.2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4.2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4.2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4.2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4.2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4.2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4.2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4.2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4.2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4.2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4.2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4.2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4.2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4.2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4.2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4.2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4.2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4.2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4.2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4.2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4.2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4.2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4.2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4.2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4.2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4.2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4.2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4.2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4.2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4.2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4.2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4.2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4.2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4.2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4.25" customHeight="1" x14ac:dyDescent="0.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4.25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workbookViewId="0">
      <selection activeCell="D35" sqref="D35"/>
    </sheetView>
  </sheetViews>
  <sheetFormatPr defaultColWidth="12.625" defaultRowHeight="15" customHeight="1" x14ac:dyDescent="0.2"/>
  <cols>
    <col min="1" max="1" width="11.125" customWidth="1"/>
    <col min="2" max="2" width="5.5" customWidth="1"/>
    <col min="3" max="3" width="15.25" customWidth="1"/>
    <col min="4" max="4" width="31.5" customWidth="1"/>
    <col min="5" max="5" width="9.375" customWidth="1"/>
    <col min="6" max="6" width="9.375" hidden="1" customWidth="1"/>
    <col min="7" max="26" width="9.375" customWidth="1"/>
  </cols>
  <sheetData>
    <row r="1" spans="1:10" ht="14.25" customHeight="1" x14ac:dyDescent="0.2"/>
    <row r="2" spans="1:10" ht="14.25" customHeight="1" x14ac:dyDescent="0.25">
      <c r="B2" s="13" t="s">
        <v>223</v>
      </c>
    </row>
    <row r="3" spans="1:10" ht="14.25" customHeight="1" x14ac:dyDescent="0.2"/>
    <row r="4" spans="1:10" ht="14.25" customHeight="1" x14ac:dyDescent="0.2"/>
    <row r="5" spans="1:10" ht="30" customHeight="1" x14ac:dyDescent="0.25">
      <c r="A5" s="18" t="s">
        <v>224</v>
      </c>
      <c r="B5" s="21" t="s">
        <v>225</v>
      </c>
      <c r="C5" s="21" t="s">
        <v>226</v>
      </c>
      <c r="D5" s="21" t="s">
        <v>227</v>
      </c>
      <c r="E5" s="21" t="s">
        <v>228</v>
      </c>
      <c r="J5" s="86"/>
    </row>
    <row r="6" spans="1:10" ht="14.25" customHeight="1" x14ac:dyDescent="0.25">
      <c r="B6" s="22" t="s">
        <v>229</v>
      </c>
      <c r="C6" s="23" t="s">
        <v>203</v>
      </c>
      <c r="D6" s="24" t="s">
        <v>230</v>
      </c>
      <c r="E6" s="25">
        <v>0.1666</v>
      </c>
      <c r="F6" s="18">
        <f t="shared" ref="F6:F11" si="0">ROUND($A$11*E6,2)</f>
        <v>0.33</v>
      </c>
    </row>
    <row r="7" spans="1:10" ht="14.25" customHeight="1" x14ac:dyDescent="0.25">
      <c r="B7" s="22" t="s">
        <v>229</v>
      </c>
      <c r="C7" s="23" t="s">
        <v>203</v>
      </c>
      <c r="D7" s="24" t="s">
        <v>231</v>
      </c>
      <c r="E7" s="25">
        <v>0.1666</v>
      </c>
      <c r="F7" s="18">
        <f t="shared" si="0"/>
        <v>0.33</v>
      </c>
    </row>
    <row r="8" spans="1:10" ht="14.25" customHeight="1" x14ac:dyDescent="0.25">
      <c r="B8" s="22" t="s">
        <v>229</v>
      </c>
      <c r="C8" s="23" t="s">
        <v>203</v>
      </c>
      <c r="D8" s="24" t="s">
        <v>232</v>
      </c>
      <c r="E8" s="25">
        <v>0.16700000000000001</v>
      </c>
      <c r="F8" s="18">
        <f t="shared" si="0"/>
        <v>0.33</v>
      </c>
    </row>
    <row r="9" spans="1:10" ht="14.25" customHeight="1" x14ac:dyDescent="0.25">
      <c r="B9" s="22" t="s">
        <v>229</v>
      </c>
      <c r="C9" s="23" t="s">
        <v>203</v>
      </c>
      <c r="D9" s="24" t="s">
        <v>233</v>
      </c>
      <c r="E9" s="25">
        <v>0.1666</v>
      </c>
      <c r="F9" s="18">
        <f t="shared" si="0"/>
        <v>0.33</v>
      </c>
    </row>
    <row r="10" spans="1:10" ht="14.25" customHeight="1" x14ac:dyDescent="0.25">
      <c r="B10" s="22" t="s">
        <v>229</v>
      </c>
      <c r="C10" s="23" t="s">
        <v>203</v>
      </c>
      <c r="D10" s="24" t="s">
        <v>234</v>
      </c>
      <c r="E10" s="25">
        <v>0.1666</v>
      </c>
      <c r="F10" s="18">
        <f t="shared" si="0"/>
        <v>0.33</v>
      </c>
    </row>
    <row r="11" spans="1:10" ht="14.25" customHeight="1" x14ac:dyDescent="0.25">
      <c r="A11" s="19">
        <f>+Plantilla!C7</f>
        <v>2</v>
      </c>
      <c r="B11" s="22" t="s">
        <v>229</v>
      </c>
      <c r="C11" s="23" t="s">
        <v>203</v>
      </c>
      <c r="D11" s="24" t="s">
        <v>235</v>
      </c>
      <c r="E11" s="25">
        <v>0.1666</v>
      </c>
      <c r="F11" s="18">
        <f t="shared" si="0"/>
        <v>0.33</v>
      </c>
    </row>
    <row r="12" spans="1:10" ht="14.25" customHeight="1" x14ac:dyDescent="0.25">
      <c r="B12" s="26" t="s">
        <v>236</v>
      </c>
      <c r="C12" s="27" t="s">
        <v>237</v>
      </c>
      <c r="D12" s="28" t="s">
        <v>238</v>
      </c>
      <c r="E12" s="29">
        <v>0.01</v>
      </c>
      <c r="F12" s="18">
        <f t="shared" ref="F12:F24" si="1">ROUND($A$24*E12,2)</f>
        <v>0.08</v>
      </c>
    </row>
    <row r="13" spans="1:10" ht="14.25" customHeight="1" x14ac:dyDescent="0.25">
      <c r="B13" s="26" t="s">
        <v>236</v>
      </c>
      <c r="C13" s="27" t="s">
        <v>237</v>
      </c>
      <c r="D13" s="30" t="s">
        <v>239</v>
      </c>
      <c r="E13" s="29">
        <v>0.11</v>
      </c>
      <c r="F13" s="18">
        <f t="shared" si="1"/>
        <v>0.83</v>
      </c>
    </row>
    <row r="14" spans="1:10" ht="14.25" customHeight="1" x14ac:dyDescent="0.25">
      <c r="B14" s="26" t="s">
        <v>236</v>
      </c>
      <c r="C14" s="27" t="s">
        <v>237</v>
      </c>
      <c r="D14" s="30" t="s">
        <v>240</v>
      </c>
      <c r="E14" s="29">
        <v>0.03</v>
      </c>
      <c r="F14" s="18">
        <f t="shared" si="1"/>
        <v>0.23</v>
      </c>
    </row>
    <row r="15" spans="1:10" ht="14.25" customHeight="1" x14ac:dyDescent="0.25">
      <c r="B15" s="26" t="s">
        <v>236</v>
      </c>
      <c r="C15" s="27" t="s">
        <v>237</v>
      </c>
      <c r="D15" s="30" t="s">
        <v>241</v>
      </c>
      <c r="E15" s="29">
        <v>0.03</v>
      </c>
      <c r="F15" s="18">
        <f t="shared" si="1"/>
        <v>0.23</v>
      </c>
    </row>
    <row r="16" spans="1:10" ht="14.25" customHeight="1" x14ac:dyDescent="0.25">
      <c r="B16" s="26" t="s">
        <v>236</v>
      </c>
      <c r="C16" s="27" t="s">
        <v>237</v>
      </c>
      <c r="D16" s="30" t="s">
        <v>242</v>
      </c>
      <c r="E16" s="29">
        <v>7.0000000000000007E-2</v>
      </c>
      <c r="F16" s="18">
        <f t="shared" si="1"/>
        <v>0.53</v>
      </c>
    </row>
    <row r="17" spans="1:6" ht="14.25" customHeight="1" x14ac:dyDescent="0.25">
      <c r="B17" s="26" t="s">
        <v>236</v>
      </c>
      <c r="C17" s="27" t="s">
        <v>237</v>
      </c>
      <c r="D17" s="30" t="s">
        <v>243</v>
      </c>
      <c r="E17" s="29">
        <v>0.05</v>
      </c>
      <c r="F17" s="18">
        <f t="shared" si="1"/>
        <v>0.38</v>
      </c>
    </row>
    <row r="18" spans="1:6" ht="14.25" customHeight="1" x14ac:dyDescent="0.25">
      <c r="B18" s="26" t="s">
        <v>236</v>
      </c>
      <c r="C18" s="27" t="s">
        <v>237</v>
      </c>
      <c r="D18" s="30" t="s">
        <v>244</v>
      </c>
      <c r="E18" s="29">
        <v>0.1</v>
      </c>
      <c r="F18" s="18">
        <f t="shared" si="1"/>
        <v>0.76</v>
      </c>
    </row>
    <row r="19" spans="1:6" ht="14.25" customHeight="1" x14ac:dyDescent="0.25">
      <c r="B19" s="26" t="s">
        <v>236</v>
      </c>
      <c r="C19" s="27" t="s">
        <v>237</v>
      </c>
      <c r="D19" s="30" t="s">
        <v>245</v>
      </c>
      <c r="E19" s="29">
        <v>0.14000000000000001</v>
      </c>
      <c r="F19" s="18">
        <f t="shared" si="1"/>
        <v>1.06</v>
      </c>
    </row>
    <row r="20" spans="1:6" ht="14.25" customHeight="1" x14ac:dyDescent="0.25">
      <c r="B20" s="26" t="s">
        <v>236</v>
      </c>
      <c r="C20" s="27" t="s">
        <v>237</v>
      </c>
      <c r="D20" s="30" t="s">
        <v>246</v>
      </c>
      <c r="E20" s="29">
        <v>0.04</v>
      </c>
      <c r="F20" s="18">
        <f t="shared" si="1"/>
        <v>0.3</v>
      </c>
    </row>
    <row r="21" spans="1:6" ht="14.25" customHeight="1" x14ac:dyDescent="0.25">
      <c r="B21" s="26" t="s">
        <v>236</v>
      </c>
      <c r="C21" s="27" t="s">
        <v>237</v>
      </c>
      <c r="D21" s="30" t="s">
        <v>247</v>
      </c>
      <c r="E21" s="29">
        <v>0.03</v>
      </c>
      <c r="F21" s="18">
        <f t="shared" si="1"/>
        <v>0.23</v>
      </c>
    </row>
    <row r="22" spans="1:6" ht="14.25" customHeight="1" x14ac:dyDescent="0.25">
      <c r="B22" s="26" t="s">
        <v>236</v>
      </c>
      <c r="C22" s="27" t="s">
        <v>237</v>
      </c>
      <c r="D22" s="30" t="s">
        <v>248</v>
      </c>
      <c r="E22" s="29">
        <v>0.17</v>
      </c>
      <c r="F22" s="18">
        <f t="shared" si="1"/>
        <v>1.29</v>
      </c>
    </row>
    <row r="23" spans="1:6" ht="14.25" customHeight="1" x14ac:dyDescent="0.25">
      <c r="B23" s="26" t="s">
        <v>236</v>
      </c>
      <c r="C23" s="27" t="s">
        <v>237</v>
      </c>
      <c r="D23" s="30" t="s">
        <v>249</v>
      </c>
      <c r="E23" s="29">
        <v>0.08</v>
      </c>
      <c r="F23" s="18">
        <f t="shared" si="1"/>
        <v>0.61</v>
      </c>
    </row>
    <row r="24" spans="1:6" ht="14.25" customHeight="1" x14ac:dyDescent="0.25">
      <c r="A24" s="19">
        <f>+Plantilla!C6</f>
        <v>7.5877499999999998</v>
      </c>
      <c r="B24" s="26" t="s">
        <v>236</v>
      </c>
      <c r="C24" s="27" t="s">
        <v>237</v>
      </c>
      <c r="D24" s="30" t="s">
        <v>250</v>
      </c>
      <c r="E24" s="29">
        <v>0.14000000000000001</v>
      </c>
      <c r="F24" s="18">
        <f t="shared" si="1"/>
        <v>1.06</v>
      </c>
    </row>
    <row r="25" spans="1:6" ht="22.5" customHeight="1" x14ac:dyDescent="0.25">
      <c r="B25" s="22" t="s">
        <v>251</v>
      </c>
      <c r="C25" s="23" t="s">
        <v>252</v>
      </c>
      <c r="D25" s="24" t="s">
        <v>238</v>
      </c>
      <c r="E25" s="25">
        <v>0.1</v>
      </c>
      <c r="F25" s="18">
        <f t="shared" ref="F25:F33" si="2">ROUND($A$33*E25,2)</f>
        <v>0.1</v>
      </c>
    </row>
    <row r="26" spans="1:6" ht="21.75" customHeight="1" x14ac:dyDescent="0.25">
      <c r="B26" s="22" t="s">
        <v>251</v>
      </c>
      <c r="C26" s="23" t="s">
        <v>252</v>
      </c>
      <c r="D26" s="24" t="s">
        <v>253</v>
      </c>
      <c r="E26" s="25">
        <v>0.57499999999999996</v>
      </c>
      <c r="F26" s="18">
        <f t="shared" si="2"/>
        <v>0.57999999999999996</v>
      </c>
    </row>
    <row r="27" spans="1:6" ht="20.25" customHeight="1" x14ac:dyDescent="0.25">
      <c r="B27" s="22" t="s">
        <v>251</v>
      </c>
      <c r="C27" s="23" t="s">
        <v>252</v>
      </c>
      <c r="D27" s="24" t="s">
        <v>254</v>
      </c>
      <c r="E27" s="25">
        <v>1.4999999999999999E-2</v>
      </c>
      <c r="F27" s="18">
        <f t="shared" si="2"/>
        <v>0.02</v>
      </c>
    </row>
    <row r="28" spans="1:6" ht="24" customHeight="1" x14ac:dyDescent="0.25">
      <c r="B28" s="22" t="s">
        <v>251</v>
      </c>
      <c r="C28" s="23" t="s">
        <v>252</v>
      </c>
      <c r="D28" s="24" t="s">
        <v>255</v>
      </c>
      <c r="E28" s="25">
        <v>2.5000000000000001E-2</v>
      </c>
      <c r="F28" s="18">
        <f t="shared" si="2"/>
        <v>0.03</v>
      </c>
    </row>
    <row r="29" spans="1:6" ht="14.25" customHeight="1" x14ac:dyDescent="0.25">
      <c r="B29" s="22" t="s">
        <v>251</v>
      </c>
      <c r="C29" s="23" t="s">
        <v>252</v>
      </c>
      <c r="D29" s="31" t="s">
        <v>256</v>
      </c>
      <c r="E29" s="25">
        <v>0.17499999999999999</v>
      </c>
      <c r="F29" s="18">
        <f t="shared" si="2"/>
        <v>0.18</v>
      </c>
    </row>
    <row r="30" spans="1:6" ht="14.25" customHeight="1" x14ac:dyDescent="0.25">
      <c r="B30" s="22" t="s">
        <v>251</v>
      </c>
      <c r="C30" s="23" t="s">
        <v>252</v>
      </c>
      <c r="D30" s="24" t="s">
        <v>257</v>
      </c>
      <c r="E30" s="25">
        <v>5.0000000000000001E-3</v>
      </c>
      <c r="F30" s="18">
        <f t="shared" si="2"/>
        <v>0.01</v>
      </c>
    </row>
    <row r="31" spans="1:6" ht="14.25" customHeight="1" x14ac:dyDescent="0.25">
      <c r="B31" s="22" t="s">
        <v>251</v>
      </c>
      <c r="C31" s="23" t="s">
        <v>252</v>
      </c>
      <c r="D31" s="24" t="s">
        <v>258</v>
      </c>
      <c r="E31" s="25">
        <v>0.05</v>
      </c>
      <c r="F31" s="18">
        <f t="shared" si="2"/>
        <v>0.05</v>
      </c>
    </row>
    <row r="32" spans="1:6" ht="14.25" customHeight="1" x14ac:dyDescent="0.25">
      <c r="B32" s="22" t="s">
        <v>251</v>
      </c>
      <c r="C32" s="23" t="s">
        <v>252</v>
      </c>
      <c r="D32" s="24" t="s">
        <v>259</v>
      </c>
      <c r="E32" s="25">
        <v>3.5000000000000003E-2</v>
      </c>
      <c r="F32" s="18">
        <f t="shared" si="2"/>
        <v>0.04</v>
      </c>
    </row>
    <row r="33" spans="1:6" ht="14.25" customHeight="1" x14ac:dyDescent="0.25">
      <c r="A33" s="19">
        <f>+Plantilla!C3</f>
        <v>1</v>
      </c>
      <c r="B33" s="22" t="s">
        <v>251</v>
      </c>
      <c r="C33" s="23" t="s">
        <v>252</v>
      </c>
      <c r="D33" s="31" t="s">
        <v>260</v>
      </c>
      <c r="E33" s="25">
        <v>0.02</v>
      </c>
      <c r="F33" s="18">
        <f t="shared" si="2"/>
        <v>0.02</v>
      </c>
    </row>
    <row r="34" spans="1:6" ht="14.25" customHeight="1" x14ac:dyDescent="0.25">
      <c r="B34" s="26" t="s">
        <v>261</v>
      </c>
      <c r="C34" s="27" t="s">
        <v>262</v>
      </c>
      <c r="D34" s="28" t="s">
        <v>238</v>
      </c>
      <c r="E34" s="25">
        <v>2.8571428571428574E-2</v>
      </c>
      <c r="F34" s="18">
        <f t="shared" ref="F34:F37" si="3">ROUND($A$37*E34,2)</f>
        <v>0.24</v>
      </c>
    </row>
    <row r="35" spans="1:6" ht="14.25" customHeight="1" x14ac:dyDescent="0.25">
      <c r="B35" s="26" t="s">
        <v>261</v>
      </c>
      <c r="C35" s="27" t="s">
        <v>262</v>
      </c>
      <c r="D35" s="30" t="s">
        <v>263</v>
      </c>
      <c r="E35" s="25">
        <v>7.1428571428571435E-3</v>
      </c>
      <c r="F35" s="18">
        <f t="shared" si="3"/>
        <v>0.06</v>
      </c>
    </row>
    <row r="36" spans="1:6" ht="14.25" customHeight="1" x14ac:dyDescent="0.25">
      <c r="B36" s="26" t="s">
        <v>261</v>
      </c>
      <c r="C36" s="27" t="s">
        <v>262</v>
      </c>
      <c r="D36" s="30" t="s">
        <v>264</v>
      </c>
      <c r="E36" s="25">
        <v>0.56428571428571428</v>
      </c>
      <c r="F36" s="18">
        <f t="shared" si="3"/>
        <v>4.84</v>
      </c>
    </row>
    <row r="37" spans="1:6" ht="14.25" customHeight="1" x14ac:dyDescent="0.25">
      <c r="A37" s="19">
        <f>+Plantilla!C4</f>
        <v>8.5694166666666671</v>
      </c>
      <c r="B37" s="26" t="s">
        <v>261</v>
      </c>
      <c r="C37" s="27" t="s">
        <v>262</v>
      </c>
      <c r="D37" s="30" t="s">
        <v>265</v>
      </c>
      <c r="E37" s="25">
        <v>0.39999999999999997</v>
      </c>
      <c r="F37" s="18">
        <f t="shared" si="3"/>
        <v>3.43</v>
      </c>
    </row>
    <row r="38" spans="1:6" ht="14.25" customHeight="1" x14ac:dyDescent="0.25">
      <c r="B38" s="22" t="s">
        <v>266</v>
      </c>
      <c r="C38" s="23" t="s">
        <v>267</v>
      </c>
      <c r="D38" s="24" t="s">
        <v>238</v>
      </c>
      <c r="E38" s="25">
        <v>7.4999999999999997E-2</v>
      </c>
      <c r="F38" s="18">
        <f t="shared" ref="F38:F42" si="4">ROUND($A$42*E38,2)</f>
        <v>0.28999999999999998</v>
      </c>
    </row>
    <row r="39" spans="1:6" ht="14.25" customHeight="1" x14ac:dyDescent="0.25">
      <c r="B39" s="22" t="s">
        <v>266</v>
      </c>
      <c r="C39" s="23" t="s">
        <v>267</v>
      </c>
      <c r="D39" s="31" t="s">
        <v>268</v>
      </c>
      <c r="E39" s="25">
        <v>5.8299999999999998E-2</v>
      </c>
      <c r="F39" s="18">
        <f t="shared" si="4"/>
        <v>0.23</v>
      </c>
    </row>
    <row r="40" spans="1:6" ht="14.25" customHeight="1" x14ac:dyDescent="0.25">
      <c r="B40" s="22" t="s">
        <v>266</v>
      </c>
      <c r="C40" s="23" t="s">
        <v>267</v>
      </c>
      <c r="D40" s="31" t="s">
        <v>269</v>
      </c>
      <c r="E40" s="25">
        <v>0.25829999999999997</v>
      </c>
      <c r="F40" s="18">
        <f t="shared" si="4"/>
        <v>1</v>
      </c>
    </row>
    <row r="41" spans="1:6" ht="14.25" customHeight="1" x14ac:dyDescent="0.25">
      <c r="B41" s="22" t="s">
        <v>266</v>
      </c>
      <c r="C41" s="23" t="s">
        <v>267</v>
      </c>
      <c r="D41" s="31" t="s">
        <v>270</v>
      </c>
      <c r="E41" s="25">
        <v>0.25</v>
      </c>
      <c r="F41" s="18">
        <f t="shared" si="4"/>
        <v>0.97</v>
      </c>
    </row>
    <row r="42" spans="1:6" ht="14.25" customHeight="1" x14ac:dyDescent="0.25">
      <c r="A42" s="19">
        <f>+Plantilla!C9</f>
        <v>3.8764166666666662</v>
      </c>
      <c r="B42" s="22" t="s">
        <v>266</v>
      </c>
      <c r="C42" s="23" t="s">
        <v>267</v>
      </c>
      <c r="D42" s="31" t="s">
        <v>271</v>
      </c>
      <c r="E42" s="25">
        <v>0.3584</v>
      </c>
      <c r="F42" s="18">
        <f t="shared" si="4"/>
        <v>1.39</v>
      </c>
    </row>
    <row r="43" spans="1:6" ht="14.25" customHeight="1" x14ac:dyDescent="0.25">
      <c r="B43" s="26" t="s">
        <v>272</v>
      </c>
      <c r="C43" s="27" t="s">
        <v>273</v>
      </c>
      <c r="D43" s="28" t="s">
        <v>238</v>
      </c>
      <c r="E43" s="25">
        <v>0.01</v>
      </c>
      <c r="F43" s="18">
        <f t="shared" ref="F43:F51" si="5">ROUND($A$51*E43,2)</f>
        <v>0.01</v>
      </c>
    </row>
    <row r="44" spans="1:6" ht="14.25" customHeight="1" x14ac:dyDescent="0.25">
      <c r="B44" s="26" t="s">
        <v>272</v>
      </c>
      <c r="C44" s="27" t="s">
        <v>273</v>
      </c>
      <c r="D44" s="30" t="s">
        <v>274</v>
      </c>
      <c r="E44" s="25">
        <v>0.05</v>
      </c>
      <c r="F44" s="18">
        <f t="shared" si="5"/>
        <v>0.05</v>
      </c>
    </row>
    <row r="45" spans="1:6" ht="14.25" customHeight="1" x14ac:dyDescent="0.25">
      <c r="B45" s="26" t="s">
        <v>272</v>
      </c>
      <c r="C45" s="27" t="s">
        <v>273</v>
      </c>
      <c r="D45" s="30" t="s">
        <v>275</v>
      </c>
      <c r="E45" s="25">
        <v>0.17399999999999999</v>
      </c>
      <c r="F45" s="18">
        <f t="shared" si="5"/>
        <v>0.17</v>
      </c>
    </row>
    <row r="46" spans="1:6" ht="14.25" customHeight="1" x14ac:dyDescent="0.25">
      <c r="B46" s="26" t="s">
        <v>272</v>
      </c>
      <c r="C46" s="27" t="s">
        <v>273</v>
      </c>
      <c r="D46" s="30" t="s">
        <v>276</v>
      </c>
      <c r="E46" s="25">
        <v>0.17399999999999999</v>
      </c>
      <c r="F46" s="18">
        <f t="shared" si="5"/>
        <v>0.17</v>
      </c>
    </row>
    <row r="47" spans="1:6" ht="14.25" customHeight="1" x14ac:dyDescent="0.25">
      <c r="B47" s="26" t="s">
        <v>272</v>
      </c>
      <c r="C47" s="27" t="s">
        <v>273</v>
      </c>
      <c r="D47" s="30" t="s">
        <v>277</v>
      </c>
      <c r="E47" s="25">
        <v>0.17399999999999999</v>
      </c>
      <c r="F47" s="18">
        <f t="shared" si="5"/>
        <v>0.17</v>
      </c>
    </row>
    <row r="48" spans="1:6" ht="14.25" customHeight="1" x14ac:dyDescent="0.25">
      <c r="B48" s="26" t="s">
        <v>272</v>
      </c>
      <c r="C48" s="27" t="s">
        <v>273</v>
      </c>
      <c r="D48" s="30" t="s">
        <v>278</v>
      </c>
      <c r="E48" s="25">
        <v>0.17399999999999999</v>
      </c>
      <c r="F48" s="18">
        <f t="shared" si="5"/>
        <v>0.17</v>
      </c>
    </row>
    <row r="49" spans="1:6" ht="14.25" customHeight="1" x14ac:dyDescent="0.25">
      <c r="B49" s="26" t="s">
        <v>272</v>
      </c>
      <c r="C49" s="27" t="s">
        <v>273</v>
      </c>
      <c r="D49" s="30" t="s">
        <v>279</v>
      </c>
      <c r="E49" s="25">
        <v>0.17399999999999999</v>
      </c>
      <c r="F49" s="18">
        <f t="shared" si="5"/>
        <v>0.17</v>
      </c>
    </row>
    <row r="50" spans="1:6" ht="14.25" customHeight="1" x14ac:dyDescent="0.25">
      <c r="B50" s="26" t="s">
        <v>272</v>
      </c>
      <c r="C50" s="27" t="s">
        <v>273</v>
      </c>
      <c r="D50" s="30" t="s">
        <v>280</v>
      </c>
      <c r="E50" s="25">
        <v>0.05</v>
      </c>
      <c r="F50" s="18">
        <f t="shared" si="5"/>
        <v>0.05</v>
      </c>
    </row>
    <row r="51" spans="1:6" ht="14.25" customHeight="1" x14ac:dyDescent="0.25">
      <c r="A51" s="19">
        <f>+Plantilla!C10</f>
        <v>1</v>
      </c>
      <c r="B51" s="26" t="s">
        <v>272</v>
      </c>
      <c r="C51" s="27" t="s">
        <v>273</v>
      </c>
      <c r="D51" s="30" t="s">
        <v>281</v>
      </c>
      <c r="E51" s="25">
        <v>0.02</v>
      </c>
      <c r="F51" s="18">
        <f t="shared" si="5"/>
        <v>0.02</v>
      </c>
    </row>
    <row r="52" spans="1:6" ht="14.25" customHeight="1" x14ac:dyDescent="0.25">
      <c r="B52" s="22" t="s">
        <v>282</v>
      </c>
      <c r="C52" s="23" t="s">
        <v>218</v>
      </c>
      <c r="D52" s="31" t="s">
        <v>283</v>
      </c>
      <c r="E52" s="25">
        <v>0.05</v>
      </c>
      <c r="F52" s="18">
        <f t="shared" ref="F52:F54" si="6">ROUND($A$54*E52,2)</f>
        <v>0.05</v>
      </c>
    </row>
    <row r="53" spans="1:6" ht="14.25" customHeight="1" x14ac:dyDescent="0.25">
      <c r="B53" s="22" t="s">
        <v>282</v>
      </c>
      <c r="C53" s="23" t="s">
        <v>218</v>
      </c>
      <c r="D53" s="31" t="s">
        <v>284</v>
      </c>
      <c r="E53" s="25">
        <v>0.1</v>
      </c>
      <c r="F53" s="18">
        <f t="shared" si="6"/>
        <v>0.1</v>
      </c>
    </row>
    <row r="54" spans="1:6" ht="14.25" customHeight="1" x14ac:dyDescent="0.25">
      <c r="A54" s="19">
        <f>+Plantilla!C8</f>
        <v>1</v>
      </c>
      <c r="B54" s="22" t="s">
        <v>282</v>
      </c>
      <c r="C54" s="23" t="s">
        <v>218</v>
      </c>
      <c r="D54" s="31" t="s">
        <v>285</v>
      </c>
      <c r="E54" s="25">
        <v>0.85</v>
      </c>
      <c r="F54" s="18">
        <f t="shared" si="6"/>
        <v>0.85</v>
      </c>
    </row>
    <row r="55" spans="1:6" ht="14.25" customHeight="1" x14ac:dyDescent="0.25">
      <c r="B55" s="26" t="s">
        <v>286</v>
      </c>
      <c r="C55" s="27" t="s">
        <v>287</v>
      </c>
      <c r="D55" s="30" t="s">
        <v>238</v>
      </c>
      <c r="E55" s="25">
        <v>0.05</v>
      </c>
      <c r="F55" s="18">
        <f t="shared" ref="F55:F58" si="7">ROUND($A$58*E55,2)</f>
        <v>0.05</v>
      </c>
    </row>
    <row r="56" spans="1:6" ht="14.25" customHeight="1" x14ac:dyDescent="0.25">
      <c r="B56" s="26" t="s">
        <v>286</v>
      </c>
      <c r="C56" s="27" t="s">
        <v>287</v>
      </c>
      <c r="D56" s="30" t="s">
        <v>288</v>
      </c>
      <c r="E56" s="25">
        <v>0.65</v>
      </c>
      <c r="F56" s="18">
        <f t="shared" si="7"/>
        <v>0.65</v>
      </c>
    </row>
    <row r="57" spans="1:6" ht="14.25" customHeight="1" x14ac:dyDescent="0.25">
      <c r="B57" s="26" t="s">
        <v>286</v>
      </c>
      <c r="C57" s="27" t="s">
        <v>287</v>
      </c>
      <c r="D57" s="30" t="s">
        <v>289</v>
      </c>
      <c r="E57" s="25">
        <v>0.2</v>
      </c>
      <c r="F57" s="18">
        <f t="shared" si="7"/>
        <v>0.2</v>
      </c>
    </row>
    <row r="58" spans="1:6" ht="14.25" customHeight="1" x14ac:dyDescent="0.25">
      <c r="A58" s="19">
        <f>+Plantilla!C5</f>
        <v>1</v>
      </c>
      <c r="B58" s="26" t="s">
        <v>286</v>
      </c>
      <c r="C58" s="27" t="s">
        <v>287</v>
      </c>
      <c r="D58" s="30" t="s">
        <v>290</v>
      </c>
      <c r="E58" s="25">
        <v>0.1</v>
      </c>
      <c r="F58" s="18">
        <f t="shared" si="7"/>
        <v>0.1</v>
      </c>
    </row>
    <row r="59" spans="1:6" ht="14.25" customHeight="1" x14ac:dyDescent="0.25">
      <c r="A59" s="32">
        <f>SUM(A6:A58)</f>
        <v>26.033583333333336</v>
      </c>
      <c r="F59" s="18">
        <f>SUM(F6:F58)</f>
        <v>26.030000000000012</v>
      </c>
    </row>
    <row r="60" spans="1:6" ht="14.25" customHeight="1" x14ac:dyDescent="0.2">
      <c r="B60" s="33"/>
      <c r="C60" s="34"/>
      <c r="D60" s="34"/>
      <c r="E60" s="34"/>
    </row>
    <row r="61" spans="1:6" ht="14.25" customHeight="1" x14ac:dyDescent="0.2">
      <c r="B61" s="35"/>
      <c r="C61" s="36"/>
      <c r="D61" s="36"/>
      <c r="E61" s="36"/>
    </row>
    <row r="62" spans="1:6" ht="14.25" customHeight="1" x14ac:dyDescent="0.2">
      <c r="B62" s="35"/>
      <c r="C62" s="36"/>
      <c r="D62" s="36"/>
      <c r="E62" s="36"/>
    </row>
    <row r="63" spans="1:6" ht="14.25" customHeight="1" x14ac:dyDescent="0.2">
      <c r="B63" s="35"/>
      <c r="C63" s="36"/>
      <c r="D63" s="36"/>
      <c r="E63" s="36"/>
    </row>
    <row r="64" spans="1:6" ht="14.25" customHeight="1" x14ac:dyDescent="0.2">
      <c r="B64" s="35"/>
      <c r="C64" s="36"/>
      <c r="D64" s="36"/>
      <c r="E64" s="36"/>
    </row>
    <row r="65" spans="2:5" ht="14.25" customHeight="1" x14ac:dyDescent="0.2">
      <c r="B65" s="35"/>
      <c r="C65" s="36"/>
      <c r="D65" s="36"/>
      <c r="E65" s="36"/>
    </row>
    <row r="66" spans="2:5" ht="14.25" customHeight="1" x14ac:dyDescent="0.2">
      <c r="B66" s="35"/>
      <c r="C66" s="36"/>
      <c r="D66" s="36"/>
      <c r="E66" s="36"/>
    </row>
    <row r="67" spans="2:5" ht="14.25" customHeight="1" x14ac:dyDescent="0.2">
      <c r="B67" s="35"/>
      <c r="C67" s="36"/>
      <c r="D67" s="36"/>
      <c r="E67" s="36"/>
    </row>
    <row r="68" spans="2:5" ht="14.25" customHeight="1" x14ac:dyDescent="0.2">
      <c r="B68" s="35"/>
      <c r="C68" s="36"/>
      <c r="D68" s="36"/>
      <c r="E68" s="36"/>
    </row>
    <row r="69" spans="2:5" ht="14.25" customHeight="1" x14ac:dyDescent="0.2">
      <c r="B69" s="35"/>
      <c r="C69" s="36"/>
      <c r="D69" s="36"/>
      <c r="E69" s="36"/>
    </row>
    <row r="70" spans="2:5" ht="14.25" customHeight="1" x14ac:dyDescent="0.2">
      <c r="B70" s="35"/>
      <c r="C70" s="36"/>
      <c r="D70" s="36"/>
      <c r="E70" s="36"/>
    </row>
    <row r="71" spans="2:5" ht="14.25" customHeight="1" x14ac:dyDescent="0.2">
      <c r="B71" s="35"/>
      <c r="C71" s="36"/>
      <c r="D71" s="36"/>
      <c r="E71" s="36"/>
    </row>
    <row r="72" spans="2:5" ht="14.25" customHeight="1" x14ac:dyDescent="0.2">
      <c r="B72" s="35"/>
      <c r="C72" s="36"/>
      <c r="D72" s="36"/>
      <c r="E72" s="36"/>
    </row>
    <row r="73" spans="2:5" ht="14.25" customHeight="1" x14ac:dyDescent="0.2">
      <c r="B73" s="35"/>
      <c r="C73" s="36"/>
      <c r="D73" s="36"/>
      <c r="E73" s="36"/>
    </row>
    <row r="74" spans="2:5" ht="14.25" customHeight="1" x14ac:dyDescent="0.2">
      <c r="B74" s="35"/>
      <c r="C74" s="36"/>
      <c r="D74" s="36"/>
      <c r="E74" s="36"/>
    </row>
    <row r="75" spans="2:5" ht="14.25" customHeight="1" x14ac:dyDescent="0.2">
      <c r="B75" s="35"/>
      <c r="C75" s="36"/>
      <c r="D75" s="36"/>
      <c r="E75" s="36"/>
    </row>
    <row r="76" spans="2:5" ht="14.25" customHeight="1" x14ac:dyDescent="0.2">
      <c r="B76" s="35"/>
      <c r="C76" s="36"/>
      <c r="D76" s="36"/>
      <c r="E76" s="36"/>
    </row>
    <row r="77" spans="2:5" ht="14.25" customHeight="1" x14ac:dyDescent="0.2">
      <c r="B77" s="35"/>
      <c r="C77" s="36"/>
      <c r="D77" s="36"/>
      <c r="E77" s="36"/>
    </row>
    <row r="78" spans="2:5" ht="14.25" customHeight="1" x14ac:dyDescent="0.2">
      <c r="B78" s="35"/>
      <c r="C78" s="36"/>
      <c r="D78" s="36"/>
      <c r="E78" s="36"/>
    </row>
    <row r="79" spans="2:5" ht="14.25" customHeight="1" x14ac:dyDescent="0.2">
      <c r="B79" s="35"/>
      <c r="C79" s="36"/>
      <c r="D79" s="36"/>
      <c r="E79" s="36"/>
    </row>
    <row r="80" spans="2:5" ht="14.25" customHeight="1" x14ac:dyDescent="0.2">
      <c r="B80" s="35"/>
      <c r="C80" s="36"/>
      <c r="D80" s="36"/>
      <c r="E80" s="36"/>
    </row>
    <row r="81" spans="2:5" ht="14.25" customHeight="1" x14ac:dyDescent="0.2">
      <c r="B81" s="35"/>
      <c r="C81" s="36"/>
      <c r="D81" s="36"/>
      <c r="E81" s="36"/>
    </row>
    <row r="82" spans="2:5" ht="14.25" customHeight="1" x14ac:dyDescent="0.2">
      <c r="B82" s="35"/>
      <c r="C82" s="36"/>
      <c r="D82" s="36"/>
      <c r="E82" s="36"/>
    </row>
    <row r="83" spans="2:5" ht="14.25" customHeight="1" x14ac:dyDescent="0.2">
      <c r="B83" s="35"/>
      <c r="C83" s="36"/>
      <c r="D83" s="36"/>
      <c r="E83" s="36"/>
    </row>
    <row r="84" spans="2:5" ht="14.25" customHeight="1" x14ac:dyDescent="0.2">
      <c r="B84" s="35"/>
      <c r="C84" s="36"/>
      <c r="D84" s="36"/>
      <c r="E84" s="36"/>
    </row>
    <row r="85" spans="2:5" ht="14.25" customHeight="1" x14ac:dyDescent="0.2">
      <c r="B85" s="35"/>
      <c r="C85" s="36"/>
      <c r="D85" s="36"/>
      <c r="E85" s="36"/>
    </row>
    <row r="86" spans="2:5" ht="14.25" customHeight="1" x14ac:dyDescent="0.2">
      <c r="B86" s="35"/>
      <c r="C86" s="36"/>
      <c r="D86" s="36"/>
      <c r="E86" s="36"/>
    </row>
    <row r="87" spans="2:5" ht="14.25" customHeight="1" x14ac:dyDescent="0.2">
      <c r="B87" s="35"/>
      <c r="C87" s="36"/>
      <c r="D87" s="36"/>
      <c r="E87" s="36"/>
    </row>
    <row r="88" spans="2:5" ht="14.25" customHeight="1" x14ac:dyDescent="0.2">
      <c r="B88" s="35"/>
      <c r="C88" s="36"/>
      <c r="D88" s="36"/>
      <c r="E88" s="36"/>
    </row>
    <row r="89" spans="2:5" ht="14.25" customHeight="1" x14ac:dyDescent="0.2">
      <c r="B89" s="35"/>
      <c r="C89" s="36"/>
      <c r="D89" s="36"/>
      <c r="E89" s="36"/>
    </row>
    <row r="90" spans="2:5" ht="14.25" customHeight="1" x14ac:dyDescent="0.2">
      <c r="B90" s="35"/>
      <c r="C90" s="36"/>
      <c r="D90" s="36"/>
      <c r="E90" s="36"/>
    </row>
    <row r="91" spans="2:5" ht="14.25" customHeight="1" x14ac:dyDescent="0.2">
      <c r="B91" s="35"/>
      <c r="C91" s="36"/>
      <c r="D91" s="36"/>
      <c r="E91" s="36"/>
    </row>
    <row r="92" spans="2:5" ht="14.25" customHeight="1" x14ac:dyDescent="0.2">
      <c r="B92" s="35"/>
      <c r="C92" s="36"/>
      <c r="D92" s="36"/>
      <c r="E92" s="36"/>
    </row>
    <row r="93" spans="2:5" ht="14.25" customHeight="1" x14ac:dyDescent="0.2">
      <c r="B93" s="35"/>
      <c r="C93" s="36"/>
      <c r="D93" s="36"/>
      <c r="E93" s="36"/>
    </row>
    <row r="94" spans="2:5" ht="14.25" customHeight="1" x14ac:dyDescent="0.2">
      <c r="B94" s="35"/>
      <c r="C94" s="36"/>
      <c r="D94" s="36"/>
      <c r="E94" s="36"/>
    </row>
    <row r="95" spans="2:5" ht="14.25" customHeight="1" x14ac:dyDescent="0.2">
      <c r="B95" s="35"/>
      <c r="C95" s="36"/>
      <c r="D95" s="36"/>
      <c r="E95" s="36"/>
    </row>
    <row r="96" spans="2:5" ht="14.25" customHeight="1" x14ac:dyDescent="0.2">
      <c r="B96" s="35"/>
      <c r="C96" s="36"/>
      <c r="D96" s="36"/>
      <c r="E96" s="36"/>
    </row>
    <row r="97" spans="2:5" ht="14.25" customHeight="1" x14ac:dyDescent="0.2">
      <c r="B97" s="35"/>
      <c r="C97" s="36"/>
      <c r="D97" s="36"/>
      <c r="E97" s="36"/>
    </row>
    <row r="98" spans="2:5" ht="14.25" customHeight="1" x14ac:dyDescent="0.2">
      <c r="B98" s="35"/>
      <c r="C98" s="36"/>
      <c r="D98" s="36"/>
      <c r="E98" s="36"/>
    </row>
    <row r="99" spans="2:5" ht="14.25" customHeight="1" x14ac:dyDescent="0.2">
      <c r="B99" s="35"/>
      <c r="C99" s="36"/>
      <c r="D99" s="36"/>
      <c r="E99" s="36"/>
    </row>
    <row r="100" spans="2:5" ht="14.25" customHeight="1" x14ac:dyDescent="0.2">
      <c r="B100" s="35"/>
      <c r="C100" s="36"/>
      <c r="D100" s="36"/>
      <c r="E100" s="36"/>
    </row>
    <row r="101" spans="2:5" ht="14.25" customHeight="1" x14ac:dyDescent="0.2">
      <c r="B101" s="35"/>
      <c r="C101" s="36"/>
      <c r="D101" s="36"/>
      <c r="E101" s="36"/>
    </row>
    <row r="102" spans="2:5" ht="14.25" customHeight="1" x14ac:dyDescent="0.2">
      <c r="B102" s="35"/>
      <c r="C102" s="36"/>
      <c r="D102" s="36"/>
      <c r="E102" s="36"/>
    </row>
    <row r="103" spans="2:5" ht="14.25" customHeight="1" x14ac:dyDescent="0.2">
      <c r="B103" s="35"/>
      <c r="C103" s="36"/>
      <c r="D103" s="36"/>
      <c r="E103" s="36"/>
    </row>
    <row r="104" spans="2:5" ht="14.25" customHeight="1" x14ac:dyDescent="0.2">
      <c r="B104" s="35"/>
      <c r="C104" s="36"/>
      <c r="D104" s="36"/>
      <c r="E104" s="36"/>
    </row>
    <row r="105" spans="2:5" ht="14.25" customHeight="1" x14ac:dyDescent="0.2">
      <c r="B105" s="35"/>
      <c r="C105" s="36"/>
      <c r="D105" s="36"/>
      <c r="E105" s="36"/>
    </row>
    <row r="106" spans="2:5" ht="14.25" customHeight="1" x14ac:dyDescent="0.2">
      <c r="B106" s="35"/>
      <c r="C106" s="36"/>
      <c r="D106" s="36"/>
      <c r="E106" s="36"/>
    </row>
    <row r="107" spans="2:5" ht="14.25" customHeight="1" x14ac:dyDescent="0.2">
      <c r="B107" s="35"/>
      <c r="C107" s="36"/>
      <c r="D107" s="36"/>
      <c r="E107" s="36"/>
    </row>
    <row r="108" spans="2:5" ht="14.25" customHeight="1" x14ac:dyDescent="0.2">
      <c r="B108" s="35"/>
      <c r="C108" s="36"/>
      <c r="D108" s="36"/>
      <c r="E108" s="36"/>
    </row>
    <row r="109" spans="2:5" ht="14.25" customHeight="1" x14ac:dyDescent="0.2">
      <c r="B109" s="35"/>
      <c r="C109" s="36"/>
      <c r="D109" s="36"/>
      <c r="E109" s="36"/>
    </row>
    <row r="110" spans="2:5" ht="14.25" customHeight="1" x14ac:dyDescent="0.2">
      <c r="B110" s="35"/>
      <c r="C110" s="36"/>
      <c r="D110" s="36"/>
      <c r="E110" s="36"/>
    </row>
    <row r="111" spans="2:5" ht="14.25" customHeight="1" x14ac:dyDescent="0.2">
      <c r="B111" s="35"/>
      <c r="C111" s="36"/>
      <c r="D111" s="36"/>
      <c r="E111" s="36"/>
    </row>
    <row r="112" spans="2:5" ht="14.25" customHeight="1" x14ac:dyDescent="0.2">
      <c r="B112" s="35"/>
      <c r="C112" s="36"/>
      <c r="D112" s="36"/>
      <c r="E112" s="36"/>
    </row>
    <row r="113" spans="2:5" ht="14.25" customHeight="1" x14ac:dyDescent="0.2">
      <c r="B113" s="35"/>
      <c r="C113" s="36"/>
      <c r="D113" s="36"/>
      <c r="E113" s="36"/>
    </row>
    <row r="114" spans="2:5" ht="14.25" customHeight="1" x14ac:dyDescent="0.2">
      <c r="B114" s="35"/>
      <c r="C114" s="36"/>
      <c r="D114" s="36"/>
      <c r="E114" s="36"/>
    </row>
    <row r="115" spans="2:5" ht="14.25" customHeight="1" x14ac:dyDescent="0.2">
      <c r="B115" s="35"/>
      <c r="C115" s="36"/>
      <c r="D115" s="36"/>
      <c r="E115" s="36"/>
    </row>
    <row r="116" spans="2:5" ht="14.25" customHeight="1" x14ac:dyDescent="0.2">
      <c r="B116" s="35"/>
      <c r="C116" s="36"/>
      <c r="D116" s="36"/>
      <c r="E116" s="36"/>
    </row>
    <row r="117" spans="2:5" ht="14.25" customHeight="1" x14ac:dyDescent="0.2">
      <c r="B117" s="35"/>
      <c r="C117" s="36"/>
      <c r="D117" s="36"/>
      <c r="E117" s="36"/>
    </row>
    <row r="118" spans="2:5" ht="14.25" customHeight="1" x14ac:dyDescent="0.2">
      <c r="B118" s="35"/>
      <c r="C118" s="36"/>
      <c r="D118" s="36"/>
      <c r="E118" s="36"/>
    </row>
    <row r="119" spans="2:5" ht="14.25" customHeight="1" x14ac:dyDescent="0.2">
      <c r="B119" s="35"/>
      <c r="C119" s="36"/>
      <c r="D119" s="36"/>
      <c r="E119" s="36"/>
    </row>
    <row r="120" spans="2:5" ht="14.25" customHeight="1" x14ac:dyDescent="0.2">
      <c r="B120" s="35"/>
      <c r="C120" s="36"/>
      <c r="D120" s="36"/>
      <c r="E120" s="36"/>
    </row>
    <row r="121" spans="2:5" ht="14.25" customHeight="1" x14ac:dyDescent="0.2">
      <c r="B121" s="35"/>
      <c r="C121" s="36"/>
      <c r="D121" s="36"/>
      <c r="E121" s="36"/>
    </row>
    <row r="122" spans="2:5" ht="14.25" customHeight="1" x14ac:dyDescent="0.2">
      <c r="B122" s="35"/>
      <c r="C122" s="36"/>
      <c r="D122" s="36"/>
      <c r="E122" s="36"/>
    </row>
    <row r="123" spans="2:5" ht="14.25" customHeight="1" x14ac:dyDescent="0.2">
      <c r="B123" s="35"/>
      <c r="C123" s="36"/>
      <c r="D123" s="36"/>
      <c r="E123" s="36"/>
    </row>
    <row r="124" spans="2:5" ht="14.25" customHeight="1" x14ac:dyDescent="0.2">
      <c r="B124" s="35"/>
      <c r="C124" s="36"/>
      <c r="D124" s="36"/>
      <c r="E124" s="36"/>
    </row>
    <row r="125" spans="2:5" ht="14.25" customHeight="1" x14ac:dyDescent="0.2">
      <c r="B125" s="35"/>
      <c r="C125" s="36"/>
      <c r="D125" s="36"/>
      <c r="E125" s="36"/>
    </row>
    <row r="126" spans="2:5" ht="14.25" customHeight="1" x14ac:dyDescent="0.2">
      <c r="B126" s="35"/>
      <c r="C126" s="36"/>
      <c r="D126" s="36"/>
      <c r="E126" s="36"/>
    </row>
    <row r="127" spans="2:5" ht="14.25" customHeight="1" x14ac:dyDescent="0.2">
      <c r="B127" s="35"/>
      <c r="C127" s="36"/>
      <c r="D127" s="36"/>
      <c r="E127" s="36"/>
    </row>
    <row r="128" spans="2:5" ht="14.25" customHeight="1" x14ac:dyDescent="0.2">
      <c r="B128" s="35"/>
      <c r="C128" s="36"/>
      <c r="D128" s="36"/>
      <c r="E128" s="36"/>
    </row>
    <row r="129" spans="2:5" ht="14.25" customHeight="1" x14ac:dyDescent="0.2">
      <c r="B129" s="35"/>
      <c r="C129" s="36"/>
      <c r="D129" s="36"/>
      <c r="E129" s="36"/>
    </row>
    <row r="130" spans="2:5" ht="14.25" customHeight="1" x14ac:dyDescent="0.2">
      <c r="B130" s="35"/>
      <c r="C130" s="36"/>
      <c r="D130" s="36"/>
      <c r="E130" s="36"/>
    </row>
    <row r="131" spans="2:5" ht="14.25" customHeight="1" x14ac:dyDescent="0.2">
      <c r="B131" s="35"/>
      <c r="C131" s="36"/>
      <c r="D131" s="36"/>
      <c r="E131" s="36"/>
    </row>
    <row r="132" spans="2:5" ht="14.25" customHeight="1" x14ac:dyDescent="0.2">
      <c r="B132" s="35"/>
      <c r="C132" s="36"/>
      <c r="D132" s="36"/>
      <c r="E132" s="36"/>
    </row>
    <row r="133" spans="2:5" ht="14.25" customHeight="1" x14ac:dyDescent="0.2">
      <c r="B133" s="35"/>
      <c r="C133" s="36"/>
      <c r="D133" s="36"/>
      <c r="E133" s="36"/>
    </row>
    <row r="134" spans="2:5" ht="14.25" customHeight="1" x14ac:dyDescent="0.2">
      <c r="B134" s="35"/>
      <c r="C134" s="36"/>
      <c r="D134" s="36"/>
      <c r="E134" s="36"/>
    </row>
    <row r="135" spans="2:5" ht="14.25" customHeight="1" x14ac:dyDescent="0.2">
      <c r="B135" s="35"/>
      <c r="C135" s="36"/>
      <c r="D135" s="36"/>
      <c r="E135" s="36"/>
    </row>
    <row r="136" spans="2:5" ht="14.25" customHeight="1" x14ac:dyDescent="0.2">
      <c r="B136" s="35"/>
      <c r="C136" s="36"/>
      <c r="D136" s="36"/>
      <c r="E136" s="36"/>
    </row>
    <row r="137" spans="2:5" ht="14.25" customHeight="1" x14ac:dyDescent="0.2">
      <c r="B137" s="35"/>
      <c r="C137" s="36"/>
      <c r="D137" s="36"/>
      <c r="E137" s="36"/>
    </row>
    <row r="138" spans="2:5" ht="14.25" customHeight="1" x14ac:dyDescent="0.2">
      <c r="B138" s="35"/>
      <c r="C138" s="36"/>
      <c r="D138" s="36"/>
      <c r="E138" s="36"/>
    </row>
    <row r="139" spans="2:5" ht="14.25" customHeight="1" x14ac:dyDescent="0.2">
      <c r="B139" s="35"/>
      <c r="C139" s="36"/>
      <c r="D139" s="36"/>
      <c r="E139" s="36"/>
    </row>
    <row r="140" spans="2:5" ht="14.25" customHeight="1" x14ac:dyDescent="0.2">
      <c r="B140" s="35"/>
      <c r="C140" s="36"/>
      <c r="D140" s="36"/>
      <c r="E140" s="36"/>
    </row>
    <row r="141" spans="2:5" ht="14.25" customHeight="1" x14ac:dyDescent="0.2">
      <c r="B141" s="35"/>
      <c r="C141" s="36"/>
      <c r="D141" s="36"/>
      <c r="E141" s="36"/>
    </row>
    <row r="142" spans="2:5" ht="14.25" customHeight="1" x14ac:dyDescent="0.2">
      <c r="B142" s="35"/>
      <c r="C142" s="36"/>
      <c r="D142" s="36"/>
      <c r="E142" s="36"/>
    </row>
    <row r="143" spans="2:5" ht="14.25" customHeight="1" x14ac:dyDescent="0.2">
      <c r="B143" s="35"/>
      <c r="C143" s="36"/>
      <c r="D143" s="36"/>
      <c r="E143" s="36"/>
    </row>
    <row r="144" spans="2:5" ht="14.25" customHeight="1" x14ac:dyDescent="0.2">
      <c r="B144" s="35"/>
      <c r="C144" s="36"/>
      <c r="D144" s="36"/>
      <c r="E144" s="36"/>
    </row>
    <row r="145" spans="2:5" ht="14.25" customHeight="1" x14ac:dyDescent="0.2">
      <c r="B145" s="35"/>
      <c r="C145" s="36"/>
      <c r="D145" s="36"/>
      <c r="E145" s="36"/>
    </row>
    <row r="146" spans="2:5" ht="14.25" customHeight="1" x14ac:dyDescent="0.2">
      <c r="B146" s="35"/>
      <c r="C146" s="36"/>
      <c r="D146" s="36"/>
      <c r="E146" s="36"/>
    </row>
    <row r="147" spans="2:5" ht="14.25" customHeight="1" x14ac:dyDescent="0.2">
      <c r="B147" s="35"/>
      <c r="C147" s="36"/>
      <c r="D147" s="36"/>
      <c r="E147" s="36"/>
    </row>
    <row r="148" spans="2:5" ht="14.25" customHeight="1" x14ac:dyDescent="0.2">
      <c r="B148" s="35"/>
      <c r="C148" s="36"/>
      <c r="D148" s="36"/>
      <c r="E148" s="36"/>
    </row>
    <row r="149" spans="2:5" ht="14.25" customHeight="1" x14ac:dyDescent="0.2">
      <c r="B149" s="35"/>
      <c r="C149" s="36"/>
      <c r="D149" s="36"/>
      <c r="E149" s="36"/>
    </row>
    <row r="150" spans="2:5" ht="14.25" customHeight="1" x14ac:dyDescent="0.2">
      <c r="B150" s="35"/>
      <c r="C150" s="36"/>
      <c r="D150" s="36"/>
      <c r="E150" s="36"/>
    </row>
    <row r="151" spans="2:5" ht="14.25" customHeight="1" x14ac:dyDescent="0.2">
      <c r="B151" s="35"/>
      <c r="C151" s="36"/>
      <c r="D151" s="36"/>
      <c r="E151" s="36"/>
    </row>
    <row r="152" spans="2:5" ht="14.25" customHeight="1" x14ac:dyDescent="0.2">
      <c r="B152" s="35"/>
      <c r="C152" s="36"/>
      <c r="D152" s="36"/>
      <c r="E152" s="36"/>
    </row>
    <row r="153" spans="2:5" ht="14.25" customHeight="1" x14ac:dyDescent="0.2">
      <c r="B153" s="35"/>
      <c r="C153" s="36"/>
      <c r="D153" s="36"/>
      <c r="E153" s="36"/>
    </row>
    <row r="154" spans="2:5" ht="14.25" customHeight="1" x14ac:dyDescent="0.2">
      <c r="B154" s="35"/>
      <c r="C154" s="36"/>
      <c r="D154" s="36"/>
      <c r="E154" s="36"/>
    </row>
    <row r="155" spans="2:5" ht="14.25" customHeight="1" x14ac:dyDescent="0.2">
      <c r="B155" s="35"/>
      <c r="C155" s="36"/>
      <c r="D155" s="36"/>
      <c r="E155" s="36"/>
    </row>
    <row r="156" spans="2:5" ht="14.25" customHeight="1" x14ac:dyDescent="0.2">
      <c r="B156" s="35"/>
      <c r="C156" s="36"/>
      <c r="D156" s="36"/>
      <c r="E156" s="36"/>
    </row>
    <row r="157" spans="2:5" ht="14.25" customHeight="1" x14ac:dyDescent="0.2">
      <c r="B157" s="35"/>
      <c r="C157" s="36"/>
      <c r="D157" s="36"/>
      <c r="E157" s="36"/>
    </row>
    <row r="158" spans="2:5" ht="14.25" customHeight="1" x14ac:dyDescent="0.2">
      <c r="B158" s="35"/>
      <c r="C158" s="36"/>
      <c r="D158" s="36"/>
      <c r="E158" s="36"/>
    </row>
    <row r="159" spans="2:5" ht="14.25" customHeight="1" x14ac:dyDescent="0.2">
      <c r="B159" s="35"/>
      <c r="C159" s="36"/>
      <c r="D159" s="36"/>
      <c r="E159" s="36"/>
    </row>
    <row r="160" spans="2:5" ht="14.25" customHeight="1" x14ac:dyDescent="0.2">
      <c r="B160" s="35"/>
      <c r="C160" s="36"/>
      <c r="D160" s="36"/>
      <c r="E160" s="36"/>
    </row>
    <row r="161" spans="2:5" ht="14.25" customHeight="1" x14ac:dyDescent="0.2">
      <c r="B161" s="35"/>
      <c r="C161" s="36"/>
      <c r="D161" s="36"/>
      <c r="E161" s="36"/>
    </row>
    <row r="162" spans="2:5" ht="14.25" customHeight="1" x14ac:dyDescent="0.2">
      <c r="B162" s="35"/>
      <c r="C162" s="36"/>
      <c r="D162" s="36"/>
      <c r="E162" s="36"/>
    </row>
    <row r="163" spans="2:5" ht="14.25" customHeight="1" x14ac:dyDescent="0.2">
      <c r="B163" s="35"/>
      <c r="C163" s="36"/>
      <c r="D163" s="36"/>
      <c r="E163" s="36"/>
    </row>
    <row r="164" spans="2:5" ht="14.25" customHeight="1" x14ac:dyDescent="0.2">
      <c r="B164" s="35"/>
      <c r="C164" s="36"/>
      <c r="D164" s="36"/>
      <c r="E164" s="36"/>
    </row>
    <row r="165" spans="2:5" ht="14.25" customHeight="1" x14ac:dyDescent="0.2">
      <c r="B165" s="35"/>
      <c r="C165" s="36"/>
      <c r="D165" s="36"/>
      <c r="E165" s="36"/>
    </row>
    <row r="166" spans="2:5" ht="14.25" customHeight="1" x14ac:dyDescent="0.2">
      <c r="B166" s="35"/>
      <c r="C166" s="36"/>
      <c r="D166" s="36"/>
      <c r="E166" s="36"/>
    </row>
    <row r="167" spans="2:5" ht="14.25" customHeight="1" x14ac:dyDescent="0.2">
      <c r="B167" s="35"/>
      <c r="C167" s="36"/>
      <c r="D167" s="36"/>
      <c r="E167" s="36"/>
    </row>
    <row r="168" spans="2:5" ht="14.25" customHeight="1" x14ac:dyDescent="0.2">
      <c r="B168" s="35"/>
      <c r="C168" s="36"/>
      <c r="D168" s="36"/>
      <c r="E168" s="36"/>
    </row>
    <row r="169" spans="2:5" ht="14.25" customHeight="1" x14ac:dyDescent="0.2">
      <c r="B169" s="35"/>
      <c r="C169" s="36"/>
      <c r="D169" s="36"/>
      <c r="E169" s="36"/>
    </row>
    <row r="170" spans="2:5" ht="14.25" customHeight="1" x14ac:dyDescent="0.2">
      <c r="B170" s="35"/>
      <c r="C170" s="36"/>
      <c r="D170" s="36"/>
      <c r="E170" s="36"/>
    </row>
    <row r="171" spans="2:5" ht="14.25" customHeight="1" x14ac:dyDescent="0.2">
      <c r="B171" s="35"/>
      <c r="C171" s="36"/>
      <c r="D171" s="36"/>
      <c r="E171" s="36"/>
    </row>
    <row r="172" spans="2:5" ht="14.25" customHeight="1" x14ac:dyDescent="0.2">
      <c r="B172" s="35"/>
      <c r="C172" s="36"/>
      <c r="D172" s="36"/>
      <c r="E172" s="36"/>
    </row>
    <row r="173" spans="2:5" ht="14.25" customHeight="1" x14ac:dyDescent="0.2">
      <c r="B173" s="35"/>
      <c r="C173" s="36"/>
      <c r="D173" s="36"/>
      <c r="E173" s="36"/>
    </row>
    <row r="174" spans="2:5" ht="14.25" customHeight="1" x14ac:dyDescent="0.2">
      <c r="B174" s="35"/>
      <c r="C174" s="36"/>
      <c r="D174" s="36"/>
      <c r="E174" s="36"/>
    </row>
    <row r="175" spans="2:5" ht="14.25" customHeight="1" x14ac:dyDescent="0.2">
      <c r="B175" s="35"/>
      <c r="C175" s="36"/>
      <c r="D175" s="36"/>
      <c r="E175" s="36"/>
    </row>
    <row r="176" spans="2:5" ht="14.25" customHeight="1" x14ac:dyDescent="0.2">
      <c r="B176" s="35"/>
      <c r="C176" s="36"/>
      <c r="D176" s="36"/>
      <c r="E176" s="36"/>
    </row>
    <row r="177" spans="2:5" ht="14.25" customHeight="1" x14ac:dyDescent="0.2">
      <c r="B177" s="35"/>
      <c r="C177" s="36"/>
      <c r="D177" s="36"/>
      <c r="E177" s="36"/>
    </row>
    <row r="178" spans="2:5" ht="14.25" customHeight="1" x14ac:dyDescent="0.2">
      <c r="B178" s="35"/>
      <c r="C178" s="36"/>
      <c r="D178" s="36"/>
      <c r="E178" s="36"/>
    </row>
    <row r="179" spans="2:5" ht="14.25" customHeight="1" x14ac:dyDescent="0.2">
      <c r="B179" s="35"/>
      <c r="C179" s="36"/>
      <c r="D179" s="36"/>
      <c r="E179" s="36"/>
    </row>
    <row r="180" spans="2:5" ht="14.25" customHeight="1" x14ac:dyDescent="0.2">
      <c r="B180" s="35"/>
      <c r="C180" s="36"/>
      <c r="D180" s="36"/>
      <c r="E180" s="36"/>
    </row>
    <row r="181" spans="2:5" ht="14.25" customHeight="1" x14ac:dyDescent="0.2">
      <c r="B181" s="35"/>
      <c r="C181" s="36"/>
      <c r="D181" s="36"/>
      <c r="E181" s="36"/>
    </row>
    <row r="182" spans="2:5" ht="14.25" customHeight="1" x14ac:dyDescent="0.2">
      <c r="B182" s="35"/>
      <c r="C182" s="36"/>
      <c r="D182" s="36"/>
      <c r="E182" s="36"/>
    </row>
    <row r="183" spans="2:5" ht="14.25" customHeight="1" x14ac:dyDescent="0.2">
      <c r="B183" s="35"/>
      <c r="C183" s="36"/>
      <c r="D183" s="36"/>
      <c r="E183" s="36"/>
    </row>
    <row r="184" spans="2:5" ht="14.25" customHeight="1" x14ac:dyDescent="0.2">
      <c r="B184" s="35"/>
      <c r="C184" s="36"/>
      <c r="D184" s="36"/>
      <c r="E184" s="36"/>
    </row>
    <row r="185" spans="2:5" ht="14.25" customHeight="1" x14ac:dyDescent="0.2">
      <c r="B185" s="35"/>
      <c r="C185" s="36"/>
      <c r="D185" s="36"/>
      <c r="E185" s="36"/>
    </row>
    <row r="186" spans="2:5" ht="14.25" customHeight="1" x14ac:dyDescent="0.2">
      <c r="B186" s="35"/>
      <c r="C186" s="36"/>
      <c r="D186" s="36"/>
      <c r="E186" s="36"/>
    </row>
    <row r="187" spans="2:5" ht="14.25" customHeight="1" x14ac:dyDescent="0.2">
      <c r="B187" s="35"/>
      <c r="C187" s="36"/>
      <c r="D187" s="36"/>
      <c r="E187" s="36"/>
    </row>
    <row r="188" spans="2:5" ht="14.25" customHeight="1" x14ac:dyDescent="0.2">
      <c r="B188" s="35"/>
      <c r="C188" s="36"/>
      <c r="D188" s="36"/>
      <c r="E188" s="36"/>
    </row>
    <row r="189" spans="2:5" ht="14.25" customHeight="1" x14ac:dyDescent="0.2">
      <c r="B189" s="35"/>
      <c r="C189" s="36"/>
      <c r="D189" s="36"/>
      <c r="E189" s="36"/>
    </row>
    <row r="190" spans="2:5" ht="14.25" customHeight="1" x14ac:dyDescent="0.2">
      <c r="B190" s="35"/>
      <c r="C190" s="36"/>
      <c r="D190" s="36"/>
      <c r="E190" s="36"/>
    </row>
    <row r="191" spans="2:5" ht="14.25" customHeight="1" x14ac:dyDescent="0.2">
      <c r="B191" s="35"/>
      <c r="C191" s="36"/>
      <c r="D191" s="36"/>
      <c r="E191" s="36"/>
    </row>
    <row r="192" spans="2:5" ht="14.25" customHeight="1" x14ac:dyDescent="0.2">
      <c r="B192" s="35"/>
      <c r="C192" s="36"/>
      <c r="D192" s="36"/>
      <c r="E192" s="36"/>
    </row>
    <row r="193" spans="2:5" ht="14.25" customHeight="1" x14ac:dyDescent="0.2">
      <c r="B193" s="35"/>
      <c r="C193" s="36"/>
      <c r="D193" s="36"/>
      <c r="E193" s="36"/>
    </row>
    <row r="194" spans="2:5" ht="14.25" customHeight="1" x14ac:dyDescent="0.2">
      <c r="B194" s="35"/>
      <c r="C194" s="36"/>
      <c r="D194" s="36"/>
      <c r="E194" s="36"/>
    </row>
    <row r="195" spans="2:5" ht="14.25" customHeight="1" x14ac:dyDescent="0.2">
      <c r="B195" s="35"/>
      <c r="C195" s="36"/>
      <c r="D195" s="36"/>
      <c r="E195" s="36"/>
    </row>
    <row r="196" spans="2:5" ht="14.25" customHeight="1" x14ac:dyDescent="0.2">
      <c r="B196" s="35"/>
      <c r="C196" s="36"/>
      <c r="D196" s="36"/>
      <c r="E196" s="36"/>
    </row>
    <row r="197" spans="2:5" ht="14.25" customHeight="1" x14ac:dyDescent="0.2">
      <c r="B197" s="35"/>
      <c r="C197" s="36"/>
      <c r="D197" s="36"/>
      <c r="E197" s="36"/>
    </row>
    <row r="198" spans="2:5" ht="14.25" customHeight="1" x14ac:dyDescent="0.2">
      <c r="B198" s="35"/>
      <c r="C198" s="36"/>
      <c r="D198" s="36"/>
      <c r="E198" s="36"/>
    </row>
    <row r="199" spans="2:5" ht="14.25" customHeight="1" x14ac:dyDescent="0.2">
      <c r="B199" s="35"/>
      <c r="C199" s="36"/>
      <c r="D199" s="36"/>
      <c r="E199" s="36"/>
    </row>
    <row r="200" spans="2:5" ht="14.25" customHeight="1" x14ac:dyDescent="0.2">
      <c r="B200" s="35"/>
      <c r="C200" s="36"/>
      <c r="D200" s="36"/>
      <c r="E200" s="36"/>
    </row>
    <row r="201" spans="2:5" ht="14.25" customHeight="1" x14ac:dyDescent="0.2">
      <c r="B201" s="35"/>
      <c r="C201" s="36"/>
      <c r="D201" s="36"/>
      <c r="E201" s="36"/>
    </row>
    <row r="202" spans="2:5" ht="14.25" customHeight="1" x14ac:dyDescent="0.2">
      <c r="B202" s="35"/>
      <c r="C202" s="36"/>
      <c r="D202" s="36"/>
      <c r="E202" s="36"/>
    </row>
    <row r="203" spans="2:5" ht="14.25" customHeight="1" x14ac:dyDescent="0.2">
      <c r="B203" s="35"/>
      <c r="C203" s="36"/>
      <c r="D203" s="36"/>
      <c r="E203" s="36"/>
    </row>
    <row r="204" spans="2:5" ht="14.25" customHeight="1" x14ac:dyDescent="0.2">
      <c r="B204" s="35"/>
      <c r="C204" s="36"/>
      <c r="D204" s="36"/>
      <c r="E204" s="36"/>
    </row>
    <row r="205" spans="2:5" ht="14.25" customHeight="1" x14ac:dyDescent="0.2">
      <c r="B205" s="35"/>
      <c r="C205" s="36"/>
      <c r="D205" s="36"/>
      <c r="E205" s="36"/>
    </row>
    <row r="206" spans="2:5" ht="14.25" customHeight="1" x14ac:dyDescent="0.2">
      <c r="B206" s="35"/>
      <c r="C206" s="36"/>
      <c r="D206" s="36"/>
      <c r="E206" s="36"/>
    </row>
    <row r="207" spans="2:5" ht="14.25" customHeight="1" x14ac:dyDescent="0.2">
      <c r="B207" s="35"/>
      <c r="C207" s="36"/>
      <c r="D207" s="36"/>
      <c r="E207" s="36"/>
    </row>
    <row r="208" spans="2:5" ht="14.25" customHeight="1" x14ac:dyDescent="0.2">
      <c r="B208" s="35"/>
      <c r="C208" s="36"/>
      <c r="D208" s="36"/>
      <c r="E208" s="36"/>
    </row>
    <row r="209" spans="2:5" ht="14.25" customHeight="1" x14ac:dyDescent="0.2">
      <c r="B209" s="35"/>
      <c r="C209" s="36"/>
      <c r="D209" s="36"/>
      <c r="E209" s="36"/>
    </row>
    <row r="210" spans="2:5" ht="14.25" customHeight="1" x14ac:dyDescent="0.2">
      <c r="B210" s="35"/>
      <c r="C210" s="36"/>
      <c r="D210" s="36"/>
      <c r="E210" s="36"/>
    </row>
    <row r="211" spans="2:5" ht="14.25" customHeight="1" x14ac:dyDescent="0.2">
      <c r="B211" s="35"/>
      <c r="C211" s="36"/>
      <c r="D211" s="36"/>
      <c r="E211" s="36"/>
    </row>
    <row r="212" spans="2:5" ht="14.25" customHeight="1" x14ac:dyDescent="0.2">
      <c r="B212" s="35"/>
      <c r="C212" s="36"/>
      <c r="D212" s="36"/>
      <c r="E212" s="36"/>
    </row>
    <row r="213" spans="2:5" ht="14.25" customHeight="1" x14ac:dyDescent="0.2">
      <c r="B213" s="35"/>
      <c r="C213" s="36"/>
      <c r="D213" s="36"/>
      <c r="E213" s="36"/>
    </row>
    <row r="214" spans="2:5" ht="14.25" customHeight="1" x14ac:dyDescent="0.2">
      <c r="B214" s="35"/>
      <c r="C214" s="36"/>
      <c r="D214" s="36"/>
      <c r="E214" s="36"/>
    </row>
    <row r="215" spans="2:5" ht="14.25" customHeight="1" x14ac:dyDescent="0.2">
      <c r="B215" s="35"/>
      <c r="C215" s="36"/>
      <c r="D215" s="36"/>
      <c r="E215" s="36"/>
    </row>
    <row r="216" spans="2:5" ht="14.25" customHeight="1" x14ac:dyDescent="0.2">
      <c r="B216" s="35"/>
      <c r="C216" s="36"/>
      <c r="D216" s="36"/>
      <c r="E216" s="36"/>
    </row>
    <row r="217" spans="2:5" ht="14.25" customHeight="1" x14ac:dyDescent="0.2">
      <c r="B217" s="35"/>
      <c r="C217" s="36"/>
      <c r="D217" s="36"/>
      <c r="E217" s="36"/>
    </row>
    <row r="218" spans="2:5" ht="14.25" customHeight="1" x14ac:dyDescent="0.2">
      <c r="B218" s="35"/>
      <c r="C218" s="36"/>
      <c r="D218" s="36"/>
      <c r="E218" s="36"/>
    </row>
    <row r="219" spans="2:5" ht="14.25" customHeight="1" x14ac:dyDescent="0.2">
      <c r="B219" s="35"/>
      <c r="C219" s="36"/>
      <c r="D219" s="36"/>
      <c r="E219" s="36"/>
    </row>
    <row r="220" spans="2:5" ht="14.25" customHeight="1" x14ac:dyDescent="0.2">
      <c r="B220" s="35"/>
      <c r="C220" s="36"/>
      <c r="D220" s="36"/>
      <c r="E220" s="36"/>
    </row>
    <row r="221" spans="2:5" ht="14.25" customHeight="1" x14ac:dyDescent="0.2">
      <c r="B221" s="35"/>
      <c r="C221" s="36"/>
      <c r="D221" s="36"/>
      <c r="E221" s="36"/>
    </row>
    <row r="222" spans="2:5" ht="14.25" customHeight="1" x14ac:dyDescent="0.2">
      <c r="B222" s="35"/>
      <c r="C222" s="36"/>
      <c r="D222" s="36"/>
      <c r="E222" s="36"/>
    </row>
    <row r="223" spans="2:5" ht="14.25" customHeight="1" x14ac:dyDescent="0.2">
      <c r="B223" s="35"/>
      <c r="C223" s="36"/>
      <c r="D223" s="36"/>
      <c r="E223" s="36"/>
    </row>
    <row r="224" spans="2:5" ht="14.25" customHeight="1" x14ac:dyDescent="0.2">
      <c r="B224" s="35"/>
      <c r="C224" s="36"/>
      <c r="D224" s="36"/>
      <c r="E224" s="36"/>
    </row>
    <row r="225" spans="2:5" ht="14.25" customHeight="1" x14ac:dyDescent="0.2">
      <c r="B225" s="35"/>
      <c r="C225" s="36"/>
      <c r="D225" s="36"/>
      <c r="E225" s="36"/>
    </row>
    <row r="226" spans="2:5" ht="14.25" customHeight="1" x14ac:dyDescent="0.2">
      <c r="B226" s="35"/>
      <c r="C226" s="36"/>
      <c r="D226" s="36"/>
      <c r="E226" s="36"/>
    </row>
    <row r="227" spans="2:5" ht="14.25" customHeight="1" x14ac:dyDescent="0.2">
      <c r="B227" s="35"/>
      <c r="C227" s="36"/>
      <c r="D227" s="36"/>
      <c r="E227" s="36"/>
    </row>
    <row r="228" spans="2:5" ht="14.25" customHeight="1" x14ac:dyDescent="0.2">
      <c r="B228" s="35"/>
      <c r="C228" s="36"/>
      <c r="D228" s="36"/>
      <c r="E228" s="36"/>
    </row>
    <row r="229" spans="2:5" ht="14.25" customHeight="1" x14ac:dyDescent="0.2">
      <c r="B229" s="35"/>
      <c r="C229" s="36"/>
      <c r="D229" s="36"/>
      <c r="E229" s="36"/>
    </row>
    <row r="230" spans="2:5" ht="14.25" customHeight="1" x14ac:dyDescent="0.2">
      <c r="B230" s="35"/>
      <c r="C230" s="36"/>
      <c r="D230" s="36"/>
      <c r="E230" s="36"/>
    </row>
    <row r="231" spans="2:5" ht="14.25" customHeight="1" x14ac:dyDescent="0.2">
      <c r="B231" s="35"/>
      <c r="C231" s="36"/>
      <c r="D231" s="36"/>
      <c r="E231" s="36"/>
    </row>
    <row r="232" spans="2:5" ht="14.25" customHeight="1" x14ac:dyDescent="0.2">
      <c r="B232" s="35"/>
      <c r="C232" s="36"/>
      <c r="D232" s="36"/>
      <c r="E232" s="36"/>
    </row>
    <row r="233" spans="2:5" ht="14.25" customHeight="1" x14ac:dyDescent="0.2">
      <c r="B233" s="35"/>
      <c r="C233" s="36"/>
      <c r="D233" s="36"/>
      <c r="E233" s="36"/>
    </row>
    <row r="234" spans="2:5" ht="14.25" customHeight="1" x14ac:dyDescent="0.2">
      <c r="B234" s="35"/>
      <c r="C234" s="36"/>
      <c r="D234" s="36"/>
      <c r="E234" s="36"/>
    </row>
    <row r="235" spans="2:5" ht="14.25" customHeight="1" x14ac:dyDescent="0.2">
      <c r="B235" s="35"/>
      <c r="C235" s="36"/>
      <c r="D235" s="36"/>
      <c r="E235" s="36"/>
    </row>
    <row r="236" spans="2:5" ht="14.25" customHeight="1" x14ac:dyDescent="0.2">
      <c r="B236" s="35"/>
      <c r="C236" s="36"/>
      <c r="D236" s="36"/>
      <c r="E236" s="36"/>
    </row>
    <row r="237" spans="2:5" ht="14.25" customHeight="1" x14ac:dyDescent="0.2">
      <c r="B237" s="35"/>
      <c r="C237" s="36"/>
      <c r="D237" s="36"/>
      <c r="E237" s="36"/>
    </row>
    <row r="238" spans="2:5" ht="14.25" customHeight="1" x14ac:dyDescent="0.2">
      <c r="B238" s="35"/>
      <c r="C238" s="36"/>
      <c r="D238" s="36"/>
      <c r="E238" s="36"/>
    </row>
    <row r="239" spans="2:5" ht="14.25" customHeight="1" x14ac:dyDescent="0.2">
      <c r="B239" s="35"/>
      <c r="C239" s="36"/>
      <c r="D239" s="36"/>
      <c r="E239" s="36"/>
    </row>
    <row r="240" spans="2:5" ht="14.25" customHeight="1" x14ac:dyDescent="0.2">
      <c r="B240" s="35"/>
      <c r="C240" s="36"/>
      <c r="D240" s="36"/>
      <c r="E240" s="36"/>
    </row>
    <row r="241" spans="2:5" ht="14.25" customHeight="1" x14ac:dyDescent="0.2">
      <c r="B241" s="35"/>
      <c r="C241" s="36"/>
      <c r="D241" s="36"/>
      <c r="E241" s="36"/>
    </row>
    <row r="242" spans="2:5" ht="14.25" customHeight="1" x14ac:dyDescent="0.2">
      <c r="B242" s="35"/>
      <c r="C242" s="36"/>
      <c r="D242" s="36"/>
      <c r="E242" s="36"/>
    </row>
    <row r="243" spans="2:5" ht="14.25" customHeight="1" x14ac:dyDescent="0.2">
      <c r="B243" s="35"/>
      <c r="C243" s="36"/>
      <c r="D243" s="36"/>
      <c r="E243" s="36"/>
    </row>
    <row r="244" spans="2:5" ht="14.25" customHeight="1" x14ac:dyDescent="0.2">
      <c r="B244" s="35"/>
      <c r="C244" s="36"/>
      <c r="D244" s="36"/>
      <c r="E244" s="36"/>
    </row>
    <row r="245" spans="2:5" ht="14.25" customHeight="1" x14ac:dyDescent="0.2">
      <c r="B245" s="35"/>
      <c r="C245" s="36"/>
      <c r="D245" s="36"/>
      <c r="E245" s="36"/>
    </row>
    <row r="246" spans="2:5" ht="14.25" customHeight="1" x14ac:dyDescent="0.2">
      <c r="B246" s="35"/>
      <c r="C246" s="36"/>
      <c r="D246" s="36"/>
      <c r="E246" s="36"/>
    </row>
    <row r="247" spans="2:5" ht="14.25" customHeight="1" x14ac:dyDescent="0.2">
      <c r="B247" s="35"/>
      <c r="C247" s="36"/>
      <c r="D247" s="36"/>
      <c r="E247" s="36"/>
    </row>
    <row r="248" spans="2:5" ht="14.25" customHeight="1" x14ac:dyDescent="0.2">
      <c r="B248" s="35"/>
      <c r="C248" s="36"/>
      <c r="D248" s="36"/>
      <c r="E248" s="36"/>
    </row>
    <row r="249" spans="2:5" ht="14.25" customHeight="1" x14ac:dyDescent="0.2">
      <c r="B249" s="35"/>
      <c r="C249" s="36"/>
      <c r="D249" s="36"/>
      <c r="E249" s="36"/>
    </row>
    <row r="250" spans="2:5" ht="14.25" customHeight="1" x14ac:dyDescent="0.2">
      <c r="B250" s="35"/>
      <c r="C250" s="36"/>
      <c r="D250" s="36"/>
      <c r="E250" s="36"/>
    </row>
    <row r="251" spans="2:5" ht="14.25" customHeight="1" x14ac:dyDescent="0.2">
      <c r="B251" s="35"/>
      <c r="C251" s="36"/>
      <c r="D251" s="36"/>
      <c r="E251" s="36"/>
    </row>
    <row r="252" spans="2:5" ht="14.25" customHeight="1" x14ac:dyDescent="0.2">
      <c r="B252" s="35"/>
      <c r="C252" s="36"/>
      <c r="D252" s="36"/>
      <c r="E252" s="36"/>
    </row>
    <row r="253" spans="2:5" ht="14.25" customHeight="1" x14ac:dyDescent="0.2">
      <c r="B253" s="35"/>
      <c r="C253" s="36"/>
      <c r="D253" s="36"/>
      <c r="E253" s="36"/>
    </row>
    <row r="254" spans="2:5" ht="14.25" customHeight="1" x14ac:dyDescent="0.2">
      <c r="B254" s="35"/>
      <c r="C254" s="36"/>
      <c r="D254" s="36"/>
      <c r="E254" s="36"/>
    </row>
    <row r="255" spans="2:5" ht="14.25" customHeight="1" x14ac:dyDescent="0.2">
      <c r="B255" s="35"/>
      <c r="C255" s="36"/>
      <c r="D255" s="36"/>
      <c r="E255" s="36"/>
    </row>
    <row r="256" spans="2:5" ht="14.25" customHeight="1" x14ac:dyDescent="0.2">
      <c r="B256" s="35"/>
      <c r="C256" s="36"/>
      <c r="D256" s="36"/>
      <c r="E256" s="36"/>
    </row>
    <row r="257" spans="2:5" ht="14.25" customHeight="1" x14ac:dyDescent="0.2">
      <c r="B257" s="35"/>
      <c r="C257" s="36"/>
      <c r="D257" s="36"/>
      <c r="E257" s="36"/>
    </row>
    <row r="258" spans="2:5" ht="14.25" customHeight="1" x14ac:dyDescent="0.2">
      <c r="B258" s="35"/>
      <c r="C258" s="36"/>
      <c r="D258" s="36"/>
      <c r="E258" s="36"/>
    </row>
    <row r="259" spans="2:5" ht="14.25" customHeight="1" x14ac:dyDescent="0.2">
      <c r="B259" s="35"/>
      <c r="C259" s="36"/>
      <c r="D259" s="36"/>
      <c r="E259" s="36"/>
    </row>
    <row r="260" spans="2:5" ht="14.25" customHeight="1" x14ac:dyDescent="0.2">
      <c r="B260" s="35"/>
      <c r="C260" s="36"/>
      <c r="D260" s="36"/>
      <c r="E260" s="36"/>
    </row>
    <row r="261" spans="2:5" ht="14.25" customHeight="1" x14ac:dyDescent="0.2">
      <c r="B261" s="35"/>
      <c r="C261" s="36"/>
      <c r="D261" s="36"/>
      <c r="E261" s="36"/>
    </row>
    <row r="262" spans="2:5" ht="14.25" customHeight="1" x14ac:dyDescent="0.2">
      <c r="B262" s="35"/>
      <c r="C262" s="36"/>
      <c r="D262" s="36"/>
      <c r="E262" s="36"/>
    </row>
    <row r="263" spans="2:5" ht="14.25" customHeight="1" x14ac:dyDescent="0.2">
      <c r="B263" s="35"/>
      <c r="C263" s="36"/>
      <c r="D263" s="36"/>
      <c r="E263" s="36"/>
    </row>
    <row r="264" spans="2:5" ht="14.25" customHeight="1" x14ac:dyDescent="0.2">
      <c r="B264" s="35"/>
      <c r="C264" s="36"/>
      <c r="D264" s="36"/>
      <c r="E264" s="36"/>
    </row>
    <row r="265" spans="2:5" ht="14.25" customHeight="1" x14ac:dyDescent="0.2">
      <c r="B265" s="35"/>
      <c r="C265" s="36"/>
      <c r="D265" s="36"/>
      <c r="E265" s="36"/>
    </row>
    <row r="266" spans="2:5" ht="14.25" customHeight="1" x14ac:dyDescent="0.2">
      <c r="B266" s="35"/>
      <c r="C266" s="36"/>
      <c r="D266" s="36"/>
      <c r="E266" s="36"/>
    </row>
    <row r="267" spans="2:5" ht="14.25" customHeight="1" x14ac:dyDescent="0.2">
      <c r="B267" s="35"/>
      <c r="C267" s="36"/>
      <c r="D267" s="36"/>
      <c r="E267" s="36"/>
    </row>
    <row r="268" spans="2:5" ht="14.25" customHeight="1" x14ac:dyDescent="0.2">
      <c r="B268" s="35"/>
      <c r="C268" s="36"/>
      <c r="D268" s="36"/>
      <c r="E268" s="36"/>
    </row>
    <row r="269" spans="2:5" ht="14.25" customHeight="1" x14ac:dyDescent="0.2">
      <c r="B269" s="35"/>
      <c r="C269" s="36"/>
      <c r="D269" s="36"/>
      <c r="E269" s="36"/>
    </row>
    <row r="270" spans="2:5" ht="14.25" customHeight="1" x14ac:dyDescent="0.2">
      <c r="B270" s="35"/>
      <c r="C270" s="36"/>
      <c r="D270" s="36"/>
      <c r="E270" s="36"/>
    </row>
    <row r="271" spans="2:5" ht="14.25" customHeight="1" x14ac:dyDescent="0.2">
      <c r="B271" s="35"/>
      <c r="C271" s="36"/>
      <c r="D271" s="36"/>
      <c r="E271" s="36"/>
    </row>
    <row r="272" spans="2:5" ht="14.25" customHeight="1" x14ac:dyDescent="0.2">
      <c r="B272" s="35"/>
      <c r="C272" s="36"/>
      <c r="D272" s="36"/>
      <c r="E272" s="36"/>
    </row>
    <row r="273" spans="2:5" ht="14.25" customHeight="1" x14ac:dyDescent="0.2">
      <c r="B273" s="35"/>
      <c r="C273" s="36"/>
      <c r="D273" s="36"/>
      <c r="E273" s="36"/>
    </row>
    <row r="274" spans="2:5" ht="14.25" customHeight="1" x14ac:dyDescent="0.2">
      <c r="B274" s="35"/>
      <c r="C274" s="36"/>
      <c r="D274" s="36"/>
      <c r="E274" s="36"/>
    </row>
    <row r="275" spans="2:5" ht="14.25" customHeight="1" x14ac:dyDescent="0.2">
      <c r="B275" s="35"/>
      <c r="C275" s="36"/>
      <c r="D275" s="36"/>
      <c r="E275" s="36"/>
    </row>
    <row r="276" spans="2:5" ht="14.25" customHeight="1" x14ac:dyDescent="0.2">
      <c r="B276" s="35"/>
      <c r="C276" s="36"/>
      <c r="D276" s="36"/>
      <c r="E276" s="36"/>
    </row>
    <row r="277" spans="2:5" ht="14.25" customHeight="1" x14ac:dyDescent="0.2">
      <c r="B277" s="35"/>
      <c r="C277" s="36"/>
      <c r="D277" s="36"/>
      <c r="E277" s="36"/>
    </row>
    <row r="278" spans="2:5" ht="14.25" customHeight="1" x14ac:dyDescent="0.2">
      <c r="B278" s="35"/>
      <c r="C278" s="36"/>
      <c r="D278" s="36"/>
      <c r="E278" s="36"/>
    </row>
    <row r="279" spans="2:5" ht="14.25" customHeight="1" x14ac:dyDescent="0.2">
      <c r="B279" s="35"/>
      <c r="C279" s="36"/>
      <c r="D279" s="36"/>
      <c r="E279" s="36"/>
    </row>
    <row r="280" spans="2:5" ht="14.25" customHeight="1" x14ac:dyDescent="0.2">
      <c r="B280" s="35"/>
      <c r="C280" s="36"/>
      <c r="D280" s="36"/>
      <c r="E280" s="36"/>
    </row>
    <row r="281" spans="2:5" ht="14.25" customHeight="1" x14ac:dyDescent="0.2">
      <c r="B281" s="35"/>
      <c r="C281" s="36"/>
      <c r="D281" s="36"/>
      <c r="E281" s="36"/>
    </row>
    <row r="282" spans="2:5" ht="14.25" customHeight="1" x14ac:dyDescent="0.2">
      <c r="B282" s="35"/>
      <c r="C282" s="36"/>
      <c r="D282" s="36"/>
      <c r="E282" s="36"/>
    </row>
    <row r="283" spans="2:5" ht="14.25" customHeight="1" x14ac:dyDescent="0.2">
      <c r="B283" s="35"/>
      <c r="C283" s="36"/>
      <c r="D283" s="36"/>
      <c r="E283" s="36"/>
    </row>
    <row r="284" spans="2:5" ht="14.25" customHeight="1" x14ac:dyDescent="0.2">
      <c r="B284" s="35"/>
      <c r="C284" s="36"/>
      <c r="D284" s="36"/>
      <c r="E284" s="36"/>
    </row>
    <row r="285" spans="2:5" ht="14.25" customHeight="1" x14ac:dyDescent="0.2">
      <c r="B285" s="35"/>
      <c r="C285" s="36"/>
      <c r="D285" s="36"/>
      <c r="E285" s="36"/>
    </row>
    <row r="286" spans="2:5" ht="14.25" customHeight="1" x14ac:dyDescent="0.2">
      <c r="B286" s="35"/>
      <c r="C286" s="36"/>
      <c r="D286" s="36"/>
      <c r="E286" s="36"/>
    </row>
    <row r="287" spans="2:5" ht="14.25" customHeight="1" x14ac:dyDescent="0.2">
      <c r="B287" s="35"/>
      <c r="C287" s="36"/>
      <c r="D287" s="36"/>
      <c r="E287" s="36"/>
    </row>
    <row r="288" spans="2:5" ht="14.25" customHeight="1" x14ac:dyDescent="0.2">
      <c r="B288" s="35"/>
      <c r="C288" s="36"/>
      <c r="D288" s="36"/>
      <c r="E288" s="36"/>
    </row>
    <row r="289" spans="2:5" ht="14.25" customHeight="1" x14ac:dyDescent="0.2">
      <c r="B289" s="35"/>
      <c r="C289" s="36"/>
      <c r="D289" s="36"/>
      <c r="E289" s="36"/>
    </row>
    <row r="290" spans="2:5" ht="14.25" customHeight="1" x14ac:dyDescent="0.2">
      <c r="B290" s="35"/>
      <c r="C290" s="36"/>
      <c r="D290" s="36"/>
      <c r="E290" s="36"/>
    </row>
    <row r="291" spans="2:5" ht="14.25" customHeight="1" x14ac:dyDescent="0.2">
      <c r="B291" s="35"/>
      <c r="C291" s="36"/>
      <c r="D291" s="36"/>
      <c r="E291" s="36"/>
    </row>
    <row r="292" spans="2:5" ht="14.25" customHeight="1" x14ac:dyDescent="0.2">
      <c r="B292" s="35"/>
      <c r="C292" s="36"/>
      <c r="D292" s="36"/>
      <c r="E292" s="36"/>
    </row>
    <row r="293" spans="2:5" ht="14.25" customHeight="1" x14ac:dyDescent="0.2">
      <c r="B293" s="35"/>
      <c r="C293" s="36"/>
      <c r="D293" s="36"/>
      <c r="E293" s="36"/>
    </row>
    <row r="294" spans="2:5" ht="14.25" customHeight="1" x14ac:dyDescent="0.2">
      <c r="B294" s="35"/>
      <c r="C294" s="36"/>
      <c r="D294" s="36"/>
      <c r="E294" s="36"/>
    </row>
    <row r="295" spans="2:5" ht="14.25" customHeight="1" x14ac:dyDescent="0.2">
      <c r="B295" s="35"/>
      <c r="C295" s="36"/>
      <c r="D295" s="36"/>
      <c r="E295" s="36"/>
    </row>
    <row r="296" spans="2:5" ht="14.25" customHeight="1" x14ac:dyDescent="0.2">
      <c r="B296" s="35"/>
      <c r="C296" s="36"/>
      <c r="D296" s="36"/>
      <c r="E296" s="36"/>
    </row>
    <row r="297" spans="2:5" ht="14.25" customHeight="1" x14ac:dyDescent="0.2">
      <c r="B297" s="35"/>
      <c r="C297" s="36"/>
      <c r="D297" s="36"/>
      <c r="E297" s="36"/>
    </row>
    <row r="298" spans="2:5" ht="14.25" customHeight="1" x14ac:dyDescent="0.2">
      <c r="B298" s="35"/>
      <c r="C298" s="36"/>
      <c r="D298" s="36"/>
      <c r="E298" s="36"/>
    </row>
    <row r="299" spans="2:5" ht="14.25" customHeight="1" x14ac:dyDescent="0.2">
      <c r="B299" s="35"/>
      <c r="C299" s="36"/>
      <c r="D299" s="36"/>
      <c r="E299" s="36"/>
    </row>
    <row r="300" spans="2:5" ht="14.25" customHeight="1" x14ac:dyDescent="0.2">
      <c r="B300" s="35"/>
      <c r="C300" s="36"/>
      <c r="D300" s="36"/>
      <c r="E300" s="36"/>
    </row>
    <row r="301" spans="2:5" ht="14.25" customHeight="1" x14ac:dyDescent="0.2">
      <c r="B301" s="35"/>
      <c r="C301" s="36"/>
      <c r="D301" s="36"/>
      <c r="E301" s="36"/>
    </row>
    <row r="302" spans="2:5" ht="14.25" customHeight="1" x14ac:dyDescent="0.2">
      <c r="B302" s="35"/>
      <c r="C302" s="36"/>
      <c r="D302" s="36"/>
      <c r="E302" s="36"/>
    </row>
    <row r="303" spans="2:5" ht="14.25" customHeight="1" x14ac:dyDescent="0.2">
      <c r="B303" s="35"/>
      <c r="C303" s="36"/>
      <c r="D303" s="36"/>
      <c r="E303" s="36"/>
    </row>
    <row r="304" spans="2:5" ht="14.25" customHeight="1" x14ac:dyDescent="0.2">
      <c r="B304" s="35"/>
      <c r="C304" s="36"/>
      <c r="D304" s="36"/>
      <c r="E304" s="36"/>
    </row>
    <row r="305" spans="2:5" ht="14.25" customHeight="1" x14ac:dyDescent="0.2">
      <c r="B305" s="35"/>
      <c r="C305" s="36"/>
      <c r="D305" s="36"/>
      <c r="E305" s="36"/>
    </row>
    <row r="306" spans="2:5" ht="14.25" customHeight="1" x14ac:dyDescent="0.2">
      <c r="B306" s="35"/>
      <c r="C306" s="36"/>
      <c r="D306" s="36"/>
      <c r="E306" s="36"/>
    </row>
    <row r="307" spans="2:5" ht="14.25" customHeight="1" x14ac:dyDescent="0.2">
      <c r="B307" s="35"/>
      <c r="C307" s="36"/>
      <c r="D307" s="36"/>
      <c r="E307" s="36"/>
    </row>
    <row r="308" spans="2:5" ht="14.25" customHeight="1" x14ac:dyDescent="0.2">
      <c r="B308" s="35"/>
      <c r="C308" s="36"/>
      <c r="D308" s="36"/>
      <c r="E308" s="36"/>
    </row>
    <row r="309" spans="2:5" ht="14.25" customHeight="1" x14ac:dyDescent="0.2">
      <c r="B309" s="35"/>
      <c r="C309" s="36"/>
      <c r="D309" s="36"/>
      <c r="E309" s="36"/>
    </row>
    <row r="310" spans="2:5" ht="14.25" customHeight="1" x14ac:dyDescent="0.2">
      <c r="B310" s="35"/>
      <c r="C310" s="36"/>
      <c r="D310" s="36"/>
      <c r="E310" s="36"/>
    </row>
    <row r="311" spans="2:5" ht="14.25" customHeight="1" x14ac:dyDescent="0.2">
      <c r="B311" s="35"/>
      <c r="C311" s="36"/>
      <c r="D311" s="36"/>
      <c r="E311" s="36"/>
    </row>
    <row r="312" spans="2:5" ht="14.25" customHeight="1" x14ac:dyDescent="0.2">
      <c r="B312" s="35"/>
      <c r="C312" s="36"/>
      <c r="D312" s="36"/>
      <c r="E312" s="36"/>
    </row>
    <row r="313" spans="2:5" ht="14.25" customHeight="1" x14ac:dyDescent="0.2">
      <c r="B313" s="35"/>
      <c r="C313" s="36"/>
      <c r="D313" s="36"/>
      <c r="E313" s="36"/>
    </row>
    <row r="314" spans="2:5" ht="14.25" customHeight="1" x14ac:dyDescent="0.2">
      <c r="B314" s="35"/>
      <c r="C314" s="36"/>
      <c r="D314" s="36"/>
      <c r="E314" s="36"/>
    </row>
    <row r="315" spans="2:5" ht="14.25" customHeight="1" x14ac:dyDescent="0.2">
      <c r="B315" s="35"/>
      <c r="C315" s="36"/>
      <c r="D315" s="36"/>
      <c r="E315" s="36"/>
    </row>
    <row r="316" spans="2:5" ht="14.25" customHeight="1" x14ac:dyDescent="0.2">
      <c r="B316" s="35"/>
      <c r="C316" s="36"/>
      <c r="D316" s="36"/>
      <c r="E316" s="36"/>
    </row>
    <row r="317" spans="2:5" ht="14.25" customHeight="1" x14ac:dyDescent="0.2">
      <c r="B317" s="35"/>
      <c r="C317" s="36"/>
      <c r="D317" s="36"/>
      <c r="E317" s="36"/>
    </row>
    <row r="318" spans="2:5" ht="14.25" customHeight="1" x14ac:dyDescent="0.2">
      <c r="B318" s="35"/>
      <c r="C318" s="36"/>
      <c r="D318" s="36"/>
      <c r="E318" s="36"/>
    </row>
    <row r="319" spans="2:5" ht="14.25" customHeight="1" x14ac:dyDescent="0.2">
      <c r="B319" s="35"/>
      <c r="C319" s="36"/>
      <c r="D319" s="36"/>
      <c r="E319" s="36"/>
    </row>
    <row r="320" spans="2:5" ht="14.25" customHeight="1" x14ac:dyDescent="0.2">
      <c r="B320" s="35"/>
      <c r="C320" s="36"/>
      <c r="D320" s="36"/>
      <c r="E320" s="36"/>
    </row>
    <row r="321" spans="2:5" ht="14.25" customHeight="1" x14ac:dyDescent="0.2">
      <c r="B321" s="35"/>
      <c r="C321" s="36"/>
      <c r="D321" s="36"/>
      <c r="E321" s="36"/>
    </row>
    <row r="322" spans="2:5" ht="14.25" customHeight="1" x14ac:dyDescent="0.2">
      <c r="B322" s="35"/>
      <c r="C322" s="36"/>
      <c r="D322" s="36"/>
      <c r="E322" s="36"/>
    </row>
    <row r="323" spans="2:5" ht="14.25" customHeight="1" x14ac:dyDescent="0.2">
      <c r="B323" s="35"/>
      <c r="C323" s="36"/>
      <c r="D323" s="36"/>
      <c r="E323" s="36"/>
    </row>
    <row r="324" spans="2:5" ht="14.25" customHeight="1" x14ac:dyDescent="0.2">
      <c r="B324" s="35"/>
      <c r="C324" s="36"/>
      <c r="D324" s="36"/>
      <c r="E324" s="36"/>
    </row>
    <row r="325" spans="2:5" ht="14.25" customHeight="1" x14ac:dyDescent="0.2">
      <c r="B325" s="35"/>
      <c r="C325" s="36"/>
      <c r="D325" s="36"/>
      <c r="E325" s="36"/>
    </row>
    <row r="326" spans="2:5" ht="14.25" customHeight="1" x14ac:dyDescent="0.2">
      <c r="B326" s="35"/>
      <c r="C326" s="36"/>
      <c r="D326" s="36"/>
      <c r="E326" s="36"/>
    </row>
    <row r="327" spans="2:5" ht="14.25" customHeight="1" x14ac:dyDescent="0.2">
      <c r="B327" s="35"/>
      <c r="C327" s="36"/>
      <c r="D327" s="36"/>
      <c r="E327" s="36"/>
    </row>
    <row r="328" spans="2:5" ht="14.25" customHeight="1" x14ac:dyDescent="0.2">
      <c r="B328" s="35"/>
      <c r="C328" s="36"/>
      <c r="D328" s="36"/>
      <c r="E328" s="36"/>
    </row>
    <row r="329" spans="2:5" ht="14.25" customHeight="1" x14ac:dyDescent="0.2">
      <c r="B329" s="35"/>
      <c r="C329" s="36"/>
      <c r="D329" s="36"/>
      <c r="E329" s="36"/>
    </row>
    <row r="330" spans="2:5" ht="14.25" customHeight="1" x14ac:dyDescent="0.2">
      <c r="B330" s="35"/>
      <c r="C330" s="36"/>
      <c r="D330" s="36"/>
      <c r="E330" s="36"/>
    </row>
    <row r="331" spans="2:5" ht="14.25" customHeight="1" x14ac:dyDescent="0.2">
      <c r="B331" s="35"/>
      <c r="C331" s="36"/>
      <c r="D331" s="36"/>
      <c r="E331" s="36"/>
    </row>
    <row r="332" spans="2:5" ht="14.25" customHeight="1" x14ac:dyDescent="0.2">
      <c r="B332" s="35"/>
      <c r="C332" s="36"/>
      <c r="D332" s="36"/>
      <c r="E332" s="36"/>
    </row>
    <row r="333" spans="2:5" ht="14.25" customHeight="1" x14ac:dyDescent="0.2">
      <c r="B333" s="35"/>
      <c r="C333" s="36"/>
      <c r="D333" s="36"/>
      <c r="E333" s="36"/>
    </row>
    <row r="334" spans="2:5" ht="14.25" customHeight="1" x14ac:dyDescent="0.2">
      <c r="B334" s="35"/>
      <c r="C334" s="36"/>
      <c r="D334" s="36"/>
      <c r="E334" s="36"/>
    </row>
    <row r="335" spans="2:5" ht="14.25" customHeight="1" x14ac:dyDescent="0.2">
      <c r="B335" s="35"/>
      <c r="C335" s="36"/>
      <c r="D335" s="36"/>
      <c r="E335" s="36"/>
    </row>
    <row r="336" spans="2:5" ht="14.25" customHeight="1" x14ac:dyDescent="0.2">
      <c r="B336" s="35"/>
      <c r="C336" s="36"/>
      <c r="D336" s="36"/>
      <c r="E336" s="36"/>
    </row>
    <row r="337" spans="2:5" ht="14.25" customHeight="1" x14ac:dyDescent="0.2">
      <c r="B337" s="35"/>
      <c r="C337" s="36"/>
      <c r="D337" s="36"/>
      <c r="E337" s="36"/>
    </row>
    <row r="338" spans="2:5" ht="14.25" customHeight="1" x14ac:dyDescent="0.2">
      <c r="B338" s="35"/>
      <c r="C338" s="36"/>
      <c r="D338" s="36"/>
      <c r="E338" s="36"/>
    </row>
    <row r="339" spans="2:5" ht="14.25" customHeight="1" x14ac:dyDescent="0.2">
      <c r="B339" s="35"/>
      <c r="C339" s="36"/>
      <c r="D339" s="36"/>
      <c r="E339" s="36"/>
    </row>
    <row r="340" spans="2:5" ht="14.25" customHeight="1" x14ac:dyDescent="0.2">
      <c r="B340" s="35"/>
      <c r="C340" s="36"/>
      <c r="D340" s="36"/>
      <c r="E340" s="36"/>
    </row>
    <row r="341" spans="2:5" ht="14.25" customHeight="1" x14ac:dyDescent="0.2">
      <c r="B341" s="35"/>
      <c r="C341" s="36"/>
      <c r="D341" s="36"/>
      <c r="E341" s="36"/>
    </row>
    <row r="342" spans="2:5" ht="14.25" customHeight="1" x14ac:dyDescent="0.2">
      <c r="B342" s="35"/>
      <c r="C342" s="36"/>
      <c r="D342" s="36"/>
      <c r="E342" s="36"/>
    </row>
    <row r="343" spans="2:5" ht="14.25" customHeight="1" x14ac:dyDescent="0.2">
      <c r="B343" s="35"/>
      <c r="C343" s="36"/>
      <c r="D343" s="36"/>
      <c r="E343" s="36"/>
    </row>
    <row r="344" spans="2:5" ht="14.25" customHeight="1" x14ac:dyDescent="0.2">
      <c r="B344" s="35"/>
      <c r="C344" s="36"/>
      <c r="D344" s="36"/>
      <c r="E344" s="36"/>
    </row>
    <row r="345" spans="2:5" ht="14.25" customHeight="1" x14ac:dyDescent="0.2">
      <c r="B345" s="35"/>
      <c r="C345" s="36"/>
      <c r="D345" s="36"/>
      <c r="E345" s="36"/>
    </row>
    <row r="346" spans="2:5" ht="14.25" customHeight="1" x14ac:dyDescent="0.2">
      <c r="B346" s="35"/>
      <c r="C346" s="36"/>
      <c r="D346" s="36"/>
      <c r="E346" s="36"/>
    </row>
    <row r="347" spans="2:5" ht="14.25" customHeight="1" x14ac:dyDescent="0.2">
      <c r="B347" s="35"/>
      <c r="C347" s="36"/>
      <c r="D347" s="36"/>
      <c r="E347" s="36"/>
    </row>
    <row r="348" spans="2:5" ht="14.25" customHeight="1" x14ac:dyDescent="0.2">
      <c r="B348" s="35"/>
      <c r="C348" s="36"/>
      <c r="D348" s="36"/>
      <c r="E348" s="36"/>
    </row>
    <row r="349" spans="2:5" ht="14.25" customHeight="1" x14ac:dyDescent="0.2">
      <c r="B349" s="35"/>
      <c r="C349" s="36"/>
      <c r="D349" s="36"/>
      <c r="E349" s="36"/>
    </row>
    <row r="350" spans="2:5" ht="14.25" customHeight="1" x14ac:dyDescent="0.2">
      <c r="B350" s="35"/>
      <c r="C350" s="36"/>
      <c r="D350" s="36"/>
      <c r="E350" s="36"/>
    </row>
    <row r="351" spans="2:5" ht="14.25" customHeight="1" x14ac:dyDescent="0.2">
      <c r="B351" s="35"/>
      <c r="C351" s="36"/>
      <c r="D351" s="36"/>
      <c r="E351" s="36"/>
    </row>
    <row r="352" spans="2:5" ht="14.25" customHeight="1" x14ac:dyDescent="0.2">
      <c r="B352" s="35"/>
      <c r="C352" s="36"/>
      <c r="D352" s="36"/>
      <c r="E352" s="36"/>
    </row>
    <row r="353" spans="2:5" ht="14.25" customHeight="1" x14ac:dyDescent="0.2">
      <c r="B353" s="35"/>
      <c r="C353" s="36"/>
      <c r="D353" s="36"/>
      <c r="E353" s="36"/>
    </row>
    <row r="354" spans="2:5" ht="14.25" customHeight="1" x14ac:dyDescent="0.2">
      <c r="B354" s="35"/>
      <c r="C354" s="36"/>
      <c r="D354" s="36"/>
      <c r="E354" s="36"/>
    </row>
    <row r="355" spans="2:5" ht="14.25" customHeight="1" x14ac:dyDescent="0.2">
      <c r="B355" s="35"/>
      <c r="C355" s="36"/>
      <c r="D355" s="36"/>
      <c r="E355" s="36"/>
    </row>
    <row r="356" spans="2:5" ht="14.25" customHeight="1" x14ac:dyDescent="0.2">
      <c r="B356" s="35"/>
      <c r="C356" s="36"/>
      <c r="D356" s="36"/>
      <c r="E356" s="36"/>
    </row>
    <row r="357" spans="2:5" ht="14.25" customHeight="1" x14ac:dyDescent="0.2">
      <c r="B357" s="35"/>
      <c r="C357" s="36"/>
      <c r="D357" s="36"/>
      <c r="E357" s="36"/>
    </row>
    <row r="358" spans="2:5" ht="14.25" customHeight="1" x14ac:dyDescent="0.2">
      <c r="B358" s="35"/>
      <c r="C358" s="36"/>
      <c r="D358" s="36"/>
      <c r="E358" s="36"/>
    </row>
    <row r="359" spans="2:5" ht="14.25" customHeight="1" x14ac:dyDescent="0.2">
      <c r="B359" s="35"/>
      <c r="C359" s="36"/>
      <c r="D359" s="36"/>
      <c r="E359" s="36"/>
    </row>
    <row r="360" spans="2:5" ht="14.25" customHeight="1" x14ac:dyDescent="0.2">
      <c r="B360" s="35"/>
      <c r="C360" s="36"/>
      <c r="D360" s="36"/>
      <c r="E360" s="36"/>
    </row>
    <row r="361" spans="2:5" ht="14.25" customHeight="1" x14ac:dyDescent="0.2">
      <c r="B361" s="35"/>
      <c r="C361" s="36"/>
      <c r="D361" s="36"/>
      <c r="E361" s="36"/>
    </row>
    <row r="362" spans="2:5" ht="14.25" customHeight="1" x14ac:dyDescent="0.2">
      <c r="B362" s="35"/>
      <c r="C362" s="36"/>
      <c r="D362" s="36"/>
      <c r="E362" s="36"/>
    </row>
    <row r="363" spans="2:5" ht="14.25" customHeight="1" x14ac:dyDescent="0.2">
      <c r="B363" s="35"/>
      <c r="C363" s="36"/>
      <c r="D363" s="36"/>
      <c r="E363" s="36"/>
    </row>
    <row r="364" spans="2:5" ht="14.25" customHeight="1" x14ac:dyDescent="0.2">
      <c r="B364" s="35"/>
      <c r="C364" s="36"/>
      <c r="D364" s="36"/>
      <c r="E364" s="36"/>
    </row>
    <row r="365" spans="2:5" ht="14.25" customHeight="1" x14ac:dyDescent="0.2">
      <c r="B365" s="35"/>
      <c r="C365" s="36"/>
      <c r="D365" s="36"/>
      <c r="E365" s="36"/>
    </row>
    <row r="366" spans="2:5" ht="14.25" customHeight="1" x14ac:dyDescent="0.2">
      <c r="B366" s="35"/>
      <c r="C366" s="36"/>
      <c r="D366" s="36"/>
      <c r="E366" s="36"/>
    </row>
    <row r="367" spans="2:5" ht="14.25" customHeight="1" x14ac:dyDescent="0.2">
      <c r="B367" s="35"/>
      <c r="C367" s="36"/>
      <c r="D367" s="36"/>
      <c r="E367" s="36"/>
    </row>
    <row r="368" spans="2:5" ht="14.25" customHeight="1" x14ac:dyDescent="0.2">
      <c r="B368" s="35"/>
      <c r="C368" s="36"/>
      <c r="D368" s="36"/>
      <c r="E368" s="36"/>
    </row>
    <row r="369" spans="2:5" ht="14.25" customHeight="1" x14ac:dyDescent="0.2">
      <c r="B369" s="35"/>
      <c r="C369" s="36"/>
      <c r="D369" s="36"/>
      <c r="E369" s="36"/>
    </row>
    <row r="370" spans="2:5" ht="14.25" customHeight="1" x14ac:dyDescent="0.2">
      <c r="B370" s="35"/>
      <c r="C370" s="36"/>
      <c r="D370" s="36"/>
      <c r="E370" s="36"/>
    </row>
    <row r="371" spans="2:5" ht="14.25" customHeight="1" x14ac:dyDescent="0.2">
      <c r="B371" s="35"/>
      <c r="C371" s="36"/>
      <c r="D371" s="36"/>
      <c r="E371" s="36"/>
    </row>
    <row r="372" spans="2:5" ht="14.25" customHeight="1" x14ac:dyDescent="0.2">
      <c r="B372" s="35"/>
      <c r="C372" s="36"/>
      <c r="D372" s="36"/>
      <c r="E372" s="36"/>
    </row>
    <row r="373" spans="2:5" ht="14.25" customHeight="1" x14ac:dyDescent="0.2">
      <c r="B373" s="35"/>
      <c r="C373" s="36"/>
      <c r="D373" s="36"/>
      <c r="E373" s="36"/>
    </row>
    <row r="374" spans="2:5" ht="14.25" customHeight="1" x14ac:dyDescent="0.2">
      <c r="B374" s="35"/>
      <c r="C374" s="36"/>
      <c r="D374" s="36"/>
      <c r="E374" s="36"/>
    </row>
    <row r="375" spans="2:5" ht="14.25" customHeight="1" x14ac:dyDescent="0.2">
      <c r="B375" s="35"/>
      <c r="C375" s="36"/>
      <c r="D375" s="36"/>
      <c r="E375" s="36"/>
    </row>
    <row r="376" spans="2:5" ht="14.25" customHeight="1" x14ac:dyDescent="0.2">
      <c r="B376" s="35"/>
      <c r="C376" s="36"/>
      <c r="D376" s="36"/>
      <c r="E376" s="36"/>
    </row>
    <row r="377" spans="2:5" ht="14.25" customHeight="1" x14ac:dyDescent="0.2">
      <c r="B377" s="35"/>
      <c r="C377" s="36"/>
      <c r="D377" s="36"/>
      <c r="E377" s="36"/>
    </row>
    <row r="378" spans="2:5" ht="14.25" customHeight="1" x14ac:dyDescent="0.2">
      <c r="B378" s="35"/>
      <c r="C378" s="36"/>
      <c r="D378" s="36"/>
      <c r="E378" s="36"/>
    </row>
    <row r="379" spans="2:5" ht="14.25" customHeight="1" x14ac:dyDescent="0.2">
      <c r="B379" s="35"/>
      <c r="C379" s="36"/>
      <c r="D379" s="36"/>
      <c r="E379" s="36"/>
    </row>
    <row r="380" spans="2:5" ht="14.25" customHeight="1" x14ac:dyDescent="0.2">
      <c r="B380" s="35"/>
      <c r="C380" s="36"/>
      <c r="D380" s="36"/>
      <c r="E380" s="36"/>
    </row>
    <row r="381" spans="2:5" ht="14.25" customHeight="1" x14ac:dyDescent="0.2">
      <c r="B381" s="35"/>
      <c r="C381" s="36"/>
      <c r="D381" s="36"/>
      <c r="E381" s="36"/>
    </row>
    <row r="382" spans="2:5" ht="14.25" customHeight="1" x14ac:dyDescent="0.2">
      <c r="B382" s="35"/>
      <c r="C382" s="36"/>
      <c r="D382" s="36"/>
      <c r="E382" s="36"/>
    </row>
    <row r="383" spans="2:5" ht="14.25" customHeight="1" x14ac:dyDescent="0.2">
      <c r="B383" s="35"/>
      <c r="C383" s="36"/>
      <c r="D383" s="36"/>
      <c r="E383" s="36"/>
    </row>
    <row r="384" spans="2:5" ht="14.25" customHeight="1" x14ac:dyDescent="0.2">
      <c r="B384" s="35"/>
      <c r="C384" s="36"/>
      <c r="D384" s="36"/>
      <c r="E384" s="36"/>
    </row>
    <row r="385" spans="2:5" ht="14.25" customHeight="1" x14ac:dyDescent="0.2">
      <c r="B385" s="35"/>
      <c r="C385" s="36"/>
      <c r="D385" s="36"/>
      <c r="E385" s="36"/>
    </row>
    <row r="386" spans="2:5" ht="14.25" customHeight="1" x14ac:dyDescent="0.2">
      <c r="B386" s="35"/>
      <c r="C386" s="36"/>
      <c r="D386" s="36"/>
      <c r="E386" s="36"/>
    </row>
    <row r="387" spans="2:5" ht="14.25" customHeight="1" x14ac:dyDescent="0.2">
      <c r="B387" s="35"/>
      <c r="C387" s="36"/>
      <c r="D387" s="36"/>
      <c r="E387" s="36"/>
    </row>
    <row r="388" spans="2:5" ht="14.25" customHeight="1" x14ac:dyDescent="0.2">
      <c r="B388" s="35"/>
      <c r="C388" s="36"/>
      <c r="D388" s="36"/>
      <c r="E388" s="36"/>
    </row>
    <row r="389" spans="2:5" ht="14.25" customHeight="1" x14ac:dyDescent="0.2">
      <c r="B389" s="35"/>
      <c r="C389" s="36"/>
      <c r="D389" s="36"/>
      <c r="E389" s="36"/>
    </row>
    <row r="390" spans="2:5" ht="14.25" customHeight="1" x14ac:dyDescent="0.2">
      <c r="B390" s="35"/>
      <c r="C390" s="36"/>
      <c r="D390" s="36"/>
      <c r="E390" s="36"/>
    </row>
    <row r="391" spans="2:5" ht="14.25" customHeight="1" x14ac:dyDescent="0.2">
      <c r="B391" s="35"/>
      <c r="C391" s="36"/>
      <c r="D391" s="36"/>
      <c r="E391" s="36"/>
    </row>
    <row r="392" spans="2:5" ht="14.25" customHeight="1" x14ac:dyDescent="0.2">
      <c r="B392" s="35"/>
      <c r="C392" s="36"/>
      <c r="D392" s="36"/>
      <c r="E392" s="36"/>
    </row>
    <row r="393" spans="2:5" ht="14.25" customHeight="1" x14ac:dyDescent="0.2">
      <c r="B393" s="35"/>
      <c r="C393" s="36"/>
      <c r="D393" s="36"/>
      <c r="E393" s="36"/>
    </row>
    <row r="394" spans="2:5" ht="14.25" customHeight="1" x14ac:dyDescent="0.2">
      <c r="B394" s="35"/>
      <c r="C394" s="36"/>
      <c r="D394" s="36"/>
      <c r="E394" s="36"/>
    </row>
    <row r="395" spans="2:5" ht="14.25" customHeight="1" x14ac:dyDescent="0.2">
      <c r="B395" s="35"/>
      <c r="C395" s="36"/>
      <c r="D395" s="36"/>
      <c r="E395" s="36"/>
    </row>
    <row r="396" spans="2:5" ht="14.25" customHeight="1" x14ac:dyDescent="0.2">
      <c r="B396" s="35"/>
      <c r="C396" s="36"/>
      <c r="D396" s="36"/>
      <c r="E396" s="36"/>
    </row>
    <row r="397" spans="2:5" ht="14.25" customHeight="1" x14ac:dyDescent="0.2">
      <c r="B397" s="35"/>
      <c r="C397" s="36"/>
      <c r="D397" s="36"/>
      <c r="E397" s="36"/>
    </row>
    <row r="398" spans="2:5" ht="14.25" customHeight="1" x14ac:dyDescent="0.2">
      <c r="B398" s="35"/>
      <c r="C398" s="36"/>
      <c r="D398" s="36"/>
      <c r="E398" s="36"/>
    </row>
    <row r="399" spans="2:5" ht="14.25" customHeight="1" x14ac:dyDescent="0.2">
      <c r="B399" s="35"/>
      <c r="C399" s="36"/>
      <c r="D399" s="36"/>
      <c r="E399" s="36"/>
    </row>
    <row r="400" spans="2:5" ht="14.25" customHeight="1" x14ac:dyDescent="0.2">
      <c r="B400" s="35"/>
      <c r="C400" s="36"/>
      <c r="D400" s="36"/>
      <c r="E400" s="36"/>
    </row>
    <row r="401" spans="2:5" ht="14.25" customHeight="1" x14ac:dyDescent="0.2">
      <c r="B401" s="35"/>
      <c r="C401" s="36"/>
      <c r="D401" s="36"/>
      <c r="E401" s="36"/>
    </row>
    <row r="402" spans="2:5" ht="14.25" customHeight="1" x14ac:dyDescent="0.2">
      <c r="B402" s="35"/>
      <c r="C402" s="36"/>
      <c r="D402" s="36"/>
      <c r="E402" s="36"/>
    </row>
    <row r="403" spans="2:5" ht="14.25" customHeight="1" x14ac:dyDescent="0.2">
      <c r="B403" s="35"/>
      <c r="C403" s="36"/>
      <c r="D403" s="36"/>
      <c r="E403" s="36"/>
    </row>
    <row r="404" spans="2:5" ht="14.25" customHeight="1" x14ac:dyDescent="0.2">
      <c r="B404" s="35"/>
      <c r="C404" s="36"/>
      <c r="D404" s="36"/>
      <c r="E404" s="36"/>
    </row>
    <row r="405" spans="2:5" ht="14.25" customHeight="1" x14ac:dyDescent="0.2">
      <c r="B405" s="35"/>
      <c r="C405" s="36"/>
      <c r="D405" s="36"/>
      <c r="E405" s="36"/>
    </row>
    <row r="406" spans="2:5" ht="14.25" customHeight="1" x14ac:dyDescent="0.2">
      <c r="B406" s="35"/>
      <c r="C406" s="36"/>
      <c r="D406" s="36"/>
      <c r="E406" s="36"/>
    </row>
    <row r="407" spans="2:5" ht="14.25" customHeight="1" x14ac:dyDescent="0.2">
      <c r="B407" s="35"/>
      <c r="C407" s="36"/>
      <c r="D407" s="36"/>
      <c r="E407" s="36"/>
    </row>
    <row r="408" spans="2:5" ht="14.25" customHeight="1" x14ac:dyDescent="0.2">
      <c r="B408" s="35"/>
      <c r="C408" s="36"/>
      <c r="D408" s="36"/>
      <c r="E408" s="36"/>
    </row>
    <row r="409" spans="2:5" ht="14.25" customHeight="1" x14ac:dyDescent="0.2">
      <c r="B409" s="35"/>
      <c r="C409" s="36"/>
      <c r="D409" s="36"/>
      <c r="E409" s="36"/>
    </row>
    <row r="410" spans="2:5" ht="14.25" customHeight="1" x14ac:dyDescent="0.2">
      <c r="B410" s="35"/>
      <c r="C410" s="36"/>
      <c r="D410" s="36"/>
      <c r="E410" s="36"/>
    </row>
    <row r="411" spans="2:5" ht="14.25" customHeight="1" x14ac:dyDescent="0.2">
      <c r="B411" s="35"/>
      <c r="C411" s="36"/>
      <c r="D411" s="36"/>
      <c r="E411" s="36"/>
    </row>
    <row r="412" spans="2:5" ht="14.25" customHeight="1" x14ac:dyDescent="0.2">
      <c r="B412" s="35"/>
      <c r="C412" s="36"/>
      <c r="D412" s="36"/>
      <c r="E412" s="36"/>
    </row>
    <row r="413" spans="2:5" ht="14.25" customHeight="1" x14ac:dyDescent="0.2">
      <c r="B413" s="35"/>
      <c r="C413" s="36"/>
      <c r="D413" s="36"/>
      <c r="E413" s="36"/>
    </row>
    <row r="414" spans="2:5" ht="14.25" customHeight="1" x14ac:dyDescent="0.2">
      <c r="B414" s="35"/>
      <c r="C414" s="36"/>
      <c r="D414" s="36"/>
      <c r="E414" s="36"/>
    </row>
    <row r="415" spans="2:5" ht="14.25" customHeight="1" x14ac:dyDescent="0.2">
      <c r="B415" s="35"/>
      <c r="C415" s="36"/>
      <c r="D415" s="36"/>
      <c r="E415" s="36"/>
    </row>
    <row r="416" spans="2:5" ht="14.25" customHeight="1" x14ac:dyDescent="0.2">
      <c r="B416" s="35"/>
      <c r="C416" s="36"/>
      <c r="D416" s="36"/>
      <c r="E416" s="36"/>
    </row>
    <row r="417" spans="2:5" ht="14.25" customHeight="1" x14ac:dyDescent="0.2">
      <c r="B417" s="35"/>
      <c r="C417" s="36"/>
      <c r="D417" s="36"/>
      <c r="E417" s="36"/>
    </row>
    <row r="418" spans="2:5" ht="14.25" customHeight="1" x14ac:dyDescent="0.2">
      <c r="B418" s="35"/>
      <c r="C418" s="36"/>
      <c r="D418" s="36"/>
      <c r="E418" s="36"/>
    </row>
    <row r="419" spans="2:5" ht="14.25" customHeight="1" x14ac:dyDescent="0.2">
      <c r="B419" s="35"/>
      <c r="C419" s="36"/>
      <c r="D419" s="36"/>
      <c r="E419" s="36"/>
    </row>
    <row r="420" spans="2:5" ht="14.25" customHeight="1" x14ac:dyDescent="0.2">
      <c r="B420" s="35"/>
      <c r="C420" s="36"/>
      <c r="D420" s="36"/>
      <c r="E420" s="36"/>
    </row>
    <row r="421" spans="2:5" ht="14.25" customHeight="1" x14ac:dyDescent="0.2">
      <c r="B421" s="35"/>
      <c r="C421" s="36"/>
      <c r="D421" s="36"/>
      <c r="E421" s="36"/>
    </row>
    <row r="422" spans="2:5" ht="14.25" customHeight="1" x14ac:dyDescent="0.2">
      <c r="B422" s="35"/>
      <c r="C422" s="36"/>
      <c r="D422" s="36"/>
      <c r="E422" s="36"/>
    </row>
    <row r="423" spans="2:5" ht="14.25" customHeight="1" x14ac:dyDescent="0.2">
      <c r="B423" s="35"/>
      <c r="C423" s="36"/>
      <c r="D423" s="36"/>
      <c r="E423" s="36"/>
    </row>
    <row r="424" spans="2:5" ht="14.25" customHeight="1" x14ac:dyDescent="0.2">
      <c r="B424" s="35"/>
      <c r="C424" s="36"/>
      <c r="D424" s="36"/>
      <c r="E424" s="36"/>
    </row>
    <row r="425" spans="2:5" ht="14.25" customHeight="1" x14ac:dyDescent="0.2">
      <c r="B425" s="35"/>
      <c r="C425" s="36"/>
      <c r="D425" s="36"/>
      <c r="E425" s="36"/>
    </row>
    <row r="426" spans="2:5" ht="14.25" customHeight="1" x14ac:dyDescent="0.2">
      <c r="B426" s="35"/>
      <c r="C426" s="36"/>
      <c r="D426" s="36"/>
      <c r="E426" s="36"/>
    </row>
    <row r="427" spans="2:5" ht="14.25" customHeight="1" x14ac:dyDescent="0.2">
      <c r="B427" s="35"/>
      <c r="C427" s="36"/>
      <c r="D427" s="36"/>
      <c r="E427" s="36"/>
    </row>
    <row r="428" spans="2:5" ht="14.25" customHeight="1" x14ac:dyDescent="0.2">
      <c r="B428" s="35"/>
      <c r="C428" s="36"/>
      <c r="D428" s="36"/>
      <c r="E428" s="36"/>
    </row>
    <row r="429" spans="2:5" ht="14.25" customHeight="1" x14ac:dyDescent="0.2">
      <c r="B429" s="35"/>
      <c r="C429" s="36"/>
      <c r="D429" s="36"/>
      <c r="E429" s="36"/>
    </row>
    <row r="430" spans="2:5" ht="14.25" customHeight="1" x14ac:dyDescent="0.2">
      <c r="B430" s="35"/>
      <c r="C430" s="36"/>
      <c r="D430" s="36"/>
      <c r="E430" s="36"/>
    </row>
    <row r="431" spans="2:5" ht="14.25" customHeight="1" x14ac:dyDescent="0.2">
      <c r="B431" s="35"/>
      <c r="C431" s="36"/>
      <c r="D431" s="36"/>
      <c r="E431" s="36"/>
    </row>
    <row r="432" spans="2:5" ht="14.25" customHeight="1" x14ac:dyDescent="0.2">
      <c r="B432" s="35"/>
      <c r="C432" s="36"/>
      <c r="D432" s="36"/>
      <c r="E432" s="36"/>
    </row>
    <row r="433" spans="2:5" ht="14.25" customHeight="1" x14ac:dyDescent="0.2">
      <c r="B433" s="35"/>
      <c r="C433" s="36"/>
      <c r="D433" s="36"/>
      <c r="E433" s="36"/>
    </row>
    <row r="434" spans="2:5" ht="14.25" customHeight="1" x14ac:dyDescent="0.2">
      <c r="B434" s="35"/>
      <c r="C434" s="36"/>
      <c r="D434" s="36"/>
      <c r="E434" s="36"/>
    </row>
    <row r="435" spans="2:5" ht="14.25" customHeight="1" x14ac:dyDescent="0.2">
      <c r="B435" s="35"/>
      <c r="C435" s="36"/>
      <c r="D435" s="36"/>
      <c r="E435" s="36"/>
    </row>
    <row r="436" spans="2:5" ht="14.25" customHeight="1" x14ac:dyDescent="0.2">
      <c r="B436" s="35"/>
      <c r="C436" s="36"/>
      <c r="D436" s="36"/>
      <c r="E436" s="36"/>
    </row>
    <row r="437" spans="2:5" ht="14.25" customHeight="1" x14ac:dyDescent="0.2">
      <c r="B437" s="35"/>
      <c r="C437" s="36"/>
      <c r="D437" s="36"/>
      <c r="E437" s="36"/>
    </row>
    <row r="438" spans="2:5" ht="14.25" customHeight="1" x14ac:dyDescent="0.2">
      <c r="B438" s="35"/>
      <c r="C438" s="36"/>
      <c r="D438" s="36"/>
      <c r="E438" s="36"/>
    </row>
    <row r="439" spans="2:5" ht="14.25" customHeight="1" x14ac:dyDescent="0.2">
      <c r="B439" s="35"/>
      <c r="C439" s="36"/>
      <c r="D439" s="36"/>
      <c r="E439" s="36"/>
    </row>
    <row r="440" spans="2:5" ht="14.25" customHeight="1" x14ac:dyDescent="0.2">
      <c r="B440" s="35"/>
      <c r="C440" s="36"/>
      <c r="D440" s="36"/>
      <c r="E440" s="36"/>
    </row>
    <row r="441" spans="2:5" ht="14.25" customHeight="1" x14ac:dyDescent="0.2">
      <c r="B441" s="35"/>
      <c r="C441" s="36"/>
      <c r="D441" s="36"/>
      <c r="E441" s="36"/>
    </row>
    <row r="442" spans="2:5" ht="14.25" customHeight="1" x14ac:dyDescent="0.2">
      <c r="B442" s="35"/>
      <c r="C442" s="36"/>
      <c r="D442" s="36"/>
      <c r="E442" s="36"/>
    </row>
    <row r="443" spans="2:5" ht="14.25" customHeight="1" x14ac:dyDescent="0.2">
      <c r="B443" s="35"/>
      <c r="C443" s="36"/>
      <c r="D443" s="36"/>
      <c r="E443" s="36"/>
    </row>
    <row r="444" spans="2:5" ht="14.25" customHeight="1" x14ac:dyDescent="0.2">
      <c r="B444" s="35"/>
      <c r="C444" s="36"/>
      <c r="D444" s="36"/>
      <c r="E444" s="36"/>
    </row>
    <row r="445" spans="2:5" ht="14.25" customHeight="1" x14ac:dyDescent="0.2">
      <c r="B445" s="35"/>
      <c r="C445" s="36"/>
      <c r="D445" s="36"/>
      <c r="E445" s="36"/>
    </row>
    <row r="446" spans="2:5" ht="14.25" customHeight="1" x14ac:dyDescent="0.2">
      <c r="B446" s="35"/>
      <c r="C446" s="36"/>
      <c r="D446" s="36"/>
      <c r="E446" s="36"/>
    </row>
    <row r="447" spans="2:5" ht="14.25" customHeight="1" x14ac:dyDescent="0.2">
      <c r="B447" s="35"/>
      <c r="C447" s="36"/>
      <c r="D447" s="36"/>
      <c r="E447" s="36"/>
    </row>
    <row r="448" spans="2:5" ht="14.25" customHeight="1" x14ac:dyDescent="0.2">
      <c r="B448" s="35"/>
      <c r="C448" s="36"/>
      <c r="D448" s="36"/>
      <c r="E448" s="36"/>
    </row>
    <row r="449" spans="2:5" ht="14.25" customHeight="1" x14ac:dyDescent="0.2">
      <c r="B449" s="35"/>
      <c r="C449" s="36"/>
      <c r="D449" s="36"/>
      <c r="E449" s="36"/>
    </row>
    <row r="450" spans="2:5" ht="14.25" customHeight="1" x14ac:dyDescent="0.2">
      <c r="B450" s="35"/>
      <c r="C450" s="36"/>
      <c r="D450" s="36"/>
      <c r="E450" s="36"/>
    </row>
    <row r="451" spans="2:5" ht="14.25" customHeight="1" x14ac:dyDescent="0.2">
      <c r="B451" s="35"/>
      <c r="C451" s="36"/>
      <c r="D451" s="36"/>
      <c r="E451" s="36"/>
    </row>
    <row r="452" spans="2:5" ht="14.25" customHeight="1" x14ac:dyDescent="0.2">
      <c r="B452" s="35"/>
      <c r="C452" s="36"/>
      <c r="D452" s="36"/>
      <c r="E452" s="36"/>
    </row>
    <row r="453" spans="2:5" ht="14.25" customHeight="1" x14ac:dyDescent="0.2">
      <c r="B453" s="35"/>
      <c r="C453" s="36"/>
      <c r="D453" s="36"/>
      <c r="E453" s="36"/>
    </row>
    <row r="454" spans="2:5" ht="14.25" customHeight="1" x14ac:dyDescent="0.2">
      <c r="B454" s="35"/>
      <c r="C454" s="36"/>
      <c r="D454" s="36"/>
      <c r="E454" s="36"/>
    </row>
    <row r="455" spans="2:5" ht="14.25" customHeight="1" x14ac:dyDescent="0.2">
      <c r="B455" s="35"/>
      <c r="C455" s="36"/>
      <c r="D455" s="36"/>
      <c r="E455" s="36"/>
    </row>
    <row r="456" spans="2:5" ht="14.25" customHeight="1" x14ac:dyDescent="0.2">
      <c r="B456" s="35"/>
      <c r="C456" s="36"/>
      <c r="D456" s="36"/>
      <c r="E456" s="36"/>
    </row>
    <row r="457" spans="2:5" ht="14.25" customHeight="1" x14ac:dyDescent="0.2">
      <c r="B457" s="35"/>
      <c r="C457" s="36"/>
      <c r="D457" s="36"/>
      <c r="E457" s="36"/>
    </row>
    <row r="458" spans="2:5" ht="14.25" customHeight="1" x14ac:dyDescent="0.2">
      <c r="B458" s="35"/>
      <c r="C458" s="36"/>
      <c r="D458" s="36"/>
      <c r="E458" s="36"/>
    </row>
    <row r="459" spans="2:5" ht="14.25" customHeight="1" x14ac:dyDescent="0.2">
      <c r="B459" s="35"/>
      <c r="C459" s="36"/>
      <c r="D459" s="36"/>
      <c r="E459" s="36"/>
    </row>
    <row r="460" spans="2:5" ht="14.25" customHeight="1" x14ac:dyDescent="0.2">
      <c r="B460" s="35"/>
      <c r="C460" s="36"/>
      <c r="D460" s="36"/>
      <c r="E460" s="36"/>
    </row>
    <row r="461" spans="2:5" ht="14.25" customHeight="1" x14ac:dyDescent="0.2">
      <c r="B461" s="35"/>
      <c r="C461" s="36"/>
      <c r="D461" s="36"/>
      <c r="E461" s="36"/>
    </row>
    <row r="462" spans="2:5" ht="14.25" customHeight="1" x14ac:dyDescent="0.2">
      <c r="B462" s="35"/>
      <c r="C462" s="36"/>
      <c r="D462" s="36"/>
      <c r="E462" s="36"/>
    </row>
    <row r="463" spans="2:5" ht="14.25" customHeight="1" x14ac:dyDescent="0.2">
      <c r="B463" s="35"/>
      <c r="C463" s="36"/>
      <c r="D463" s="36"/>
      <c r="E463" s="36"/>
    </row>
    <row r="464" spans="2:5" ht="14.25" customHeight="1" x14ac:dyDescent="0.2">
      <c r="B464" s="35"/>
      <c r="C464" s="36"/>
      <c r="D464" s="36"/>
      <c r="E464" s="36"/>
    </row>
    <row r="465" spans="2:5" ht="14.25" customHeight="1" x14ac:dyDescent="0.2">
      <c r="B465" s="35"/>
      <c r="C465" s="36"/>
      <c r="D465" s="36"/>
      <c r="E465" s="36"/>
    </row>
    <row r="466" spans="2:5" ht="14.25" customHeight="1" x14ac:dyDescent="0.2">
      <c r="B466" s="35"/>
      <c r="C466" s="36"/>
      <c r="D466" s="36"/>
      <c r="E466" s="36"/>
    </row>
    <row r="467" spans="2:5" ht="14.25" customHeight="1" x14ac:dyDescent="0.2">
      <c r="B467" s="35"/>
      <c r="C467" s="36"/>
      <c r="D467" s="36"/>
      <c r="E467" s="36"/>
    </row>
    <row r="468" spans="2:5" ht="14.25" customHeight="1" x14ac:dyDescent="0.2">
      <c r="B468" s="35"/>
      <c r="C468" s="36"/>
      <c r="D468" s="36"/>
      <c r="E468" s="36"/>
    </row>
    <row r="469" spans="2:5" ht="14.25" customHeight="1" x14ac:dyDescent="0.2">
      <c r="B469" s="35"/>
      <c r="C469" s="36"/>
      <c r="D469" s="36"/>
      <c r="E469" s="36"/>
    </row>
    <row r="470" spans="2:5" ht="14.25" customHeight="1" x14ac:dyDescent="0.2">
      <c r="B470" s="35"/>
      <c r="C470" s="36"/>
      <c r="D470" s="36"/>
      <c r="E470" s="36"/>
    </row>
    <row r="471" spans="2:5" ht="14.25" customHeight="1" x14ac:dyDescent="0.2">
      <c r="B471" s="35"/>
      <c r="C471" s="36"/>
      <c r="D471" s="36"/>
      <c r="E471" s="36"/>
    </row>
    <row r="472" spans="2:5" ht="14.25" customHeight="1" x14ac:dyDescent="0.2">
      <c r="B472" s="35"/>
      <c r="C472" s="36"/>
      <c r="D472" s="36"/>
      <c r="E472" s="36"/>
    </row>
    <row r="473" spans="2:5" ht="14.25" customHeight="1" x14ac:dyDescent="0.2">
      <c r="B473" s="35"/>
      <c r="C473" s="36"/>
      <c r="D473" s="36"/>
      <c r="E473" s="36"/>
    </row>
    <row r="474" spans="2:5" ht="14.25" customHeight="1" x14ac:dyDescent="0.2">
      <c r="B474" s="35"/>
      <c r="C474" s="36"/>
      <c r="D474" s="36"/>
      <c r="E474" s="36"/>
    </row>
    <row r="475" spans="2:5" ht="14.25" customHeight="1" x14ac:dyDescent="0.2">
      <c r="B475" s="35"/>
      <c r="C475" s="36"/>
      <c r="D475" s="36"/>
      <c r="E475" s="36"/>
    </row>
    <row r="476" spans="2:5" ht="14.25" customHeight="1" x14ac:dyDescent="0.2">
      <c r="B476" s="35"/>
      <c r="C476" s="36"/>
      <c r="D476" s="36"/>
      <c r="E476" s="36"/>
    </row>
    <row r="477" spans="2:5" ht="14.25" customHeight="1" x14ac:dyDescent="0.2">
      <c r="B477" s="35"/>
      <c r="C477" s="36"/>
      <c r="D477" s="36"/>
      <c r="E477" s="36"/>
    </row>
    <row r="478" spans="2:5" ht="14.25" customHeight="1" x14ac:dyDescent="0.2">
      <c r="B478" s="35"/>
      <c r="C478" s="36"/>
      <c r="D478" s="36"/>
      <c r="E478" s="36"/>
    </row>
    <row r="479" spans="2:5" ht="14.25" customHeight="1" x14ac:dyDescent="0.2">
      <c r="B479" s="35"/>
      <c r="C479" s="36"/>
      <c r="D479" s="36"/>
      <c r="E479" s="36"/>
    </row>
    <row r="480" spans="2:5" ht="14.25" customHeight="1" x14ac:dyDescent="0.2">
      <c r="B480" s="35"/>
      <c r="C480" s="36"/>
      <c r="D480" s="36"/>
      <c r="E480" s="36"/>
    </row>
    <row r="481" spans="2:5" ht="14.25" customHeight="1" x14ac:dyDescent="0.2">
      <c r="B481" s="35"/>
      <c r="C481" s="36"/>
      <c r="D481" s="36"/>
      <c r="E481" s="36"/>
    </row>
    <row r="482" spans="2:5" ht="14.25" customHeight="1" x14ac:dyDescent="0.2">
      <c r="B482" s="35"/>
      <c r="C482" s="36"/>
      <c r="D482" s="36"/>
      <c r="E482" s="36"/>
    </row>
    <row r="483" spans="2:5" ht="14.25" customHeight="1" x14ac:dyDescent="0.2">
      <c r="B483" s="35"/>
      <c r="C483" s="36"/>
      <c r="D483" s="36"/>
      <c r="E483" s="36"/>
    </row>
    <row r="484" spans="2:5" ht="14.25" customHeight="1" x14ac:dyDescent="0.2">
      <c r="B484" s="35"/>
      <c r="C484" s="36"/>
      <c r="D484" s="36"/>
      <c r="E484" s="36"/>
    </row>
    <row r="485" spans="2:5" ht="14.25" customHeight="1" x14ac:dyDescent="0.2">
      <c r="B485" s="35"/>
      <c r="C485" s="36"/>
      <c r="D485" s="36"/>
      <c r="E485" s="36"/>
    </row>
    <row r="486" spans="2:5" ht="14.25" customHeight="1" x14ac:dyDescent="0.2">
      <c r="B486" s="35"/>
      <c r="C486" s="36"/>
      <c r="D486" s="36"/>
      <c r="E486" s="36"/>
    </row>
    <row r="487" spans="2:5" ht="14.25" customHeight="1" x14ac:dyDescent="0.2">
      <c r="B487" s="35"/>
      <c r="C487" s="36"/>
      <c r="D487" s="36"/>
      <c r="E487" s="36"/>
    </row>
    <row r="488" spans="2:5" ht="14.25" customHeight="1" x14ac:dyDescent="0.2">
      <c r="B488" s="35"/>
      <c r="C488" s="36"/>
      <c r="D488" s="36"/>
      <c r="E488" s="36"/>
    </row>
    <row r="489" spans="2:5" ht="14.25" customHeight="1" x14ac:dyDescent="0.2">
      <c r="B489" s="35"/>
      <c r="C489" s="36"/>
      <c r="D489" s="36"/>
      <c r="E489" s="36"/>
    </row>
    <row r="490" spans="2:5" ht="14.25" customHeight="1" x14ac:dyDescent="0.2">
      <c r="B490" s="35"/>
      <c r="C490" s="36"/>
      <c r="D490" s="36"/>
      <c r="E490" s="36"/>
    </row>
    <row r="491" spans="2:5" ht="14.25" customHeight="1" x14ac:dyDescent="0.2">
      <c r="B491" s="35"/>
      <c r="C491" s="36"/>
      <c r="D491" s="36"/>
      <c r="E491" s="36"/>
    </row>
    <row r="492" spans="2:5" ht="14.25" customHeight="1" x14ac:dyDescent="0.2">
      <c r="B492" s="35"/>
      <c r="C492" s="36"/>
      <c r="D492" s="36"/>
      <c r="E492" s="36"/>
    </row>
    <row r="493" spans="2:5" ht="14.25" customHeight="1" x14ac:dyDescent="0.2">
      <c r="B493" s="35"/>
      <c r="C493" s="36"/>
      <c r="D493" s="36"/>
      <c r="E493" s="36"/>
    </row>
    <row r="494" spans="2:5" ht="14.25" customHeight="1" x14ac:dyDescent="0.2">
      <c r="B494" s="35"/>
      <c r="C494" s="36"/>
      <c r="D494" s="36"/>
      <c r="E494" s="36"/>
    </row>
    <row r="495" spans="2:5" ht="14.25" customHeight="1" x14ac:dyDescent="0.2">
      <c r="B495" s="35"/>
      <c r="C495" s="36"/>
      <c r="D495" s="36"/>
      <c r="E495" s="36"/>
    </row>
    <row r="496" spans="2:5" ht="14.25" customHeight="1" x14ac:dyDescent="0.2">
      <c r="B496" s="35"/>
      <c r="C496" s="36"/>
      <c r="D496" s="36"/>
      <c r="E496" s="36"/>
    </row>
    <row r="497" spans="2:5" ht="14.25" customHeight="1" x14ac:dyDescent="0.2">
      <c r="B497" s="35"/>
      <c r="C497" s="36"/>
      <c r="D497" s="36"/>
      <c r="E497" s="36"/>
    </row>
    <row r="498" spans="2:5" ht="14.25" customHeight="1" x14ac:dyDescent="0.2">
      <c r="B498" s="35"/>
      <c r="C498" s="36"/>
      <c r="D498" s="36"/>
      <c r="E498" s="36"/>
    </row>
    <row r="499" spans="2:5" ht="14.25" customHeight="1" x14ac:dyDescent="0.2">
      <c r="B499" s="35"/>
      <c r="C499" s="36"/>
      <c r="D499" s="36"/>
      <c r="E499" s="36"/>
    </row>
    <row r="500" spans="2:5" ht="14.25" customHeight="1" x14ac:dyDescent="0.2">
      <c r="B500" s="35"/>
      <c r="C500" s="36"/>
      <c r="D500" s="36"/>
      <c r="E500" s="36"/>
    </row>
    <row r="501" spans="2:5" ht="14.25" customHeight="1" x14ac:dyDescent="0.2">
      <c r="B501" s="35"/>
      <c r="C501" s="36"/>
      <c r="D501" s="36"/>
      <c r="E501" s="36"/>
    </row>
    <row r="502" spans="2:5" ht="14.25" customHeight="1" x14ac:dyDescent="0.2">
      <c r="B502" s="35"/>
      <c r="C502" s="36"/>
      <c r="D502" s="36"/>
      <c r="E502" s="36"/>
    </row>
    <row r="503" spans="2:5" ht="14.25" customHeight="1" x14ac:dyDescent="0.2">
      <c r="B503" s="35"/>
      <c r="C503" s="36"/>
      <c r="D503" s="36"/>
      <c r="E503" s="36"/>
    </row>
    <row r="504" spans="2:5" ht="14.25" customHeight="1" x14ac:dyDescent="0.2">
      <c r="B504" s="35"/>
      <c r="C504" s="36"/>
      <c r="D504" s="36"/>
      <c r="E504" s="36"/>
    </row>
    <row r="505" spans="2:5" ht="14.25" customHeight="1" x14ac:dyDescent="0.2">
      <c r="B505" s="35"/>
      <c r="C505" s="36"/>
      <c r="D505" s="36"/>
      <c r="E505" s="36"/>
    </row>
    <row r="506" spans="2:5" ht="14.25" customHeight="1" x14ac:dyDescent="0.2">
      <c r="B506" s="35"/>
      <c r="C506" s="36"/>
      <c r="D506" s="36"/>
      <c r="E506" s="36"/>
    </row>
    <row r="507" spans="2:5" ht="14.25" customHeight="1" x14ac:dyDescent="0.2">
      <c r="B507" s="35"/>
      <c r="C507" s="36"/>
      <c r="D507" s="36"/>
      <c r="E507" s="36"/>
    </row>
    <row r="508" spans="2:5" ht="14.25" customHeight="1" x14ac:dyDescent="0.2">
      <c r="B508" s="35"/>
      <c r="C508" s="36"/>
      <c r="D508" s="36"/>
      <c r="E508" s="36"/>
    </row>
    <row r="509" spans="2:5" ht="14.25" customHeight="1" x14ac:dyDescent="0.2">
      <c r="B509" s="35"/>
      <c r="C509" s="36"/>
      <c r="D509" s="36"/>
      <c r="E509" s="36"/>
    </row>
    <row r="510" spans="2:5" ht="14.25" customHeight="1" x14ac:dyDescent="0.2">
      <c r="B510" s="35"/>
      <c r="C510" s="36"/>
      <c r="D510" s="36"/>
      <c r="E510" s="36"/>
    </row>
    <row r="511" spans="2:5" ht="14.25" customHeight="1" x14ac:dyDescent="0.2">
      <c r="B511" s="35"/>
      <c r="C511" s="36"/>
      <c r="D511" s="36"/>
      <c r="E511" s="36"/>
    </row>
    <row r="512" spans="2:5" ht="14.25" customHeight="1" x14ac:dyDescent="0.2">
      <c r="B512" s="35"/>
      <c r="C512" s="36"/>
      <c r="D512" s="36"/>
      <c r="E512" s="36"/>
    </row>
    <row r="513" spans="2:5" ht="14.25" customHeight="1" x14ac:dyDescent="0.2">
      <c r="B513" s="35"/>
      <c r="C513" s="36"/>
      <c r="D513" s="36"/>
      <c r="E513" s="36"/>
    </row>
    <row r="514" spans="2:5" ht="14.25" customHeight="1" x14ac:dyDescent="0.2">
      <c r="B514" s="35"/>
      <c r="C514" s="36"/>
      <c r="D514" s="36"/>
      <c r="E514" s="36"/>
    </row>
    <row r="515" spans="2:5" ht="14.25" customHeight="1" x14ac:dyDescent="0.2">
      <c r="B515" s="35"/>
      <c r="C515" s="36"/>
      <c r="D515" s="36"/>
      <c r="E515" s="36"/>
    </row>
    <row r="516" spans="2:5" ht="14.25" customHeight="1" x14ac:dyDescent="0.2">
      <c r="B516" s="35"/>
      <c r="C516" s="36"/>
      <c r="D516" s="36"/>
      <c r="E516" s="36"/>
    </row>
    <row r="517" spans="2:5" ht="14.25" customHeight="1" x14ac:dyDescent="0.2">
      <c r="B517" s="35"/>
      <c r="C517" s="36"/>
      <c r="D517" s="36"/>
      <c r="E517" s="36"/>
    </row>
    <row r="518" spans="2:5" ht="14.25" customHeight="1" x14ac:dyDescent="0.2">
      <c r="B518" s="35"/>
      <c r="C518" s="36"/>
      <c r="D518" s="36"/>
      <c r="E518" s="36"/>
    </row>
    <row r="519" spans="2:5" ht="14.25" customHeight="1" x14ac:dyDescent="0.2">
      <c r="B519" s="35"/>
      <c r="C519" s="36"/>
      <c r="D519" s="36"/>
      <c r="E519" s="36"/>
    </row>
    <row r="520" spans="2:5" ht="14.25" customHeight="1" x14ac:dyDescent="0.2">
      <c r="B520" s="35"/>
      <c r="C520" s="36"/>
      <c r="D520" s="36"/>
      <c r="E520" s="36"/>
    </row>
    <row r="521" spans="2:5" ht="14.25" customHeight="1" x14ac:dyDescent="0.2">
      <c r="B521" s="35"/>
      <c r="C521" s="36"/>
      <c r="D521" s="36"/>
      <c r="E521" s="36"/>
    </row>
    <row r="522" spans="2:5" ht="14.25" customHeight="1" x14ac:dyDescent="0.2">
      <c r="B522" s="35"/>
      <c r="C522" s="36"/>
      <c r="D522" s="36"/>
      <c r="E522" s="36"/>
    </row>
    <row r="523" spans="2:5" ht="14.25" customHeight="1" x14ac:dyDescent="0.2">
      <c r="B523" s="35"/>
      <c r="C523" s="36"/>
      <c r="D523" s="36"/>
      <c r="E523" s="36"/>
    </row>
    <row r="524" spans="2:5" ht="14.25" customHeight="1" x14ac:dyDescent="0.2">
      <c r="B524" s="35"/>
      <c r="C524" s="36"/>
      <c r="D524" s="36"/>
      <c r="E524" s="36"/>
    </row>
    <row r="525" spans="2:5" ht="14.25" customHeight="1" x14ac:dyDescent="0.2">
      <c r="B525" s="35"/>
      <c r="C525" s="36"/>
      <c r="D525" s="36"/>
      <c r="E525" s="36"/>
    </row>
    <row r="526" spans="2:5" ht="14.25" customHeight="1" x14ac:dyDescent="0.2">
      <c r="B526" s="35"/>
      <c r="C526" s="36"/>
      <c r="D526" s="36"/>
      <c r="E526" s="36"/>
    </row>
    <row r="527" spans="2:5" ht="14.25" customHeight="1" x14ac:dyDescent="0.2">
      <c r="B527" s="35"/>
      <c r="C527" s="36"/>
      <c r="D527" s="36"/>
      <c r="E527" s="36"/>
    </row>
    <row r="528" spans="2:5" ht="14.25" customHeight="1" x14ac:dyDescent="0.2">
      <c r="B528" s="35"/>
      <c r="C528" s="36"/>
      <c r="D528" s="36"/>
      <c r="E528" s="36"/>
    </row>
    <row r="529" spans="2:5" ht="14.25" customHeight="1" x14ac:dyDescent="0.2">
      <c r="B529" s="35"/>
      <c r="C529" s="36"/>
      <c r="D529" s="36"/>
      <c r="E529" s="36"/>
    </row>
    <row r="530" spans="2:5" ht="14.25" customHeight="1" x14ac:dyDescent="0.2">
      <c r="B530" s="35"/>
      <c r="C530" s="36"/>
      <c r="D530" s="36"/>
      <c r="E530" s="36"/>
    </row>
    <row r="531" spans="2:5" ht="14.25" customHeight="1" x14ac:dyDescent="0.2">
      <c r="B531" s="35"/>
      <c r="C531" s="36"/>
      <c r="D531" s="36"/>
      <c r="E531" s="36"/>
    </row>
    <row r="532" spans="2:5" ht="14.25" customHeight="1" x14ac:dyDescent="0.2">
      <c r="B532" s="35"/>
      <c r="C532" s="36"/>
      <c r="D532" s="36"/>
      <c r="E532" s="36"/>
    </row>
    <row r="533" spans="2:5" ht="14.25" customHeight="1" x14ac:dyDescent="0.2">
      <c r="B533" s="35"/>
      <c r="C533" s="36"/>
      <c r="D533" s="36"/>
      <c r="E533" s="36"/>
    </row>
    <row r="534" spans="2:5" ht="14.25" customHeight="1" x14ac:dyDescent="0.2">
      <c r="B534" s="35"/>
      <c r="C534" s="36"/>
      <c r="D534" s="36"/>
      <c r="E534" s="36"/>
    </row>
    <row r="535" spans="2:5" ht="14.25" customHeight="1" x14ac:dyDescent="0.2">
      <c r="B535" s="35"/>
      <c r="C535" s="36"/>
      <c r="D535" s="36"/>
      <c r="E535" s="36"/>
    </row>
    <row r="536" spans="2:5" ht="14.25" customHeight="1" x14ac:dyDescent="0.2">
      <c r="B536" s="35"/>
      <c r="C536" s="36"/>
      <c r="D536" s="36"/>
      <c r="E536" s="36"/>
    </row>
    <row r="537" spans="2:5" ht="14.25" customHeight="1" x14ac:dyDescent="0.2">
      <c r="B537" s="35"/>
      <c r="C537" s="36"/>
      <c r="D537" s="36"/>
      <c r="E537" s="36"/>
    </row>
    <row r="538" spans="2:5" ht="14.25" customHeight="1" x14ac:dyDescent="0.2">
      <c r="B538" s="35"/>
      <c r="C538" s="36"/>
      <c r="D538" s="36"/>
      <c r="E538" s="36"/>
    </row>
    <row r="539" spans="2:5" ht="14.25" customHeight="1" x14ac:dyDescent="0.2">
      <c r="B539" s="35"/>
      <c r="C539" s="36"/>
      <c r="D539" s="36"/>
      <c r="E539" s="36"/>
    </row>
    <row r="540" spans="2:5" ht="14.25" customHeight="1" x14ac:dyDescent="0.2">
      <c r="B540" s="35"/>
      <c r="C540" s="36"/>
      <c r="D540" s="36"/>
      <c r="E540" s="36"/>
    </row>
    <row r="541" spans="2:5" ht="14.25" customHeight="1" x14ac:dyDescent="0.2">
      <c r="B541" s="35"/>
      <c r="C541" s="36"/>
      <c r="D541" s="36"/>
      <c r="E541" s="36"/>
    </row>
    <row r="542" spans="2:5" ht="14.25" customHeight="1" x14ac:dyDescent="0.2">
      <c r="B542" s="35"/>
      <c r="C542" s="36"/>
      <c r="D542" s="36"/>
      <c r="E542" s="36"/>
    </row>
    <row r="543" spans="2:5" ht="14.25" customHeight="1" x14ac:dyDescent="0.2">
      <c r="B543" s="35"/>
      <c r="C543" s="36"/>
      <c r="D543" s="36"/>
      <c r="E543" s="36"/>
    </row>
    <row r="544" spans="2:5" ht="14.25" customHeight="1" x14ac:dyDescent="0.2">
      <c r="B544" s="35"/>
      <c r="C544" s="36"/>
      <c r="D544" s="36"/>
      <c r="E544" s="36"/>
    </row>
    <row r="545" spans="2:5" ht="14.25" customHeight="1" x14ac:dyDescent="0.2">
      <c r="B545" s="35"/>
      <c r="C545" s="36"/>
      <c r="D545" s="36"/>
      <c r="E545" s="36"/>
    </row>
    <row r="546" spans="2:5" ht="14.25" customHeight="1" x14ac:dyDescent="0.2">
      <c r="B546" s="35"/>
      <c r="C546" s="36"/>
      <c r="D546" s="36"/>
      <c r="E546" s="36"/>
    </row>
    <row r="547" spans="2:5" ht="14.25" customHeight="1" x14ac:dyDescent="0.2">
      <c r="B547" s="35"/>
      <c r="C547" s="36"/>
      <c r="D547" s="36"/>
      <c r="E547" s="36"/>
    </row>
    <row r="548" spans="2:5" ht="14.25" customHeight="1" x14ac:dyDescent="0.2">
      <c r="B548" s="35"/>
      <c r="C548" s="36"/>
      <c r="D548" s="36"/>
      <c r="E548" s="36"/>
    </row>
    <row r="549" spans="2:5" ht="14.25" customHeight="1" x14ac:dyDescent="0.2">
      <c r="B549" s="35"/>
      <c r="C549" s="36"/>
      <c r="D549" s="36"/>
      <c r="E549" s="36"/>
    </row>
    <row r="550" spans="2:5" ht="14.25" customHeight="1" x14ac:dyDescent="0.2">
      <c r="B550" s="35"/>
      <c r="C550" s="36"/>
      <c r="D550" s="36"/>
      <c r="E550" s="36"/>
    </row>
    <row r="551" spans="2:5" ht="14.25" customHeight="1" x14ac:dyDescent="0.2">
      <c r="B551" s="35"/>
      <c r="C551" s="36"/>
      <c r="D551" s="36"/>
      <c r="E551" s="36"/>
    </row>
    <row r="552" spans="2:5" ht="14.25" customHeight="1" x14ac:dyDescent="0.2">
      <c r="B552" s="35"/>
      <c r="C552" s="36"/>
      <c r="D552" s="36"/>
      <c r="E552" s="36"/>
    </row>
    <row r="553" spans="2:5" ht="14.25" customHeight="1" x14ac:dyDescent="0.2">
      <c r="B553" s="35"/>
      <c r="C553" s="36"/>
      <c r="D553" s="36"/>
      <c r="E553" s="36"/>
    </row>
    <row r="554" spans="2:5" ht="14.25" customHeight="1" x14ac:dyDescent="0.2">
      <c r="B554" s="35"/>
      <c r="C554" s="36"/>
      <c r="D554" s="36"/>
      <c r="E554" s="36"/>
    </row>
    <row r="555" spans="2:5" ht="14.25" customHeight="1" x14ac:dyDescent="0.2">
      <c r="B555" s="35"/>
      <c r="C555" s="36"/>
      <c r="D555" s="36"/>
      <c r="E555" s="36"/>
    </row>
    <row r="556" spans="2:5" ht="14.25" customHeight="1" x14ac:dyDescent="0.2">
      <c r="B556" s="35"/>
      <c r="C556" s="36"/>
      <c r="D556" s="36"/>
      <c r="E556" s="36"/>
    </row>
    <row r="557" spans="2:5" ht="14.25" customHeight="1" x14ac:dyDescent="0.2">
      <c r="B557" s="35"/>
      <c r="C557" s="36"/>
      <c r="D557" s="36"/>
      <c r="E557" s="36"/>
    </row>
    <row r="558" spans="2:5" ht="14.25" customHeight="1" x14ac:dyDescent="0.2">
      <c r="B558" s="35"/>
      <c r="C558" s="36"/>
      <c r="D558" s="36"/>
      <c r="E558" s="36"/>
    </row>
    <row r="559" spans="2:5" ht="14.25" customHeight="1" x14ac:dyDescent="0.2">
      <c r="B559" s="35"/>
      <c r="C559" s="36"/>
      <c r="D559" s="36"/>
      <c r="E559" s="36"/>
    </row>
    <row r="560" spans="2:5" ht="14.25" customHeight="1" x14ac:dyDescent="0.2">
      <c r="B560" s="35"/>
      <c r="C560" s="36"/>
      <c r="D560" s="36"/>
      <c r="E560" s="36"/>
    </row>
    <row r="561" spans="2:5" ht="14.25" customHeight="1" x14ac:dyDescent="0.2">
      <c r="B561" s="35"/>
      <c r="C561" s="36"/>
      <c r="D561" s="36"/>
      <c r="E561" s="36"/>
    </row>
    <row r="562" spans="2:5" ht="14.25" customHeight="1" x14ac:dyDescent="0.2">
      <c r="B562" s="35"/>
      <c r="C562" s="36"/>
      <c r="D562" s="36"/>
      <c r="E562" s="36"/>
    </row>
    <row r="563" spans="2:5" ht="14.25" customHeight="1" x14ac:dyDescent="0.2">
      <c r="B563" s="35"/>
      <c r="C563" s="36"/>
      <c r="D563" s="36"/>
      <c r="E563" s="36"/>
    </row>
    <row r="564" spans="2:5" ht="14.25" customHeight="1" x14ac:dyDescent="0.2">
      <c r="B564" s="35"/>
      <c r="C564" s="36"/>
      <c r="D564" s="36"/>
      <c r="E564" s="36"/>
    </row>
    <row r="565" spans="2:5" ht="14.25" customHeight="1" x14ac:dyDescent="0.2">
      <c r="B565" s="35"/>
      <c r="C565" s="36"/>
      <c r="D565" s="36"/>
      <c r="E565" s="36"/>
    </row>
    <row r="566" spans="2:5" ht="14.25" customHeight="1" x14ac:dyDescent="0.2">
      <c r="B566" s="35"/>
      <c r="C566" s="36"/>
      <c r="D566" s="36"/>
      <c r="E566" s="36"/>
    </row>
    <row r="567" spans="2:5" ht="14.25" customHeight="1" x14ac:dyDescent="0.2">
      <c r="B567" s="35"/>
      <c r="C567" s="36"/>
      <c r="D567" s="36"/>
      <c r="E567" s="36"/>
    </row>
    <row r="568" spans="2:5" ht="14.25" customHeight="1" x14ac:dyDescent="0.2">
      <c r="B568" s="35"/>
      <c r="C568" s="36"/>
      <c r="D568" s="36"/>
      <c r="E568" s="36"/>
    </row>
    <row r="569" spans="2:5" ht="14.25" customHeight="1" x14ac:dyDescent="0.2">
      <c r="B569" s="35"/>
      <c r="C569" s="36"/>
      <c r="D569" s="36"/>
      <c r="E569" s="36"/>
    </row>
    <row r="570" spans="2:5" ht="14.25" customHeight="1" x14ac:dyDescent="0.2">
      <c r="B570" s="35"/>
      <c r="C570" s="36"/>
      <c r="D570" s="36"/>
      <c r="E570" s="36"/>
    </row>
    <row r="571" spans="2:5" ht="14.25" customHeight="1" x14ac:dyDescent="0.2">
      <c r="B571" s="35"/>
      <c r="C571" s="36"/>
      <c r="D571" s="36"/>
      <c r="E571" s="36"/>
    </row>
    <row r="572" spans="2:5" ht="14.25" customHeight="1" x14ac:dyDescent="0.2">
      <c r="B572" s="35"/>
      <c r="C572" s="36"/>
      <c r="D572" s="36"/>
      <c r="E572" s="36"/>
    </row>
    <row r="573" spans="2:5" ht="14.25" customHeight="1" x14ac:dyDescent="0.2">
      <c r="B573" s="35"/>
      <c r="C573" s="36"/>
      <c r="D573" s="36"/>
      <c r="E573" s="36"/>
    </row>
    <row r="574" spans="2:5" ht="14.25" customHeight="1" x14ac:dyDescent="0.2">
      <c r="B574" s="35"/>
      <c r="C574" s="36"/>
      <c r="D574" s="36"/>
      <c r="E574" s="36"/>
    </row>
    <row r="575" spans="2:5" ht="14.25" customHeight="1" x14ac:dyDescent="0.2">
      <c r="B575" s="35"/>
      <c r="C575" s="36"/>
      <c r="D575" s="36"/>
      <c r="E575" s="36"/>
    </row>
    <row r="576" spans="2:5" ht="14.25" customHeight="1" x14ac:dyDescent="0.2">
      <c r="B576" s="35"/>
      <c r="C576" s="36"/>
      <c r="D576" s="36"/>
      <c r="E576" s="36"/>
    </row>
    <row r="577" spans="2:5" ht="14.25" customHeight="1" x14ac:dyDescent="0.2">
      <c r="B577" s="35"/>
      <c r="C577" s="36"/>
      <c r="D577" s="36"/>
      <c r="E577" s="36"/>
    </row>
    <row r="578" spans="2:5" ht="14.25" customHeight="1" x14ac:dyDescent="0.2">
      <c r="B578" s="35"/>
      <c r="C578" s="36"/>
      <c r="D578" s="36"/>
      <c r="E578" s="36"/>
    </row>
    <row r="579" spans="2:5" ht="14.25" customHeight="1" x14ac:dyDescent="0.2">
      <c r="B579" s="35"/>
      <c r="C579" s="36"/>
      <c r="D579" s="36"/>
      <c r="E579" s="36"/>
    </row>
    <row r="580" spans="2:5" ht="14.25" customHeight="1" x14ac:dyDescent="0.2">
      <c r="B580" s="35"/>
      <c r="C580" s="36"/>
      <c r="D580" s="36"/>
      <c r="E580" s="36"/>
    </row>
    <row r="581" spans="2:5" ht="14.25" customHeight="1" x14ac:dyDescent="0.2">
      <c r="B581" s="35"/>
      <c r="C581" s="36"/>
      <c r="D581" s="36"/>
      <c r="E581" s="36"/>
    </row>
    <row r="582" spans="2:5" ht="14.25" customHeight="1" x14ac:dyDescent="0.2">
      <c r="B582" s="35"/>
      <c r="C582" s="36"/>
      <c r="D582" s="36"/>
      <c r="E582" s="36"/>
    </row>
    <row r="583" spans="2:5" ht="14.25" customHeight="1" x14ac:dyDescent="0.2">
      <c r="B583" s="35"/>
      <c r="C583" s="36"/>
      <c r="D583" s="36"/>
      <c r="E583" s="36"/>
    </row>
    <row r="584" spans="2:5" ht="14.25" customHeight="1" x14ac:dyDescent="0.2">
      <c r="B584" s="35"/>
      <c r="C584" s="36"/>
      <c r="D584" s="36"/>
      <c r="E584" s="36"/>
    </row>
    <row r="585" spans="2:5" ht="14.25" customHeight="1" x14ac:dyDescent="0.2">
      <c r="B585" s="35"/>
      <c r="C585" s="36"/>
      <c r="D585" s="36"/>
      <c r="E585" s="36"/>
    </row>
    <row r="586" spans="2:5" ht="14.25" customHeight="1" x14ac:dyDescent="0.2">
      <c r="B586" s="35"/>
      <c r="C586" s="36"/>
      <c r="D586" s="36"/>
      <c r="E586" s="36"/>
    </row>
    <row r="587" spans="2:5" ht="14.25" customHeight="1" x14ac:dyDescent="0.2">
      <c r="B587" s="35"/>
      <c r="C587" s="36"/>
      <c r="D587" s="36"/>
      <c r="E587" s="36"/>
    </row>
    <row r="588" spans="2:5" ht="14.25" customHeight="1" x14ac:dyDescent="0.2">
      <c r="B588" s="35"/>
      <c r="C588" s="36"/>
      <c r="D588" s="36"/>
      <c r="E588" s="36"/>
    </row>
    <row r="589" spans="2:5" ht="14.25" customHeight="1" x14ac:dyDescent="0.2">
      <c r="B589" s="35"/>
      <c r="C589" s="36"/>
      <c r="D589" s="36"/>
      <c r="E589" s="36"/>
    </row>
    <row r="590" spans="2:5" ht="14.25" customHeight="1" x14ac:dyDescent="0.2">
      <c r="B590" s="35"/>
      <c r="C590" s="36"/>
      <c r="D590" s="36"/>
      <c r="E590" s="36"/>
    </row>
    <row r="591" spans="2:5" ht="14.25" customHeight="1" x14ac:dyDescent="0.2">
      <c r="B591" s="35"/>
      <c r="C591" s="36"/>
      <c r="D591" s="36"/>
      <c r="E591" s="36"/>
    </row>
    <row r="592" spans="2:5" ht="14.25" customHeight="1" x14ac:dyDescent="0.2">
      <c r="B592" s="35"/>
      <c r="C592" s="36"/>
      <c r="D592" s="36"/>
      <c r="E592" s="36"/>
    </row>
    <row r="593" spans="2:5" ht="14.25" customHeight="1" x14ac:dyDescent="0.2">
      <c r="B593" s="35"/>
      <c r="C593" s="36"/>
      <c r="D593" s="36"/>
      <c r="E593" s="36"/>
    </row>
    <row r="594" spans="2:5" ht="14.25" customHeight="1" x14ac:dyDescent="0.2">
      <c r="B594" s="35"/>
      <c r="C594" s="36"/>
      <c r="D594" s="36"/>
      <c r="E594" s="36"/>
    </row>
    <row r="595" spans="2:5" ht="14.25" customHeight="1" x14ac:dyDescent="0.2">
      <c r="B595" s="35"/>
      <c r="C595" s="36"/>
      <c r="D595" s="36"/>
      <c r="E595" s="36"/>
    </row>
    <row r="596" spans="2:5" ht="14.25" customHeight="1" x14ac:dyDescent="0.2">
      <c r="B596" s="35"/>
      <c r="C596" s="36"/>
      <c r="D596" s="36"/>
      <c r="E596" s="36"/>
    </row>
    <row r="597" spans="2:5" ht="14.25" customHeight="1" x14ac:dyDescent="0.2">
      <c r="B597" s="35"/>
      <c r="C597" s="36"/>
      <c r="D597" s="36"/>
      <c r="E597" s="36"/>
    </row>
    <row r="598" spans="2:5" ht="14.25" customHeight="1" x14ac:dyDescent="0.2">
      <c r="B598" s="35"/>
      <c r="C598" s="36"/>
      <c r="D598" s="36"/>
      <c r="E598" s="36"/>
    </row>
    <row r="599" spans="2:5" ht="14.25" customHeight="1" x14ac:dyDescent="0.2">
      <c r="B599" s="35"/>
      <c r="C599" s="36"/>
      <c r="D599" s="36"/>
      <c r="E599" s="36"/>
    </row>
    <row r="600" spans="2:5" ht="14.25" customHeight="1" x14ac:dyDescent="0.2">
      <c r="B600" s="35"/>
      <c r="C600" s="36"/>
      <c r="D600" s="36"/>
      <c r="E600" s="36"/>
    </row>
    <row r="601" spans="2:5" ht="14.25" customHeight="1" x14ac:dyDescent="0.2">
      <c r="B601" s="35"/>
      <c r="C601" s="36"/>
      <c r="D601" s="36"/>
      <c r="E601" s="36"/>
    </row>
    <row r="602" spans="2:5" ht="14.25" customHeight="1" x14ac:dyDescent="0.2">
      <c r="B602" s="35"/>
      <c r="C602" s="36"/>
      <c r="D602" s="36"/>
      <c r="E602" s="36"/>
    </row>
    <row r="603" spans="2:5" ht="14.25" customHeight="1" x14ac:dyDescent="0.2">
      <c r="B603" s="35"/>
      <c r="C603" s="36"/>
      <c r="D603" s="36"/>
      <c r="E603" s="36"/>
    </row>
    <row r="604" spans="2:5" ht="14.25" customHeight="1" x14ac:dyDescent="0.2">
      <c r="B604" s="35"/>
      <c r="C604" s="36"/>
      <c r="D604" s="36"/>
      <c r="E604" s="36"/>
    </row>
    <row r="605" spans="2:5" ht="14.25" customHeight="1" x14ac:dyDescent="0.2">
      <c r="B605" s="35"/>
      <c r="C605" s="36"/>
      <c r="D605" s="36"/>
      <c r="E605" s="36"/>
    </row>
    <row r="606" spans="2:5" ht="14.25" customHeight="1" x14ac:dyDescent="0.2">
      <c r="B606" s="35"/>
      <c r="C606" s="36"/>
      <c r="D606" s="36"/>
      <c r="E606" s="36"/>
    </row>
    <row r="607" spans="2:5" ht="14.25" customHeight="1" x14ac:dyDescent="0.2">
      <c r="B607" s="35"/>
      <c r="C607" s="36"/>
      <c r="D607" s="36"/>
      <c r="E607" s="36"/>
    </row>
    <row r="608" spans="2:5" ht="14.25" customHeight="1" x14ac:dyDescent="0.2">
      <c r="B608" s="35"/>
      <c r="C608" s="36"/>
      <c r="D608" s="36"/>
      <c r="E608" s="36"/>
    </row>
    <row r="609" spans="2:5" ht="14.25" customHeight="1" x14ac:dyDescent="0.2">
      <c r="B609" s="35"/>
      <c r="C609" s="36"/>
      <c r="D609" s="36"/>
      <c r="E609" s="36"/>
    </row>
    <row r="610" spans="2:5" ht="14.25" customHeight="1" x14ac:dyDescent="0.2">
      <c r="B610" s="35"/>
      <c r="C610" s="36"/>
      <c r="D610" s="36"/>
      <c r="E610" s="36"/>
    </row>
    <row r="611" spans="2:5" ht="14.25" customHeight="1" x14ac:dyDescent="0.2">
      <c r="B611" s="35"/>
      <c r="C611" s="36"/>
      <c r="D611" s="36"/>
      <c r="E611" s="36"/>
    </row>
    <row r="612" spans="2:5" ht="14.25" customHeight="1" x14ac:dyDescent="0.2">
      <c r="B612" s="35"/>
      <c r="C612" s="36"/>
      <c r="D612" s="36"/>
      <c r="E612" s="36"/>
    </row>
    <row r="613" spans="2:5" ht="14.25" customHeight="1" x14ac:dyDescent="0.2">
      <c r="B613" s="35"/>
      <c r="C613" s="36"/>
      <c r="D613" s="36"/>
      <c r="E613" s="36"/>
    </row>
    <row r="614" spans="2:5" ht="14.25" customHeight="1" x14ac:dyDescent="0.2">
      <c r="B614" s="35"/>
      <c r="C614" s="36"/>
      <c r="D614" s="36"/>
      <c r="E614" s="36"/>
    </row>
    <row r="615" spans="2:5" ht="14.25" customHeight="1" x14ac:dyDescent="0.2">
      <c r="B615" s="35"/>
      <c r="C615" s="36"/>
      <c r="D615" s="36"/>
      <c r="E615" s="36"/>
    </row>
    <row r="616" spans="2:5" ht="14.25" customHeight="1" x14ac:dyDescent="0.2">
      <c r="B616" s="35"/>
      <c r="C616" s="36"/>
      <c r="D616" s="36"/>
      <c r="E616" s="36"/>
    </row>
    <row r="617" spans="2:5" ht="14.25" customHeight="1" x14ac:dyDescent="0.2">
      <c r="B617" s="35"/>
      <c r="C617" s="36"/>
      <c r="D617" s="36"/>
      <c r="E617" s="36"/>
    </row>
    <row r="618" spans="2:5" ht="14.25" customHeight="1" x14ac:dyDescent="0.2">
      <c r="B618" s="35"/>
      <c r="C618" s="36"/>
      <c r="D618" s="36"/>
      <c r="E618" s="36"/>
    </row>
    <row r="619" spans="2:5" ht="14.25" customHeight="1" x14ac:dyDescent="0.2">
      <c r="B619" s="35"/>
      <c r="C619" s="36"/>
      <c r="D619" s="36"/>
      <c r="E619" s="36"/>
    </row>
    <row r="620" spans="2:5" ht="14.25" customHeight="1" x14ac:dyDescent="0.2">
      <c r="B620" s="35"/>
      <c r="C620" s="36"/>
      <c r="D620" s="36"/>
      <c r="E620" s="36"/>
    </row>
    <row r="621" spans="2:5" ht="14.25" customHeight="1" x14ac:dyDescent="0.2">
      <c r="B621" s="35"/>
      <c r="C621" s="36"/>
      <c r="D621" s="36"/>
      <c r="E621" s="36"/>
    </row>
    <row r="622" spans="2:5" ht="14.25" customHeight="1" x14ac:dyDescent="0.2">
      <c r="B622" s="35"/>
      <c r="C622" s="36"/>
      <c r="D622" s="36"/>
      <c r="E622" s="36"/>
    </row>
    <row r="623" spans="2:5" ht="14.25" customHeight="1" x14ac:dyDescent="0.2">
      <c r="B623" s="35"/>
      <c r="C623" s="36"/>
      <c r="D623" s="36"/>
      <c r="E623" s="36"/>
    </row>
    <row r="624" spans="2:5" ht="14.25" customHeight="1" x14ac:dyDescent="0.2">
      <c r="B624" s="35"/>
      <c r="C624" s="36"/>
      <c r="D624" s="36"/>
      <c r="E624" s="36"/>
    </row>
    <row r="625" spans="2:5" ht="14.25" customHeight="1" x14ac:dyDescent="0.2">
      <c r="B625" s="35"/>
      <c r="C625" s="36"/>
      <c r="D625" s="36"/>
      <c r="E625" s="36"/>
    </row>
    <row r="626" spans="2:5" ht="14.25" customHeight="1" x14ac:dyDescent="0.2">
      <c r="B626" s="35"/>
      <c r="C626" s="36"/>
      <c r="D626" s="36"/>
      <c r="E626" s="36"/>
    </row>
    <row r="627" spans="2:5" ht="14.25" customHeight="1" x14ac:dyDescent="0.2">
      <c r="B627" s="35"/>
      <c r="C627" s="36"/>
      <c r="D627" s="36"/>
      <c r="E627" s="36"/>
    </row>
    <row r="628" spans="2:5" ht="14.25" customHeight="1" x14ac:dyDescent="0.2">
      <c r="B628" s="35"/>
      <c r="C628" s="36"/>
      <c r="D628" s="36"/>
      <c r="E628" s="36"/>
    </row>
    <row r="629" spans="2:5" ht="14.25" customHeight="1" x14ac:dyDescent="0.2">
      <c r="B629" s="35"/>
      <c r="C629" s="36"/>
      <c r="D629" s="36"/>
      <c r="E629" s="36"/>
    </row>
    <row r="630" spans="2:5" ht="14.25" customHeight="1" x14ac:dyDescent="0.2">
      <c r="B630" s="35"/>
      <c r="C630" s="36"/>
      <c r="D630" s="36"/>
      <c r="E630" s="36"/>
    </row>
    <row r="631" spans="2:5" ht="14.25" customHeight="1" x14ac:dyDescent="0.2">
      <c r="B631" s="35"/>
      <c r="C631" s="36"/>
      <c r="D631" s="36"/>
      <c r="E631" s="36"/>
    </row>
    <row r="632" spans="2:5" ht="14.25" customHeight="1" x14ac:dyDescent="0.2">
      <c r="B632" s="35"/>
      <c r="C632" s="36"/>
      <c r="D632" s="36"/>
      <c r="E632" s="36"/>
    </row>
    <row r="633" spans="2:5" ht="14.25" customHeight="1" x14ac:dyDescent="0.2">
      <c r="B633" s="35"/>
      <c r="C633" s="36"/>
      <c r="D633" s="36"/>
      <c r="E633" s="36"/>
    </row>
    <row r="634" spans="2:5" ht="14.25" customHeight="1" x14ac:dyDescent="0.2">
      <c r="B634" s="35"/>
      <c r="C634" s="36"/>
      <c r="D634" s="36"/>
      <c r="E634" s="36"/>
    </row>
    <row r="635" spans="2:5" ht="14.25" customHeight="1" x14ac:dyDescent="0.2">
      <c r="B635" s="35"/>
      <c r="C635" s="36"/>
      <c r="D635" s="36"/>
      <c r="E635" s="36"/>
    </row>
    <row r="636" spans="2:5" ht="14.25" customHeight="1" x14ac:dyDescent="0.2">
      <c r="B636" s="35"/>
      <c r="C636" s="36"/>
      <c r="D636" s="36"/>
      <c r="E636" s="36"/>
    </row>
    <row r="637" spans="2:5" ht="14.25" customHeight="1" x14ac:dyDescent="0.2">
      <c r="B637" s="35"/>
      <c r="C637" s="36"/>
      <c r="D637" s="36"/>
      <c r="E637" s="36"/>
    </row>
    <row r="638" spans="2:5" ht="14.25" customHeight="1" x14ac:dyDescent="0.2">
      <c r="B638" s="35"/>
      <c r="C638" s="36"/>
      <c r="D638" s="36"/>
      <c r="E638" s="36"/>
    </row>
    <row r="639" spans="2:5" ht="14.25" customHeight="1" x14ac:dyDescent="0.2">
      <c r="B639" s="35"/>
      <c r="C639" s="36"/>
      <c r="D639" s="36"/>
      <c r="E639" s="36"/>
    </row>
    <row r="640" spans="2:5" ht="14.25" customHeight="1" x14ac:dyDescent="0.2">
      <c r="B640" s="35"/>
      <c r="C640" s="36"/>
      <c r="D640" s="36"/>
      <c r="E640" s="36"/>
    </row>
    <row r="641" spans="2:5" ht="14.25" customHeight="1" x14ac:dyDescent="0.2">
      <c r="B641" s="35"/>
      <c r="C641" s="36"/>
      <c r="D641" s="36"/>
      <c r="E641" s="36"/>
    </row>
    <row r="642" spans="2:5" ht="14.25" customHeight="1" x14ac:dyDescent="0.2">
      <c r="B642" s="35"/>
      <c r="C642" s="36"/>
      <c r="D642" s="36"/>
      <c r="E642" s="36"/>
    </row>
    <row r="643" spans="2:5" ht="14.25" customHeight="1" x14ac:dyDescent="0.2">
      <c r="B643" s="35"/>
      <c r="C643" s="36"/>
      <c r="D643" s="36"/>
      <c r="E643" s="36"/>
    </row>
    <row r="644" spans="2:5" ht="14.25" customHeight="1" x14ac:dyDescent="0.2">
      <c r="B644" s="35"/>
      <c r="C644" s="36"/>
      <c r="D644" s="36"/>
      <c r="E644" s="36"/>
    </row>
    <row r="645" spans="2:5" ht="14.25" customHeight="1" x14ac:dyDescent="0.2">
      <c r="B645" s="35"/>
      <c r="C645" s="36"/>
      <c r="D645" s="36"/>
      <c r="E645" s="36"/>
    </row>
    <row r="646" spans="2:5" ht="14.25" customHeight="1" x14ac:dyDescent="0.2">
      <c r="B646" s="35"/>
      <c r="C646" s="36"/>
      <c r="D646" s="36"/>
      <c r="E646" s="36"/>
    </row>
    <row r="647" spans="2:5" ht="14.25" customHeight="1" x14ac:dyDescent="0.2">
      <c r="B647" s="35"/>
      <c r="C647" s="36"/>
      <c r="D647" s="36"/>
      <c r="E647" s="36"/>
    </row>
    <row r="648" spans="2:5" ht="14.25" customHeight="1" x14ac:dyDescent="0.2">
      <c r="B648" s="35"/>
      <c r="C648" s="36"/>
      <c r="D648" s="36"/>
      <c r="E648" s="36"/>
    </row>
    <row r="649" spans="2:5" ht="14.25" customHeight="1" x14ac:dyDescent="0.2">
      <c r="B649" s="35"/>
      <c r="C649" s="36"/>
      <c r="D649" s="36"/>
      <c r="E649" s="36"/>
    </row>
    <row r="650" spans="2:5" ht="14.25" customHeight="1" x14ac:dyDescent="0.2">
      <c r="B650" s="35"/>
      <c r="C650" s="36"/>
      <c r="D650" s="36"/>
      <c r="E650" s="36"/>
    </row>
    <row r="651" spans="2:5" ht="14.25" customHeight="1" x14ac:dyDescent="0.2">
      <c r="B651" s="35"/>
      <c r="C651" s="36"/>
      <c r="D651" s="36"/>
      <c r="E651" s="36"/>
    </row>
    <row r="652" spans="2:5" ht="14.25" customHeight="1" x14ac:dyDescent="0.2">
      <c r="B652" s="35"/>
      <c r="C652" s="36"/>
      <c r="D652" s="36"/>
      <c r="E652" s="36"/>
    </row>
    <row r="653" spans="2:5" ht="14.25" customHeight="1" x14ac:dyDescent="0.2">
      <c r="B653" s="35"/>
      <c r="C653" s="36"/>
      <c r="D653" s="36"/>
      <c r="E653" s="36"/>
    </row>
    <row r="654" spans="2:5" ht="14.25" customHeight="1" x14ac:dyDescent="0.2">
      <c r="B654" s="35"/>
      <c r="C654" s="36"/>
      <c r="D654" s="36"/>
      <c r="E654" s="36"/>
    </row>
    <row r="655" spans="2:5" ht="14.25" customHeight="1" x14ac:dyDescent="0.2">
      <c r="B655" s="35"/>
      <c r="C655" s="36"/>
      <c r="D655" s="36"/>
      <c r="E655" s="36"/>
    </row>
    <row r="656" spans="2:5" ht="14.25" customHeight="1" x14ac:dyDescent="0.2">
      <c r="B656" s="35"/>
      <c r="C656" s="36"/>
      <c r="D656" s="36"/>
      <c r="E656" s="36"/>
    </row>
    <row r="657" spans="2:5" ht="14.25" customHeight="1" x14ac:dyDescent="0.2">
      <c r="B657" s="35"/>
      <c r="C657" s="36"/>
      <c r="D657" s="36"/>
      <c r="E657" s="36"/>
    </row>
    <row r="658" spans="2:5" ht="14.25" customHeight="1" x14ac:dyDescent="0.2">
      <c r="B658" s="35"/>
      <c r="C658" s="36"/>
      <c r="D658" s="36"/>
      <c r="E658" s="36"/>
    </row>
    <row r="659" spans="2:5" ht="14.25" customHeight="1" x14ac:dyDescent="0.2">
      <c r="B659" s="35"/>
      <c r="C659" s="36"/>
      <c r="D659" s="36"/>
      <c r="E659" s="36"/>
    </row>
    <row r="660" spans="2:5" ht="14.25" customHeight="1" x14ac:dyDescent="0.2">
      <c r="B660" s="35"/>
      <c r="C660" s="36"/>
      <c r="D660" s="36"/>
      <c r="E660" s="36"/>
    </row>
    <row r="661" spans="2:5" ht="14.25" customHeight="1" x14ac:dyDescent="0.2">
      <c r="B661" s="35"/>
      <c r="C661" s="36"/>
      <c r="D661" s="36"/>
      <c r="E661" s="36"/>
    </row>
    <row r="662" spans="2:5" ht="14.25" customHeight="1" x14ac:dyDescent="0.2">
      <c r="B662" s="35"/>
      <c r="C662" s="36"/>
      <c r="D662" s="36"/>
      <c r="E662" s="36"/>
    </row>
    <row r="663" spans="2:5" ht="14.25" customHeight="1" x14ac:dyDescent="0.2">
      <c r="B663" s="35"/>
      <c r="C663" s="36"/>
      <c r="D663" s="36"/>
      <c r="E663" s="36"/>
    </row>
    <row r="664" spans="2:5" ht="14.25" customHeight="1" x14ac:dyDescent="0.2">
      <c r="B664" s="35"/>
      <c r="C664" s="36"/>
      <c r="D664" s="36"/>
      <c r="E664" s="36"/>
    </row>
    <row r="665" spans="2:5" ht="14.25" customHeight="1" x14ac:dyDescent="0.2">
      <c r="B665" s="35"/>
      <c r="C665" s="36"/>
      <c r="D665" s="36"/>
      <c r="E665" s="36"/>
    </row>
    <row r="666" spans="2:5" ht="14.25" customHeight="1" x14ac:dyDescent="0.2">
      <c r="B666" s="35"/>
      <c r="C666" s="36"/>
      <c r="D666" s="36"/>
      <c r="E666" s="36"/>
    </row>
    <row r="667" spans="2:5" ht="14.25" customHeight="1" x14ac:dyDescent="0.2">
      <c r="B667" s="35"/>
      <c r="C667" s="36"/>
      <c r="D667" s="36"/>
      <c r="E667" s="36"/>
    </row>
    <row r="668" spans="2:5" ht="14.25" customHeight="1" x14ac:dyDescent="0.2">
      <c r="B668" s="35"/>
      <c r="C668" s="36"/>
      <c r="D668" s="36"/>
      <c r="E668" s="36"/>
    </row>
    <row r="669" spans="2:5" ht="14.25" customHeight="1" x14ac:dyDescent="0.2">
      <c r="B669" s="35"/>
      <c r="C669" s="36"/>
      <c r="D669" s="36"/>
      <c r="E669" s="36"/>
    </row>
    <row r="670" spans="2:5" ht="14.25" customHeight="1" x14ac:dyDescent="0.2">
      <c r="B670" s="35"/>
      <c r="C670" s="36"/>
      <c r="D670" s="36"/>
      <c r="E670" s="36"/>
    </row>
    <row r="671" spans="2:5" ht="14.25" customHeight="1" x14ac:dyDescent="0.2">
      <c r="B671" s="35"/>
      <c r="C671" s="36"/>
      <c r="D671" s="36"/>
      <c r="E671" s="36"/>
    </row>
    <row r="672" spans="2:5" ht="14.25" customHeight="1" x14ac:dyDescent="0.2">
      <c r="B672" s="35"/>
      <c r="C672" s="36"/>
      <c r="D672" s="36"/>
      <c r="E672" s="36"/>
    </row>
    <row r="673" spans="2:5" ht="14.25" customHeight="1" x14ac:dyDescent="0.2">
      <c r="B673" s="35"/>
      <c r="C673" s="36"/>
      <c r="D673" s="36"/>
      <c r="E673" s="36"/>
    </row>
    <row r="674" spans="2:5" ht="14.25" customHeight="1" x14ac:dyDescent="0.2">
      <c r="B674" s="35"/>
      <c r="C674" s="36"/>
      <c r="D674" s="36"/>
      <c r="E674" s="36"/>
    </row>
    <row r="675" spans="2:5" ht="14.25" customHeight="1" x14ac:dyDescent="0.2">
      <c r="B675" s="35"/>
      <c r="C675" s="36"/>
      <c r="D675" s="36"/>
      <c r="E675" s="36"/>
    </row>
    <row r="676" spans="2:5" ht="14.25" customHeight="1" x14ac:dyDescent="0.2">
      <c r="B676" s="35"/>
      <c r="C676" s="36"/>
      <c r="D676" s="36"/>
      <c r="E676" s="36"/>
    </row>
    <row r="677" spans="2:5" ht="14.25" customHeight="1" x14ac:dyDescent="0.2">
      <c r="B677" s="35"/>
      <c r="C677" s="36"/>
      <c r="D677" s="36"/>
      <c r="E677" s="36"/>
    </row>
    <row r="678" spans="2:5" ht="14.25" customHeight="1" x14ac:dyDescent="0.2">
      <c r="B678" s="35"/>
      <c r="C678" s="36"/>
      <c r="D678" s="36"/>
      <c r="E678" s="36"/>
    </row>
    <row r="679" spans="2:5" ht="14.25" customHeight="1" x14ac:dyDescent="0.2">
      <c r="B679" s="35"/>
      <c r="C679" s="36"/>
      <c r="D679" s="36"/>
      <c r="E679" s="36"/>
    </row>
    <row r="680" spans="2:5" ht="14.25" customHeight="1" x14ac:dyDescent="0.2">
      <c r="B680" s="35"/>
      <c r="C680" s="36"/>
      <c r="D680" s="36"/>
      <c r="E680" s="36"/>
    </row>
    <row r="681" spans="2:5" ht="14.25" customHeight="1" x14ac:dyDescent="0.2">
      <c r="B681" s="35"/>
      <c r="C681" s="36"/>
      <c r="D681" s="36"/>
      <c r="E681" s="36"/>
    </row>
    <row r="682" spans="2:5" ht="14.25" customHeight="1" x14ac:dyDescent="0.2">
      <c r="B682" s="35"/>
      <c r="C682" s="36"/>
      <c r="D682" s="36"/>
      <c r="E682" s="36"/>
    </row>
    <row r="683" spans="2:5" ht="14.25" customHeight="1" x14ac:dyDescent="0.2">
      <c r="B683" s="35"/>
      <c r="C683" s="36"/>
      <c r="D683" s="36"/>
      <c r="E683" s="36"/>
    </row>
    <row r="684" spans="2:5" ht="14.25" customHeight="1" x14ac:dyDescent="0.2">
      <c r="B684" s="35"/>
      <c r="C684" s="36"/>
      <c r="D684" s="36"/>
      <c r="E684" s="36"/>
    </row>
    <row r="685" spans="2:5" ht="14.25" customHeight="1" x14ac:dyDescent="0.2">
      <c r="B685" s="35"/>
      <c r="C685" s="36"/>
      <c r="D685" s="36"/>
      <c r="E685" s="36"/>
    </row>
    <row r="686" spans="2:5" ht="14.25" customHeight="1" x14ac:dyDescent="0.2">
      <c r="B686" s="35"/>
      <c r="C686" s="36"/>
      <c r="D686" s="36"/>
      <c r="E686" s="36"/>
    </row>
    <row r="687" spans="2:5" ht="14.25" customHeight="1" x14ac:dyDescent="0.2">
      <c r="B687" s="35"/>
      <c r="C687" s="36"/>
      <c r="D687" s="36"/>
      <c r="E687" s="36"/>
    </row>
    <row r="688" spans="2:5" ht="14.25" customHeight="1" x14ac:dyDescent="0.2">
      <c r="B688" s="35"/>
      <c r="C688" s="36"/>
      <c r="D688" s="36"/>
      <c r="E688" s="36"/>
    </row>
    <row r="689" spans="2:5" ht="14.25" customHeight="1" x14ac:dyDescent="0.2">
      <c r="B689" s="35"/>
      <c r="C689" s="36"/>
      <c r="D689" s="36"/>
      <c r="E689" s="36"/>
    </row>
    <row r="690" spans="2:5" ht="14.25" customHeight="1" x14ac:dyDescent="0.2">
      <c r="B690" s="35"/>
      <c r="C690" s="36"/>
      <c r="D690" s="36"/>
      <c r="E690" s="36"/>
    </row>
    <row r="691" spans="2:5" ht="14.25" customHeight="1" x14ac:dyDescent="0.2">
      <c r="B691" s="35"/>
      <c r="C691" s="36"/>
      <c r="D691" s="36"/>
      <c r="E691" s="36"/>
    </row>
    <row r="692" spans="2:5" ht="14.25" customHeight="1" x14ac:dyDescent="0.2">
      <c r="B692" s="35"/>
      <c r="C692" s="36"/>
      <c r="D692" s="36"/>
      <c r="E692" s="36"/>
    </row>
    <row r="693" spans="2:5" ht="14.25" customHeight="1" x14ac:dyDescent="0.2">
      <c r="B693" s="35"/>
      <c r="C693" s="36"/>
      <c r="D693" s="36"/>
      <c r="E693" s="36"/>
    </row>
    <row r="694" spans="2:5" ht="14.25" customHeight="1" x14ac:dyDescent="0.2">
      <c r="B694" s="35"/>
      <c r="C694" s="36"/>
      <c r="D694" s="36"/>
      <c r="E694" s="36"/>
    </row>
    <row r="695" spans="2:5" ht="14.25" customHeight="1" x14ac:dyDescent="0.2">
      <c r="B695" s="35"/>
      <c r="C695" s="36"/>
      <c r="D695" s="36"/>
      <c r="E695" s="36"/>
    </row>
    <row r="696" spans="2:5" ht="14.25" customHeight="1" x14ac:dyDescent="0.2">
      <c r="B696" s="35"/>
      <c r="C696" s="36"/>
      <c r="D696" s="36"/>
      <c r="E696" s="36"/>
    </row>
    <row r="697" spans="2:5" ht="14.25" customHeight="1" x14ac:dyDescent="0.2">
      <c r="B697" s="35"/>
      <c r="C697" s="36"/>
      <c r="D697" s="36"/>
      <c r="E697" s="36"/>
    </row>
    <row r="698" spans="2:5" ht="14.25" customHeight="1" x14ac:dyDescent="0.2">
      <c r="B698" s="35"/>
      <c r="C698" s="36"/>
      <c r="D698" s="36"/>
      <c r="E698" s="36"/>
    </row>
    <row r="699" spans="2:5" ht="14.25" customHeight="1" x14ac:dyDescent="0.2">
      <c r="B699" s="35"/>
      <c r="C699" s="36"/>
      <c r="D699" s="36"/>
      <c r="E699" s="36"/>
    </row>
    <row r="700" spans="2:5" ht="14.25" customHeight="1" x14ac:dyDescent="0.2">
      <c r="B700" s="35"/>
      <c r="C700" s="36"/>
      <c r="D700" s="36"/>
      <c r="E700" s="36"/>
    </row>
    <row r="701" spans="2:5" ht="14.25" customHeight="1" x14ac:dyDescent="0.2">
      <c r="B701" s="35"/>
      <c r="C701" s="36"/>
      <c r="D701" s="36"/>
      <c r="E701" s="36"/>
    </row>
    <row r="702" spans="2:5" ht="14.25" customHeight="1" x14ac:dyDescent="0.2">
      <c r="B702" s="35"/>
      <c r="C702" s="36"/>
      <c r="D702" s="36"/>
      <c r="E702" s="36"/>
    </row>
    <row r="703" spans="2:5" ht="14.25" customHeight="1" x14ac:dyDescent="0.2">
      <c r="B703" s="35"/>
      <c r="C703" s="36"/>
      <c r="D703" s="36"/>
      <c r="E703" s="36"/>
    </row>
    <row r="704" spans="2:5" ht="14.25" customHeight="1" x14ac:dyDescent="0.2">
      <c r="B704" s="35"/>
      <c r="C704" s="36"/>
      <c r="D704" s="36"/>
      <c r="E704" s="36"/>
    </row>
    <row r="705" spans="2:5" ht="14.25" customHeight="1" x14ac:dyDescent="0.2">
      <c r="B705" s="35"/>
      <c r="C705" s="36"/>
      <c r="D705" s="36"/>
      <c r="E705" s="36"/>
    </row>
    <row r="706" spans="2:5" ht="14.25" customHeight="1" x14ac:dyDescent="0.2">
      <c r="B706" s="35"/>
      <c r="C706" s="36"/>
      <c r="D706" s="36"/>
      <c r="E706" s="36"/>
    </row>
    <row r="707" spans="2:5" ht="14.25" customHeight="1" x14ac:dyDescent="0.2">
      <c r="B707" s="35"/>
      <c r="C707" s="36"/>
      <c r="D707" s="36"/>
      <c r="E707" s="36"/>
    </row>
    <row r="708" spans="2:5" ht="14.25" customHeight="1" x14ac:dyDescent="0.2">
      <c r="B708" s="35"/>
      <c r="C708" s="36"/>
      <c r="D708" s="36"/>
      <c r="E708" s="36"/>
    </row>
    <row r="709" spans="2:5" ht="14.25" customHeight="1" x14ac:dyDescent="0.2">
      <c r="B709" s="35"/>
      <c r="C709" s="36"/>
      <c r="D709" s="36"/>
      <c r="E709" s="36"/>
    </row>
    <row r="710" spans="2:5" ht="14.25" customHeight="1" x14ac:dyDescent="0.2">
      <c r="B710" s="35"/>
      <c r="C710" s="36"/>
      <c r="D710" s="36"/>
      <c r="E710" s="36"/>
    </row>
    <row r="711" spans="2:5" ht="14.25" customHeight="1" x14ac:dyDescent="0.2">
      <c r="B711" s="35"/>
      <c r="C711" s="36"/>
      <c r="D711" s="36"/>
      <c r="E711" s="36"/>
    </row>
    <row r="712" spans="2:5" ht="14.25" customHeight="1" x14ac:dyDescent="0.2">
      <c r="B712" s="35"/>
      <c r="C712" s="36"/>
      <c r="D712" s="36"/>
      <c r="E712" s="36"/>
    </row>
    <row r="713" spans="2:5" ht="14.25" customHeight="1" x14ac:dyDescent="0.2">
      <c r="B713" s="35"/>
      <c r="C713" s="36"/>
      <c r="D713" s="36"/>
      <c r="E713" s="36"/>
    </row>
    <row r="714" spans="2:5" ht="14.25" customHeight="1" x14ac:dyDescent="0.2">
      <c r="B714" s="35"/>
      <c r="C714" s="36"/>
      <c r="D714" s="36"/>
      <c r="E714" s="36"/>
    </row>
    <row r="715" spans="2:5" ht="14.25" customHeight="1" x14ac:dyDescent="0.2">
      <c r="B715" s="35"/>
      <c r="C715" s="36"/>
      <c r="D715" s="36"/>
      <c r="E715" s="36"/>
    </row>
    <row r="716" spans="2:5" ht="14.25" customHeight="1" x14ac:dyDescent="0.2">
      <c r="B716" s="35"/>
      <c r="C716" s="36"/>
      <c r="D716" s="36"/>
      <c r="E716" s="36"/>
    </row>
    <row r="717" spans="2:5" ht="14.25" customHeight="1" x14ac:dyDescent="0.2">
      <c r="B717" s="35"/>
      <c r="C717" s="36"/>
      <c r="D717" s="36"/>
      <c r="E717" s="36"/>
    </row>
    <row r="718" spans="2:5" ht="14.25" customHeight="1" x14ac:dyDescent="0.2">
      <c r="B718" s="35"/>
      <c r="C718" s="36"/>
      <c r="D718" s="36"/>
      <c r="E718" s="36"/>
    </row>
    <row r="719" spans="2:5" ht="14.25" customHeight="1" x14ac:dyDescent="0.2">
      <c r="B719" s="35"/>
      <c r="C719" s="36"/>
      <c r="D719" s="36"/>
      <c r="E719" s="36"/>
    </row>
    <row r="720" spans="2:5" ht="14.25" customHeight="1" x14ac:dyDescent="0.2">
      <c r="B720" s="35"/>
      <c r="C720" s="36"/>
      <c r="D720" s="36"/>
      <c r="E720" s="36"/>
    </row>
    <row r="721" spans="2:5" ht="14.25" customHeight="1" x14ac:dyDescent="0.2">
      <c r="B721" s="35"/>
      <c r="C721" s="36"/>
      <c r="D721" s="36"/>
      <c r="E721" s="36"/>
    </row>
    <row r="722" spans="2:5" ht="14.25" customHeight="1" x14ac:dyDescent="0.2">
      <c r="B722" s="35"/>
      <c r="C722" s="36"/>
      <c r="D722" s="36"/>
      <c r="E722" s="36"/>
    </row>
    <row r="723" spans="2:5" ht="14.25" customHeight="1" x14ac:dyDescent="0.2">
      <c r="B723" s="35"/>
      <c r="C723" s="36"/>
      <c r="D723" s="36"/>
      <c r="E723" s="36"/>
    </row>
    <row r="724" spans="2:5" ht="14.25" customHeight="1" x14ac:dyDescent="0.2">
      <c r="B724" s="35"/>
      <c r="C724" s="36"/>
      <c r="D724" s="36"/>
      <c r="E724" s="36"/>
    </row>
    <row r="725" spans="2:5" ht="14.25" customHeight="1" x14ac:dyDescent="0.2">
      <c r="B725" s="35"/>
      <c r="C725" s="36"/>
      <c r="D725" s="36"/>
      <c r="E725" s="36"/>
    </row>
    <row r="726" spans="2:5" ht="14.25" customHeight="1" x14ac:dyDescent="0.2">
      <c r="B726" s="35"/>
      <c r="C726" s="36"/>
      <c r="D726" s="36"/>
      <c r="E726" s="36"/>
    </row>
    <row r="727" spans="2:5" ht="14.25" customHeight="1" x14ac:dyDescent="0.2">
      <c r="B727" s="35"/>
      <c r="C727" s="36"/>
      <c r="D727" s="36"/>
      <c r="E727" s="36"/>
    </row>
    <row r="728" spans="2:5" ht="14.25" customHeight="1" x14ac:dyDescent="0.2">
      <c r="B728" s="35"/>
      <c r="C728" s="36"/>
      <c r="D728" s="36"/>
      <c r="E728" s="36"/>
    </row>
    <row r="729" spans="2:5" ht="14.25" customHeight="1" x14ac:dyDescent="0.2">
      <c r="B729" s="35"/>
      <c r="C729" s="36"/>
      <c r="D729" s="36"/>
      <c r="E729" s="36"/>
    </row>
    <row r="730" spans="2:5" ht="14.25" customHeight="1" x14ac:dyDescent="0.2">
      <c r="B730" s="35"/>
      <c r="C730" s="36"/>
      <c r="D730" s="36"/>
      <c r="E730" s="36"/>
    </row>
    <row r="731" spans="2:5" ht="14.25" customHeight="1" x14ac:dyDescent="0.2">
      <c r="B731" s="35"/>
      <c r="C731" s="36"/>
      <c r="D731" s="36"/>
      <c r="E731" s="36"/>
    </row>
    <row r="732" spans="2:5" ht="14.25" customHeight="1" x14ac:dyDescent="0.2">
      <c r="B732" s="35"/>
      <c r="C732" s="36"/>
      <c r="D732" s="36"/>
      <c r="E732" s="36"/>
    </row>
    <row r="733" spans="2:5" ht="14.25" customHeight="1" x14ac:dyDescent="0.2">
      <c r="B733" s="35"/>
      <c r="C733" s="36"/>
      <c r="D733" s="36"/>
      <c r="E733" s="36"/>
    </row>
    <row r="734" spans="2:5" ht="14.25" customHeight="1" x14ac:dyDescent="0.2">
      <c r="B734" s="35"/>
      <c r="C734" s="36"/>
      <c r="D734" s="36"/>
      <c r="E734" s="36"/>
    </row>
    <row r="735" spans="2:5" ht="14.25" customHeight="1" x14ac:dyDescent="0.2">
      <c r="B735" s="35"/>
      <c r="C735" s="36"/>
      <c r="D735" s="36"/>
      <c r="E735" s="36"/>
    </row>
    <row r="736" spans="2:5" ht="14.25" customHeight="1" x14ac:dyDescent="0.2">
      <c r="B736" s="35"/>
      <c r="C736" s="36"/>
      <c r="D736" s="36"/>
      <c r="E736" s="36"/>
    </row>
    <row r="737" spans="2:5" ht="14.25" customHeight="1" x14ac:dyDescent="0.2">
      <c r="B737" s="35"/>
      <c r="C737" s="36"/>
      <c r="D737" s="36"/>
      <c r="E737" s="36"/>
    </row>
    <row r="738" spans="2:5" ht="14.25" customHeight="1" x14ac:dyDescent="0.2">
      <c r="B738" s="35"/>
      <c r="C738" s="36"/>
      <c r="D738" s="36"/>
      <c r="E738" s="36"/>
    </row>
    <row r="739" spans="2:5" ht="14.25" customHeight="1" x14ac:dyDescent="0.2">
      <c r="B739" s="35"/>
      <c r="C739" s="36"/>
      <c r="D739" s="36"/>
      <c r="E739" s="36"/>
    </row>
    <row r="740" spans="2:5" ht="14.25" customHeight="1" x14ac:dyDescent="0.2">
      <c r="B740" s="35"/>
      <c r="C740" s="36"/>
      <c r="D740" s="36"/>
      <c r="E740" s="36"/>
    </row>
    <row r="741" spans="2:5" ht="14.25" customHeight="1" x14ac:dyDescent="0.2">
      <c r="B741" s="35"/>
      <c r="C741" s="36"/>
      <c r="D741" s="36"/>
      <c r="E741" s="36"/>
    </row>
    <row r="742" spans="2:5" ht="14.25" customHeight="1" x14ac:dyDescent="0.2">
      <c r="B742" s="35"/>
      <c r="C742" s="36"/>
      <c r="D742" s="36"/>
      <c r="E742" s="36"/>
    </row>
    <row r="743" spans="2:5" ht="14.25" customHeight="1" x14ac:dyDescent="0.2">
      <c r="B743" s="35"/>
      <c r="C743" s="36"/>
      <c r="D743" s="36"/>
      <c r="E743" s="36"/>
    </row>
    <row r="744" spans="2:5" ht="14.25" customHeight="1" x14ac:dyDescent="0.2">
      <c r="B744" s="35"/>
      <c r="C744" s="36"/>
      <c r="D744" s="36"/>
      <c r="E744" s="36"/>
    </row>
    <row r="745" spans="2:5" ht="14.25" customHeight="1" x14ac:dyDescent="0.2">
      <c r="B745" s="35"/>
      <c r="C745" s="36"/>
      <c r="D745" s="36"/>
      <c r="E745" s="36"/>
    </row>
    <row r="746" spans="2:5" ht="14.25" customHeight="1" x14ac:dyDescent="0.2">
      <c r="B746" s="35"/>
      <c r="C746" s="36"/>
      <c r="D746" s="36"/>
      <c r="E746" s="36"/>
    </row>
    <row r="747" spans="2:5" ht="14.25" customHeight="1" x14ac:dyDescent="0.2">
      <c r="B747" s="35"/>
      <c r="C747" s="36"/>
      <c r="D747" s="36"/>
      <c r="E747" s="36"/>
    </row>
    <row r="748" spans="2:5" ht="14.25" customHeight="1" x14ac:dyDescent="0.2">
      <c r="B748" s="35"/>
      <c r="C748" s="36"/>
      <c r="D748" s="36"/>
      <c r="E748" s="36"/>
    </row>
    <row r="749" spans="2:5" ht="14.25" customHeight="1" x14ac:dyDescent="0.2">
      <c r="B749" s="35"/>
      <c r="C749" s="36"/>
      <c r="D749" s="36"/>
      <c r="E749" s="36"/>
    </row>
    <row r="750" spans="2:5" ht="14.25" customHeight="1" x14ac:dyDescent="0.2">
      <c r="B750" s="35"/>
      <c r="C750" s="36"/>
      <c r="D750" s="36"/>
      <c r="E750" s="36"/>
    </row>
    <row r="751" spans="2:5" ht="14.25" customHeight="1" x14ac:dyDescent="0.2">
      <c r="B751" s="35"/>
      <c r="C751" s="36"/>
      <c r="D751" s="36"/>
      <c r="E751" s="36"/>
    </row>
    <row r="752" spans="2:5" ht="14.25" customHeight="1" x14ac:dyDescent="0.2">
      <c r="B752" s="35"/>
      <c r="C752" s="36"/>
      <c r="D752" s="36"/>
      <c r="E752" s="36"/>
    </row>
    <row r="753" spans="2:5" ht="14.25" customHeight="1" x14ac:dyDescent="0.2">
      <c r="B753" s="35"/>
      <c r="C753" s="36"/>
      <c r="D753" s="36"/>
      <c r="E753" s="36"/>
    </row>
    <row r="754" spans="2:5" ht="14.25" customHeight="1" x14ac:dyDescent="0.2">
      <c r="B754" s="35"/>
      <c r="C754" s="36"/>
      <c r="D754" s="36"/>
      <c r="E754" s="36"/>
    </row>
    <row r="755" spans="2:5" ht="14.25" customHeight="1" x14ac:dyDescent="0.2">
      <c r="B755" s="35"/>
      <c r="C755" s="36"/>
      <c r="D755" s="36"/>
      <c r="E755" s="36"/>
    </row>
    <row r="756" spans="2:5" ht="14.25" customHeight="1" x14ac:dyDescent="0.2">
      <c r="B756" s="35"/>
      <c r="C756" s="36"/>
      <c r="D756" s="36"/>
      <c r="E756" s="36"/>
    </row>
    <row r="757" spans="2:5" ht="14.25" customHeight="1" x14ac:dyDescent="0.2">
      <c r="B757" s="35"/>
      <c r="C757" s="36"/>
      <c r="D757" s="36"/>
      <c r="E757" s="36"/>
    </row>
    <row r="758" spans="2:5" ht="14.25" customHeight="1" x14ac:dyDescent="0.2">
      <c r="B758" s="35"/>
      <c r="C758" s="36"/>
      <c r="D758" s="36"/>
      <c r="E758" s="36"/>
    </row>
    <row r="759" spans="2:5" ht="14.25" customHeight="1" x14ac:dyDescent="0.2">
      <c r="B759" s="35"/>
      <c r="C759" s="36"/>
      <c r="D759" s="36"/>
      <c r="E759" s="36"/>
    </row>
    <row r="760" spans="2:5" ht="14.25" customHeight="1" x14ac:dyDescent="0.2">
      <c r="B760" s="35"/>
      <c r="C760" s="36"/>
      <c r="D760" s="36"/>
      <c r="E760" s="36"/>
    </row>
    <row r="761" spans="2:5" ht="14.25" customHeight="1" x14ac:dyDescent="0.2">
      <c r="B761" s="35"/>
      <c r="C761" s="36"/>
      <c r="D761" s="36"/>
      <c r="E761" s="36"/>
    </row>
    <row r="762" spans="2:5" ht="14.25" customHeight="1" x14ac:dyDescent="0.2">
      <c r="B762" s="35"/>
      <c r="C762" s="36"/>
      <c r="D762" s="36"/>
      <c r="E762" s="36"/>
    </row>
    <row r="763" spans="2:5" ht="14.25" customHeight="1" x14ac:dyDescent="0.2">
      <c r="B763" s="35"/>
      <c r="C763" s="36"/>
      <c r="D763" s="36"/>
      <c r="E763" s="36"/>
    </row>
    <row r="764" spans="2:5" ht="14.25" customHeight="1" x14ac:dyDescent="0.2">
      <c r="B764" s="35"/>
      <c r="C764" s="36"/>
      <c r="D764" s="36"/>
      <c r="E764" s="36"/>
    </row>
    <row r="765" spans="2:5" ht="14.25" customHeight="1" x14ac:dyDescent="0.2">
      <c r="B765" s="35"/>
      <c r="C765" s="36"/>
      <c r="D765" s="36"/>
      <c r="E765" s="36"/>
    </row>
    <row r="766" spans="2:5" ht="14.25" customHeight="1" x14ac:dyDescent="0.2">
      <c r="B766" s="35"/>
      <c r="C766" s="36"/>
      <c r="D766" s="36"/>
      <c r="E766" s="36"/>
    </row>
    <row r="767" spans="2:5" ht="14.25" customHeight="1" x14ac:dyDescent="0.2">
      <c r="B767" s="35"/>
      <c r="C767" s="36"/>
      <c r="D767" s="36"/>
      <c r="E767" s="36"/>
    </row>
    <row r="768" spans="2:5" ht="14.25" customHeight="1" x14ac:dyDescent="0.2">
      <c r="B768" s="35"/>
      <c r="C768" s="36"/>
      <c r="D768" s="36"/>
      <c r="E768" s="36"/>
    </row>
    <row r="769" spans="2:5" ht="14.25" customHeight="1" x14ac:dyDescent="0.2">
      <c r="B769" s="35"/>
      <c r="C769" s="36"/>
      <c r="D769" s="36"/>
      <c r="E769" s="36"/>
    </row>
    <row r="770" spans="2:5" ht="14.25" customHeight="1" x14ac:dyDescent="0.2">
      <c r="B770" s="35"/>
      <c r="C770" s="36"/>
      <c r="D770" s="36"/>
      <c r="E770" s="36"/>
    </row>
    <row r="771" spans="2:5" ht="14.25" customHeight="1" x14ac:dyDescent="0.2">
      <c r="B771" s="35"/>
      <c r="C771" s="36"/>
      <c r="D771" s="36"/>
      <c r="E771" s="36"/>
    </row>
    <row r="772" spans="2:5" ht="14.25" customHeight="1" x14ac:dyDescent="0.2">
      <c r="B772" s="35"/>
      <c r="C772" s="36"/>
      <c r="D772" s="36"/>
      <c r="E772" s="36"/>
    </row>
    <row r="773" spans="2:5" ht="14.25" customHeight="1" x14ac:dyDescent="0.2">
      <c r="B773" s="35"/>
      <c r="C773" s="36"/>
      <c r="D773" s="36"/>
      <c r="E773" s="36"/>
    </row>
    <row r="774" spans="2:5" ht="14.25" customHeight="1" x14ac:dyDescent="0.2">
      <c r="B774" s="35"/>
      <c r="C774" s="36"/>
      <c r="D774" s="36"/>
      <c r="E774" s="36"/>
    </row>
    <row r="775" spans="2:5" ht="14.25" customHeight="1" x14ac:dyDescent="0.2">
      <c r="B775" s="35"/>
      <c r="C775" s="36"/>
      <c r="D775" s="36"/>
      <c r="E775" s="36"/>
    </row>
    <row r="776" spans="2:5" ht="14.25" customHeight="1" x14ac:dyDescent="0.2">
      <c r="B776" s="35"/>
      <c r="C776" s="36"/>
      <c r="D776" s="36"/>
      <c r="E776" s="36"/>
    </row>
    <row r="777" spans="2:5" ht="14.25" customHeight="1" x14ac:dyDescent="0.2">
      <c r="B777" s="35"/>
      <c r="C777" s="36"/>
      <c r="D777" s="36"/>
      <c r="E777" s="36"/>
    </row>
    <row r="778" spans="2:5" ht="14.25" customHeight="1" x14ac:dyDescent="0.2">
      <c r="B778" s="35"/>
      <c r="C778" s="36"/>
      <c r="D778" s="36"/>
      <c r="E778" s="36"/>
    </row>
    <row r="779" spans="2:5" ht="14.25" customHeight="1" x14ac:dyDescent="0.2">
      <c r="B779" s="35"/>
      <c r="C779" s="36"/>
      <c r="D779" s="36"/>
      <c r="E779" s="36"/>
    </row>
    <row r="780" spans="2:5" ht="14.25" customHeight="1" x14ac:dyDescent="0.2">
      <c r="B780" s="35"/>
      <c r="C780" s="36"/>
      <c r="D780" s="36"/>
      <c r="E780" s="36"/>
    </row>
    <row r="781" spans="2:5" ht="14.25" customHeight="1" x14ac:dyDescent="0.2">
      <c r="B781" s="35"/>
      <c r="C781" s="36"/>
      <c r="D781" s="36"/>
      <c r="E781" s="36"/>
    </row>
    <row r="782" spans="2:5" ht="14.25" customHeight="1" x14ac:dyDescent="0.2">
      <c r="B782" s="35"/>
      <c r="C782" s="36"/>
      <c r="D782" s="36"/>
      <c r="E782" s="36"/>
    </row>
    <row r="783" spans="2:5" ht="14.25" customHeight="1" x14ac:dyDescent="0.2">
      <c r="B783" s="35"/>
      <c r="C783" s="36"/>
      <c r="D783" s="36"/>
      <c r="E783" s="36"/>
    </row>
    <row r="784" spans="2:5" ht="14.25" customHeight="1" x14ac:dyDescent="0.2">
      <c r="B784" s="35"/>
      <c r="C784" s="36"/>
      <c r="D784" s="36"/>
      <c r="E784" s="36"/>
    </row>
    <row r="785" spans="2:5" ht="14.25" customHeight="1" x14ac:dyDescent="0.2">
      <c r="B785" s="35"/>
      <c r="C785" s="36"/>
      <c r="D785" s="36"/>
      <c r="E785" s="36"/>
    </row>
    <row r="786" spans="2:5" ht="14.25" customHeight="1" x14ac:dyDescent="0.2">
      <c r="B786" s="35"/>
      <c r="C786" s="36"/>
      <c r="D786" s="36"/>
      <c r="E786" s="36"/>
    </row>
    <row r="787" spans="2:5" ht="14.25" customHeight="1" x14ac:dyDescent="0.2">
      <c r="B787" s="35"/>
      <c r="C787" s="36"/>
      <c r="D787" s="36"/>
      <c r="E787" s="36"/>
    </row>
    <row r="788" spans="2:5" ht="14.25" customHeight="1" x14ac:dyDescent="0.2">
      <c r="B788" s="35"/>
      <c r="C788" s="36"/>
      <c r="D788" s="36"/>
      <c r="E788" s="36"/>
    </row>
    <row r="789" spans="2:5" ht="14.25" customHeight="1" x14ac:dyDescent="0.2">
      <c r="B789" s="35"/>
      <c r="C789" s="36"/>
      <c r="D789" s="36"/>
      <c r="E789" s="36"/>
    </row>
    <row r="790" spans="2:5" ht="14.25" customHeight="1" x14ac:dyDescent="0.2">
      <c r="B790" s="35"/>
      <c r="C790" s="36"/>
      <c r="D790" s="36"/>
      <c r="E790" s="36"/>
    </row>
    <row r="791" spans="2:5" ht="14.25" customHeight="1" x14ac:dyDescent="0.2">
      <c r="B791" s="35"/>
      <c r="C791" s="36"/>
      <c r="D791" s="36"/>
      <c r="E791" s="36"/>
    </row>
    <row r="792" spans="2:5" ht="14.25" customHeight="1" x14ac:dyDescent="0.2">
      <c r="B792" s="35"/>
      <c r="C792" s="36"/>
      <c r="D792" s="36"/>
      <c r="E792" s="36"/>
    </row>
    <row r="793" spans="2:5" ht="14.25" customHeight="1" x14ac:dyDescent="0.2">
      <c r="B793" s="35"/>
      <c r="C793" s="36"/>
      <c r="D793" s="36"/>
      <c r="E793" s="36"/>
    </row>
    <row r="794" spans="2:5" ht="14.25" customHeight="1" x14ac:dyDescent="0.2">
      <c r="B794" s="35"/>
      <c r="C794" s="36"/>
      <c r="D794" s="36"/>
      <c r="E794" s="36"/>
    </row>
    <row r="795" spans="2:5" ht="14.25" customHeight="1" x14ac:dyDescent="0.2">
      <c r="B795" s="35"/>
      <c r="C795" s="36"/>
      <c r="D795" s="36"/>
      <c r="E795" s="36"/>
    </row>
    <row r="796" spans="2:5" ht="14.25" customHeight="1" x14ac:dyDescent="0.2">
      <c r="B796" s="35"/>
      <c r="C796" s="36"/>
      <c r="D796" s="36"/>
      <c r="E796" s="36"/>
    </row>
    <row r="797" spans="2:5" ht="14.25" customHeight="1" x14ac:dyDescent="0.2">
      <c r="B797" s="35"/>
      <c r="C797" s="36"/>
      <c r="D797" s="36"/>
      <c r="E797" s="36"/>
    </row>
    <row r="798" spans="2:5" ht="14.25" customHeight="1" x14ac:dyDescent="0.2">
      <c r="B798" s="35"/>
      <c r="C798" s="36"/>
      <c r="D798" s="36"/>
      <c r="E798" s="36"/>
    </row>
    <row r="799" spans="2:5" ht="14.25" customHeight="1" x14ac:dyDescent="0.2">
      <c r="B799" s="35"/>
      <c r="C799" s="36"/>
      <c r="D799" s="36"/>
      <c r="E799" s="36"/>
    </row>
    <row r="800" spans="2:5" ht="14.25" customHeight="1" x14ac:dyDescent="0.2">
      <c r="B800" s="35"/>
      <c r="C800" s="36"/>
      <c r="D800" s="36"/>
      <c r="E800" s="36"/>
    </row>
    <row r="801" spans="2:5" ht="14.25" customHeight="1" x14ac:dyDescent="0.2">
      <c r="B801" s="35"/>
      <c r="C801" s="36"/>
      <c r="D801" s="36"/>
      <c r="E801" s="36"/>
    </row>
    <row r="802" spans="2:5" ht="14.25" customHeight="1" x14ac:dyDescent="0.2">
      <c r="B802" s="35"/>
      <c r="C802" s="36"/>
      <c r="D802" s="36"/>
      <c r="E802" s="36"/>
    </row>
    <row r="803" spans="2:5" ht="14.25" customHeight="1" x14ac:dyDescent="0.2">
      <c r="B803" s="35"/>
      <c r="C803" s="36"/>
      <c r="D803" s="36"/>
      <c r="E803" s="36"/>
    </row>
    <row r="804" spans="2:5" ht="14.25" customHeight="1" x14ac:dyDescent="0.2">
      <c r="B804" s="35"/>
      <c r="C804" s="36"/>
      <c r="D804" s="36"/>
      <c r="E804" s="36"/>
    </row>
    <row r="805" spans="2:5" ht="14.25" customHeight="1" x14ac:dyDescent="0.2">
      <c r="B805" s="35"/>
      <c r="C805" s="36"/>
      <c r="D805" s="36"/>
      <c r="E805" s="36"/>
    </row>
    <row r="806" spans="2:5" ht="14.25" customHeight="1" x14ac:dyDescent="0.2">
      <c r="B806" s="35"/>
      <c r="C806" s="36"/>
      <c r="D806" s="36"/>
      <c r="E806" s="36"/>
    </row>
    <row r="807" spans="2:5" ht="14.25" customHeight="1" x14ac:dyDescent="0.2">
      <c r="B807" s="35"/>
      <c r="C807" s="36"/>
      <c r="D807" s="36"/>
      <c r="E807" s="36"/>
    </row>
    <row r="808" spans="2:5" ht="14.25" customHeight="1" x14ac:dyDescent="0.2">
      <c r="B808" s="35"/>
      <c r="C808" s="36"/>
      <c r="D808" s="36"/>
      <c r="E808" s="36"/>
    </row>
    <row r="809" spans="2:5" ht="14.25" customHeight="1" x14ac:dyDescent="0.2">
      <c r="B809" s="35"/>
      <c r="C809" s="36"/>
      <c r="D809" s="36"/>
      <c r="E809" s="36"/>
    </row>
    <row r="810" spans="2:5" ht="14.25" customHeight="1" x14ac:dyDescent="0.2">
      <c r="B810" s="35"/>
      <c r="C810" s="36"/>
      <c r="D810" s="36"/>
      <c r="E810" s="36"/>
    </row>
    <row r="811" spans="2:5" ht="14.25" customHeight="1" x14ac:dyDescent="0.2">
      <c r="B811" s="35"/>
      <c r="C811" s="36"/>
      <c r="D811" s="36"/>
      <c r="E811" s="36"/>
    </row>
    <row r="812" spans="2:5" ht="14.25" customHeight="1" x14ac:dyDescent="0.2">
      <c r="B812" s="35"/>
      <c r="C812" s="36"/>
      <c r="D812" s="36"/>
      <c r="E812" s="36"/>
    </row>
    <row r="813" spans="2:5" ht="14.25" customHeight="1" x14ac:dyDescent="0.2">
      <c r="B813" s="35"/>
      <c r="C813" s="36"/>
      <c r="D813" s="36"/>
      <c r="E813" s="36"/>
    </row>
    <row r="814" spans="2:5" ht="14.25" customHeight="1" x14ac:dyDescent="0.2">
      <c r="B814" s="35"/>
      <c r="C814" s="36"/>
      <c r="D814" s="36"/>
      <c r="E814" s="36"/>
    </row>
    <row r="815" spans="2:5" ht="14.25" customHeight="1" x14ac:dyDescent="0.2">
      <c r="B815" s="35"/>
      <c r="C815" s="36"/>
      <c r="D815" s="36"/>
      <c r="E815" s="36"/>
    </row>
    <row r="816" spans="2:5" ht="14.25" customHeight="1" x14ac:dyDescent="0.2">
      <c r="B816" s="35"/>
      <c r="C816" s="36"/>
      <c r="D816" s="36"/>
      <c r="E816" s="36"/>
    </row>
    <row r="817" spans="2:5" ht="14.25" customHeight="1" x14ac:dyDescent="0.2">
      <c r="B817" s="35"/>
      <c r="C817" s="36"/>
      <c r="D817" s="36"/>
      <c r="E817" s="36"/>
    </row>
    <row r="818" spans="2:5" ht="14.25" customHeight="1" x14ac:dyDescent="0.2">
      <c r="B818" s="35"/>
      <c r="C818" s="36"/>
      <c r="D818" s="36"/>
      <c r="E818" s="36"/>
    </row>
    <row r="819" spans="2:5" ht="14.25" customHeight="1" x14ac:dyDescent="0.2">
      <c r="B819" s="35"/>
      <c r="C819" s="36"/>
      <c r="D819" s="36"/>
      <c r="E819" s="36"/>
    </row>
    <row r="820" spans="2:5" ht="14.25" customHeight="1" x14ac:dyDescent="0.2">
      <c r="B820" s="35"/>
      <c r="C820" s="36"/>
      <c r="D820" s="36"/>
      <c r="E820" s="36"/>
    </row>
    <row r="821" spans="2:5" ht="14.25" customHeight="1" x14ac:dyDescent="0.2">
      <c r="B821" s="35"/>
      <c r="C821" s="36"/>
      <c r="D821" s="36"/>
      <c r="E821" s="36"/>
    </row>
    <row r="822" spans="2:5" ht="14.25" customHeight="1" x14ac:dyDescent="0.2">
      <c r="B822" s="35"/>
      <c r="C822" s="36"/>
      <c r="D822" s="36"/>
      <c r="E822" s="36"/>
    </row>
    <row r="823" spans="2:5" ht="14.25" customHeight="1" x14ac:dyDescent="0.2">
      <c r="B823" s="35"/>
      <c r="C823" s="36"/>
      <c r="D823" s="36"/>
      <c r="E823" s="36"/>
    </row>
    <row r="824" spans="2:5" ht="14.25" customHeight="1" x14ac:dyDescent="0.2">
      <c r="B824" s="35"/>
      <c r="C824" s="36"/>
      <c r="D824" s="36"/>
      <c r="E824" s="36"/>
    </row>
    <row r="825" spans="2:5" ht="14.25" customHeight="1" x14ac:dyDescent="0.2">
      <c r="B825" s="35"/>
      <c r="C825" s="36"/>
      <c r="D825" s="36"/>
      <c r="E825" s="36"/>
    </row>
    <row r="826" spans="2:5" ht="14.25" customHeight="1" x14ac:dyDescent="0.2">
      <c r="B826" s="35"/>
      <c r="C826" s="36"/>
      <c r="D826" s="36"/>
      <c r="E826" s="36"/>
    </row>
    <row r="827" spans="2:5" ht="14.25" customHeight="1" x14ac:dyDescent="0.2">
      <c r="B827" s="35"/>
      <c r="C827" s="36"/>
      <c r="D827" s="36"/>
      <c r="E827" s="36"/>
    </row>
    <row r="828" spans="2:5" ht="14.25" customHeight="1" x14ac:dyDescent="0.2">
      <c r="B828" s="35"/>
      <c r="C828" s="36"/>
      <c r="D828" s="36"/>
      <c r="E828" s="36"/>
    </row>
    <row r="829" spans="2:5" ht="14.25" customHeight="1" x14ac:dyDescent="0.2">
      <c r="B829" s="35"/>
      <c r="C829" s="36"/>
      <c r="D829" s="36"/>
      <c r="E829" s="36"/>
    </row>
    <row r="830" spans="2:5" ht="14.25" customHeight="1" x14ac:dyDescent="0.2">
      <c r="B830" s="35"/>
      <c r="C830" s="36"/>
      <c r="D830" s="36"/>
      <c r="E830" s="36"/>
    </row>
    <row r="831" spans="2:5" ht="14.25" customHeight="1" x14ac:dyDescent="0.2">
      <c r="B831" s="35"/>
      <c r="C831" s="36"/>
      <c r="D831" s="36"/>
      <c r="E831" s="36"/>
    </row>
    <row r="832" spans="2:5" ht="14.25" customHeight="1" x14ac:dyDescent="0.2">
      <c r="B832" s="35"/>
      <c r="C832" s="36"/>
      <c r="D832" s="36"/>
      <c r="E832" s="36"/>
    </row>
    <row r="833" spans="2:5" ht="14.25" customHeight="1" x14ac:dyDescent="0.2">
      <c r="B833" s="35"/>
      <c r="C833" s="36"/>
      <c r="D833" s="36"/>
      <c r="E833" s="36"/>
    </row>
    <row r="834" spans="2:5" ht="14.25" customHeight="1" x14ac:dyDescent="0.2">
      <c r="B834" s="35"/>
      <c r="C834" s="36"/>
      <c r="D834" s="36"/>
      <c r="E834" s="36"/>
    </row>
    <row r="835" spans="2:5" ht="14.25" customHeight="1" x14ac:dyDescent="0.2">
      <c r="B835" s="35"/>
      <c r="C835" s="36"/>
      <c r="D835" s="36"/>
      <c r="E835" s="36"/>
    </row>
    <row r="836" spans="2:5" ht="14.25" customHeight="1" x14ac:dyDescent="0.2">
      <c r="B836" s="35"/>
      <c r="C836" s="36"/>
      <c r="D836" s="36"/>
      <c r="E836" s="36"/>
    </row>
    <row r="837" spans="2:5" ht="14.25" customHeight="1" x14ac:dyDescent="0.2">
      <c r="B837" s="35"/>
      <c r="C837" s="36"/>
      <c r="D837" s="36"/>
      <c r="E837" s="36"/>
    </row>
    <row r="838" spans="2:5" ht="14.25" customHeight="1" x14ac:dyDescent="0.2">
      <c r="B838" s="35"/>
      <c r="C838" s="36"/>
      <c r="D838" s="36"/>
      <c r="E838" s="36"/>
    </row>
    <row r="839" spans="2:5" ht="14.25" customHeight="1" x14ac:dyDescent="0.2">
      <c r="B839" s="35"/>
      <c r="C839" s="36"/>
      <c r="D839" s="36"/>
      <c r="E839" s="36"/>
    </row>
    <row r="840" spans="2:5" ht="14.25" customHeight="1" x14ac:dyDescent="0.2">
      <c r="B840" s="35"/>
      <c r="C840" s="36"/>
      <c r="D840" s="36"/>
      <c r="E840" s="36"/>
    </row>
    <row r="841" spans="2:5" ht="14.25" customHeight="1" x14ac:dyDescent="0.2">
      <c r="B841" s="35"/>
      <c r="C841" s="36"/>
      <c r="D841" s="36"/>
      <c r="E841" s="36"/>
    </row>
    <row r="842" spans="2:5" ht="14.25" customHeight="1" x14ac:dyDescent="0.2">
      <c r="B842" s="35"/>
      <c r="C842" s="36"/>
      <c r="D842" s="36"/>
      <c r="E842" s="36"/>
    </row>
    <row r="843" spans="2:5" ht="14.25" customHeight="1" x14ac:dyDescent="0.2">
      <c r="B843" s="35"/>
      <c r="C843" s="36"/>
      <c r="D843" s="36"/>
      <c r="E843" s="36"/>
    </row>
    <row r="844" spans="2:5" ht="14.25" customHeight="1" x14ac:dyDescent="0.2">
      <c r="B844" s="35"/>
      <c r="C844" s="36"/>
      <c r="D844" s="36"/>
      <c r="E844" s="36"/>
    </row>
    <row r="845" spans="2:5" ht="14.25" customHeight="1" x14ac:dyDescent="0.2">
      <c r="B845" s="35"/>
      <c r="C845" s="36"/>
      <c r="D845" s="36"/>
      <c r="E845" s="36"/>
    </row>
    <row r="846" spans="2:5" ht="14.25" customHeight="1" x14ac:dyDescent="0.2">
      <c r="B846" s="35"/>
      <c r="C846" s="36"/>
      <c r="D846" s="36"/>
      <c r="E846" s="36"/>
    </row>
    <row r="847" spans="2:5" ht="14.25" customHeight="1" x14ac:dyDescent="0.2">
      <c r="B847" s="35"/>
      <c r="C847" s="36"/>
      <c r="D847" s="36"/>
      <c r="E847" s="36"/>
    </row>
    <row r="848" spans="2:5" ht="14.25" customHeight="1" x14ac:dyDescent="0.2">
      <c r="B848" s="35"/>
      <c r="C848" s="36"/>
      <c r="D848" s="36"/>
      <c r="E848" s="36"/>
    </row>
    <row r="849" spans="2:5" ht="14.25" customHeight="1" x14ac:dyDescent="0.2">
      <c r="B849" s="35"/>
      <c r="C849" s="36"/>
      <c r="D849" s="36"/>
      <c r="E849" s="36"/>
    </row>
    <row r="850" spans="2:5" ht="14.25" customHeight="1" x14ac:dyDescent="0.2">
      <c r="B850" s="35"/>
      <c r="C850" s="36"/>
      <c r="D850" s="36"/>
      <c r="E850" s="36"/>
    </row>
    <row r="851" spans="2:5" ht="14.25" customHeight="1" x14ac:dyDescent="0.2">
      <c r="B851" s="35"/>
      <c r="C851" s="36"/>
      <c r="D851" s="36"/>
      <c r="E851" s="36"/>
    </row>
    <row r="852" spans="2:5" ht="14.25" customHeight="1" x14ac:dyDescent="0.2">
      <c r="B852" s="35"/>
      <c r="C852" s="36"/>
      <c r="D852" s="36"/>
      <c r="E852" s="36"/>
    </row>
    <row r="853" spans="2:5" ht="14.25" customHeight="1" x14ac:dyDescent="0.2">
      <c r="B853" s="35"/>
      <c r="C853" s="36"/>
      <c r="D853" s="36"/>
      <c r="E853" s="36"/>
    </row>
    <row r="854" spans="2:5" ht="14.25" customHeight="1" x14ac:dyDescent="0.2">
      <c r="B854" s="35"/>
      <c r="C854" s="36"/>
      <c r="D854" s="36"/>
      <c r="E854" s="36"/>
    </row>
    <row r="855" spans="2:5" ht="14.25" customHeight="1" x14ac:dyDescent="0.2">
      <c r="B855" s="35"/>
      <c r="C855" s="36"/>
      <c r="D855" s="36"/>
      <c r="E855" s="36"/>
    </row>
    <row r="856" spans="2:5" ht="14.25" customHeight="1" x14ac:dyDescent="0.2">
      <c r="B856" s="35"/>
      <c r="C856" s="36"/>
      <c r="D856" s="36"/>
      <c r="E856" s="36"/>
    </row>
    <row r="857" spans="2:5" ht="14.25" customHeight="1" x14ac:dyDescent="0.2">
      <c r="B857" s="35"/>
      <c r="C857" s="36"/>
      <c r="D857" s="36"/>
      <c r="E857" s="36"/>
    </row>
    <row r="858" spans="2:5" ht="14.25" customHeight="1" x14ac:dyDescent="0.2">
      <c r="B858" s="35"/>
      <c r="C858" s="36"/>
      <c r="D858" s="36"/>
      <c r="E858" s="36"/>
    </row>
    <row r="859" spans="2:5" ht="14.25" customHeight="1" x14ac:dyDescent="0.2">
      <c r="B859" s="35"/>
      <c r="C859" s="36"/>
      <c r="D859" s="36"/>
      <c r="E859" s="36"/>
    </row>
    <row r="860" spans="2:5" ht="14.25" customHeight="1" x14ac:dyDescent="0.2">
      <c r="B860" s="35"/>
      <c r="C860" s="36"/>
      <c r="D860" s="36"/>
      <c r="E860" s="36"/>
    </row>
    <row r="861" spans="2:5" ht="14.25" customHeight="1" x14ac:dyDescent="0.2">
      <c r="B861" s="35"/>
      <c r="C861" s="36"/>
      <c r="D861" s="36"/>
      <c r="E861" s="36"/>
    </row>
    <row r="862" spans="2:5" ht="14.25" customHeight="1" x14ac:dyDescent="0.2">
      <c r="B862" s="35"/>
      <c r="C862" s="36"/>
      <c r="D862" s="36"/>
      <c r="E862" s="36"/>
    </row>
    <row r="863" spans="2:5" ht="14.25" customHeight="1" x14ac:dyDescent="0.2">
      <c r="B863" s="35"/>
      <c r="C863" s="36"/>
      <c r="D863" s="36"/>
      <c r="E863" s="36"/>
    </row>
    <row r="864" spans="2:5" ht="14.25" customHeight="1" x14ac:dyDescent="0.2">
      <c r="B864" s="35"/>
      <c r="C864" s="36"/>
      <c r="D864" s="36"/>
      <c r="E864" s="36"/>
    </row>
    <row r="865" spans="2:5" ht="14.25" customHeight="1" x14ac:dyDescent="0.2">
      <c r="B865" s="35"/>
      <c r="C865" s="36"/>
      <c r="D865" s="36"/>
      <c r="E865" s="36"/>
    </row>
    <row r="866" spans="2:5" ht="14.25" customHeight="1" x14ac:dyDescent="0.2">
      <c r="B866" s="35"/>
      <c r="C866" s="36"/>
      <c r="D866" s="36"/>
      <c r="E866" s="36"/>
    </row>
    <row r="867" spans="2:5" ht="14.25" customHeight="1" x14ac:dyDescent="0.2">
      <c r="B867" s="35"/>
      <c r="C867" s="36"/>
      <c r="D867" s="36"/>
      <c r="E867" s="36"/>
    </row>
    <row r="868" spans="2:5" ht="14.25" customHeight="1" x14ac:dyDescent="0.2">
      <c r="B868" s="35"/>
      <c r="C868" s="36"/>
      <c r="D868" s="36"/>
      <c r="E868" s="36"/>
    </row>
    <row r="869" spans="2:5" ht="14.25" customHeight="1" x14ac:dyDescent="0.2">
      <c r="B869" s="35"/>
      <c r="C869" s="36"/>
      <c r="D869" s="36"/>
      <c r="E869" s="36"/>
    </row>
    <row r="870" spans="2:5" ht="14.25" customHeight="1" x14ac:dyDescent="0.2">
      <c r="B870" s="35"/>
      <c r="C870" s="36"/>
      <c r="D870" s="36"/>
      <c r="E870" s="36"/>
    </row>
    <row r="871" spans="2:5" ht="14.25" customHeight="1" x14ac:dyDescent="0.2">
      <c r="B871" s="35"/>
      <c r="C871" s="36"/>
      <c r="D871" s="36"/>
      <c r="E871" s="36"/>
    </row>
    <row r="872" spans="2:5" ht="14.25" customHeight="1" x14ac:dyDescent="0.2">
      <c r="B872" s="35"/>
      <c r="C872" s="36"/>
      <c r="D872" s="36"/>
      <c r="E872" s="36"/>
    </row>
    <row r="873" spans="2:5" ht="14.25" customHeight="1" x14ac:dyDescent="0.2">
      <c r="B873" s="35"/>
      <c r="C873" s="36"/>
      <c r="D873" s="36"/>
      <c r="E873" s="36"/>
    </row>
    <row r="874" spans="2:5" ht="14.25" customHeight="1" x14ac:dyDescent="0.2">
      <c r="B874" s="35"/>
      <c r="C874" s="36"/>
      <c r="D874" s="36"/>
      <c r="E874" s="36"/>
    </row>
    <row r="875" spans="2:5" ht="14.25" customHeight="1" x14ac:dyDescent="0.2">
      <c r="B875" s="35"/>
      <c r="C875" s="36"/>
      <c r="D875" s="36"/>
      <c r="E875" s="36"/>
    </row>
    <row r="876" spans="2:5" ht="14.25" customHeight="1" x14ac:dyDescent="0.2">
      <c r="B876" s="35"/>
      <c r="C876" s="36"/>
      <c r="D876" s="36"/>
      <c r="E876" s="36"/>
    </row>
    <row r="877" spans="2:5" ht="14.25" customHeight="1" x14ac:dyDescent="0.2">
      <c r="B877" s="35"/>
      <c r="C877" s="36"/>
      <c r="D877" s="36"/>
      <c r="E877" s="36"/>
    </row>
    <row r="878" spans="2:5" ht="14.25" customHeight="1" x14ac:dyDescent="0.2">
      <c r="B878" s="35"/>
      <c r="C878" s="36"/>
      <c r="D878" s="36"/>
      <c r="E878" s="36"/>
    </row>
    <row r="879" spans="2:5" ht="14.25" customHeight="1" x14ac:dyDescent="0.2">
      <c r="B879" s="35"/>
      <c r="C879" s="36"/>
      <c r="D879" s="36"/>
      <c r="E879" s="36"/>
    </row>
    <row r="880" spans="2:5" ht="14.25" customHeight="1" x14ac:dyDescent="0.2">
      <c r="B880" s="35"/>
      <c r="C880" s="36"/>
      <c r="D880" s="36"/>
      <c r="E880" s="36"/>
    </row>
    <row r="881" spans="2:5" ht="14.25" customHeight="1" x14ac:dyDescent="0.2">
      <c r="B881" s="35"/>
      <c r="C881" s="36"/>
      <c r="D881" s="36"/>
      <c r="E881" s="36"/>
    </row>
    <row r="882" spans="2:5" ht="14.25" customHeight="1" x14ac:dyDescent="0.2">
      <c r="B882" s="35"/>
      <c r="C882" s="36"/>
      <c r="D882" s="36"/>
      <c r="E882" s="36"/>
    </row>
    <row r="883" spans="2:5" ht="14.25" customHeight="1" x14ac:dyDescent="0.2">
      <c r="B883" s="35"/>
      <c r="C883" s="36"/>
      <c r="D883" s="36"/>
      <c r="E883" s="36"/>
    </row>
    <row r="884" spans="2:5" ht="14.25" customHeight="1" x14ac:dyDescent="0.2">
      <c r="B884" s="35"/>
      <c r="C884" s="36"/>
      <c r="D884" s="36"/>
      <c r="E884" s="36"/>
    </row>
    <row r="885" spans="2:5" ht="14.25" customHeight="1" x14ac:dyDescent="0.2">
      <c r="B885" s="35"/>
      <c r="C885" s="36"/>
      <c r="D885" s="36"/>
      <c r="E885" s="36"/>
    </row>
    <row r="886" spans="2:5" ht="14.25" customHeight="1" x14ac:dyDescent="0.2">
      <c r="B886" s="35"/>
      <c r="C886" s="36"/>
      <c r="D886" s="36"/>
      <c r="E886" s="36"/>
    </row>
    <row r="887" spans="2:5" ht="14.25" customHeight="1" x14ac:dyDescent="0.2">
      <c r="B887" s="35"/>
      <c r="C887" s="36"/>
      <c r="D887" s="36"/>
      <c r="E887" s="36"/>
    </row>
    <row r="888" spans="2:5" ht="14.25" customHeight="1" x14ac:dyDescent="0.2">
      <c r="B888" s="35"/>
      <c r="C888" s="36"/>
      <c r="D888" s="36"/>
      <c r="E888" s="36"/>
    </row>
    <row r="889" spans="2:5" ht="14.25" customHeight="1" x14ac:dyDescent="0.2">
      <c r="B889" s="35"/>
      <c r="C889" s="36"/>
      <c r="D889" s="36"/>
      <c r="E889" s="36"/>
    </row>
    <row r="890" spans="2:5" ht="14.25" customHeight="1" x14ac:dyDescent="0.2">
      <c r="B890" s="35"/>
      <c r="C890" s="36"/>
      <c r="D890" s="36"/>
      <c r="E890" s="36"/>
    </row>
    <row r="891" spans="2:5" ht="14.25" customHeight="1" x14ac:dyDescent="0.2">
      <c r="B891" s="35"/>
      <c r="C891" s="36"/>
      <c r="D891" s="36"/>
      <c r="E891" s="36"/>
    </row>
    <row r="892" spans="2:5" ht="14.25" customHeight="1" x14ac:dyDescent="0.2">
      <c r="B892" s="35"/>
      <c r="C892" s="36"/>
      <c r="D892" s="36"/>
      <c r="E892" s="36"/>
    </row>
    <row r="893" spans="2:5" ht="14.25" customHeight="1" x14ac:dyDescent="0.2">
      <c r="B893" s="35"/>
      <c r="C893" s="36"/>
      <c r="D893" s="36"/>
      <c r="E893" s="36"/>
    </row>
    <row r="894" spans="2:5" ht="14.25" customHeight="1" x14ac:dyDescent="0.2">
      <c r="B894" s="35"/>
      <c r="C894" s="36"/>
      <c r="D894" s="36"/>
      <c r="E894" s="36"/>
    </row>
    <row r="895" spans="2:5" ht="14.25" customHeight="1" x14ac:dyDescent="0.2">
      <c r="B895" s="35"/>
      <c r="C895" s="36"/>
      <c r="D895" s="36"/>
      <c r="E895" s="36"/>
    </row>
    <row r="896" spans="2:5" ht="14.25" customHeight="1" x14ac:dyDescent="0.2">
      <c r="B896" s="35"/>
      <c r="C896" s="36"/>
      <c r="D896" s="36"/>
      <c r="E896" s="36"/>
    </row>
    <row r="897" spans="2:5" ht="14.25" customHeight="1" x14ac:dyDescent="0.2">
      <c r="B897" s="35"/>
      <c r="C897" s="36"/>
      <c r="D897" s="36"/>
      <c r="E897" s="36"/>
    </row>
    <row r="898" spans="2:5" ht="14.25" customHeight="1" x14ac:dyDescent="0.2">
      <c r="B898" s="35"/>
      <c r="C898" s="36"/>
      <c r="D898" s="36"/>
      <c r="E898" s="36"/>
    </row>
    <row r="899" spans="2:5" ht="14.25" customHeight="1" x14ac:dyDescent="0.2">
      <c r="B899" s="35"/>
      <c r="C899" s="36"/>
      <c r="D899" s="36"/>
      <c r="E899" s="36"/>
    </row>
    <row r="900" spans="2:5" ht="14.25" customHeight="1" x14ac:dyDescent="0.2">
      <c r="B900" s="35"/>
      <c r="C900" s="36"/>
      <c r="D900" s="36"/>
      <c r="E900" s="36"/>
    </row>
    <row r="901" spans="2:5" ht="14.25" customHeight="1" x14ac:dyDescent="0.2">
      <c r="B901" s="35"/>
      <c r="C901" s="36"/>
      <c r="D901" s="36"/>
      <c r="E901" s="36"/>
    </row>
    <row r="902" spans="2:5" ht="14.25" customHeight="1" x14ac:dyDescent="0.2">
      <c r="B902" s="35"/>
      <c r="C902" s="36"/>
      <c r="D902" s="36"/>
      <c r="E902" s="36"/>
    </row>
    <row r="903" spans="2:5" ht="14.25" customHeight="1" x14ac:dyDescent="0.2">
      <c r="B903" s="35"/>
      <c r="C903" s="36"/>
      <c r="D903" s="36"/>
      <c r="E903" s="36"/>
    </row>
    <row r="904" spans="2:5" ht="14.25" customHeight="1" x14ac:dyDescent="0.2">
      <c r="B904" s="35"/>
      <c r="C904" s="36"/>
      <c r="D904" s="36"/>
      <c r="E904" s="36"/>
    </row>
    <row r="905" spans="2:5" ht="14.25" customHeight="1" x14ac:dyDescent="0.2">
      <c r="B905" s="35"/>
      <c r="C905" s="36"/>
      <c r="D905" s="36"/>
      <c r="E905" s="36"/>
    </row>
    <row r="906" spans="2:5" ht="14.25" customHeight="1" x14ac:dyDescent="0.2">
      <c r="B906" s="35"/>
      <c r="C906" s="36"/>
      <c r="D906" s="36"/>
      <c r="E906" s="36"/>
    </row>
    <row r="907" spans="2:5" ht="14.25" customHeight="1" x14ac:dyDescent="0.2">
      <c r="B907" s="35"/>
      <c r="C907" s="36"/>
      <c r="D907" s="36"/>
      <c r="E907" s="36"/>
    </row>
    <row r="908" spans="2:5" ht="14.25" customHeight="1" x14ac:dyDescent="0.2">
      <c r="B908" s="35"/>
      <c r="C908" s="36"/>
      <c r="D908" s="36"/>
      <c r="E908" s="36"/>
    </row>
    <row r="909" spans="2:5" ht="14.25" customHeight="1" x14ac:dyDescent="0.2">
      <c r="B909" s="35"/>
      <c r="C909" s="36"/>
      <c r="D909" s="36"/>
      <c r="E909" s="36"/>
    </row>
    <row r="910" spans="2:5" ht="14.25" customHeight="1" x14ac:dyDescent="0.2">
      <c r="B910" s="35"/>
      <c r="C910" s="36"/>
      <c r="D910" s="36"/>
      <c r="E910" s="36"/>
    </row>
    <row r="911" spans="2:5" ht="14.25" customHeight="1" x14ac:dyDescent="0.2">
      <c r="B911" s="35"/>
      <c r="C911" s="36"/>
      <c r="D911" s="36"/>
      <c r="E911" s="36"/>
    </row>
    <row r="912" spans="2:5" ht="14.25" customHeight="1" x14ac:dyDescent="0.2">
      <c r="B912" s="35"/>
      <c r="C912" s="36"/>
      <c r="D912" s="36"/>
      <c r="E912" s="36"/>
    </row>
    <row r="913" spans="2:5" ht="14.25" customHeight="1" x14ac:dyDescent="0.2">
      <c r="B913" s="35"/>
      <c r="C913" s="36"/>
      <c r="D913" s="36"/>
      <c r="E913" s="36"/>
    </row>
    <row r="914" spans="2:5" ht="14.25" customHeight="1" x14ac:dyDescent="0.2">
      <c r="B914" s="35"/>
      <c r="C914" s="36"/>
      <c r="D914" s="36"/>
      <c r="E914" s="36"/>
    </row>
    <row r="915" spans="2:5" ht="14.25" customHeight="1" x14ac:dyDescent="0.2">
      <c r="B915" s="35"/>
      <c r="C915" s="36"/>
      <c r="D915" s="36"/>
      <c r="E915" s="36"/>
    </row>
    <row r="916" spans="2:5" ht="14.25" customHeight="1" x14ac:dyDescent="0.2">
      <c r="B916" s="35"/>
      <c r="C916" s="36"/>
      <c r="D916" s="36"/>
      <c r="E916" s="36"/>
    </row>
    <row r="917" spans="2:5" ht="14.25" customHeight="1" x14ac:dyDescent="0.2">
      <c r="B917" s="35"/>
      <c r="C917" s="36"/>
      <c r="D917" s="36"/>
      <c r="E917" s="36"/>
    </row>
    <row r="918" spans="2:5" ht="14.25" customHeight="1" x14ac:dyDescent="0.2">
      <c r="B918" s="35"/>
      <c r="C918" s="36"/>
      <c r="D918" s="36"/>
      <c r="E918" s="36"/>
    </row>
    <row r="919" spans="2:5" ht="14.25" customHeight="1" x14ac:dyDescent="0.2">
      <c r="B919" s="35"/>
      <c r="C919" s="36"/>
      <c r="D919" s="36"/>
      <c r="E919" s="36"/>
    </row>
    <row r="920" spans="2:5" ht="14.25" customHeight="1" x14ac:dyDescent="0.2">
      <c r="B920" s="35"/>
      <c r="C920" s="36"/>
      <c r="D920" s="36"/>
      <c r="E920" s="36"/>
    </row>
    <row r="921" spans="2:5" ht="14.25" customHeight="1" x14ac:dyDescent="0.2">
      <c r="B921" s="35"/>
      <c r="C921" s="36"/>
      <c r="D921" s="36"/>
      <c r="E921" s="36"/>
    </row>
    <row r="922" spans="2:5" ht="14.25" customHeight="1" x14ac:dyDescent="0.2">
      <c r="B922" s="35"/>
      <c r="C922" s="36"/>
      <c r="D922" s="36"/>
      <c r="E922" s="36"/>
    </row>
    <row r="923" spans="2:5" ht="14.25" customHeight="1" x14ac:dyDescent="0.2">
      <c r="B923" s="35"/>
      <c r="C923" s="36"/>
      <c r="D923" s="36"/>
      <c r="E923" s="36"/>
    </row>
    <row r="924" spans="2:5" ht="14.25" customHeight="1" x14ac:dyDescent="0.2">
      <c r="B924" s="35"/>
      <c r="C924" s="36"/>
      <c r="D924" s="36"/>
      <c r="E924" s="36"/>
    </row>
    <row r="925" spans="2:5" ht="14.25" customHeight="1" x14ac:dyDescent="0.2">
      <c r="B925" s="35"/>
      <c r="C925" s="36"/>
      <c r="D925" s="36"/>
      <c r="E925" s="36"/>
    </row>
    <row r="926" spans="2:5" ht="14.25" customHeight="1" x14ac:dyDescent="0.2">
      <c r="B926" s="35"/>
      <c r="C926" s="36"/>
      <c r="D926" s="36"/>
      <c r="E926" s="36"/>
    </row>
    <row r="927" spans="2:5" ht="14.25" customHeight="1" x14ac:dyDescent="0.2">
      <c r="B927" s="35"/>
      <c r="C927" s="36"/>
      <c r="D927" s="36"/>
      <c r="E927" s="36"/>
    </row>
    <row r="928" spans="2:5" ht="14.25" customHeight="1" x14ac:dyDescent="0.2">
      <c r="B928" s="35"/>
      <c r="C928" s="36"/>
      <c r="D928" s="36"/>
      <c r="E928" s="36"/>
    </row>
    <row r="929" spans="2:5" ht="14.25" customHeight="1" x14ac:dyDescent="0.2">
      <c r="B929" s="35"/>
      <c r="C929" s="36"/>
      <c r="D929" s="36"/>
      <c r="E929" s="36"/>
    </row>
    <row r="930" spans="2:5" ht="14.25" customHeight="1" x14ac:dyDescent="0.2">
      <c r="B930" s="35"/>
      <c r="C930" s="36"/>
      <c r="D930" s="36"/>
      <c r="E930" s="36"/>
    </row>
    <row r="931" spans="2:5" ht="14.25" customHeight="1" x14ac:dyDescent="0.2">
      <c r="B931" s="35"/>
      <c r="C931" s="36"/>
      <c r="D931" s="36"/>
      <c r="E931" s="36"/>
    </row>
    <row r="932" spans="2:5" ht="14.25" customHeight="1" x14ac:dyDescent="0.2">
      <c r="B932" s="35"/>
      <c r="C932" s="36"/>
      <c r="D932" s="36"/>
      <c r="E932" s="36"/>
    </row>
    <row r="933" spans="2:5" ht="14.25" customHeight="1" x14ac:dyDescent="0.2">
      <c r="B933" s="35"/>
      <c r="C933" s="36"/>
      <c r="D933" s="36"/>
      <c r="E933" s="36"/>
    </row>
    <row r="934" spans="2:5" ht="14.25" customHeight="1" x14ac:dyDescent="0.2">
      <c r="B934" s="35"/>
      <c r="C934" s="36"/>
      <c r="D934" s="36"/>
      <c r="E934" s="36"/>
    </row>
    <row r="935" spans="2:5" ht="14.25" customHeight="1" x14ac:dyDescent="0.2">
      <c r="B935" s="35"/>
      <c r="C935" s="36"/>
      <c r="D935" s="36"/>
      <c r="E935" s="36"/>
    </row>
    <row r="936" spans="2:5" ht="14.25" customHeight="1" x14ac:dyDescent="0.2">
      <c r="B936" s="35"/>
      <c r="C936" s="36"/>
      <c r="D936" s="36"/>
      <c r="E936" s="36"/>
    </row>
    <row r="937" spans="2:5" ht="14.25" customHeight="1" x14ac:dyDescent="0.2">
      <c r="B937" s="35"/>
      <c r="C937" s="36"/>
      <c r="D937" s="36"/>
      <c r="E937" s="36"/>
    </row>
    <row r="938" spans="2:5" ht="14.25" customHeight="1" x14ac:dyDescent="0.2">
      <c r="B938" s="35"/>
      <c r="C938" s="36"/>
      <c r="D938" s="36"/>
      <c r="E938" s="36"/>
    </row>
    <row r="939" spans="2:5" ht="14.25" customHeight="1" x14ac:dyDescent="0.2">
      <c r="B939" s="35"/>
      <c r="C939" s="36"/>
      <c r="D939" s="36"/>
      <c r="E939" s="36"/>
    </row>
    <row r="940" spans="2:5" ht="14.25" customHeight="1" x14ac:dyDescent="0.2">
      <c r="B940" s="35"/>
      <c r="C940" s="36"/>
      <c r="D940" s="36"/>
      <c r="E940" s="36"/>
    </row>
    <row r="941" spans="2:5" ht="14.25" customHeight="1" x14ac:dyDescent="0.2">
      <c r="B941" s="35"/>
      <c r="C941" s="36"/>
      <c r="D941" s="36"/>
      <c r="E941" s="36"/>
    </row>
    <row r="942" spans="2:5" ht="14.25" customHeight="1" x14ac:dyDescent="0.2">
      <c r="B942" s="35"/>
      <c r="C942" s="36"/>
      <c r="D942" s="36"/>
      <c r="E942" s="36"/>
    </row>
    <row r="943" spans="2:5" ht="14.25" customHeight="1" x14ac:dyDescent="0.2">
      <c r="B943" s="35"/>
      <c r="C943" s="36"/>
      <c r="D943" s="36"/>
      <c r="E943" s="36"/>
    </row>
    <row r="944" spans="2:5" ht="14.25" customHeight="1" x14ac:dyDescent="0.2">
      <c r="B944" s="35"/>
      <c r="C944" s="36"/>
      <c r="D944" s="36"/>
      <c r="E944" s="36"/>
    </row>
    <row r="945" spans="2:5" ht="14.25" customHeight="1" x14ac:dyDescent="0.2">
      <c r="B945" s="35"/>
      <c r="C945" s="36"/>
      <c r="D945" s="36"/>
      <c r="E945" s="36"/>
    </row>
    <row r="946" spans="2:5" ht="14.25" customHeight="1" x14ac:dyDescent="0.2">
      <c r="B946" s="35"/>
      <c r="C946" s="36"/>
      <c r="D946" s="36"/>
      <c r="E946" s="36"/>
    </row>
    <row r="947" spans="2:5" ht="14.25" customHeight="1" x14ac:dyDescent="0.2">
      <c r="B947" s="35"/>
      <c r="C947" s="36"/>
      <c r="D947" s="36"/>
      <c r="E947" s="36"/>
    </row>
    <row r="948" spans="2:5" ht="14.25" customHeight="1" x14ac:dyDescent="0.2">
      <c r="B948" s="35"/>
      <c r="C948" s="36"/>
      <c r="D948" s="36"/>
      <c r="E948" s="36"/>
    </row>
    <row r="949" spans="2:5" ht="14.25" customHeight="1" x14ac:dyDescent="0.2">
      <c r="B949" s="35"/>
      <c r="C949" s="36"/>
      <c r="D949" s="36"/>
      <c r="E949" s="36"/>
    </row>
    <row r="950" spans="2:5" ht="14.25" customHeight="1" x14ac:dyDescent="0.2">
      <c r="B950" s="35"/>
      <c r="C950" s="36"/>
      <c r="D950" s="36"/>
      <c r="E950" s="36"/>
    </row>
    <row r="951" spans="2:5" ht="14.25" customHeight="1" x14ac:dyDescent="0.2">
      <c r="B951" s="35"/>
      <c r="C951" s="36"/>
      <c r="D951" s="36"/>
      <c r="E951" s="36"/>
    </row>
    <row r="952" spans="2:5" ht="14.25" customHeight="1" x14ac:dyDescent="0.2">
      <c r="B952" s="35"/>
      <c r="C952" s="36"/>
      <c r="D952" s="36"/>
      <c r="E952" s="36"/>
    </row>
    <row r="953" spans="2:5" ht="14.25" customHeight="1" x14ac:dyDescent="0.2">
      <c r="B953" s="35"/>
      <c r="C953" s="36"/>
      <c r="D953" s="36"/>
      <c r="E953" s="36"/>
    </row>
    <row r="954" spans="2:5" ht="14.25" customHeight="1" x14ac:dyDescent="0.2">
      <c r="B954" s="35"/>
      <c r="C954" s="36"/>
      <c r="D954" s="36"/>
      <c r="E954" s="36"/>
    </row>
    <row r="955" spans="2:5" ht="14.25" customHeight="1" x14ac:dyDescent="0.2">
      <c r="B955" s="35"/>
      <c r="C955" s="36"/>
      <c r="D955" s="36"/>
      <c r="E955" s="36"/>
    </row>
    <row r="956" spans="2:5" ht="14.25" customHeight="1" x14ac:dyDescent="0.2">
      <c r="B956" s="35"/>
      <c r="C956" s="36"/>
      <c r="D956" s="36"/>
      <c r="E956" s="36"/>
    </row>
    <row r="957" spans="2:5" ht="14.25" customHeight="1" x14ac:dyDescent="0.2">
      <c r="B957" s="35"/>
      <c r="C957" s="36"/>
      <c r="D957" s="36"/>
      <c r="E957" s="36"/>
    </row>
    <row r="958" spans="2:5" ht="14.25" customHeight="1" x14ac:dyDescent="0.2">
      <c r="B958" s="35"/>
      <c r="C958" s="36"/>
      <c r="D958" s="36"/>
      <c r="E958" s="36"/>
    </row>
    <row r="959" spans="2:5" ht="14.25" customHeight="1" x14ac:dyDescent="0.2">
      <c r="B959" s="35"/>
      <c r="C959" s="36"/>
      <c r="D959" s="36"/>
      <c r="E959" s="36"/>
    </row>
    <row r="960" spans="2:5" ht="14.25" customHeight="1" x14ac:dyDescent="0.2">
      <c r="B960" s="35"/>
      <c r="C960" s="36"/>
      <c r="D960" s="36"/>
      <c r="E960" s="36"/>
    </row>
    <row r="961" spans="2:5" ht="14.25" customHeight="1" x14ac:dyDescent="0.2">
      <c r="B961" s="35"/>
      <c r="C961" s="36"/>
      <c r="D961" s="36"/>
      <c r="E961" s="36"/>
    </row>
    <row r="962" spans="2:5" ht="14.25" customHeight="1" x14ac:dyDescent="0.2">
      <c r="B962" s="35"/>
      <c r="C962" s="36"/>
      <c r="D962" s="36"/>
      <c r="E962" s="36"/>
    </row>
    <row r="963" spans="2:5" ht="14.25" customHeight="1" x14ac:dyDescent="0.2">
      <c r="B963" s="35"/>
      <c r="C963" s="36"/>
      <c r="D963" s="36"/>
      <c r="E963" s="36"/>
    </row>
    <row r="964" spans="2:5" ht="14.25" customHeight="1" x14ac:dyDescent="0.2">
      <c r="B964" s="35"/>
      <c r="C964" s="36"/>
      <c r="D964" s="36"/>
      <c r="E964" s="36"/>
    </row>
    <row r="965" spans="2:5" ht="14.25" customHeight="1" x14ac:dyDescent="0.2">
      <c r="B965" s="35"/>
      <c r="C965" s="36"/>
      <c r="D965" s="36"/>
      <c r="E965" s="36"/>
    </row>
    <row r="966" spans="2:5" ht="14.25" customHeight="1" x14ac:dyDescent="0.2">
      <c r="B966" s="35"/>
      <c r="C966" s="36"/>
      <c r="D966" s="36"/>
      <c r="E966" s="36"/>
    </row>
    <row r="967" spans="2:5" ht="14.25" customHeight="1" x14ac:dyDescent="0.2">
      <c r="B967" s="35"/>
      <c r="C967" s="36"/>
      <c r="D967" s="36"/>
      <c r="E967" s="36"/>
    </row>
    <row r="968" spans="2:5" ht="14.25" customHeight="1" x14ac:dyDescent="0.2">
      <c r="B968" s="35"/>
      <c r="C968" s="36"/>
      <c r="D968" s="36"/>
      <c r="E968" s="36"/>
    </row>
    <row r="969" spans="2:5" ht="14.25" customHeight="1" x14ac:dyDescent="0.2">
      <c r="B969" s="35"/>
      <c r="C969" s="36"/>
      <c r="D969" s="36"/>
      <c r="E969" s="36"/>
    </row>
    <row r="970" spans="2:5" ht="14.25" customHeight="1" x14ac:dyDescent="0.2">
      <c r="B970" s="35"/>
      <c r="C970" s="36"/>
      <c r="D970" s="36"/>
      <c r="E970" s="36"/>
    </row>
    <row r="971" spans="2:5" ht="14.25" customHeight="1" x14ac:dyDescent="0.2">
      <c r="B971" s="35"/>
      <c r="C971" s="36"/>
      <c r="D971" s="36"/>
      <c r="E971" s="36"/>
    </row>
    <row r="972" spans="2:5" ht="14.25" customHeight="1" x14ac:dyDescent="0.2">
      <c r="B972" s="35"/>
      <c r="C972" s="36"/>
      <c r="D972" s="36"/>
      <c r="E972" s="36"/>
    </row>
    <row r="973" spans="2:5" ht="14.25" customHeight="1" x14ac:dyDescent="0.2">
      <c r="B973" s="35"/>
      <c r="C973" s="36"/>
      <c r="D973" s="36"/>
      <c r="E973" s="36"/>
    </row>
    <row r="974" spans="2:5" ht="14.25" customHeight="1" x14ac:dyDescent="0.2">
      <c r="B974" s="35"/>
      <c r="C974" s="36"/>
      <c r="D974" s="36"/>
      <c r="E974" s="36"/>
    </row>
    <row r="975" spans="2:5" ht="14.25" customHeight="1" x14ac:dyDescent="0.2">
      <c r="B975" s="35"/>
      <c r="C975" s="36"/>
      <c r="D975" s="36"/>
      <c r="E975" s="36"/>
    </row>
    <row r="976" spans="2:5" ht="14.25" customHeight="1" x14ac:dyDescent="0.2">
      <c r="B976" s="35"/>
      <c r="C976" s="36"/>
      <c r="D976" s="36"/>
      <c r="E976" s="36"/>
    </row>
    <row r="977" spans="2:5" ht="14.25" customHeight="1" x14ac:dyDescent="0.2">
      <c r="B977" s="35"/>
      <c r="C977" s="36"/>
      <c r="D977" s="36"/>
      <c r="E977" s="36"/>
    </row>
    <row r="978" spans="2:5" ht="14.25" customHeight="1" x14ac:dyDescent="0.2">
      <c r="B978" s="35"/>
      <c r="C978" s="36"/>
      <c r="D978" s="36"/>
      <c r="E978" s="36"/>
    </row>
    <row r="979" spans="2:5" ht="14.25" customHeight="1" x14ac:dyDescent="0.2">
      <c r="B979" s="35"/>
      <c r="C979" s="36"/>
      <c r="D979" s="36"/>
      <c r="E979" s="36"/>
    </row>
    <row r="980" spans="2:5" ht="14.25" customHeight="1" x14ac:dyDescent="0.2">
      <c r="B980" s="35"/>
      <c r="C980" s="36"/>
      <c r="D980" s="36"/>
      <c r="E980" s="36"/>
    </row>
    <row r="981" spans="2:5" ht="14.25" customHeight="1" x14ac:dyDescent="0.2">
      <c r="B981" s="35"/>
      <c r="C981" s="36"/>
      <c r="D981" s="36"/>
      <c r="E981" s="36"/>
    </row>
    <row r="982" spans="2:5" ht="14.25" customHeight="1" x14ac:dyDescent="0.2">
      <c r="B982" s="35"/>
      <c r="C982" s="36"/>
      <c r="D982" s="36"/>
      <c r="E982" s="36"/>
    </row>
    <row r="983" spans="2:5" ht="14.25" customHeight="1" x14ac:dyDescent="0.2">
      <c r="B983" s="35"/>
      <c r="C983" s="36"/>
      <c r="D983" s="36"/>
      <c r="E983" s="36"/>
    </row>
    <row r="984" spans="2:5" ht="14.25" customHeight="1" x14ac:dyDescent="0.2">
      <c r="B984" s="35"/>
      <c r="C984" s="36"/>
      <c r="D984" s="36"/>
      <c r="E984" s="36"/>
    </row>
    <row r="985" spans="2:5" ht="14.25" customHeight="1" x14ac:dyDescent="0.2">
      <c r="B985" s="35"/>
      <c r="C985" s="36"/>
      <c r="D985" s="36"/>
      <c r="E985" s="36"/>
    </row>
    <row r="986" spans="2:5" ht="14.25" customHeight="1" x14ac:dyDescent="0.2">
      <c r="B986" s="35"/>
      <c r="C986" s="36"/>
      <c r="D986" s="36"/>
      <c r="E986" s="36"/>
    </row>
    <row r="987" spans="2:5" ht="14.25" customHeight="1" x14ac:dyDescent="0.2">
      <c r="B987" s="35"/>
      <c r="C987" s="36"/>
      <c r="D987" s="36"/>
      <c r="E987" s="36"/>
    </row>
    <row r="988" spans="2:5" ht="14.25" customHeight="1" x14ac:dyDescent="0.2">
      <c r="B988" s="35"/>
      <c r="C988" s="36"/>
      <c r="D988" s="36"/>
      <c r="E988" s="36"/>
    </row>
    <row r="989" spans="2:5" ht="14.25" customHeight="1" x14ac:dyDescent="0.2">
      <c r="B989" s="35"/>
      <c r="C989" s="36"/>
      <c r="D989" s="36"/>
      <c r="E989" s="36"/>
    </row>
    <row r="990" spans="2:5" ht="14.25" customHeight="1" x14ac:dyDescent="0.2">
      <c r="B990" s="35"/>
      <c r="C990" s="36"/>
      <c r="D990" s="36"/>
      <c r="E990" s="36"/>
    </row>
    <row r="991" spans="2:5" ht="14.25" customHeight="1" x14ac:dyDescent="0.2">
      <c r="B991" s="35"/>
      <c r="C991" s="36"/>
      <c r="D991" s="36"/>
      <c r="E991" s="36"/>
    </row>
    <row r="992" spans="2:5" ht="14.25" customHeight="1" x14ac:dyDescent="0.2">
      <c r="B992" s="35"/>
      <c r="C992" s="36"/>
      <c r="D992" s="36"/>
      <c r="E992" s="36"/>
    </row>
    <row r="993" spans="2:5" ht="14.25" customHeight="1" x14ac:dyDescent="0.2">
      <c r="B993" s="35"/>
      <c r="C993" s="36"/>
      <c r="D993" s="36"/>
      <c r="E993" s="36"/>
    </row>
    <row r="994" spans="2:5" ht="14.25" customHeight="1" x14ac:dyDescent="0.2">
      <c r="B994" s="35"/>
      <c r="C994" s="36"/>
      <c r="D994" s="36"/>
      <c r="E994" s="36"/>
    </row>
    <row r="995" spans="2:5" ht="14.25" customHeight="1" x14ac:dyDescent="0.2">
      <c r="B995" s="35"/>
      <c r="C995" s="36"/>
      <c r="D995" s="36"/>
      <c r="E995" s="36"/>
    </row>
    <row r="996" spans="2:5" ht="14.25" customHeight="1" x14ac:dyDescent="0.2">
      <c r="B996" s="35"/>
      <c r="C996" s="36"/>
      <c r="D996" s="36"/>
      <c r="E996" s="36"/>
    </row>
    <row r="997" spans="2:5" ht="14.25" customHeight="1" x14ac:dyDescent="0.2">
      <c r="B997" s="35"/>
      <c r="C997" s="36"/>
      <c r="D997" s="36"/>
      <c r="E997" s="36"/>
    </row>
    <row r="998" spans="2:5" ht="14.25" customHeight="1" x14ac:dyDescent="0.2">
      <c r="B998" s="35"/>
      <c r="C998" s="36"/>
      <c r="D998" s="36"/>
      <c r="E998" s="36"/>
    </row>
    <row r="999" spans="2:5" ht="14.25" customHeight="1" x14ac:dyDescent="0.2">
      <c r="B999" s="35"/>
      <c r="C999" s="36"/>
      <c r="D999" s="36"/>
      <c r="E999" s="36"/>
    </row>
    <row r="1000" spans="2:5" ht="14.25" customHeight="1" x14ac:dyDescent="0.2">
      <c r="B1000" s="35"/>
      <c r="C1000" s="36"/>
      <c r="D1000" s="36"/>
      <c r="E1000" s="36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0"/>
  <sheetViews>
    <sheetView workbookViewId="0">
      <selection activeCell="A9" sqref="A9:XFD9"/>
    </sheetView>
  </sheetViews>
  <sheetFormatPr defaultColWidth="12.625" defaultRowHeight="15" customHeight="1" x14ac:dyDescent="0.2"/>
  <cols>
    <col min="1" max="1" width="9.375" customWidth="1"/>
    <col min="2" max="2" width="29.125" customWidth="1"/>
    <col min="3" max="3" width="12" customWidth="1"/>
    <col min="4" max="8" width="9.375" customWidth="1"/>
    <col min="9" max="9" width="10.25" customWidth="1"/>
    <col min="10" max="19" width="9.375" customWidth="1"/>
    <col min="20" max="20" width="11.5" customWidth="1"/>
    <col min="21" max="34" width="9.375" customWidth="1"/>
  </cols>
  <sheetData>
    <row r="1" spans="1:20" ht="14.25" customHeight="1" x14ac:dyDescent="0.2">
      <c r="F1" s="93" t="s">
        <v>294</v>
      </c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</row>
    <row r="2" spans="1:20" s="97" customFormat="1" ht="48" customHeight="1" x14ac:dyDescent="0.2">
      <c r="C2" s="95" t="s">
        <v>220</v>
      </c>
      <c r="D2" s="98"/>
      <c r="E2" s="96" t="s">
        <v>376</v>
      </c>
      <c r="F2" s="117" t="s">
        <v>296</v>
      </c>
      <c r="G2" s="102" t="s">
        <v>382</v>
      </c>
      <c r="H2" s="117" t="s">
        <v>297</v>
      </c>
      <c r="I2" s="102" t="s">
        <v>378</v>
      </c>
      <c r="J2" s="117" t="s">
        <v>298</v>
      </c>
      <c r="K2" s="102" t="s">
        <v>380</v>
      </c>
      <c r="L2" s="117" t="s">
        <v>299</v>
      </c>
      <c r="M2" s="102" t="s">
        <v>384</v>
      </c>
      <c r="N2" s="117" t="s">
        <v>300</v>
      </c>
      <c r="O2" s="102" t="s">
        <v>379</v>
      </c>
      <c r="P2" s="117" t="s">
        <v>302</v>
      </c>
      <c r="Q2" s="102" t="s">
        <v>381</v>
      </c>
      <c r="R2" s="117" t="s">
        <v>301</v>
      </c>
      <c r="S2" s="102" t="s">
        <v>383</v>
      </c>
    </row>
    <row r="3" spans="1:20" ht="14.25" customHeight="1" x14ac:dyDescent="0.25">
      <c r="A3">
        <v>1</v>
      </c>
      <c r="B3" s="18" t="s">
        <v>221</v>
      </c>
      <c r="C3" s="19">
        <v>1</v>
      </c>
      <c r="D3" s="99">
        <f>C3/$C$11</f>
        <v>3.8411923060918104E-2</v>
      </c>
      <c r="E3" s="19">
        <f>$C$13*D3</f>
        <v>30178.575493833247</v>
      </c>
      <c r="F3" s="118"/>
      <c r="H3" s="118">
        <v>0.9</v>
      </c>
      <c r="I3" s="19">
        <f>E3*H3</f>
        <v>27160.717944449923</v>
      </c>
      <c r="J3" s="119"/>
      <c r="L3" s="119"/>
      <c r="N3" s="118">
        <v>0.1</v>
      </c>
      <c r="O3" s="19">
        <f>E3*N3</f>
        <v>3017.857549383325</v>
      </c>
      <c r="P3" s="118"/>
      <c r="Q3" s="19"/>
      <c r="R3" s="119"/>
    </row>
    <row r="4" spans="1:20" ht="14.25" customHeight="1" x14ac:dyDescent="0.25">
      <c r="A4">
        <v>2</v>
      </c>
      <c r="B4" s="18" t="s">
        <v>205</v>
      </c>
      <c r="C4" s="19">
        <v>8.5694166666666671</v>
      </c>
      <c r="D4" s="99">
        <f t="shared" ref="D4:D10" si="0">C4/$C$11</f>
        <v>0.32916777367694933</v>
      </c>
      <c r="E4" s="19">
        <f t="shared" ref="E4:E10" si="1">$C$13*D4</f>
        <v>258612.78781311287</v>
      </c>
      <c r="F4" s="118"/>
      <c r="H4" s="118">
        <v>0.5</v>
      </c>
      <c r="I4" s="19">
        <f>E4*H4</f>
        <v>129306.39390655643</v>
      </c>
      <c r="J4" s="118">
        <v>0.5</v>
      </c>
      <c r="K4" s="19">
        <f>E4*J4</f>
        <v>129306.39390655643</v>
      </c>
      <c r="L4" s="119"/>
      <c r="N4" s="118"/>
      <c r="O4" s="19">
        <f t="shared" ref="O4:O10" si="2">E4*N4</f>
        <v>0</v>
      </c>
      <c r="P4" s="118"/>
      <c r="Q4" s="19"/>
      <c r="R4" s="119"/>
    </row>
    <row r="5" spans="1:20" ht="14.25" customHeight="1" x14ac:dyDescent="0.25">
      <c r="A5">
        <v>3</v>
      </c>
      <c r="B5" s="18" t="s">
        <v>206</v>
      </c>
      <c r="C5" s="19">
        <v>1</v>
      </c>
      <c r="D5" s="99">
        <f t="shared" si="0"/>
        <v>3.8411923060918104E-2</v>
      </c>
      <c r="E5" s="19">
        <f t="shared" si="1"/>
        <v>30178.575493833247</v>
      </c>
      <c r="F5" s="118"/>
      <c r="H5" s="118">
        <v>0.25</v>
      </c>
      <c r="I5" s="19">
        <f>E5*H5</f>
        <v>7544.6438734583116</v>
      </c>
      <c r="J5" s="118">
        <v>0.25</v>
      </c>
      <c r="K5" s="19">
        <f t="shared" ref="K5:K10" si="3">E5*J5</f>
        <v>7544.6438734583116</v>
      </c>
      <c r="L5" s="119"/>
      <c r="N5" s="118">
        <v>0.5</v>
      </c>
      <c r="O5" s="19">
        <f t="shared" si="2"/>
        <v>15089.287746916623</v>
      </c>
      <c r="P5" s="118"/>
      <c r="Q5" s="19"/>
      <c r="R5" s="119"/>
    </row>
    <row r="6" spans="1:20" ht="14.25" customHeight="1" x14ac:dyDescent="0.25">
      <c r="A6">
        <v>4</v>
      </c>
      <c r="B6" s="20" t="s">
        <v>207</v>
      </c>
      <c r="C6" s="19">
        <v>7.5877499999999998</v>
      </c>
      <c r="D6" s="99">
        <f t="shared" si="0"/>
        <v>0.29146006920548134</v>
      </c>
      <c r="E6" s="19">
        <f t="shared" si="1"/>
        <v>228987.48620333319</v>
      </c>
      <c r="F6" s="120">
        <v>0.18</v>
      </c>
      <c r="G6" s="19">
        <f>F6*E6</f>
        <v>41217.747516599971</v>
      </c>
      <c r="H6" s="119"/>
      <c r="I6" s="19">
        <f>E6*H6</f>
        <v>0</v>
      </c>
      <c r="J6" s="121">
        <v>0.82</v>
      </c>
      <c r="K6" s="19">
        <f>J6*E6</f>
        <v>187769.73868673321</v>
      </c>
      <c r="L6" s="119"/>
      <c r="N6" s="118"/>
      <c r="O6" s="19">
        <f t="shared" si="2"/>
        <v>0</v>
      </c>
      <c r="P6" s="118"/>
      <c r="Q6" s="19"/>
      <c r="R6" s="119"/>
    </row>
    <row r="7" spans="1:20" ht="14.25" customHeight="1" x14ac:dyDescent="0.25">
      <c r="A7">
        <v>5</v>
      </c>
      <c r="B7" s="18" t="s">
        <v>222</v>
      </c>
      <c r="C7" s="19">
        <v>2</v>
      </c>
      <c r="D7" s="99">
        <f t="shared" si="0"/>
        <v>7.6823846121836209E-2</v>
      </c>
      <c r="E7" s="19">
        <f t="shared" si="1"/>
        <v>60357.150987666493</v>
      </c>
      <c r="F7" s="118"/>
      <c r="G7" s="19">
        <f t="shared" ref="G7:G10" si="4">F7*E7</f>
        <v>0</v>
      </c>
      <c r="H7" s="118">
        <v>0.5</v>
      </c>
      <c r="I7" s="19">
        <f t="shared" ref="I7:I10" si="5">E7*H7</f>
        <v>30178.575493833247</v>
      </c>
      <c r="J7" s="118">
        <v>0.5</v>
      </c>
      <c r="K7" s="19">
        <f t="shared" si="3"/>
        <v>30178.575493833247</v>
      </c>
      <c r="L7" s="119"/>
      <c r="N7" s="118"/>
      <c r="O7" s="19">
        <f t="shared" si="2"/>
        <v>0</v>
      </c>
      <c r="P7" s="118"/>
      <c r="Q7" s="19"/>
      <c r="R7" s="119"/>
    </row>
    <row r="8" spans="1:20" ht="14.25" customHeight="1" x14ac:dyDescent="0.25">
      <c r="A8">
        <v>6</v>
      </c>
      <c r="B8" s="18" t="s">
        <v>209</v>
      </c>
      <c r="C8" s="19">
        <v>1</v>
      </c>
      <c r="D8" s="99">
        <f t="shared" si="0"/>
        <v>3.8411923060918104E-2</v>
      </c>
      <c r="E8" s="19">
        <f t="shared" si="1"/>
        <v>30178.575493833247</v>
      </c>
      <c r="F8" s="118">
        <v>0.01</v>
      </c>
      <c r="G8" s="19">
        <f t="shared" si="4"/>
        <v>301.78575493833245</v>
      </c>
      <c r="H8" s="118">
        <v>0.25</v>
      </c>
      <c r="I8" s="19">
        <f t="shared" si="5"/>
        <v>7544.6438734583116</v>
      </c>
      <c r="J8" s="118">
        <v>0.04</v>
      </c>
      <c r="K8" s="19">
        <f t="shared" si="3"/>
        <v>1207.1430197533298</v>
      </c>
      <c r="L8" s="118">
        <v>0.7</v>
      </c>
      <c r="M8" s="19">
        <f>L8*E8</f>
        <v>21125.00284568327</v>
      </c>
      <c r="N8" s="118"/>
      <c r="O8" s="19">
        <f t="shared" si="2"/>
        <v>0</v>
      </c>
      <c r="P8" s="118"/>
      <c r="Q8" s="19"/>
      <c r="R8" s="119"/>
    </row>
    <row r="9" spans="1:20" ht="14.25" customHeight="1" x14ac:dyDescent="0.25">
      <c r="A9">
        <v>7</v>
      </c>
      <c r="B9" s="18" t="s">
        <v>210</v>
      </c>
      <c r="C9" s="19">
        <v>3.8764166666666662</v>
      </c>
      <c r="D9" s="99">
        <f t="shared" si="0"/>
        <v>0.14890061875206059</v>
      </c>
      <c r="E9" s="19">
        <f t="shared" si="1"/>
        <v>116984.73302055339</v>
      </c>
      <c r="F9" s="118"/>
      <c r="G9" s="19">
        <f t="shared" si="4"/>
        <v>0</v>
      </c>
      <c r="H9" s="118"/>
      <c r="I9" s="19">
        <f t="shared" si="5"/>
        <v>0</v>
      </c>
      <c r="J9" s="118"/>
      <c r="K9" s="19">
        <f t="shared" si="3"/>
        <v>0</v>
      </c>
      <c r="L9" s="119"/>
      <c r="N9" s="118"/>
      <c r="O9" s="19">
        <f t="shared" si="2"/>
        <v>0</v>
      </c>
      <c r="P9" s="118"/>
      <c r="Q9" s="19"/>
      <c r="R9" s="118">
        <v>1</v>
      </c>
      <c r="S9" s="19">
        <f>R9*E9</f>
        <v>116984.73302055339</v>
      </c>
    </row>
    <row r="10" spans="1:20" ht="14.25" customHeight="1" x14ac:dyDescent="0.25">
      <c r="A10">
        <v>8</v>
      </c>
      <c r="B10" s="18" t="s">
        <v>211</v>
      </c>
      <c r="C10" s="19">
        <v>1</v>
      </c>
      <c r="D10" s="99">
        <f t="shared" si="0"/>
        <v>3.8411923060918104E-2</v>
      </c>
      <c r="E10" s="19">
        <f t="shared" si="1"/>
        <v>30178.575493833247</v>
      </c>
      <c r="F10" s="118"/>
      <c r="G10" s="19">
        <f t="shared" si="4"/>
        <v>0</v>
      </c>
      <c r="H10" s="118"/>
      <c r="I10" s="19">
        <f t="shared" si="5"/>
        <v>0</v>
      </c>
      <c r="J10" s="118"/>
      <c r="K10" s="19">
        <f t="shared" si="3"/>
        <v>0</v>
      </c>
      <c r="L10" s="119"/>
      <c r="N10" s="118"/>
      <c r="O10" s="19">
        <f t="shared" si="2"/>
        <v>0</v>
      </c>
      <c r="P10" s="118">
        <v>1</v>
      </c>
      <c r="Q10" s="19">
        <f>P10*E10</f>
        <v>30178.575493833247</v>
      </c>
      <c r="R10" s="119"/>
    </row>
    <row r="11" spans="1:20" ht="14.25" customHeight="1" x14ac:dyDescent="0.25">
      <c r="C11" s="19">
        <v>26.033583333333336</v>
      </c>
      <c r="D11" s="19"/>
      <c r="E11" s="19"/>
      <c r="F11" s="119"/>
      <c r="G11" s="19">
        <f>SUM(G3:G10)</f>
        <v>41519.533271538305</v>
      </c>
      <c r="H11" s="119"/>
      <c r="I11" s="19">
        <f>SUM(I3:I10)</f>
        <v>201734.97509175626</v>
      </c>
      <c r="J11" s="119"/>
      <c r="K11" s="19">
        <f>SUM(K3:K10)</f>
        <v>356006.49498033454</v>
      </c>
      <c r="L11" s="119"/>
      <c r="M11" s="19">
        <f>SUM(M3:M10)</f>
        <v>21125.00284568327</v>
      </c>
      <c r="O11" s="19">
        <f>SUM(O3:O10)</f>
        <v>18107.145296299946</v>
      </c>
      <c r="P11" s="119"/>
      <c r="Q11" s="19">
        <f>SUM(Q3:Q10)</f>
        <v>30178.575493833247</v>
      </c>
      <c r="R11" s="119"/>
      <c r="S11" s="19">
        <f>SUM(S3:S10)</f>
        <v>116984.73302055339</v>
      </c>
      <c r="T11" s="89"/>
    </row>
    <row r="12" spans="1:20" ht="14.25" customHeight="1" x14ac:dyDescent="0.2"/>
    <row r="13" spans="1:20" ht="14.25" customHeight="1" x14ac:dyDescent="0.25">
      <c r="B13" s="100" t="s">
        <v>377</v>
      </c>
      <c r="C13" s="10">
        <v>785656.45999999903</v>
      </c>
    </row>
    <row r="14" spans="1:20" ht="14.25" customHeight="1" x14ac:dyDescent="0.2"/>
    <row r="15" spans="1:20" ht="14.25" customHeight="1" x14ac:dyDescent="0.2"/>
    <row r="16" spans="1:20" ht="14.25" customHeight="1" x14ac:dyDescent="0.2"/>
    <row r="17" spans="1:10" ht="14.25" customHeight="1" x14ac:dyDescent="0.2">
      <c r="A17" s="7">
        <v>640000</v>
      </c>
      <c r="B17" s="8" t="s">
        <v>146</v>
      </c>
      <c r="C17" s="9" t="s">
        <v>147</v>
      </c>
      <c r="D17" s="83" t="s">
        <v>357</v>
      </c>
      <c r="E17" s="87" t="s">
        <v>368</v>
      </c>
      <c r="F17" s="10">
        <v>785656.45999999903</v>
      </c>
      <c r="G17" s="104"/>
    </row>
    <row r="18" spans="1:10" ht="14.25" customHeight="1" x14ac:dyDescent="0.2"/>
    <row r="19" spans="1:10" ht="14.25" customHeight="1" x14ac:dyDescent="0.2"/>
    <row r="20" spans="1:10" ht="14.25" customHeight="1" x14ac:dyDescent="0.25">
      <c r="H20" s="103"/>
      <c r="I20" s="88"/>
    </row>
    <row r="21" spans="1:10" ht="14.25" customHeight="1" x14ac:dyDescent="0.2">
      <c r="H21" s="91"/>
      <c r="I21" s="88"/>
    </row>
    <row r="22" spans="1:10" ht="14.25" customHeight="1" x14ac:dyDescent="0.2">
      <c r="H22" s="94"/>
      <c r="I22" s="88"/>
      <c r="J22" s="88"/>
    </row>
    <row r="23" spans="1:10" ht="14.25" customHeight="1" x14ac:dyDescent="0.2">
      <c r="J23" s="88"/>
    </row>
    <row r="24" spans="1:10" ht="14.25" customHeight="1" x14ac:dyDescent="0.2"/>
    <row r="25" spans="1:10" ht="14.25" customHeight="1" x14ac:dyDescent="0.2"/>
    <row r="26" spans="1:10" ht="14.25" customHeight="1" x14ac:dyDescent="0.2"/>
    <row r="27" spans="1:10" ht="14.25" customHeight="1" x14ac:dyDescent="0.2"/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F1:S1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66C6A10-3B73-4B79-89E6-C9C35D7FF89E}">
          <x14:formula1>
            <xm:f>'Otros datos'!$B$17:$B$18</xm:f>
          </x14:formula1>
          <xm:sqref>D17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18" workbookViewId="0">
      <selection activeCell="H25" sqref="H25"/>
    </sheetView>
  </sheetViews>
  <sheetFormatPr defaultColWidth="12.625" defaultRowHeight="15" customHeight="1" x14ac:dyDescent="0.2"/>
  <cols>
    <col min="1" max="1" width="9.375" customWidth="1"/>
    <col min="2" max="2" width="22.625" customWidth="1"/>
    <col min="3" max="3" width="26.5" customWidth="1"/>
    <col min="4" max="4" width="9.375" customWidth="1"/>
    <col min="5" max="5" width="37.625" customWidth="1"/>
    <col min="6" max="6" width="9.5" customWidth="1"/>
    <col min="7" max="7" width="6.875" customWidth="1"/>
    <col min="8" max="8" width="9.125" customWidth="1"/>
    <col min="9" max="9" width="9.375" customWidth="1"/>
    <col min="10" max="10" width="8.5" customWidth="1"/>
    <col min="11" max="11" width="9.25" customWidth="1"/>
    <col min="12" max="12" width="7" customWidth="1"/>
    <col min="13" max="13" width="10.5" customWidth="1"/>
    <col min="14" max="26" width="9.375" customWidth="1"/>
  </cols>
  <sheetData>
    <row r="1" spans="1:26" ht="14.25" customHeight="1" x14ac:dyDescent="0.2"/>
    <row r="2" spans="1:26" ht="14.25" customHeight="1" x14ac:dyDescent="0.25">
      <c r="B2" s="13" t="s">
        <v>291</v>
      </c>
    </row>
    <row r="3" spans="1:26" ht="14.25" customHeight="1" x14ac:dyDescent="0.2"/>
    <row r="4" spans="1:26" ht="14.25" customHeight="1" x14ac:dyDescent="0.2">
      <c r="A4" s="36"/>
      <c r="B4" s="63" t="s">
        <v>226</v>
      </c>
      <c r="C4" s="63" t="s">
        <v>292</v>
      </c>
      <c r="D4" s="64" t="s">
        <v>293</v>
      </c>
      <c r="E4" s="65"/>
      <c r="F4" s="70" t="s">
        <v>294</v>
      </c>
      <c r="G4" s="71"/>
      <c r="H4" s="71"/>
      <c r="I4" s="71"/>
      <c r="J4" s="71"/>
      <c r="K4" s="71"/>
      <c r="L4" s="71"/>
      <c r="M4" s="62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ht="55.5" customHeight="1" x14ac:dyDescent="0.2">
      <c r="A5" s="36"/>
      <c r="B5" s="59"/>
      <c r="C5" s="59"/>
      <c r="D5" s="66"/>
      <c r="E5" s="67"/>
      <c r="F5" s="37" t="s">
        <v>213</v>
      </c>
      <c r="G5" s="37" t="s">
        <v>214</v>
      </c>
      <c r="H5" s="37" t="s">
        <v>215</v>
      </c>
      <c r="I5" s="37" t="s">
        <v>216</v>
      </c>
      <c r="J5" s="37" t="s">
        <v>217</v>
      </c>
      <c r="K5" s="37" t="s">
        <v>218</v>
      </c>
      <c r="L5" s="37" t="s">
        <v>219</v>
      </c>
      <c r="M5" s="72" t="s">
        <v>295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ht="14.25" customHeight="1" x14ac:dyDescent="0.2">
      <c r="A6" s="36"/>
      <c r="B6" s="60"/>
      <c r="C6" s="60"/>
      <c r="D6" s="68"/>
      <c r="E6" s="69"/>
      <c r="F6" s="21" t="s">
        <v>296</v>
      </c>
      <c r="G6" s="21" t="s">
        <v>297</v>
      </c>
      <c r="H6" s="21" t="s">
        <v>298</v>
      </c>
      <c r="I6" s="21" t="s">
        <v>299</v>
      </c>
      <c r="J6" s="21" t="s">
        <v>300</v>
      </c>
      <c r="K6" s="21" t="s">
        <v>301</v>
      </c>
      <c r="L6" s="21" t="s">
        <v>302</v>
      </c>
      <c r="M6" s="60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ht="24.95" customHeight="1" x14ac:dyDescent="0.2">
      <c r="A7" s="36"/>
      <c r="B7" s="105" t="s">
        <v>237</v>
      </c>
      <c r="C7" s="23" t="s">
        <v>239</v>
      </c>
      <c r="D7" s="61" t="s">
        <v>303</v>
      </c>
      <c r="E7" s="62"/>
      <c r="F7" s="38"/>
      <c r="G7" s="38"/>
      <c r="H7" s="38">
        <v>1</v>
      </c>
      <c r="I7" s="38"/>
      <c r="J7" s="38"/>
      <c r="K7" s="38"/>
      <c r="L7" s="38"/>
      <c r="M7" s="38">
        <f t="shared" ref="M7:M33" si="0">SUM(F7:L7)</f>
        <v>1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4.95" customHeight="1" x14ac:dyDescent="0.2">
      <c r="A8" s="36"/>
      <c r="B8" s="105" t="s">
        <v>237</v>
      </c>
      <c r="C8" s="23" t="s">
        <v>240</v>
      </c>
      <c r="D8" s="61" t="s">
        <v>303</v>
      </c>
      <c r="E8" s="62"/>
      <c r="F8" s="38"/>
      <c r="G8" s="38"/>
      <c r="H8" s="38">
        <v>1</v>
      </c>
      <c r="I8" s="38"/>
      <c r="J8" s="38"/>
      <c r="K8" s="38"/>
      <c r="L8" s="38"/>
      <c r="M8" s="38">
        <f t="shared" si="0"/>
        <v>1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24.95" customHeight="1" x14ac:dyDescent="0.2">
      <c r="A9" s="36"/>
      <c r="B9" s="105" t="s">
        <v>237</v>
      </c>
      <c r="C9" s="23" t="s">
        <v>241</v>
      </c>
      <c r="D9" s="61" t="s">
        <v>304</v>
      </c>
      <c r="E9" s="62"/>
      <c r="F9" s="38">
        <v>1</v>
      </c>
      <c r="G9" s="38"/>
      <c r="H9" s="38"/>
      <c r="I9" s="38"/>
      <c r="J9" s="38"/>
      <c r="K9" s="38"/>
      <c r="L9" s="38"/>
      <c r="M9" s="38">
        <f t="shared" si="0"/>
        <v>1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24.95" customHeight="1" x14ac:dyDescent="0.2">
      <c r="A10" s="36"/>
      <c r="B10" s="105" t="s">
        <v>237</v>
      </c>
      <c r="C10" s="23" t="s">
        <v>242</v>
      </c>
      <c r="D10" s="61" t="s">
        <v>305</v>
      </c>
      <c r="E10" s="62"/>
      <c r="F10" s="38">
        <v>0.6</v>
      </c>
      <c r="G10" s="38"/>
      <c r="H10" s="38">
        <v>0.4</v>
      </c>
      <c r="I10" s="38"/>
      <c r="J10" s="38"/>
      <c r="K10" s="38"/>
      <c r="L10" s="38"/>
      <c r="M10" s="38">
        <f t="shared" si="0"/>
        <v>1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24.95" customHeight="1" x14ac:dyDescent="0.2">
      <c r="A11" s="36"/>
      <c r="B11" s="105" t="s">
        <v>237</v>
      </c>
      <c r="C11" s="23" t="s">
        <v>306</v>
      </c>
      <c r="D11" s="61" t="s">
        <v>303</v>
      </c>
      <c r="E11" s="62"/>
      <c r="F11" s="38">
        <v>0.2</v>
      </c>
      <c r="G11" s="38"/>
      <c r="H11" s="38">
        <v>0.8</v>
      </c>
      <c r="I11" s="38"/>
      <c r="J11" s="38"/>
      <c r="K11" s="38"/>
      <c r="L11" s="38"/>
      <c r="M11" s="38">
        <f t="shared" si="0"/>
        <v>1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4.95" customHeight="1" x14ac:dyDescent="0.2">
      <c r="A12" s="36"/>
      <c r="B12" s="105" t="s">
        <v>237</v>
      </c>
      <c r="C12" s="23" t="s">
        <v>307</v>
      </c>
      <c r="D12" s="61" t="s">
        <v>303</v>
      </c>
      <c r="E12" s="62"/>
      <c r="F12" s="38"/>
      <c r="G12" s="38"/>
      <c r="H12" s="38">
        <v>1</v>
      </c>
      <c r="I12" s="38"/>
      <c r="J12" s="38"/>
      <c r="K12" s="38"/>
      <c r="L12" s="38"/>
      <c r="M12" s="38">
        <f t="shared" si="0"/>
        <v>1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4.95" customHeight="1" x14ac:dyDescent="0.2">
      <c r="A13" s="36"/>
      <c r="B13" s="105" t="s">
        <v>237</v>
      </c>
      <c r="C13" s="23" t="s">
        <v>245</v>
      </c>
      <c r="D13" s="61" t="s">
        <v>303</v>
      </c>
      <c r="E13" s="62"/>
      <c r="F13" s="38"/>
      <c r="G13" s="38"/>
      <c r="H13" s="38">
        <v>1</v>
      </c>
      <c r="I13" s="38"/>
      <c r="J13" s="38"/>
      <c r="K13" s="38"/>
      <c r="L13" s="38"/>
      <c r="M13" s="38">
        <f t="shared" si="0"/>
        <v>1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4.95" customHeight="1" x14ac:dyDescent="0.2">
      <c r="A14" s="36"/>
      <c r="B14" s="105" t="s">
        <v>237</v>
      </c>
      <c r="C14" s="23" t="s">
        <v>246</v>
      </c>
      <c r="D14" s="61" t="s">
        <v>305</v>
      </c>
      <c r="E14" s="62"/>
      <c r="F14" s="38">
        <v>0.3</v>
      </c>
      <c r="G14" s="38"/>
      <c r="H14" s="38">
        <v>0.7</v>
      </c>
      <c r="I14" s="38"/>
      <c r="J14" s="38"/>
      <c r="K14" s="38"/>
      <c r="L14" s="38"/>
      <c r="M14" s="38">
        <f t="shared" si="0"/>
        <v>1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4.95" customHeight="1" x14ac:dyDescent="0.2">
      <c r="A15" s="36"/>
      <c r="B15" s="105" t="s">
        <v>237</v>
      </c>
      <c r="C15" s="23" t="s">
        <v>308</v>
      </c>
      <c r="D15" s="61" t="s">
        <v>303</v>
      </c>
      <c r="E15" s="62"/>
      <c r="F15" s="38"/>
      <c r="G15" s="38"/>
      <c r="H15" s="38">
        <v>1</v>
      </c>
      <c r="I15" s="38"/>
      <c r="J15" s="38"/>
      <c r="K15" s="38"/>
      <c r="L15" s="38"/>
      <c r="M15" s="38">
        <f t="shared" si="0"/>
        <v>1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4.95" customHeight="1" x14ac:dyDescent="0.2">
      <c r="A16" s="36"/>
      <c r="B16" s="105" t="s">
        <v>237</v>
      </c>
      <c r="C16" s="23" t="s">
        <v>309</v>
      </c>
      <c r="D16" s="61" t="s">
        <v>305</v>
      </c>
      <c r="E16" s="62"/>
      <c r="F16" s="38">
        <v>0</v>
      </c>
      <c r="G16" s="38"/>
      <c r="H16" s="38">
        <v>1</v>
      </c>
      <c r="I16" s="38"/>
      <c r="J16" s="38"/>
      <c r="K16" s="38"/>
      <c r="L16" s="38"/>
      <c r="M16" s="38">
        <f t="shared" si="0"/>
        <v>1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24.95" customHeight="1" x14ac:dyDescent="0.2">
      <c r="A17" s="36"/>
      <c r="B17" s="105" t="s">
        <v>237</v>
      </c>
      <c r="C17" s="23" t="s">
        <v>249</v>
      </c>
      <c r="D17" s="61" t="s">
        <v>303</v>
      </c>
      <c r="E17" s="62"/>
      <c r="F17" s="38"/>
      <c r="G17" s="38"/>
      <c r="H17" s="38">
        <v>1</v>
      </c>
      <c r="I17" s="38"/>
      <c r="J17" s="38"/>
      <c r="K17" s="38"/>
      <c r="L17" s="38"/>
      <c r="M17" s="38">
        <f t="shared" si="0"/>
        <v>1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24.95" customHeight="1" x14ac:dyDescent="0.2">
      <c r="A18" s="36"/>
      <c r="B18" s="105" t="s">
        <v>237</v>
      </c>
      <c r="C18" s="23" t="s">
        <v>310</v>
      </c>
      <c r="D18" s="61" t="s">
        <v>303</v>
      </c>
      <c r="E18" s="62"/>
      <c r="F18" s="38"/>
      <c r="G18" s="38"/>
      <c r="H18" s="38">
        <v>1</v>
      </c>
      <c r="I18" s="38"/>
      <c r="J18" s="38"/>
      <c r="K18" s="38"/>
      <c r="L18" s="38"/>
      <c r="M18" s="38">
        <f t="shared" si="0"/>
        <v>1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24.95" customHeight="1" x14ac:dyDescent="0.2">
      <c r="A19" s="36"/>
      <c r="B19" s="105" t="s">
        <v>252</v>
      </c>
      <c r="C19" s="23" t="s">
        <v>256</v>
      </c>
      <c r="D19" s="61" t="s">
        <v>311</v>
      </c>
      <c r="E19" s="62"/>
      <c r="F19" s="38"/>
      <c r="G19" s="38">
        <v>0.9</v>
      </c>
      <c r="H19" s="38"/>
      <c r="I19" s="38"/>
      <c r="J19" s="38">
        <v>0.1</v>
      </c>
      <c r="K19" s="38"/>
      <c r="L19" s="38"/>
      <c r="M19" s="38">
        <f t="shared" si="0"/>
        <v>1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24.95" customHeight="1" x14ac:dyDescent="0.2">
      <c r="A20" s="36"/>
      <c r="B20" s="105" t="s">
        <v>262</v>
      </c>
      <c r="C20" s="23" t="s">
        <v>312</v>
      </c>
      <c r="D20" s="61" t="s">
        <v>313</v>
      </c>
      <c r="E20" s="62"/>
      <c r="F20" s="38"/>
      <c r="G20" s="38">
        <v>1</v>
      </c>
      <c r="H20" s="38"/>
      <c r="I20" s="38"/>
      <c r="J20" s="38"/>
      <c r="K20" s="38"/>
      <c r="L20" s="38"/>
      <c r="M20" s="38">
        <f t="shared" si="0"/>
        <v>1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24.95" customHeight="1" x14ac:dyDescent="0.2">
      <c r="A21" s="36"/>
      <c r="B21" s="105" t="s">
        <v>262</v>
      </c>
      <c r="C21" s="23" t="s">
        <v>265</v>
      </c>
      <c r="D21" s="61" t="s">
        <v>303</v>
      </c>
      <c r="E21" s="62"/>
      <c r="F21" s="38"/>
      <c r="G21" s="38"/>
      <c r="H21" s="38">
        <v>1</v>
      </c>
      <c r="I21" s="38"/>
      <c r="J21" s="38"/>
      <c r="K21" s="38"/>
      <c r="L21" s="38"/>
      <c r="M21" s="38">
        <f t="shared" si="0"/>
        <v>1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24.95" customHeight="1" x14ac:dyDescent="0.2">
      <c r="A22" s="36"/>
      <c r="B22" s="23" t="s">
        <v>267</v>
      </c>
      <c r="C22" s="23" t="s">
        <v>314</v>
      </c>
      <c r="D22" s="61" t="s">
        <v>315</v>
      </c>
      <c r="E22" s="62"/>
      <c r="F22" s="38"/>
      <c r="G22" s="38"/>
      <c r="H22" s="38"/>
      <c r="I22" s="38">
        <v>1</v>
      </c>
      <c r="J22" s="38"/>
      <c r="K22" s="38"/>
      <c r="L22" s="38"/>
      <c r="M22" s="38">
        <f t="shared" si="0"/>
        <v>1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24.95" customHeight="1" x14ac:dyDescent="0.2">
      <c r="A23" s="36"/>
      <c r="B23" s="23" t="s">
        <v>267</v>
      </c>
      <c r="C23" s="23" t="s">
        <v>316</v>
      </c>
      <c r="D23" s="61" t="s">
        <v>315</v>
      </c>
      <c r="E23" s="62"/>
      <c r="F23" s="38"/>
      <c r="G23" s="38"/>
      <c r="H23" s="38"/>
      <c r="I23" s="38">
        <v>1</v>
      </c>
      <c r="J23" s="38"/>
      <c r="K23" s="38"/>
      <c r="L23" s="38"/>
      <c r="M23" s="38">
        <f t="shared" si="0"/>
        <v>1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48" customHeight="1" x14ac:dyDescent="0.2">
      <c r="A24" s="36"/>
      <c r="B24" s="23" t="s">
        <v>267</v>
      </c>
      <c r="C24" s="23" t="s">
        <v>270</v>
      </c>
      <c r="D24" s="61" t="s">
        <v>317</v>
      </c>
      <c r="E24" s="62"/>
      <c r="F24" s="38">
        <v>0.05</v>
      </c>
      <c r="G24" s="38"/>
      <c r="H24" s="38">
        <v>0.15</v>
      </c>
      <c r="I24" s="38">
        <v>0.8</v>
      </c>
      <c r="J24" s="38"/>
      <c r="K24" s="38"/>
      <c r="L24" s="38"/>
      <c r="M24" s="38">
        <f t="shared" si="0"/>
        <v>1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24.95" customHeight="1" x14ac:dyDescent="0.2">
      <c r="A25" s="36"/>
      <c r="B25" s="23" t="s">
        <v>267</v>
      </c>
      <c r="C25" s="23" t="s">
        <v>318</v>
      </c>
      <c r="D25" s="61" t="s">
        <v>319</v>
      </c>
      <c r="E25" s="62"/>
      <c r="F25" s="38"/>
      <c r="G25" s="38">
        <v>1</v>
      </c>
      <c r="H25" s="38"/>
      <c r="I25" s="38">
        <v>0</v>
      </c>
      <c r="J25" s="38"/>
      <c r="K25" s="38"/>
      <c r="L25" s="38"/>
      <c r="M25" s="38">
        <f t="shared" si="0"/>
        <v>1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24.95" customHeight="1" x14ac:dyDescent="0.2">
      <c r="A26" s="36"/>
      <c r="B26" s="105" t="s">
        <v>273</v>
      </c>
      <c r="C26" s="105" t="s">
        <v>320</v>
      </c>
      <c r="D26" s="61" t="s">
        <v>321</v>
      </c>
      <c r="E26" s="62"/>
      <c r="F26" s="38"/>
      <c r="G26" s="38"/>
      <c r="H26" s="38"/>
      <c r="I26" s="38"/>
      <c r="J26" s="38"/>
      <c r="K26" s="38"/>
      <c r="L26" s="38">
        <v>1</v>
      </c>
      <c r="M26" s="38">
        <f t="shared" si="0"/>
        <v>1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24.95" customHeight="1" x14ac:dyDescent="0.2">
      <c r="A27" s="36"/>
      <c r="B27" s="105" t="s">
        <v>273</v>
      </c>
      <c r="C27" s="105" t="s">
        <v>322</v>
      </c>
      <c r="D27" s="61" t="s">
        <v>321</v>
      </c>
      <c r="E27" s="62"/>
      <c r="F27" s="38"/>
      <c r="G27" s="38"/>
      <c r="H27" s="38"/>
      <c r="I27" s="38"/>
      <c r="J27" s="38"/>
      <c r="K27" s="38"/>
      <c r="L27" s="38">
        <v>1</v>
      </c>
      <c r="M27" s="38">
        <f t="shared" si="0"/>
        <v>1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24.95" customHeight="1" x14ac:dyDescent="0.2">
      <c r="A28" s="36"/>
      <c r="B28" s="105" t="s">
        <v>273</v>
      </c>
      <c r="C28" s="105" t="s">
        <v>323</v>
      </c>
      <c r="D28" s="61" t="s">
        <v>321</v>
      </c>
      <c r="E28" s="62"/>
      <c r="F28" s="38"/>
      <c r="G28" s="38"/>
      <c r="H28" s="38"/>
      <c r="I28" s="38"/>
      <c r="J28" s="38"/>
      <c r="K28" s="38"/>
      <c r="L28" s="38">
        <v>1</v>
      </c>
      <c r="M28" s="38">
        <f t="shared" si="0"/>
        <v>1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24.95" customHeight="1" x14ac:dyDescent="0.2">
      <c r="A29" s="36"/>
      <c r="B29" s="105" t="s">
        <v>273</v>
      </c>
      <c r="C29" s="105" t="s">
        <v>276</v>
      </c>
      <c r="D29" s="61" t="s">
        <v>321</v>
      </c>
      <c r="E29" s="62"/>
      <c r="F29" s="38"/>
      <c r="G29" s="38"/>
      <c r="H29" s="38"/>
      <c r="I29" s="38"/>
      <c r="J29" s="38"/>
      <c r="K29" s="38"/>
      <c r="L29" s="38">
        <v>1</v>
      </c>
      <c r="M29" s="38">
        <f t="shared" si="0"/>
        <v>1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24.95" customHeight="1" x14ac:dyDescent="0.2">
      <c r="A30" s="36"/>
      <c r="B30" s="105" t="s">
        <v>273</v>
      </c>
      <c r="C30" s="105" t="s">
        <v>277</v>
      </c>
      <c r="D30" s="61" t="s">
        <v>321</v>
      </c>
      <c r="E30" s="62"/>
      <c r="F30" s="38"/>
      <c r="G30" s="38"/>
      <c r="H30" s="38"/>
      <c r="I30" s="38"/>
      <c r="J30" s="38"/>
      <c r="K30" s="38"/>
      <c r="L30" s="38">
        <v>1</v>
      </c>
      <c r="M30" s="38">
        <f t="shared" si="0"/>
        <v>1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24.95" customHeight="1" x14ac:dyDescent="0.2">
      <c r="A31" s="36"/>
      <c r="B31" s="105" t="s">
        <v>273</v>
      </c>
      <c r="C31" s="105" t="s">
        <v>279</v>
      </c>
      <c r="D31" s="61" t="s">
        <v>321</v>
      </c>
      <c r="E31" s="62"/>
      <c r="F31" s="38"/>
      <c r="G31" s="38"/>
      <c r="H31" s="38"/>
      <c r="I31" s="38"/>
      <c r="J31" s="38"/>
      <c r="K31" s="38"/>
      <c r="L31" s="38">
        <v>1</v>
      </c>
      <c r="M31" s="38">
        <f t="shared" si="0"/>
        <v>1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24.95" customHeight="1" x14ac:dyDescent="0.2">
      <c r="A32" s="36"/>
      <c r="B32" s="105" t="s">
        <v>273</v>
      </c>
      <c r="C32" s="105" t="s">
        <v>280</v>
      </c>
      <c r="D32" s="61" t="s">
        <v>321</v>
      </c>
      <c r="E32" s="62"/>
      <c r="F32" s="38"/>
      <c r="G32" s="38"/>
      <c r="H32" s="38"/>
      <c r="I32" s="38"/>
      <c r="J32" s="38"/>
      <c r="K32" s="38"/>
      <c r="L32" s="38">
        <v>1</v>
      </c>
      <c r="M32" s="38">
        <f t="shared" si="0"/>
        <v>1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24.95" customHeight="1" x14ac:dyDescent="0.2">
      <c r="A33" s="36"/>
      <c r="B33" s="105" t="s">
        <v>273</v>
      </c>
      <c r="C33" s="105" t="s">
        <v>281</v>
      </c>
      <c r="D33" s="61" t="s">
        <v>321</v>
      </c>
      <c r="E33" s="62"/>
      <c r="F33" s="38"/>
      <c r="G33" s="38"/>
      <c r="H33" s="38"/>
      <c r="I33" s="38"/>
      <c r="J33" s="38"/>
      <c r="K33" s="38"/>
      <c r="L33" s="38">
        <v>1</v>
      </c>
      <c r="M33" s="38">
        <f t="shared" si="0"/>
        <v>1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24.95" customHeight="1" x14ac:dyDescent="0.2">
      <c r="A34" s="36"/>
      <c r="B34" s="105" t="s">
        <v>218</v>
      </c>
      <c r="C34" s="105" t="s">
        <v>324</v>
      </c>
      <c r="D34" s="39" t="s">
        <v>325</v>
      </c>
      <c r="E34" s="40"/>
      <c r="F34" s="38"/>
      <c r="G34" s="38"/>
      <c r="H34" s="38"/>
      <c r="I34" s="38"/>
      <c r="J34" s="38"/>
      <c r="K34" s="38">
        <v>1</v>
      </c>
      <c r="L34" s="38"/>
      <c r="M34" s="38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24.95" customHeight="1" x14ac:dyDescent="0.2">
      <c r="A35" s="36"/>
      <c r="B35" s="105" t="s">
        <v>218</v>
      </c>
      <c r="C35" s="105" t="s">
        <v>326</v>
      </c>
      <c r="D35" s="39" t="s">
        <v>325</v>
      </c>
      <c r="E35" s="40"/>
      <c r="F35" s="38"/>
      <c r="G35" s="38"/>
      <c r="H35" s="38"/>
      <c r="I35" s="38"/>
      <c r="J35" s="38"/>
      <c r="K35" s="38">
        <v>1</v>
      </c>
      <c r="L35" s="38"/>
      <c r="M35" s="38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24.95" customHeight="1" x14ac:dyDescent="0.2">
      <c r="A36" s="36"/>
      <c r="B36" s="105" t="s">
        <v>218</v>
      </c>
      <c r="C36" s="23" t="s">
        <v>327</v>
      </c>
      <c r="D36" s="39" t="s">
        <v>325</v>
      </c>
      <c r="E36" s="40"/>
      <c r="F36" s="38"/>
      <c r="G36" s="38"/>
      <c r="H36" s="38"/>
      <c r="I36" s="38"/>
      <c r="J36" s="38"/>
      <c r="K36" s="38">
        <v>1</v>
      </c>
      <c r="L36" s="38"/>
      <c r="M36" s="38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24.95" customHeight="1" x14ac:dyDescent="0.2">
      <c r="A37" s="36"/>
      <c r="B37" s="105" t="s">
        <v>218</v>
      </c>
      <c r="C37" s="23" t="s">
        <v>328</v>
      </c>
      <c r="D37" s="39" t="s">
        <v>325</v>
      </c>
      <c r="E37" s="40"/>
      <c r="F37" s="38"/>
      <c r="G37" s="38"/>
      <c r="H37" s="38"/>
      <c r="I37" s="38"/>
      <c r="J37" s="38"/>
      <c r="K37" s="38">
        <v>1</v>
      </c>
      <c r="L37" s="38"/>
      <c r="M37" s="38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24.95" customHeight="1" x14ac:dyDescent="0.2">
      <c r="A38" s="36"/>
      <c r="B38" s="105" t="s">
        <v>287</v>
      </c>
      <c r="C38" s="23" t="s">
        <v>265</v>
      </c>
      <c r="D38" s="61" t="s">
        <v>303</v>
      </c>
      <c r="E38" s="62"/>
      <c r="F38" s="38"/>
      <c r="G38" s="38"/>
      <c r="H38" s="38">
        <v>1</v>
      </c>
      <c r="I38" s="38"/>
      <c r="J38" s="38">
        <v>0</v>
      </c>
      <c r="K38" s="38"/>
      <c r="L38" s="38"/>
      <c r="M38" s="38">
        <f t="shared" ref="M38:M39" si="1">SUM(F38:L38)</f>
        <v>1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24.95" customHeight="1" x14ac:dyDescent="0.2">
      <c r="A39" s="36"/>
      <c r="B39" s="105" t="s">
        <v>287</v>
      </c>
      <c r="C39" s="23" t="s">
        <v>326</v>
      </c>
      <c r="D39" s="39" t="s">
        <v>329</v>
      </c>
      <c r="E39" s="39"/>
      <c r="F39" s="38"/>
      <c r="G39" s="38"/>
      <c r="H39" s="38"/>
      <c r="I39" s="38"/>
      <c r="J39" s="38">
        <v>1</v>
      </c>
      <c r="K39" s="38"/>
      <c r="L39" s="38"/>
      <c r="M39" s="38">
        <f t="shared" si="1"/>
        <v>1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24.95" customHeight="1" x14ac:dyDescent="0.2">
      <c r="A40" s="36"/>
      <c r="B40" s="105" t="s">
        <v>287</v>
      </c>
      <c r="C40" s="23" t="s">
        <v>289</v>
      </c>
      <c r="D40" s="61" t="s">
        <v>329</v>
      </c>
      <c r="E40" s="62"/>
      <c r="F40" s="38"/>
      <c r="G40" s="38"/>
      <c r="H40" s="38"/>
      <c r="I40" s="38"/>
      <c r="J40" s="38">
        <v>1</v>
      </c>
      <c r="K40" s="38"/>
      <c r="L40" s="38"/>
      <c r="M40" s="38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24.95" customHeight="1" x14ac:dyDescent="0.2">
      <c r="A41" s="36"/>
      <c r="B41" s="105" t="s">
        <v>287</v>
      </c>
      <c r="C41" s="23" t="s">
        <v>290</v>
      </c>
      <c r="D41" s="61" t="s">
        <v>329</v>
      </c>
      <c r="E41" s="62"/>
      <c r="F41" s="38"/>
      <c r="G41" s="38">
        <v>1</v>
      </c>
      <c r="H41" s="38"/>
      <c r="I41" s="38"/>
      <c r="J41" s="38"/>
      <c r="K41" s="38"/>
      <c r="L41" s="38"/>
      <c r="M41" s="38">
        <f>SUM(F41:L41)</f>
        <v>1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4.25" customHeight="1" x14ac:dyDescent="0.2"/>
    <row r="43" spans="1:26" ht="14.25" customHeight="1" x14ac:dyDescent="0.2"/>
    <row r="44" spans="1:26" ht="14.25" customHeight="1" x14ac:dyDescent="0.2"/>
    <row r="45" spans="1:26" ht="14.25" customHeight="1" x14ac:dyDescent="0.2"/>
    <row r="46" spans="1:26" ht="14.25" customHeight="1" x14ac:dyDescent="0.2"/>
    <row r="47" spans="1:26" ht="14.25" customHeight="1" x14ac:dyDescent="0.2"/>
    <row r="48" spans="1:2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5">
    <mergeCell ref="B4:B6"/>
    <mergeCell ref="C4:C6"/>
    <mergeCell ref="D4:E6"/>
    <mergeCell ref="F4:M4"/>
    <mergeCell ref="M5:M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30:E30"/>
    <mergeCell ref="D31:E31"/>
    <mergeCell ref="D32:E32"/>
    <mergeCell ref="D33:E33"/>
    <mergeCell ref="D38:E38"/>
    <mergeCell ref="D40:E40"/>
    <mergeCell ref="D41:E41"/>
    <mergeCell ref="D23:E23"/>
    <mergeCell ref="D24:E24"/>
    <mergeCell ref="D25:E25"/>
    <mergeCell ref="D26:E26"/>
    <mergeCell ref="D27:E27"/>
    <mergeCell ref="D28:E28"/>
    <mergeCell ref="D29:E2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tabSelected="1" topLeftCell="B1" zoomScale="90" zoomScaleNormal="90" workbookViewId="0">
      <selection activeCell="O10" sqref="O10"/>
    </sheetView>
  </sheetViews>
  <sheetFormatPr defaultColWidth="12.625" defaultRowHeight="15" customHeight="1" x14ac:dyDescent="0.2"/>
  <cols>
    <col min="1" max="1" width="9.375" customWidth="1"/>
    <col min="2" max="2" width="48.375" customWidth="1"/>
    <col min="3" max="3" width="33.625" customWidth="1"/>
    <col min="4" max="9" width="9.375" customWidth="1"/>
    <col min="10" max="10" width="11.375" customWidth="1"/>
    <col min="11" max="21" width="9.375" customWidth="1"/>
    <col min="22" max="22" width="11" customWidth="1"/>
    <col min="23" max="34" width="9.375" customWidth="1"/>
  </cols>
  <sheetData>
    <row r="1" spans="1:13" ht="14.25" customHeight="1" x14ac:dyDescent="0.2"/>
    <row r="2" spans="1:13" ht="14.25" customHeight="1" x14ac:dyDescent="0.25">
      <c r="B2" s="13" t="s">
        <v>330</v>
      </c>
    </row>
    <row r="3" spans="1:13" ht="14.25" customHeight="1" x14ac:dyDescent="0.2"/>
    <row r="4" spans="1:13" ht="30" customHeight="1" thickBot="1" x14ac:dyDescent="0.25">
      <c r="B4" s="41" t="s">
        <v>331</v>
      </c>
      <c r="C4" s="41" t="s">
        <v>332</v>
      </c>
      <c r="D4" s="41" t="s">
        <v>333</v>
      </c>
      <c r="E4" s="106" t="s">
        <v>376</v>
      </c>
      <c r="F4" s="113" t="s">
        <v>395</v>
      </c>
      <c r="G4" s="114" t="s">
        <v>396</v>
      </c>
      <c r="H4" s="114" t="s">
        <v>397</v>
      </c>
      <c r="I4" s="128" t="s">
        <v>401</v>
      </c>
      <c r="J4" s="114" t="s">
        <v>399</v>
      </c>
    </row>
    <row r="5" spans="1:13" ht="22.5" customHeight="1" x14ac:dyDescent="0.25">
      <c r="A5" s="12">
        <v>1</v>
      </c>
      <c r="B5" s="42" t="s">
        <v>213</v>
      </c>
      <c r="C5" s="43" t="s">
        <v>334</v>
      </c>
      <c r="D5" s="43">
        <v>1169</v>
      </c>
      <c r="E5" s="43">
        <f>Plantilla!G11</f>
        <v>41519.533271538305</v>
      </c>
      <c r="F5" s="122">
        <v>33831.338599999995</v>
      </c>
      <c r="G5" s="123">
        <f>E5+F5</f>
        <v>75350.8718715383</v>
      </c>
      <c r="H5" s="124">
        <f>G5/D5</f>
        <v>64.457546511153382</v>
      </c>
      <c r="I5" s="126">
        <f>H5*1.15</f>
        <v>74.12617848782638</v>
      </c>
      <c r="J5" s="101" t="s">
        <v>398</v>
      </c>
    </row>
    <row r="6" spans="1:13" ht="14.25" customHeight="1" x14ac:dyDescent="0.25">
      <c r="A6" s="12">
        <v>2</v>
      </c>
      <c r="B6" s="42" t="s">
        <v>214</v>
      </c>
      <c r="C6" s="43" t="s">
        <v>335</v>
      </c>
      <c r="D6" s="43">
        <v>5140.2299999999996</v>
      </c>
      <c r="E6" s="43">
        <v>201734.97509175626</v>
      </c>
      <c r="F6" s="122">
        <v>166733.77449999997</v>
      </c>
      <c r="G6" s="123">
        <f t="shared" ref="G6:G11" si="0">E6+F6</f>
        <v>368468.74959175626</v>
      </c>
      <c r="H6" s="124">
        <f>G6/D6</f>
        <v>71.683319538572462</v>
      </c>
      <c r="I6" s="127">
        <f t="shared" ref="I6:I11" si="1">H6*1.15</f>
        <v>82.435817469358327</v>
      </c>
      <c r="J6" s="101" t="s">
        <v>398</v>
      </c>
    </row>
    <row r="7" spans="1:13" ht="14.25" customHeight="1" x14ac:dyDescent="0.25">
      <c r="A7" s="12">
        <v>3</v>
      </c>
      <c r="B7" s="42" t="s">
        <v>215</v>
      </c>
      <c r="C7" s="43" t="s">
        <v>335</v>
      </c>
      <c r="D7" s="43">
        <v>17829.8</v>
      </c>
      <c r="E7" s="43">
        <v>356006.49498033454</v>
      </c>
      <c r="F7" s="122">
        <v>287981.03589999996</v>
      </c>
      <c r="G7" s="123">
        <f t="shared" si="0"/>
        <v>643987.53088033455</v>
      </c>
      <c r="H7" s="124">
        <f>G7/D7</f>
        <v>36.118606539632225</v>
      </c>
      <c r="I7" s="127">
        <f t="shared" si="1"/>
        <v>41.536397520577054</v>
      </c>
      <c r="J7" s="101" t="s">
        <v>398</v>
      </c>
    </row>
    <row r="8" spans="1:13" ht="14.25" customHeight="1" x14ac:dyDescent="0.25">
      <c r="A8" s="12">
        <v>4</v>
      </c>
      <c r="B8" s="42" t="s">
        <v>216</v>
      </c>
      <c r="C8" s="43" t="s">
        <v>336</v>
      </c>
      <c r="D8" s="43">
        <v>565.54999999999995</v>
      </c>
      <c r="E8" s="43">
        <v>21125.00284568327</v>
      </c>
      <c r="F8" s="122">
        <v>12375.607999999998</v>
      </c>
      <c r="G8" s="123">
        <f t="shared" si="0"/>
        <v>33500.610845683266</v>
      </c>
      <c r="H8" s="124">
        <f>G8/D8</f>
        <v>59.235453709987212</v>
      </c>
      <c r="I8" s="127">
        <f t="shared" si="1"/>
        <v>68.120771766485291</v>
      </c>
      <c r="J8" s="101" t="s">
        <v>400</v>
      </c>
    </row>
    <row r="9" spans="1:13" ht="14.25" customHeight="1" x14ac:dyDescent="0.25">
      <c r="A9" s="12">
        <v>5</v>
      </c>
      <c r="B9" s="42" t="s">
        <v>217</v>
      </c>
      <c r="C9" s="43" t="s">
        <v>335</v>
      </c>
      <c r="D9" s="43">
        <v>1296.54</v>
      </c>
      <c r="E9" s="43">
        <v>18107.145296299946</v>
      </c>
      <c r="F9" s="122">
        <v>18903.467999999997</v>
      </c>
      <c r="G9" s="123">
        <f t="shared" si="0"/>
        <v>37010.61329629994</v>
      </c>
      <c r="H9" s="124">
        <f t="shared" ref="H9:H11" si="2">G9/D9</f>
        <v>28.54567795540434</v>
      </c>
      <c r="I9" s="127">
        <f t="shared" si="1"/>
        <v>32.827529648714986</v>
      </c>
      <c r="J9" s="101" t="s">
        <v>398</v>
      </c>
      <c r="M9" s="129"/>
    </row>
    <row r="10" spans="1:13" ht="14.25" customHeight="1" x14ac:dyDescent="0.25">
      <c r="A10" s="12">
        <v>6</v>
      </c>
      <c r="B10" s="42" t="s">
        <v>218</v>
      </c>
      <c r="C10" s="43" t="s">
        <v>337</v>
      </c>
      <c r="D10" s="43">
        <v>3344.68</v>
      </c>
      <c r="E10" s="43">
        <v>30178.575493833247</v>
      </c>
      <c r="F10" s="122">
        <v>7152.15</v>
      </c>
      <c r="G10" s="123">
        <f t="shared" si="0"/>
        <v>37330.725493833248</v>
      </c>
      <c r="H10" s="124">
        <f t="shared" si="2"/>
        <v>11.161224838798704</v>
      </c>
      <c r="I10" s="127">
        <f t="shared" si="1"/>
        <v>12.835408564618509</v>
      </c>
      <c r="J10" s="101" t="s">
        <v>398</v>
      </c>
      <c r="M10" s="129"/>
    </row>
    <row r="11" spans="1:13" ht="14.25" customHeight="1" thickBot="1" x14ac:dyDescent="0.3">
      <c r="A11" s="12">
        <v>7</v>
      </c>
      <c r="B11" s="42" t="s">
        <v>219</v>
      </c>
      <c r="C11" s="43" t="s">
        <v>336</v>
      </c>
      <c r="D11" s="43">
        <v>525.33000000000004</v>
      </c>
      <c r="E11" s="43">
        <v>116984.73302055339</v>
      </c>
      <c r="F11" s="122">
        <v>365.32</v>
      </c>
      <c r="G11" s="123">
        <f t="shared" si="0"/>
        <v>117350.0530205534</v>
      </c>
      <c r="H11" s="124">
        <f t="shared" si="2"/>
        <v>223.38349803086325</v>
      </c>
      <c r="I11" s="125">
        <f t="shared" si="1"/>
        <v>256.8910227354927</v>
      </c>
      <c r="J11" s="101" t="s">
        <v>400</v>
      </c>
      <c r="M11" s="129"/>
    </row>
    <row r="12" spans="1:13" ht="14.25" customHeight="1" x14ac:dyDescent="0.2"/>
    <row r="13" spans="1:13" ht="14.25" customHeight="1" x14ac:dyDescent="0.2"/>
    <row r="14" spans="1:13" ht="14.25" customHeight="1" x14ac:dyDescent="0.2"/>
    <row r="15" spans="1:13" ht="14.25" customHeight="1" x14ac:dyDescent="0.2"/>
    <row r="16" spans="1:13" ht="14.25" customHeight="1" x14ac:dyDescent="0.2"/>
    <row r="17" spans="5:22" ht="14.25" customHeight="1" x14ac:dyDescent="0.2"/>
    <row r="18" spans="5:22" ht="33" customHeight="1" x14ac:dyDescent="0.2">
      <c r="E18" s="86" t="s">
        <v>386</v>
      </c>
      <c r="F18" s="45">
        <v>1</v>
      </c>
      <c r="G18" s="115" t="s">
        <v>387</v>
      </c>
      <c r="H18" s="90">
        <v>2</v>
      </c>
      <c r="I18" s="115" t="s">
        <v>388</v>
      </c>
      <c r="J18" s="45">
        <v>3</v>
      </c>
      <c r="K18" s="115" t="s">
        <v>389</v>
      </c>
      <c r="L18" s="45">
        <v>4</v>
      </c>
      <c r="M18" s="115" t="s">
        <v>390</v>
      </c>
      <c r="N18" s="45">
        <v>5</v>
      </c>
      <c r="O18" s="115" t="s">
        <v>391</v>
      </c>
      <c r="P18" s="45">
        <v>6</v>
      </c>
      <c r="Q18" s="115" t="s">
        <v>392</v>
      </c>
      <c r="R18" s="45">
        <v>7</v>
      </c>
      <c r="S18" s="115" t="s">
        <v>393</v>
      </c>
      <c r="T18" s="45">
        <v>8</v>
      </c>
      <c r="U18" s="115" t="s">
        <v>394</v>
      </c>
      <c r="V18" s="116" t="s">
        <v>385</v>
      </c>
    </row>
    <row r="19" spans="5:22" ht="14.25" customHeight="1" x14ac:dyDescent="0.2">
      <c r="F19" s="43">
        <v>31505.779999999995</v>
      </c>
      <c r="G19" s="43"/>
      <c r="H19" s="43">
        <v>98759.93</v>
      </c>
      <c r="I19" s="43"/>
      <c r="J19" s="43">
        <v>82890.549999999988</v>
      </c>
      <c r="K19" s="43"/>
      <c r="L19" s="43">
        <v>186969.69</v>
      </c>
      <c r="M19" s="43"/>
      <c r="N19" s="43">
        <v>127712.22000000002</v>
      </c>
      <c r="O19" s="43"/>
      <c r="P19" s="43">
        <v>17679.439999999999</v>
      </c>
      <c r="Q19" s="43"/>
      <c r="R19" s="43">
        <v>365.32</v>
      </c>
      <c r="S19" s="43"/>
      <c r="T19" s="43">
        <v>7152.15</v>
      </c>
      <c r="U19" s="43"/>
    </row>
    <row r="20" spans="5:22" ht="14.25" customHeight="1" x14ac:dyDescent="0.25">
      <c r="E20">
        <v>1</v>
      </c>
      <c r="G20" s="43"/>
      <c r="I20" s="43"/>
      <c r="K20" s="43"/>
      <c r="L20" s="99">
        <v>0.18</v>
      </c>
      <c r="M20" s="43">
        <f>L20*L19</f>
        <v>33654.544199999997</v>
      </c>
      <c r="N20" s="99"/>
      <c r="O20" s="43">
        <f>N20*N19</f>
        <v>0</v>
      </c>
      <c r="P20" s="99">
        <v>0.01</v>
      </c>
      <c r="Q20" s="43">
        <f>P20*P19</f>
        <v>176.7944</v>
      </c>
      <c r="R20" s="99"/>
      <c r="S20" s="43">
        <f>R20*R19</f>
        <v>0</v>
      </c>
      <c r="T20" s="99"/>
      <c r="U20" s="43">
        <f>T20*T19</f>
        <v>0</v>
      </c>
      <c r="V20" s="19">
        <f>G20+I20+K20+M20+O20+Q20+S20+U20</f>
        <v>33831.338599999995</v>
      </c>
    </row>
    <row r="21" spans="5:22" ht="14.25" customHeight="1" x14ac:dyDescent="0.25">
      <c r="E21">
        <v>2</v>
      </c>
      <c r="F21" s="99">
        <v>0.9</v>
      </c>
      <c r="G21" s="43">
        <f>F21*$F$19</f>
        <v>28355.201999999997</v>
      </c>
      <c r="H21" s="99">
        <v>0.5</v>
      </c>
      <c r="I21" s="43">
        <f>H21*H19</f>
        <v>49379.964999999997</v>
      </c>
      <c r="J21" s="99">
        <v>0.25</v>
      </c>
      <c r="K21" s="43">
        <f>J21*J19</f>
        <v>20722.637499999997</v>
      </c>
      <c r="L21" s="99"/>
      <c r="M21" s="43">
        <f>L21*L19</f>
        <v>0</v>
      </c>
      <c r="N21" s="99">
        <v>0.5</v>
      </c>
      <c r="O21" s="43">
        <f>N21*N19</f>
        <v>63856.110000000008</v>
      </c>
      <c r="P21" s="99">
        <v>0.25</v>
      </c>
      <c r="Q21" s="43">
        <f>P21*P19</f>
        <v>4419.8599999999997</v>
      </c>
      <c r="R21" s="99"/>
      <c r="S21" s="43">
        <f>R21*R19</f>
        <v>0</v>
      </c>
      <c r="T21" s="99"/>
      <c r="U21" s="43">
        <f>T21*T19</f>
        <v>0</v>
      </c>
      <c r="V21" s="19">
        <f t="shared" ref="V21:V26" si="3">G21+I21+K21+M21+O21+Q21+S21+U21</f>
        <v>166733.77449999997</v>
      </c>
    </row>
    <row r="22" spans="5:22" ht="14.25" customHeight="1" x14ac:dyDescent="0.25">
      <c r="E22">
        <v>3</v>
      </c>
      <c r="F22" s="99"/>
      <c r="G22" s="43"/>
      <c r="H22" s="99">
        <v>0.5</v>
      </c>
      <c r="I22" s="43">
        <f>H22*H19</f>
        <v>49379.964999999997</v>
      </c>
      <c r="J22" s="99">
        <v>0.25</v>
      </c>
      <c r="K22" s="43">
        <f>J22*J19</f>
        <v>20722.637499999997</v>
      </c>
      <c r="L22" s="99">
        <v>0.82</v>
      </c>
      <c r="M22" s="43">
        <f>L22*L19</f>
        <v>153315.1458</v>
      </c>
      <c r="N22" s="99">
        <v>0.5</v>
      </c>
      <c r="O22" s="43">
        <f>N22*N19</f>
        <v>63856.110000000008</v>
      </c>
      <c r="P22" s="99">
        <v>0.04</v>
      </c>
      <c r="Q22" s="43">
        <f>P22*P19</f>
        <v>707.17759999999998</v>
      </c>
      <c r="R22" s="99"/>
      <c r="S22" s="43">
        <f>R22*R19</f>
        <v>0</v>
      </c>
      <c r="T22" s="99"/>
      <c r="U22" s="43">
        <f>T22*T19</f>
        <v>0</v>
      </c>
      <c r="V22" s="19">
        <f t="shared" si="3"/>
        <v>287981.03589999996</v>
      </c>
    </row>
    <row r="23" spans="5:22" ht="14.25" customHeight="1" x14ac:dyDescent="0.25">
      <c r="E23">
        <v>4</v>
      </c>
      <c r="F23" s="99"/>
      <c r="G23" s="43">
        <f>F23*F19</f>
        <v>0</v>
      </c>
      <c r="H23" s="99"/>
      <c r="I23" s="43">
        <f>H23*H19</f>
        <v>0</v>
      </c>
      <c r="J23" s="99"/>
      <c r="K23" s="43">
        <f>J23*J19</f>
        <v>0</v>
      </c>
      <c r="L23" s="99"/>
      <c r="M23" s="43">
        <f>L23*L19</f>
        <v>0</v>
      </c>
      <c r="N23" s="99"/>
      <c r="O23" s="43">
        <f>N23*N19</f>
        <v>0</v>
      </c>
      <c r="P23" s="99">
        <v>0.7</v>
      </c>
      <c r="Q23" s="43">
        <f>P23*P19</f>
        <v>12375.607999999998</v>
      </c>
      <c r="R23" s="99"/>
      <c r="S23" s="43">
        <f>R23*R19</f>
        <v>0</v>
      </c>
      <c r="T23" s="99"/>
      <c r="U23" s="43">
        <f>T23*T19</f>
        <v>0</v>
      </c>
      <c r="V23" s="19">
        <f t="shared" si="3"/>
        <v>12375.607999999998</v>
      </c>
    </row>
    <row r="24" spans="5:22" ht="14.25" customHeight="1" x14ac:dyDescent="0.25">
      <c r="E24">
        <v>5</v>
      </c>
      <c r="F24" s="99">
        <v>0.1</v>
      </c>
      <c r="G24" s="43">
        <f>F24*$F$19</f>
        <v>3150.5779999999995</v>
      </c>
      <c r="H24" s="99"/>
      <c r="I24" s="43">
        <f>H24*$F$19</f>
        <v>0</v>
      </c>
      <c r="J24" s="99">
        <v>0.5</v>
      </c>
      <c r="K24" s="43">
        <f>J24*$F$19</f>
        <v>15752.889999999998</v>
      </c>
      <c r="L24" s="99"/>
      <c r="M24" s="43">
        <f>L24*$F$19</f>
        <v>0</v>
      </c>
      <c r="N24" s="99"/>
      <c r="O24" s="43">
        <f>N24*$F$19</f>
        <v>0</v>
      </c>
      <c r="P24" s="99"/>
      <c r="Q24" s="43">
        <f>P24*$F$19</f>
        <v>0</v>
      </c>
      <c r="R24" s="99"/>
      <c r="S24" s="43">
        <f>R24*$F$19</f>
        <v>0</v>
      </c>
      <c r="T24" s="99"/>
      <c r="U24" s="43">
        <f>T24*$F$19</f>
        <v>0</v>
      </c>
      <c r="V24" s="19">
        <f t="shared" si="3"/>
        <v>18903.467999999997</v>
      </c>
    </row>
    <row r="25" spans="5:22" ht="14.25" customHeight="1" x14ac:dyDescent="0.25">
      <c r="E25">
        <v>6</v>
      </c>
      <c r="F25" s="99"/>
      <c r="G25" s="43"/>
      <c r="H25" s="99"/>
      <c r="I25" s="43"/>
      <c r="J25" s="99"/>
      <c r="K25" s="43"/>
      <c r="L25" s="99"/>
      <c r="M25" s="43"/>
      <c r="N25" s="99"/>
      <c r="O25" s="43"/>
      <c r="P25" s="99"/>
      <c r="Q25" s="43"/>
      <c r="R25" s="99"/>
      <c r="S25" s="43"/>
      <c r="T25" s="99">
        <v>1</v>
      </c>
      <c r="U25" s="43">
        <f>T19*T25</f>
        <v>7152.15</v>
      </c>
      <c r="V25" s="19">
        <f t="shared" si="3"/>
        <v>7152.15</v>
      </c>
    </row>
    <row r="26" spans="5:22" ht="14.25" customHeight="1" x14ac:dyDescent="0.25">
      <c r="E26">
        <v>7</v>
      </c>
      <c r="F26" s="99"/>
      <c r="G26" s="43"/>
      <c r="H26" s="99"/>
      <c r="I26" s="43"/>
      <c r="J26" s="99"/>
      <c r="K26" s="43"/>
      <c r="L26" s="99"/>
      <c r="M26" s="43"/>
      <c r="N26" s="99"/>
      <c r="O26" s="43"/>
      <c r="P26" s="99"/>
      <c r="Q26" s="43"/>
      <c r="R26" s="99">
        <v>1</v>
      </c>
      <c r="S26" s="43">
        <f>R19*R26</f>
        <v>365.32</v>
      </c>
      <c r="T26" s="99"/>
      <c r="U26" s="43"/>
      <c r="V26" s="19">
        <f t="shared" si="3"/>
        <v>365.32</v>
      </c>
    </row>
    <row r="27" spans="5:22" ht="14.25" customHeight="1" x14ac:dyDescent="0.2"/>
    <row r="28" spans="5:22" ht="14.25" customHeight="1" x14ac:dyDescent="0.2"/>
    <row r="29" spans="5:22" ht="14.25" customHeight="1" x14ac:dyDescent="0.2"/>
    <row r="30" spans="5:22" ht="14.25" customHeight="1" x14ac:dyDescent="0.2"/>
    <row r="31" spans="5:22" ht="14.25" customHeight="1" x14ac:dyDescent="0.2"/>
    <row r="32" spans="5:2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0"/>
  <sheetViews>
    <sheetView workbookViewId="0">
      <selection activeCell="O22" sqref="O22"/>
    </sheetView>
  </sheetViews>
  <sheetFormatPr defaultColWidth="12.625" defaultRowHeight="15" customHeight="1" x14ac:dyDescent="0.2"/>
  <cols>
    <col min="1" max="2" width="9.375" customWidth="1"/>
    <col min="3" max="3" width="33" customWidth="1"/>
    <col min="4" max="4" width="12.75" customWidth="1"/>
    <col min="5" max="5" width="14.125" customWidth="1"/>
    <col min="6" max="10" width="9.375" customWidth="1"/>
    <col min="11" max="11" width="12.5" customWidth="1"/>
    <col min="12" max="27" width="9.375" customWidth="1"/>
  </cols>
  <sheetData>
    <row r="1" spans="1:17" ht="14.25" customHeight="1" x14ac:dyDescent="0.2"/>
    <row r="2" spans="1:17" ht="14.25" customHeight="1" x14ac:dyDescent="0.25">
      <c r="A2" s="13" t="s">
        <v>338</v>
      </c>
    </row>
    <row r="3" spans="1:17" ht="14.25" customHeight="1" x14ac:dyDescent="0.2"/>
    <row r="4" spans="1:17" ht="14.25" customHeight="1" x14ac:dyDescent="0.2"/>
    <row r="5" spans="1:17" ht="45" customHeight="1" x14ac:dyDescent="0.2">
      <c r="A5" s="74" t="s">
        <v>1</v>
      </c>
      <c r="B5" s="62"/>
      <c r="C5" s="44"/>
      <c r="D5" s="74" t="s">
        <v>5</v>
      </c>
      <c r="E5" s="71"/>
      <c r="F5" s="62"/>
      <c r="G5" s="45" t="s">
        <v>339</v>
      </c>
      <c r="H5" s="90" t="s">
        <v>237</v>
      </c>
      <c r="I5" s="45" t="s">
        <v>252</v>
      </c>
      <c r="J5" s="45" t="s">
        <v>262</v>
      </c>
      <c r="K5" s="45" t="s">
        <v>340</v>
      </c>
      <c r="L5" s="45" t="s">
        <v>273</v>
      </c>
      <c r="M5" s="45" t="s">
        <v>341</v>
      </c>
      <c r="N5" s="45" t="s">
        <v>287</v>
      </c>
      <c r="O5" s="45" t="s">
        <v>295</v>
      </c>
    </row>
    <row r="6" spans="1:17" ht="20.25" customHeight="1" x14ac:dyDescent="0.2">
      <c r="A6" s="75" t="s">
        <v>342</v>
      </c>
      <c r="B6" s="76"/>
      <c r="C6" s="46"/>
      <c r="D6" s="75" t="s">
        <v>343</v>
      </c>
      <c r="E6" s="79"/>
      <c r="F6" s="80"/>
      <c r="G6" s="47">
        <v>7.6823846121836209E-2</v>
      </c>
      <c r="H6" s="47">
        <v>0.29146006920548134</v>
      </c>
      <c r="I6" s="47">
        <v>3.8411923060918104E-2</v>
      </c>
      <c r="J6" s="47">
        <v>0.32916777367694933</v>
      </c>
      <c r="K6" s="47">
        <v>0.14890061875206059</v>
      </c>
      <c r="L6" s="47">
        <v>3.8411923060918104E-2</v>
      </c>
      <c r="M6" s="47">
        <v>3.8411923060918104E-2</v>
      </c>
      <c r="N6" s="47">
        <v>3.8411923060918104E-2</v>
      </c>
      <c r="O6" s="48">
        <v>1</v>
      </c>
    </row>
    <row r="7" spans="1:17" ht="14.25" customHeight="1" x14ac:dyDescent="0.2">
      <c r="A7" s="77"/>
      <c r="B7" s="78"/>
      <c r="C7" s="46"/>
      <c r="D7" s="77"/>
      <c r="E7" s="81"/>
      <c r="F7" s="82"/>
      <c r="G7" s="49">
        <v>2</v>
      </c>
      <c r="H7" s="49">
        <v>7.5877499999999998</v>
      </c>
      <c r="I7" s="49">
        <v>1</v>
      </c>
      <c r="J7" s="49">
        <v>8.5694166666666671</v>
      </c>
      <c r="K7" s="49">
        <v>3.8764166666666662</v>
      </c>
      <c r="L7" s="49">
        <v>1</v>
      </c>
      <c r="M7" s="49">
        <v>1</v>
      </c>
      <c r="N7" s="49">
        <v>1</v>
      </c>
      <c r="O7" s="49">
        <v>26.033583333333336</v>
      </c>
      <c r="Q7" s="88"/>
    </row>
    <row r="8" spans="1:17" ht="14.25" customHeight="1" x14ac:dyDescent="0.2">
      <c r="A8" s="73">
        <v>623105</v>
      </c>
      <c r="B8" s="62"/>
      <c r="C8" s="50" t="s">
        <v>62</v>
      </c>
      <c r="D8" s="73" t="s">
        <v>344</v>
      </c>
      <c r="E8" s="71"/>
      <c r="F8" s="62"/>
      <c r="G8" s="51">
        <v>0</v>
      </c>
      <c r="H8" s="51">
        <v>0</v>
      </c>
      <c r="I8" s="51">
        <v>0</v>
      </c>
      <c r="J8" s="51">
        <v>0</v>
      </c>
      <c r="K8" s="51">
        <v>0</v>
      </c>
      <c r="L8" s="51"/>
      <c r="M8" s="51"/>
      <c r="N8" s="51">
        <v>0</v>
      </c>
      <c r="O8" s="51">
        <v>0</v>
      </c>
    </row>
    <row r="9" spans="1:17" ht="14.25" customHeight="1" x14ac:dyDescent="0.2">
      <c r="A9" s="73">
        <v>628004</v>
      </c>
      <c r="B9" s="62"/>
      <c r="C9" s="50" t="s">
        <v>88</v>
      </c>
      <c r="D9" s="73" t="s">
        <v>344</v>
      </c>
      <c r="E9" s="71"/>
      <c r="F9" s="62"/>
      <c r="G9" s="51">
        <v>40</v>
      </c>
      <c r="H9" s="51">
        <v>200</v>
      </c>
      <c r="I9" s="51">
        <v>0</v>
      </c>
      <c r="J9" s="51">
        <v>100</v>
      </c>
      <c r="K9" s="51">
        <v>80</v>
      </c>
      <c r="L9" s="51"/>
      <c r="M9" s="51"/>
      <c r="N9" s="51">
        <v>60</v>
      </c>
      <c r="O9" s="51">
        <v>480</v>
      </c>
    </row>
    <row r="10" spans="1:17" ht="14.25" customHeight="1" x14ac:dyDescent="0.2">
      <c r="A10" s="73">
        <v>628240</v>
      </c>
      <c r="B10" s="62"/>
      <c r="C10" s="50" t="s">
        <v>96</v>
      </c>
      <c r="D10" s="73" t="s">
        <v>344</v>
      </c>
      <c r="E10" s="71"/>
      <c r="F10" s="62"/>
      <c r="G10" s="52">
        <v>7676.1100000000006</v>
      </c>
      <c r="H10" s="52">
        <v>1593.0300000000002</v>
      </c>
      <c r="I10" s="52">
        <v>57.13</v>
      </c>
      <c r="J10" s="52">
        <v>1712.7800000000002</v>
      </c>
      <c r="K10" s="52">
        <v>26719.990000000016</v>
      </c>
      <c r="L10" s="52">
        <v>450.97</v>
      </c>
      <c r="M10" s="52">
        <v>105.42</v>
      </c>
      <c r="N10" s="52">
        <v>216.49999999999997</v>
      </c>
      <c r="O10" s="51">
        <v>38531.930000000015</v>
      </c>
    </row>
    <row r="11" spans="1:17" ht="14.25" customHeight="1" x14ac:dyDescent="0.2">
      <c r="A11" s="73">
        <v>629500</v>
      </c>
      <c r="B11" s="62"/>
      <c r="C11" s="50" t="s">
        <v>100</v>
      </c>
      <c r="D11" s="73" t="s">
        <v>344</v>
      </c>
      <c r="E11" s="71"/>
      <c r="F11" s="62"/>
      <c r="G11" s="51">
        <v>268.85000000000002</v>
      </c>
      <c r="H11" s="51">
        <v>628.78</v>
      </c>
      <c r="I11" s="51">
        <v>1717.5000000000002</v>
      </c>
      <c r="J11" s="51">
        <v>36</v>
      </c>
      <c r="K11" s="51">
        <v>155.32</v>
      </c>
      <c r="L11" s="51"/>
      <c r="M11" s="51"/>
      <c r="N11" s="51">
        <v>0</v>
      </c>
      <c r="O11" s="51">
        <v>2806.4500000000003</v>
      </c>
    </row>
    <row r="12" spans="1:17" ht="14.25" customHeight="1" x14ac:dyDescent="0.2">
      <c r="A12" s="73">
        <v>629700</v>
      </c>
      <c r="B12" s="62"/>
      <c r="C12" s="50" t="s">
        <v>123</v>
      </c>
      <c r="D12" s="73" t="s">
        <v>344</v>
      </c>
      <c r="E12" s="71"/>
      <c r="F12" s="62"/>
      <c r="G12" s="51"/>
      <c r="H12" s="51"/>
      <c r="I12" s="51"/>
      <c r="J12" s="51"/>
      <c r="K12" s="51"/>
      <c r="L12" s="51"/>
      <c r="M12" s="51"/>
      <c r="N12" s="51"/>
      <c r="O12" s="51">
        <v>0</v>
      </c>
    </row>
    <row r="13" spans="1:17" ht="14.25" customHeight="1" x14ac:dyDescent="0.2">
      <c r="A13" s="73">
        <v>629710</v>
      </c>
      <c r="B13" s="62"/>
      <c r="C13" s="50" t="s">
        <v>126</v>
      </c>
      <c r="D13" s="73" t="s">
        <v>344</v>
      </c>
      <c r="E13" s="71"/>
      <c r="F13" s="62"/>
      <c r="G13" s="51">
        <v>8156.3499999999985</v>
      </c>
      <c r="H13" s="51">
        <v>3389.4900000000002</v>
      </c>
      <c r="I13" s="51">
        <v>165.56</v>
      </c>
      <c r="J13" s="51">
        <v>6479.48</v>
      </c>
      <c r="K13" s="51">
        <v>4920.8100000000004</v>
      </c>
      <c r="L13" s="51">
        <v>796.8499999999998</v>
      </c>
      <c r="M13" s="51">
        <v>-1.4210854715202004E-14</v>
      </c>
      <c r="N13" s="51">
        <v>2846.57</v>
      </c>
      <c r="O13" s="51">
        <v>26755.109999999997</v>
      </c>
    </row>
    <row r="14" spans="1:17" ht="14.25" customHeight="1" x14ac:dyDescent="0.2">
      <c r="A14" s="73">
        <v>629720</v>
      </c>
      <c r="B14" s="62"/>
      <c r="C14" s="50" t="s">
        <v>130</v>
      </c>
      <c r="D14" s="73" t="s">
        <v>344</v>
      </c>
      <c r="E14" s="71"/>
      <c r="F14" s="62"/>
      <c r="G14" s="51">
        <v>766.03</v>
      </c>
      <c r="H14" s="51">
        <v>1133.4000000000001</v>
      </c>
      <c r="I14" s="51">
        <v>40.000000000000007</v>
      </c>
      <c r="J14" s="51">
        <v>487.99999999999994</v>
      </c>
      <c r="K14" s="51">
        <v>298.65999999999997</v>
      </c>
      <c r="L14" s="51">
        <v>93</v>
      </c>
      <c r="M14" s="51">
        <v>187.35000000000002</v>
      </c>
      <c r="N14" s="51">
        <v>303.89999999999998</v>
      </c>
      <c r="O14" s="51">
        <v>3310.3399999999997</v>
      </c>
    </row>
    <row r="15" spans="1:17" ht="14.25" customHeight="1" x14ac:dyDescent="0.2">
      <c r="A15" s="73">
        <v>640125</v>
      </c>
      <c r="B15" s="62"/>
      <c r="C15" s="50" t="s">
        <v>154</v>
      </c>
      <c r="D15" s="73" t="s">
        <v>344</v>
      </c>
      <c r="E15" s="71"/>
      <c r="F15" s="62"/>
      <c r="G15" s="51"/>
      <c r="H15" s="51"/>
      <c r="I15" s="51"/>
      <c r="J15" s="51"/>
      <c r="K15" s="51"/>
      <c r="L15" s="51"/>
      <c r="M15" s="51"/>
      <c r="N15" s="51"/>
      <c r="O15" s="51">
        <v>0</v>
      </c>
    </row>
    <row r="16" spans="1:17" ht="14.25" customHeight="1" x14ac:dyDescent="0.2">
      <c r="A16" s="73">
        <v>642000</v>
      </c>
      <c r="B16" s="62"/>
      <c r="C16" s="50" t="s">
        <v>159</v>
      </c>
      <c r="D16" s="73" t="s">
        <v>344</v>
      </c>
      <c r="E16" s="71"/>
      <c r="F16" s="62"/>
      <c r="G16" s="51">
        <v>13403.619999999995</v>
      </c>
      <c r="H16" s="51">
        <v>21622.07</v>
      </c>
      <c r="I16" s="51">
        <v>77997.459999999992</v>
      </c>
      <c r="J16" s="51">
        <v>110568.78</v>
      </c>
      <c r="K16" s="51">
        <v>0</v>
      </c>
      <c r="L16" s="51">
        <v>0</v>
      </c>
      <c r="M16" s="51">
        <v>0</v>
      </c>
      <c r="N16" s="51">
        <v>3327.38</v>
      </c>
      <c r="O16" s="51">
        <v>226919.31</v>
      </c>
    </row>
    <row r="17" spans="1:15" ht="14.25" customHeight="1" x14ac:dyDescent="0.2">
      <c r="A17" s="73">
        <v>649300</v>
      </c>
      <c r="B17" s="62"/>
      <c r="C17" s="50" t="s">
        <v>174</v>
      </c>
      <c r="D17" s="73" t="s">
        <v>344</v>
      </c>
      <c r="E17" s="71"/>
      <c r="F17" s="62"/>
      <c r="G17" s="51">
        <v>542.80000000000007</v>
      </c>
      <c r="H17" s="51">
        <v>3828.3900000000003</v>
      </c>
      <c r="I17" s="51">
        <v>1599.7</v>
      </c>
      <c r="J17" s="51">
        <v>2348.2199999999998</v>
      </c>
      <c r="K17" s="51">
        <v>1575.99</v>
      </c>
      <c r="L17" s="51">
        <v>416.03</v>
      </c>
      <c r="M17" s="51">
        <v>34.75</v>
      </c>
      <c r="N17" s="51">
        <v>56.47999999999999</v>
      </c>
      <c r="O17" s="51">
        <v>10402.36</v>
      </c>
    </row>
    <row r="18" spans="1:15" ht="14.25" customHeight="1" x14ac:dyDescent="0.2">
      <c r="A18" s="73" t="s">
        <v>345</v>
      </c>
      <c r="B18" s="62"/>
      <c r="C18" s="53" t="s">
        <v>346</v>
      </c>
      <c r="D18" s="73" t="s">
        <v>344</v>
      </c>
      <c r="E18" s="71"/>
      <c r="F18" s="62"/>
      <c r="G18" s="51">
        <v>127.84</v>
      </c>
      <c r="H18" s="51">
        <v>63.86999999999999</v>
      </c>
      <c r="I18" s="51">
        <v>63.86999999999999</v>
      </c>
      <c r="J18" s="51">
        <v>383.39</v>
      </c>
      <c r="K18" s="51">
        <v>191.68</v>
      </c>
      <c r="L18" s="51">
        <v>0</v>
      </c>
      <c r="M18" s="51">
        <v>0</v>
      </c>
      <c r="N18" s="51">
        <v>63.86999999999999</v>
      </c>
      <c r="O18" s="51">
        <v>894.5200000000001</v>
      </c>
    </row>
    <row r="19" spans="1:15" ht="14.25" customHeight="1" x14ac:dyDescent="0.2">
      <c r="A19" s="73" t="s">
        <v>347</v>
      </c>
      <c r="B19" s="62"/>
      <c r="C19" s="53" t="s">
        <v>348</v>
      </c>
      <c r="D19" s="73" t="s">
        <v>344</v>
      </c>
      <c r="E19" s="71"/>
      <c r="F19" s="62"/>
      <c r="G19" s="51"/>
      <c r="H19" s="51"/>
      <c r="I19" s="51"/>
      <c r="J19" s="51"/>
      <c r="K19" s="51"/>
      <c r="L19" s="51"/>
      <c r="M19" s="51"/>
      <c r="N19" s="51"/>
      <c r="O19" s="51"/>
    </row>
    <row r="20" spans="1:15" ht="14.25" customHeight="1" x14ac:dyDescent="0.2">
      <c r="A20" s="73" t="s">
        <v>349</v>
      </c>
      <c r="B20" s="62"/>
      <c r="C20" s="53" t="s">
        <v>350</v>
      </c>
      <c r="D20" s="73" t="s">
        <v>344</v>
      </c>
      <c r="E20" s="71"/>
      <c r="F20" s="62"/>
      <c r="G20" s="51">
        <v>318.85000000000002</v>
      </c>
      <c r="H20" s="51">
        <v>352.35999999999996</v>
      </c>
      <c r="I20" s="51">
        <v>70.36999999999999</v>
      </c>
      <c r="J20" s="51">
        <v>31370.32</v>
      </c>
      <c r="K20" s="51">
        <v>3085.5099999999998</v>
      </c>
      <c r="L20" s="51">
        <v>254.1</v>
      </c>
      <c r="M20" s="51">
        <v>0</v>
      </c>
      <c r="N20" s="51">
        <v>35.230000000000004</v>
      </c>
      <c r="O20" s="51">
        <v>35486.740000000005</v>
      </c>
    </row>
    <row r="21" spans="1:15" ht="14.25" customHeight="1" x14ac:dyDescent="0.2">
      <c r="A21" s="73" t="s">
        <v>351</v>
      </c>
      <c r="B21" s="62"/>
      <c r="C21" s="53" t="s">
        <v>352</v>
      </c>
      <c r="D21" s="73" t="s">
        <v>344</v>
      </c>
      <c r="E21" s="71"/>
      <c r="F21" s="62"/>
      <c r="G21" s="51">
        <v>205.32999999999998</v>
      </c>
      <c r="H21" s="51">
        <v>65948.539999999994</v>
      </c>
      <c r="I21" s="51">
        <v>1178.96</v>
      </c>
      <c r="J21" s="51">
        <v>33482.719999999994</v>
      </c>
      <c r="K21" s="51">
        <v>90684.26</v>
      </c>
      <c r="L21" s="51">
        <v>15668.489999999998</v>
      </c>
      <c r="M21" s="51">
        <v>37.799999999999997</v>
      </c>
      <c r="N21" s="51">
        <v>242.22000000000003</v>
      </c>
      <c r="O21" s="51">
        <v>207448.31999999998</v>
      </c>
    </row>
    <row r="22" spans="1:15" ht="14.25" customHeight="1" x14ac:dyDescent="0.25">
      <c r="G22" s="19">
        <f>SUM(G8:G21)</f>
        <v>31505.779999999995</v>
      </c>
      <c r="H22" s="19">
        <f t="shared" ref="H22:O22" si="0">SUM(H8:H21)</f>
        <v>98759.93</v>
      </c>
      <c r="I22" s="19">
        <f t="shared" si="0"/>
        <v>82890.549999999988</v>
      </c>
      <c r="J22" s="19">
        <f t="shared" si="0"/>
        <v>186969.69</v>
      </c>
      <c r="K22" s="19">
        <f t="shared" si="0"/>
        <v>127712.22000000002</v>
      </c>
      <c r="L22" s="19">
        <f t="shared" si="0"/>
        <v>17679.439999999999</v>
      </c>
      <c r="M22" s="19">
        <f t="shared" si="0"/>
        <v>365.32</v>
      </c>
      <c r="N22" s="19">
        <f t="shared" si="0"/>
        <v>7152.15</v>
      </c>
      <c r="O22" s="19">
        <f t="shared" si="0"/>
        <v>553035.07999999996</v>
      </c>
    </row>
    <row r="23" spans="1:15" ht="14.25" customHeight="1" x14ac:dyDescent="0.25">
      <c r="G23" s="19"/>
      <c r="H23" s="19"/>
      <c r="I23" s="19"/>
      <c r="J23" s="19"/>
      <c r="K23" s="19"/>
      <c r="L23" s="19"/>
      <c r="M23" s="19"/>
      <c r="N23" s="19"/>
      <c r="O23" s="19"/>
    </row>
    <row r="24" spans="1:15" ht="14.25" customHeight="1" x14ac:dyDescent="0.25">
      <c r="G24" s="19"/>
      <c r="H24" s="19"/>
      <c r="I24" s="19"/>
      <c r="J24" s="19"/>
      <c r="K24" s="19"/>
      <c r="L24" s="19"/>
      <c r="M24" s="19"/>
      <c r="N24" s="19"/>
    </row>
    <row r="25" spans="1:15" ht="14.25" customHeight="1" x14ac:dyDescent="0.2"/>
    <row r="26" spans="1:15" ht="44.25" customHeight="1" x14ac:dyDescent="0.2">
      <c r="A26" s="107"/>
      <c r="B26" s="108"/>
      <c r="C26" s="109"/>
      <c r="D26" s="110"/>
      <c r="E26" s="111"/>
      <c r="F26" s="112"/>
    </row>
    <row r="27" spans="1:15" ht="14.25" customHeight="1" x14ac:dyDescent="0.2"/>
    <row r="28" spans="1:15" ht="14.25" customHeight="1" x14ac:dyDescent="0.25">
      <c r="C28" s="17" t="s">
        <v>212</v>
      </c>
    </row>
    <row r="29" spans="1:15" ht="14.25" customHeight="1" x14ac:dyDescent="0.2">
      <c r="C29" s="14" t="s">
        <v>213</v>
      </c>
    </row>
    <row r="30" spans="1:15" ht="14.25" customHeight="1" x14ac:dyDescent="0.2">
      <c r="C30" s="14" t="s">
        <v>214</v>
      </c>
    </row>
    <row r="31" spans="1:15" ht="14.25" customHeight="1" x14ac:dyDescent="0.2">
      <c r="C31" s="14" t="s">
        <v>215</v>
      </c>
    </row>
    <row r="32" spans="1:15" ht="14.25" customHeight="1" x14ac:dyDescent="0.2">
      <c r="C32" s="14" t="s">
        <v>216</v>
      </c>
    </row>
    <row r="33" spans="3:9" ht="14.25" customHeight="1" x14ac:dyDescent="0.2">
      <c r="C33" s="14" t="s">
        <v>217</v>
      </c>
    </row>
    <row r="34" spans="3:9" ht="14.25" customHeight="1" x14ac:dyDescent="0.2">
      <c r="C34" s="14" t="s">
        <v>218</v>
      </c>
    </row>
    <row r="35" spans="3:9" ht="14.25" customHeight="1" x14ac:dyDescent="0.2">
      <c r="C35" s="14" t="s">
        <v>219</v>
      </c>
    </row>
    <row r="36" spans="3:9" ht="14.25" customHeight="1" x14ac:dyDescent="0.2"/>
    <row r="37" spans="3:9" ht="14.25" customHeight="1" x14ac:dyDescent="0.2"/>
    <row r="38" spans="3:9" ht="38.25" customHeight="1" x14ac:dyDescent="0.2">
      <c r="C38" s="42" t="s">
        <v>213</v>
      </c>
      <c r="D38" s="43" t="s">
        <v>334</v>
      </c>
      <c r="E38" s="43">
        <v>1169</v>
      </c>
    </row>
    <row r="39" spans="3:9" ht="24.95" customHeight="1" x14ac:dyDescent="0.2">
      <c r="C39" s="42" t="s">
        <v>214</v>
      </c>
      <c r="D39" s="43" t="s">
        <v>335</v>
      </c>
      <c r="E39" s="43">
        <v>5140.2299999999996</v>
      </c>
    </row>
    <row r="40" spans="3:9" ht="35.25" customHeight="1" x14ac:dyDescent="0.25">
      <c r="C40" s="42" t="s">
        <v>215</v>
      </c>
      <c r="D40" s="43" t="s">
        <v>335</v>
      </c>
      <c r="E40" s="43">
        <v>17829.8</v>
      </c>
      <c r="F40" s="92"/>
      <c r="G40" s="19">
        <f>E40/(H7+J7+(K7*15%)+N7)</f>
        <v>1005.1396775070225</v>
      </c>
      <c r="H40" s="86" t="s">
        <v>375</v>
      </c>
      <c r="I40" t="e" cm="1">
        <f t="array" ref="I40">Plantilla!D1Productos</f>
        <v>#NAME?</v>
      </c>
    </row>
    <row r="41" spans="3:9" ht="24.95" customHeight="1" x14ac:dyDescent="0.2">
      <c r="C41" s="42" t="s">
        <v>216</v>
      </c>
      <c r="D41" s="43" t="s">
        <v>336</v>
      </c>
      <c r="E41" s="43">
        <v>565.54999999999995</v>
      </c>
    </row>
    <row r="42" spans="3:9" ht="24.95" customHeight="1" x14ac:dyDescent="0.2">
      <c r="C42" s="42" t="s">
        <v>217</v>
      </c>
      <c r="D42" s="43" t="s">
        <v>335</v>
      </c>
      <c r="E42" s="43">
        <v>1296.54</v>
      </c>
    </row>
    <row r="43" spans="3:9" ht="24.95" customHeight="1" x14ac:dyDescent="0.2">
      <c r="C43" s="42" t="s">
        <v>218</v>
      </c>
      <c r="D43" s="43" t="s">
        <v>337</v>
      </c>
      <c r="E43" s="43">
        <v>3344.68</v>
      </c>
    </row>
    <row r="44" spans="3:9" ht="24.95" customHeight="1" x14ac:dyDescent="0.2">
      <c r="C44" s="42" t="s">
        <v>219</v>
      </c>
      <c r="D44" s="43" t="s">
        <v>336</v>
      </c>
      <c r="E44" s="43">
        <v>525.33000000000004</v>
      </c>
    </row>
    <row r="45" spans="3:9" ht="14.25" customHeight="1" x14ac:dyDescent="0.2"/>
    <row r="46" spans="3:9" ht="14.25" customHeight="1" x14ac:dyDescent="0.2"/>
    <row r="47" spans="3:9" ht="14.25" customHeight="1" x14ac:dyDescent="0.2"/>
    <row r="48" spans="3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2">
    <mergeCell ref="A5:B5"/>
    <mergeCell ref="D5:F5"/>
    <mergeCell ref="A6:B7"/>
    <mergeCell ref="D6:F7"/>
    <mergeCell ref="A8:B8"/>
    <mergeCell ref="D8:F8"/>
    <mergeCell ref="D9:F9"/>
    <mergeCell ref="A16:B16"/>
    <mergeCell ref="A17:B17"/>
    <mergeCell ref="A18:B18"/>
    <mergeCell ref="A19:B19"/>
    <mergeCell ref="D17:F17"/>
    <mergeCell ref="D18:F18"/>
    <mergeCell ref="D19:F19"/>
    <mergeCell ref="A20:B20"/>
    <mergeCell ref="A21:B21"/>
    <mergeCell ref="A9:B9"/>
    <mergeCell ref="A10:B10"/>
    <mergeCell ref="A11:B11"/>
    <mergeCell ref="A12:B12"/>
    <mergeCell ref="A13:B13"/>
    <mergeCell ref="A14:B14"/>
    <mergeCell ref="A15:B15"/>
    <mergeCell ref="D20:F20"/>
    <mergeCell ref="D21:F21"/>
    <mergeCell ref="D10:F10"/>
    <mergeCell ref="D11:F11"/>
    <mergeCell ref="D12:F12"/>
    <mergeCell ref="D13:F13"/>
    <mergeCell ref="D14:F14"/>
    <mergeCell ref="D15:F15"/>
    <mergeCell ref="D16:F16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9236309-C3A5-42DA-9371-C824D27CF17C}">
          <x14:formula1>
            <xm:f>'Otros datos'!$B$17:$B$18</xm:f>
          </x14:formula1>
          <xm:sqref>D26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1000"/>
  <sheetViews>
    <sheetView workbookViewId="0">
      <selection activeCell="D9" sqref="D9"/>
    </sheetView>
  </sheetViews>
  <sheetFormatPr defaultColWidth="12.625" defaultRowHeight="15" customHeight="1" x14ac:dyDescent="0.2"/>
  <cols>
    <col min="1" max="1" width="9.375" customWidth="1"/>
    <col min="2" max="2" width="29.125" customWidth="1"/>
    <col min="3" max="4" width="9.375" customWidth="1"/>
    <col min="5" max="5" width="13.75" customWidth="1"/>
    <col min="6" max="6" width="15" customWidth="1"/>
    <col min="7" max="26" width="9.375" customWidth="1"/>
  </cols>
  <sheetData>
    <row r="1" spans="2:6" ht="14.25" customHeight="1" x14ac:dyDescent="0.2"/>
    <row r="2" spans="2:6" ht="14.25" customHeight="1" x14ac:dyDescent="0.2"/>
    <row r="3" spans="2:6" ht="14.25" customHeight="1" x14ac:dyDescent="0.2"/>
    <row r="4" spans="2:6" ht="14.25" customHeight="1" x14ac:dyDescent="0.25">
      <c r="B4" s="54" t="s">
        <v>353</v>
      </c>
      <c r="C4" s="55" t="s">
        <v>224</v>
      </c>
      <c r="D4" s="55" t="s">
        <v>354</v>
      </c>
      <c r="E4" s="55" t="s">
        <v>355</v>
      </c>
      <c r="F4" s="56" t="s">
        <v>356</v>
      </c>
    </row>
    <row r="5" spans="2:6" ht="14.25" customHeight="1" x14ac:dyDescent="0.25">
      <c r="B5" s="18" t="s">
        <v>221</v>
      </c>
      <c r="C5" s="19">
        <v>1</v>
      </c>
      <c r="D5" s="19">
        <v>48.868000000000002</v>
      </c>
      <c r="E5" s="19">
        <v>2</v>
      </c>
      <c r="F5" s="57">
        <v>3.5000000000000003E-2</v>
      </c>
    </row>
    <row r="6" spans="2:6" ht="14.25" customHeight="1" x14ac:dyDescent="0.25">
      <c r="B6" s="18" t="s">
        <v>205</v>
      </c>
      <c r="C6" s="19">
        <v>8.5694166666666671</v>
      </c>
      <c r="D6" s="19">
        <v>151.49080000000001</v>
      </c>
      <c r="E6" s="19">
        <v>10</v>
      </c>
      <c r="F6" s="57">
        <v>3.5000000000000003E-2</v>
      </c>
    </row>
    <row r="7" spans="2:6" ht="14.25" customHeight="1" x14ac:dyDescent="0.25">
      <c r="B7" s="18" t="s">
        <v>206</v>
      </c>
      <c r="C7" s="19">
        <v>1</v>
      </c>
      <c r="D7" s="19">
        <v>48.868000000000002</v>
      </c>
      <c r="E7" s="19">
        <v>2</v>
      </c>
      <c r="F7" s="57">
        <v>3.5000000000000003E-2</v>
      </c>
    </row>
    <row r="8" spans="2:6" ht="14.25" customHeight="1" x14ac:dyDescent="0.25">
      <c r="B8" s="20" t="s">
        <v>207</v>
      </c>
      <c r="C8" s="19">
        <v>7.5877499999999998</v>
      </c>
      <c r="D8" s="19">
        <v>212.6645196470906</v>
      </c>
      <c r="E8" s="19">
        <v>10</v>
      </c>
      <c r="F8" s="57">
        <v>0</v>
      </c>
    </row>
    <row r="9" spans="2:6" ht="14.25" customHeight="1" x14ac:dyDescent="0.25">
      <c r="B9" s="18" t="s">
        <v>222</v>
      </c>
      <c r="C9" s="19">
        <v>2</v>
      </c>
      <c r="D9" s="19">
        <v>43.981200000000001</v>
      </c>
      <c r="E9" s="19">
        <v>3</v>
      </c>
      <c r="F9" s="57">
        <v>3.5000000000000003E-2</v>
      </c>
    </row>
    <row r="10" spans="2:6" ht="14.25" customHeight="1" x14ac:dyDescent="0.25">
      <c r="B10" s="18" t="s">
        <v>209</v>
      </c>
      <c r="C10" s="19">
        <v>1</v>
      </c>
      <c r="D10" s="19">
        <v>146.60399999999998</v>
      </c>
      <c r="E10" s="19">
        <v>6</v>
      </c>
      <c r="F10" s="57">
        <v>0.6</v>
      </c>
    </row>
    <row r="11" spans="2:6" ht="14.25" customHeight="1" x14ac:dyDescent="0.25">
      <c r="B11" s="18" t="s">
        <v>210</v>
      </c>
      <c r="C11" s="19">
        <v>3.8764166666666662</v>
      </c>
      <c r="D11" s="19">
        <v>87.356527086388255</v>
      </c>
      <c r="E11" s="19">
        <v>6</v>
      </c>
      <c r="F11" s="57">
        <v>0.13</v>
      </c>
    </row>
    <row r="12" spans="2:6" ht="14.25" customHeight="1" x14ac:dyDescent="0.25">
      <c r="B12" s="18" t="s">
        <v>211</v>
      </c>
      <c r="C12" s="19">
        <v>1</v>
      </c>
      <c r="D12" s="19">
        <v>24.434000000000001</v>
      </c>
      <c r="E12" s="19">
        <v>1</v>
      </c>
      <c r="F12" s="57">
        <v>0.13</v>
      </c>
    </row>
    <row r="13" spans="2:6" ht="14.25" customHeight="1" x14ac:dyDescent="0.25">
      <c r="C13" s="19">
        <v>26.033583333333336</v>
      </c>
      <c r="D13" s="19">
        <f t="shared" ref="D13:F13" si="0">SUM(D5:D12)</f>
        <v>764.26704673347876</v>
      </c>
      <c r="E13" s="19">
        <f t="shared" si="0"/>
        <v>40</v>
      </c>
      <c r="F13" s="57">
        <f t="shared" si="0"/>
        <v>1</v>
      </c>
    </row>
    <row r="14" spans="2:6" ht="14.25" customHeight="1" x14ac:dyDescent="0.2"/>
    <row r="15" spans="2:6" ht="14.25" customHeight="1" x14ac:dyDescent="0.2"/>
    <row r="16" spans="2:6" ht="14.25" customHeight="1" x14ac:dyDescent="0.25">
      <c r="B16" s="84" t="s">
        <v>359</v>
      </c>
    </row>
    <row r="17" spans="2:2" ht="14.25" customHeight="1" x14ac:dyDescent="0.25">
      <c r="B17" s="84" t="s">
        <v>358</v>
      </c>
    </row>
    <row r="18" spans="2:2" ht="14.25" customHeight="1" x14ac:dyDescent="0.25">
      <c r="B18" s="84" t="s">
        <v>357</v>
      </c>
    </row>
    <row r="19" spans="2:2" ht="14.25" customHeight="1" x14ac:dyDescent="0.25">
      <c r="B19" s="84"/>
    </row>
    <row r="20" spans="2:2" ht="14.25" customHeight="1" x14ac:dyDescent="0.25">
      <c r="B20" s="84"/>
    </row>
    <row r="21" spans="2:2" ht="14.25" customHeight="1" x14ac:dyDescent="0.25">
      <c r="B21" s="84"/>
    </row>
    <row r="22" spans="2:2" ht="14.25" customHeight="1" x14ac:dyDescent="0.25">
      <c r="B22" s="84"/>
    </row>
    <row r="23" spans="2:2" ht="14.25" customHeight="1" x14ac:dyDescent="0.25">
      <c r="B23" s="84"/>
    </row>
    <row r="24" spans="2:2" ht="14.25" customHeight="1" x14ac:dyDescent="0.2"/>
    <row r="25" spans="2:2" ht="14.25" customHeight="1" x14ac:dyDescent="0.2"/>
    <row r="26" spans="2:2" ht="14.25" customHeight="1" x14ac:dyDescent="0.2"/>
    <row r="27" spans="2:2" ht="14.25" customHeight="1" x14ac:dyDescent="0.2"/>
    <row r="28" spans="2:2" ht="14.25" customHeight="1" x14ac:dyDescent="0.2"/>
    <row r="29" spans="2:2" ht="14.25" customHeight="1" x14ac:dyDescent="0.2"/>
    <row r="30" spans="2:2" ht="14.25" customHeight="1" x14ac:dyDescent="0.2"/>
    <row r="31" spans="2:2" ht="14.25" customHeight="1" x14ac:dyDescent="0.2"/>
    <row r="32" spans="2: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9</vt:i4>
      </vt:variant>
    </vt:vector>
  </HeadingPairs>
  <TitlesOfParts>
    <vt:vector size="9" baseType="lpstr">
      <vt:lpstr>Cuentas y asignaciones</vt:lpstr>
      <vt:lpstr>Organigrama</vt:lpstr>
      <vt:lpstr>Servicios</vt:lpstr>
      <vt:lpstr>Actividades</vt:lpstr>
      <vt:lpstr>Plantilla</vt:lpstr>
      <vt:lpstr>Asignación Actividades Directas</vt:lpstr>
      <vt:lpstr>Volumen Servicios</vt:lpstr>
      <vt:lpstr>Datos Ctbl</vt:lpstr>
      <vt:lpstr>Otros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Sanabria Rivero</dc:creator>
  <cp:lastModifiedBy>Oriol puig i Carreró</cp:lastModifiedBy>
  <dcterms:created xsi:type="dcterms:W3CDTF">2021-05-10T14:19:29Z</dcterms:created>
  <dcterms:modified xsi:type="dcterms:W3CDTF">2024-02-27T20:00:14Z</dcterms:modified>
</cp:coreProperties>
</file>