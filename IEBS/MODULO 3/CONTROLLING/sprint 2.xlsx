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CONTROLLING/"/>
    </mc:Choice>
  </mc:AlternateContent>
  <xr:revisionPtr revIDLastSave="299" documentId="8_{81069D38-D3C2-43DF-A5E4-8FC73EA58914}" xr6:coauthVersionLast="47" xr6:coauthVersionMax="47" xr10:uidLastSave="{A3596B82-3E1A-453B-9163-32F74567235D}"/>
  <bookViews>
    <workbookView xWindow="-120" yWindow="-120" windowWidth="29040" windowHeight="15720" xr2:uid="{00000000-000D-0000-FFFF-FFFF00000000}"/>
  </bookViews>
  <sheets>
    <sheet name="Respuesta Sprint 2" sheetId="1" r:id="rId1"/>
    <sheet name="Empresas compar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F25" i="1"/>
  <c r="F24" i="1"/>
  <c r="F23" i="1"/>
  <c r="F22" i="1"/>
  <c r="F21" i="1"/>
  <c r="F20" i="1"/>
  <c r="F19" i="1"/>
  <c r="H8" i="1"/>
  <c r="H6" i="1"/>
  <c r="H7" i="1"/>
  <c r="H5" i="1"/>
  <c r="C127" i="2"/>
  <c r="F119" i="2"/>
  <c r="F120" i="2"/>
  <c r="F121" i="2"/>
  <c r="F122" i="2"/>
  <c r="F123" i="2"/>
  <c r="F124" i="2"/>
  <c r="F118" i="2"/>
  <c r="J13" i="2"/>
  <c r="N13" i="2"/>
  <c r="M13" i="2"/>
  <c r="L13" i="2"/>
  <c r="J29" i="2"/>
  <c r="J45" i="2"/>
  <c r="J61" i="2"/>
  <c r="J77" i="2"/>
  <c r="J92" i="2"/>
  <c r="J108" i="2"/>
  <c r="N29" i="2"/>
  <c r="M29" i="2"/>
  <c r="L29" i="2"/>
  <c r="N45" i="2"/>
  <c r="M45" i="2"/>
  <c r="L45" i="2"/>
  <c r="N61" i="2"/>
  <c r="M61" i="2"/>
  <c r="L61" i="2"/>
  <c r="N108" i="2"/>
  <c r="M108" i="2"/>
  <c r="L108" i="2"/>
  <c r="N92" i="2"/>
  <c r="M92" i="2"/>
  <c r="L92" i="2"/>
  <c r="M77" i="2"/>
  <c r="N77" i="2"/>
  <c r="B15" i="1"/>
  <c r="C15" i="1" s="1"/>
  <c r="J6" i="1"/>
  <c r="J7" i="1"/>
  <c r="J8" i="1"/>
  <c r="J5" i="1"/>
  <c r="L77" i="2"/>
  <c r="I9" i="1"/>
  <c r="G9" i="1"/>
  <c r="F9" i="1"/>
  <c r="E9" i="1"/>
  <c r="D9" i="1"/>
  <c r="C9" i="1"/>
  <c r="H9" i="1" l="1"/>
  <c r="J9" i="1"/>
</calcChain>
</file>

<file path=xl/sharedStrings.xml><?xml version="1.0" encoding="utf-8"?>
<sst xmlns="http://schemas.openxmlformats.org/spreadsheetml/2006/main" count="228" uniqueCount="74">
  <si>
    <t>Coste Adquisición</t>
  </si>
  <si>
    <t>Amortización del ejercicio</t>
  </si>
  <si>
    <t>Valor contable fin de ejercicio</t>
  </si>
  <si>
    <t>Servidor 1</t>
  </si>
  <si>
    <t>Servidor 2</t>
  </si>
  <si>
    <t>Servidor 3</t>
  </si>
  <si>
    <t>Servidor 4</t>
  </si>
  <si>
    <t>Costes financieros</t>
  </si>
  <si>
    <t>Resto de gastos imputables</t>
  </si>
  <si>
    <t>Precio alquiler ofertado</t>
  </si>
  <si>
    <t>Turnover</t>
  </si>
  <si>
    <t>n.a.</t>
  </si>
  <si>
    <t>Cost of goods sold</t>
  </si>
  <si>
    <t>Gross profit</t>
  </si>
  <si>
    <t>Other operating expenses</t>
  </si>
  <si>
    <t>Operating P/L</t>
  </si>
  <si>
    <t>Total fixed assets</t>
  </si>
  <si>
    <t>Intangible fixed assets</t>
  </si>
  <si>
    <t>Stocks</t>
  </si>
  <si>
    <t>Debtors</t>
  </si>
  <si>
    <t>Cash</t>
  </si>
  <si>
    <t>Total assets</t>
  </si>
  <si>
    <t>Creditors</t>
  </si>
  <si>
    <t>EMPRESA 1</t>
  </si>
  <si>
    <t>EMPRESA 2</t>
  </si>
  <si>
    <t>EMPRESA 3</t>
  </si>
  <si>
    <t>EMPRESA 4</t>
  </si>
  <si>
    <t>EMPRESA 5</t>
  </si>
  <si>
    <t>EMPRESA 6</t>
  </si>
  <si>
    <t>EMPESA 7</t>
  </si>
  <si>
    <t>EMPRESAS QUE PRESTAN SERVICIOS DE ARRENDAMIENTO DE EQUIPOS INFORMÁTICOS</t>
  </si>
  <si>
    <t>ROA</t>
  </si>
  <si>
    <t>rotacion</t>
  </si>
  <si>
    <t>coste del os bienens vendidos</t>
  </si>
  <si>
    <t>Beneficio bruto</t>
  </si>
  <si>
    <t>Otros gastos operacionales</t>
  </si>
  <si>
    <t>P/L oprativa</t>
  </si>
  <si>
    <t>Activos fijos totales</t>
  </si>
  <si>
    <t>Activos fijos intangibles</t>
  </si>
  <si>
    <t>Existencias</t>
  </si>
  <si>
    <t>Deudores</t>
  </si>
  <si>
    <t>Efectivo</t>
  </si>
  <si>
    <t>Activos totales</t>
  </si>
  <si>
    <t>Amortitzacion es a 20 años</t>
  </si>
  <si>
    <t>amortizo en 4 años</t>
  </si>
  <si>
    <t>Conclusiones</t>
  </si>
  <si>
    <t>ROA MEDIO</t>
  </si>
  <si>
    <t>ROA 2018</t>
  </si>
  <si>
    <t>ROA 2016</t>
  </si>
  <si>
    <t>ROA 2017</t>
  </si>
  <si>
    <t>MEDIA</t>
  </si>
  <si>
    <t>Empresa 1</t>
  </si>
  <si>
    <t>Empresa 2</t>
  </si>
  <si>
    <t>Empresa 3</t>
  </si>
  <si>
    <t>Empresa 4</t>
  </si>
  <si>
    <t>Empresa 5</t>
  </si>
  <si>
    <t>Empresa 6</t>
  </si>
  <si>
    <t>Empresa 7</t>
  </si>
  <si>
    <t>-</t>
  </si>
  <si>
    <t>Minim</t>
  </si>
  <si>
    <t>Maxim</t>
  </si>
  <si>
    <t>2nd valor mas grand</t>
  </si>
  <si>
    <t>2nd valor más pequeño</t>
  </si>
  <si>
    <t>ROA empresa  GESTIN</t>
  </si>
  <si>
    <t>Valor medio competencia</t>
  </si>
  <si>
    <t>Estariamos dentro del valor razonable.</t>
  </si>
  <si>
    <t>Con este metodo y en este caso no deberia porque afectar el resto de gastos imutables, al no ser que fueran extramaremente elevados y tuvieramos que ver reflejado en el precio de alquiler del equipo.</t>
  </si>
  <si>
    <t>Determinar si el precio de alquiler que se ha ofertado puede considerarse como un precio de mercado.</t>
  </si>
  <si>
    <t>Indicar qué método se ha escogido para llegar a la respuesta aportada. </t>
  </si>
  <si>
    <t>Razonar y argumentar si el criterio seguido para la imputación de “Resto de gastos imputables” puede afectar a la decisión final o no.</t>
  </si>
  <si>
    <t>Valor mayor dentro franja</t>
  </si>
  <si>
    <t>Valor menor dentro la frnaja</t>
  </si>
  <si>
    <t>Modo ejemplo</t>
  </si>
  <si>
    <t>ROA GESTIN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</si>
</sst>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"/>
    <numFmt numFmtId="165" formatCode="_-* #,##0_-;\-* #,##0_-;_-* &quot;-&quot;??_-;_-@_-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name val="Arial"/>
      <family val="2"/>
    </font>
    <font>
      <sz val="7"/>
      <color theme="1"/>
      <name val="Verdana"/>
      <family val="2"/>
    </font>
    <font>
      <sz val="7"/>
      <color theme="1"/>
      <name val="Times New Roman"/>
      <family val="1"/>
    </font>
    <font>
      <sz val="6.5"/>
      <color theme="1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333333"/>
      <name val="Arial"/>
      <family val="2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6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9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2" borderId="12" xfId="0" applyFont="1" applyFill="1" applyBorder="1" applyAlignment="1">
      <alignment horizontal="left" vertical="center"/>
    </xf>
    <xf numFmtId="10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3" borderId="0" xfId="1" applyNumberFormat="1" applyFont="1" applyFill="1" applyAlignment="1">
      <alignment horizontal="center"/>
    </xf>
    <xf numFmtId="10" fontId="0" fillId="2" borderId="0" xfId="1" applyNumberFormat="1" applyFont="1" applyFill="1" applyAlignment="1">
      <alignment horizontal="center"/>
    </xf>
    <xf numFmtId="10" fontId="0" fillId="4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3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4" fillId="0" borderId="2" xfId="0" applyFont="1" applyBorder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2" applyNumberFormat="1" applyFont="1" applyAlignment="1">
      <alignment vertical="center"/>
    </xf>
    <xf numFmtId="0" fontId="0" fillId="0" borderId="4" xfId="0" applyBorder="1" applyAlignment="1">
      <alignment vertical="center"/>
    </xf>
    <xf numFmtId="4" fontId="0" fillId="0" borderId="6" xfId="0" applyNumberForma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5" xfId="0" applyBorder="1" applyAlignment="1">
      <alignment vertical="center"/>
    </xf>
    <xf numFmtId="4" fontId="3" fillId="0" borderId="7" xfId="0" applyNumberFormat="1" applyFont="1" applyBorder="1" applyAlignment="1">
      <alignment vertical="center"/>
    </xf>
    <xf numFmtId="4" fontId="2" fillId="0" borderId="7" xfId="0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44" fontId="0" fillId="0" borderId="0" xfId="3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4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">
    <cellStyle name="Coma" xfId="2" builtinId="3"/>
    <cellStyle name="Moneda" xfId="3" builtinId="4"/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837240</xdr:colOff>
      <xdr:row>36</xdr:row>
      <xdr:rowOff>18176</xdr:rowOff>
    </xdr:from>
    <xdr:to>
      <xdr:col>7</xdr:col>
      <xdr:colOff>87282</xdr:colOff>
      <xdr:row>39</xdr:row>
      <xdr:rowOff>166032</xdr:rowOff>
    </xdr:to>
    <xdr:sp macro="" textlink="">
      <xdr:nvSpPr>
        <xdr:cNvPr id="2" name="QuadreDeText 1">
          <a:extLst>
            <a:ext uri="{FF2B5EF4-FFF2-40B4-BE49-F238E27FC236}">
              <a16:creationId xmlns:a16="http://schemas.microsoft.com/office/drawing/2014/main" id="{FFDB6783-21D9-1607-F873-52875DC2C311}"/>
            </a:ext>
          </a:extLst>
        </xdr:cNvPr>
        <xdr:cNvSpPr txBox="1"/>
      </xdr:nvSpPr>
      <xdr:spPr>
        <a:xfrm>
          <a:off x="837240" y="7734300"/>
          <a:ext cx="5489354" cy="777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Selección metodologia : Metodo del Margen Neto. Por la naturleza de la</a:t>
          </a:r>
          <a:r>
            <a:rPr lang="ca-ES" sz="1100" baseline="0"/>
            <a:t> transaccion creemos que el más oportuno.</a:t>
          </a:r>
        </a:p>
        <a:p>
          <a:r>
            <a:rPr lang="ca-ES" sz="1100" baseline="0"/>
            <a:t>De haber sido una actividad una comercializacion , producció hubieramos tenido en cuenta otros metodos como els MRP, MCI o MDR.</a:t>
          </a:r>
          <a:endParaRPr lang="ca-ES" sz="1100"/>
        </a:p>
        <a:p>
          <a:endParaRPr lang="ca-ES" sz="1100"/>
        </a:p>
      </xdr:txBody>
    </xdr:sp>
    <xdr:clientData/>
  </xdr:twoCellAnchor>
  <xdr:twoCellAnchor>
    <xdr:from>
      <xdr:col>5</xdr:col>
      <xdr:colOff>45599</xdr:colOff>
      <xdr:row>10</xdr:row>
      <xdr:rowOff>181605</xdr:rowOff>
    </xdr:from>
    <xdr:to>
      <xdr:col>12</xdr:col>
      <xdr:colOff>209725</xdr:colOff>
      <xdr:row>14</xdr:row>
      <xdr:rowOff>100965</xdr:rowOff>
    </xdr:to>
    <xdr:sp macro="" textlink="">
      <xdr:nvSpPr>
        <xdr:cNvPr id="3" name="QuadreDeText 2">
          <a:extLst>
            <a:ext uri="{FF2B5EF4-FFF2-40B4-BE49-F238E27FC236}">
              <a16:creationId xmlns:a16="http://schemas.microsoft.com/office/drawing/2014/main" id="{14705222-5402-0AC7-5FF7-CED60BFA0358}"/>
            </a:ext>
          </a:extLst>
        </xdr:cNvPr>
        <xdr:cNvSpPr txBox="1"/>
      </xdr:nvSpPr>
      <xdr:spPr>
        <a:xfrm>
          <a:off x="4362434" y="2584701"/>
          <a:ext cx="5905341" cy="723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Indicador sera ROA</a:t>
          </a:r>
        </a:p>
        <a:p>
          <a:r>
            <a:rPr lang="ca-ES" sz="1100"/>
            <a:t>Permite evaluar el retonorno obtenido por entidades involucradas en el arrendamiento de equipos y  activos, al medir el beneficio de explotacion en funcion de los activos involucrados en la transacción.</a:t>
          </a:r>
        </a:p>
      </xdr:txBody>
    </xdr:sp>
    <xdr:clientData/>
  </xdr:twoCellAnchor>
  <xdr:twoCellAnchor>
    <xdr:from>
      <xdr:col>0</xdr:col>
      <xdr:colOff>833516</xdr:colOff>
      <xdr:row>32</xdr:row>
      <xdr:rowOff>46384</xdr:rowOff>
    </xdr:from>
    <xdr:to>
      <xdr:col>6</xdr:col>
      <xdr:colOff>794158</xdr:colOff>
      <xdr:row>33</xdr:row>
      <xdr:rowOff>176379</xdr:rowOff>
    </xdr:to>
    <xdr:sp macro="" textlink="">
      <xdr:nvSpPr>
        <xdr:cNvPr id="4" name="QuadreDeText 3">
          <a:extLst>
            <a:ext uri="{FF2B5EF4-FFF2-40B4-BE49-F238E27FC236}">
              <a16:creationId xmlns:a16="http://schemas.microsoft.com/office/drawing/2014/main" id="{F7EE0FEF-C673-18BF-266D-F06B8C9BA64A}"/>
            </a:ext>
          </a:extLst>
        </xdr:cNvPr>
        <xdr:cNvSpPr txBox="1"/>
      </xdr:nvSpPr>
      <xdr:spPr>
        <a:xfrm>
          <a:off x="833516" y="6897393"/>
          <a:ext cx="5116376" cy="357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a-ES" sz="1100"/>
            <a:t>Conclusiones : Estariamos dentro del valor razonable.</a:t>
          </a:r>
        </a:p>
      </xdr:txBody>
    </xdr:sp>
    <xdr:clientData/>
  </xdr:twoCellAnchor>
  <xdr:twoCellAnchor>
    <xdr:from>
      <xdr:col>1</xdr:col>
      <xdr:colOff>13248</xdr:colOff>
      <xdr:row>42</xdr:row>
      <xdr:rowOff>97157</xdr:rowOff>
    </xdr:from>
    <xdr:to>
      <xdr:col>7</xdr:col>
      <xdr:colOff>206299</xdr:colOff>
      <xdr:row>46</xdr:row>
      <xdr:rowOff>174772</xdr:rowOff>
    </xdr:to>
    <xdr:sp macro="" textlink="">
      <xdr:nvSpPr>
        <xdr:cNvPr id="7" name="QuadreDeText 6">
          <a:extLst>
            <a:ext uri="{FF2B5EF4-FFF2-40B4-BE49-F238E27FC236}">
              <a16:creationId xmlns:a16="http://schemas.microsoft.com/office/drawing/2014/main" id="{EF4524AB-F976-7E76-66E5-6B3A40A544C9}"/>
            </a:ext>
          </a:extLst>
        </xdr:cNvPr>
        <xdr:cNvSpPr txBox="1"/>
      </xdr:nvSpPr>
      <xdr:spPr>
        <a:xfrm>
          <a:off x="852147" y="9062891"/>
          <a:ext cx="5593464" cy="88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a-ES"/>
            <a:t>Sí,  los gastos imputables afectan directamente el calculo del margen neto. Los gastos imputables son costes que se asignan directamente a un producto o servicio. Pueden ser de produccion, comercialización... Al calcular el margen neto, debemos incluir todos los gastos imputables para conocer la  rentabilidad de ese producto  y/o servicio. </a:t>
          </a:r>
          <a:endParaRPr lang="ca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42"/>
  <sheetViews>
    <sheetView tabSelected="1" topLeftCell="A3" zoomScale="128" workbookViewId="0">
      <selection activeCell="K19" sqref="K19"/>
    </sheetView>
  </sheetViews>
  <sheetFormatPr defaultColWidth="11" defaultRowHeight="15.6" x14ac:dyDescent="0.3"/>
  <cols>
    <col min="1" max="2" width="11" style="22"/>
    <col min="3" max="3" width="11.8984375" style="22" bestFit="1" customWidth="1"/>
    <col min="4" max="4" width="11.69921875" style="22" customWidth="1"/>
    <col min="5" max="6" width="11" style="22"/>
    <col min="7" max="7" width="14.19921875" style="22" bestFit="1" customWidth="1"/>
    <col min="8" max="8" width="5.59765625" style="22" customWidth="1"/>
    <col min="9" max="11" width="11" style="22"/>
    <col min="12" max="12" width="11.5" style="22" bestFit="1" customWidth="1"/>
    <col min="13" max="16384" width="11" style="22"/>
  </cols>
  <sheetData>
    <row r="4" spans="2:12" ht="46.8" x14ac:dyDescent="0.3">
      <c r="C4" s="23" t="s">
        <v>0</v>
      </c>
      <c r="D4" s="23" t="s">
        <v>1</v>
      </c>
      <c r="E4" s="23" t="s">
        <v>2</v>
      </c>
      <c r="F4" s="24" t="s">
        <v>7</v>
      </c>
      <c r="G4" s="24" t="s">
        <v>8</v>
      </c>
      <c r="I4" s="25" t="s">
        <v>9</v>
      </c>
    </row>
    <row r="5" spans="2:12" x14ac:dyDescent="0.3">
      <c r="B5" s="26" t="s">
        <v>3</v>
      </c>
      <c r="C5" s="27">
        <v>150947.88</v>
      </c>
      <c r="D5" s="27">
        <v>-7547.39</v>
      </c>
      <c r="E5" s="27">
        <v>132079.39000000001</v>
      </c>
      <c r="F5" s="28">
        <v>4431.95</v>
      </c>
      <c r="G5" s="27">
        <v>3668.85</v>
      </c>
      <c r="H5" s="29">
        <f>G5/C5</f>
        <v>2.4305409257817996E-2</v>
      </c>
      <c r="I5" s="27">
        <v>30000</v>
      </c>
      <c r="J5" s="29">
        <f>I5/C5</f>
        <v>0.19874409630661921</v>
      </c>
      <c r="L5" s="30"/>
    </row>
    <row r="6" spans="2:12" x14ac:dyDescent="0.3">
      <c r="B6" s="31" t="s">
        <v>4</v>
      </c>
      <c r="C6" s="32">
        <v>153940.44</v>
      </c>
      <c r="D6" s="32">
        <v>-7697.02</v>
      </c>
      <c r="E6" s="32">
        <v>139829.23000000001</v>
      </c>
      <c r="F6" s="33">
        <v>5031.4399999999996</v>
      </c>
      <c r="G6" s="32">
        <v>3668.85</v>
      </c>
      <c r="H6" s="29">
        <f t="shared" ref="H6:H9" si="0">G6/C6</f>
        <v>2.3832918757410334E-2</v>
      </c>
      <c r="I6" s="32">
        <v>30000</v>
      </c>
      <c r="J6" s="29">
        <f t="shared" ref="J6:J8" si="1">I6/C6</f>
        <v>0.19488056549662974</v>
      </c>
      <c r="L6" s="30"/>
    </row>
    <row r="7" spans="2:12" x14ac:dyDescent="0.3">
      <c r="B7" s="31" t="s">
        <v>5</v>
      </c>
      <c r="C7" s="32">
        <v>182110.41</v>
      </c>
      <c r="D7" s="32">
        <v>-9105.52</v>
      </c>
      <c r="E7" s="32">
        <v>169969.72</v>
      </c>
      <c r="F7" s="33">
        <v>6076.84</v>
      </c>
      <c r="G7" s="32">
        <v>3668.85</v>
      </c>
      <c r="H7" s="29">
        <f t="shared" si="0"/>
        <v>2.0146294767004257E-2</v>
      </c>
      <c r="I7" s="32">
        <v>30000</v>
      </c>
      <c r="J7" s="29">
        <f t="shared" si="1"/>
        <v>0.16473522848034883</v>
      </c>
      <c r="L7" s="30"/>
    </row>
    <row r="8" spans="2:12" x14ac:dyDescent="0.3">
      <c r="B8" s="31" t="s">
        <v>6</v>
      </c>
      <c r="C8" s="32">
        <v>183200.25</v>
      </c>
      <c r="D8" s="32">
        <v>-9160.01</v>
      </c>
      <c r="E8" s="32">
        <v>171750.23</v>
      </c>
      <c r="F8" s="33">
        <v>3294.72</v>
      </c>
      <c r="G8" s="32">
        <v>3668.85</v>
      </c>
      <c r="H8" s="29">
        <f>G8/C8</f>
        <v>2.0026446470460601E-2</v>
      </c>
      <c r="I8" s="32">
        <v>30000</v>
      </c>
      <c r="J8" s="29">
        <f t="shared" si="1"/>
        <v>0.16375523505017051</v>
      </c>
      <c r="L8" s="30"/>
    </row>
    <row r="9" spans="2:12" x14ac:dyDescent="0.3">
      <c r="B9" s="34"/>
      <c r="C9" s="35">
        <f>SUM(C5:C8)</f>
        <v>670198.98</v>
      </c>
      <c r="D9" s="35">
        <f>SUM(D5:D8)</f>
        <v>-33509.94</v>
      </c>
      <c r="E9" s="35">
        <f>SUM(E5:E8)</f>
        <v>613628.56999999995</v>
      </c>
      <c r="F9" s="35">
        <f>SUM(F5:F8)</f>
        <v>18834.95</v>
      </c>
      <c r="G9" s="36">
        <f>SUM(G5:G8)</f>
        <v>14675.4</v>
      </c>
      <c r="H9" s="29">
        <f t="shared" si="0"/>
        <v>2.1897078983916091E-2</v>
      </c>
      <c r="I9" s="36">
        <f>SUM(I5:I8)</f>
        <v>120000</v>
      </c>
      <c r="J9" s="29">
        <f>I9/C9</f>
        <v>0.17905130204763964</v>
      </c>
    </row>
    <row r="10" spans="2:12" x14ac:dyDescent="0.3">
      <c r="F10" s="37"/>
      <c r="G10" s="37"/>
      <c r="H10" s="37"/>
      <c r="I10" s="37"/>
      <c r="J10" s="38"/>
    </row>
    <row r="11" spans="2:12" x14ac:dyDescent="0.3">
      <c r="F11" s="37"/>
      <c r="G11" s="37"/>
      <c r="H11" s="37"/>
      <c r="I11" s="37"/>
      <c r="J11" s="37"/>
    </row>
    <row r="12" spans="2:12" x14ac:dyDescent="0.3">
      <c r="B12" s="22" t="s">
        <v>73</v>
      </c>
      <c r="C12" s="39">
        <v>6.2399999999999997E-2</v>
      </c>
      <c r="D12" s="22" t="s">
        <v>72</v>
      </c>
      <c r="F12" s="37"/>
      <c r="G12" s="37"/>
      <c r="H12" s="37"/>
      <c r="I12" s="37"/>
      <c r="J12" s="37"/>
    </row>
    <row r="13" spans="2:12" x14ac:dyDescent="0.3">
      <c r="F13" s="37"/>
      <c r="G13" s="37"/>
      <c r="H13" s="37"/>
      <c r="I13" s="37"/>
      <c r="J13" s="37"/>
    </row>
    <row r="14" spans="2:12" x14ac:dyDescent="0.3">
      <c r="B14" s="22">
        <v>7547.39</v>
      </c>
      <c r="C14" s="22" t="s">
        <v>43</v>
      </c>
    </row>
    <row r="15" spans="2:12" x14ac:dyDescent="0.3">
      <c r="B15" s="37">
        <f>I5+(D5*-1)</f>
        <v>37547.39</v>
      </c>
      <c r="C15" s="30">
        <f>C5/B15</f>
        <v>4.0201963438737023</v>
      </c>
      <c r="D15" s="22" t="s">
        <v>44</v>
      </c>
      <c r="F15" s="37"/>
      <c r="G15" s="40"/>
    </row>
    <row r="18" spans="2:15" x14ac:dyDescent="0.3">
      <c r="B18" s="50" t="s">
        <v>31</v>
      </c>
      <c r="C18" s="51">
        <v>2018</v>
      </c>
      <c r="D18" s="51">
        <v>2017</v>
      </c>
      <c r="E18" s="51">
        <v>2016</v>
      </c>
      <c r="F18" s="51" t="s">
        <v>50</v>
      </c>
    </row>
    <row r="19" spans="2:15" x14ac:dyDescent="0.3">
      <c r="B19" s="52" t="s">
        <v>51</v>
      </c>
      <c r="C19" s="53">
        <v>7.9025923016496469E-2</v>
      </c>
      <c r="D19" s="53">
        <v>8.2877697841726619E-2</v>
      </c>
      <c r="E19" s="54" t="s">
        <v>58</v>
      </c>
      <c r="F19" s="55">
        <f>AVERAGE(C19:E19)</f>
        <v>8.0951810429111537E-2</v>
      </c>
    </row>
    <row r="20" spans="2:15" x14ac:dyDescent="0.3">
      <c r="B20" s="52" t="s">
        <v>52</v>
      </c>
      <c r="C20" s="56">
        <v>9.4377510040160636E-2</v>
      </c>
      <c r="D20" s="57">
        <v>0.14814814814814814</v>
      </c>
      <c r="E20" s="53">
        <v>4.7872340425531915E-2</v>
      </c>
      <c r="F20" s="55">
        <f t="shared" ref="F20:F25" si="2">AVERAGE(C20:E20)</f>
        <v>9.679933287128023E-2</v>
      </c>
    </row>
    <row r="21" spans="2:15" x14ac:dyDescent="0.3">
      <c r="B21" s="52" t="s">
        <v>53</v>
      </c>
      <c r="C21" s="53">
        <v>2.5990099009900989E-2</v>
      </c>
      <c r="D21" s="58">
        <v>2.1934197407776669E-2</v>
      </c>
      <c r="E21" s="53">
        <v>3.1865042174320526E-2</v>
      </c>
      <c r="F21" s="55">
        <f t="shared" si="2"/>
        <v>2.6596446197332729E-2</v>
      </c>
    </row>
    <row r="22" spans="2:15" x14ac:dyDescent="0.3">
      <c r="B22" s="52" t="s">
        <v>54</v>
      </c>
      <c r="C22" s="53">
        <v>7.5503355704697989E-2</v>
      </c>
      <c r="D22" s="53">
        <v>4.1894353369763208E-2</v>
      </c>
      <c r="E22" s="53">
        <v>6.4030131826741998E-2</v>
      </c>
      <c r="F22" s="55">
        <f t="shared" si="2"/>
        <v>6.0475946967067734E-2</v>
      </c>
    </row>
    <row r="23" spans="2:15" x14ac:dyDescent="0.3">
      <c r="B23" s="52" t="s">
        <v>55</v>
      </c>
      <c r="C23" s="53">
        <v>4.9214659685863874E-2</v>
      </c>
      <c r="D23" s="54">
        <v>1.2154696132596685E-2</v>
      </c>
      <c r="E23" s="57">
        <v>-2.4444444444444446E-2</v>
      </c>
      <c r="F23" s="55">
        <f t="shared" si="2"/>
        <v>1.2308303791338704E-2</v>
      </c>
    </row>
    <row r="24" spans="2:15" x14ac:dyDescent="0.3">
      <c r="B24" s="52" t="s">
        <v>56</v>
      </c>
      <c r="C24" s="56">
        <v>2.1276595744680851E-2</v>
      </c>
      <c r="D24" s="54">
        <v>0.10416666666666667</v>
      </c>
      <c r="E24" s="54">
        <v>0.11904761904761904</v>
      </c>
      <c r="F24" s="55">
        <f t="shared" si="2"/>
        <v>8.1496960486322184E-2</v>
      </c>
    </row>
    <row r="25" spans="2:15" x14ac:dyDescent="0.3">
      <c r="B25" s="52" t="s">
        <v>57</v>
      </c>
      <c r="C25" s="54">
        <v>1.532567049808429E-2</v>
      </c>
      <c r="D25" s="54">
        <v>0.18947368421052632</v>
      </c>
      <c r="E25" s="54">
        <v>0.125</v>
      </c>
      <c r="F25" s="55">
        <f t="shared" si="2"/>
        <v>0.10993311823620354</v>
      </c>
    </row>
    <row r="26" spans="2:15" x14ac:dyDescent="0.3">
      <c r="B26" s="41"/>
      <c r="C26" s="42"/>
      <c r="D26" s="42"/>
      <c r="E26" s="42"/>
      <c r="F26" s="42"/>
    </row>
    <row r="27" spans="2:15" x14ac:dyDescent="0.3">
      <c r="B27" s="59" t="s">
        <v>63</v>
      </c>
      <c r="C27" s="59"/>
      <c r="D27" s="43">
        <v>6.2399999999999997E-2</v>
      </c>
      <c r="F27" s="42"/>
    </row>
    <row r="28" spans="2:15" x14ac:dyDescent="0.3">
      <c r="B28" s="59" t="s">
        <v>64</v>
      </c>
      <c r="C28" s="59"/>
      <c r="D28" s="43">
        <f>AVERAGE(D21,D19)</f>
        <v>5.2405947624751648E-2</v>
      </c>
      <c r="F28" s="42"/>
    </row>
    <row r="29" spans="2:15" x14ac:dyDescent="0.3">
      <c r="B29" s="60" t="s">
        <v>70</v>
      </c>
      <c r="C29" s="60"/>
      <c r="D29" s="43">
        <v>8.2900000000000001E-2</v>
      </c>
      <c r="F29" s="42"/>
    </row>
    <row r="30" spans="2:15" x14ac:dyDescent="0.3">
      <c r="B30" s="60" t="s">
        <v>71</v>
      </c>
      <c r="C30" s="61"/>
      <c r="D30" s="43">
        <v>2.5999999999999999E-2</v>
      </c>
      <c r="E30" s="42"/>
      <c r="F30" s="42"/>
    </row>
    <row r="31" spans="2:15" x14ac:dyDescent="0.3">
      <c r="B31" s="41"/>
      <c r="C31" s="42"/>
      <c r="D31" s="43"/>
      <c r="E31" s="42"/>
      <c r="F31" s="42"/>
    </row>
    <row r="32" spans="2:15" ht="18" customHeight="1" x14ac:dyDescent="0.3">
      <c r="B32" s="45" t="s">
        <v>67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</row>
    <row r="33" spans="2:15" ht="18" customHeight="1" x14ac:dyDescent="0.3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2:15" ht="18" customHeight="1" x14ac:dyDescent="0.3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2:15" x14ac:dyDescent="0.3">
      <c r="B35" s="41"/>
      <c r="C35" s="42"/>
      <c r="D35" s="42"/>
      <c r="E35" s="42"/>
      <c r="F35" s="42"/>
    </row>
    <row r="36" spans="2:15" ht="16.8" x14ac:dyDescent="0.3">
      <c r="B36" s="45" t="s">
        <v>68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</row>
    <row r="37" spans="2:15" ht="16.8" x14ac:dyDescent="0.3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2:15" ht="16.8" x14ac:dyDescent="0.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2:15" ht="16.8" x14ac:dyDescent="0.3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2:15" ht="16.8" x14ac:dyDescent="0.3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2" spans="2:15" ht="16.8" x14ac:dyDescent="0.3">
      <c r="B42" s="45" t="s">
        <v>69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</row>
  </sheetData>
  <mergeCells count="5">
    <mergeCell ref="B27:C27"/>
    <mergeCell ref="B28:C28"/>
    <mergeCell ref="B32:O32"/>
    <mergeCell ref="B36:O36"/>
    <mergeCell ref="B42:O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31"/>
  <sheetViews>
    <sheetView topLeftCell="A105" workbookViewId="0">
      <selection activeCell="D133" sqref="D133"/>
    </sheetView>
  </sheetViews>
  <sheetFormatPr defaultColWidth="10.69921875" defaultRowHeight="15.6" x14ac:dyDescent="0.3"/>
  <cols>
    <col min="1" max="1" width="10.69921875" style="3"/>
    <col min="2" max="2" width="20.69921875" style="4" bestFit="1" customWidth="1"/>
    <col min="3" max="8" width="10.69921875" style="3"/>
    <col min="9" max="9" width="10.69921875" style="4"/>
    <col min="10" max="10" width="10.69921875" style="3"/>
    <col min="11" max="13" width="11.8984375" style="3" bestFit="1" customWidth="1"/>
    <col min="14" max="16384" width="10.69921875" style="3"/>
  </cols>
  <sheetData>
    <row r="2" spans="2:14" x14ac:dyDescent="0.3">
      <c r="B2" s="12" t="s">
        <v>30</v>
      </c>
    </row>
    <row r="4" spans="2:14" ht="16.2" thickBot="1" x14ac:dyDescent="0.35">
      <c r="B4" s="1"/>
      <c r="C4" s="2"/>
      <c r="D4" s="2"/>
      <c r="E4" s="2"/>
      <c r="F4" s="2"/>
      <c r="G4" s="2"/>
    </row>
    <row r="5" spans="2:14" ht="16.2" thickBot="1" x14ac:dyDescent="0.35">
      <c r="B5" s="5" t="s">
        <v>23</v>
      </c>
      <c r="C5" s="46"/>
      <c r="D5" s="46"/>
      <c r="E5" s="46"/>
      <c r="F5" s="46"/>
      <c r="G5" s="47"/>
    </row>
    <row r="6" spans="2:14" x14ac:dyDescent="0.3">
      <c r="B6" s="6"/>
      <c r="C6" s="2">
        <v>2018</v>
      </c>
      <c r="D6" s="2">
        <v>2017</v>
      </c>
      <c r="E6" s="2">
        <v>2016</v>
      </c>
      <c r="F6" s="2">
        <v>2015</v>
      </c>
      <c r="G6" s="7">
        <v>2014</v>
      </c>
    </row>
    <row r="7" spans="2:14" x14ac:dyDescent="0.3">
      <c r="B7" s="8" t="s">
        <v>10</v>
      </c>
      <c r="C7" s="2">
        <v>2223</v>
      </c>
      <c r="D7" s="2">
        <v>1192</v>
      </c>
      <c r="E7" s="2">
        <v>440</v>
      </c>
      <c r="F7" s="2" t="s">
        <v>11</v>
      </c>
      <c r="G7" s="7" t="s">
        <v>11</v>
      </c>
      <c r="I7" s="4" t="s">
        <v>32</v>
      </c>
    </row>
    <row r="8" spans="2:14" x14ac:dyDescent="0.3">
      <c r="B8" s="8" t="s">
        <v>12</v>
      </c>
      <c r="C8" s="2">
        <v>144</v>
      </c>
      <c r="D8" s="2">
        <v>65</v>
      </c>
      <c r="E8" s="2">
        <v>17</v>
      </c>
      <c r="F8" s="2" t="s">
        <v>11</v>
      </c>
      <c r="G8" s="7" t="s">
        <v>11</v>
      </c>
      <c r="I8" s="4" t="s">
        <v>33</v>
      </c>
    </row>
    <row r="9" spans="2:14" x14ac:dyDescent="0.3">
      <c r="B9" s="14" t="s">
        <v>13</v>
      </c>
      <c r="C9" s="2">
        <v>2078</v>
      </c>
      <c r="D9" s="2">
        <v>1128</v>
      </c>
      <c r="E9" s="2">
        <v>423</v>
      </c>
      <c r="F9" s="2" t="s">
        <v>11</v>
      </c>
      <c r="G9" s="7" t="s">
        <v>11</v>
      </c>
      <c r="I9" s="13" t="s">
        <v>34</v>
      </c>
    </row>
    <row r="10" spans="2:14" x14ac:dyDescent="0.3">
      <c r="B10" s="8" t="s">
        <v>14</v>
      </c>
      <c r="C10" s="2">
        <v>1575</v>
      </c>
      <c r="D10" s="2">
        <v>840</v>
      </c>
      <c r="E10" s="2">
        <v>382</v>
      </c>
      <c r="F10" s="2" t="s">
        <v>11</v>
      </c>
      <c r="G10" s="7" t="s">
        <v>11</v>
      </c>
      <c r="I10" s="4" t="s">
        <v>35</v>
      </c>
    </row>
    <row r="11" spans="2:14" x14ac:dyDescent="0.3">
      <c r="B11" s="14" t="s">
        <v>15</v>
      </c>
      <c r="C11" s="2">
        <v>503</v>
      </c>
      <c r="D11" s="2">
        <v>288</v>
      </c>
      <c r="E11" s="2">
        <v>41</v>
      </c>
      <c r="F11" s="2" t="s">
        <v>11</v>
      </c>
      <c r="G11" s="7" t="s">
        <v>11</v>
      </c>
      <c r="I11" s="4" t="s">
        <v>36</v>
      </c>
    </row>
    <row r="12" spans="2:14" x14ac:dyDescent="0.3">
      <c r="B12" s="8" t="s">
        <v>16</v>
      </c>
      <c r="C12" s="2">
        <v>5390</v>
      </c>
      <c r="D12" s="2">
        <v>2790</v>
      </c>
      <c r="E12" s="2" t="s">
        <v>11</v>
      </c>
      <c r="F12" s="2" t="s">
        <v>11</v>
      </c>
      <c r="G12" s="7" t="s">
        <v>11</v>
      </c>
      <c r="I12" s="4" t="s">
        <v>37</v>
      </c>
    </row>
    <row r="13" spans="2:14" x14ac:dyDescent="0.3">
      <c r="B13" s="8" t="s">
        <v>17</v>
      </c>
      <c r="C13" s="2">
        <v>0</v>
      </c>
      <c r="D13" s="2">
        <v>0</v>
      </c>
      <c r="E13" s="2" t="s">
        <v>11</v>
      </c>
      <c r="F13" s="2" t="s">
        <v>11</v>
      </c>
      <c r="G13" s="7" t="s">
        <v>11</v>
      </c>
      <c r="I13" s="4" t="s">
        <v>38</v>
      </c>
      <c r="J13" s="17">
        <f>AVERAGE(L13:M13)</f>
        <v>8.0951810429111537E-2</v>
      </c>
      <c r="L13" s="15">
        <f>C11/C17</f>
        <v>7.9025923016496469E-2</v>
      </c>
      <c r="M13" s="15">
        <f t="shared" ref="M13" si="0">D11/D17</f>
        <v>8.2877697841726619E-2</v>
      </c>
      <c r="N13" s="15" t="e">
        <f t="shared" ref="N13" si="1">E11/E17</f>
        <v>#VALUE!</v>
      </c>
    </row>
    <row r="14" spans="2:14" x14ac:dyDescent="0.3">
      <c r="B14" s="8" t="s">
        <v>18</v>
      </c>
      <c r="C14" s="2">
        <v>0</v>
      </c>
      <c r="D14" s="2">
        <v>0</v>
      </c>
      <c r="E14" s="2" t="s">
        <v>11</v>
      </c>
      <c r="F14" s="2" t="s">
        <v>11</v>
      </c>
      <c r="G14" s="7" t="s">
        <v>11</v>
      </c>
      <c r="I14" s="4" t="s">
        <v>39</v>
      </c>
    </row>
    <row r="15" spans="2:14" x14ac:dyDescent="0.3">
      <c r="B15" s="8" t="s">
        <v>19</v>
      </c>
      <c r="C15" s="2">
        <v>859</v>
      </c>
      <c r="D15" s="2">
        <v>498</v>
      </c>
      <c r="E15" s="2" t="s">
        <v>11</v>
      </c>
      <c r="F15" s="2" t="s">
        <v>11</v>
      </c>
      <c r="G15" s="7" t="s">
        <v>11</v>
      </c>
      <c r="I15" s="4" t="s">
        <v>40</v>
      </c>
    </row>
    <row r="16" spans="2:14" x14ac:dyDescent="0.3">
      <c r="B16" s="8" t="s">
        <v>20</v>
      </c>
      <c r="C16" s="2">
        <v>93</v>
      </c>
      <c r="D16" s="2">
        <v>176</v>
      </c>
      <c r="E16" s="2" t="s">
        <v>11</v>
      </c>
      <c r="F16" s="2" t="s">
        <v>11</v>
      </c>
      <c r="G16" s="7" t="s">
        <v>11</v>
      </c>
      <c r="I16" s="4" t="s">
        <v>41</v>
      </c>
    </row>
    <row r="17" spans="2:14" x14ac:dyDescent="0.3">
      <c r="B17" s="14" t="s">
        <v>21</v>
      </c>
      <c r="C17" s="2">
        <v>6365</v>
      </c>
      <c r="D17" s="2">
        <v>3475</v>
      </c>
      <c r="E17" s="2" t="s">
        <v>11</v>
      </c>
      <c r="F17" s="2" t="s">
        <v>11</v>
      </c>
      <c r="G17" s="7" t="s">
        <v>11</v>
      </c>
      <c r="I17" s="13" t="s">
        <v>42</v>
      </c>
    </row>
    <row r="18" spans="2:14" ht="16.2" thickBot="1" x14ac:dyDescent="0.35">
      <c r="B18" s="9" t="s">
        <v>22</v>
      </c>
      <c r="C18" s="10">
        <v>534</v>
      </c>
      <c r="D18" s="10">
        <v>177</v>
      </c>
      <c r="E18" s="10" t="s">
        <v>11</v>
      </c>
      <c r="F18" s="10" t="s">
        <v>11</v>
      </c>
      <c r="G18" s="11" t="s">
        <v>11</v>
      </c>
      <c r="I18" s="4" t="s">
        <v>22</v>
      </c>
    </row>
    <row r="20" spans="2:14" ht="16.2" thickBot="1" x14ac:dyDescent="0.35"/>
    <row r="21" spans="2:14" ht="16.2" thickBot="1" x14ac:dyDescent="0.35">
      <c r="B21" s="5" t="s">
        <v>24</v>
      </c>
      <c r="C21" s="46"/>
      <c r="D21" s="46"/>
      <c r="E21" s="46"/>
      <c r="F21" s="46"/>
      <c r="G21" s="47"/>
    </row>
    <row r="22" spans="2:14" x14ac:dyDescent="0.3">
      <c r="B22" s="6"/>
      <c r="C22" s="2">
        <v>2018</v>
      </c>
      <c r="D22" s="2">
        <v>2017</v>
      </c>
      <c r="E22" s="2">
        <v>2016</v>
      </c>
      <c r="F22" s="2">
        <v>2015</v>
      </c>
      <c r="G22" s="7">
        <v>2014</v>
      </c>
    </row>
    <row r="23" spans="2:14" x14ac:dyDescent="0.3">
      <c r="B23" s="8" t="s">
        <v>10</v>
      </c>
      <c r="C23" s="2">
        <v>308</v>
      </c>
      <c r="D23" s="2">
        <v>267</v>
      </c>
      <c r="E23" s="2">
        <v>233</v>
      </c>
      <c r="F23" s="2">
        <v>243</v>
      </c>
      <c r="G23" s="7">
        <v>207</v>
      </c>
    </row>
    <row r="24" spans="2:14" x14ac:dyDescent="0.3">
      <c r="B24" s="8" t="s">
        <v>12</v>
      </c>
      <c r="C24" s="2">
        <v>56</v>
      </c>
      <c r="D24" s="2">
        <v>50</v>
      </c>
      <c r="E24" s="2">
        <v>41</v>
      </c>
      <c r="F24" s="2">
        <v>44</v>
      </c>
      <c r="G24" s="7">
        <v>34</v>
      </c>
    </row>
    <row r="25" spans="2:14" x14ac:dyDescent="0.3">
      <c r="B25" s="8" t="s">
        <v>13</v>
      </c>
      <c r="C25" s="2">
        <v>252</v>
      </c>
      <c r="D25" s="2">
        <v>217</v>
      </c>
      <c r="E25" s="2">
        <v>192</v>
      </c>
      <c r="F25" s="2">
        <v>199</v>
      </c>
      <c r="G25" s="7">
        <v>173</v>
      </c>
    </row>
    <row r="26" spans="2:14" x14ac:dyDescent="0.3">
      <c r="B26" s="8" t="s">
        <v>14</v>
      </c>
      <c r="C26" s="2">
        <v>206</v>
      </c>
      <c r="D26" s="2">
        <v>153</v>
      </c>
      <c r="E26" s="2">
        <v>174</v>
      </c>
      <c r="F26" s="2">
        <v>187</v>
      </c>
      <c r="G26" s="7">
        <v>158</v>
      </c>
    </row>
    <row r="27" spans="2:14" x14ac:dyDescent="0.3">
      <c r="B27" s="8" t="s">
        <v>15</v>
      </c>
      <c r="C27" s="2">
        <v>47</v>
      </c>
      <c r="D27" s="2">
        <v>64</v>
      </c>
      <c r="E27" s="2">
        <v>18</v>
      </c>
      <c r="F27" s="2">
        <v>12</v>
      </c>
      <c r="G27" s="7">
        <v>15</v>
      </c>
      <c r="L27" s="16"/>
      <c r="M27" s="16"/>
      <c r="N27" s="16"/>
    </row>
    <row r="28" spans="2:14" x14ac:dyDescent="0.3">
      <c r="B28" s="8" t="s">
        <v>16</v>
      </c>
      <c r="C28" s="2">
        <v>155</v>
      </c>
      <c r="D28" s="2">
        <v>125</v>
      </c>
      <c r="E28" s="2">
        <v>103</v>
      </c>
      <c r="F28" s="2">
        <v>110</v>
      </c>
      <c r="G28" s="7">
        <v>116</v>
      </c>
    </row>
    <row r="29" spans="2:14" x14ac:dyDescent="0.3">
      <c r="B29" s="8" t="s">
        <v>17</v>
      </c>
      <c r="C29" s="2">
        <v>0</v>
      </c>
      <c r="D29" s="2">
        <v>0</v>
      </c>
      <c r="E29" s="2">
        <v>0</v>
      </c>
      <c r="F29" s="2">
        <v>0</v>
      </c>
      <c r="G29" s="7">
        <v>0</v>
      </c>
      <c r="J29" s="17">
        <f>AVERAGE(L29:N29)</f>
        <v>9.679933287128023E-2</v>
      </c>
      <c r="L29" s="15">
        <f>C27/C33</f>
        <v>9.4377510040160636E-2</v>
      </c>
      <c r="M29" s="15">
        <f t="shared" ref="M29" si="2">D27/D33</f>
        <v>0.14814814814814814</v>
      </c>
      <c r="N29" s="15">
        <f t="shared" ref="N29" si="3">E27/E33</f>
        <v>4.7872340425531915E-2</v>
      </c>
    </row>
    <row r="30" spans="2:14" x14ac:dyDescent="0.3">
      <c r="B30" s="8" t="s">
        <v>18</v>
      </c>
      <c r="C30" s="2">
        <v>0</v>
      </c>
      <c r="D30" s="2">
        <v>0</v>
      </c>
      <c r="E30" s="2">
        <v>0</v>
      </c>
      <c r="F30" s="2">
        <v>0</v>
      </c>
      <c r="G30" s="7">
        <v>0</v>
      </c>
    </row>
    <row r="31" spans="2:14" x14ac:dyDescent="0.3">
      <c r="B31" s="8" t="s">
        <v>19</v>
      </c>
      <c r="C31" s="2">
        <v>294</v>
      </c>
      <c r="D31" s="2">
        <v>278</v>
      </c>
      <c r="E31" s="2">
        <v>246</v>
      </c>
      <c r="F31" s="2">
        <v>313</v>
      </c>
      <c r="G31" s="7">
        <v>291</v>
      </c>
    </row>
    <row r="32" spans="2:14" x14ac:dyDescent="0.3">
      <c r="B32" s="8" t="s">
        <v>20</v>
      </c>
      <c r="C32" s="2">
        <v>49</v>
      </c>
      <c r="D32" s="2">
        <v>29</v>
      </c>
      <c r="E32" s="2">
        <v>27</v>
      </c>
      <c r="F32" s="2">
        <v>28</v>
      </c>
      <c r="G32" s="7">
        <v>23</v>
      </c>
    </row>
    <row r="33" spans="2:14" x14ac:dyDescent="0.3">
      <c r="B33" s="8" t="s">
        <v>21</v>
      </c>
      <c r="C33" s="2">
        <v>498</v>
      </c>
      <c r="D33" s="2">
        <v>432</v>
      </c>
      <c r="E33" s="2">
        <v>376</v>
      </c>
      <c r="F33" s="2">
        <v>451</v>
      </c>
      <c r="G33" s="7">
        <v>430</v>
      </c>
    </row>
    <row r="34" spans="2:14" ht="16.2" thickBot="1" x14ac:dyDescent="0.35">
      <c r="B34" s="9" t="s">
        <v>22</v>
      </c>
      <c r="C34" s="10">
        <v>145</v>
      </c>
      <c r="D34" s="10">
        <v>232</v>
      </c>
      <c r="E34" s="10">
        <v>227</v>
      </c>
      <c r="F34" s="10">
        <v>271</v>
      </c>
      <c r="G34" s="11">
        <v>264</v>
      </c>
    </row>
    <row r="35" spans="2:14" x14ac:dyDescent="0.3">
      <c r="B35" s="49"/>
      <c r="C35" s="49"/>
      <c r="D35" s="49"/>
      <c r="E35" s="49"/>
      <c r="F35" s="49"/>
      <c r="G35" s="49"/>
    </row>
    <row r="36" spans="2:14" ht="16.2" thickBot="1" x14ac:dyDescent="0.35">
      <c r="B36" s="48"/>
      <c r="C36" s="48"/>
      <c r="D36" s="48"/>
      <c r="E36" s="48"/>
      <c r="F36" s="48"/>
      <c r="G36" s="48"/>
    </row>
    <row r="37" spans="2:14" ht="16.2" thickBot="1" x14ac:dyDescent="0.35">
      <c r="B37" s="5" t="s">
        <v>25</v>
      </c>
      <c r="C37" s="46"/>
      <c r="D37" s="46"/>
      <c r="E37" s="46"/>
      <c r="F37" s="46"/>
      <c r="G37" s="47"/>
    </row>
    <row r="38" spans="2:14" x14ac:dyDescent="0.3">
      <c r="B38" s="6"/>
      <c r="C38" s="2">
        <v>2018</v>
      </c>
      <c r="D38" s="2">
        <v>2017</v>
      </c>
      <c r="E38" s="2">
        <v>2016</v>
      </c>
      <c r="F38" s="2">
        <v>2015</v>
      </c>
      <c r="G38" s="7">
        <v>2014</v>
      </c>
    </row>
    <row r="39" spans="2:14" x14ac:dyDescent="0.3">
      <c r="B39" s="8" t="s">
        <v>10</v>
      </c>
      <c r="C39" s="2">
        <v>949</v>
      </c>
      <c r="D39" s="2">
        <v>1143</v>
      </c>
      <c r="E39" s="2">
        <v>1158</v>
      </c>
      <c r="F39" s="2">
        <v>1074</v>
      </c>
      <c r="G39" s="7">
        <v>998</v>
      </c>
    </row>
    <row r="40" spans="2:14" x14ac:dyDescent="0.3">
      <c r="B40" s="8" t="s">
        <v>12</v>
      </c>
      <c r="C40" s="2">
        <v>370</v>
      </c>
      <c r="D40" s="2">
        <v>511</v>
      </c>
      <c r="E40" s="2">
        <v>552</v>
      </c>
      <c r="F40" s="2">
        <v>392</v>
      </c>
      <c r="G40" s="7">
        <v>391</v>
      </c>
    </row>
    <row r="41" spans="2:14" x14ac:dyDescent="0.3">
      <c r="B41" s="8" t="s">
        <v>13</v>
      </c>
      <c r="C41" s="2">
        <v>579</v>
      </c>
      <c r="D41" s="2">
        <v>632</v>
      </c>
      <c r="E41" s="2">
        <v>606</v>
      </c>
      <c r="F41" s="2">
        <v>682</v>
      </c>
      <c r="G41" s="7">
        <v>607</v>
      </c>
    </row>
    <row r="42" spans="2:14" x14ac:dyDescent="0.3">
      <c r="B42" s="8" t="s">
        <v>14</v>
      </c>
      <c r="C42" s="2">
        <v>558</v>
      </c>
      <c r="D42" s="2">
        <v>610</v>
      </c>
      <c r="E42" s="2">
        <v>572</v>
      </c>
      <c r="F42" s="2">
        <v>622</v>
      </c>
      <c r="G42" s="7">
        <v>538</v>
      </c>
    </row>
    <row r="43" spans="2:14" x14ac:dyDescent="0.3">
      <c r="B43" s="8" t="s">
        <v>15</v>
      </c>
      <c r="C43" s="2">
        <v>21</v>
      </c>
      <c r="D43" s="2">
        <v>22</v>
      </c>
      <c r="E43" s="2">
        <v>34</v>
      </c>
      <c r="F43" s="2">
        <v>60</v>
      </c>
      <c r="G43" s="7">
        <v>69</v>
      </c>
      <c r="L43" s="16"/>
      <c r="M43" s="16"/>
      <c r="N43" s="16"/>
    </row>
    <row r="44" spans="2:14" x14ac:dyDescent="0.3">
      <c r="B44" s="8" t="s">
        <v>16</v>
      </c>
      <c r="C44" s="2">
        <v>313</v>
      </c>
      <c r="D44" s="2">
        <v>407</v>
      </c>
      <c r="E44" s="2">
        <v>487</v>
      </c>
      <c r="F44" s="2">
        <v>535</v>
      </c>
      <c r="G44" s="7">
        <v>537</v>
      </c>
      <c r="J44" s="3" t="s">
        <v>46</v>
      </c>
      <c r="L44" s="3" t="s">
        <v>47</v>
      </c>
      <c r="M44" s="3" t="s">
        <v>49</v>
      </c>
      <c r="N44" s="3" t="s">
        <v>48</v>
      </c>
    </row>
    <row r="45" spans="2:14" x14ac:dyDescent="0.3">
      <c r="B45" s="8" t="s">
        <v>17</v>
      </c>
      <c r="C45" s="2">
        <v>0</v>
      </c>
      <c r="D45" s="2">
        <v>0</v>
      </c>
      <c r="E45" s="2">
        <v>0</v>
      </c>
      <c r="F45" s="2">
        <v>2</v>
      </c>
      <c r="G45" s="7">
        <v>5</v>
      </c>
      <c r="J45" s="17">
        <f>AVERAGE(L45:N45)</f>
        <v>2.6596446197332729E-2</v>
      </c>
      <c r="L45" s="15">
        <f>C43/C49</f>
        <v>2.5990099009900989E-2</v>
      </c>
      <c r="M45" s="15">
        <f t="shared" ref="M45" si="4">D43/D49</f>
        <v>2.1934197407776669E-2</v>
      </c>
      <c r="N45" s="15">
        <f t="shared" ref="N45" si="5">E43/E49</f>
        <v>3.1865042174320526E-2</v>
      </c>
    </row>
    <row r="46" spans="2:14" x14ac:dyDescent="0.3">
      <c r="B46" s="8" t="s">
        <v>18</v>
      </c>
      <c r="C46" s="2">
        <v>157</v>
      </c>
      <c r="D46" s="2">
        <v>122</v>
      </c>
      <c r="E46" s="2">
        <v>165</v>
      </c>
      <c r="F46" s="2">
        <v>189</v>
      </c>
      <c r="G46" s="7">
        <v>163</v>
      </c>
    </row>
    <row r="47" spans="2:14" x14ac:dyDescent="0.3">
      <c r="B47" s="8" t="s">
        <v>19</v>
      </c>
      <c r="C47" s="2">
        <v>310</v>
      </c>
      <c r="D47" s="2">
        <v>430</v>
      </c>
      <c r="E47" s="2">
        <v>366</v>
      </c>
      <c r="F47" s="2">
        <v>282</v>
      </c>
      <c r="G47" s="7">
        <v>266</v>
      </c>
    </row>
    <row r="48" spans="2:14" x14ac:dyDescent="0.3">
      <c r="B48" s="8" t="s">
        <v>20</v>
      </c>
      <c r="C48" s="2">
        <v>27</v>
      </c>
      <c r="D48" s="2">
        <v>42</v>
      </c>
      <c r="E48" s="2">
        <v>47</v>
      </c>
      <c r="F48" s="2">
        <v>42</v>
      </c>
      <c r="G48" s="7">
        <v>44</v>
      </c>
    </row>
    <row r="49" spans="2:14" x14ac:dyDescent="0.3">
      <c r="B49" s="8" t="s">
        <v>21</v>
      </c>
      <c r="C49" s="2">
        <v>808</v>
      </c>
      <c r="D49" s="2">
        <v>1003</v>
      </c>
      <c r="E49" s="2">
        <v>1067</v>
      </c>
      <c r="F49" s="2">
        <v>1050</v>
      </c>
      <c r="G49" s="7">
        <v>1011</v>
      </c>
    </row>
    <row r="50" spans="2:14" ht="16.2" thickBot="1" x14ac:dyDescent="0.35">
      <c r="B50" s="9" t="s">
        <v>22</v>
      </c>
      <c r="C50" s="10">
        <v>152</v>
      </c>
      <c r="D50" s="10">
        <v>224</v>
      </c>
      <c r="E50" s="10">
        <v>240</v>
      </c>
      <c r="F50" s="10">
        <v>197</v>
      </c>
      <c r="G50" s="11">
        <v>144</v>
      </c>
    </row>
    <row r="51" spans="2:14" x14ac:dyDescent="0.3">
      <c r="B51" s="1"/>
      <c r="C51" s="2"/>
      <c r="D51" s="2"/>
      <c r="E51" s="2"/>
      <c r="F51" s="2"/>
      <c r="G51" s="2"/>
    </row>
    <row r="52" spans="2:14" ht="16.2" thickBot="1" x14ac:dyDescent="0.35">
      <c r="B52" s="1"/>
      <c r="C52" s="2"/>
      <c r="D52" s="2"/>
      <c r="E52" s="2"/>
      <c r="F52" s="2"/>
      <c r="G52" s="2"/>
    </row>
    <row r="53" spans="2:14" ht="16.2" thickBot="1" x14ac:dyDescent="0.35">
      <c r="B53" s="5" t="s">
        <v>26</v>
      </c>
      <c r="C53" s="46"/>
      <c r="D53" s="46"/>
      <c r="E53" s="46"/>
      <c r="F53" s="46"/>
      <c r="G53" s="47"/>
    </row>
    <row r="54" spans="2:14" x14ac:dyDescent="0.3">
      <c r="B54" s="6"/>
      <c r="C54" s="2">
        <v>2018</v>
      </c>
      <c r="D54" s="2">
        <v>2017</v>
      </c>
      <c r="E54" s="2">
        <v>2016</v>
      </c>
      <c r="F54" s="2">
        <v>2015</v>
      </c>
      <c r="G54" s="7">
        <v>2014</v>
      </c>
    </row>
    <row r="55" spans="2:14" x14ac:dyDescent="0.3">
      <c r="B55" s="8" t="s">
        <v>10</v>
      </c>
      <c r="C55" s="2">
        <v>764</v>
      </c>
      <c r="D55" s="2">
        <v>972</v>
      </c>
      <c r="E55" s="2">
        <v>702</v>
      </c>
      <c r="F55" s="2">
        <v>1106</v>
      </c>
      <c r="G55" s="7">
        <v>705</v>
      </c>
    </row>
    <row r="56" spans="2:14" x14ac:dyDescent="0.3">
      <c r="B56" s="8" t="s">
        <v>12</v>
      </c>
      <c r="C56" s="2">
        <v>366</v>
      </c>
      <c r="D56" s="2">
        <v>529</v>
      </c>
      <c r="E56" s="2">
        <v>245</v>
      </c>
      <c r="F56" s="2">
        <v>693</v>
      </c>
      <c r="G56" s="7">
        <v>274</v>
      </c>
    </row>
    <row r="57" spans="2:14" x14ac:dyDescent="0.3">
      <c r="B57" s="8" t="s">
        <v>13</v>
      </c>
      <c r="C57" s="2">
        <v>399</v>
      </c>
      <c r="D57" s="2">
        <v>443</v>
      </c>
      <c r="E57" s="2">
        <v>456</v>
      </c>
      <c r="F57" s="2">
        <v>413</v>
      </c>
      <c r="G57" s="7">
        <v>431</v>
      </c>
    </row>
    <row r="58" spans="2:14" x14ac:dyDescent="0.3">
      <c r="B58" s="8" t="s">
        <v>14</v>
      </c>
      <c r="C58" s="2">
        <v>353</v>
      </c>
      <c r="D58" s="2">
        <v>420</v>
      </c>
      <c r="E58" s="2">
        <v>422</v>
      </c>
      <c r="F58" s="2">
        <v>388</v>
      </c>
      <c r="G58" s="7">
        <v>400</v>
      </c>
    </row>
    <row r="59" spans="2:14" x14ac:dyDescent="0.3">
      <c r="B59" s="8" t="s">
        <v>15</v>
      </c>
      <c r="C59" s="2">
        <v>45</v>
      </c>
      <c r="D59" s="2">
        <v>23</v>
      </c>
      <c r="E59" s="2">
        <v>34</v>
      </c>
      <c r="F59" s="2">
        <v>25</v>
      </c>
      <c r="G59" s="7">
        <v>31</v>
      </c>
      <c r="L59" s="16"/>
      <c r="M59" s="16"/>
      <c r="N59" s="16"/>
    </row>
    <row r="60" spans="2:14" x14ac:dyDescent="0.3">
      <c r="B60" s="8" t="s">
        <v>16</v>
      </c>
      <c r="C60" s="2">
        <v>337</v>
      </c>
      <c r="D60" s="2">
        <v>283</v>
      </c>
      <c r="E60" s="2">
        <v>275</v>
      </c>
      <c r="F60" s="2">
        <v>268</v>
      </c>
      <c r="G60" s="7">
        <v>266</v>
      </c>
    </row>
    <row r="61" spans="2:14" x14ac:dyDescent="0.3">
      <c r="B61" s="8" t="s">
        <v>17</v>
      </c>
      <c r="C61" s="2">
        <v>0</v>
      </c>
      <c r="D61" s="2">
        <v>0</v>
      </c>
      <c r="E61" s="2">
        <v>0</v>
      </c>
      <c r="F61" s="2">
        <v>0</v>
      </c>
      <c r="G61" s="7">
        <v>0</v>
      </c>
      <c r="J61" s="17">
        <f>AVERAGE(L61:N61)</f>
        <v>6.0475946967067734E-2</v>
      </c>
      <c r="L61" s="15">
        <f>C59/C65</f>
        <v>7.5503355704697989E-2</v>
      </c>
      <c r="M61" s="15">
        <f t="shared" ref="M61" si="6">D59/D65</f>
        <v>4.1894353369763208E-2</v>
      </c>
      <c r="N61" s="15">
        <f t="shared" ref="N61" si="7">E59/E65</f>
        <v>6.4030131826741998E-2</v>
      </c>
    </row>
    <row r="62" spans="2:14" x14ac:dyDescent="0.3">
      <c r="B62" s="8" t="s">
        <v>18</v>
      </c>
      <c r="C62" s="2">
        <v>114</v>
      </c>
      <c r="D62" s="2">
        <v>113</v>
      </c>
      <c r="E62" s="2">
        <v>104</v>
      </c>
      <c r="F62" s="2">
        <v>87</v>
      </c>
      <c r="G62" s="7">
        <v>81</v>
      </c>
    </row>
    <row r="63" spans="2:14" x14ac:dyDescent="0.3">
      <c r="B63" s="8" t="s">
        <v>19</v>
      </c>
      <c r="C63" s="2">
        <v>107</v>
      </c>
      <c r="D63" s="2">
        <v>90</v>
      </c>
      <c r="E63" s="2">
        <v>96</v>
      </c>
      <c r="F63" s="2">
        <v>101</v>
      </c>
      <c r="G63" s="7">
        <v>81</v>
      </c>
    </row>
    <row r="64" spans="2:14" x14ac:dyDescent="0.3">
      <c r="B64" s="8" t="s">
        <v>20</v>
      </c>
      <c r="C64" s="2">
        <v>39</v>
      </c>
      <c r="D64" s="2">
        <v>63</v>
      </c>
      <c r="E64" s="2">
        <v>56</v>
      </c>
      <c r="F64" s="2">
        <v>25</v>
      </c>
      <c r="G64" s="7">
        <v>34</v>
      </c>
    </row>
    <row r="65" spans="2:14" x14ac:dyDescent="0.3">
      <c r="B65" s="8" t="s">
        <v>21</v>
      </c>
      <c r="C65" s="2">
        <v>596</v>
      </c>
      <c r="D65" s="2">
        <v>549</v>
      </c>
      <c r="E65" s="2">
        <v>531</v>
      </c>
      <c r="F65" s="2">
        <v>495</v>
      </c>
      <c r="G65" s="7">
        <v>477</v>
      </c>
    </row>
    <row r="66" spans="2:14" ht="16.2" thickBot="1" x14ac:dyDescent="0.35">
      <c r="B66" s="9" t="s">
        <v>22</v>
      </c>
      <c r="C66" s="10">
        <v>16</v>
      </c>
      <c r="D66" s="10">
        <v>20</v>
      </c>
      <c r="E66" s="10">
        <v>14</v>
      </c>
      <c r="F66" s="10">
        <v>13</v>
      </c>
      <c r="G66" s="11">
        <v>12</v>
      </c>
    </row>
    <row r="68" spans="2:14" ht="16.2" thickBot="1" x14ac:dyDescent="0.35"/>
    <row r="69" spans="2:14" ht="16.2" thickBot="1" x14ac:dyDescent="0.35">
      <c r="B69" s="5" t="s">
        <v>27</v>
      </c>
      <c r="C69" s="46"/>
      <c r="D69" s="46"/>
      <c r="E69" s="46"/>
      <c r="F69" s="46"/>
      <c r="G69" s="47"/>
    </row>
    <row r="70" spans="2:14" x14ac:dyDescent="0.3">
      <c r="B70" s="6"/>
      <c r="C70" s="2">
        <v>2018</v>
      </c>
      <c r="D70" s="2">
        <v>2017</v>
      </c>
      <c r="E70" s="2">
        <v>2016</v>
      </c>
      <c r="F70" s="2">
        <v>2015</v>
      </c>
      <c r="G70" s="7">
        <v>2014</v>
      </c>
    </row>
    <row r="71" spans="2:14" x14ac:dyDescent="0.3">
      <c r="B71" s="8" t="s">
        <v>10</v>
      </c>
      <c r="C71" s="2">
        <v>206</v>
      </c>
      <c r="D71" s="2">
        <v>227</v>
      </c>
      <c r="E71" s="2">
        <v>143</v>
      </c>
      <c r="F71" s="2">
        <v>201</v>
      </c>
      <c r="G71" s="7">
        <v>260</v>
      </c>
    </row>
    <row r="72" spans="2:14" x14ac:dyDescent="0.3">
      <c r="B72" s="8" t="s">
        <v>12</v>
      </c>
      <c r="C72" s="2">
        <v>3</v>
      </c>
      <c r="D72" s="2">
        <v>2</v>
      </c>
      <c r="E72" s="2">
        <v>5</v>
      </c>
      <c r="F72" s="2">
        <v>6</v>
      </c>
      <c r="G72" s="7">
        <v>3</v>
      </c>
    </row>
    <row r="73" spans="2:14" x14ac:dyDescent="0.3">
      <c r="B73" s="8" t="s">
        <v>13</v>
      </c>
      <c r="C73" s="2">
        <v>203</v>
      </c>
      <c r="D73" s="2">
        <v>225</v>
      </c>
      <c r="E73" s="2">
        <v>138</v>
      </c>
      <c r="F73" s="2">
        <v>195</v>
      </c>
      <c r="G73" s="7">
        <v>257</v>
      </c>
    </row>
    <row r="74" spans="2:14" x14ac:dyDescent="0.3">
      <c r="B74" s="8" t="s">
        <v>14</v>
      </c>
      <c r="C74" s="2">
        <v>156</v>
      </c>
      <c r="D74" s="2">
        <v>214</v>
      </c>
      <c r="E74" s="2">
        <v>160</v>
      </c>
      <c r="F74" s="2">
        <v>196</v>
      </c>
      <c r="G74" s="7">
        <v>192</v>
      </c>
    </row>
    <row r="75" spans="2:14" x14ac:dyDescent="0.3">
      <c r="B75" s="8" t="s">
        <v>15</v>
      </c>
      <c r="C75" s="2">
        <v>47</v>
      </c>
      <c r="D75" s="2">
        <v>11</v>
      </c>
      <c r="E75" s="2">
        <v>-22</v>
      </c>
      <c r="F75" s="2">
        <v>-1</v>
      </c>
      <c r="G75" s="7">
        <v>64</v>
      </c>
      <c r="L75" s="16"/>
      <c r="M75" s="16"/>
      <c r="N75" s="16"/>
    </row>
    <row r="76" spans="2:14" x14ac:dyDescent="0.3">
      <c r="B76" s="8" t="s">
        <v>16</v>
      </c>
      <c r="C76" s="2">
        <v>328</v>
      </c>
      <c r="D76" s="2">
        <v>373</v>
      </c>
      <c r="E76" s="2">
        <v>426</v>
      </c>
      <c r="F76" s="2">
        <v>440</v>
      </c>
      <c r="G76" s="7">
        <v>438</v>
      </c>
    </row>
    <row r="77" spans="2:14" x14ac:dyDescent="0.3">
      <c r="B77" s="8" t="s">
        <v>17</v>
      </c>
      <c r="C77" s="2">
        <v>0</v>
      </c>
      <c r="D77" s="2">
        <v>0</v>
      </c>
      <c r="E77" s="2">
        <v>0</v>
      </c>
      <c r="F77" s="2">
        <v>0</v>
      </c>
      <c r="G77" s="7">
        <v>0</v>
      </c>
      <c r="J77" s="17">
        <f>AVERAGE(L77:N77)</f>
        <v>1.2308303791338704E-2</v>
      </c>
      <c r="L77" s="15">
        <f>C75/C81</f>
        <v>4.9214659685863874E-2</v>
      </c>
      <c r="M77" s="15">
        <f t="shared" ref="M77:N77" si="8">D75/D81</f>
        <v>1.2154696132596685E-2</v>
      </c>
      <c r="N77" s="15">
        <f t="shared" si="8"/>
        <v>-2.4444444444444446E-2</v>
      </c>
    </row>
    <row r="78" spans="2:14" x14ac:dyDescent="0.3">
      <c r="B78" s="8" t="s">
        <v>18</v>
      </c>
      <c r="C78" s="2">
        <v>3</v>
      </c>
      <c r="D78" s="2">
        <v>3</v>
      </c>
      <c r="E78" s="2">
        <v>3</v>
      </c>
      <c r="F78" s="2">
        <v>3</v>
      </c>
      <c r="G78" s="7">
        <v>3</v>
      </c>
    </row>
    <row r="79" spans="2:14" x14ac:dyDescent="0.3">
      <c r="B79" s="8" t="s">
        <v>19</v>
      </c>
      <c r="C79" s="2">
        <v>10</v>
      </c>
      <c r="D79" s="2">
        <v>28</v>
      </c>
      <c r="E79" s="2">
        <v>70</v>
      </c>
      <c r="F79" s="2">
        <v>95</v>
      </c>
      <c r="G79" s="7">
        <v>90</v>
      </c>
    </row>
    <row r="80" spans="2:14" x14ac:dyDescent="0.3">
      <c r="B80" s="8" t="s">
        <v>20</v>
      </c>
      <c r="C80" s="2">
        <v>249</v>
      </c>
      <c r="D80" s="2">
        <v>181</v>
      </c>
      <c r="E80" s="2">
        <v>72</v>
      </c>
      <c r="F80" s="2">
        <v>43</v>
      </c>
      <c r="G80" s="7">
        <v>116</v>
      </c>
    </row>
    <row r="81" spans="2:14" x14ac:dyDescent="0.3">
      <c r="B81" s="8" t="s">
        <v>21</v>
      </c>
      <c r="C81" s="2">
        <v>955</v>
      </c>
      <c r="D81" s="2">
        <v>905</v>
      </c>
      <c r="E81" s="2">
        <v>900</v>
      </c>
      <c r="F81" s="2">
        <v>928</v>
      </c>
      <c r="G81" s="7">
        <v>918</v>
      </c>
    </row>
    <row r="82" spans="2:14" ht="16.2" thickBot="1" x14ac:dyDescent="0.35">
      <c r="B82" s="9" t="s">
        <v>22</v>
      </c>
      <c r="C82" s="10">
        <v>505</v>
      </c>
      <c r="D82" s="10">
        <v>506</v>
      </c>
      <c r="E82" s="10">
        <v>508</v>
      </c>
      <c r="F82" s="10">
        <v>514</v>
      </c>
      <c r="G82" s="11">
        <v>259</v>
      </c>
    </row>
    <row r="83" spans="2:14" ht="16.2" thickBot="1" x14ac:dyDescent="0.35">
      <c r="B83" s="1"/>
      <c r="C83" s="2"/>
      <c r="D83" s="2"/>
      <c r="E83" s="2"/>
      <c r="F83" s="2"/>
      <c r="G83" s="2"/>
    </row>
    <row r="84" spans="2:14" ht="16.2" thickBot="1" x14ac:dyDescent="0.35">
      <c r="B84" s="5" t="s">
        <v>28</v>
      </c>
      <c r="C84" s="46"/>
      <c r="D84" s="46"/>
      <c r="E84" s="46"/>
      <c r="F84" s="46"/>
      <c r="G84" s="47"/>
    </row>
    <row r="85" spans="2:14" x14ac:dyDescent="0.3">
      <c r="B85" s="6"/>
      <c r="C85" s="2">
        <v>2018</v>
      </c>
      <c r="D85" s="2">
        <v>2017</v>
      </c>
      <c r="E85" s="2">
        <v>2016</v>
      </c>
      <c r="F85" s="2">
        <v>2015</v>
      </c>
      <c r="G85" s="7">
        <v>2014</v>
      </c>
    </row>
    <row r="86" spans="2:14" x14ac:dyDescent="0.3">
      <c r="B86" s="8" t="s">
        <v>10</v>
      </c>
      <c r="C86" s="2">
        <v>28</v>
      </c>
      <c r="D86" s="2">
        <v>46</v>
      </c>
      <c r="E86" s="2">
        <v>41</v>
      </c>
      <c r="F86" s="2">
        <v>57</v>
      </c>
      <c r="G86" s="7" t="s">
        <v>11</v>
      </c>
    </row>
    <row r="87" spans="2:14" x14ac:dyDescent="0.3">
      <c r="B87" s="8" t="s">
        <v>12</v>
      </c>
      <c r="C87" s="2" t="s">
        <v>11</v>
      </c>
      <c r="D87" s="2" t="s">
        <v>11</v>
      </c>
      <c r="E87" s="2" t="s">
        <v>11</v>
      </c>
      <c r="F87" s="2" t="s">
        <v>11</v>
      </c>
      <c r="G87" s="7" t="s">
        <v>11</v>
      </c>
    </row>
    <row r="88" spans="2:14" x14ac:dyDescent="0.3">
      <c r="B88" s="8" t="s">
        <v>13</v>
      </c>
      <c r="C88" s="2" t="s">
        <v>11</v>
      </c>
      <c r="D88" s="2" t="s">
        <v>11</v>
      </c>
      <c r="E88" s="2" t="s">
        <v>11</v>
      </c>
      <c r="F88" s="2" t="s">
        <v>11</v>
      </c>
      <c r="G88" s="7" t="s">
        <v>11</v>
      </c>
    </row>
    <row r="89" spans="2:14" x14ac:dyDescent="0.3">
      <c r="B89" s="8" t="s">
        <v>14</v>
      </c>
      <c r="C89" s="2" t="s">
        <v>11</v>
      </c>
      <c r="D89" s="2" t="s">
        <v>11</v>
      </c>
      <c r="E89" s="2" t="s">
        <v>11</v>
      </c>
      <c r="F89" s="2" t="s">
        <v>11</v>
      </c>
      <c r="G89" s="7" t="s">
        <v>11</v>
      </c>
    </row>
    <row r="90" spans="2:14" x14ac:dyDescent="0.3">
      <c r="B90" s="8" t="s">
        <v>15</v>
      </c>
      <c r="C90" s="2">
        <v>1</v>
      </c>
      <c r="D90" s="2">
        <v>5</v>
      </c>
      <c r="E90" s="2">
        <v>5</v>
      </c>
      <c r="F90" s="2">
        <v>3</v>
      </c>
      <c r="G90" s="7" t="s">
        <v>11</v>
      </c>
      <c r="L90" s="16"/>
      <c r="M90" s="16"/>
      <c r="N90" s="16"/>
    </row>
    <row r="91" spans="2:14" x14ac:dyDescent="0.3">
      <c r="B91" s="8" t="s">
        <v>16</v>
      </c>
      <c r="C91" s="2">
        <v>44</v>
      </c>
      <c r="D91" s="2">
        <v>44</v>
      </c>
      <c r="E91" s="2">
        <v>38</v>
      </c>
      <c r="F91" s="2" t="s">
        <v>11</v>
      </c>
      <c r="G91" s="7" t="s">
        <v>11</v>
      </c>
    </row>
    <row r="92" spans="2:14" x14ac:dyDescent="0.3">
      <c r="B92" s="8" t="s">
        <v>17</v>
      </c>
      <c r="C92" s="2">
        <v>0</v>
      </c>
      <c r="D92" s="2">
        <v>0</v>
      </c>
      <c r="E92" s="2">
        <v>0</v>
      </c>
      <c r="F92" s="2" t="s">
        <v>11</v>
      </c>
      <c r="G92" s="7" t="s">
        <v>11</v>
      </c>
      <c r="J92" s="17">
        <f>AVERAGE(L92:N92)</f>
        <v>8.1496960486322184E-2</v>
      </c>
      <c r="L92" s="15">
        <f>C90/C96</f>
        <v>2.1276595744680851E-2</v>
      </c>
      <c r="M92" s="15">
        <f t="shared" ref="M92" si="9">D90/D96</f>
        <v>0.10416666666666667</v>
      </c>
      <c r="N92" s="15">
        <f t="shared" ref="N92" si="10">E90/E96</f>
        <v>0.11904761904761904</v>
      </c>
    </row>
    <row r="93" spans="2:14" x14ac:dyDescent="0.3">
      <c r="B93" s="8" t="s">
        <v>18</v>
      </c>
      <c r="C93" s="2">
        <v>0</v>
      </c>
      <c r="D93" s="2">
        <v>0</v>
      </c>
      <c r="E93" s="2">
        <v>0</v>
      </c>
      <c r="F93" s="2" t="s">
        <v>11</v>
      </c>
      <c r="G93" s="7" t="s">
        <v>11</v>
      </c>
    </row>
    <row r="94" spans="2:14" x14ac:dyDescent="0.3">
      <c r="B94" s="8" t="s">
        <v>19</v>
      </c>
      <c r="C94" s="2">
        <v>1</v>
      </c>
      <c r="D94" s="2">
        <v>1</v>
      </c>
      <c r="E94" s="2">
        <v>3</v>
      </c>
      <c r="F94" s="2" t="s">
        <v>11</v>
      </c>
      <c r="G94" s="7" t="s">
        <v>11</v>
      </c>
    </row>
    <row r="95" spans="2:14" x14ac:dyDescent="0.3">
      <c r="B95" s="8" t="s">
        <v>20</v>
      </c>
      <c r="C95" s="2">
        <v>2</v>
      </c>
      <c r="D95" s="2">
        <v>2</v>
      </c>
      <c r="E95" s="2">
        <v>1</v>
      </c>
      <c r="F95" s="2" t="s">
        <v>11</v>
      </c>
      <c r="G95" s="7" t="s">
        <v>11</v>
      </c>
    </row>
    <row r="96" spans="2:14" x14ac:dyDescent="0.3">
      <c r="B96" s="8" t="s">
        <v>21</v>
      </c>
      <c r="C96" s="2">
        <v>47</v>
      </c>
      <c r="D96" s="2">
        <v>48</v>
      </c>
      <c r="E96" s="2">
        <v>42</v>
      </c>
      <c r="F96" s="2" t="s">
        <v>11</v>
      </c>
      <c r="G96" s="7" t="s">
        <v>11</v>
      </c>
    </row>
    <row r="97" spans="2:14" ht="16.2" thickBot="1" x14ac:dyDescent="0.35">
      <c r="B97" s="9" t="s">
        <v>22</v>
      </c>
      <c r="C97" s="10">
        <v>0</v>
      </c>
      <c r="D97" s="10">
        <v>0</v>
      </c>
      <c r="E97" s="10">
        <v>0</v>
      </c>
      <c r="F97" s="10" t="s">
        <v>11</v>
      </c>
      <c r="G97" s="11" t="s">
        <v>11</v>
      </c>
    </row>
    <row r="98" spans="2:14" x14ac:dyDescent="0.3">
      <c r="B98" s="49"/>
      <c r="C98" s="49"/>
      <c r="D98" s="49"/>
      <c r="E98" s="49"/>
      <c r="F98" s="49"/>
      <c r="G98" s="49"/>
      <c r="J98" s="17"/>
      <c r="K98" s="15"/>
      <c r="L98" s="15"/>
      <c r="M98" s="15"/>
    </row>
    <row r="99" spans="2:14" ht="16.2" thickBot="1" x14ac:dyDescent="0.35">
      <c r="B99" s="48"/>
      <c r="C99" s="48"/>
      <c r="D99" s="48"/>
      <c r="E99" s="48"/>
      <c r="F99" s="48"/>
      <c r="G99" s="48"/>
    </row>
    <row r="100" spans="2:14" ht="16.2" thickBot="1" x14ac:dyDescent="0.35">
      <c r="B100" s="5" t="s">
        <v>29</v>
      </c>
      <c r="C100" s="46"/>
      <c r="D100" s="46"/>
      <c r="E100" s="46"/>
      <c r="F100" s="46"/>
      <c r="G100" s="47"/>
    </row>
    <row r="101" spans="2:14" x14ac:dyDescent="0.3">
      <c r="B101" s="6"/>
      <c r="C101" s="2">
        <v>2018</v>
      </c>
      <c r="D101" s="2">
        <v>2017</v>
      </c>
      <c r="E101" s="2">
        <v>2016</v>
      </c>
      <c r="F101" s="2">
        <v>2015</v>
      </c>
      <c r="G101" s="7">
        <v>2014</v>
      </c>
    </row>
    <row r="102" spans="2:14" x14ac:dyDescent="0.3">
      <c r="B102" s="8" t="s">
        <v>10</v>
      </c>
      <c r="C102" s="2">
        <v>833</v>
      </c>
      <c r="D102" s="2">
        <v>617</v>
      </c>
      <c r="E102" s="2">
        <v>345</v>
      </c>
      <c r="F102" s="2">
        <v>262</v>
      </c>
      <c r="G102" s="7">
        <v>145</v>
      </c>
    </row>
    <row r="103" spans="2:14" x14ac:dyDescent="0.3">
      <c r="B103" s="8" t="s">
        <v>12</v>
      </c>
      <c r="C103" s="2">
        <v>543</v>
      </c>
      <c r="D103" s="2">
        <v>332</v>
      </c>
      <c r="E103" s="2">
        <v>177</v>
      </c>
      <c r="F103" s="2">
        <v>187</v>
      </c>
      <c r="G103" s="7">
        <v>110</v>
      </c>
    </row>
    <row r="104" spans="2:14" x14ac:dyDescent="0.3">
      <c r="B104" s="8" t="s">
        <v>13</v>
      </c>
      <c r="C104" s="2">
        <v>290</v>
      </c>
      <c r="D104" s="2">
        <v>284</v>
      </c>
      <c r="E104" s="2">
        <v>168</v>
      </c>
      <c r="F104" s="2">
        <v>74</v>
      </c>
      <c r="G104" s="7">
        <v>35</v>
      </c>
    </row>
    <row r="105" spans="2:14" x14ac:dyDescent="0.3">
      <c r="B105" s="8" t="s">
        <v>14</v>
      </c>
      <c r="C105" s="2">
        <v>286</v>
      </c>
      <c r="D105" s="2">
        <v>248</v>
      </c>
      <c r="E105" s="2">
        <v>156</v>
      </c>
      <c r="F105" s="2">
        <v>86</v>
      </c>
      <c r="G105" s="7">
        <v>25</v>
      </c>
    </row>
    <row r="106" spans="2:14" x14ac:dyDescent="0.3">
      <c r="B106" s="8" t="s">
        <v>15</v>
      </c>
      <c r="C106" s="2">
        <v>4</v>
      </c>
      <c r="D106" s="2">
        <v>36</v>
      </c>
      <c r="E106" s="2">
        <v>12</v>
      </c>
      <c r="F106" s="2">
        <v>-12</v>
      </c>
      <c r="G106" s="7">
        <v>10</v>
      </c>
      <c r="L106" s="16"/>
      <c r="M106" s="16"/>
      <c r="N106" s="16"/>
    </row>
    <row r="107" spans="2:14" x14ac:dyDescent="0.3">
      <c r="B107" s="8" t="s">
        <v>16</v>
      </c>
      <c r="C107" s="2">
        <v>89</v>
      </c>
      <c r="D107" s="2">
        <v>70</v>
      </c>
      <c r="E107" s="2">
        <v>24</v>
      </c>
      <c r="F107" s="2">
        <v>0</v>
      </c>
      <c r="G107" s="7" t="s">
        <v>11</v>
      </c>
    </row>
    <row r="108" spans="2:14" x14ac:dyDescent="0.3">
      <c r="B108" s="8" t="s">
        <v>17</v>
      </c>
      <c r="C108" s="2">
        <v>0</v>
      </c>
      <c r="D108" s="2">
        <v>0</v>
      </c>
      <c r="E108" s="2" t="s">
        <v>11</v>
      </c>
      <c r="F108" s="2" t="s">
        <v>11</v>
      </c>
      <c r="G108" s="7" t="s">
        <v>11</v>
      </c>
      <c r="J108" s="17">
        <f>AVERAGE(L108:N108)</f>
        <v>0.10993311823620354</v>
      </c>
      <c r="L108" s="15">
        <f>C106/C112</f>
        <v>1.532567049808429E-2</v>
      </c>
      <c r="M108" s="15">
        <f t="shared" ref="M108" si="11">D106/D112</f>
        <v>0.18947368421052632</v>
      </c>
      <c r="N108" s="15">
        <f t="shared" ref="N108" si="12">E106/E112</f>
        <v>0.125</v>
      </c>
    </row>
    <row r="109" spans="2:14" x14ac:dyDescent="0.3">
      <c r="B109" s="8" t="s">
        <v>18</v>
      </c>
      <c r="C109" s="2">
        <v>0</v>
      </c>
      <c r="D109" s="2">
        <v>0</v>
      </c>
      <c r="E109" s="2">
        <v>0</v>
      </c>
      <c r="F109" s="2">
        <v>0</v>
      </c>
      <c r="G109" s="7" t="s">
        <v>11</v>
      </c>
    </row>
    <row r="110" spans="2:14" x14ac:dyDescent="0.3">
      <c r="B110" s="8" t="s">
        <v>19</v>
      </c>
      <c r="C110" s="2">
        <v>142</v>
      </c>
      <c r="D110" s="2">
        <v>100</v>
      </c>
      <c r="E110" s="2">
        <v>55</v>
      </c>
      <c r="F110" s="2">
        <v>40</v>
      </c>
      <c r="G110" s="7" t="s">
        <v>11</v>
      </c>
    </row>
    <row r="111" spans="2:14" x14ac:dyDescent="0.3">
      <c r="B111" s="8" t="s">
        <v>20</v>
      </c>
      <c r="C111" s="2">
        <v>31</v>
      </c>
      <c r="D111" s="2">
        <v>19</v>
      </c>
      <c r="E111" s="2">
        <v>18</v>
      </c>
      <c r="F111" s="2">
        <v>17</v>
      </c>
      <c r="G111" s="7" t="s">
        <v>11</v>
      </c>
    </row>
    <row r="112" spans="2:14" x14ac:dyDescent="0.3">
      <c r="B112" s="8" t="s">
        <v>21</v>
      </c>
      <c r="C112" s="2">
        <v>261</v>
      </c>
      <c r="D112" s="2">
        <v>190</v>
      </c>
      <c r="E112" s="2">
        <v>96</v>
      </c>
      <c r="F112" s="2">
        <v>57</v>
      </c>
      <c r="G112" s="7" t="s">
        <v>11</v>
      </c>
    </row>
    <row r="113" spans="2:7" ht="16.2" thickBot="1" x14ac:dyDescent="0.35">
      <c r="B113" s="9" t="s">
        <v>22</v>
      </c>
      <c r="C113" s="10">
        <v>71</v>
      </c>
      <c r="D113" s="10">
        <v>73</v>
      </c>
      <c r="E113" s="10">
        <v>69</v>
      </c>
      <c r="F113" s="10">
        <v>36</v>
      </c>
      <c r="G113" s="11" t="s">
        <v>11</v>
      </c>
    </row>
    <row r="117" spans="2:7" x14ac:dyDescent="0.3">
      <c r="C117" s="3">
        <v>2018</v>
      </c>
      <c r="D117" s="3">
        <v>2017</v>
      </c>
      <c r="E117" s="3">
        <v>2016</v>
      </c>
      <c r="F117" s="3" t="s">
        <v>50</v>
      </c>
    </row>
    <row r="118" spans="2:7" x14ac:dyDescent="0.3">
      <c r="B118" s="4" t="s">
        <v>51</v>
      </c>
      <c r="C118" s="20">
        <v>7.9025923016496469E-2</v>
      </c>
      <c r="D118" s="20">
        <v>8.2877697841726619E-2</v>
      </c>
      <c r="E118" s="15" t="s">
        <v>58</v>
      </c>
      <c r="F118" s="17">
        <f>AVERAGE(C118:E118)</f>
        <v>8.0951810429111537E-2</v>
      </c>
    </row>
    <row r="119" spans="2:7" x14ac:dyDescent="0.3">
      <c r="B119" s="4" t="s">
        <v>52</v>
      </c>
      <c r="C119" s="21">
        <v>9.4377510040160636E-2</v>
      </c>
      <c r="D119" s="19">
        <v>0.14814814814814814</v>
      </c>
      <c r="E119" s="20">
        <v>4.7872340425531915E-2</v>
      </c>
      <c r="F119" s="17">
        <f t="shared" ref="F119:F124" si="13">AVERAGE(C119:E119)</f>
        <v>9.679933287128023E-2</v>
      </c>
      <c r="G119" s="3" t="s">
        <v>61</v>
      </c>
    </row>
    <row r="120" spans="2:7" x14ac:dyDescent="0.3">
      <c r="B120" s="4" t="s">
        <v>53</v>
      </c>
      <c r="C120" s="20">
        <v>2.5990099009900989E-2</v>
      </c>
      <c r="D120" s="18">
        <v>2.1934197407776669E-2</v>
      </c>
      <c r="E120" s="20">
        <v>3.1865042174320526E-2</v>
      </c>
      <c r="F120" s="17">
        <f t="shared" si="13"/>
        <v>2.6596446197332729E-2</v>
      </c>
      <c r="G120" s="4" t="s">
        <v>62</v>
      </c>
    </row>
    <row r="121" spans="2:7" x14ac:dyDescent="0.3">
      <c r="B121" s="4" t="s">
        <v>54</v>
      </c>
      <c r="C121" s="20">
        <v>7.5503355704697989E-2</v>
      </c>
      <c r="D121" s="20">
        <v>4.1894353369763208E-2</v>
      </c>
      <c r="E121" s="20">
        <v>6.4030131826741998E-2</v>
      </c>
      <c r="F121" s="17">
        <f t="shared" si="13"/>
        <v>6.0475946967067734E-2</v>
      </c>
    </row>
    <row r="122" spans="2:7" x14ac:dyDescent="0.3">
      <c r="B122" s="4" t="s">
        <v>55</v>
      </c>
      <c r="C122" s="20">
        <v>4.9214659685863874E-2</v>
      </c>
      <c r="D122" s="15">
        <v>1.2154696132596685E-2</v>
      </c>
      <c r="E122" s="19">
        <v>-2.4444444444444446E-2</v>
      </c>
      <c r="F122" s="17">
        <f t="shared" si="13"/>
        <v>1.2308303791338704E-2</v>
      </c>
      <c r="G122" s="3" t="s">
        <v>59</v>
      </c>
    </row>
    <row r="123" spans="2:7" x14ac:dyDescent="0.3">
      <c r="B123" s="4" t="s">
        <v>56</v>
      </c>
      <c r="C123" s="21">
        <v>2.1276595744680851E-2</v>
      </c>
      <c r="D123" s="15">
        <v>0.10416666666666667</v>
      </c>
      <c r="E123" s="15">
        <v>0.11904761904761904</v>
      </c>
      <c r="F123" s="17">
        <f t="shared" si="13"/>
        <v>8.1496960486322184E-2</v>
      </c>
    </row>
    <row r="124" spans="2:7" x14ac:dyDescent="0.3">
      <c r="B124" s="4" t="s">
        <v>57</v>
      </c>
      <c r="C124" s="15">
        <v>1.532567049808429E-2</v>
      </c>
      <c r="D124" s="15">
        <v>0.18947368421052632</v>
      </c>
      <c r="E124" s="15">
        <v>0.125</v>
      </c>
      <c r="F124" s="17">
        <f t="shared" si="13"/>
        <v>0.10993311823620354</v>
      </c>
      <c r="G124" s="3" t="s">
        <v>60</v>
      </c>
    </row>
    <row r="126" spans="2:7" x14ac:dyDescent="0.3">
      <c r="B126" s="4" t="s">
        <v>63</v>
      </c>
      <c r="C126" s="17">
        <v>6.2399999999999997E-2</v>
      </c>
    </row>
    <row r="127" spans="2:7" x14ac:dyDescent="0.3">
      <c r="B127" s="4" t="s">
        <v>64</v>
      </c>
      <c r="C127" s="17">
        <f>AVERAGE(D120,D118)</f>
        <v>5.2405947624751648E-2</v>
      </c>
    </row>
    <row r="129" spans="2:3" x14ac:dyDescent="0.3">
      <c r="B129" s="4" t="s">
        <v>45</v>
      </c>
      <c r="C129" s="4" t="s">
        <v>65</v>
      </c>
    </row>
    <row r="131" spans="2:3" x14ac:dyDescent="0.3">
      <c r="B131" s="4" t="s">
        <v>66</v>
      </c>
    </row>
  </sheetData>
  <mergeCells count="11">
    <mergeCell ref="C5:G5"/>
    <mergeCell ref="B99:G99"/>
    <mergeCell ref="C84:G84"/>
    <mergeCell ref="C100:G100"/>
    <mergeCell ref="C53:G53"/>
    <mergeCell ref="C37:G37"/>
    <mergeCell ref="C21:G21"/>
    <mergeCell ref="B35:G35"/>
    <mergeCell ref="B36:G36"/>
    <mergeCell ref="C69:G69"/>
    <mergeCell ref="B98:G9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Respuesta Sprint 2</vt:lpstr>
      <vt:lpstr>Empresas comparables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SR</dc:creator>
  <cp:lastModifiedBy>Oriol puig i Carreró</cp:lastModifiedBy>
  <dcterms:created xsi:type="dcterms:W3CDTF">2021-05-10T17:26:22Z</dcterms:created>
  <dcterms:modified xsi:type="dcterms:W3CDTF">2024-02-14T18:30:16Z</dcterms:modified>
</cp:coreProperties>
</file>