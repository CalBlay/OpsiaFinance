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1/"/>
    </mc:Choice>
  </mc:AlternateContent>
  <xr:revisionPtr revIDLastSave="0" documentId="8_{60A0F522-3FBC-46FF-B640-8CF29253F7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unciado" sheetId="1" r:id="rId1"/>
    <sheet name="Cálculos" sheetId="2" r:id="rId2"/>
  </sheets>
  <definedNames>
    <definedName name="_xlnm._FilterDatabase" localSheetId="1" hidden="1">Cálculos!$B$2:$E$2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" i="2" l="1"/>
  <c r="J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33" i="2" s="1"/>
  <c r="C33" i="2" l="1"/>
</calcChain>
</file>

<file path=xl/sharedStrings.xml><?xml version="1.0" encoding="utf-8"?>
<sst xmlns="http://schemas.openxmlformats.org/spreadsheetml/2006/main" count="53" uniqueCount="53">
  <si>
    <t>ACTIVIDAD DE LA CLASE 1 (SPRINT 1)</t>
  </si>
  <si>
    <r>
      <t>Título de la actividad:</t>
    </r>
    <r>
      <rPr>
        <sz val="12"/>
        <color rgb="FF000000"/>
        <rFont val="Arial"/>
        <family val="2"/>
      </rPr>
      <t xml:space="preserve"> Caso de aplicación de un Programa de Confirming</t>
    </r>
  </si>
  <si>
    <r>
      <t xml:space="preserve">Enunciado y descripción: </t>
    </r>
    <r>
      <rPr>
        <sz val="12"/>
        <color rgb="FF000000"/>
        <rFont val="Arial"/>
        <family val="2"/>
      </rPr>
      <t>Eres el responsable de tesorería de un grupo empresarial con un gasto anual de 5 millones de EUR anuales en bienes y servicios por parte de sus 30 principales proveedores, que son pequeñas y medianas empresas locales.</t>
    </r>
  </si>
  <si>
    <t>El responsable de compras se pone en contacto contigo para comentar que algunos proveedores están solicitando plazos de pago más cortos debido a sus necesidades de liquidez, ya que actualmente las condiciones de pago oscilan entre los 60 y los 90 días, en función del proveedor.</t>
  </si>
  <si>
    <t>¿Cómo le presentarías la solución de implantar un programa de Confirming?</t>
  </si>
  <si>
    <t>Prepara un análisis del caso y una presentación con los principales puntos a destacar, el coste medio para el proveedor y las principales ventajas para nuestra empresa y para nuestros proveedores.</t>
  </si>
  <si>
    <t>Puedes tomar todas las hipótesis que necesites para el desarrollo. Si lo prefieres puedes convertir el importe del gasto a otra divisa. (Para el ejercicio se considera un confirming con una bonificación del 30%).</t>
  </si>
  <si>
    <r>
      <t xml:space="preserve">Objetivo de la actividad: </t>
    </r>
    <r>
      <rPr>
        <sz val="12"/>
        <color rgb="FF000000"/>
        <rFont val="Arial"/>
        <family val="2"/>
      </rPr>
      <t>El objetivo es afianzar el concepto de confirming y sus principales ventajas para las partes implicadas.</t>
    </r>
  </si>
  <si>
    <r>
      <t xml:space="preserve">Ejemplo de respuesta: </t>
    </r>
    <r>
      <rPr>
        <sz val="12"/>
        <color rgb="FF000000"/>
        <rFont val="Arial"/>
        <family val="2"/>
      </rPr>
      <t>En la respuesta se deberán mencionar las ventajas para el proveedor (financiación sin estudio y sin consumo de riesgo, tipos de interés competitivos basados en la solvencia del comprador, flexibilidad para ajustarse a sus necesidades de caja, extra: en confirming sin recurso baja de efectos anticipados de cartera) así como las ventajas para la empresa (flexibilidad temporal del pago, ingreso financiero por mediación (si hay bonificación), estandarización de fechas y  medios de pago y reducción de trabajo administrativo).</t>
    </r>
  </si>
  <si>
    <t>Idealmente en el documento de análisis habrán hecho un listado de proveedores con su condición de pago actual y el coste que les puede suponer anticipar el cobro de las facturas y un estimado de las bonificaciones que recibiría la empresa si se anticipan.</t>
  </si>
  <si>
    <t>PROVEEDOR</t>
  </si>
  <si>
    <t>Prov 1</t>
  </si>
  <si>
    <t>Prov 2</t>
  </si>
  <si>
    <t>Prov 3</t>
  </si>
  <si>
    <t>Prov 4</t>
  </si>
  <si>
    <t>Prov 5</t>
  </si>
  <si>
    <t>Prov 6</t>
  </si>
  <si>
    <t>Prov 7</t>
  </si>
  <si>
    <t>Prov 8</t>
  </si>
  <si>
    <t>Prov 9</t>
  </si>
  <si>
    <t>Prov 10</t>
  </si>
  <si>
    <t>Prov 11</t>
  </si>
  <si>
    <t>Prov 12</t>
  </si>
  <si>
    <t>Prov 13</t>
  </si>
  <si>
    <t>Prov 14</t>
  </si>
  <si>
    <t>Prov 15</t>
  </si>
  <si>
    <t>Prov 16</t>
  </si>
  <si>
    <t>Prov 17</t>
  </si>
  <si>
    <t>Prov 18</t>
  </si>
  <si>
    <t>Prov 19</t>
  </si>
  <si>
    <t>Prov 20</t>
  </si>
  <si>
    <t>Prov 21</t>
  </si>
  <si>
    <t>Prov 22</t>
  </si>
  <si>
    <t>Prov 23</t>
  </si>
  <si>
    <t>Prov 24</t>
  </si>
  <si>
    <t>Prov 25</t>
  </si>
  <si>
    <t>Prov 26</t>
  </si>
  <si>
    <t>Prov 27</t>
  </si>
  <si>
    <t>Prov 28</t>
  </si>
  <si>
    <t>Prov 29</t>
  </si>
  <si>
    <t>Prov 30</t>
  </si>
  <si>
    <t>GASTO ANUAL</t>
  </si>
  <si>
    <t>PLAZO PAGO ACTUAL</t>
  </si>
  <si>
    <t>PLAZO PAGO CONFIRMING</t>
  </si>
  <si>
    <t>DÍAS APLAZAMIENTO</t>
  </si>
  <si>
    <t>BONIFICACIÓN POTENCIAL</t>
  </si>
  <si>
    <t>COSTE PROVEEDOR ANTICIPO TOTAL</t>
  </si>
  <si>
    <t>% BONIF.</t>
  </si>
  <si>
    <t>% COMISIÓN</t>
  </si>
  <si>
    <t>% INTERÉS</t>
  </si>
  <si>
    <t>TOTAL</t>
  </si>
  <si>
    <t>Hipótesis:</t>
  </si>
  <si>
    <t>Consideramos un tipo de interés por el anticipo de 2,5% sobre los días de descuento y una comisión del 0,10% del nominal.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</si>
</sst>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/>
    <xf numFmtId="4" fontId="4" fillId="0" borderId="0" xfId="0" applyNumberFormat="1" applyFont="1"/>
    <xf numFmtId="9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10" fontId="4" fillId="0" borderId="1" xfId="0" applyNumberFormat="1" applyFont="1" applyBorder="1"/>
    <xf numFmtId="9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/>
    <xf numFmtId="4" fontId="5" fillId="3" borderId="1" xfId="0" applyNumberFormat="1" applyFont="1" applyFill="1" applyBorder="1"/>
    <xf numFmtId="9" fontId="5" fillId="3" borderId="1" xfId="0" applyNumberFormat="1" applyFont="1" applyFill="1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>
      <selection activeCell="A5" sqref="A5"/>
    </sheetView>
  </sheetViews>
  <sheetFormatPr defaultColWidth="11.42578125" defaultRowHeight="15" x14ac:dyDescent="0.25"/>
  <cols>
    <col min="1" max="1" width="146" customWidth="1"/>
  </cols>
  <sheetData>
    <row r="1" spans="1:1" ht="15.75" x14ac:dyDescent="0.25">
      <c r="A1" s="1" t="s">
        <v>0</v>
      </c>
    </row>
    <row r="3" spans="1:1" ht="15.75" x14ac:dyDescent="0.25">
      <c r="A3" s="2" t="s">
        <v>1</v>
      </c>
    </row>
    <row r="4" spans="1:1" x14ac:dyDescent="0.25">
      <c r="A4" s="3"/>
    </row>
    <row r="5" spans="1:1" ht="30.75" x14ac:dyDescent="0.25">
      <c r="A5" s="2" t="s">
        <v>2</v>
      </c>
    </row>
    <row r="6" spans="1:1" ht="45" x14ac:dyDescent="0.25">
      <c r="A6" s="4" t="s">
        <v>3</v>
      </c>
    </row>
    <row r="7" spans="1:1" x14ac:dyDescent="0.25">
      <c r="A7" s="4" t="s">
        <v>4</v>
      </c>
    </row>
    <row r="8" spans="1:1" ht="30" x14ac:dyDescent="0.25">
      <c r="A8" s="4" t="s">
        <v>5</v>
      </c>
    </row>
    <row r="9" spans="1:1" ht="30" x14ac:dyDescent="0.25">
      <c r="A9" s="4" t="s">
        <v>6</v>
      </c>
    </row>
    <row r="10" spans="1:1" x14ac:dyDescent="0.25">
      <c r="A10" s="5"/>
    </row>
    <row r="11" spans="1:1" ht="30.75" x14ac:dyDescent="0.25">
      <c r="A11" s="2" t="s">
        <v>7</v>
      </c>
    </row>
    <row r="12" spans="1:1" x14ac:dyDescent="0.25">
      <c r="A12" s="5"/>
    </row>
    <row r="13" spans="1:1" ht="60.75" x14ac:dyDescent="0.25">
      <c r="A13" s="2" t="s">
        <v>8</v>
      </c>
    </row>
    <row r="14" spans="1:1" ht="30" x14ac:dyDescent="0.25">
      <c r="A14" s="4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3"/>
  <sheetViews>
    <sheetView showGridLines="0" tabSelected="1" workbookViewId="0">
      <selection activeCell="O12" sqref="O12"/>
    </sheetView>
  </sheetViews>
  <sheetFormatPr defaultColWidth="11.42578125" defaultRowHeight="12.75" x14ac:dyDescent="0.2"/>
  <cols>
    <col min="1" max="1" width="2.28515625" style="6" customWidth="1"/>
    <col min="2" max="2" width="12.7109375" style="6" bestFit="1" customWidth="1"/>
    <col min="3" max="3" width="13.85546875" style="7" bestFit="1" customWidth="1"/>
    <col min="4" max="4" width="11.85546875" style="6" customWidth="1"/>
    <col min="5" max="5" width="15.85546875" style="8" bestFit="1" customWidth="1"/>
    <col min="6" max="6" width="13.42578125" style="8" bestFit="1" customWidth="1"/>
    <col min="7" max="7" width="7.140625" style="6" bestFit="1" customWidth="1"/>
    <col min="8" max="8" width="9.28515625" style="6" bestFit="1" customWidth="1"/>
    <col min="9" max="9" width="6.28515625" style="6" bestFit="1" customWidth="1"/>
    <col min="10" max="10" width="15.7109375" style="6" bestFit="1" customWidth="1"/>
    <col min="11" max="11" width="12.42578125" style="6" bestFit="1" customWidth="1"/>
    <col min="12" max="12" width="11.42578125" style="6"/>
    <col min="13" max="13" width="8.85546875" style="6" bestFit="1" customWidth="1"/>
    <col min="14" max="16384" width="11.42578125" style="6"/>
  </cols>
  <sheetData>
    <row r="2" spans="2:14" s="10" customFormat="1" ht="30.75" customHeight="1" x14ac:dyDescent="0.25">
      <c r="B2" s="15" t="s">
        <v>10</v>
      </c>
      <c r="C2" s="16" t="s">
        <v>41</v>
      </c>
      <c r="D2" s="17" t="s">
        <v>42</v>
      </c>
      <c r="E2" s="18" t="s">
        <v>43</v>
      </c>
      <c r="F2" s="18" t="s">
        <v>44</v>
      </c>
      <c r="G2" s="17" t="s">
        <v>49</v>
      </c>
      <c r="H2" s="17" t="s">
        <v>48</v>
      </c>
      <c r="I2" s="17" t="s">
        <v>47</v>
      </c>
      <c r="J2" s="17" t="s">
        <v>46</v>
      </c>
      <c r="K2" s="17" t="s">
        <v>45</v>
      </c>
      <c r="M2" s="22" t="s">
        <v>51</v>
      </c>
      <c r="N2" s="23" t="s">
        <v>52</v>
      </c>
    </row>
    <row r="3" spans="2:14" x14ac:dyDescent="0.2">
      <c r="B3" s="11" t="s">
        <v>11</v>
      </c>
      <c r="C3" s="12">
        <v>329000</v>
      </c>
      <c r="D3" s="11">
        <v>60</v>
      </c>
      <c r="E3" s="11">
        <v>60</v>
      </c>
      <c r="F3" s="11">
        <f>+E3-D3</f>
        <v>0</v>
      </c>
      <c r="G3" s="13">
        <v>2.5000000000000001E-2</v>
      </c>
      <c r="H3" s="13">
        <v>1E-3</v>
      </c>
      <c r="I3" s="14">
        <v>0.3</v>
      </c>
      <c r="J3" s="12">
        <f>+(C3*G3*E3/360)+C3*H3</f>
        <v>1699.8333333333333</v>
      </c>
      <c r="K3" s="11">
        <f>+(C3*G3*E3/360)*I3</f>
        <v>411.24999999999994</v>
      </c>
    </row>
    <row r="4" spans="2:14" x14ac:dyDescent="0.2">
      <c r="B4" s="11" t="s">
        <v>12</v>
      </c>
      <c r="C4" s="12">
        <v>318000</v>
      </c>
      <c r="D4" s="11">
        <v>40</v>
      </c>
      <c r="E4" s="11">
        <v>60</v>
      </c>
      <c r="F4" s="11">
        <f t="shared" ref="F4:F32" si="0">+E4-D4</f>
        <v>20</v>
      </c>
      <c r="G4" s="13">
        <v>2.5000000000000001E-2</v>
      </c>
      <c r="H4" s="13">
        <v>1E-3</v>
      </c>
      <c r="I4" s="14">
        <v>0.3</v>
      </c>
      <c r="J4" s="12">
        <f t="shared" ref="J4:J32" si="1">+(C4*G4*E4/360)+C4*H4</f>
        <v>1643</v>
      </c>
      <c r="K4" s="11">
        <f t="shared" ref="K4:K32" si="2">+(C4*G4*E4/360)*I4</f>
        <v>397.5</v>
      </c>
    </row>
    <row r="5" spans="2:14" x14ac:dyDescent="0.2">
      <c r="B5" s="11" t="s">
        <v>13</v>
      </c>
      <c r="C5" s="12">
        <v>316000</v>
      </c>
      <c r="D5" s="11">
        <v>40</v>
      </c>
      <c r="E5" s="11">
        <v>60</v>
      </c>
      <c r="F5" s="11">
        <f t="shared" si="0"/>
        <v>20</v>
      </c>
      <c r="G5" s="13">
        <v>2.5000000000000001E-2</v>
      </c>
      <c r="H5" s="13">
        <v>1E-3</v>
      </c>
      <c r="I5" s="14">
        <v>0.3</v>
      </c>
      <c r="J5" s="12">
        <f t="shared" si="1"/>
        <v>1632.6666666666667</v>
      </c>
      <c r="K5" s="11">
        <f t="shared" si="2"/>
        <v>395</v>
      </c>
    </row>
    <row r="6" spans="2:14" x14ac:dyDescent="0.2">
      <c r="B6" s="11" t="s">
        <v>14</v>
      </c>
      <c r="C6" s="12">
        <v>296000</v>
      </c>
      <c r="D6" s="11">
        <v>30</v>
      </c>
      <c r="E6" s="11">
        <v>60</v>
      </c>
      <c r="F6" s="11">
        <f t="shared" si="0"/>
        <v>30</v>
      </c>
      <c r="G6" s="13">
        <v>2.5000000000000001E-2</v>
      </c>
      <c r="H6" s="13">
        <v>1E-3</v>
      </c>
      <c r="I6" s="14">
        <v>0.3</v>
      </c>
      <c r="J6" s="12">
        <f t="shared" si="1"/>
        <v>1529.3333333333333</v>
      </c>
      <c r="K6" s="11">
        <f t="shared" si="2"/>
        <v>369.99999999999994</v>
      </c>
    </row>
    <row r="7" spans="2:14" x14ac:dyDescent="0.2">
      <c r="B7" s="11" t="s">
        <v>15</v>
      </c>
      <c r="C7" s="12">
        <v>289000</v>
      </c>
      <c r="D7" s="11">
        <v>40</v>
      </c>
      <c r="E7" s="11">
        <v>60</v>
      </c>
      <c r="F7" s="11">
        <f t="shared" si="0"/>
        <v>20</v>
      </c>
      <c r="G7" s="13">
        <v>2.5000000000000001E-2</v>
      </c>
      <c r="H7" s="13">
        <v>1E-3</v>
      </c>
      <c r="I7" s="14">
        <v>0.3</v>
      </c>
      <c r="J7" s="12">
        <f t="shared" si="1"/>
        <v>1493.1666666666667</v>
      </c>
      <c r="K7" s="11">
        <f t="shared" si="2"/>
        <v>361.25</v>
      </c>
    </row>
    <row r="8" spans="2:14" x14ac:dyDescent="0.2">
      <c r="B8" s="11" t="s">
        <v>16</v>
      </c>
      <c r="C8" s="12">
        <v>283000</v>
      </c>
      <c r="D8" s="11">
        <v>40</v>
      </c>
      <c r="E8" s="11">
        <v>60</v>
      </c>
      <c r="F8" s="11">
        <f t="shared" si="0"/>
        <v>20</v>
      </c>
      <c r="G8" s="13">
        <v>2.5000000000000001E-2</v>
      </c>
      <c r="H8" s="13">
        <v>1E-3</v>
      </c>
      <c r="I8" s="14">
        <v>0.3</v>
      </c>
      <c r="J8" s="12">
        <f t="shared" si="1"/>
        <v>1462.1666666666667</v>
      </c>
      <c r="K8" s="11">
        <f t="shared" si="2"/>
        <v>353.75</v>
      </c>
    </row>
    <row r="9" spans="2:14" x14ac:dyDescent="0.2">
      <c r="B9" s="11" t="s">
        <v>17</v>
      </c>
      <c r="C9" s="12">
        <v>266000</v>
      </c>
      <c r="D9" s="11">
        <v>50</v>
      </c>
      <c r="E9" s="11">
        <v>60</v>
      </c>
      <c r="F9" s="11">
        <f t="shared" si="0"/>
        <v>10</v>
      </c>
      <c r="G9" s="13">
        <v>2.5000000000000001E-2</v>
      </c>
      <c r="H9" s="13">
        <v>1E-3</v>
      </c>
      <c r="I9" s="14">
        <v>0.3</v>
      </c>
      <c r="J9" s="12">
        <f t="shared" si="1"/>
        <v>1374.3333333333333</v>
      </c>
      <c r="K9" s="11">
        <f t="shared" si="2"/>
        <v>332.49999999999994</v>
      </c>
    </row>
    <row r="10" spans="2:14" x14ac:dyDescent="0.2">
      <c r="B10" s="11" t="s">
        <v>18</v>
      </c>
      <c r="C10" s="12">
        <v>253000</v>
      </c>
      <c r="D10" s="11">
        <v>30</v>
      </c>
      <c r="E10" s="11">
        <v>60</v>
      </c>
      <c r="F10" s="11">
        <f t="shared" si="0"/>
        <v>30</v>
      </c>
      <c r="G10" s="13">
        <v>2.5000000000000001E-2</v>
      </c>
      <c r="H10" s="13">
        <v>1E-3</v>
      </c>
      <c r="I10" s="14">
        <v>0.3</v>
      </c>
      <c r="J10" s="12">
        <f t="shared" si="1"/>
        <v>1307.1666666666667</v>
      </c>
      <c r="K10" s="11">
        <f t="shared" si="2"/>
        <v>316.25</v>
      </c>
    </row>
    <row r="11" spans="2:14" x14ac:dyDescent="0.2">
      <c r="B11" s="11" t="s">
        <v>19</v>
      </c>
      <c r="C11" s="12">
        <v>247000</v>
      </c>
      <c r="D11" s="11">
        <v>60</v>
      </c>
      <c r="E11" s="11">
        <v>60</v>
      </c>
      <c r="F11" s="11">
        <f t="shared" si="0"/>
        <v>0</v>
      </c>
      <c r="G11" s="13">
        <v>2.5000000000000001E-2</v>
      </c>
      <c r="H11" s="13">
        <v>1E-3</v>
      </c>
      <c r="I11" s="14">
        <v>0.3</v>
      </c>
      <c r="J11" s="12">
        <f t="shared" si="1"/>
        <v>1276.1666666666667</v>
      </c>
      <c r="K11" s="11">
        <f t="shared" si="2"/>
        <v>308.75</v>
      </c>
    </row>
    <row r="12" spans="2:14" x14ac:dyDescent="0.2">
      <c r="B12" s="11" t="s">
        <v>20</v>
      </c>
      <c r="C12" s="12">
        <v>234000</v>
      </c>
      <c r="D12" s="11">
        <v>40</v>
      </c>
      <c r="E12" s="11">
        <v>60</v>
      </c>
      <c r="F12" s="11">
        <f t="shared" si="0"/>
        <v>20</v>
      </c>
      <c r="G12" s="13">
        <v>2.5000000000000001E-2</v>
      </c>
      <c r="H12" s="13">
        <v>1E-3</v>
      </c>
      <c r="I12" s="14">
        <v>0.3</v>
      </c>
      <c r="J12" s="12">
        <f t="shared" si="1"/>
        <v>1209</v>
      </c>
      <c r="K12" s="11">
        <f t="shared" si="2"/>
        <v>292.5</v>
      </c>
    </row>
    <row r="13" spans="2:14" x14ac:dyDescent="0.2">
      <c r="B13" s="11" t="s">
        <v>21</v>
      </c>
      <c r="C13" s="12">
        <v>178000</v>
      </c>
      <c r="D13" s="11">
        <v>50</v>
      </c>
      <c r="E13" s="11">
        <v>60</v>
      </c>
      <c r="F13" s="11">
        <f t="shared" si="0"/>
        <v>10</v>
      </c>
      <c r="G13" s="13">
        <v>2.5000000000000001E-2</v>
      </c>
      <c r="H13" s="13">
        <v>1E-3</v>
      </c>
      <c r="I13" s="14">
        <v>0.3</v>
      </c>
      <c r="J13" s="12">
        <f t="shared" si="1"/>
        <v>919.66666666666663</v>
      </c>
      <c r="K13" s="11">
        <f t="shared" si="2"/>
        <v>222.49999999999997</v>
      </c>
    </row>
    <row r="14" spans="2:14" x14ac:dyDescent="0.2">
      <c r="B14" s="11" t="s">
        <v>22</v>
      </c>
      <c r="C14" s="12">
        <v>168000</v>
      </c>
      <c r="D14" s="11">
        <v>50</v>
      </c>
      <c r="E14" s="11">
        <v>60</v>
      </c>
      <c r="F14" s="11">
        <f t="shared" si="0"/>
        <v>10</v>
      </c>
      <c r="G14" s="13">
        <v>2.5000000000000001E-2</v>
      </c>
      <c r="H14" s="13">
        <v>1E-3</v>
      </c>
      <c r="I14" s="14">
        <v>0.3</v>
      </c>
      <c r="J14" s="12">
        <f t="shared" si="1"/>
        <v>868</v>
      </c>
      <c r="K14" s="11">
        <f t="shared" si="2"/>
        <v>210</v>
      </c>
    </row>
    <row r="15" spans="2:14" x14ac:dyDescent="0.2">
      <c r="B15" s="11" t="s">
        <v>23</v>
      </c>
      <c r="C15" s="12">
        <v>161000</v>
      </c>
      <c r="D15" s="11">
        <v>30</v>
      </c>
      <c r="E15" s="11">
        <v>60</v>
      </c>
      <c r="F15" s="11">
        <f t="shared" si="0"/>
        <v>30</v>
      </c>
      <c r="G15" s="13">
        <v>2.5000000000000001E-2</v>
      </c>
      <c r="H15" s="13">
        <v>1E-3</v>
      </c>
      <c r="I15" s="14">
        <v>0.3</v>
      </c>
      <c r="J15" s="12">
        <f t="shared" si="1"/>
        <v>831.83333333333337</v>
      </c>
      <c r="K15" s="11">
        <f t="shared" si="2"/>
        <v>201.25</v>
      </c>
    </row>
    <row r="16" spans="2:14" x14ac:dyDescent="0.2">
      <c r="B16" s="11" t="s">
        <v>24</v>
      </c>
      <c r="C16" s="12">
        <v>155000</v>
      </c>
      <c r="D16" s="11">
        <v>30</v>
      </c>
      <c r="E16" s="11">
        <v>60</v>
      </c>
      <c r="F16" s="11">
        <f t="shared" si="0"/>
        <v>30</v>
      </c>
      <c r="G16" s="13">
        <v>2.5000000000000001E-2</v>
      </c>
      <c r="H16" s="13">
        <v>1E-3</v>
      </c>
      <c r="I16" s="14">
        <v>0.3</v>
      </c>
      <c r="J16" s="12">
        <f t="shared" si="1"/>
        <v>800.83333333333337</v>
      </c>
      <c r="K16" s="11">
        <f t="shared" si="2"/>
        <v>193.75</v>
      </c>
    </row>
    <row r="17" spans="2:11" x14ac:dyDescent="0.2">
      <c r="B17" s="11" t="s">
        <v>25</v>
      </c>
      <c r="C17" s="12">
        <v>155000</v>
      </c>
      <c r="D17" s="11">
        <v>40</v>
      </c>
      <c r="E17" s="11">
        <v>60</v>
      </c>
      <c r="F17" s="11">
        <f t="shared" si="0"/>
        <v>20</v>
      </c>
      <c r="G17" s="13">
        <v>2.5000000000000001E-2</v>
      </c>
      <c r="H17" s="13">
        <v>1E-3</v>
      </c>
      <c r="I17" s="14">
        <v>0.3</v>
      </c>
      <c r="J17" s="12">
        <f t="shared" si="1"/>
        <v>800.83333333333337</v>
      </c>
      <c r="K17" s="11">
        <f t="shared" si="2"/>
        <v>193.75</v>
      </c>
    </row>
    <row r="18" spans="2:11" x14ac:dyDescent="0.2">
      <c r="B18" s="11" t="s">
        <v>26</v>
      </c>
      <c r="C18" s="12">
        <v>141000</v>
      </c>
      <c r="D18" s="11">
        <v>30</v>
      </c>
      <c r="E18" s="11">
        <v>60</v>
      </c>
      <c r="F18" s="11">
        <f t="shared" si="0"/>
        <v>30</v>
      </c>
      <c r="G18" s="13">
        <v>2.5000000000000001E-2</v>
      </c>
      <c r="H18" s="13">
        <v>1E-3</v>
      </c>
      <c r="I18" s="14">
        <v>0.3</v>
      </c>
      <c r="J18" s="12">
        <f t="shared" si="1"/>
        <v>728.5</v>
      </c>
      <c r="K18" s="11">
        <f t="shared" si="2"/>
        <v>176.25</v>
      </c>
    </row>
    <row r="19" spans="2:11" x14ac:dyDescent="0.2">
      <c r="B19" s="11" t="s">
        <v>27</v>
      </c>
      <c r="C19" s="12">
        <v>128000</v>
      </c>
      <c r="D19" s="11">
        <v>60</v>
      </c>
      <c r="E19" s="11">
        <v>60</v>
      </c>
      <c r="F19" s="11">
        <f t="shared" si="0"/>
        <v>0</v>
      </c>
      <c r="G19" s="13">
        <v>2.5000000000000001E-2</v>
      </c>
      <c r="H19" s="13">
        <v>1E-3</v>
      </c>
      <c r="I19" s="14">
        <v>0.3</v>
      </c>
      <c r="J19" s="12">
        <f t="shared" si="1"/>
        <v>661.33333333333337</v>
      </c>
      <c r="K19" s="11">
        <f t="shared" si="2"/>
        <v>160</v>
      </c>
    </row>
    <row r="20" spans="2:11" x14ac:dyDescent="0.2">
      <c r="B20" s="11" t="s">
        <v>28</v>
      </c>
      <c r="C20" s="12">
        <v>122000</v>
      </c>
      <c r="D20" s="11">
        <v>30</v>
      </c>
      <c r="E20" s="11">
        <v>60</v>
      </c>
      <c r="F20" s="11">
        <f t="shared" si="0"/>
        <v>30</v>
      </c>
      <c r="G20" s="13">
        <v>2.5000000000000001E-2</v>
      </c>
      <c r="H20" s="13">
        <v>1E-3</v>
      </c>
      <c r="I20" s="14">
        <v>0.3</v>
      </c>
      <c r="J20" s="12">
        <f t="shared" si="1"/>
        <v>630.33333333333326</v>
      </c>
      <c r="K20" s="11">
        <f t="shared" si="2"/>
        <v>152.5</v>
      </c>
    </row>
    <row r="21" spans="2:11" x14ac:dyDescent="0.2">
      <c r="B21" s="11" t="s">
        <v>29</v>
      </c>
      <c r="C21" s="12">
        <v>122000</v>
      </c>
      <c r="D21" s="11">
        <v>40</v>
      </c>
      <c r="E21" s="11">
        <v>60</v>
      </c>
      <c r="F21" s="11">
        <f t="shared" si="0"/>
        <v>20</v>
      </c>
      <c r="G21" s="13">
        <v>2.5000000000000001E-2</v>
      </c>
      <c r="H21" s="13">
        <v>1E-3</v>
      </c>
      <c r="I21" s="14">
        <v>0.3</v>
      </c>
      <c r="J21" s="12">
        <f t="shared" si="1"/>
        <v>630.33333333333326</v>
      </c>
      <c r="K21" s="11">
        <f t="shared" si="2"/>
        <v>152.5</v>
      </c>
    </row>
    <row r="22" spans="2:11" x14ac:dyDescent="0.2">
      <c r="B22" s="11" t="s">
        <v>30</v>
      </c>
      <c r="C22" s="12">
        <v>118000</v>
      </c>
      <c r="D22" s="11">
        <v>40</v>
      </c>
      <c r="E22" s="11">
        <v>60</v>
      </c>
      <c r="F22" s="11">
        <f t="shared" si="0"/>
        <v>20</v>
      </c>
      <c r="G22" s="13">
        <v>2.5000000000000001E-2</v>
      </c>
      <c r="H22" s="13">
        <v>1E-3</v>
      </c>
      <c r="I22" s="14">
        <v>0.3</v>
      </c>
      <c r="J22" s="12">
        <f t="shared" si="1"/>
        <v>609.66666666666674</v>
      </c>
      <c r="K22" s="11">
        <f t="shared" si="2"/>
        <v>147.5</v>
      </c>
    </row>
    <row r="23" spans="2:11" x14ac:dyDescent="0.2">
      <c r="B23" s="11" t="s">
        <v>31</v>
      </c>
      <c r="C23" s="12">
        <v>115000</v>
      </c>
      <c r="D23" s="11">
        <v>30</v>
      </c>
      <c r="E23" s="11">
        <v>60</v>
      </c>
      <c r="F23" s="11">
        <f t="shared" si="0"/>
        <v>30</v>
      </c>
      <c r="G23" s="13">
        <v>2.5000000000000001E-2</v>
      </c>
      <c r="H23" s="13">
        <v>1E-3</v>
      </c>
      <c r="I23" s="14">
        <v>0.3</v>
      </c>
      <c r="J23" s="12">
        <f t="shared" si="1"/>
        <v>594.16666666666674</v>
      </c>
      <c r="K23" s="11">
        <f t="shared" si="2"/>
        <v>143.75</v>
      </c>
    </row>
    <row r="24" spans="2:11" x14ac:dyDescent="0.2">
      <c r="B24" s="11" t="s">
        <v>32</v>
      </c>
      <c r="C24" s="12">
        <v>109000</v>
      </c>
      <c r="D24" s="11">
        <v>50</v>
      </c>
      <c r="E24" s="11">
        <v>60</v>
      </c>
      <c r="F24" s="11">
        <f t="shared" si="0"/>
        <v>10</v>
      </c>
      <c r="G24" s="13">
        <v>2.5000000000000001E-2</v>
      </c>
      <c r="H24" s="13">
        <v>1E-3</v>
      </c>
      <c r="I24" s="14">
        <v>0.3</v>
      </c>
      <c r="J24" s="12">
        <f t="shared" si="1"/>
        <v>563.16666666666674</v>
      </c>
      <c r="K24" s="11">
        <f t="shared" si="2"/>
        <v>136.25</v>
      </c>
    </row>
    <row r="25" spans="2:11" x14ac:dyDescent="0.2">
      <c r="B25" s="11" t="s">
        <v>33</v>
      </c>
      <c r="C25" s="12">
        <v>99000</v>
      </c>
      <c r="D25" s="11">
        <v>40</v>
      </c>
      <c r="E25" s="11">
        <v>60</v>
      </c>
      <c r="F25" s="11">
        <f t="shared" si="0"/>
        <v>20</v>
      </c>
      <c r="G25" s="13">
        <v>2.5000000000000001E-2</v>
      </c>
      <c r="H25" s="13">
        <v>1E-3</v>
      </c>
      <c r="I25" s="14">
        <v>0.3</v>
      </c>
      <c r="J25" s="12">
        <f t="shared" si="1"/>
        <v>511.5</v>
      </c>
      <c r="K25" s="11">
        <f t="shared" si="2"/>
        <v>123.75</v>
      </c>
    </row>
    <row r="26" spans="2:11" x14ac:dyDescent="0.2">
      <c r="B26" s="11" t="s">
        <v>34</v>
      </c>
      <c r="C26" s="12">
        <v>86000</v>
      </c>
      <c r="D26" s="11">
        <v>30</v>
      </c>
      <c r="E26" s="11">
        <v>60</v>
      </c>
      <c r="F26" s="11">
        <f t="shared" si="0"/>
        <v>30</v>
      </c>
      <c r="G26" s="13">
        <v>2.5000000000000001E-2</v>
      </c>
      <c r="H26" s="13">
        <v>1E-3</v>
      </c>
      <c r="I26" s="14">
        <v>0.3</v>
      </c>
      <c r="J26" s="12">
        <f t="shared" si="1"/>
        <v>444.33333333333331</v>
      </c>
      <c r="K26" s="11">
        <f t="shared" si="2"/>
        <v>107.49999999999999</v>
      </c>
    </row>
    <row r="27" spans="2:11" x14ac:dyDescent="0.2">
      <c r="B27" s="11" t="s">
        <v>35</v>
      </c>
      <c r="C27" s="12">
        <v>69000</v>
      </c>
      <c r="D27" s="11">
        <v>30</v>
      </c>
      <c r="E27" s="11">
        <v>60</v>
      </c>
      <c r="F27" s="11">
        <f t="shared" si="0"/>
        <v>30</v>
      </c>
      <c r="G27" s="13">
        <v>2.5000000000000001E-2</v>
      </c>
      <c r="H27" s="13">
        <v>1E-3</v>
      </c>
      <c r="I27" s="14">
        <v>0.3</v>
      </c>
      <c r="J27" s="12">
        <f t="shared" si="1"/>
        <v>356.5</v>
      </c>
      <c r="K27" s="11">
        <f t="shared" si="2"/>
        <v>86.25</v>
      </c>
    </row>
    <row r="28" spans="2:11" x14ac:dyDescent="0.2">
      <c r="B28" s="11" t="s">
        <v>36</v>
      </c>
      <c r="C28" s="12">
        <v>63000</v>
      </c>
      <c r="D28" s="11">
        <v>50</v>
      </c>
      <c r="E28" s="11">
        <v>60</v>
      </c>
      <c r="F28" s="11">
        <f t="shared" si="0"/>
        <v>10</v>
      </c>
      <c r="G28" s="13">
        <v>2.5000000000000001E-2</v>
      </c>
      <c r="H28" s="13">
        <v>1E-3</v>
      </c>
      <c r="I28" s="14">
        <v>0.3</v>
      </c>
      <c r="J28" s="12">
        <f t="shared" si="1"/>
        <v>325.5</v>
      </c>
      <c r="K28" s="11">
        <f t="shared" si="2"/>
        <v>78.75</v>
      </c>
    </row>
    <row r="29" spans="2:11" x14ac:dyDescent="0.2">
      <c r="B29" s="11" t="s">
        <v>37</v>
      </c>
      <c r="C29" s="12">
        <v>56000</v>
      </c>
      <c r="D29" s="11">
        <v>40</v>
      </c>
      <c r="E29" s="11">
        <v>60</v>
      </c>
      <c r="F29" s="11">
        <f t="shared" si="0"/>
        <v>20</v>
      </c>
      <c r="G29" s="13">
        <v>2.5000000000000001E-2</v>
      </c>
      <c r="H29" s="13">
        <v>1E-3</v>
      </c>
      <c r="I29" s="14">
        <v>0.3</v>
      </c>
      <c r="J29" s="12">
        <f t="shared" si="1"/>
        <v>289.33333333333337</v>
      </c>
      <c r="K29" s="11">
        <f t="shared" si="2"/>
        <v>70</v>
      </c>
    </row>
    <row r="30" spans="2:11" x14ac:dyDescent="0.2">
      <c r="B30" s="11" t="s">
        <v>38</v>
      </c>
      <c r="C30" s="12">
        <v>46000</v>
      </c>
      <c r="D30" s="11">
        <v>30</v>
      </c>
      <c r="E30" s="11">
        <v>60</v>
      </c>
      <c r="F30" s="11">
        <f t="shared" si="0"/>
        <v>30</v>
      </c>
      <c r="G30" s="13">
        <v>2.5000000000000001E-2</v>
      </c>
      <c r="H30" s="13">
        <v>1E-3</v>
      </c>
      <c r="I30" s="14">
        <v>0.3</v>
      </c>
      <c r="J30" s="12">
        <f t="shared" si="1"/>
        <v>237.66666666666666</v>
      </c>
      <c r="K30" s="11">
        <f t="shared" si="2"/>
        <v>57.499999999999993</v>
      </c>
    </row>
    <row r="31" spans="2:11" x14ac:dyDescent="0.2">
      <c r="B31" s="11" t="s">
        <v>39</v>
      </c>
      <c r="C31" s="12">
        <v>39000</v>
      </c>
      <c r="D31" s="11">
        <v>30</v>
      </c>
      <c r="E31" s="11">
        <v>60</v>
      </c>
      <c r="F31" s="11">
        <f t="shared" si="0"/>
        <v>30</v>
      </c>
      <c r="G31" s="13">
        <v>2.5000000000000001E-2</v>
      </c>
      <c r="H31" s="13">
        <v>1E-3</v>
      </c>
      <c r="I31" s="14">
        <v>0.3</v>
      </c>
      <c r="J31" s="12">
        <f t="shared" si="1"/>
        <v>201.5</v>
      </c>
      <c r="K31" s="11">
        <f t="shared" si="2"/>
        <v>48.75</v>
      </c>
    </row>
    <row r="32" spans="2:11" x14ac:dyDescent="0.2">
      <c r="B32" s="11" t="s">
        <v>40</v>
      </c>
      <c r="C32" s="12">
        <v>39000</v>
      </c>
      <c r="D32" s="11">
        <v>30</v>
      </c>
      <c r="E32" s="11">
        <v>60</v>
      </c>
      <c r="F32" s="11">
        <f t="shared" si="0"/>
        <v>30</v>
      </c>
      <c r="G32" s="13">
        <v>2.5000000000000001E-2</v>
      </c>
      <c r="H32" s="13">
        <v>1E-3</v>
      </c>
      <c r="I32" s="14">
        <v>0.3</v>
      </c>
      <c r="J32" s="12">
        <f t="shared" si="1"/>
        <v>201.5</v>
      </c>
      <c r="K32" s="11">
        <f t="shared" si="2"/>
        <v>48.75</v>
      </c>
    </row>
    <row r="33" spans="2:11" s="9" customFormat="1" x14ac:dyDescent="0.2">
      <c r="B33" s="19" t="s">
        <v>50</v>
      </c>
      <c r="C33" s="20">
        <f>SUM(C3:C32)</f>
        <v>5000000</v>
      </c>
      <c r="D33" s="19"/>
      <c r="E33" s="21"/>
      <c r="F33" s="20">
        <f>+AVERAGE(F3:F32)</f>
        <v>20.333333333333332</v>
      </c>
      <c r="G33" s="19"/>
      <c r="H33" s="19"/>
      <c r="I33" s="19"/>
      <c r="J33" s="20">
        <f t="shared" ref="J33:K33" si="3">SUM(J3:J32)</f>
        <v>25833.333333333328</v>
      </c>
      <c r="K33" s="20">
        <f t="shared" si="3"/>
        <v>6250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Enunciado</vt:lpstr>
      <vt:lpstr>Cálculos</vt:lpstr>
    </vt:vector>
  </TitlesOfParts>
  <Company>Cellnex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VIVES BOROTAU, ALEIX</dc:creator>
  <cp:lastModifiedBy>oriol Calblay</cp:lastModifiedBy>
  <dcterms:created xsi:type="dcterms:W3CDTF">2021-10-06T14:34:12Z</dcterms:created>
  <dcterms:modified xsi:type="dcterms:W3CDTF">2024-06-10T18:39:12Z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2021-10-06T15:13:06.1145580Z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6f5f3512-1736-455b-b81f-498987b26971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