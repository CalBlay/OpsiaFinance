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7/GESTION DE LA TESORERIA/Clase 2/"/>
    </mc:Choice>
  </mc:AlternateContent>
  <xr:revisionPtr revIDLastSave="1" documentId="8_{1B94BA25-6450-4919-B754-55B0D9C76796}" xr6:coauthVersionLast="47" xr6:coauthVersionMax="47" xr10:uidLastSave="{AD9B88C3-FD86-4DF2-9914-D6AF3283B6FF}"/>
  <bookViews>
    <workbookView xWindow="22932" yWindow="-60" windowWidth="23256" windowHeight="12456" xr2:uid="{00000000-000D-0000-FFFF-FFFF00000000}"/>
  </bookViews>
  <sheets>
    <sheet name="Ag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E5" i="1"/>
  <c r="F5" i="1" s="1"/>
  <c r="N5" i="1"/>
  <c r="D6" i="1"/>
  <c r="E6" i="1"/>
  <c r="H6" i="1"/>
  <c r="N6" i="1"/>
  <c r="E7" i="1"/>
  <c r="F7" i="1" s="1"/>
  <c r="N7" i="1"/>
  <c r="D8" i="1"/>
  <c r="E8" i="1"/>
  <c r="F8" i="1" s="1"/>
  <c r="N8" i="1"/>
  <c r="E9" i="1"/>
  <c r="F9" i="1" s="1"/>
  <c r="N9" i="1"/>
  <c r="H10" i="1"/>
  <c r="N10" i="1"/>
  <c r="D11" i="1"/>
  <c r="E11" i="1"/>
  <c r="N11" i="1"/>
  <c r="C13" i="1"/>
  <c r="D10" i="1" s="1"/>
  <c r="G13" i="1"/>
  <c r="I13" i="1"/>
  <c r="J13" i="1"/>
  <c r="J15" i="1" s="1"/>
  <c r="K13" i="1"/>
  <c r="K15" i="1" s="1"/>
  <c r="L13" i="1"/>
  <c r="M13" i="1"/>
  <c r="L15" i="1"/>
  <c r="M15" i="1"/>
  <c r="D7" i="1" l="1"/>
  <c r="D13" i="1" s="1"/>
  <c r="D9" i="1"/>
  <c r="F6" i="1"/>
  <c r="H13" i="1"/>
  <c r="H15" i="1" s="1"/>
  <c r="E10" i="1"/>
  <c r="E13" i="1" s="1"/>
  <c r="N13" i="1"/>
  <c r="O8" i="1" s="1"/>
  <c r="I15" i="1"/>
  <c r="F10" i="1" l="1"/>
  <c r="F13" i="1" s="1"/>
  <c r="O7" i="1"/>
  <c r="O5" i="1"/>
  <c r="O10" i="1"/>
  <c r="O11" i="1"/>
  <c r="N15" i="1"/>
  <c r="O9" i="1"/>
  <c r="O6" i="1"/>
  <c r="O13" i="1" l="1"/>
</calcChain>
</file>

<file path=xl/sharedStrings.xml><?xml version="1.0" encoding="utf-8"?>
<sst xmlns="http://schemas.openxmlformats.org/spreadsheetml/2006/main" count="24" uniqueCount="24">
  <si>
    <t>Total Deuda</t>
  </si>
  <si>
    <t>Resto Clientes</t>
  </si>
  <si>
    <t>Cliente 6</t>
  </si>
  <si>
    <t>Cliente 5</t>
  </si>
  <si>
    <t>Cliente 4</t>
  </si>
  <si>
    <t>Cliente 3</t>
  </si>
  <si>
    <t>Cliente 2</t>
  </si>
  <si>
    <t>Cliente 1</t>
  </si>
  <si>
    <t>% Vencido</t>
  </si>
  <si>
    <t>Total Vencido</t>
  </si>
  <si>
    <t>&gt;120 días</t>
  </si>
  <si>
    <t>91-120 días</t>
  </si>
  <si>
    <t>61-90 días</t>
  </si>
  <si>
    <t>31-60 días</t>
  </si>
  <si>
    <t>0-30 días</t>
  </si>
  <si>
    <t>Deuda Vencida</t>
  </si>
  <si>
    <t>No Vencido</t>
  </si>
  <si>
    <t>Vcto &gt; 60 días</t>
  </si>
  <si>
    <t>Vcto a 60 días</t>
  </si>
  <si>
    <t>Vcto a 30 días</t>
  </si>
  <si>
    <t>% Total</t>
  </si>
  <si>
    <t>Saldo</t>
  </si>
  <si>
    <t>Cliente</t>
  </si>
  <si>
    <t>AGING - INFORME DE ANTIGÜEDAD DE LA DEUDA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</si>
</sst>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7"/>
      <color rgb="FF333333"/>
      <name val="Arial"/>
      <family val="2"/>
    </font>
    <font>
      <i/>
      <sz val="17"/>
      <color rgb="FF333333"/>
      <name val="Arial"/>
      <family val="2"/>
    </font>
    <font>
      <b/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theme="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0" fontId="1" fillId="2" borderId="1" xfId="0" applyNumberFormat="1" applyFont="1" applyFill="1" applyBorder="1" applyAlignment="1">
      <alignment horizontal="right"/>
    </xf>
    <xf numFmtId="9" fontId="4" fillId="2" borderId="1" xfId="0" applyNumberFormat="1" applyFont="1" applyFill="1" applyBorder="1" applyAlignment="1">
      <alignment horizontal="right"/>
    </xf>
    <xf numFmtId="3" fontId="5" fillId="2" borderId="1" xfId="0" applyNumberFormat="1" applyFont="1" applyFill="1" applyBorder="1" applyAlignment="1">
      <alignment horizontal="right"/>
    </xf>
    <xf numFmtId="3" fontId="0" fillId="2" borderId="1" xfId="0" applyNumberFormat="1" applyFill="1" applyBorder="1" applyAlignment="1">
      <alignment horizontal="right"/>
    </xf>
    <xf numFmtId="0" fontId="5" fillId="2" borderId="1" xfId="0" applyFont="1" applyFill="1" applyBorder="1"/>
    <xf numFmtId="3" fontId="0" fillId="0" borderId="0" xfId="0" applyNumberFormat="1"/>
    <xf numFmtId="9" fontId="1" fillId="3" borderId="1" xfId="0" applyNumberFormat="1" applyFont="1" applyFill="1" applyBorder="1"/>
    <xf numFmtId="3" fontId="0" fillId="3" borderId="1" xfId="0" applyNumberFormat="1" applyFill="1" applyBorder="1"/>
    <xf numFmtId="3" fontId="0" fillId="0" borderId="1" xfId="0" applyNumberFormat="1" applyBorder="1"/>
    <xf numFmtId="3" fontId="5" fillId="3" borderId="1" xfId="0" applyNumberFormat="1" applyFont="1" applyFill="1" applyBorder="1"/>
    <xf numFmtId="0" fontId="0" fillId="0" borderId="1" xfId="0" applyBorder="1"/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0" borderId="0" xfId="0" applyFont="1"/>
    <xf numFmtId="0" fontId="7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showGridLines="0" tabSelected="1" workbookViewId="0">
      <selection activeCell="C17" sqref="C17"/>
    </sheetView>
  </sheetViews>
  <sheetFormatPr defaultColWidth="11.42578125" defaultRowHeight="15" outlineLevelCol="1" x14ac:dyDescent="0.25"/>
  <cols>
    <col min="1" max="1" width="4.7109375" customWidth="1"/>
    <col min="2" max="2" width="15.140625" bestFit="1" customWidth="1"/>
    <col min="3" max="3" width="10.140625" bestFit="1" customWidth="1"/>
    <col min="4" max="4" width="7.42578125" style="1" bestFit="1" customWidth="1"/>
    <col min="5" max="5" width="12.7109375" customWidth="1" outlineLevel="1"/>
    <col min="6" max="7" width="10" customWidth="1" outlineLevel="1"/>
    <col min="8" max="8" width="11.42578125" customWidth="1"/>
    <col min="9" max="9" width="9.140625" customWidth="1" outlineLevel="1"/>
    <col min="10" max="11" width="9.7109375" customWidth="1" outlineLevel="1"/>
    <col min="12" max="12" width="10.7109375" customWidth="1" outlineLevel="1"/>
    <col min="13" max="13" width="9" customWidth="1" outlineLevel="1"/>
    <col min="14" max="14" width="13.140625" bestFit="1" customWidth="1"/>
    <col min="15" max="15" width="10.28515625" style="1" bestFit="1" customWidth="1"/>
    <col min="16" max="16" width="11.42578125" customWidth="1"/>
  </cols>
  <sheetData>
    <row r="1" spans="1:16" x14ac:dyDescent="0.25">
      <c r="A1" s="19" t="s">
        <v>23</v>
      </c>
    </row>
    <row r="3" spans="1:16" ht="15" customHeight="1" x14ac:dyDescent="0.25">
      <c r="B3" s="20" t="s">
        <v>22</v>
      </c>
      <c r="C3" s="20" t="s">
        <v>21</v>
      </c>
      <c r="D3" s="21" t="s">
        <v>20</v>
      </c>
      <c r="E3" s="22" t="s">
        <v>19</v>
      </c>
      <c r="F3" s="22" t="s">
        <v>18</v>
      </c>
      <c r="G3" s="22" t="s">
        <v>17</v>
      </c>
      <c r="H3" s="20" t="s">
        <v>16</v>
      </c>
      <c r="I3" s="20" t="s">
        <v>15</v>
      </c>
      <c r="J3" s="20"/>
      <c r="K3" s="20"/>
      <c r="L3" s="20"/>
      <c r="M3" s="20"/>
      <c r="N3" s="20"/>
      <c r="O3" s="20"/>
    </row>
    <row r="4" spans="1:16" ht="15" customHeight="1" x14ac:dyDescent="0.25">
      <c r="B4" s="20"/>
      <c r="C4" s="20"/>
      <c r="D4" s="21"/>
      <c r="E4" s="22"/>
      <c r="F4" s="22"/>
      <c r="G4" s="22"/>
      <c r="H4" s="20"/>
      <c r="I4" s="18" t="s">
        <v>14</v>
      </c>
      <c r="J4" s="18" t="s">
        <v>13</v>
      </c>
      <c r="K4" s="18" t="s">
        <v>12</v>
      </c>
      <c r="L4" s="18" t="s">
        <v>11</v>
      </c>
      <c r="M4" s="18" t="s">
        <v>10</v>
      </c>
      <c r="N4" s="18" t="s">
        <v>9</v>
      </c>
      <c r="O4" s="17" t="s">
        <v>8</v>
      </c>
    </row>
    <row r="5" spans="1:16" x14ac:dyDescent="0.25">
      <c r="B5" s="16" t="s">
        <v>7</v>
      </c>
      <c r="C5" s="15">
        <v>5000000</v>
      </c>
      <c r="D5" s="12">
        <f t="shared" ref="D5:D11" si="0">+C5/$C$13</f>
        <v>0.20703933747412009</v>
      </c>
      <c r="E5" s="14">
        <f>+H5*0.55</f>
        <v>2667500</v>
      </c>
      <c r="F5" s="14">
        <f t="shared" ref="F5:F10" si="1">+H5-E5</f>
        <v>2182500</v>
      </c>
      <c r="G5" s="14"/>
      <c r="H5" s="13">
        <v>4850000</v>
      </c>
      <c r="I5" s="14">
        <v>125000</v>
      </c>
      <c r="J5" s="14"/>
      <c r="K5" s="14"/>
      <c r="L5" s="14">
        <v>25000</v>
      </c>
      <c r="M5" s="14"/>
      <c r="N5" s="13">
        <f t="shared" ref="N5:N11" si="2">SUM(I5:M5)</f>
        <v>150000</v>
      </c>
      <c r="O5" s="12">
        <f t="shared" ref="O5:O11" si="3">+N5/$N$13</f>
        <v>5.1724137931034482E-2</v>
      </c>
      <c r="P5" s="11"/>
    </row>
    <row r="6" spans="1:16" x14ac:dyDescent="0.25">
      <c r="B6" s="16" t="s">
        <v>6</v>
      </c>
      <c r="C6" s="15">
        <v>4500000</v>
      </c>
      <c r="D6" s="12">
        <f t="shared" si="0"/>
        <v>0.18633540372670807</v>
      </c>
      <c r="E6" s="14">
        <f>+H6*0.4</f>
        <v>1800000</v>
      </c>
      <c r="F6" s="14">
        <f t="shared" si="1"/>
        <v>2700000</v>
      </c>
      <c r="G6" s="14"/>
      <c r="H6" s="13">
        <f>+C6</f>
        <v>4500000</v>
      </c>
      <c r="I6" s="14"/>
      <c r="J6" s="14"/>
      <c r="K6" s="14"/>
      <c r="L6" s="14"/>
      <c r="M6" s="14"/>
      <c r="N6" s="13">
        <f t="shared" si="2"/>
        <v>0</v>
      </c>
      <c r="O6" s="12">
        <f t="shared" si="3"/>
        <v>0</v>
      </c>
      <c r="P6" s="11"/>
    </row>
    <row r="7" spans="1:16" x14ac:dyDescent="0.25">
      <c r="B7" s="16" t="s">
        <v>5</v>
      </c>
      <c r="C7" s="15">
        <v>4250000</v>
      </c>
      <c r="D7" s="12">
        <f t="shared" si="0"/>
        <v>0.17598343685300208</v>
      </c>
      <c r="E7" s="14">
        <f>+H7*0.5</f>
        <v>1750000</v>
      </c>
      <c r="F7" s="14">
        <f t="shared" si="1"/>
        <v>1750000</v>
      </c>
      <c r="G7" s="14"/>
      <c r="H7" s="13">
        <v>3500000</v>
      </c>
      <c r="I7" s="14">
        <v>550000</v>
      </c>
      <c r="J7" s="14">
        <v>200000</v>
      </c>
      <c r="K7" s="14"/>
      <c r="L7" s="14"/>
      <c r="M7" s="14"/>
      <c r="N7" s="13">
        <f t="shared" si="2"/>
        <v>750000</v>
      </c>
      <c r="O7" s="12">
        <f t="shared" si="3"/>
        <v>0.25862068965517243</v>
      </c>
      <c r="P7" s="11"/>
    </row>
    <row r="8" spans="1:16" x14ac:dyDescent="0.25">
      <c r="B8" s="16" t="s">
        <v>4</v>
      </c>
      <c r="C8" s="15">
        <v>3500000</v>
      </c>
      <c r="D8" s="12">
        <f t="shared" si="0"/>
        <v>0.14492753623188406</v>
      </c>
      <c r="E8" s="14">
        <f>+H8*0.6</f>
        <v>1980000</v>
      </c>
      <c r="F8" s="14">
        <f t="shared" si="1"/>
        <v>1320000</v>
      </c>
      <c r="G8" s="14"/>
      <c r="H8" s="13">
        <v>3300000</v>
      </c>
      <c r="I8" s="14">
        <v>150000</v>
      </c>
      <c r="J8" s="14">
        <v>30000</v>
      </c>
      <c r="K8" s="14">
        <v>20000</v>
      </c>
      <c r="L8" s="14"/>
      <c r="M8" s="14"/>
      <c r="N8" s="13">
        <f t="shared" si="2"/>
        <v>200000</v>
      </c>
      <c r="O8" s="12">
        <f t="shared" si="3"/>
        <v>6.8965517241379309E-2</v>
      </c>
      <c r="P8" s="11"/>
    </row>
    <row r="9" spans="1:16" x14ac:dyDescent="0.25">
      <c r="B9" s="16" t="s">
        <v>3</v>
      </c>
      <c r="C9" s="15">
        <v>2800000</v>
      </c>
      <c r="D9" s="12">
        <f t="shared" si="0"/>
        <v>0.11594202898550725</v>
      </c>
      <c r="E9" s="14">
        <f>+H9*0.6</f>
        <v>1200000</v>
      </c>
      <c r="F9" s="14">
        <f t="shared" si="1"/>
        <v>800000</v>
      </c>
      <c r="G9" s="14"/>
      <c r="H9" s="13">
        <v>2000000</v>
      </c>
      <c r="I9" s="14">
        <v>800000</v>
      </c>
      <c r="J9" s="14"/>
      <c r="K9" s="14"/>
      <c r="L9" s="14"/>
      <c r="M9" s="14"/>
      <c r="N9" s="13">
        <f t="shared" si="2"/>
        <v>800000</v>
      </c>
      <c r="O9" s="12">
        <f t="shared" si="3"/>
        <v>0.27586206896551724</v>
      </c>
      <c r="P9" s="11"/>
    </row>
    <row r="10" spans="1:16" x14ac:dyDescent="0.25">
      <c r="B10" s="16" t="s">
        <v>2</v>
      </c>
      <c r="C10" s="15">
        <v>1100000</v>
      </c>
      <c r="D10" s="12">
        <f t="shared" si="0"/>
        <v>4.5548654244306416E-2</v>
      </c>
      <c r="E10" s="14">
        <f>+H10*0.6</f>
        <v>660000</v>
      </c>
      <c r="F10" s="14">
        <f t="shared" si="1"/>
        <v>440000</v>
      </c>
      <c r="G10" s="14"/>
      <c r="H10" s="13">
        <f>+C10</f>
        <v>1100000</v>
      </c>
      <c r="I10" s="14"/>
      <c r="J10" s="14"/>
      <c r="K10" s="14"/>
      <c r="L10" s="14"/>
      <c r="M10" s="14"/>
      <c r="N10" s="13">
        <f t="shared" si="2"/>
        <v>0</v>
      </c>
      <c r="O10" s="12">
        <f t="shared" si="3"/>
        <v>0</v>
      </c>
      <c r="P10" s="11"/>
    </row>
    <row r="11" spans="1:16" x14ac:dyDescent="0.25">
      <c r="B11" s="16" t="s">
        <v>1</v>
      </c>
      <c r="C11" s="15">
        <v>3000000</v>
      </c>
      <c r="D11" s="12">
        <f t="shared" si="0"/>
        <v>0.12422360248447205</v>
      </c>
      <c r="E11" s="14">
        <f>+H11*0.8</f>
        <v>1600000</v>
      </c>
      <c r="F11" s="14">
        <v>200000</v>
      </c>
      <c r="G11" s="14">
        <v>200000</v>
      </c>
      <c r="H11" s="13">
        <v>2000000</v>
      </c>
      <c r="I11" s="14">
        <v>300000</v>
      </c>
      <c r="J11" s="14">
        <v>400000</v>
      </c>
      <c r="K11" s="14">
        <v>150000</v>
      </c>
      <c r="L11" s="14">
        <v>50000</v>
      </c>
      <c r="M11" s="14">
        <v>100000</v>
      </c>
      <c r="N11" s="13">
        <f t="shared" si="2"/>
        <v>1000000</v>
      </c>
      <c r="O11" s="12">
        <f t="shared" si="3"/>
        <v>0.34482758620689657</v>
      </c>
      <c r="P11" s="11"/>
    </row>
    <row r="12" spans="1:16" ht="6.75" customHeight="1" x14ac:dyDescent="0.25"/>
    <row r="13" spans="1:16" x14ac:dyDescent="0.25">
      <c r="B13" s="10" t="s">
        <v>0</v>
      </c>
      <c r="C13" s="8">
        <f t="shared" ref="C13:O13" si="4">SUM(C5:C11)</f>
        <v>24150000</v>
      </c>
      <c r="D13" s="7">
        <f t="shared" si="4"/>
        <v>1</v>
      </c>
      <c r="E13" s="9">
        <f t="shared" si="4"/>
        <v>11657500</v>
      </c>
      <c r="F13" s="9">
        <f t="shared" si="4"/>
        <v>9392500</v>
      </c>
      <c r="G13" s="9">
        <f t="shared" si="4"/>
        <v>200000</v>
      </c>
      <c r="H13" s="8">
        <f t="shared" si="4"/>
        <v>21250000</v>
      </c>
      <c r="I13" s="9">
        <f t="shared" si="4"/>
        <v>1925000</v>
      </c>
      <c r="J13" s="9">
        <f t="shared" si="4"/>
        <v>630000</v>
      </c>
      <c r="K13" s="9">
        <f t="shared" si="4"/>
        <v>170000</v>
      </c>
      <c r="L13" s="9">
        <f t="shared" si="4"/>
        <v>75000</v>
      </c>
      <c r="M13" s="9">
        <f t="shared" si="4"/>
        <v>100000</v>
      </c>
      <c r="N13" s="8">
        <f t="shared" si="4"/>
        <v>2900000</v>
      </c>
      <c r="O13" s="7">
        <f t="shared" si="4"/>
        <v>1</v>
      </c>
    </row>
    <row r="14" spans="1:16" ht="6.75" customHeight="1" x14ac:dyDescent="0.25"/>
    <row r="15" spans="1:16" s="1" customFormat="1" x14ac:dyDescent="0.25">
      <c r="H15" s="6">
        <f t="shared" ref="H15:N15" si="5">+H13/$C$13</f>
        <v>0.87991718426501031</v>
      </c>
      <c r="I15" s="6">
        <f t="shared" si="5"/>
        <v>7.9710144927536225E-2</v>
      </c>
      <c r="J15" s="6">
        <f t="shared" si="5"/>
        <v>2.6086956521739129E-2</v>
      </c>
      <c r="K15" s="6">
        <f t="shared" si="5"/>
        <v>7.0393374741200831E-3</v>
      </c>
      <c r="L15" s="6">
        <f t="shared" si="5"/>
        <v>3.105590062111801E-3</v>
      </c>
      <c r="M15" s="6">
        <f t="shared" si="5"/>
        <v>4.140786749482402E-3</v>
      </c>
      <c r="N15" s="6">
        <f t="shared" si="5"/>
        <v>0.12008281573498965</v>
      </c>
    </row>
    <row r="16" spans="1:16" x14ac:dyDescent="0.25">
      <c r="D16" s="5"/>
      <c r="E16" s="4"/>
      <c r="F16" s="4"/>
      <c r="G16" s="4"/>
    </row>
    <row r="17" spans="4:7" x14ac:dyDescent="0.25">
      <c r="D17" s="5"/>
      <c r="E17" s="4"/>
      <c r="F17" s="4"/>
      <c r="G17" s="4"/>
    </row>
    <row r="18" spans="4:7" x14ac:dyDescent="0.25">
      <c r="D18" s="5"/>
      <c r="E18" s="4"/>
      <c r="F18" s="4"/>
      <c r="G18" s="4"/>
    </row>
    <row r="19" spans="4:7" x14ac:dyDescent="0.25">
      <c r="D19" s="5"/>
      <c r="E19" s="4"/>
      <c r="F19" s="4"/>
      <c r="G19" s="4"/>
    </row>
    <row r="20" spans="4:7" x14ac:dyDescent="0.25">
      <c r="D20" s="5"/>
      <c r="E20" s="4"/>
      <c r="F20" s="4"/>
      <c r="G20" s="4"/>
    </row>
    <row r="21" spans="4:7" x14ac:dyDescent="0.25">
      <c r="D21" s="5"/>
      <c r="E21" s="4"/>
      <c r="F21" s="4"/>
      <c r="G21" s="4"/>
    </row>
    <row r="22" spans="4:7" x14ac:dyDescent="0.25">
      <c r="D22" s="5"/>
      <c r="E22" s="4"/>
      <c r="F22" s="4"/>
      <c r="G22" s="4"/>
    </row>
    <row r="23" spans="4:7" x14ac:dyDescent="0.25">
      <c r="D23" s="5"/>
      <c r="E23" s="4"/>
      <c r="F23" s="4"/>
      <c r="G23" s="4"/>
    </row>
    <row r="24" spans="4:7" x14ac:dyDescent="0.25">
      <c r="D24" s="5"/>
      <c r="E24" s="4"/>
      <c r="F24" s="4"/>
      <c r="G24" s="4"/>
    </row>
    <row r="25" spans="4:7" x14ac:dyDescent="0.25">
      <c r="D25" s="5"/>
      <c r="E25" s="4"/>
      <c r="F25" s="4"/>
      <c r="G25" s="4"/>
    </row>
    <row r="26" spans="4:7" x14ac:dyDescent="0.25">
      <c r="D26" s="5"/>
      <c r="E26" s="4"/>
      <c r="F26" s="4"/>
      <c r="G26" s="4"/>
    </row>
    <row r="27" spans="4:7" x14ac:dyDescent="0.25">
      <c r="D27" s="5"/>
      <c r="E27" s="4"/>
      <c r="F27" s="4"/>
      <c r="G27" s="4"/>
    </row>
    <row r="28" spans="4:7" x14ac:dyDescent="0.25">
      <c r="D28" s="5"/>
      <c r="E28" s="4"/>
      <c r="F28" s="4"/>
      <c r="G28" s="4"/>
    </row>
    <row r="29" spans="4:7" x14ac:dyDescent="0.25">
      <c r="D29" s="5"/>
      <c r="E29" s="4"/>
      <c r="F29" s="4"/>
      <c r="G29" s="4"/>
    </row>
    <row r="30" spans="4:7" x14ac:dyDescent="0.25">
      <c r="D30" s="5"/>
      <c r="E30" s="4"/>
      <c r="F30" s="4"/>
      <c r="G30" s="4"/>
    </row>
    <row r="31" spans="4:7" x14ac:dyDescent="0.25">
      <c r="D31" s="5"/>
      <c r="E31" s="4"/>
      <c r="F31" s="4"/>
      <c r="G31" s="4"/>
    </row>
    <row r="32" spans="4:7" x14ac:dyDescent="0.25">
      <c r="D32" s="5"/>
      <c r="E32" s="4"/>
      <c r="F32" s="4"/>
      <c r="G32" s="4"/>
    </row>
    <row r="33" spans="4:7" x14ac:dyDescent="0.25">
      <c r="D33" s="5"/>
      <c r="E33" s="4"/>
      <c r="F33" s="4"/>
      <c r="G33" s="4"/>
    </row>
    <row r="34" spans="4:7" x14ac:dyDescent="0.25">
      <c r="D34" s="5"/>
      <c r="E34" s="4"/>
      <c r="F34" s="4"/>
      <c r="G34" s="4"/>
    </row>
    <row r="35" spans="4:7" x14ac:dyDescent="0.25">
      <c r="D35" s="5"/>
      <c r="E35" s="4"/>
      <c r="F35" s="4"/>
      <c r="G35" s="4"/>
    </row>
    <row r="36" spans="4:7" x14ac:dyDescent="0.25">
      <c r="D36" s="5"/>
      <c r="E36" s="4"/>
      <c r="F36" s="4"/>
      <c r="G36" s="4"/>
    </row>
    <row r="37" spans="4:7" x14ac:dyDescent="0.25">
      <c r="D37" s="5"/>
      <c r="E37" s="4"/>
      <c r="F37" s="4"/>
      <c r="G37" s="4"/>
    </row>
    <row r="38" spans="4:7" x14ac:dyDescent="0.25">
      <c r="D38" s="5"/>
      <c r="E38" s="4"/>
      <c r="F38" s="4"/>
      <c r="G38" s="4"/>
    </row>
    <row r="39" spans="4:7" ht="22.5" x14ac:dyDescent="0.25">
      <c r="D39" s="3"/>
      <c r="E39" s="2"/>
      <c r="F39" s="2"/>
      <c r="G39" s="2"/>
    </row>
  </sheetData>
  <mergeCells count="8">
    <mergeCell ref="H3:H4"/>
    <mergeCell ref="I3:O3"/>
    <mergeCell ref="B3:B4"/>
    <mergeCell ref="C3:C4"/>
    <mergeCell ref="D3:D4"/>
    <mergeCell ref="E3:E4"/>
    <mergeCell ref="F3:F4"/>
    <mergeCell ref="G3:G4"/>
  </mergeCells>
  <pageMargins left="0.70000000000000007" right="0.70000000000000007" top="0.75" bottom="0.75" header="0.30000000000000004" footer="0.30000000000000004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Aging</vt:lpstr>
    </vt:vector>
  </TitlesOfParts>
  <Company>Cellnex 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VIVES BOROTAU, ALEIX</dc:creator>
  <cp:lastModifiedBy>oriol Calblay</cp:lastModifiedBy>
  <dcterms:created xsi:type="dcterms:W3CDTF">2021-09-28T15:02:19Z</dcterms:created>
  <dcterms:modified xsi:type="dcterms:W3CDTF">2024-06-11T18:32:07Z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ab904b49-3f4d-4965-871f-2e2fd7247f94_Enabled">
    <vt:lpwstr>True</vt:lpwstr>
  </property>
  <property fmtid="{D5CDD505-2E9C-101B-9397-08002B2CF9AE}" pid="5" name="MSIP_Label_ab904b49-3f4d-4965-871f-2e2fd7247f94_SiteId">
    <vt:lpwstr>05088b6e-1d96-4f6b-8918-48957eca4f00</vt:lpwstr>
  </property>
  <property fmtid="{D5CDD505-2E9C-101B-9397-08002B2CF9AE}" pid="6" name="MSIP_Label_ab904b49-3f4d-4965-871f-2e2fd7247f94_Owner">
    <vt:lpwstr>aleix.vives@cellnextelecom.com</vt:lpwstr>
  </property>
  <property fmtid="{D5CDD505-2E9C-101B-9397-08002B2CF9AE}" pid="7" name="MSIP_Label_ab904b49-3f4d-4965-871f-2e2fd7247f94_SetDate">
    <vt:lpwstr>2021-09-28T15:02:50.9185250Z</vt:lpwstr>
  </property>
  <property fmtid="{D5CDD505-2E9C-101B-9397-08002B2CF9AE}" pid="8" name="MSIP_Label_ab904b49-3f4d-4965-871f-2e2fd7247f94_Name">
    <vt:lpwstr>Internal</vt:lpwstr>
  </property>
  <property fmtid="{D5CDD505-2E9C-101B-9397-08002B2CF9AE}" pid="9" name="MSIP_Label_ab904b49-3f4d-4965-871f-2e2fd7247f94_Application">
    <vt:lpwstr>Microsoft Azure Information Protection</vt:lpwstr>
  </property>
  <property fmtid="{D5CDD505-2E9C-101B-9397-08002B2CF9AE}" pid="10" name="MSIP_Label_ab904b49-3f4d-4965-871f-2e2fd7247f94_ActionId">
    <vt:lpwstr>7732abe8-39da-44a1-b052-c128946425b8</vt:lpwstr>
  </property>
  <property fmtid="{D5CDD505-2E9C-101B-9397-08002B2CF9AE}" pid="11" name="MSIP_Label_ab904b49-3f4d-4965-871f-2e2fd7247f94_Extended_MSFT_Method">
    <vt:lpwstr>Automatic</vt:lpwstr>
  </property>
  <property fmtid="{D5CDD505-2E9C-101B-9397-08002B2CF9AE}" pid="12" name="Sensitivity">
    <vt:lpwstr>Internal</vt:lpwstr>
  </property>
</Properties>
</file>