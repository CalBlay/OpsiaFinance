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7/GESTION DE LA TESORERIA/Clase 2/"/>
    </mc:Choice>
  </mc:AlternateContent>
  <xr:revisionPtr revIDLastSave="0" documentId="8_{2FF971D5-5271-46A8-9C20-EA415A82920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aldos" sheetId="1" r:id="rId1"/>
    <sheet name="Informes" sheetId="2" r:id="rId2"/>
    <sheet name="Posición_Anual" sheetId="3" r:id="rId3"/>
    <sheet name="Posición_diaria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4" l="1"/>
  <c r="D7" i="3"/>
  <c r="E7" i="3" s="1"/>
  <c r="F7" i="3" s="1"/>
  <c r="G7" i="3" s="1"/>
  <c r="H7" i="3" s="1"/>
  <c r="I7" i="3" s="1"/>
  <c r="J7" i="3" s="1"/>
  <c r="K7" i="3" s="1"/>
  <c r="D6" i="3"/>
  <c r="K12" i="3"/>
  <c r="J12" i="3"/>
  <c r="I12" i="3"/>
  <c r="H12" i="3"/>
  <c r="G12" i="3"/>
  <c r="F12" i="3"/>
  <c r="E12" i="3"/>
  <c r="D12" i="3"/>
  <c r="C12" i="3"/>
  <c r="C9" i="3"/>
  <c r="C13" i="3" s="1"/>
  <c r="C15" i="3" s="1"/>
  <c r="D8" i="3"/>
  <c r="V12" i="2"/>
  <c r="U12" i="2"/>
  <c r="T12" i="2"/>
  <c r="S12" i="2"/>
  <c r="R12" i="2"/>
  <c r="Q12" i="2"/>
  <c r="P12" i="2"/>
  <c r="O12" i="2"/>
  <c r="N12" i="2"/>
  <c r="AA11" i="2"/>
  <c r="AC11" i="2" s="1"/>
  <c r="AC12" i="2" s="1"/>
  <c r="W11" i="2"/>
  <c r="W12" i="2" s="1"/>
  <c r="H10" i="2"/>
  <c r="Z9" i="2"/>
  <c r="V9" i="2"/>
  <c r="U9" i="2"/>
  <c r="T9" i="2"/>
  <c r="S9" i="2"/>
  <c r="R9" i="2"/>
  <c r="Q9" i="2"/>
  <c r="P9" i="2"/>
  <c r="O9" i="2"/>
  <c r="N9" i="2"/>
  <c r="AB8" i="2"/>
  <c r="AC8" i="2" s="1"/>
  <c r="W8" i="2"/>
  <c r="AB7" i="2"/>
  <c r="AB9" i="2" s="1"/>
  <c r="AA7" i="2"/>
  <c r="W7" i="2"/>
  <c r="W9" i="2" s="1"/>
  <c r="AA6" i="2"/>
  <c r="V6" i="2"/>
  <c r="V10" i="2" s="1"/>
  <c r="V13" i="2" s="1"/>
  <c r="U6" i="2"/>
  <c r="U10" i="2" s="1"/>
  <c r="U13" i="2" s="1"/>
  <c r="T6" i="2"/>
  <c r="S6" i="2"/>
  <c r="R6" i="2"/>
  <c r="R10" i="2" s="1"/>
  <c r="R13" i="2" s="1"/>
  <c r="Q6" i="2"/>
  <c r="P6" i="2"/>
  <c r="P10" i="2" s="1"/>
  <c r="P13" i="2" s="1"/>
  <c r="O6" i="2"/>
  <c r="O10" i="2" s="1"/>
  <c r="O13" i="2" s="1"/>
  <c r="N6" i="2"/>
  <c r="N10" i="2" s="1"/>
  <c r="N13" i="2" s="1"/>
  <c r="AB5" i="2"/>
  <c r="AB6" i="2" s="1"/>
  <c r="AA5" i="2"/>
  <c r="Z5" i="2"/>
  <c r="Z6" i="2" s="1"/>
  <c r="Z10" i="2" s="1"/>
  <c r="Z13" i="2" s="1"/>
  <c r="W5" i="2"/>
  <c r="AA4" i="2"/>
  <c r="AC4" i="2" s="1"/>
  <c r="W4" i="2"/>
  <c r="W6" i="2" s="1"/>
  <c r="W10" i="2" s="1"/>
  <c r="AC7" i="2" l="1"/>
  <c r="AC9" i="2" s="1"/>
  <c r="Q10" i="2"/>
  <c r="Q13" i="2" s="1"/>
  <c r="W13" i="2"/>
  <c r="S10" i="2"/>
  <c r="S13" i="2" s="1"/>
  <c r="T10" i="2"/>
  <c r="T13" i="2" s="1"/>
  <c r="AA9" i="2"/>
  <c r="AA10" i="2" s="1"/>
  <c r="E8" i="3"/>
  <c r="F8" i="3" s="1"/>
  <c r="G8" i="3" s="1"/>
  <c r="H8" i="3" s="1"/>
  <c r="I8" i="3" s="1"/>
  <c r="J8" i="3" s="1"/>
  <c r="K8" i="3" s="1"/>
  <c r="AB10" i="2"/>
  <c r="AB13" i="2" s="1"/>
  <c r="D9" i="3"/>
  <c r="D13" i="3" s="1"/>
  <c r="D15" i="3" s="1"/>
  <c r="E6" i="3"/>
  <c r="AC5" i="2"/>
  <c r="AC6" i="2" s="1"/>
  <c r="AC10" i="2" s="1"/>
  <c r="AC13" i="2" s="1"/>
  <c r="AA12" i="2"/>
  <c r="AA13" i="2" l="1"/>
  <c r="E9" i="3"/>
  <c r="E13" i="3" s="1"/>
  <c r="E15" i="3" s="1"/>
  <c r="F6" i="3"/>
  <c r="F9" i="3" l="1"/>
  <c r="F13" i="3" s="1"/>
  <c r="F15" i="3" s="1"/>
  <c r="G6" i="3"/>
  <c r="G9" i="3" l="1"/>
  <c r="G13" i="3" s="1"/>
  <c r="G15" i="3" s="1"/>
  <c r="H6" i="3"/>
  <c r="H9" i="3" l="1"/>
  <c r="H13" i="3" s="1"/>
  <c r="H15" i="3" s="1"/>
  <c r="I6" i="3"/>
  <c r="I9" i="3" l="1"/>
  <c r="I13" i="3" s="1"/>
  <c r="I15" i="3" s="1"/>
  <c r="J6" i="3"/>
  <c r="J9" i="3" l="1"/>
  <c r="J13" i="3" s="1"/>
  <c r="J15" i="3" s="1"/>
  <c r="K6" i="3"/>
  <c r="K9" i="3" s="1"/>
  <c r="K13" i="3" s="1"/>
  <c r="K15" i="3" s="1"/>
</calcChain>
</file>

<file path=xl/sharedStrings.xml><?xml version="1.0" encoding="utf-8"?>
<sst xmlns="http://schemas.openxmlformats.org/spreadsheetml/2006/main" count="149" uniqueCount="61">
  <si>
    <t>Empresa</t>
  </si>
  <si>
    <t>Banco</t>
  </si>
  <si>
    <t>Tipo</t>
  </si>
  <si>
    <t>Saldo</t>
  </si>
  <si>
    <t>Disponibilidad</t>
  </si>
  <si>
    <t>Empresa A</t>
  </si>
  <si>
    <t>Rojo</t>
  </si>
  <si>
    <t>Corriente</t>
  </si>
  <si>
    <t>Disponible</t>
  </si>
  <si>
    <t>Verde</t>
  </si>
  <si>
    <t>Depósito 30 DN</t>
  </si>
  <si>
    <t>Realizable</t>
  </si>
  <si>
    <t>Empresa B</t>
  </si>
  <si>
    <t>Azul</t>
  </si>
  <si>
    <t>Ahorros</t>
  </si>
  <si>
    <t>Deposito 2 meses</t>
  </si>
  <si>
    <t>Empresa C</t>
  </si>
  <si>
    <t>Escrow</t>
  </si>
  <si>
    <t>No disponible</t>
  </si>
  <si>
    <t>(Todas)</t>
  </si>
  <si>
    <t>Grupo Abecedario</t>
  </si>
  <si>
    <t xml:space="preserve">Saldo </t>
  </si>
  <si>
    <t>Posición de tesorería a DD/MM/AA</t>
  </si>
  <si>
    <t>Posición a DD/MM/AA</t>
  </si>
  <si>
    <t>Morado</t>
  </si>
  <si>
    <t>Naranja</t>
  </si>
  <si>
    <t>Blanco</t>
  </si>
  <si>
    <t>Negro</t>
  </si>
  <si>
    <t>Marrón</t>
  </si>
  <si>
    <t>Gris</t>
  </si>
  <si>
    <t>TOTAL</t>
  </si>
  <si>
    <t xml:space="preserve">Tipo </t>
  </si>
  <si>
    <t>Total general</t>
  </si>
  <si>
    <t>Banco Rojo</t>
  </si>
  <si>
    <t>Banco Verde</t>
  </si>
  <si>
    <t>Banco Azul</t>
  </si>
  <si>
    <t>TOTAL EUR</t>
  </si>
  <si>
    <t>De los cuales No disponibles</t>
  </si>
  <si>
    <t>Total Disponible + Realizable</t>
  </si>
  <si>
    <t>Posición de tesorería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</si>
  <si>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</si>
  <si>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</si>
  <si>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</si>
  <si>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</si>
  <si>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</si>
  <si>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</si>
  <si>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</si>
  <si>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</si>
  <si>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</si>
  <si>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</si>
  <si>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</si>
  <si>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</si>
  <si>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Cuentas EUR</t>
  </si>
  <si>
    <t>TOTAL Depósitos EUR</t>
  </si>
  <si>
    <t>Cuentas + Depósitos EUR</t>
  </si>
  <si>
    <t>Total posición EUR</t>
  </si>
  <si>
    <t>DD/MM/AAAA</t>
  </si>
  <si>
    <t>Informe de Posición de Tesorería por BANCO</t>
  </si>
  <si>
    <t>Banco 
Azul</t>
  </si>
  <si>
    <t>Banco 
Rojo</t>
  </si>
  <si>
    <t>Banco 
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</si>
</sst>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</font>
    <font>
      <b/>
      <sz val="16"/>
      <color rgb="FF000000"/>
      <name val="Bodoni MT Black"/>
      <family val="1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b/>
      <sz val="24"/>
      <color rgb="FF000000"/>
      <name val="Bodoni MT Black"/>
      <family val="1"/>
    </font>
    <font>
      <b/>
      <sz val="20"/>
      <color rgb="FF000000"/>
      <name val="Calibri"/>
      <family val="2"/>
    </font>
    <font>
      <b/>
      <sz val="22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548235"/>
        <bgColor rgb="FF548235"/>
      </patternFill>
    </fill>
    <fill>
      <patternFill patternType="solid">
        <fgColor rgb="FFA9D08E"/>
        <bgColor rgb="FFA9D08E"/>
      </patternFill>
    </fill>
    <fill>
      <patternFill patternType="solid">
        <fgColor rgb="FFC00000"/>
        <bgColor rgb="FFC00000"/>
      </patternFill>
    </fill>
    <fill>
      <patternFill patternType="solid">
        <fgColor rgb="FFFF9933"/>
        <bgColor rgb="FFFF9933"/>
      </patternFill>
    </fill>
    <fill>
      <patternFill patternType="solid">
        <fgColor rgb="FFF4B084"/>
        <bgColor rgb="FFF4B084"/>
      </patternFill>
    </fill>
    <fill>
      <patternFill patternType="solid">
        <fgColor rgb="FFD9E1F2"/>
        <bgColor rgb="FFD9E1F2"/>
      </patternFill>
    </fill>
    <fill>
      <patternFill patternType="solid">
        <fgColor rgb="FFB4C6E7"/>
        <bgColor rgb="FFB4C6E7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 style="thin">
        <color rgb="FF305496"/>
      </top>
      <bottom style="thin">
        <color rgb="FFB4C6E7"/>
      </bottom>
      <diagonal/>
    </border>
    <border>
      <left/>
      <right/>
      <top style="thin">
        <color rgb="FF305496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48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3" fontId="4" fillId="2" borderId="1" xfId="0" applyNumberFormat="1" applyFont="1" applyFill="1" applyBorder="1" applyAlignment="1">
      <alignment horizontal="right"/>
    </xf>
    <xf numFmtId="0" fontId="4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4" xfId="0" applyBorder="1" applyAlignment="1">
      <alignment horizontal="left" indent="2"/>
    </xf>
    <xf numFmtId="3" fontId="0" fillId="0" borderId="4" xfId="0" applyNumberFormat="1" applyBorder="1"/>
    <xf numFmtId="0" fontId="0" fillId="0" borderId="4" xfId="0" applyBorder="1" applyAlignment="1">
      <alignment horizontal="left"/>
    </xf>
    <xf numFmtId="3" fontId="2" fillId="0" borderId="4" xfId="0" applyNumberFormat="1" applyFont="1" applyBorder="1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 indent="1"/>
    </xf>
    <xf numFmtId="0" fontId="4" fillId="3" borderId="4" xfId="0" applyFont="1" applyFill="1" applyBorder="1" applyAlignment="1">
      <alignment horizontal="left" indent="1"/>
    </xf>
    <xf numFmtId="3" fontId="4" fillId="3" borderId="4" xfId="0" applyNumberFormat="1" applyFont="1" applyFill="1" applyBorder="1" applyAlignment="1">
      <alignment horizontal="right"/>
    </xf>
    <xf numFmtId="0" fontId="4" fillId="4" borderId="4" xfId="0" applyFont="1" applyFill="1" applyBorder="1" applyAlignment="1">
      <alignment horizontal="left" indent="1"/>
    </xf>
    <xf numFmtId="3" fontId="4" fillId="4" borderId="4" xfId="0" applyNumberFormat="1" applyFont="1" applyFill="1" applyBorder="1"/>
    <xf numFmtId="3" fontId="0" fillId="0" borderId="4" xfId="0" applyNumberFormat="1" applyBorder="1" applyAlignment="1">
      <alignment horizontal="right"/>
    </xf>
    <xf numFmtId="3" fontId="3" fillId="2" borderId="1" xfId="0" applyNumberFormat="1" applyFont="1" applyFill="1" applyBorder="1" applyAlignment="1">
      <alignment horizontal="right"/>
    </xf>
    <xf numFmtId="0" fontId="4" fillId="5" borderId="4" xfId="0" applyFont="1" applyFill="1" applyBorder="1" applyAlignment="1">
      <alignment horizontal="left" indent="1"/>
    </xf>
    <xf numFmtId="3" fontId="4" fillId="5" borderId="4" xfId="0" applyNumberFormat="1" applyFont="1" applyFill="1" applyBorder="1"/>
    <xf numFmtId="0" fontId="4" fillId="6" borderId="4" xfId="0" applyFont="1" applyFill="1" applyBorder="1" applyAlignment="1">
      <alignment horizontal="left" indent="1"/>
    </xf>
    <xf numFmtId="3" fontId="4" fillId="6" borderId="4" xfId="0" applyNumberFormat="1" applyFont="1" applyFill="1" applyBorder="1" applyAlignment="1">
      <alignment horizontal="right"/>
    </xf>
    <xf numFmtId="0" fontId="4" fillId="7" borderId="4" xfId="0" applyFont="1" applyFill="1" applyBorder="1" applyAlignment="1">
      <alignment horizontal="left" indent="1"/>
    </xf>
    <xf numFmtId="3" fontId="4" fillId="7" borderId="4" xfId="0" applyNumberFormat="1" applyFont="1" applyFill="1" applyBorder="1"/>
    <xf numFmtId="3" fontId="4" fillId="2" borderId="1" xfId="0" applyNumberFormat="1" applyFont="1" applyFill="1" applyBorder="1" applyAlignment="1">
      <alignment horizontal="center"/>
    </xf>
    <xf numFmtId="0" fontId="2" fillId="8" borderId="1" xfId="0" applyFont="1" applyFill="1" applyBorder="1"/>
    <xf numFmtId="3" fontId="2" fillId="8" borderId="1" xfId="0" applyNumberFormat="1" applyFont="1" applyFill="1" applyBorder="1" applyAlignment="1">
      <alignment horizontal="right"/>
    </xf>
    <xf numFmtId="0" fontId="2" fillId="9" borderId="1" xfId="0" applyFont="1" applyFill="1" applyBorder="1"/>
    <xf numFmtId="3" fontId="2" fillId="9" borderId="1" xfId="0" applyNumberFormat="1" applyFont="1" applyFill="1" applyBorder="1" applyAlignment="1">
      <alignment horizontal="right"/>
    </xf>
    <xf numFmtId="3" fontId="3" fillId="2" borderId="1" xfId="0" applyNumberFormat="1" applyFont="1" applyFill="1" applyBorder="1" applyAlignment="1">
      <alignment horizontal="center"/>
    </xf>
    <xf numFmtId="0" fontId="5" fillId="0" borderId="0" xfId="0" applyFont="1"/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3" fontId="4" fillId="3" borderId="4" xfId="0" applyNumberFormat="1" applyFont="1" applyFill="1" applyBorder="1"/>
    <xf numFmtId="3" fontId="3" fillId="3" borderId="4" xfId="0" applyNumberFormat="1" applyFont="1" applyFill="1" applyBorder="1"/>
    <xf numFmtId="3" fontId="4" fillId="6" borderId="4" xfId="0" applyNumberFormat="1" applyFont="1" applyFill="1" applyBorder="1"/>
    <xf numFmtId="3" fontId="3" fillId="6" borderId="4" xfId="0" applyNumberFormat="1" applyFont="1" applyFill="1" applyBorder="1"/>
    <xf numFmtId="3" fontId="3" fillId="5" borderId="4" xfId="0" applyNumberFormat="1" applyFont="1" applyFill="1" applyBorder="1"/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6" refreshedVersion="6" recordCount="0" xr:uid="{00000000-000A-0000-FFFF-FFFF00000000}">
  <cacheSource type="worksheet">
    <worksheetSource ref="A1:E8" sheet="Saldos"/>
  </cacheSource>
  <cacheFields count="5">
    <cacheField name="Empresa" numFmtId="0">
      <sharedItems containsSemiMixedTypes="0" containsNonDate="0" containsString="0"/>
    </cacheField>
    <cacheField name="Banco" numFmtId="0">
      <sharedItems containsSemiMixedTypes="0" containsNonDate="0" containsString="0"/>
    </cacheField>
    <cacheField name="Disponibilidad" numFmtId="0">
      <sharedItems containsSemiMixedTypes="0" containsNonDate="0" containsString="0"/>
    </cacheField>
    <cacheField name="Tipo" numFmtId="0">
      <sharedItems containsSemiMixedTypes="0" containsNonDate="0" containsString="0"/>
    </cacheField>
    <cacheField name="Saldo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>
  <location ref="A3:E13" firstHeaderRow="1" firstDataRow="2" firstDataCol="2" rowPageCount="1" colPageCount="1"/>
  <pivotFields count="5">
    <pivotField axis="axisPage" compact="0" showAll="0" includeNewItemsInFilter="1">
      <items count="1">
        <item t="default"/>
      </items>
    </pivotField>
    <pivotField axis="axisCol" compact="0" showAll="0" includeNewItemsInFilter="1">
      <items count="1">
        <item t="default"/>
      </items>
    </pivotField>
    <pivotField axis="axisRow" compact="0" showAll="0" includeNewItemsInFilter="1">
      <items count="1">
        <item t="default"/>
      </items>
    </pivotField>
    <pivotField axis="axisRow" compact="0" showAll="0" includeNewItemsInFilter="1">
      <items count="1">
        <item t="default"/>
      </items>
    </pivotField>
    <pivotField dataField="1" compact="0" showAll="0" includeNewItemsInFilter="1">
      <items count="1">
        <item t="default"/>
      </items>
    </pivotField>
  </pivotFields>
  <rowFields count="2">
    <field x="2"/>
    <field x="3"/>
  </rowFields>
  <colFields count="1">
    <field x="1"/>
  </colFields>
  <pageFields count="1">
    <pageField fld="0" hier="-1"/>
  </pageFields>
  <dataFields count="1">
    <dataField name="Suma de Saldo" fld="4" baseField="4" baseItem="1048828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/>
  </sheetViews>
  <sheetFormatPr defaultColWidth="11.42578125" defaultRowHeight="15" x14ac:dyDescent="0.25"/>
  <cols>
    <col min="1" max="2" width="11.42578125" customWidth="1"/>
    <col min="3" max="3" width="16.7109375" bestFit="1" customWidth="1"/>
    <col min="4" max="4" width="11.42578125" style="1" customWidth="1"/>
    <col min="5" max="5" width="13.85546875" bestFit="1" customWidth="1"/>
    <col min="6" max="6" width="11.42578125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1">
        <v>30000</v>
      </c>
      <c r="E2" t="s">
        <v>8</v>
      </c>
    </row>
    <row r="3" spans="1:5" x14ac:dyDescent="0.25">
      <c r="A3" t="s">
        <v>5</v>
      </c>
      <c r="B3" t="s">
        <v>9</v>
      </c>
      <c r="C3" t="s">
        <v>10</v>
      </c>
      <c r="D3" s="1">
        <v>5000</v>
      </c>
      <c r="E3" t="s">
        <v>11</v>
      </c>
    </row>
    <row r="4" spans="1:5" x14ac:dyDescent="0.25">
      <c r="A4" t="s">
        <v>12</v>
      </c>
      <c r="B4" t="s">
        <v>13</v>
      </c>
      <c r="C4" t="s">
        <v>7</v>
      </c>
      <c r="D4" s="1">
        <v>50000</v>
      </c>
      <c r="E4" t="s">
        <v>8</v>
      </c>
    </row>
    <row r="5" spans="1:5" x14ac:dyDescent="0.25">
      <c r="A5" t="s">
        <v>12</v>
      </c>
      <c r="B5" t="s">
        <v>6</v>
      </c>
      <c r="C5" t="s">
        <v>14</v>
      </c>
      <c r="D5" s="1">
        <v>15000</v>
      </c>
      <c r="E5" t="s">
        <v>8</v>
      </c>
    </row>
    <row r="6" spans="1:5" x14ac:dyDescent="0.25">
      <c r="A6" t="s">
        <v>12</v>
      </c>
      <c r="B6" t="s">
        <v>9</v>
      </c>
      <c r="C6" t="s">
        <v>15</v>
      </c>
      <c r="D6" s="1">
        <v>75000</v>
      </c>
      <c r="E6" t="s">
        <v>11</v>
      </c>
    </row>
    <row r="7" spans="1:5" x14ac:dyDescent="0.25">
      <c r="A7" t="s">
        <v>16</v>
      </c>
      <c r="B7" t="s">
        <v>6</v>
      </c>
      <c r="C7" t="s">
        <v>7</v>
      </c>
      <c r="D7" s="1">
        <v>100000</v>
      </c>
      <c r="E7" t="s">
        <v>8</v>
      </c>
    </row>
    <row r="8" spans="1:5" x14ac:dyDescent="0.25">
      <c r="A8" t="s">
        <v>16</v>
      </c>
      <c r="B8" t="s">
        <v>6</v>
      </c>
      <c r="C8" t="s">
        <v>17</v>
      </c>
      <c r="D8" s="1">
        <v>25000</v>
      </c>
      <c r="E8" t="s">
        <v>18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4"/>
  <sheetViews>
    <sheetView showGridLines="0" tabSelected="1" workbookViewId="0">
      <selection activeCell="B1" sqref="B1"/>
    </sheetView>
  </sheetViews>
  <sheetFormatPr defaultColWidth="11.42578125" defaultRowHeight="15" x14ac:dyDescent="0.25"/>
  <cols>
    <col min="1" max="1" width="20.42578125" bestFit="1" customWidth="1"/>
    <col min="2" max="2" width="9.85546875" style="1" bestFit="1" customWidth="1"/>
    <col min="3" max="3" width="7.5703125" bestFit="1" customWidth="1"/>
    <col min="4" max="4" width="6.5703125" bestFit="1" customWidth="1"/>
    <col min="5" max="5" width="12.5703125" bestFit="1" customWidth="1"/>
    <col min="6" max="6" width="11.42578125" customWidth="1"/>
    <col min="7" max="7" width="26.85546875" bestFit="1" customWidth="1"/>
    <col min="8" max="8" width="9" customWidth="1"/>
    <col min="9" max="9" width="11.42578125" customWidth="1"/>
    <col min="10" max="10" width="26.85546875" bestFit="1" customWidth="1"/>
    <col min="11" max="11" width="9" customWidth="1"/>
    <col min="12" max="12" width="11.42578125" customWidth="1"/>
    <col min="13" max="13" width="26.85546875" bestFit="1" customWidth="1"/>
    <col min="14" max="14" width="6.5703125" bestFit="1" customWidth="1"/>
    <col min="15" max="16" width="7.5703125" bestFit="1" customWidth="1"/>
    <col min="17" max="18" width="7.85546875" bestFit="1" customWidth="1"/>
    <col min="19" max="19" width="6.85546875" bestFit="1" customWidth="1"/>
    <col min="20" max="20" width="6.5703125" bestFit="1" customWidth="1"/>
    <col min="21" max="22" width="7.5703125" bestFit="1" customWidth="1"/>
    <col min="23" max="23" width="7.5703125" style="3" bestFit="1" customWidth="1"/>
    <col min="24" max="24" width="11.42578125" customWidth="1"/>
    <col min="25" max="25" width="26.85546875" bestFit="1" customWidth="1"/>
    <col min="26" max="28" width="7.5703125" bestFit="1" customWidth="1"/>
    <col min="29" max="29" width="7.5703125" style="3" bestFit="1" customWidth="1"/>
    <col min="30" max="30" width="11.42578125" customWidth="1"/>
  </cols>
  <sheetData>
    <row r="1" spans="1:29" ht="20.25" x14ac:dyDescent="0.3">
      <c r="A1" t="s">
        <v>0</v>
      </c>
      <c r="B1" s="1" t="s">
        <v>19</v>
      </c>
      <c r="G1" s="2" t="s">
        <v>20</v>
      </c>
      <c r="J1" s="2" t="s">
        <v>20</v>
      </c>
      <c r="M1" s="2" t="s">
        <v>20</v>
      </c>
      <c r="Y1" s="2" t="s">
        <v>20</v>
      </c>
    </row>
    <row r="3" spans="1:29" x14ac:dyDescent="0.25">
      <c r="A3" t="s">
        <v>21</v>
      </c>
      <c r="B3" t="s">
        <v>1</v>
      </c>
      <c r="G3" s="4" t="s">
        <v>22</v>
      </c>
      <c r="H3" s="5"/>
      <c r="J3" s="4" t="s">
        <v>22</v>
      </c>
      <c r="K3" s="5"/>
      <c r="M3" s="6" t="s">
        <v>23</v>
      </c>
      <c r="N3" s="7" t="s">
        <v>13</v>
      </c>
      <c r="O3" s="7" t="s">
        <v>6</v>
      </c>
      <c r="P3" s="7" t="s">
        <v>9</v>
      </c>
      <c r="Q3" s="7" t="s">
        <v>24</v>
      </c>
      <c r="R3" s="7" t="s">
        <v>25</v>
      </c>
      <c r="S3" s="7" t="s">
        <v>26</v>
      </c>
      <c r="T3" s="7" t="s">
        <v>27</v>
      </c>
      <c r="U3" s="7" t="s">
        <v>28</v>
      </c>
      <c r="V3" s="7" t="s">
        <v>29</v>
      </c>
      <c r="W3" s="8" t="s">
        <v>30</v>
      </c>
      <c r="Y3" s="6" t="s">
        <v>23</v>
      </c>
      <c r="Z3" s="7" t="s">
        <v>13</v>
      </c>
      <c r="AA3" s="7" t="s">
        <v>6</v>
      </c>
      <c r="AB3" s="7" t="s">
        <v>9</v>
      </c>
      <c r="AC3" s="8" t="s">
        <v>30</v>
      </c>
    </row>
    <row r="4" spans="1:29" x14ac:dyDescent="0.25">
      <c r="A4" t="s">
        <v>31</v>
      </c>
      <c r="B4" t="s">
        <v>13</v>
      </c>
      <c r="C4" t="s">
        <v>6</v>
      </c>
      <c r="D4" t="s">
        <v>9</v>
      </c>
      <c r="E4" t="s">
        <v>32</v>
      </c>
      <c r="G4" s="9" t="s">
        <v>14</v>
      </c>
      <c r="H4" s="10">
        <v>15000</v>
      </c>
      <c r="J4" s="11" t="s">
        <v>33</v>
      </c>
      <c r="K4" s="10">
        <v>170000</v>
      </c>
      <c r="M4" s="9" t="s">
        <v>14</v>
      </c>
      <c r="N4" s="10"/>
      <c r="O4" s="10">
        <v>15000</v>
      </c>
      <c r="P4" s="10"/>
      <c r="Q4" s="10"/>
      <c r="R4" s="10">
        <v>20000</v>
      </c>
      <c r="S4" s="10"/>
      <c r="T4" s="10"/>
      <c r="U4" s="10">
        <v>30000</v>
      </c>
      <c r="V4" s="10"/>
      <c r="W4" s="12">
        <f>+SUM(N4:V4)</f>
        <v>65000</v>
      </c>
      <c r="Y4" s="9" t="s">
        <v>14</v>
      </c>
      <c r="Z4" s="10"/>
      <c r="AA4" s="10">
        <f>+O4+R4+U4</f>
        <v>65000</v>
      </c>
      <c r="AB4" s="10"/>
      <c r="AC4" s="12">
        <f>SUM(Z4:AB4)</f>
        <v>65000</v>
      </c>
    </row>
    <row r="5" spans="1:29" x14ac:dyDescent="0.25">
      <c r="A5" s="13" t="s">
        <v>8</v>
      </c>
      <c r="B5" s="14">
        <v>50000</v>
      </c>
      <c r="C5" s="14">
        <v>145000</v>
      </c>
      <c r="D5" s="14"/>
      <c r="E5" s="14">
        <v>195000</v>
      </c>
      <c r="G5" s="9" t="s">
        <v>7</v>
      </c>
      <c r="H5" s="10">
        <v>180000</v>
      </c>
      <c r="J5" s="11" t="s">
        <v>34</v>
      </c>
      <c r="K5" s="10">
        <v>80000</v>
      </c>
      <c r="M5" s="9" t="s">
        <v>7</v>
      </c>
      <c r="N5" s="10">
        <v>50000</v>
      </c>
      <c r="O5" s="10">
        <v>130000</v>
      </c>
      <c r="P5" s="10"/>
      <c r="Q5" s="10">
        <v>25000</v>
      </c>
      <c r="R5" s="10">
        <v>90000</v>
      </c>
      <c r="S5" s="10">
        <v>10000</v>
      </c>
      <c r="T5" s="10">
        <v>40000</v>
      </c>
      <c r="U5" s="10">
        <v>120000</v>
      </c>
      <c r="V5" s="10"/>
      <c r="W5" s="12">
        <f>+SUM(N5:V5)</f>
        <v>465000</v>
      </c>
      <c r="Y5" s="9" t="s">
        <v>7</v>
      </c>
      <c r="Z5" s="10">
        <f>+N5+Q5+T5</f>
        <v>115000</v>
      </c>
      <c r="AA5" s="10">
        <f>+O5+R5+U5</f>
        <v>340000</v>
      </c>
      <c r="AB5" s="10">
        <f>+P5+S5+V5</f>
        <v>10000</v>
      </c>
      <c r="AC5" s="12">
        <f>SUM(Z5:AB5)</f>
        <v>465000</v>
      </c>
    </row>
    <row r="6" spans="1:29" x14ac:dyDescent="0.25">
      <c r="A6" s="15" t="s">
        <v>14</v>
      </c>
      <c r="B6" s="14"/>
      <c r="C6" s="14">
        <v>15000</v>
      </c>
      <c r="D6" s="14"/>
      <c r="E6" s="14">
        <v>15000</v>
      </c>
      <c r="G6" s="16" t="s">
        <v>8</v>
      </c>
      <c r="H6" s="17">
        <v>195000</v>
      </c>
      <c r="J6" s="11" t="s">
        <v>35</v>
      </c>
      <c r="K6" s="10">
        <v>50000</v>
      </c>
      <c r="M6" s="18" t="s">
        <v>8</v>
      </c>
      <c r="N6" s="19">
        <f t="shared" ref="N6:W6" si="0">SUM(N4:N5)</f>
        <v>50000</v>
      </c>
      <c r="O6" s="19">
        <f t="shared" si="0"/>
        <v>145000</v>
      </c>
      <c r="P6" s="19">
        <f t="shared" si="0"/>
        <v>0</v>
      </c>
      <c r="Q6" s="19">
        <f t="shared" si="0"/>
        <v>25000</v>
      </c>
      <c r="R6" s="19">
        <f t="shared" si="0"/>
        <v>110000</v>
      </c>
      <c r="S6" s="19">
        <f t="shared" si="0"/>
        <v>10000</v>
      </c>
      <c r="T6" s="19">
        <f t="shared" si="0"/>
        <v>40000</v>
      </c>
      <c r="U6" s="19">
        <f t="shared" si="0"/>
        <v>150000</v>
      </c>
      <c r="V6" s="19">
        <f t="shared" si="0"/>
        <v>0</v>
      </c>
      <c r="W6" s="19">
        <f t="shared" si="0"/>
        <v>530000</v>
      </c>
      <c r="Y6" s="18" t="s">
        <v>8</v>
      </c>
      <c r="Z6" s="19">
        <f>SUM(Z4:Z5)</f>
        <v>115000</v>
      </c>
      <c r="AA6" s="19">
        <f>SUM(AA4:AA5)</f>
        <v>405000</v>
      </c>
      <c r="AB6" s="19">
        <f>SUM(AB4:AB5)</f>
        <v>10000</v>
      </c>
      <c r="AC6" s="19">
        <f>SUM(AC4:AC5)</f>
        <v>530000</v>
      </c>
    </row>
    <row r="7" spans="1:29" x14ac:dyDescent="0.25">
      <c r="A7" s="15" t="s">
        <v>7</v>
      </c>
      <c r="B7" s="14">
        <v>50000</v>
      </c>
      <c r="C7" s="14">
        <v>130000</v>
      </c>
      <c r="D7" s="14"/>
      <c r="E7" s="14">
        <v>180000</v>
      </c>
      <c r="G7" s="9" t="s">
        <v>15</v>
      </c>
      <c r="H7" s="20">
        <v>75000</v>
      </c>
      <c r="J7" s="4" t="s">
        <v>36</v>
      </c>
      <c r="K7" s="21">
        <v>300000</v>
      </c>
      <c r="M7" s="9" t="s">
        <v>15</v>
      </c>
      <c r="N7" s="10"/>
      <c r="O7" s="10">
        <v>25000</v>
      </c>
      <c r="P7" s="10">
        <v>75000</v>
      </c>
      <c r="Q7" s="10"/>
      <c r="R7" s="10"/>
      <c r="S7" s="10">
        <v>75000</v>
      </c>
      <c r="T7" s="10"/>
      <c r="U7" s="10"/>
      <c r="V7" s="10">
        <v>100000</v>
      </c>
      <c r="W7" s="12">
        <f>+SUM(N7:V7)</f>
        <v>275000</v>
      </c>
      <c r="Y7" s="9" t="s">
        <v>15</v>
      </c>
      <c r="Z7" s="10"/>
      <c r="AA7" s="10">
        <f>+O7+R7+U7</f>
        <v>25000</v>
      </c>
      <c r="AB7" s="10">
        <f>+P7+S7+V7</f>
        <v>250000</v>
      </c>
      <c r="AC7" s="12">
        <f>SUM(Z7:AB7)</f>
        <v>275000</v>
      </c>
    </row>
    <row r="8" spans="1:29" x14ac:dyDescent="0.25">
      <c r="A8" s="13" t="s">
        <v>11</v>
      </c>
      <c r="B8" s="14"/>
      <c r="C8" s="14"/>
      <c r="D8" s="14">
        <v>80000</v>
      </c>
      <c r="E8" s="14">
        <v>80000</v>
      </c>
      <c r="G8" s="9" t="s">
        <v>10</v>
      </c>
      <c r="H8" s="20">
        <v>5000</v>
      </c>
      <c r="J8" s="22" t="s">
        <v>37</v>
      </c>
      <c r="K8" s="23">
        <v>25000</v>
      </c>
      <c r="M8" s="9" t="s">
        <v>10</v>
      </c>
      <c r="N8" s="10"/>
      <c r="O8" s="10"/>
      <c r="P8" s="10">
        <v>50000</v>
      </c>
      <c r="Q8" s="10"/>
      <c r="R8" s="10"/>
      <c r="S8" s="10"/>
      <c r="T8" s="10"/>
      <c r="U8" s="10"/>
      <c r="V8" s="10">
        <v>5000</v>
      </c>
      <c r="W8" s="12">
        <f>+SUM(N8:V8)</f>
        <v>55000</v>
      </c>
      <c r="Y8" s="9" t="s">
        <v>10</v>
      </c>
      <c r="Z8" s="10"/>
      <c r="AA8" s="10"/>
      <c r="AB8" s="10">
        <f>+P8+S8+V8</f>
        <v>55000</v>
      </c>
      <c r="AC8" s="12">
        <f>SUM(Z8:AB8)</f>
        <v>55000</v>
      </c>
    </row>
    <row r="9" spans="1:29" x14ac:dyDescent="0.25">
      <c r="A9" s="15" t="s">
        <v>15</v>
      </c>
      <c r="B9" s="14"/>
      <c r="C9" s="14"/>
      <c r="D9" s="14">
        <v>75000</v>
      </c>
      <c r="E9" s="14">
        <v>75000</v>
      </c>
      <c r="G9" s="24" t="s">
        <v>11</v>
      </c>
      <c r="H9" s="25">
        <v>80000</v>
      </c>
      <c r="M9" s="26" t="s">
        <v>11</v>
      </c>
      <c r="N9" s="27">
        <f t="shared" ref="N9:W9" si="1">SUM(N7:N8)</f>
        <v>0</v>
      </c>
      <c r="O9" s="27">
        <f t="shared" si="1"/>
        <v>25000</v>
      </c>
      <c r="P9" s="27">
        <f t="shared" si="1"/>
        <v>125000</v>
      </c>
      <c r="Q9" s="27">
        <f t="shared" si="1"/>
        <v>0</v>
      </c>
      <c r="R9" s="27">
        <f t="shared" si="1"/>
        <v>0</v>
      </c>
      <c r="S9" s="27">
        <f t="shared" si="1"/>
        <v>75000</v>
      </c>
      <c r="T9" s="27">
        <f t="shared" si="1"/>
        <v>0</v>
      </c>
      <c r="U9" s="27">
        <f t="shared" si="1"/>
        <v>0</v>
      </c>
      <c r="V9" s="27">
        <f t="shared" si="1"/>
        <v>105000</v>
      </c>
      <c r="W9" s="27">
        <f t="shared" si="1"/>
        <v>330000</v>
      </c>
      <c r="Y9" s="26" t="s">
        <v>11</v>
      </c>
      <c r="Z9" s="27">
        <f>SUM(Z7:Z8)</f>
        <v>0</v>
      </c>
      <c r="AA9" s="27">
        <f>SUM(AA7:AA8)</f>
        <v>25000</v>
      </c>
      <c r="AB9" s="27">
        <f>SUM(AB7:AB8)</f>
        <v>305000</v>
      </c>
      <c r="AC9" s="27">
        <f>SUM(AC7:AC8)</f>
        <v>330000</v>
      </c>
    </row>
    <row r="10" spans="1:29" x14ac:dyDescent="0.25">
      <c r="A10" s="15" t="s">
        <v>10</v>
      </c>
      <c r="B10" s="14"/>
      <c r="C10" s="14"/>
      <c r="D10" s="14">
        <v>5000</v>
      </c>
      <c r="E10" s="14">
        <v>5000</v>
      </c>
      <c r="G10" s="4" t="s">
        <v>38</v>
      </c>
      <c r="H10" s="21">
        <f>+H6+H9</f>
        <v>275000</v>
      </c>
      <c r="M10" s="4" t="s">
        <v>38</v>
      </c>
      <c r="N10" s="21">
        <f t="shared" ref="N10:W10" si="2">+N6+N9</f>
        <v>50000</v>
      </c>
      <c r="O10" s="21">
        <f t="shared" si="2"/>
        <v>170000</v>
      </c>
      <c r="P10" s="21">
        <f t="shared" si="2"/>
        <v>125000</v>
      </c>
      <c r="Q10" s="21">
        <f t="shared" si="2"/>
        <v>25000</v>
      </c>
      <c r="R10" s="21">
        <f t="shared" si="2"/>
        <v>110000</v>
      </c>
      <c r="S10" s="21">
        <f t="shared" si="2"/>
        <v>85000</v>
      </c>
      <c r="T10" s="21">
        <f t="shared" si="2"/>
        <v>40000</v>
      </c>
      <c r="U10" s="21">
        <f t="shared" si="2"/>
        <v>150000</v>
      </c>
      <c r="V10" s="21">
        <f t="shared" si="2"/>
        <v>105000</v>
      </c>
      <c r="W10" s="21">
        <f t="shared" si="2"/>
        <v>860000</v>
      </c>
      <c r="Y10" s="4" t="s">
        <v>38</v>
      </c>
      <c r="Z10" s="21">
        <f>+Z6+Z9</f>
        <v>115000</v>
      </c>
      <c r="AA10" s="21">
        <f>+AA6+AA9</f>
        <v>430000</v>
      </c>
      <c r="AB10" s="21">
        <f>+AB6+AB9</f>
        <v>315000</v>
      </c>
      <c r="AC10" s="21">
        <f>+AC6+AC9</f>
        <v>860000</v>
      </c>
    </row>
    <row r="11" spans="1:29" x14ac:dyDescent="0.25">
      <c r="A11" s="13" t="s">
        <v>18</v>
      </c>
      <c r="B11" s="14"/>
      <c r="C11" s="14">
        <v>25000</v>
      </c>
      <c r="D11" s="14"/>
      <c r="E11" s="14">
        <v>25000</v>
      </c>
      <c r="G11" s="9" t="s">
        <v>17</v>
      </c>
      <c r="H11" s="10">
        <v>25000</v>
      </c>
      <c r="M11" s="9" t="s">
        <v>17</v>
      </c>
      <c r="N11" s="10"/>
      <c r="O11" s="10">
        <v>25000</v>
      </c>
      <c r="P11" s="10"/>
      <c r="Q11" s="10"/>
      <c r="R11" s="10"/>
      <c r="S11" s="10"/>
      <c r="T11" s="10"/>
      <c r="U11" s="10"/>
      <c r="V11" s="10"/>
      <c r="W11" s="12">
        <f>+SUM(N11:V11)</f>
        <v>25000</v>
      </c>
      <c r="Y11" s="9" t="s">
        <v>17</v>
      </c>
      <c r="Z11" s="10"/>
      <c r="AA11" s="10">
        <f>+O11+R11+U11</f>
        <v>25000</v>
      </c>
      <c r="AB11" s="10"/>
      <c r="AC11" s="12">
        <f>SUM(Z11:AB11)</f>
        <v>25000</v>
      </c>
    </row>
    <row r="12" spans="1:29" x14ac:dyDescent="0.25">
      <c r="A12" s="15" t="s">
        <v>17</v>
      </c>
      <c r="B12" s="14"/>
      <c r="C12" s="14">
        <v>25000</v>
      </c>
      <c r="D12" s="14"/>
      <c r="E12" s="14">
        <v>25000</v>
      </c>
      <c r="G12" s="22" t="s">
        <v>18</v>
      </c>
      <c r="H12" s="23">
        <v>25000</v>
      </c>
      <c r="M12" s="22" t="s">
        <v>18</v>
      </c>
      <c r="N12" s="23">
        <f t="shared" ref="N12:W12" si="3">+N11</f>
        <v>0</v>
      </c>
      <c r="O12" s="23">
        <f t="shared" si="3"/>
        <v>25000</v>
      </c>
      <c r="P12" s="23">
        <f t="shared" si="3"/>
        <v>0</v>
      </c>
      <c r="Q12" s="23">
        <f t="shared" si="3"/>
        <v>0</v>
      </c>
      <c r="R12" s="23">
        <f t="shared" si="3"/>
        <v>0</v>
      </c>
      <c r="S12" s="23">
        <f t="shared" si="3"/>
        <v>0</v>
      </c>
      <c r="T12" s="23">
        <f t="shared" si="3"/>
        <v>0</v>
      </c>
      <c r="U12" s="23">
        <f t="shared" si="3"/>
        <v>0</v>
      </c>
      <c r="V12" s="23">
        <f t="shared" si="3"/>
        <v>0</v>
      </c>
      <c r="W12" s="23">
        <f t="shared" si="3"/>
        <v>25000</v>
      </c>
      <c r="Y12" s="22" t="s">
        <v>18</v>
      </c>
      <c r="Z12" s="23"/>
      <c r="AA12" s="23">
        <f>+AA11</f>
        <v>25000</v>
      </c>
      <c r="AB12" s="23"/>
      <c r="AC12" s="23">
        <f>+AC11</f>
        <v>25000</v>
      </c>
    </row>
    <row r="13" spans="1:29" x14ac:dyDescent="0.25">
      <c r="A13" s="44" t="s">
        <v>32</v>
      </c>
      <c r="B13" s="45">
        <v>50000</v>
      </c>
      <c r="C13" s="45">
        <v>170000</v>
      </c>
      <c r="D13" s="45">
        <v>80000</v>
      </c>
      <c r="E13" s="45">
        <v>300000</v>
      </c>
      <c r="G13" s="4" t="s">
        <v>36</v>
      </c>
      <c r="H13" s="21">
        <v>300000</v>
      </c>
      <c r="M13" s="4" t="s">
        <v>30</v>
      </c>
      <c r="N13" s="21">
        <f t="shared" ref="N13:W13" si="4">+N10+N12</f>
        <v>50000</v>
      </c>
      <c r="O13" s="21">
        <f t="shared" si="4"/>
        <v>195000</v>
      </c>
      <c r="P13" s="21">
        <f t="shared" si="4"/>
        <v>125000</v>
      </c>
      <c r="Q13" s="21">
        <f t="shared" si="4"/>
        <v>25000</v>
      </c>
      <c r="R13" s="21">
        <f t="shared" si="4"/>
        <v>110000</v>
      </c>
      <c r="S13" s="21">
        <f t="shared" si="4"/>
        <v>85000</v>
      </c>
      <c r="T13" s="21">
        <f t="shared" si="4"/>
        <v>40000</v>
      </c>
      <c r="U13" s="21">
        <f t="shared" si="4"/>
        <v>150000</v>
      </c>
      <c r="V13" s="21">
        <f t="shared" si="4"/>
        <v>105000</v>
      </c>
      <c r="W13" s="21">
        <f t="shared" si="4"/>
        <v>885000</v>
      </c>
      <c r="Y13" s="4" t="s">
        <v>30</v>
      </c>
      <c r="Z13" s="21">
        <f>+Z10+Z12</f>
        <v>115000</v>
      </c>
      <c r="AA13" s="21">
        <f>+AA10+AA12</f>
        <v>455000</v>
      </c>
      <c r="AB13" s="21">
        <f>+AB10+AB12</f>
        <v>315000</v>
      </c>
      <c r="AC13" s="21">
        <f>+AC10+AC12</f>
        <v>885000</v>
      </c>
    </row>
    <row r="14" spans="1:29" x14ac:dyDescent="0.25">
      <c r="B14"/>
    </row>
  </sheetData>
  <pageMargins left="0.70000000000000007" right="0.70000000000000007" top="0.75" bottom="0.75" header="0.30000000000000004" footer="0.30000000000000004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N31"/>
  <sheetViews>
    <sheetView workbookViewId="0">
      <selection activeCell="A17" sqref="A17:XFD31"/>
    </sheetView>
  </sheetViews>
  <sheetFormatPr defaultColWidth="11.42578125" defaultRowHeight="15" x14ac:dyDescent="0.25"/>
  <cols>
    <col min="1" max="1" width="11.42578125" customWidth="1"/>
    <col min="2" max="2" width="24.5703125" customWidth="1"/>
    <col min="3" max="14" width="9" customWidth="1"/>
    <col min="15" max="15" width="11.42578125" customWidth="1"/>
  </cols>
  <sheetData>
    <row r="3" spans="2:14" ht="20.25" x14ac:dyDescent="0.3">
      <c r="B3" s="2" t="s">
        <v>20</v>
      </c>
    </row>
    <row r="5" spans="2:14" x14ac:dyDescent="0.25">
      <c r="B5" s="4" t="s">
        <v>39</v>
      </c>
      <c r="C5" s="28" t="s">
        <v>40</v>
      </c>
      <c r="D5" s="28" t="s">
        <v>41</v>
      </c>
      <c r="E5" s="28" t="s">
        <v>42</v>
      </c>
      <c r="F5" s="28" t="s">
        <v>43</v>
      </c>
      <c r="G5" s="28" t="s">
        <v>44</v>
      </c>
      <c r="H5" s="28" t="s">
        <v>45</v>
      </c>
      <c r="I5" s="28" t="s">
        <v>46</v>
      </c>
      <c r="J5" s="28" t="s">
        <v>47</v>
      </c>
      <c r="K5" s="28" t="s">
        <v>48</v>
      </c>
      <c r="L5" s="28" t="s">
        <v>49</v>
      </c>
      <c r="M5" s="28" t="s">
        <v>50</v>
      </c>
      <c r="N5" s="28" t="s">
        <v>51</v>
      </c>
    </row>
    <row r="6" spans="2:14" x14ac:dyDescent="0.25">
      <c r="B6" s="11" t="s">
        <v>33</v>
      </c>
      <c r="C6" s="10">
        <v>120000</v>
      </c>
      <c r="D6" s="10">
        <f t="shared" ref="D6:K8" si="0">+C6+(D17*D21*1000)</f>
        <v>124000</v>
      </c>
      <c r="E6" s="10">
        <f t="shared" si="0"/>
        <v>116000</v>
      </c>
      <c r="F6" s="10">
        <f t="shared" si="0"/>
        <v>122000</v>
      </c>
      <c r="G6" s="10">
        <f t="shared" si="0"/>
        <v>129000</v>
      </c>
      <c r="H6" s="10">
        <f t="shared" si="0"/>
        <v>120000</v>
      </c>
      <c r="I6" s="10">
        <f t="shared" si="0"/>
        <v>120000</v>
      </c>
      <c r="J6" s="10">
        <f t="shared" si="0"/>
        <v>115000</v>
      </c>
      <c r="K6" s="10">
        <f t="shared" si="0"/>
        <v>115000</v>
      </c>
      <c r="L6" s="10"/>
      <c r="M6" s="10"/>
      <c r="N6" s="10"/>
    </row>
    <row r="7" spans="2:14" x14ac:dyDescent="0.25">
      <c r="B7" s="11" t="s">
        <v>34</v>
      </c>
      <c r="C7" s="10">
        <v>60000</v>
      </c>
      <c r="D7" s="10">
        <f t="shared" si="0"/>
        <v>54000</v>
      </c>
      <c r="E7" s="10">
        <f t="shared" si="0"/>
        <v>62000</v>
      </c>
      <c r="F7" s="10">
        <f t="shared" si="0"/>
        <v>52000</v>
      </c>
      <c r="G7" s="10">
        <f t="shared" si="0"/>
        <v>62000</v>
      </c>
      <c r="H7" s="10">
        <f t="shared" si="0"/>
        <v>62000</v>
      </c>
      <c r="I7" s="10">
        <f t="shared" si="0"/>
        <v>62000</v>
      </c>
      <c r="J7" s="10">
        <f t="shared" si="0"/>
        <v>62000</v>
      </c>
      <c r="K7" s="10">
        <f t="shared" si="0"/>
        <v>62000</v>
      </c>
      <c r="L7" s="10"/>
      <c r="M7" s="10"/>
      <c r="N7" s="10"/>
    </row>
    <row r="8" spans="2:14" x14ac:dyDescent="0.25">
      <c r="B8" s="11" t="s">
        <v>35</v>
      </c>
      <c r="C8" s="10">
        <v>80000</v>
      </c>
      <c r="D8" s="10">
        <f t="shared" si="0"/>
        <v>78000</v>
      </c>
      <c r="E8" s="10">
        <f t="shared" si="0"/>
        <v>78000</v>
      </c>
      <c r="F8" s="10">
        <f t="shared" si="0"/>
        <v>72000</v>
      </c>
      <c r="G8" s="10">
        <f t="shared" si="0"/>
        <v>68000</v>
      </c>
      <c r="H8" s="10">
        <f t="shared" si="0"/>
        <v>70000</v>
      </c>
      <c r="I8" s="10">
        <f t="shared" si="0"/>
        <v>70000</v>
      </c>
      <c r="J8" s="10">
        <f t="shared" si="0"/>
        <v>66000</v>
      </c>
      <c r="K8" s="10">
        <f t="shared" si="0"/>
        <v>69000</v>
      </c>
      <c r="L8" s="10"/>
      <c r="M8" s="10"/>
      <c r="N8" s="10"/>
    </row>
    <row r="9" spans="2:14" x14ac:dyDescent="0.25">
      <c r="B9" s="29" t="s">
        <v>52</v>
      </c>
      <c r="C9" s="30">
        <f t="shared" ref="C9:K9" si="1">SUM(C6:C8)</f>
        <v>260000</v>
      </c>
      <c r="D9" s="30">
        <f t="shared" si="1"/>
        <v>256000</v>
      </c>
      <c r="E9" s="30">
        <f t="shared" si="1"/>
        <v>256000</v>
      </c>
      <c r="F9" s="30">
        <f t="shared" si="1"/>
        <v>246000</v>
      </c>
      <c r="G9" s="30">
        <f t="shared" si="1"/>
        <v>259000</v>
      </c>
      <c r="H9" s="30">
        <f t="shared" si="1"/>
        <v>252000</v>
      </c>
      <c r="I9" s="30">
        <f t="shared" si="1"/>
        <v>252000</v>
      </c>
      <c r="J9" s="30">
        <f t="shared" si="1"/>
        <v>243000</v>
      </c>
      <c r="K9" s="30">
        <f t="shared" si="1"/>
        <v>246000</v>
      </c>
      <c r="L9" s="30"/>
      <c r="M9" s="30"/>
      <c r="N9" s="30"/>
    </row>
    <row r="10" spans="2:14" x14ac:dyDescent="0.25">
      <c r="B10" s="11" t="s">
        <v>34</v>
      </c>
      <c r="C10" s="10">
        <v>75000</v>
      </c>
      <c r="D10" s="10">
        <v>75000</v>
      </c>
      <c r="E10" s="10">
        <v>75000</v>
      </c>
      <c r="F10" s="10">
        <v>75000</v>
      </c>
      <c r="G10" s="10">
        <v>75000</v>
      </c>
      <c r="H10" s="10">
        <v>75000</v>
      </c>
      <c r="I10" s="10">
        <v>75000</v>
      </c>
      <c r="J10" s="10">
        <v>75000</v>
      </c>
      <c r="K10" s="10"/>
      <c r="L10" s="10"/>
      <c r="M10" s="10"/>
      <c r="N10" s="10"/>
    </row>
    <row r="11" spans="2:14" x14ac:dyDescent="0.25">
      <c r="B11" s="11" t="s">
        <v>35</v>
      </c>
      <c r="C11" s="10">
        <v>5000</v>
      </c>
      <c r="D11" s="10">
        <v>5000</v>
      </c>
      <c r="E11" s="10">
        <v>5000</v>
      </c>
      <c r="F11" s="10">
        <v>5000</v>
      </c>
      <c r="G11" s="10">
        <v>5000</v>
      </c>
      <c r="H11" s="10">
        <v>5000</v>
      </c>
      <c r="I11" s="10">
        <v>5000</v>
      </c>
      <c r="J11" s="10">
        <v>5000</v>
      </c>
      <c r="K11" s="10">
        <v>5000</v>
      </c>
      <c r="L11" s="10"/>
      <c r="M11" s="10"/>
      <c r="N11" s="10"/>
    </row>
    <row r="12" spans="2:14" x14ac:dyDescent="0.25">
      <c r="B12" s="31" t="s">
        <v>53</v>
      </c>
      <c r="C12" s="32">
        <f t="shared" ref="C12:K12" si="2">SUM(C10:C11)</f>
        <v>80000</v>
      </c>
      <c r="D12" s="32">
        <f t="shared" si="2"/>
        <v>80000</v>
      </c>
      <c r="E12" s="32">
        <f t="shared" si="2"/>
        <v>80000</v>
      </c>
      <c r="F12" s="32">
        <f t="shared" si="2"/>
        <v>80000</v>
      </c>
      <c r="G12" s="32">
        <f t="shared" si="2"/>
        <v>80000</v>
      </c>
      <c r="H12" s="32">
        <f t="shared" si="2"/>
        <v>80000</v>
      </c>
      <c r="I12" s="32">
        <f t="shared" si="2"/>
        <v>80000</v>
      </c>
      <c r="J12" s="32">
        <f t="shared" si="2"/>
        <v>80000</v>
      </c>
      <c r="K12" s="32">
        <f t="shared" si="2"/>
        <v>5000</v>
      </c>
      <c r="L12" s="32"/>
      <c r="M12" s="32"/>
      <c r="N12" s="32"/>
    </row>
    <row r="13" spans="2:14" x14ac:dyDescent="0.25">
      <c r="B13" s="4" t="s">
        <v>54</v>
      </c>
      <c r="C13" s="33">
        <f t="shared" ref="C13:K13" si="3">+C9+C12</f>
        <v>340000</v>
      </c>
      <c r="D13" s="33">
        <f t="shared" si="3"/>
        <v>336000</v>
      </c>
      <c r="E13" s="33">
        <f t="shared" si="3"/>
        <v>336000</v>
      </c>
      <c r="F13" s="33">
        <f t="shared" si="3"/>
        <v>326000</v>
      </c>
      <c r="G13" s="33">
        <f t="shared" si="3"/>
        <v>339000</v>
      </c>
      <c r="H13" s="33">
        <f t="shared" si="3"/>
        <v>332000</v>
      </c>
      <c r="I13" s="33">
        <f t="shared" si="3"/>
        <v>332000</v>
      </c>
      <c r="J13" s="33">
        <f t="shared" si="3"/>
        <v>323000</v>
      </c>
      <c r="K13" s="33">
        <f t="shared" si="3"/>
        <v>251000</v>
      </c>
      <c r="L13" s="33"/>
      <c r="M13" s="33"/>
      <c r="N13" s="33"/>
    </row>
    <row r="14" spans="2:14" x14ac:dyDescent="0.25">
      <c r="B14" t="s">
        <v>17</v>
      </c>
      <c r="C14" s="1">
        <v>25000</v>
      </c>
      <c r="D14" s="1">
        <v>25000</v>
      </c>
      <c r="E14" s="1">
        <v>25000</v>
      </c>
      <c r="F14" s="1">
        <v>25000</v>
      </c>
      <c r="G14" s="1">
        <v>25000</v>
      </c>
      <c r="H14" s="1"/>
      <c r="I14" s="1"/>
      <c r="J14" s="1"/>
      <c r="K14" s="1"/>
      <c r="L14" s="1"/>
      <c r="M14" s="1"/>
      <c r="N14" s="1"/>
    </row>
    <row r="15" spans="2:14" x14ac:dyDescent="0.25">
      <c r="B15" s="4" t="s">
        <v>55</v>
      </c>
      <c r="C15" s="33">
        <f t="shared" ref="C15:K15" si="4">+C13+C14</f>
        <v>365000</v>
      </c>
      <c r="D15" s="33">
        <f t="shared" si="4"/>
        <v>361000</v>
      </c>
      <c r="E15" s="33">
        <f t="shared" si="4"/>
        <v>361000</v>
      </c>
      <c r="F15" s="33">
        <f t="shared" si="4"/>
        <v>351000</v>
      </c>
      <c r="G15" s="33">
        <f t="shared" si="4"/>
        <v>364000</v>
      </c>
      <c r="H15" s="33">
        <f t="shared" si="4"/>
        <v>332000</v>
      </c>
      <c r="I15" s="33">
        <f t="shared" si="4"/>
        <v>332000</v>
      </c>
      <c r="J15" s="33">
        <f t="shared" si="4"/>
        <v>323000</v>
      </c>
      <c r="K15" s="33">
        <f t="shared" si="4"/>
        <v>251000</v>
      </c>
      <c r="L15" s="33"/>
      <c r="M15" s="33"/>
      <c r="N15" s="33"/>
    </row>
    <row r="17" spans="3:14" hidden="1" x14ac:dyDescent="0.25">
      <c r="C17">
        <v>1</v>
      </c>
      <c r="D17">
        <v>4</v>
      </c>
      <c r="E17">
        <v>8</v>
      </c>
      <c r="F17">
        <v>6</v>
      </c>
      <c r="G17">
        <v>7</v>
      </c>
      <c r="H17">
        <v>9</v>
      </c>
      <c r="I17">
        <v>6</v>
      </c>
      <c r="J17">
        <v>5</v>
      </c>
      <c r="K17">
        <v>2</v>
      </c>
      <c r="L17">
        <v>1</v>
      </c>
      <c r="M17">
        <v>6</v>
      </c>
      <c r="N17">
        <v>7</v>
      </c>
    </row>
    <row r="18" spans="3:14" hidden="1" x14ac:dyDescent="0.25">
      <c r="C18">
        <v>1</v>
      </c>
      <c r="D18">
        <v>6</v>
      </c>
      <c r="E18">
        <v>8</v>
      </c>
      <c r="F18">
        <v>10</v>
      </c>
      <c r="G18">
        <v>10</v>
      </c>
      <c r="H18">
        <v>5</v>
      </c>
      <c r="I18">
        <v>8</v>
      </c>
      <c r="J18">
        <v>9</v>
      </c>
      <c r="K18">
        <v>3</v>
      </c>
      <c r="L18">
        <v>5</v>
      </c>
      <c r="M18">
        <v>2</v>
      </c>
      <c r="N18">
        <v>9</v>
      </c>
    </row>
    <row r="19" spans="3:14" hidden="1" x14ac:dyDescent="0.25">
      <c r="C19">
        <v>1</v>
      </c>
      <c r="D19">
        <v>2</v>
      </c>
      <c r="E19">
        <v>8</v>
      </c>
      <c r="F19">
        <v>6</v>
      </c>
      <c r="G19">
        <v>4</v>
      </c>
      <c r="H19">
        <v>2</v>
      </c>
      <c r="I19">
        <v>6</v>
      </c>
      <c r="J19">
        <v>4</v>
      </c>
      <c r="K19">
        <v>3</v>
      </c>
      <c r="L19">
        <v>7</v>
      </c>
      <c r="M19">
        <v>2</v>
      </c>
      <c r="N19">
        <v>5</v>
      </c>
    </row>
    <row r="20" spans="3:14" hidden="1" x14ac:dyDescent="0.25">
      <c r="C20">
        <v>1</v>
      </c>
    </row>
    <row r="21" spans="3:14" hidden="1" x14ac:dyDescent="0.25">
      <c r="C21">
        <v>1</v>
      </c>
      <c r="D21">
        <v>1</v>
      </c>
      <c r="E21">
        <v>-1</v>
      </c>
      <c r="F21">
        <v>1</v>
      </c>
      <c r="G21">
        <v>1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  <c r="N21">
        <v>-1</v>
      </c>
    </row>
    <row r="22" spans="3:14" hidden="1" x14ac:dyDescent="0.25">
      <c r="C22">
        <v>1</v>
      </c>
      <c r="D22">
        <v>-1</v>
      </c>
      <c r="E22">
        <v>1</v>
      </c>
      <c r="F22">
        <v>-1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3:14" hidden="1" x14ac:dyDescent="0.25">
      <c r="C23">
        <v>1</v>
      </c>
      <c r="D23">
        <v>-1</v>
      </c>
      <c r="E23">
        <v>0</v>
      </c>
      <c r="F23">
        <v>-1</v>
      </c>
      <c r="G23">
        <v>-1</v>
      </c>
      <c r="H23">
        <v>1</v>
      </c>
      <c r="I23">
        <v>0</v>
      </c>
      <c r="J23">
        <v>-1</v>
      </c>
      <c r="K23">
        <v>1</v>
      </c>
      <c r="L23">
        <v>1</v>
      </c>
      <c r="M23">
        <v>1</v>
      </c>
      <c r="N23">
        <v>0</v>
      </c>
    </row>
    <row r="24" spans="3:14" hidden="1" x14ac:dyDescent="0.25">
      <c r="C24">
        <v>1</v>
      </c>
    </row>
    <row r="25" spans="3:14" hidden="1" x14ac:dyDescent="0.25">
      <c r="C25">
        <v>1</v>
      </c>
    </row>
    <row r="26" spans="3:14" hidden="1" x14ac:dyDescent="0.25">
      <c r="C26">
        <v>1</v>
      </c>
    </row>
    <row r="27" spans="3:14" hidden="1" x14ac:dyDescent="0.25">
      <c r="C27">
        <v>1</v>
      </c>
    </row>
    <row r="28" spans="3:14" hidden="1" x14ac:dyDescent="0.25">
      <c r="C28">
        <v>1</v>
      </c>
    </row>
    <row r="29" spans="3:14" hidden="1" x14ac:dyDescent="0.25">
      <c r="C29">
        <v>1</v>
      </c>
    </row>
    <row r="30" spans="3:14" hidden="1" x14ac:dyDescent="0.25">
      <c r="C30">
        <v>1</v>
      </c>
    </row>
    <row r="31" spans="3:14" hidden="1" x14ac:dyDescent="0.25">
      <c r="C31">
        <v>1</v>
      </c>
    </row>
  </sheetData>
  <pageMargins left="0.70000000000000007" right="0.70000000000000007" top="0.75" bottom="0.75" header="0.30000000000000004" footer="0.3000000000000000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showGridLines="0" workbookViewId="0"/>
  </sheetViews>
  <sheetFormatPr defaultColWidth="11.42578125" defaultRowHeight="15" x14ac:dyDescent="0.25"/>
  <cols>
    <col min="1" max="1" width="29.140625" customWidth="1"/>
    <col min="2" max="2" width="15" customWidth="1"/>
    <col min="3" max="3" width="15.140625" customWidth="1"/>
    <col min="4" max="4" width="14.85546875" customWidth="1"/>
    <col min="5" max="5" width="16.28515625" style="3" customWidth="1"/>
    <col min="6" max="6" width="11.42578125" customWidth="1"/>
  </cols>
  <sheetData>
    <row r="1" spans="1:5" ht="30.75" x14ac:dyDescent="0.45">
      <c r="A1" s="34" t="s">
        <v>20</v>
      </c>
      <c r="D1" s="46" t="s">
        <v>56</v>
      </c>
      <c r="E1" s="46"/>
    </row>
    <row r="3" spans="1:5" ht="28.5" x14ac:dyDescent="0.45">
      <c r="A3" s="47" t="s">
        <v>57</v>
      </c>
      <c r="B3" s="47"/>
      <c r="C3" s="47"/>
      <c r="D3" s="47"/>
      <c r="E3" s="47"/>
    </row>
    <row r="5" spans="1:5" s="38" customFormat="1" ht="30.75" customHeight="1" x14ac:dyDescent="0.25">
      <c r="A5" s="35"/>
      <c r="B5" s="36" t="s">
        <v>58</v>
      </c>
      <c r="C5" s="36" t="s">
        <v>59</v>
      </c>
      <c r="D5" s="36" t="s">
        <v>60</v>
      </c>
      <c r="E5" s="37" t="s">
        <v>36</v>
      </c>
    </row>
    <row r="6" spans="1:5" x14ac:dyDescent="0.25">
      <c r="A6" s="9" t="s">
        <v>14</v>
      </c>
      <c r="B6" s="10"/>
      <c r="C6" s="10">
        <v>15000</v>
      </c>
      <c r="D6" s="10"/>
      <c r="E6" s="12">
        <v>15000</v>
      </c>
    </row>
    <row r="7" spans="1:5" x14ac:dyDescent="0.25">
      <c r="A7" s="9" t="s">
        <v>7</v>
      </c>
      <c r="B7" s="10">
        <v>50000</v>
      </c>
      <c r="C7" s="10">
        <v>130000</v>
      </c>
      <c r="D7" s="10"/>
      <c r="E7" s="12">
        <v>180000</v>
      </c>
    </row>
    <row r="8" spans="1:5" x14ac:dyDescent="0.25">
      <c r="A8" s="16" t="s">
        <v>8</v>
      </c>
      <c r="B8" s="39">
        <v>50000</v>
      </c>
      <c r="C8" s="39">
        <v>145000</v>
      </c>
      <c r="D8" s="39"/>
      <c r="E8" s="40">
        <v>195000</v>
      </c>
    </row>
    <row r="9" spans="1:5" x14ac:dyDescent="0.25">
      <c r="A9" s="9" t="s">
        <v>15</v>
      </c>
      <c r="B9" s="10"/>
      <c r="C9" s="10"/>
      <c r="D9" s="10">
        <v>75000</v>
      </c>
      <c r="E9" s="12">
        <v>75000</v>
      </c>
    </row>
    <row r="10" spans="1:5" x14ac:dyDescent="0.25">
      <c r="A10" s="9" t="s">
        <v>10</v>
      </c>
      <c r="B10" s="10"/>
      <c r="C10" s="10"/>
      <c r="D10" s="10">
        <v>5000</v>
      </c>
      <c r="E10" s="12">
        <v>5000</v>
      </c>
    </row>
    <row r="11" spans="1:5" x14ac:dyDescent="0.25">
      <c r="A11" s="24" t="s">
        <v>11</v>
      </c>
      <c r="B11" s="41"/>
      <c r="C11" s="41"/>
      <c r="D11" s="41">
        <v>80000</v>
      </c>
      <c r="E11" s="42">
        <v>80000</v>
      </c>
    </row>
    <row r="12" spans="1:5" x14ac:dyDescent="0.25">
      <c r="A12" s="4" t="s">
        <v>38</v>
      </c>
      <c r="B12" s="21"/>
      <c r="C12" s="21"/>
      <c r="D12" s="21"/>
      <c r="E12" s="21">
        <f>+E8+E11</f>
        <v>275000</v>
      </c>
    </row>
    <row r="13" spans="1:5" x14ac:dyDescent="0.25">
      <c r="A13" s="9" t="s">
        <v>17</v>
      </c>
      <c r="B13" s="10"/>
      <c r="C13" s="10">
        <v>25000</v>
      </c>
      <c r="D13" s="10"/>
      <c r="E13" s="12">
        <v>25000</v>
      </c>
    </row>
    <row r="14" spans="1:5" x14ac:dyDescent="0.25">
      <c r="A14" s="22" t="s">
        <v>18</v>
      </c>
      <c r="B14" s="23"/>
      <c r="C14" s="23">
        <v>25000</v>
      </c>
      <c r="D14" s="23"/>
      <c r="E14" s="43">
        <v>25000</v>
      </c>
    </row>
    <row r="15" spans="1:5" x14ac:dyDescent="0.25">
      <c r="A15" s="4" t="s">
        <v>30</v>
      </c>
      <c r="B15" s="21">
        <v>50000</v>
      </c>
      <c r="C15" s="21">
        <v>170000</v>
      </c>
      <c r="D15" s="21">
        <v>80000</v>
      </c>
      <c r="E15" s="21">
        <v>300000</v>
      </c>
    </row>
  </sheetData>
  <mergeCells count="2">
    <mergeCell ref="D1:E1"/>
    <mergeCell ref="A3:E3"/>
  </mergeCells>
  <pageMargins left="0.70000000000000007" right="0.3869047619047622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4</vt:i4>
      </vt:variant>
    </vt:vector>
  </HeadingPairs>
  <TitlesOfParts>
    <vt:vector size="4" baseType="lpstr">
      <vt:lpstr>Saldos</vt:lpstr>
      <vt:lpstr>Informes</vt:lpstr>
      <vt:lpstr>Posición_Anual</vt:lpstr>
      <vt:lpstr>Posición_diaria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Aleix</dc:creator>
  <cp:lastModifiedBy>oriol Calblay</cp:lastModifiedBy>
  <cp:lastPrinted>2021-08-17T15:37:14Z</cp:lastPrinted>
  <dcterms:created xsi:type="dcterms:W3CDTF">2021-08-17T15:09:30Z</dcterms:created>
  <dcterms:modified xsi:type="dcterms:W3CDTF">2024-06-11T17:38:01Z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ab904b49-3f4d-4965-871f-2e2fd7247f94_Enabled">
    <vt:lpwstr>True</vt:lpwstr>
  </property>
  <property fmtid="{D5CDD505-2E9C-101B-9397-08002B2CF9AE}" pid="5" name="MSIP_Label_ab904b49-3f4d-4965-871f-2e2fd7247f94_SiteId">
    <vt:lpwstr>05088b6e-1d96-4f6b-8918-48957eca4f00</vt:lpwstr>
  </property>
  <property fmtid="{D5CDD505-2E9C-101B-9397-08002B2CF9AE}" pid="6" name="MSIP_Label_ab904b49-3f4d-4965-871f-2e2fd7247f94_Owner">
    <vt:lpwstr>aleix.vives@cellnextelecom.com</vt:lpwstr>
  </property>
  <property fmtid="{D5CDD505-2E9C-101B-9397-08002B2CF9AE}" pid="7" name="MSIP_Label_ab904b49-3f4d-4965-871f-2e2fd7247f94_SetDate">
    <vt:lpwstr>2021-09-28T15:58:46.2621882Z</vt:lpwstr>
  </property>
  <property fmtid="{D5CDD505-2E9C-101B-9397-08002B2CF9AE}" pid="8" name="MSIP_Label_ab904b49-3f4d-4965-871f-2e2fd7247f94_Name">
    <vt:lpwstr>Internal</vt:lpwstr>
  </property>
  <property fmtid="{D5CDD505-2E9C-101B-9397-08002B2CF9AE}" pid="9" name="MSIP_Label_ab904b49-3f4d-4965-871f-2e2fd7247f94_Application">
    <vt:lpwstr>Microsoft Azure Information Protection</vt:lpwstr>
  </property>
  <property fmtid="{D5CDD505-2E9C-101B-9397-08002B2CF9AE}" pid="10" name="MSIP_Label_ab904b49-3f4d-4965-871f-2e2fd7247f94_ActionId">
    <vt:lpwstr>f3ee3e3e-1c5a-4577-9b51-4418a3ddc7dd</vt:lpwstr>
  </property>
  <property fmtid="{D5CDD505-2E9C-101B-9397-08002B2CF9AE}" pid="11" name="MSIP_Label_ab904b49-3f4d-4965-871f-2e2fd7247f94_Extended_MSFT_Method">
    <vt:lpwstr>Automatic</vt:lpwstr>
  </property>
  <property fmtid="{D5CDD505-2E9C-101B-9397-08002B2CF9AE}" pid="12" name="Sensitivity">
    <vt:lpwstr>Internal</vt:lpwstr>
  </property>
</Properties>
</file>