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7/GESTION DE LA TESORERIA/Clase 2/"/>
    </mc:Choice>
  </mc:AlternateContent>
  <xr:revisionPtr revIDLastSave="0" documentId="8_{D2D78816-ECA9-4185-A910-A9612A359550}" xr6:coauthVersionLast="47" xr6:coauthVersionMax="47" xr10:uidLastSave="{00000000-0000-0000-0000-000000000000}"/>
  <bookViews>
    <workbookView xWindow="22932" yWindow="-60" windowWidth="23256" windowHeight="12456" xr2:uid="{00000000-000D-0000-FFFF-FFFF00000000}"/>
  </bookViews>
  <sheets>
    <sheet name="Flujo_Ca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D10" i="1"/>
  <c r="E10" i="1"/>
  <c r="F10" i="1"/>
  <c r="C15" i="1"/>
  <c r="D15" i="1"/>
  <c r="E15" i="1"/>
  <c r="F15" i="1"/>
  <c r="C19" i="1"/>
  <c r="D19" i="1"/>
  <c r="E19" i="1"/>
  <c r="F19" i="1"/>
  <c r="C23" i="1"/>
  <c r="D23" i="1"/>
  <c r="E23" i="1"/>
  <c r="F23" i="1"/>
  <c r="C27" i="1"/>
  <c r="D27" i="1"/>
  <c r="E27" i="1"/>
  <c r="F27" i="1"/>
  <c r="C28" i="1"/>
  <c r="D4" i="1" s="1"/>
  <c r="D28" i="1" l="1"/>
  <c r="E4" i="1" s="1"/>
  <c r="E28" i="1" s="1"/>
  <c r="F4" i="1" s="1"/>
  <c r="F28" i="1" s="1"/>
</calcChain>
</file>

<file path=xl/sharedStrings.xml><?xml version="1.0" encoding="utf-8"?>
<sst xmlns="http://schemas.openxmlformats.org/spreadsheetml/2006/main" count="31" uniqueCount="31">
  <si>
    <t>SALDO FINAL</t>
  </si>
  <si>
    <t>OTROS</t>
  </si>
  <si>
    <t>Otros Cobros y Pagos</t>
  </si>
  <si>
    <t>Cobros / Pagos Financieros</t>
  </si>
  <si>
    <t>Cobros / Pagos Dividendos</t>
  </si>
  <si>
    <t>IMPUESTOS Y TRIBUTOS</t>
  </si>
  <si>
    <t>Pagos Otros Impuestos</t>
  </si>
  <si>
    <t>Pagos Liquidación IVA</t>
  </si>
  <si>
    <t>Pagos Retenciones</t>
  </si>
  <si>
    <t>ADM. PERSONAL</t>
  </si>
  <si>
    <t>Pagos Otros RH</t>
  </si>
  <si>
    <t>Pagos Cotizaciones Sociales</t>
  </si>
  <si>
    <t>Pagos Nóminas</t>
  </si>
  <si>
    <t>CUENTAS A PAGAR</t>
  </si>
  <si>
    <t>Pagos Domiciliados</t>
  </si>
  <si>
    <t>Pagos Transferencia</t>
  </si>
  <si>
    <t>Pagos Alquileres</t>
  </si>
  <si>
    <t>Pagos Confirming</t>
  </si>
  <si>
    <t>CUENTAS A COBRAR</t>
  </si>
  <si>
    <t>Cobros Otros</t>
  </si>
  <si>
    <t>Cobros Transferencia</t>
  </si>
  <si>
    <t>Cobros Pagarés</t>
  </si>
  <si>
    <t>Cobros Confiming</t>
  </si>
  <si>
    <t>Cobros Adeudos Domiciliados</t>
  </si>
  <si>
    <t>SALDO INICIAL</t>
  </si>
  <si>
    <t>SEMANA 4</t>
  </si>
  <si>
    <t>SEMANA 3</t>
  </si>
  <si>
    <t>SEMANA 2</t>
  </si>
  <si>
    <t>SEMANA 1</t>
  </si>
  <si>
    <t>PREVISIONES FLUJO CAJA MES XXXX</t>
  </si>
  <si>
    <t>PREVISIONES DE TESORERÍA A C/P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</si>
</sst>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333333"/>
      <name val="Arial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i/>
      <sz val="10"/>
      <color rgb="FF000000"/>
      <name val="Calibri"/>
      <family val="2"/>
    </font>
    <font>
      <b/>
      <sz val="10"/>
      <color theme="3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D9D9"/>
        <bgColor rgb="FFD9D9D9"/>
      </patternFill>
    </fill>
    <fill>
      <patternFill patternType="solid">
        <fgColor rgb="FFFFE699"/>
        <bgColor rgb="FFFFE699"/>
      </patternFill>
    </fill>
    <fill>
      <patternFill patternType="solid">
        <fgColor rgb="FFD7AFFF"/>
        <bgColor rgb="FFD7AFFF"/>
      </patternFill>
    </fill>
    <fill>
      <patternFill patternType="solid">
        <fgColor rgb="FFFCE4D6"/>
        <bgColor rgb="FFFCE4D6"/>
      </patternFill>
    </fill>
    <fill>
      <patternFill patternType="solid">
        <fgColor rgb="FFC6E0B4"/>
        <bgColor rgb="FFC6E0B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3" fontId="1" fillId="0" borderId="0" xfId="0" applyNumberFormat="1" applyFont="1" applyAlignment="1">
      <alignment horizontal="right"/>
    </xf>
    <xf numFmtId="0" fontId="1" fillId="0" borderId="0" xfId="0" applyFont="1"/>
    <xf numFmtId="3" fontId="2" fillId="0" borderId="0" xfId="0" applyNumberFormat="1" applyFont="1" applyAlignment="1">
      <alignment horizontal="right" vertical="center" wrapText="1"/>
    </xf>
    <xf numFmtId="3" fontId="1" fillId="0" borderId="0" xfId="0" applyNumberFormat="1" applyFont="1" applyAlignment="1">
      <alignment horizontal="right" vertical="center" wrapText="1"/>
    </xf>
    <xf numFmtId="3" fontId="3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3" fontId="4" fillId="3" borderId="2" xfId="0" applyNumberFormat="1" applyFont="1" applyFill="1" applyBorder="1" applyAlignment="1">
      <alignment horizontal="right"/>
    </xf>
    <xf numFmtId="0" fontId="4" fillId="3" borderId="2" xfId="0" applyFont="1" applyFill="1" applyBorder="1"/>
    <xf numFmtId="3" fontId="1" fillId="0" borderId="2" xfId="0" applyNumberFormat="1" applyFont="1" applyBorder="1" applyAlignment="1">
      <alignment horizontal="right"/>
    </xf>
    <xf numFmtId="0" fontId="1" fillId="0" borderId="2" xfId="0" applyFont="1" applyBorder="1"/>
    <xf numFmtId="3" fontId="4" fillId="4" borderId="2" xfId="0" applyNumberFormat="1" applyFont="1" applyFill="1" applyBorder="1" applyAlignment="1">
      <alignment horizontal="right"/>
    </xf>
    <xf numFmtId="0" fontId="4" fillId="4" borderId="2" xfId="0" applyFont="1" applyFill="1" applyBorder="1"/>
    <xf numFmtId="3" fontId="4" fillId="5" borderId="2" xfId="0" applyNumberFormat="1" applyFont="1" applyFill="1" applyBorder="1" applyAlignment="1">
      <alignment horizontal="right"/>
    </xf>
    <xf numFmtId="0" fontId="4" fillId="5" borderId="2" xfId="0" applyFont="1" applyFill="1" applyBorder="1"/>
    <xf numFmtId="3" fontId="4" fillId="6" borderId="2" xfId="0" applyNumberFormat="1" applyFont="1" applyFill="1" applyBorder="1" applyAlignment="1">
      <alignment horizontal="right"/>
    </xf>
    <xf numFmtId="0" fontId="4" fillId="6" borderId="2" xfId="0" applyFont="1" applyFill="1" applyBorder="1"/>
    <xf numFmtId="3" fontId="5" fillId="0" borderId="0" xfId="0" applyNumberFormat="1" applyFont="1" applyAlignment="1">
      <alignment horizontal="right"/>
    </xf>
    <xf numFmtId="0" fontId="5" fillId="0" borderId="0" xfId="0" applyFont="1"/>
    <xf numFmtId="3" fontId="4" fillId="7" borderId="2" xfId="0" applyNumberFormat="1" applyFont="1" applyFill="1" applyBorder="1" applyAlignment="1">
      <alignment horizontal="right"/>
    </xf>
    <xf numFmtId="0" fontId="4" fillId="7" borderId="2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showGridLines="0" tabSelected="1" workbookViewId="0">
      <selection activeCell="I15" sqref="I15"/>
    </sheetView>
  </sheetViews>
  <sheetFormatPr defaultColWidth="11.42578125" defaultRowHeight="12.75" outlineLevelCol="1" x14ac:dyDescent="0.2"/>
  <cols>
    <col min="1" max="1" width="7" style="2" customWidth="1"/>
    <col min="2" max="2" width="31.140625" style="2" bestFit="1" customWidth="1"/>
    <col min="3" max="6" width="10.28515625" style="1" bestFit="1" customWidth="1" outlineLevel="1"/>
    <col min="7" max="7" width="11.42578125" style="1" customWidth="1"/>
    <col min="8" max="16384" width="11.42578125" style="1"/>
  </cols>
  <sheetData>
    <row r="1" spans="1:7" x14ac:dyDescent="0.2">
      <c r="A1" s="22" t="s">
        <v>30</v>
      </c>
    </row>
    <row r="2" spans="1:7" s="2" customFormat="1" x14ac:dyDescent="0.2"/>
    <row r="3" spans="1:7" s="2" customFormat="1" ht="15" customHeight="1" x14ac:dyDescent="0.2">
      <c r="B3" s="21" t="s">
        <v>29</v>
      </c>
      <c r="C3" s="21" t="s">
        <v>28</v>
      </c>
      <c r="D3" s="21" t="s">
        <v>27</v>
      </c>
      <c r="E3" s="21" t="s">
        <v>26</v>
      </c>
      <c r="F3" s="21" t="s">
        <v>25</v>
      </c>
    </row>
    <row r="4" spans="1:7" customFormat="1" ht="15" customHeight="1" x14ac:dyDescent="0.25">
      <c r="A4" s="2"/>
      <c r="B4" s="6" t="s">
        <v>24</v>
      </c>
      <c r="C4" s="5">
        <v>28000</v>
      </c>
      <c r="D4" s="5">
        <f>+C28</f>
        <v>58000</v>
      </c>
      <c r="E4" s="5">
        <f>+D28</f>
        <v>80000</v>
      </c>
      <c r="F4" s="5">
        <f>+E28</f>
        <v>33000</v>
      </c>
      <c r="G4" s="1"/>
    </row>
    <row r="5" spans="1:7" customFormat="1" ht="15" x14ac:dyDescent="0.25">
      <c r="A5" s="2"/>
      <c r="B5" s="10" t="s">
        <v>23</v>
      </c>
      <c r="C5" s="9">
        <v>25000</v>
      </c>
      <c r="D5" s="9">
        <v>12000</v>
      </c>
      <c r="E5" s="9">
        <v>20000</v>
      </c>
      <c r="F5" s="9">
        <v>10000</v>
      </c>
      <c r="G5" s="1"/>
    </row>
    <row r="6" spans="1:7" customFormat="1" ht="15" x14ac:dyDescent="0.25">
      <c r="A6" s="2"/>
      <c r="B6" s="10" t="s">
        <v>22</v>
      </c>
      <c r="C6" s="9">
        <v>10000</v>
      </c>
      <c r="D6" s="9"/>
      <c r="E6" s="9">
        <v>12500</v>
      </c>
      <c r="F6" s="9">
        <v>10000</v>
      </c>
      <c r="G6" s="1"/>
    </row>
    <row r="7" spans="1:7" customFormat="1" ht="15" x14ac:dyDescent="0.25">
      <c r="A7" s="2"/>
      <c r="B7" s="10" t="s">
        <v>21</v>
      </c>
      <c r="C7" s="9"/>
      <c r="D7" s="9"/>
      <c r="E7" s="9">
        <v>2000</v>
      </c>
      <c r="F7" s="9">
        <v>18000</v>
      </c>
      <c r="G7" s="1"/>
    </row>
    <row r="8" spans="1:7" customFormat="1" ht="15" x14ac:dyDescent="0.25">
      <c r="A8" s="2"/>
      <c r="B8" s="10" t="s">
        <v>20</v>
      </c>
      <c r="C8" s="9">
        <v>18000</v>
      </c>
      <c r="D8" s="9">
        <v>22000</v>
      </c>
      <c r="E8" s="9">
        <v>15000</v>
      </c>
      <c r="F8" s="9">
        <v>55000</v>
      </c>
      <c r="G8" s="1"/>
    </row>
    <row r="9" spans="1:7" customFormat="1" ht="15" x14ac:dyDescent="0.25">
      <c r="A9" s="2"/>
      <c r="B9" s="10" t="s">
        <v>19</v>
      </c>
      <c r="C9" s="9"/>
      <c r="D9" s="9"/>
      <c r="E9" s="9"/>
      <c r="F9" s="9">
        <v>1000</v>
      </c>
      <c r="G9" s="1"/>
    </row>
    <row r="10" spans="1:7" customFormat="1" ht="15" x14ac:dyDescent="0.25">
      <c r="A10" s="2"/>
      <c r="B10" s="20" t="s">
        <v>18</v>
      </c>
      <c r="C10" s="19">
        <f>SUM(C5:C9)</f>
        <v>53000</v>
      </c>
      <c r="D10" s="19">
        <f>SUM(D5:D9)</f>
        <v>34000</v>
      </c>
      <c r="E10" s="19">
        <f>SUM(E5:E9)</f>
        <v>49500</v>
      </c>
      <c r="F10" s="19">
        <f>SUM(F5:F9)</f>
        <v>94000</v>
      </c>
      <c r="G10" s="1"/>
    </row>
    <row r="11" spans="1:7" s="17" customFormat="1" x14ac:dyDescent="0.2">
      <c r="A11" s="18"/>
      <c r="B11" s="10" t="s">
        <v>17</v>
      </c>
      <c r="C11" s="9"/>
      <c r="D11" s="9"/>
      <c r="E11" s="9">
        <v>-75000</v>
      </c>
      <c r="F11" s="9"/>
      <c r="G11" s="1"/>
    </row>
    <row r="12" spans="1:7" customFormat="1" ht="15" x14ac:dyDescent="0.25">
      <c r="A12" s="2"/>
      <c r="B12" s="10" t="s">
        <v>16</v>
      </c>
      <c r="C12" s="9">
        <v>-4500</v>
      </c>
      <c r="D12" s="9"/>
      <c r="E12" s="9"/>
      <c r="F12" s="9"/>
      <c r="G12" s="1"/>
    </row>
    <row r="13" spans="1:7" customFormat="1" ht="15" x14ac:dyDescent="0.25">
      <c r="A13" s="2"/>
      <c r="B13" s="10" t="s">
        <v>15</v>
      </c>
      <c r="C13" s="9">
        <v>-8000</v>
      </c>
      <c r="D13" s="9">
        <v>-11000</v>
      </c>
      <c r="E13" s="9">
        <v>-15000</v>
      </c>
      <c r="F13" s="9">
        <v>-5000</v>
      </c>
      <c r="G13" s="1"/>
    </row>
    <row r="14" spans="1:7" customFormat="1" ht="15" x14ac:dyDescent="0.25">
      <c r="A14" s="2"/>
      <c r="B14" s="10" t="s">
        <v>14</v>
      </c>
      <c r="C14" s="9">
        <v>-500</v>
      </c>
      <c r="D14" s="9"/>
      <c r="E14" s="9">
        <v>-500</v>
      </c>
      <c r="F14" s="9">
        <v>-500</v>
      </c>
      <c r="G14" s="1"/>
    </row>
    <row r="15" spans="1:7" customFormat="1" ht="15" x14ac:dyDescent="0.25">
      <c r="A15" s="2"/>
      <c r="B15" s="16" t="s">
        <v>13</v>
      </c>
      <c r="C15" s="15">
        <f>SUM(C11:C14)</f>
        <v>-13000</v>
      </c>
      <c r="D15" s="15">
        <f>SUM(D11:D14)</f>
        <v>-11000</v>
      </c>
      <c r="E15" s="15">
        <f>SUM(E11:E14)</f>
        <v>-90500</v>
      </c>
      <c r="F15" s="15">
        <f>SUM(F11:F14)</f>
        <v>-5500</v>
      </c>
      <c r="G15" s="1"/>
    </row>
    <row r="16" spans="1:7" customFormat="1" ht="15" x14ac:dyDescent="0.25">
      <c r="A16" s="2"/>
      <c r="B16" s="10" t="s">
        <v>12</v>
      </c>
      <c r="C16" s="9"/>
      <c r="D16" s="9"/>
      <c r="E16" s="9"/>
      <c r="F16" s="9">
        <v>-38000</v>
      </c>
      <c r="G16" s="1"/>
    </row>
    <row r="17" spans="1:7" customFormat="1" ht="15" x14ac:dyDescent="0.25">
      <c r="A17" s="2"/>
      <c r="B17" s="10" t="s">
        <v>11</v>
      </c>
      <c r="C17" s="9"/>
      <c r="D17" s="9"/>
      <c r="E17" s="9"/>
      <c r="F17" s="9">
        <v>-14500</v>
      </c>
      <c r="G17" s="1"/>
    </row>
    <row r="18" spans="1:7" customFormat="1" ht="15" x14ac:dyDescent="0.25">
      <c r="A18" s="2"/>
      <c r="B18" s="10" t="s">
        <v>10</v>
      </c>
      <c r="C18" s="9">
        <v>-2500</v>
      </c>
      <c r="D18" s="9"/>
      <c r="E18" s="9"/>
      <c r="F18" s="9"/>
    </row>
    <row r="19" spans="1:7" customFormat="1" ht="15" x14ac:dyDescent="0.25">
      <c r="A19" s="2"/>
      <c r="B19" s="14" t="s">
        <v>9</v>
      </c>
      <c r="C19" s="13">
        <f>SUM(C16:C18)</f>
        <v>-2500</v>
      </c>
      <c r="D19" s="13">
        <f>SUM(D16:D18)</f>
        <v>0</v>
      </c>
      <c r="E19" s="13">
        <f>SUM(E16:E18)</f>
        <v>0</v>
      </c>
      <c r="F19" s="13">
        <f>SUM(F16:F18)</f>
        <v>-52500</v>
      </c>
    </row>
    <row r="20" spans="1:7" customFormat="1" ht="15" x14ac:dyDescent="0.25">
      <c r="A20" s="2"/>
      <c r="B20" s="10" t="s">
        <v>8</v>
      </c>
      <c r="C20" s="9"/>
      <c r="D20" s="9"/>
      <c r="E20" s="9">
        <v>-11000</v>
      </c>
      <c r="F20" s="9"/>
    </row>
    <row r="21" spans="1:7" customFormat="1" ht="15" x14ac:dyDescent="0.25">
      <c r="A21" s="2"/>
      <c r="B21" s="10" t="s">
        <v>7</v>
      </c>
      <c r="C21" s="9"/>
      <c r="D21" s="9"/>
      <c r="E21" s="9">
        <v>-20000</v>
      </c>
      <c r="F21" s="9"/>
    </row>
    <row r="22" spans="1:7" customFormat="1" ht="15" x14ac:dyDescent="0.25">
      <c r="A22" s="2"/>
      <c r="B22" s="10" t="s">
        <v>6</v>
      </c>
      <c r="C22" s="9"/>
      <c r="D22" s="9">
        <v>-1000</v>
      </c>
      <c r="E22" s="9"/>
      <c r="F22" s="9"/>
    </row>
    <row r="23" spans="1:7" customFormat="1" ht="15" x14ac:dyDescent="0.25">
      <c r="A23" s="2"/>
      <c r="B23" s="12" t="s">
        <v>5</v>
      </c>
      <c r="C23" s="11">
        <f>SUM(C20:C22)</f>
        <v>0</v>
      </c>
      <c r="D23" s="11">
        <f>SUM(D20:D22)</f>
        <v>-1000</v>
      </c>
      <c r="E23" s="11">
        <f>SUM(E20:E22)</f>
        <v>-31000</v>
      </c>
      <c r="F23" s="11">
        <f>SUM(F20:F22)</f>
        <v>0</v>
      </c>
    </row>
    <row r="24" spans="1:7" customFormat="1" ht="15" x14ac:dyDescent="0.25">
      <c r="A24" s="2"/>
      <c r="B24" s="10" t="s">
        <v>4</v>
      </c>
      <c r="C24" s="9"/>
      <c r="D24" s="9"/>
      <c r="E24" s="9"/>
      <c r="F24" s="9"/>
    </row>
    <row r="25" spans="1:7" customFormat="1" ht="15" x14ac:dyDescent="0.25">
      <c r="A25" s="2"/>
      <c r="B25" s="10" t="s">
        <v>3</v>
      </c>
      <c r="C25" s="9">
        <v>-7500</v>
      </c>
      <c r="D25" s="9"/>
      <c r="E25" s="9">
        <v>25000</v>
      </c>
      <c r="F25" s="9"/>
    </row>
    <row r="26" spans="1:7" customFormat="1" ht="15" x14ac:dyDescent="0.25">
      <c r="A26" s="2"/>
      <c r="B26" s="10" t="s">
        <v>2</v>
      </c>
      <c r="C26" s="9"/>
      <c r="D26" s="9"/>
      <c r="E26" s="9"/>
      <c r="F26" s="9"/>
    </row>
    <row r="27" spans="1:7" customFormat="1" ht="15" x14ac:dyDescent="0.25">
      <c r="A27" s="2"/>
      <c r="B27" s="8" t="s">
        <v>1</v>
      </c>
      <c r="C27" s="7">
        <f>SUM(C24:C26)</f>
        <v>-7500</v>
      </c>
      <c r="D27" s="7">
        <f>SUM(D24:D26)</f>
        <v>0</v>
      </c>
      <c r="E27" s="7">
        <f>SUM(E24:E26)</f>
        <v>25000</v>
      </c>
      <c r="F27" s="7">
        <f>SUM(F24:F26)</f>
        <v>0</v>
      </c>
    </row>
    <row r="28" spans="1:7" customFormat="1" ht="15" x14ac:dyDescent="0.25">
      <c r="A28" s="2"/>
      <c r="B28" s="6" t="s">
        <v>0</v>
      </c>
      <c r="C28" s="5">
        <f>+C4+C10+C15+C19+C23+C27</f>
        <v>58000</v>
      </c>
      <c r="D28" s="5">
        <f>+D4+D10+D15+D19+D23+D27</f>
        <v>80000</v>
      </c>
      <c r="E28" s="5">
        <f>+E4+E10+E15+E19+E23+E27</f>
        <v>33000</v>
      </c>
      <c r="F28" s="5">
        <f>+F4+F10+F15+F19+F23+F27</f>
        <v>69000</v>
      </c>
    </row>
    <row r="29" spans="1:7" customFormat="1" ht="15" x14ac:dyDescent="0.25">
      <c r="A29" s="2"/>
      <c r="B29" s="2"/>
      <c r="C29" s="4"/>
      <c r="D29" s="4"/>
      <c r="E29" s="4"/>
      <c r="F29" s="4"/>
    </row>
    <row r="30" spans="1:7" customFormat="1" ht="15" x14ac:dyDescent="0.25">
      <c r="A30" s="2"/>
      <c r="B30" s="2"/>
      <c r="C30" s="4"/>
      <c r="D30" s="4"/>
      <c r="E30" s="4"/>
      <c r="F30" s="4"/>
    </row>
    <row r="31" spans="1:7" customFormat="1" ht="15" x14ac:dyDescent="0.25">
      <c r="A31" s="2"/>
      <c r="B31" s="2"/>
      <c r="C31" s="4"/>
      <c r="D31" s="4"/>
      <c r="E31" s="4"/>
      <c r="F31" s="4"/>
    </row>
    <row r="32" spans="1:7" customFormat="1" ht="15" x14ac:dyDescent="0.25">
      <c r="A32" s="2"/>
      <c r="B32" s="2"/>
      <c r="C32" s="3"/>
      <c r="D32" s="3"/>
      <c r="E32" s="3"/>
      <c r="F32" s="3"/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Flujo_Caja</vt:lpstr>
    </vt:vector>
  </TitlesOfParts>
  <Company>Cellnex 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VIVES BOROTAU, ALEIX</dc:creator>
  <cp:lastModifiedBy>oriol Calblay</cp:lastModifiedBy>
  <dcterms:created xsi:type="dcterms:W3CDTF">2021-09-28T15:04:26Z</dcterms:created>
  <dcterms:modified xsi:type="dcterms:W3CDTF">2024-06-11T18:49:55Z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ab904b49-3f4d-4965-871f-2e2fd7247f94_Enabled">
    <vt:lpwstr>True</vt:lpwstr>
  </property>
  <property fmtid="{D5CDD505-2E9C-101B-9397-08002B2CF9AE}" pid="5" name="MSIP_Label_ab904b49-3f4d-4965-871f-2e2fd7247f94_SiteId">
    <vt:lpwstr>05088b6e-1d96-4f6b-8918-48957eca4f00</vt:lpwstr>
  </property>
  <property fmtid="{D5CDD505-2E9C-101B-9397-08002B2CF9AE}" pid="6" name="MSIP_Label_ab904b49-3f4d-4965-871f-2e2fd7247f94_Owner">
    <vt:lpwstr>aleix.vives@cellnextelecom.com</vt:lpwstr>
  </property>
  <property fmtid="{D5CDD505-2E9C-101B-9397-08002B2CF9AE}" pid="7" name="MSIP_Label_ab904b49-3f4d-4965-871f-2e2fd7247f94_SetDate">
    <vt:lpwstr>2021-09-28T15:04:54.6497470Z</vt:lpwstr>
  </property>
  <property fmtid="{D5CDD505-2E9C-101B-9397-08002B2CF9AE}" pid="8" name="MSIP_Label_ab904b49-3f4d-4965-871f-2e2fd7247f94_Name">
    <vt:lpwstr>Internal</vt:lpwstr>
  </property>
  <property fmtid="{D5CDD505-2E9C-101B-9397-08002B2CF9AE}" pid="9" name="MSIP_Label_ab904b49-3f4d-4965-871f-2e2fd7247f94_Application">
    <vt:lpwstr>Microsoft Azure Information Protection</vt:lpwstr>
  </property>
  <property fmtid="{D5CDD505-2E9C-101B-9397-08002B2CF9AE}" pid="10" name="MSIP_Label_ab904b49-3f4d-4965-871f-2e2fd7247f94_ActionId">
    <vt:lpwstr>ed7c1655-2e1d-44d8-a86c-5c668ac97079</vt:lpwstr>
  </property>
  <property fmtid="{D5CDD505-2E9C-101B-9397-08002B2CF9AE}" pid="11" name="MSIP_Label_ab904b49-3f4d-4965-871f-2e2fd7247f94_Extended_MSFT_Method">
    <vt:lpwstr>Automatic</vt:lpwstr>
  </property>
  <property fmtid="{D5CDD505-2E9C-101B-9397-08002B2CF9AE}" pid="12" name="Sensitivity">
    <vt:lpwstr>Internal</vt:lpwstr>
  </property>
</Properties>
</file>