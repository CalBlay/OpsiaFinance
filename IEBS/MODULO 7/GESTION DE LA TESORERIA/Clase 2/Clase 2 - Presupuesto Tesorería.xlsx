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2/"/>
    </mc:Choice>
  </mc:AlternateContent>
  <xr:revisionPtr revIDLastSave="44" documentId="8_{4E60020D-5A5C-49D9-983F-98A4859C7A5F}" xr6:coauthVersionLast="47" xr6:coauthVersionMax="47" xr10:uidLastSave="{1D36F967-9968-4AB6-9BD7-C6BC3D49B382}"/>
  <bookViews>
    <workbookView xWindow="22932" yWindow="-60" windowWidth="23256" windowHeight="12456" tabRatio="757" activeTab="1" xr2:uid="{00000000-000D-0000-FFFF-FFFF00000000}"/>
  </bookViews>
  <sheets>
    <sheet name="Traslación_Cobros" sheetId="1" r:id="rId1"/>
    <sheet name="Traslación_Pagos" sheetId="2" r:id="rId2"/>
    <sheet name="Presupuesto_Tesorería_v1" sheetId="3" r:id="rId3"/>
    <sheet name="Presupuesto_Tesorería_v2" sheetId="4" r:id="rId4"/>
  </sheets>
  <externalReferences>
    <externalReference r:id="rId5"/>
  </externalReferences>
  <definedNames>
    <definedName name="DEUDA_INI">[1]Cuadro_vencimientos_y_devengos!$I$5</definedName>
    <definedName name="INTERÉS">[1]Cuadro_vencimientos_y_devengos!$J$5</definedName>
    <definedName name="IVA">Traslación_Pagos!$S$2</definedName>
    <definedName name="RET_TRABAJO">Traslación_Pagos!$S$5</definedName>
    <definedName name="RETENCIÓN">Traslación_Pagos!$S$6</definedName>
    <definedName name="SS_EMPRESA">Traslación_Pagos!$S$4</definedName>
    <definedName name="SS_TRABAJADOR">Traslación_Pagos!$S$3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2" l="1"/>
  <c r="D10" i="4" s="1"/>
  <c r="D43" i="3"/>
  <c r="H43" i="4"/>
  <c r="K43" i="4"/>
  <c r="L43" i="4"/>
  <c r="M43" i="4"/>
  <c r="N43" i="3"/>
  <c r="J43" i="3"/>
  <c r="O44" i="4"/>
  <c r="N44" i="4"/>
  <c r="M44" i="4"/>
  <c r="L44" i="4"/>
  <c r="K44" i="4"/>
  <c r="I44" i="4"/>
  <c r="H44" i="4"/>
  <c r="F44" i="4"/>
  <c r="E44" i="4"/>
  <c r="O43" i="4"/>
  <c r="J43" i="4"/>
  <c r="I43" i="4"/>
  <c r="G43" i="4"/>
  <c r="E43" i="4"/>
  <c r="E45" i="4" s="1"/>
  <c r="O40" i="4"/>
  <c r="L40" i="4"/>
  <c r="I40" i="4"/>
  <c r="F40" i="4"/>
  <c r="O33" i="4"/>
  <c r="N33" i="4"/>
  <c r="M33" i="4"/>
  <c r="L33" i="4"/>
  <c r="K33" i="4"/>
  <c r="J33" i="4"/>
  <c r="I33" i="4"/>
  <c r="H33" i="4"/>
  <c r="G33" i="4"/>
  <c r="F33" i="4"/>
  <c r="E33" i="4"/>
  <c r="D33" i="4"/>
  <c r="O32" i="4"/>
  <c r="N32" i="4"/>
  <c r="M32" i="4"/>
  <c r="L32" i="4"/>
  <c r="K32" i="4"/>
  <c r="J32" i="4"/>
  <c r="I32" i="4"/>
  <c r="H32" i="4"/>
  <c r="G32" i="4"/>
  <c r="F32" i="4"/>
  <c r="E32" i="4"/>
  <c r="D32" i="4"/>
  <c r="O30" i="4"/>
  <c r="N30" i="4"/>
  <c r="M30" i="4"/>
  <c r="L30" i="4"/>
  <c r="K30" i="4"/>
  <c r="J30" i="4"/>
  <c r="I30" i="4"/>
  <c r="H30" i="4"/>
  <c r="G30" i="4"/>
  <c r="F30" i="4"/>
  <c r="E30" i="4"/>
  <c r="D30" i="4"/>
  <c r="O29" i="4"/>
  <c r="N29" i="4"/>
  <c r="M29" i="4"/>
  <c r="L29" i="4"/>
  <c r="K29" i="4"/>
  <c r="J29" i="4"/>
  <c r="I29" i="4"/>
  <c r="H29" i="4"/>
  <c r="G29" i="4"/>
  <c r="F29" i="4"/>
  <c r="E29" i="4"/>
  <c r="D29" i="4"/>
  <c r="O28" i="4"/>
  <c r="N28" i="4"/>
  <c r="M28" i="4"/>
  <c r="L28" i="4"/>
  <c r="K28" i="4"/>
  <c r="J28" i="4"/>
  <c r="J31" i="4" s="1"/>
  <c r="I28" i="4"/>
  <c r="H28" i="4"/>
  <c r="G28" i="4"/>
  <c r="F28" i="4"/>
  <c r="E28" i="4"/>
  <c r="D28" i="4"/>
  <c r="O27" i="4"/>
  <c r="N27" i="4"/>
  <c r="N31" i="4" s="1"/>
  <c r="M27" i="4"/>
  <c r="L27" i="4"/>
  <c r="K27" i="4"/>
  <c r="J27" i="4"/>
  <c r="I27" i="4"/>
  <c r="H27" i="4"/>
  <c r="G27" i="4"/>
  <c r="F27" i="4"/>
  <c r="E27" i="4"/>
  <c r="D27" i="4"/>
  <c r="O23" i="4"/>
  <c r="N23" i="4"/>
  <c r="M23" i="4"/>
  <c r="L23" i="4"/>
  <c r="K23" i="4"/>
  <c r="J23" i="4"/>
  <c r="I23" i="4"/>
  <c r="H23" i="4"/>
  <c r="G23" i="4"/>
  <c r="F23" i="4"/>
  <c r="E23" i="4"/>
  <c r="D23" i="4"/>
  <c r="O13" i="4"/>
  <c r="N13" i="4"/>
  <c r="M13" i="4"/>
  <c r="L13" i="4"/>
  <c r="K13" i="4"/>
  <c r="J13" i="4"/>
  <c r="I13" i="4"/>
  <c r="H13" i="4"/>
  <c r="G13" i="4"/>
  <c r="F13" i="4"/>
  <c r="D13" i="4"/>
  <c r="O12" i="4"/>
  <c r="N12" i="4"/>
  <c r="L12" i="4"/>
  <c r="K12" i="4"/>
  <c r="I12" i="4"/>
  <c r="H12" i="4"/>
  <c r="F12" i="4"/>
  <c r="E12" i="4"/>
  <c r="N11" i="4"/>
  <c r="M11" i="4"/>
  <c r="L11" i="4"/>
  <c r="K11" i="4"/>
  <c r="J11" i="4"/>
  <c r="H11" i="4"/>
  <c r="G11" i="4"/>
  <c r="F11" i="4"/>
  <c r="E11" i="4"/>
  <c r="D11" i="4"/>
  <c r="O44" i="3"/>
  <c r="M44" i="3"/>
  <c r="L44" i="3"/>
  <c r="K44" i="3"/>
  <c r="I44" i="3"/>
  <c r="H44" i="3"/>
  <c r="F44" i="3"/>
  <c r="E44" i="3"/>
  <c r="D44" i="3"/>
  <c r="K43" i="3"/>
  <c r="I43" i="3"/>
  <c r="H43" i="3"/>
  <c r="G43" i="3"/>
  <c r="O40" i="3"/>
  <c r="L40" i="3"/>
  <c r="I40" i="3"/>
  <c r="F40" i="3"/>
  <c r="O33" i="3"/>
  <c r="N33" i="3"/>
  <c r="M33" i="3"/>
  <c r="L33" i="3"/>
  <c r="K33" i="3"/>
  <c r="J33" i="3"/>
  <c r="I33" i="3"/>
  <c r="H33" i="3"/>
  <c r="G33" i="3"/>
  <c r="F33" i="3"/>
  <c r="E33" i="3"/>
  <c r="D33" i="3"/>
  <c r="O32" i="3"/>
  <c r="N32" i="3"/>
  <c r="M32" i="3"/>
  <c r="L32" i="3"/>
  <c r="K32" i="3"/>
  <c r="J32" i="3"/>
  <c r="I32" i="3"/>
  <c r="H32" i="3"/>
  <c r="G32" i="3"/>
  <c r="F32" i="3"/>
  <c r="E32" i="3"/>
  <c r="D32" i="3"/>
  <c r="O30" i="3"/>
  <c r="N30" i="3"/>
  <c r="M30" i="3"/>
  <c r="L30" i="3"/>
  <c r="K30" i="3"/>
  <c r="J30" i="3"/>
  <c r="I30" i="3"/>
  <c r="H30" i="3"/>
  <c r="G30" i="3"/>
  <c r="F30" i="3"/>
  <c r="E30" i="3"/>
  <c r="D30" i="3"/>
  <c r="O29" i="3"/>
  <c r="N29" i="3"/>
  <c r="M29" i="3"/>
  <c r="L29" i="3"/>
  <c r="K29" i="3"/>
  <c r="J29" i="3"/>
  <c r="I29" i="3"/>
  <c r="H29" i="3"/>
  <c r="G29" i="3"/>
  <c r="F29" i="3"/>
  <c r="E29" i="3"/>
  <c r="D29" i="3"/>
  <c r="O28" i="3"/>
  <c r="N28" i="3"/>
  <c r="M28" i="3"/>
  <c r="L28" i="3"/>
  <c r="K28" i="3"/>
  <c r="J28" i="3"/>
  <c r="I28" i="3"/>
  <c r="I31" i="3" s="1"/>
  <c r="H28" i="3"/>
  <c r="G28" i="3"/>
  <c r="F28" i="3"/>
  <c r="E28" i="3"/>
  <c r="D28" i="3"/>
  <c r="O27" i="3"/>
  <c r="N27" i="3"/>
  <c r="M27" i="3"/>
  <c r="L27" i="3"/>
  <c r="L31" i="3" s="1"/>
  <c r="K27" i="3"/>
  <c r="J27" i="3"/>
  <c r="I27" i="3"/>
  <c r="H27" i="3"/>
  <c r="G27" i="3"/>
  <c r="F27" i="3"/>
  <c r="E27" i="3"/>
  <c r="D27" i="3"/>
  <c r="D31" i="3" s="1"/>
  <c r="O23" i="3"/>
  <c r="N23" i="3"/>
  <c r="M23" i="3"/>
  <c r="L23" i="3"/>
  <c r="K23" i="3"/>
  <c r="J23" i="3"/>
  <c r="I23" i="3"/>
  <c r="H23" i="3"/>
  <c r="G23" i="3"/>
  <c r="F23" i="3"/>
  <c r="E23" i="3"/>
  <c r="D23" i="3"/>
  <c r="O13" i="3"/>
  <c r="N13" i="3"/>
  <c r="M13" i="3"/>
  <c r="L13" i="3"/>
  <c r="K13" i="3"/>
  <c r="J13" i="3"/>
  <c r="I13" i="3"/>
  <c r="H13" i="3"/>
  <c r="G13" i="3"/>
  <c r="F13" i="3"/>
  <c r="D13" i="3"/>
  <c r="O12" i="3"/>
  <c r="N12" i="3"/>
  <c r="L12" i="3"/>
  <c r="K12" i="3"/>
  <c r="I12" i="3"/>
  <c r="H12" i="3"/>
  <c r="F12" i="3"/>
  <c r="E12" i="3"/>
  <c r="N11" i="3"/>
  <c r="M11" i="3"/>
  <c r="L11" i="3"/>
  <c r="K11" i="3"/>
  <c r="J11" i="3"/>
  <c r="H11" i="3"/>
  <c r="G11" i="3"/>
  <c r="F11" i="3"/>
  <c r="E11" i="3"/>
  <c r="D11" i="3"/>
  <c r="AD24" i="2"/>
  <c r="O25" i="4" s="1"/>
  <c r="AC24" i="2"/>
  <c r="N25" i="4" s="1"/>
  <c r="AB24" i="2"/>
  <c r="M25" i="4" s="1"/>
  <c r="AA24" i="2"/>
  <c r="L25" i="3" s="1"/>
  <c r="Z24" i="2"/>
  <c r="K25" i="3" s="1"/>
  <c r="Y24" i="2"/>
  <c r="J25" i="3" s="1"/>
  <c r="X24" i="2"/>
  <c r="I25" i="4" s="1"/>
  <c r="W24" i="2"/>
  <c r="H25" i="4" s="1"/>
  <c r="V24" i="2"/>
  <c r="G25" i="4" s="1"/>
  <c r="U24" i="2"/>
  <c r="F25" i="4" s="1"/>
  <c r="T24" i="2"/>
  <c r="E25" i="3" s="1"/>
  <c r="S24" i="2"/>
  <c r="D25" i="3" s="1"/>
  <c r="AD23" i="2"/>
  <c r="O24" i="3" s="1"/>
  <c r="AC23" i="2"/>
  <c r="N24" i="3" s="1"/>
  <c r="AB23" i="2"/>
  <c r="M24" i="4" s="1"/>
  <c r="AA23" i="2"/>
  <c r="L24" i="4" s="1"/>
  <c r="Z23" i="2"/>
  <c r="K24" i="4" s="1"/>
  <c r="Y23" i="2"/>
  <c r="J24" i="4" s="1"/>
  <c r="X23" i="2"/>
  <c r="I24" i="3" s="1"/>
  <c r="W23" i="2"/>
  <c r="H24" i="3" s="1"/>
  <c r="V23" i="2"/>
  <c r="G24" i="3" s="1"/>
  <c r="U23" i="2"/>
  <c r="F24" i="3" s="1"/>
  <c r="T23" i="2"/>
  <c r="E24" i="4" s="1"/>
  <c r="S23" i="2"/>
  <c r="D24" i="4" s="1"/>
  <c r="AD21" i="2"/>
  <c r="O22" i="3" s="1"/>
  <c r="AC21" i="2"/>
  <c r="N22" i="3" s="1"/>
  <c r="AB21" i="2"/>
  <c r="M22" i="4" s="1"/>
  <c r="AA21" i="2"/>
  <c r="L22" i="4" s="1"/>
  <c r="Z21" i="2"/>
  <c r="K22" i="4" s="1"/>
  <c r="Y21" i="2"/>
  <c r="J22" i="4" s="1"/>
  <c r="X21" i="2"/>
  <c r="I22" i="3" s="1"/>
  <c r="W21" i="2"/>
  <c r="H22" i="3" s="1"/>
  <c r="V21" i="2"/>
  <c r="G22" i="3" s="1"/>
  <c r="U21" i="2"/>
  <c r="F22" i="3" s="1"/>
  <c r="T21" i="2"/>
  <c r="E22" i="4" s="1"/>
  <c r="S21" i="2"/>
  <c r="D22" i="4" s="1"/>
  <c r="AD20" i="2"/>
  <c r="O21" i="4" s="1"/>
  <c r="AC20" i="2"/>
  <c r="N21" i="4" s="1"/>
  <c r="AB20" i="2"/>
  <c r="M21" i="3" s="1"/>
  <c r="AA20" i="2"/>
  <c r="L21" i="3" s="1"/>
  <c r="Z20" i="2"/>
  <c r="K21" i="3" s="1"/>
  <c r="Y20" i="2"/>
  <c r="J21" i="3" s="1"/>
  <c r="X20" i="2"/>
  <c r="I21" i="4" s="1"/>
  <c r="W20" i="2"/>
  <c r="H21" i="4" s="1"/>
  <c r="V20" i="2"/>
  <c r="G21" i="4" s="1"/>
  <c r="U20" i="2"/>
  <c r="F21" i="4" s="1"/>
  <c r="T20" i="2"/>
  <c r="E21" i="3" s="1"/>
  <c r="S20" i="2"/>
  <c r="D21" i="3" s="1"/>
  <c r="AD19" i="2"/>
  <c r="O20" i="3" s="1"/>
  <c r="AC19" i="2"/>
  <c r="N20" i="3" s="1"/>
  <c r="AB19" i="2"/>
  <c r="M20" i="4" s="1"/>
  <c r="AA19" i="2"/>
  <c r="L20" i="4" s="1"/>
  <c r="Z19" i="2"/>
  <c r="K20" i="4" s="1"/>
  <c r="Y19" i="2"/>
  <c r="J20" i="4" s="1"/>
  <c r="X19" i="2"/>
  <c r="I20" i="3" s="1"/>
  <c r="W19" i="2"/>
  <c r="H20" i="3" s="1"/>
  <c r="V19" i="2"/>
  <c r="G20" i="3" s="1"/>
  <c r="U19" i="2"/>
  <c r="F20" i="3" s="1"/>
  <c r="T19" i="2"/>
  <c r="E20" i="4" s="1"/>
  <c r="S19" i="2"/>
  <c r="D20" i="4" s="1"/>
  <c r="AD17" i="2"/>
  <c r="O18" i="4" s="1"/>
  <c r="AC17" i="2"/>
  <c r="N18" i="4" s="1"/>
  <c r="AB17" i="2"/>
  <c r="M18" i="3" s="1"/>
  <c r="AA17" i="2"/>
  <c r="L18" i="3" s="1"/>
  <c r="Z17" i="2"/>
  <c r="K18" i="3" s="1"/>
  <c r="Y17" i="2"/>
  <c r="J18" i="3" s="1"/>
  <c r="X17" i="2"/>
  <c r="I18" i="4" s="1"/>
  <c r="W17" i="2"/>
  <c r="H18" i="4" s="1"/>
  <c r="V17" i="2"/>
  <c r="G18" i="4" s="1"/>
  <c r="U17" i="2"/>
  <c r="F18" i="4" s="1"/>
  <c r="T17" i="2"/>
  <c r="E18" i="3" s="1"/>
  <c r="S17" i="2"/>
  <c r="D18" i="3" s="1"/>
  <c r="AD16" i="2"/>
  <c r="O17" i="3" s="1"/>
  <c r="AC16" i="2"/>
  <c r="N17" i="3" s="1"/>
  <c r="AB16" i="2"/>
  <c r="M17" i="4" s="1"/>
  <c r="AA16" i="2"/>
  <c r="L17" i="4" s="1"/>
  <c r="Z16" i="2"/>
  <c r="K17" i="4" s="1"/>
  <c r="Y16" i="2"/>
  <c r="J17" i="4" s="1"/>
  <c r="X16" i="2"/>
  <c r="I17" i="3" s="1"/>
  <c r="W16" i="2"/>
  <c r="H17" i="3" s="1"/>
  <c r="V16" i="2"/>
  <c r="G17" i="3" s="1"/>
  <c r="U16" i="2"/>
  <c r="F17" i="3" s="1"/>
  <c r="T16" i="2"/>
  <c r="E17" i="4" s="1"/>
  <c r="S16" i="2"/>
  <c r="D17" i="4" s="1"/>
  <c r="AD15" i="2"/>
  <c r="O16" i="4" s="1"/>
  <c r="AC15" i="2"/>
  <c r="N16" i="4" s="1"/>
  <c r="AB15" i="2"/>
  <c r="M16" i="3" s="1"/>
  <c r="AA15" i="2"/>
  <c r="L16" i="3" s="1"/>
  <c r="Z15" i="2"/>
  <c r="K16" i="3" s="1"/>
  <c r="Y15" i="2"/>
  <c r="J16" i="3" s="1"/>
  <c r="X15" i="2"/>
  <c r="I16" i="4" s="1"/>
  <c r="W15" i="2"/>
  <c r="H16" i="4" s="1"/>
  <c r="V15" i="2"/>
  <c r="G16" i="4" s="1"/>
  <c r="U15" i="2"/>
  <c r="F16" i="4" s="1"/>
  <c r="T15" i="2"/>
  <c r="E16" i="3" s="1"/>
  <c r="S15" i="2"/>
  <c r="D16" i="3" s="1"/>
  <c r="T12" i="2"/>
  <c r="E13" i="3" s="1"/>
  <c r="Q13" i="3" s="1"/>
  <c r="AB11" i="2"/>
  <c r="M12" i="4" s="1"/>
  <c r="Y11" i="2"/>
  <c r="J12" i="4" s="1"/>
  <c r="V11" i="2"/>
  <c r="S11" i="2"/>
  <c r="D12" i="4" s="1"/>
  <c r="AD9" i="2"/>
  <c r="AC9" i="2"/>
  <c r="N10" i="3" s="1"/>
  <c r="AB9" i="2"/>
  <c r="M10" i="4" s="1"/>
  <c r="AA9" i="2"/>
  <c r="L10" i="4" s="1"/>
  <c r="Z9" i="2"/>
  <c r="K10" i="4" s="1"/>
  <c r="Y9" i="2"/>
  <c r="J10" i="4" s="1"/>
  <c r="X9" i="2"/>
  <c r="I10" i="3" s="1"/>
  <c r="W9" i="2"/>
  <c r="H10" i="3" s="1"/>
  <c r="V9" i="2"/>
  <c r="U9" i="2"/>
  <c r="F10" i="3" s="1"/>
  <c r="T9" i="2"/>
  <c r="E10" i="4" s="1"/>
  <c r="N44" i="3"/>
  <c r="J44" i="4"/>
  <c r="O54" i="4"/>
  <c r="N54" i="4"/>
  <c r="M54" i="4"/>
  <c r="L54" i="4"/>
  <c r="K54" i="4"/>
  <c r="J54" i="4"/>
  <c r="I54" i="4"/>
  <c r="H54" i="4"/>
  <c r="G54" i="4"/>
  <c r="F54" i="4"/>
  <c r="E54" i="4"/>
  <c r="D54" i="4"/>
  <c r="Q53" i="4"/>
  <c r="Q52" i="4"/>
  <c r="Q54" i="4" s="1"/>
  <c r="O51" i="4"/>
  <c r="N51" i="4"/>
  <c r="M51" i="4"/>
  <c r="L51" i="4"/>
  <c r="K51" i="4"/>
  <c r="J51" i="4"/>
  <c r="I51" i="4"/>
  <c r="H51" i="4"/>
  <c r="G51" i="4"/>
  <c r="F51" i="4"/>
  <c r="E51" i="4"/>
  <c r="D51" i="4"/>
  <c r="Q50" i="4"/>
  <c r="Q49" i="4"/>
  <c r="Q48" i="4"/>
  <c r="Q47" i="4"/>
  <c r="Q46" i="4"/>
  <c r="I45" i="4"/>
  <c r="Q42" i="4"/>
  <c r="Q41" i="4"/>
  <c r="Q39" i="4"/>
  <c r="O38" i="4"/>
  <c r="N38" i="4"/>
  <c r="M38" i="4"/>
  <c r="L38" i="4"/>
  <c r="K38" i="4"/>
  <c r="J38" i="4"/>
  <c r="I38" i="4"/>
  <c r="H38" i="4"/>
  <c r="G38" i="4"/>
  <c r="F38" i="4"/>
  <c r="E38" i="4"/>
  <c r="D38" i="4"/>
  <c r="Q37" i="4"/>
  <c r="Q36" i="4"/>
  <c r="Q38" i="4" s="1"/>
  <c r="Q32" i="4"/>
  <c r="O31" i="4"/>
  <c r="M31" i="4"/>
  <c r="L31" i="4"/>
  <c r="K31" i="4"/>
  <c r="I31" i="4"/>
  <c r="G31" i="4"/>
  <c r="E31" i="4"/>
  <c r="D31" i="4"/>
  <c r="Q30" i="4"/>
  <c r="Q28" i="4"/>
  <c r="Q4" i="4"/>
  <c r="Q54" i="3"/>
  <c r="O54" i="3"/>
  <c r="N54" i="3"/>
  <c r="M54" i="3"/>
  <c r="L54" i="3"/>
  <c r="K54" i="3"/>
  <c r="J54" i="3"/>
  <c r="I54" i="3"/>
  <c r="H54" i="3"/>
  <c r="G54" i="3"/>
  <c r="F54" i="3"/>
  <c r="E54" i="3"/>
  <c r="D54" i="3"/>
  <c r="Q53" i="3"/>
  <c r="Q52" i="3"/>
  <c r="O51" i="3"/>
  <c r="N51" i="3"/>
  <c r="M51" i="3"/>
  <c r="L51" i="3"/>
  <c r="K51" i="3"/>
  <c r="J51" i="3"/>
  <c r="I51" i="3"/>
  <c r="H51" i="3"/>
  <c r="G51" i="3"/>
  <c r="F51" i="3"/>
  <c r="E51" i="3"/>
  <c r="D51" i="3"/>
  <c r="Q50" i="3"/>
  <c r="Q49" i="3"/>
  <c r="Q48" i="3"/>
  <c r="Q47" i="3"/>
  <c r="Q46" i="3"/>
  <c r="K45" i="3"/>
  <c r="I45" i="3"/>
  <c r="Q42" i="3"/>
  <c r="Q41" i="3"/>
  <c r="Q39" i="3"/>
  <c r="O38" i="3"/>
  <c r="N38" i="3"/>
  <c r="M38" i="3"/>
  <c r="L38" i="3"/>
  <c r="K38" i="3"/>
  <c r="J38" i="3"/>
  <c r="I38" i="3"/>
  <c r="H38" i="3"/>
  <c r="G38" i="3"/>
  <c r="F38" i="3"/>
  <c r="E38" i="3"/>
  <c r="D38" i="3"/>
  <c r="Q37" i="3"/>
  <c r="Q36" i="3"/>
  <c r="Q33" i="3"/>
  <c r="O31" i="3"/>
  <c r="N31" i="3"/>
  <c r="M31" i="3"/>
  <c r="K31" i="3"/>
  <c r="J31" i="3"/>
  <c r="H31" i="3"/>
  <c r="G31" i="3"/>
  <c r="F31" i="3"/>
  <c r="E31" i="3"/>
  <c r="Q30" i="3"/>
  <c r="Q29" i="3"/>
  <c r="Q27" i="3"/>
  <c r="Q23" i="3"/>
  <c r="Q4" i="3"/>
  <c r="L37" i="2"/>
  <c r="AD30" i="2"/>
  <c r="AC30" i="2"/>
  <c r="AB30" i="2"/>
  <c r="AA30" i="2"/>
  <c r="Z30" i="2"/>
  <c r="Y30" i="2"/>
  <c r="X30" i="2"/>
  <c r="W30" i="2"/>
  <c r="V30" i="2"/>
  <c r="U30" i="2"/>
  <c r="T30" i="2"/>
  <c r="S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C25" i="2"/>
  <c r="AB25" i="2"/>
  <c r="Y25" i="2"/>
  <c r="W25" i="2"/>
  <c r="U25" i="2"/>
  <c r="T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B18" i="2"/>
  <c r="AA18" i="2"/>
  <c r="Y18" i="2"/>
  <c r="X18" i="2"/>
  <c r="W18" i="2"/>
  <c r="T18" i="2"/>
  <c r="S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V14" i="2"/>
  <c r="P13" i="2"/>
  <c r="O13" i="2"/>
  <c r="AD13" i="2" s="1"/>
  <c r="N13" i="2"/>
  <c r="AC13" i="2" s="1"/>
  <c r="M13" i="2"/>
  <c r="AB13" i="2" s="1"/>
  <c r="M14" i="4" s="1"/>
  <c r="M15" i="4" s="1"/>
  <c r="L13" i="2"/>
  <c r="AA13" i="2" s="1"/>
  <c r="L14" i="4" s="1"/>
  <c r="K13" i="2"/>
  <c r="Z13" i="2" s="1"/>
  <c r="Z14" i="2" s="1"/>
  <c r="J13" i="2"/>
  <c r="Y13" i="2" s="1"/>
  <c r="J14" i="4" s="1"/>
  <c r="I13" i="2"/>
  <c r="X13" i="2" s="1"/>
  <c r="H13" i="2"/>
  <c r="W13" i="2" s="1"/>
  <c r="G13" i="2"/>
  <c r="V13" i="2" s="1"/>
  <c r="F13" i="2"/>
  <c r="U13" i="2" s="1"/>
  <c r="E13" i="2"/>
  <c r="T13" i="2" s="1"/>
  <c r="E14" i="4" s="1"/>
  <c r="D13" i="2"/>
  <c r="S13" i="2" s="1"/>
  <c r="D14" i="4" s="1"/>
  <c r="C13" i="2"/>
  <c r="C14" i="2" s="1"/>
  <c r="P12" i="2"/>
  <c r="O12" i="2"/>
  <c r="O14" i="2" s="1"/>
  <c r="O33" i="2" s="1"/>
  <c r="N12" i="2"/>
  <c r="N14" i="2" s="1"/>
  <c r="N33" i="2" s="1"/>
  <c r="M12" i="2"/>
  <c r="L12" i="2"/>
  <c r="K12" i="2"/>
  <c r="K14" i="2" s="1"/>
  <c r="K33" i="2" s="1"/>
  <c r="J12" i="2"/>
  <c r="I12" i="2"/>
  <c r="H12" i="2"/>
  <c r="G12" i="2"/>
  <c r="G14" i="2" s="1"/>
  <c r="G33" i="2" s="1"/>
  <c r="F12" i="2"/>
  <c r="F14" i="2" s="1"/>
  <c r="F33" i="2" s="1"/>
  <c r="E12" i="2"/>
  <c r="AD10" i="2"/>
  <c r="AD14" i="2" s="1"/>
  <c r="X10" i="2"/>
  <c r="I11" i="4" s="1"/>
  <c r="P22" i="1"/>
  <c r="O22" i="1"/>
  <c r="N22" i="1"/>
  <c r="M22" i="1"/>
  <c r="L22" i="1"/>
  <c r="K22" i="1"/>
  <c r="J22" i="1"/>
  <c r="I22" i="1"/>
  <c r="H22" i="1"/>
  <c r="G22" i="1"/>
  <c r="F22" i="1"/>
  <c r="E22" i="1"/>
  <c r="P21" i="1"/>
  <c r="O21" i="1"/>
  <c r="N21" i="1"/>
  <c r="M21" i="1"/>
  <c r="L21" i="1"/>
  <c r="K21" i="1"/>
  <c r="J21" i="1"/>
  <c r="I21" i="1"/>
  <c r="H21" i="1"/>
  <c r="G21" i="1"/>
  <c r="F21" i="1"/>
  <c r="E21" i="1"/>
  <c r="P20" i="1"/>
  <c r="O20" i="1"/>
  <c r="N20" i="1"/>
  <c r="M20" i="1"/>
  <c r="L20" i="1"/>
  <c r="K20" i="1"/>
  <c r="J20" i="1"/>
  <c r="I20" i="1"/>
  <c r="H20" i="1"/>
  <c r="G20" i="1"/>
  <c r="F20" i="1"/>
  <c r="E20" i="1"/>
  <c r="P19" i="1"/>
  <c r="P23" i="1" s="1"/>
  <c r="O19" i="1"/>
  <c r="N19" i="1"/>
  <c r="M19" i="1"/>
  <c r="L19" i="1"/>
  <c r="K19" i="1"/>
  <c r="K23" i="1" s="1"/>
  <c r="J19" i="1"/>
  <c r="J23" i="1" s="1"/>
  <c r="I19" i="1"/>
  <c r="I23" i="1" s="1"/>
  <c r="H19" i="1"/>
  <c r="H23" i="1" s="1"/>
  <c r="G19" i="1"/>
  <c r="F19" i="1"/>
  <c r="E19" i="1"/>
  <c r="P15" i="1"/>
  <c r="O15" i="1"/>
  <c r="N8" i="4" s="1"/>
  <c r="N15" i="1"/>
  <c r="M8" i="3" s="1"/>
  <c r="M15" i="1"/>
  <c r="L8" i="3" s="1"/>
  <c r="L15" i="1"/>
  <c r="K15" i="1"/>
  <c r="J8" i="3" s="1"/>
  <c r="J15" i="1"/>
  <c r="I8" i="4" s="1"/>
  <c r="I15" i="1"/>
  <c r="H8" i="4" s="1"/>
  <c r="H15" i="1"/>
  <c r="G15" i="1"/>
  <c r="F8" i="4" s="1"/>
  <c r="F15" i="1"/>
  <c r="E8" i="3" s="1"/>
  <c r="E15" i="1"/>
  <c r="D8" i="3" s="1"/>
  <c r="P14" i="1"/>
  <c r="O14" i="1"/>
  <c r="N7" i="3" s="1"/>
  <c r="N14" i="1"/>
  <c r="M7" i="4" s="1"/>
  <c r="M14" i="1"/>
  <c r="L7" i="4" s="1"/>
  <c r="L14" i="1"/>
  <c r="K14" i="1"/>
  <c r="J7" i="4" s="1"/>
  <c r="J14" i="1"/>
  <c r="I7" i="3" s="1"/>
  <c r="I14" i="1"/>
  <c r="H7" i="3" s="1"/>
  <c r="H14" i="1"/>
  <c r="G14" i="1"/>
  <c r="F7" i="3" s="1"/>
  <c r="F14" i="1"/>
  <c r="E7" i="4" s="1"/>
  <c r="E14" i="1"/>
  <c r="D7" i="4" s="1"/>
  <c r="P13" i="1"/>
  <c r="O13" i="1"/>
  <c r="N6" i="4" s="1"/>
  <c r="N13" i="1"/>
  <c r="M6" i="3" s="1"/>
  <c r="M13" i="1"/>
  <c r="L6" i="3" s="1"/>
  <c r="L13" i="1"/>
  <c r="K13" i="1"/>
  <c r="J6" i="3" s="1"/>
  <c r="J13" i="1"/>
  <c r="I6" i="4" s="1"/>
  <c r="I13" i="1"/>
  <c r="H6" i="4" s="1"/>
  <c r="H13" i="1"/>
  <c r="G13" i="1"/>
  <c r="F6" i="4" s="1"/>
  <c r="F13" i="1"/>
  <c r="E6" i="3" s="1"/>
  <c r="E13" i="1"/>
  <c r="D6" i="3" s="1"/>
  <c r="P12" i="1"/>
  <c r="O12" i="1"/>
  <c r="N5" i="3" s="1"/>
  <c r="N12" i="1"/>
  <c r="M5" i="4" s="1"/>
  <c r="M12" i="1"/>
  <c r="L5" i="4" s="1"/>
  <c r="L12" i="1"/>
  <c r="K12" i="1"/>
  <c r="J5" i="4" s="1"/>
  <c r="J12" i="1"/>
  <c r="I5" i="3" s="1"/>
  <c r="I12" i="1"/>
  <c r="H5" i="3" s="1"/>
  <c r="H12" i="1"/>
  <c r="G12" i="1"/>
  <c r="F5" i="3" s="1"/>
  <c r="F12" i="1"/>
  <c r="E5" i="4" s="1"/>
  <c r="E12" i="1"/>
  <c r="D5" i="4" s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E10" i="3" l="1"/>
  <c r="J17" i="3"/>
  <c r="J19" i="3" s="1"/>
  <c r="E20" i="3"/>
  <c r="D22" i="3"/>
  <c r="E13" i="4"/>
  <c r="H24" i="4"/>
  <c r="I14" i="2"/>
  <c r="I33" i="2" s="1"/>
  <c r="C33" i="2"/>
  <c r="M19" i="3"/>
  <c r="L16" i="1"/>
  <c r="J14" i="2"/>
  <c r="J33" i="2" s="1"/>
  <c r="Z18" i="2"/>
  <c r="Z33" i="2" s="1"/>
  <c r="X25" i="2"/>
  <c r="L10" i="3"/>
  <c r="L17" i="3"/>
  <c r="L19" i="3" s="1"/>
  <c r="J20" i="3"/>
  <c r="E22" i="3"/>
  <c r="Q32" i="3"/>
  <c r="I24" i="4"/>
  <c r="Q29" i="4"/>
  <c r="V33" i="2"/>
  <c r="M10" i="3"/>
  <c r="F16" i="3"/>
  <c r="M17" i="3"/>
  <c r="L20" i="3"/>
  <c r="J22" i="3"/>
  <c r="F10" i="4"/>
  <c r="N24" i="4"/>
  <c r="E15" i="4"/>
  <c r="H16" i="3"/>
  <c r="H19" i="3" s="1"/>
  <c r="F18" i="3"/>
  <c r="M20" i="3"/>
  <c r="L22" i="3"/>
  <c r="H10" i="4"/>
  <c r="D25" i="4"/>
  <c r="H31" i="4"/>
  <c r="M45" i="4"/>
  <c r="Z25" i="2"/>
  <c r="E14" i="2"/>
  <c r="E33" i="2" s="1"/>
  <c r="M14" i="2"/>
  <c r="M33" i="2" s="1"/>
  <c r="U18" i="2"/>
  <c r="AC18" i="2"/>
  <c r="S25" i="2"/>
  <c r="AA25" i="2"/>
  <c r="I55" i="3"/>
  <c r="M12" i="3"/>
  <c r="I16" i="3"/>
  <c r="H18" i="3"/>
  <c r="F21" i="3"/>
  <c r="M22" i="3"/>
  <c r="Q40" i="3"/>
  <c r="H45" i="3"/>
  <c r="N10" i="4"/>
  <c r="E25" i="4"/>
  <c r="V18" i="2"/>
  <c r="AD18" i="2"/>
  <c r="AD33" i="2" s="1"/>
  <c r="D12" i="3"/>
  <c r="N16" i="3"/>
  <c r="N19" i="3" s="1"/>
  <c r="I18" i="3"/>
  <c r="H21" i="3"/>
  <c r="J25" i="4"/>
  <c r="D17" i="3"/>
  <c r="D19" i="3" s="1"/>
  <c r="N18" i="3"/>
  <c r="I21" i="3"/>
  <c r="L25" i="4"/>
  <c r="H14" i="2"/>
  <c r="H33" i="2" s="1"/>
  <c r="P14" i="2"/>
  <c r="P33" i="2" s="1"/>
  <c r="V25" i="2"/>
  <c r="AD25" i="2"/>
  <c r="D10" i="3"/>
  <c r="E17" i="3"/>
  <c r="E19" i="3" s="1"/>
  <c r="D20" i="3"/>
  <c r="N21" i="3"/>
  <c r="Q13" i="4"/>
  <c r="F24" i="4"/>
  <c r="E55" i="4"/>
  <c r="M55" i="4"/>
  <c r="Q51" i="4"/>
  <c r="Q51" i="3"/>
  <c r="Q38" i="3"/>
  <c r="K45" i="4"/>
  <c r="K55" i="4" s="1"/>
  <c r="I55" i="4"/>
  <c r="K55" i="3"/>
  <c r="E43" i="3"/>
  <c r="E45" i="3"/>
  <c r="E55" i="3" s="1"/>
  <c r="O45" i="4"/>
  <c r="O55" i="4" s="1"/>
  <c r="M43" i="3"/>
  <c r="M45" i="3" s="1"/>
  <c r="O43" i="3"/>
  <c r="O45" i="3" s="1"/>
  <c r="O55" i="3" s="1"/>
  <c r="F43" i="3"/>
  <c r="F45" i="3" s="1"/>
  <c r="F55" i="3" s="1"/>
  <c r="F43" i="4"/>
  <c r="F45" i="4" s="1"/>
  <c r="F55" i="4" s="1"/>
  <c r="N43" i="4"/>
  <c r="N45" i="4" s="1"/>
  <c r="N55" i="4" s="1"/>
  <c r="H45" i="4"/>
  <c r="H55" i="4" s="1"/>
  <c r="F14" i="3"/>
  <c r="F15" i="3" s="1"/>
  <c r="U14" i="2"/>
  <c r="U33" i="2" s="1"/>
  <c r="F14" i="4"/>
  <c r="N14" i="3"/>
  <c r="N15" i="3" s="1"/>
  <c r="AC14" i="2"/>
  <c r="N14" i="4"/>
  <c r="H14" i="3"/>
  <c r="H15" i="3" s="1"/>
  <c r="H34" i="3" s="1"/>
  <c r="W14" i="2"/>
  <c r="W33" i="2" s="1"/>
  <c r="H14" i="4"/>
  <c r="I14" i="3"/>
  <c r="I14" i="4"/>
  <c r="G5" i="3"/>
  <c r="G5" i="4"/>
  <c r="O5" i="3"/>
  <c r="O5" i="4"/>
  <c r="K6" i="3"/>
  <c r="K6" i="4"/>
  <c r="G7" i="3"/>
  <c r="G7" i="4"/>
  <c r="O7" i="3"/>
  <c r="O7" i="4"/>
  <c r="K8" i="3"/>
  <c r="K8" i="4"/>
  <c r="H16" i="1"/>
  <c r="P16" i="1"/>
  <c r="L23" i="1"/>
  <c r="L24" i="1" s="1"/>
  <c r="H24" i="1"/>
  <c r="P24" i="1"/>
  <c r="X14" i="2"/>
  <c r="G12" i="3"/>
  <c r="G12" i="4"/>
  <c r="D5" i="3"/>
  <c r="N6" i="3"/>
  <c r="I8" i="3"/>
  <c r="D14" i="3"/>
  <c r="M24" i="3"/>
  <c r="N45" i="3"/>
  <c r="N55" i="3" s="1"/>
  <c r="D6" i="4"/>
  <c r="N7" i="4"/>
  <c r="I10" i="4"/>
  <c r="M16" i="4"/>
  <c r="L18" i="4"/>
  <c r="J21" i="4"/>
  <c r="J26" i="4" s="1"/>
  <c r="K7" i="4"/>
  <c r="K7" i="3"/>
  <c r="I16" i="1"/>
  <c r="E23" i="1"/>
  <c r="E24" i="1" s="1"/>
  <c r="M23" i="1"/>
  <c r="M24" i="1" s="1"/>
  <c r="I24" i="1"/>
  <c r="Y14" i="2"/>
  <c r="Y33" i="2" s="1"/>
  <c r="J15" i="4"/>
  <c r="E5" i="3"/>
  <c r="E9" i="3" s="1"/>
  <c r="D7" i="3"/>
  <c r="N8" i="3"/>
  <c r="E14" i="3"/>
  <c r="E15" i="3" s="1"/>
  <c r="F25" i="3"/>
  <c r="E6" i="4"/>
  <c r="E9" i="4" s="1"/>
  <c r="D8" i="4"/>
  <c r="N15" i="4"/>
  <c r="F17" i="4"/>
  <c r="F19" i="4" s="1"/>
  <c r="M18" i="4"/>
  <c r="L21" i="4"/>
  <c r="L26" i="4" s="1"/>
  <c r="F23" i="1"/>
  <c r="F24" i="1" s="1"/>
  <c r="N23" i="1"/>
  <c r="N24" i="1" s="1"/>
  <c r="J24" i="1"/>
  <c r="O11" i="4"/>
  <c r="Q11" i="4" s="1"/>
  <c r="O11" i="3"/>
  <c r="H55" i="3"/>
  <c r="J5" i="3"/>
  <c r="E7" i="3"/>
  <c r="J14" i="3"/>
  <c r="H25" i="3"/>
  <c r="H26" i="3" s="1"/>
  <c r="J6" i="4"/>
  <c r="E8" i="4"/>
  <c r="H17" i="4"/>
  <c r="H19" i="4" s="1"/>
  <c r="F20" i="4"/>
  <c r="M21" i="4"/>
  <c r="M26" i="4" s="1"/>
  <c r="J16" i="1"/>
  <c r="K16" i="1"/>
  <c r="G23" i="1"/>
  <c r="G24" i="1" s="1"/>
  <c r="O23" i="1"/>
  <c r="O24" i="1" s="1"/>
  <c r="K24" i="1"/>
  <c r="G14" i="3"/>
  <c r="G14" i="4"/>
  <c r="Q14" i="4" s="1"/>
  <c r="O14" i="3"/>
  <c r="O14" i="4"/>
  <c r="S14" i="2"/>
  <c r="S33" i="2" s="1"/>
  <c r="AA14" i="2"/>
  <c r="AA33" i="2" s="1"/>
  <c r="G44" i="3"/>
  <c r="G45" i="3" s="1"/>
  <c r="G55" i="3" s="1"/>
  <c r="G44" i="4"/>
  <c r="G45" i="4" s="1"/>
  <c r="G55" i="4" s="1"/>
  <c r="D15" i="4"/>
  <c r="L15" i="4"/>
  <c r="L5" i="3"/>
  <c r="J7" i="3"/>
  <c r="L14" i="3"/>
  <c r="L15" i="3" s="1"/>
  <c r="I25" i="3"/>
  <c r="I26" i="3" s="1"/>
  <c r="Q28" i="3"/>
  <c r="Q31" i="3" s="1"/>
  <c r="L6" i="4"/>
  <c r="J8" i="4"/>
  <c r="I17" i="4"/>
  <c r="I19" i="4" s="1"/>
  <c r="H20" i="4"/>
  <c r="F22" i="4"/>
  <c r="O6" i="4"/>
  <c r="O6" i="3"/>
  <c r="O8" i="4"/>
  <c r="O8" i="3"/>
  <c r="T14" i="2"/>
  <c r="T33" i="2" s="1"/>
  <c r="AB14" i="2"/>
  <c r="AB33" i="2" s="1"/>
  <c r="M5" i="3"/>
  <c r="L7" i="3"/>
  <c r="J10" i="3"/>
  <c r="J15" i="3" s="1"/>
  <c r="I11" i="3"/>
  <c r="M14" i="3"/>
  <c r="D24" i="3"/>
  <c r="N25" i="3"/>
  <c r="N26" i="3" s="1"/>
  <c r="F5" i="4"/>
  <c r="M6" i="4"/>
  <c r="L8" i="4"/>
  <c r="L9" i="4" s="1"/>
  <c r="D16" i="4"/>
  <c r="N17" i="4"/>
  <c r="N19" i="4" s="1"/>
  <c r="I20" i="4"/>
  <c r="H22" i="4"/>
  <c r="D45" i="3"/>
  <c r="D55" i="3" s="1"/>
  <c r="G8" i="4"/>
  <c r="G8" i="3"/>
  <c r="D9" i="4"/>
  <c r="E16" i="1"/>
  <c r="M16" i="1"/>
  <c r="F6" i="3"/>
  <c r="M7" i="3"/>
  <c r="E24" i="3"/>
  <c r="E26" i="3" s="1"/>
  <c r="H5" i="4"/>
  <c r="F7" i="4"/>
  <c r="M8" i="4"/>
  <c r="E16" i="4"/>
  <c r="D18" i="4"/>
  <c r="N20" i="4"/>
  <c r="I22" i="4"/>
  <c r="F31" i="4"/>
  <c r="Q27" i="4"/>
  <c r="Q31" i="4" s="1"/>
  <c r="Q40" i="4"/>
  <c r="L45" i="4"/>
  <c r="L55" i="4" s="1"/>
  <c r="J45" i="4"/>
  <c r="J55" i="4" s="1"/>
  <c r="K5" i="4"/>
  <c r="K5" i="3"/>
  <c r="K9" i="3" s="1"/>
  <c r="F16" i="1"/>
  <c r="N16" i="1"/>
  <c r="D14" i="2"/>
  <c r="D33" i="2" s="1"/>
  <c r="L14" i="2"/>
  <c r="L33" i="2" s="1"/>
  <c r="G10" i="3"/>
  <c r="G10" i="4"/>
  <c r="O10" i="3"/>
  <c r="O10" i="4"/>
  <c r="O15" i="4" s="1"/>
  <c r="H6" i="3"/>
  <c r="H9" i="3" s="1"/>
  <c r="F8" i="3"/>
  <c r="Q8" i="3" s="1"/>
  <c r="J24" i="3"/>
  <c r="J26" i="3" s="1"/>
  <c r="I5" i="4"/>
  <c r="H7" i="4"/>
  <c r="F15" i="4"/>
  <c r="J16" i="4"/>
  <c r="E18" i="4"/>
  <c r="D21" i="4"/>
  <c r="N22" i="4"/>
  <c r="G6" i="4"/>
  <c r="G6" i="3"/>
  <c r="G16" i="1"/>
  <c r="O16" i="1"/>
  <c r="K14" i="4"/>
  <c r="K15" i="4" s="1"/>
  <c r="K14" i="3"/>
  <c r="M55" i="3"/>
  <c r="Q12" i="4"/>
  <c r="I6" i="3"/>
  <c r="I9" i="3" s="1"/>
  <c r="H8" i="3"/>
  <c r="J12" i="3"/>
  <c r="L24" i="3"/>
  <c r="L26" i="3" s="1"/>
  <c r="J44" i="3"/>
  <c r="J45" i="3" s="1"/>
  <c r="J55" i="3" s="1"/>
  <c r="N5" i="4"/>
  <c r="I7" i="4"/>
  <c r="L16" i="4"/>
  <c r="L19" i="4" s="1"/>
  <c r="J18" i="4"/>
  <c r="E21" i="4"/>
  <c r="Q23" i="4"/>
  <c r="Q25" i="4"/>
  <c r="Q33" i="4"/>
  <c r="D43" i="4"/>
  <c r="L43" i="3"/>
  <c r="D44" i="4"/>
  <c r="M25" i="3"/>
  <c r="M26" i="3" s="1"/>
  <c r="K10" i="3"/>
  <c r="G16" i="3"/>
  <c r="O16" i="3"/>
  <c r="K17" i="3"/>
  <c r="G18" i="3"/>
  <c r="O18" i="3"/>
  <c r="K20" i="3"/>
  <c r="G21" i="3"/>
  <c r="O21" i="3"/>
  <c r="K22" i="3"/>
  <c r="K24" i="3"/>
  <c r="G25" i="3"/>
  <c r="O25" i="3"/>
  <c r="K16" i="4"/>
  <c r="K19" i="4" s="1"/>
  <c r="G17" i="4"/>
  <c r="G19" i="4" s="1"/>
  <c r="O17" i="4"/>
  <c r="O19" i="4" s="1"/>
  <c r="K18" i="4"/>
  <c r="G20" i="4"/>
  <c r="O20" i="4"/>
  <c r="K21" i="4"/>
  <c r="K26" i="4" s="1"/>
  <c r="G22" i="4"/>
  <c r="O22" i="4"/>
  <c r="G24" i="4"/>
  <c r="O24" i="4"/>
  <c r="K25" i="4"/>
  <c r="O9" i="4" l="1"/>
  <c r="G26" i="4"/>
  <c r="Q22" i="3"/>
  <c r="Q6" i="4"/>
  <c r="Q12" i="3"/>
  <c r="H15" i="4"/>
  <c r="O26" i="3"/>
  <c r="E26" i="4"/>
  <c r="I9" i="4"/>
  <c r="Q7" i="4"/>
  <c r="M9" i="4"/>
  <c r="L9" i="3"/>
  <c r="J9" i="3"/>
  <c r="X33" i="2"/>
  <c r="AC33" i="2"/>
  <c r="J9" i="4"/>
  <c r="N9" i="3"/>
  <c r="Q24" i="4"/>
  <c r="Q22" i="4"/>
  <c r="N9" i="4"/>
  <c r="F9" i="3"/>
  <c r="M15" i="3"/>
  <c r="M34" i="3" s="1"/>
  <c r="O15" i="3"/>
  <c r="I15" i="4"/>
  <c r="I19" i="3"/>
  <c r="F19" i="3"/>
  <c r="H35" i="3"/>
  <c r="Q44" i="3"/>
  <c r="Q44" i="4"/>
  <c r="K34" i="4"/>
  <c r="Q16" i="3"/>
  <c r="G19" i="3"/>
  <c r="K15" i="3"/>
  <c r="J19" i="4"/>
  <c r="J34" i="4" s="1"/>
  <c r="O9" i="3"/>
  <c r="Q6" i="3"/>
  <c r="Q21" i="3"/>
  <c r="G26" i="3"/>
  <c r="N26" i="4"/>
  <c r="N34" i="4" s="1"/>
  <c r="N35" i="4" s="1"/>
  <c r="F9" i="4"/>
  <c r="M9" i="3"/>
  <c r="L34" i="4"/>
  <c r="L35" i="4" s="1"/>
  <c r="Q8" i="4"/>
  <c r="G9" i="4"/>
  <c r="K26" i="3"/>
  <c r="Q20" i="3"/>
  <c r="Q10" i="4"/>
  <c r="Q15" i="4" s="1"/>
  <c r="G15" i="4"/>
  <c r="G34" i="4" s="1"/>
  <c r="K9" i="4"/>
  <c r="Q18" i="4"/>
  <c r="D15" i="3"/>
  <c r="Q14" i="3"/>
  <c r="G9" i="3"/>
  <c r="E19" i="4"/>
  <c r="Q24" i="3"/>
  <c r="D26" i="3"/>
  <c r="Q20" i="4"/>
  <c r="F26" i="4"/>
  <c r="F34" i="4" s="1"/>
  <c r="F26" i="3"/>
  <c r="F34" i="3" s="1"/>
  <c r="Q25" i="3"/>
  <c r="G15" i="3"/>
  <c r="Q10" i="3"/>
  <c r="Q18" i="3"/>
  <c r="L45" i="3"/>
  <c r="L55" i="3" s="1"/>
  <c r="Q43" i="3"/>
  <c r="I26" i="4"/>
  <c r="Q17" i="4"/>
  <c r="E34" i="3"/>
  <c r="E35" i="3" s="1"/>
  <c r="M19" i="4"/>
  <c r="M34" i="4" s="1"/>
  <c r="M35" i="4" s="1"/>
  <c r="K19" i="3"/>
  <c r="Q17" i="3"/>
  <c r="D45" i="4"/>
  <c r="D55" i="4" s="1"/>
  <c r="Q43" i="4"/>
  <c r="L34" i="3"/>
  <c r="L35" i="3" s="1"/>
  <c r="Q5" i="3"/>
  <c r="D9" i="3"/>
  <c r="H34" i="4"/>
  <c r="N34" i="3"/>
  <c r="N35" i="3" s="1"/>
  <c r="J34" i="3"/>
  <c r="J35" i="3" s="1"/>
  <c r="O26" i="4"/>
  <c r="O34" i="4" s="1"/>
  <c r="O35" i="4" s="1"/>
  <c r="O19" i="3"/>
  <c r="Q21" i="4"/>
  <c r="D26" i="4"/>
  <c r="H9" i="4"/>
  <c r="Q5" i="4"/>
  <c r="Q16" i="4"/>
  <c r="D19" i="4"/>
  <c r="I15" i="3"/>
  <c r="I34" i="3" s="1"/>
  <c r="I35" i="3" s="1"/>
  <c r="Q11" i="3"/>
  <c r="H26" i="4"/>
  <c r="Q7" i="3"/>
  <c r="H35" i="4" l="1"/>
  <c r="E34" i="4"/>
  <c r="E35" i="4" s="1"/>
  <c r="F35" i="3"/>
  <c r="O34" i="3"/>
  <c r="O35" i="3" s="1"/>
  <c r="I34" i="4"/>
  <c r="I35" i="4" s="1"/>
  <c r="J35" i="4"/>
  <c r="D34" i="4"/>
  <c r="D35" i="4" s="1"/>
  <c r="D56" i="4" s="1"/>
  <c r="E4" i="4" s="1"/>
  <c r="E56" i="4" s="1"/>
  <c r="F4" i="4" s="1"/>
  <c r="Q45" i="4"/>
  <c r="Q55" i="4" s="1"/>
  <c r="Q26" i="4"/>
  <c r="Q9" i="3"/>
  <c r="D34" i="3"/>
  <c r="D35" i="3" s="1"/>
  <c r="D56" i="3" s="1"/>
  <c r="E4" i="3" s="1"/>
  <c r="E56" i="3" s="1"/>
  <c r="F4" i="3" s="1"/>
  <c r="F56" i="3" s="1"/>
  <c r="G4" i="3" s="1"/>
  <c r="Q45" i="3"/>
  <c r="Q55" i="3" s="1"/>
  <c r="G35" i="4"/>
  <c r="G34" i="3"/>
  <c r="G35" i="3" s="1"/>
  <c r="K35" i="4"/>
  <c r="K34" i="3"/>
  <c r="K35" i="3" s="1"/>
  <c r="Q15" i="3"/>
  <c r="M35" i="3"/>
  <c r="F35" i="4"/>
  <c r="Q19" i="3"/>
  <c r="Q19" i="4"/>
  <c r="Q9" i="4"/>
  <c r="Q26" i="3"/>
  <c r="F56" i="4" l="1"/>
  <c r="G4" i="4" s="1"/>
  <c r="G56" i="4" s="1"/>
  <c r="H4" i="4" s="1"/>
  <c r="H56" i="4" s="1"/>
  <c r="I4" i="4" s="1"/>
  <c r="I56" i="4" s="1"/>
  <c r="J4" i="4" s="1"/>
  <c r="J56" i="4" s="1"/>
  <c r="K4" i="4" s="1"/>
  <c r="K56" i="4" s="1"/>
  <c r="L4" i="4" s="1"/>
  <c r="L56" i="4" s="1"/>
  <c r="M4" i="4" s="1"/>
  <c r="M56" i="4" s="1"/>
  <c r="N4" i="4" s="1"/>
  <c r="N56" i="4" s="1"/>
  <c r="O4" i="4" s="1"/>
  <c r="O56" i="4" s="1"/>
  <c r="Q34" i="4"/>
  <c r="Q35" i="4" s="1"/>
  <c r="Q56" i="4" s="1"/>
  <c r="G56" i="3"/>
  <c r="H4" i="3" s="1"/>
  <c r="H56" i="3" s="1"/>
  <c r="I4" i="3" s="1"/>
  <c r="I56" i="3" s="1"/>
  <c r="J4" i="3" s="1"/>
  <c r="J56" i="3" s="1"/>
  <c r="K4" i="3" s="1"/>
  <c r="K56" i="3" s="1"/>
  <c r="L4" i="3" s="1"/>
  <c r="L56" i="3" s="1"/>
  <c r="M4" i="3" s="1"/>
  <c r="M56" i="3" s="1"/>
  <c r="N4" i="3" s="1"/>
  <c r="N56" i="3" s="1"/>
  <c r="O4" i="3" s="1"/>
  <c r="O56" i="3" s="1"/>
  <c r="Q34" i="3"/>
  <c r="Q35" i="3" s="1"/>
  <c r="Q56" i="3" s="1"/>
</calcChain>
</file>

<file path=xl/sharedStrings.xml><?xml version="1.0" encoding="utf-8"?>
<sst xmlns="http://schemas.openxmlformats.org/spreadsheetml/2006/main" count="285" uniqueCount="96">
  <si>
    <t>TRASLACIÓN DE COBROS DE CUENTA DE RESULTADOS A PRESUPUESTO DE TESORERÍA</t>
  </si>
  <si>
    <t>CUENTA DE RESULTADOS</t>
  </si>
  <si>
    <t>NOV A-1</t>
  </si>
  <si>
    <t>DIC A-1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</si>
  <si>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</si>
  <si>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</si>
  <si>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</si>
  <si>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</si>
  <si>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</si>
  <si>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</si>
  <si>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</si>
  <si>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</si>
  <si>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</si>
  <si>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</si>
  <si>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</si>
  <si>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</si>
  <si>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CONDICIONES</t>
  </si>
  <si>
    <t>IMPUESTO</t>
  </si>
  <si>
    <t>Cliente TOP 1</t>
  </si>
  <si>
    <t>PAGO 30 DÍAS</t>
  </si>
  <si>
    <t>Cliente TOP 2</t>
  </si>
  <si>
    <t>Cliente TOP 3</t>
  </si>
  <si>
    <t>40% CONTADO, 60% 60 DÍAS</t>
  </si>
  <si>
    <t>Resto Clientes</t>
  </si>
  <si>
    <t>PROMEDIO 45 DÍAS</t>
  </si>
  <si>
    <t>INGRESOS POR VENTAS</t>
  </si>
  <si>
    <t>PRESUPUESTO DE TESORERÍA (OPCIÓN 1)</t>
  </si>
  <si>
    <t>COBROS EXPLOTACIÓN</t>
  </si>
  <si>
    <t>PRESUPUESTO DE TESORERÍA (OPCIÓN 2)</t>
  </si>
  <si>
    <t>IVA cobrado clientes</t>
  </si>
  <si>
    <t>TRASLACIÓN DE PAGOS DE CUENTA DE RESULTADOS A PRESUPUESTO DE TESORERÍA</t>
  </si>
  <si>
    <t>Tipo IVA</t>
  </si>
  <si>
    <t>Tipo Seguridad Social Trabajador</t>
  </si>
  <si>
    <t>Tipo Seguridad Social Empresa</t>
  </si>
  <si>
    <t>Tipo Retención Trabajadores</t>
  </si>
  <si>
    <t>Tipo Retención Alquileres y Profesionales</t>
  </si>
  <si>
    <t>PRESUPUESTO DE TESORERÍA</t>
  </si>
  <si>
    <t>Sueldos y Salarios</t>
  </si>
  <si>
    <t>Nómina mensual</t>
  </si>
  <si>
    <t>Pagas Extras</t>
  </si>
  <si>
    <t>Retenciones a trabajadores</t>
  </si>
  <si>
    <t>Bonus e Incentivos</t>
  </si>
  <si>
    <t>Seguridad Social Empresa</t>
  </si>
  <si>
    <t>Seguridad Social</t>
  </si>
  <si>
    <t>COSTES DE PERSONAL</t>
  </si>
  <si>
    <t>Compra de mercancías al contado</t>
  </si>
  <si>
    <t>Compra de mercancías a 30 días</t>
  </si>
  <si>
    <t>Compra de mercancías a 60 días</t>
  </si>
  <si>
    <t>COMPRAS A PROVEEDORES</t>
  </si>
  <si>
    <t>Alquileres</t>
  </si>
  <si>
    <t>Serv. Profesionales Independientes</t>
  </si>
  <si>
    <t>Transporte</t>
  </si>
  <si>
    <t>Seguros</t>
  </si>
  <si>
    <t>Publicidad y Márketing</t>
  </si>
  <si>
    <t xml:space="preserve">Suministros </t>
  </si>
  <si>
    <t>SERVICIOS EXTERIORES</t>
  </si>
  <si>
    <t>Hacienda Pública por IVA (Neto)</t>
  </si>
  <si>
    <t>Hacienda Pública por Retenciones</t>
  </si>
  <si>
    <t>H. Pública por Retenciones Alq. Y Prof.</t>
  </si>
  <si>
    <t>H. Pública por Impuesto de Sociedades</t>
  </si>
  <si>
    <t>IAE y otros tributos locales</t>
  </si>
  <si>
    <t>IMPUESTOS Y TRIBUTOS</t>
  </si>
  <si>
    <t>Gastos Bancarios</t>
  </si>
  <si>
    <t>Otros Gastos</t>
  </si>
  <si>
    <t>TOTAL GASTOS EXPLOTACIÓN</t>
  </si>
  <si>
    <t>TOTAL PAGOS EXPLOTACIÓN</t>
  </si>
  <si>
    <t>TOTAL</t>
  </si>
  <si>
    <t>SALDO INICIAL</t>
  </si>
  <si>
    <t>PAGOS EXPLOTACIÓN (OPEX)</t>
  </si>
  <si>
    <t>FLUJO CAJA EXPLOTACIÓN</t>
  </si>
  <si>
    <t>(-) Compra de Activos Fijos</t>
  </si>
  <si>
    <t>(+) Enajenación de Activos Fijos</t>
  </si>
  <si>
    <t>FLUJO CAJA ACTIVOS FIJOS (CAPEX)</t>
  </si>
  <si>
    <t>(+) Cobros por disposición de deuda</t>
  </si>
  <si>
    <t>(-) Pagos por amortización de deuda</t>
  </si>
  <si>
    <t>(+) Cobros por disposición de pólizas</t>
  </si>
  <si>
    <t>(-) Pagos por reembolso de pólizas</t>
  </si>
  <si>
    <t>(-) Intereses y Cupones</t>
  </si>
  <si>
    <t>(-) Com. de No Disposición y Otros Gastos</t>
  </si>
  <si>
    <t>FLUJO CAJA ENDEUDAMIENTO</t>
  </si>
  <si>
    <t>(-) Suscripción de Depósitos</t>
  </si>
  <si>
    <t>(+) Vencimiento de Depósitos</t>
  </si>
  <si>
    <t>(-) Materialización de Inv. Financieras</t>
  </si>
  <si>
    <t>(+) Amortización de Inv. Financieras</t>
  </si>
  <si>
    <t>(±) Rendimientos de Depósitos e Inv. Fin.</t>
  </si>
  <si>
    <t>FLUJO CAJA INVERSIONES FINANCIERAS</t>
  </si>
  <si>
    <t>(-) Pagos de Dividendos</t>
  </si>
  <si>
    <t>(+) Ampliaciones de Capital</t>
  </si>
  <si>
    <t>FLUJO CAJA OP. SOCIETARIAS</t>
  </si>
  <si>
    <t>FLUJO CAJA CAPITAL</t>
  </si>
  <si>
    <t>SALDO FINAL</t>
  </si>
  <si>
    <t>Presupuesto de Tesorería previo a realizar acciones</t>
  </si>
  <si>
    <t>Presupuesto de Tesorería post análisis y cambio de Inversión en Activos Fijos por 50K EUR de Enero a Febrero</t>
  </si>
  <si>
    <t>El déficit del mes de julio se deberá cubrir, llegado el caso, mediante instrumentos de financiación del circulante.</t>
  </si>
  <si>
    <t>CONSOLIDACIÓN Y ANÁLISIS</t>
  </si>
  <si>
    <t>ACCIONES APLICADAS - VERSIÓN FINAL PRESUPUESTO TESORERÍA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</si>
</sst>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rgb="FFC00000"/>
      <name val="Calibri"/>
      <family val="2"/>
    </font>
    <font>
      <b/>
      <sz val="10"/>
      <color rgb="FF305496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548235"/>
        <bgColor rgb="FF548235"/>
      </patternFill>
    </fill>
    <fill>
      <patternFill patternType="solid">
        <fgColor rgb="FF305496"/>
        <bgColor rgb="FF305496"/>
      </patternFill>
    </fill>
    <fill>
      <patternFill patternType="solid">
        <fgColor rgb="FFA9D08E"/>
        <bgColor rgb="FFA9D08E"/>
      </patternFill>
    </fill>
    <fill>
      <patternFill patternType="solid">
        <fgColor rgb="FFFFD966"/>
        <bgColor rgb="FFFFD966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ACB9CA"/>
        <bgColor rgb="FFACB9CA"/>
      </patternFill>
    </fill>
    <fill>
      <patternFill patternType="solid">
        <fgColor rgb="FFFF99FF"/>
        <bgColor rgb="FFFF99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 indent="1"/>
    </xf>
    <xf numFmtId="3" fontId="3" fillId="0" borderId="2" xfId="0" applyNumberFormat="1" applyFont="1" applyBorder="1" applyAlignment="1">
      <alignment horizontal="right"/>
    </xf>
    <xf numFmtId="9" fontId="3" fillId="0" borderId="0" xfId="0" applyNumberFormat="1" applyFont="1"/>
    <xf numFmtId="0" fontId="5" fillId="0" borderId="0" xfId="0" applyFont="1"/>
    <xf numFmtId="0" fontId="4" fillId="3" borderId="2" xfId="0" applyFont="1" applyFill="1" applyBorder="1" applyAlignment="1">
      <alignment horizontal="left"/>
    </xf>
    <xf numFmtId="3" fontId="4" fillId="3" borderId="2" xfId="0" applyNumberFormat="1" applyFont="1" applyFill="1" applyBorder="1" applyAlignment="1">
      <alignment horizontal="righ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3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5" fillId="5" borderId="2" xfId="0" applyFont="1" applyFill="1" applyBorder="1" applyAlignment="1">
      <alignment horizontal="left"/>
    </xf>
    <xf numFmtId="3" fontId="5" fillId="5" borderId="2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left"/>
    </xf>
    <xf numFmtId="3" fontId="5" fillId="6" borderId="2" xfId="0" applyNumberFormat="1" applyFont="1" applyFill="1" applyBorder="1" applyAlignment="1">
      <alignment horizontal="right"/>
    </xf>
    <xf numFmtId="0" fontId="5" fillId="7" borderId="2" xfId="0" applyFont="1" applyFill="1" applyBorder="1" applyAlignment="1">
      <alignment horizontal="left"/>
    </xf>
    <xf numFmtId="3" fontId="5" fillId="7" borderId="2" xfId="0" applyNumberFormat="1" applyFont="1" applyFill="1" applyBorder="1" applyAlignment="1">
      <alignment horizontal="right"/>
    </xf>
    <xf numFmtId="0" fontId="5" fillId="8" borderId="2" xfId="0" applyFont="1" applyFill="1" applyBorder="1" applyAlignment="1">
      <alignment horizontal="left"/>
    </xf>
    <xf numFmtId="3" fontId="5" fillId="8" borderId="2" xfId="0" applyNumberFormat="1" applyFont="1" applyFill="1" applyBorder="1" applyAlignment="1">
      <alignment horizontal="right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left" indent="1"/>
    </xf>
    <xf numFmtId="3" fontId="5" fillId="9" borderId="2" xfId="0" applyNumberFormat="1" applyFont="1" applyFill="1" applyBorder="1" applyAlignment="1">
      <alignment horizontal="right"/>
    </xf>
    <xf numFmtId="0" fontId="3" fillId="6" borderId="2" xfId="0" applyFont="1" applyFill="1" applyBorder="1" applyAlignment="1">
      <alignment horizontal="left"/>
    </xf>
    <xf numFmtId="3" fontId="3" fillId="6" borderId="2" xfId="0" applyNumberFormat="1" applyFont="1" applyFill="1" applyBorder="1" applyAlignment="1">
      <alignment horizontal="right"/>
    </xf>
    <xf numFmtId="0" fontId="5" fillId="10" borderId="2" xfId="0" applyFont="1" applyFill="1" applyBorder="1" applyAlignment="1">
      <alignment horizontal="left"/>
    </xf>
    <xf numFmtId="3" fontId="5" fillId="10" borderId="2" xfId="0" applyNumberFormat="1" applyFont="1" applyFill="1" applyBorder="1" applyAlignment="1">
      <alignment horizontal="right"/>
    </xf>
    <xf numFmtId="0" fontId="5" fillId="11" borderId="2" xfId="0" applyFont="1" applyFill="1" applyBorder="1" applyAlignment="1">
      <alignment horizontal="left"/>
    </xf>
    <xf numFmtId="3" fontId="5" fillId="11" borderId="2" xfId="0" applyNumberFormat="1" applyFont="1" applyFill="1" applyBorder="1" applyAlignment="1">
      <alignment horizontal="right"/>
    </xf>
    <xf numFmtId="4" fontId="3" fillId="0" borderId="0" xfId="0" applyNumberFormat="1" applyFont="1"/>
  </cellXfs>
  <cellStyles count="2">
    <cellStyle name="cf1" xfId="1" xr:uid="{00000000-0005-0000-0000-000000000000}"/>
    <cellStyle name="Normal" xfId="0" builtinId="0" customBuiltin="1"/>
  </cellStyles>
  <dxfs count="2"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vives\Desktop\av\IEBS\Clase%202%20-%20Cuadro%20de%20operaciones%20financieras,%20intereses%20y%20vencimi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_vencimientos_y_devengos"/>
    </sheetNames>
    <sheetDataSet>
      <sheetData sheetId="0">
        <row r="5">
          <cell r="I5">
            <v>750000</v>
          </cell>
          <cell r="J5">
            <v>0.05</v>
          </cell>
        </row>
        <row r="12">
          <cell r="B12">
            <v>-187.5</v>
          </cell>
          <cell r="E12">
            <v>-1500</v>
          </cell>
          <cell r="H12">
            <v>-187.5</v>
          </cell>
          <cell r="L12">
            <v>-187.5</v>
          </cell>
        </row>
        <row r="13">
          <cell r="D13">
            <v>-125000</v>
          </cell>
          <cell r="G13">
            <v>-125000</v>
          </cell>
          <cell r="J13">
            <v>-125000</v>
          </cell>
          <cell r="M13">
            <v>-125000</v>
          </cell>
        </row>
        <row r="14">
          <cell r="B14">
            <v>3229.1666666666665</v>
          </cell>
          <cell r="C14">
            <v>-3229.1666666666665</v>
          </cell>
          <cell r="D14">
            <v>-2916.6666666666665</v>
          </cell>
          <cell r="E14">
            <v>-3229.1666666666665</v>
          </cell>
          <cell r="F14">
            <v>-3767.3611111111113</v>
          </cell>
          <cell r="G14">
            <v>-3767.3611111111113</v>
          </cell>
          <cell r="H14">
            <v>-3767.3611111111113</v>
          </cell>
          <cell r="I14">
            <v>-4305.5555555555557</v>
          </cell>
          <cell r="J14">
            <v>-4305.5555555555557</v>
          </cell>
          <cell r="K14">
            <v>-4305.5555555555557</v>
          </cell>
          <cell r="L14">
            <v>-4843.75</v>
          </cell>
          <cell r="M14">
            <v>-4843.75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showGridLines="0" workbookViewId="0"/>
  </sheetViews>
  <sheetFormatPr defaultColWidth="11.42578125" defaultRowHeight="12.75" x14ac:dyDescent="0.2"/>
  <cols>
    <col min="1" max="1" width="3.5703125" style="2" customWidth="1"/>
    <col min="2" max="2" width="20.42578125" style="2" customWidth="1"/>
    <col min="3" max="3" width="7.85546875" style="2" bestFit="1" customWidth="1"/>
    <col min="4" max="4" width="7.42578125" style="2" bestFit="1" customWidth="1"/>
    <col min="5" max="16" width="8.28515625" style="2" customWidth="1"/>
    <col min="17" max="17" width="1.7109375" style="2" customWidth="1"/>
    <col min="18" max="18" width="23.28515625" style="2" bestFit="1" customWidth="1"/>
    <col min="19" max="19" width="1.7109375" style="2" customWidth="1"/>
    <col min="20" max="20" width="9" style="2" bestFit="1" customWidth="1"/>
    <col min="21" max="21" width="11.42578125" style="2" customWidth="1"/>
    <col min="22" max="16384" width="11.42578125" style="2"/>
  </cols>
  <sheetData>
    <row r="1" spans="1:20" x14ac:dyDescent="0.2">
      <c r="A1" s="1" t="s">
        <v>0</v>
      </c>
    </row>
    <row r="2" spans="1:20" x14ac:dyDescent="0.2">
      <c r="A2" s="1"/>
    </row>
    <row r="4" spans="1:20" x14ac:dyDescent="0.2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R4" s="4" t="s">
        <v>16</v>
      </c>
      <c r="T4" s="4" t="s">
        <v>17</v>
      </c>
    </row>
    <row r="5" spans="1:20" x14ac:dyDescent="0.2">
      <c r="B5" s="5" t="s">
        <v>18</v>
      </c>
      <c r="C5" s="6">
        <v>50000</v>
      </c>
      <c r="D5" s="6">
        <v>50000</v>
      </c>
      <c r="E5" s="6">
        <v>50000</v>
      </c>
      <c r="F5" s="6">
        <v>50000</v>
      </c>
      <c r="G5" s="6">
        <v>50000</v>
      </c>
      <c r="H5" s="6">
        <v>50000</v>
      </c>
      <c r="I5" s="6">
        <v>50000</v>
      </c>
      <c r="J5" s="6">
        <v>50000</v>
      </c>
      <c r="K5" s="6">
        <v>50000</v>
      </c>
      <c r="L5" s="6">
        <v>50000</v>
      </c>
      <c r="M5" s="6">
        <v>50000</v>
      </c>
      <c r="N5" s="6">
        <v>50000</v>
      </c>
      <c r="O5" s="6">
        <v>50000</v>
      </c>
      <c r="P5" s="6">
        <v>50000</v>
      </c>
      <c r="R5" s="2" t="s">
        <v>19</v>
      </c>
      <c r="T5" s="7">
        <v>0.21</v>
      </c>
    </row>
    <row r="6" spans="1:20" x14ac:dyDescent="0.2">
      <c r="B6" s="5" t="s">
        <v>20</v>
      </c>
      <c r="C6" s="6">
        <v>75000</v>
      </c>
      <c r="D6" s="6"/>
      <c r="E6" s="6">
        <v>60000</v>
      </c>
      <c r="F6" s="6"/>
      <c r="G6" s="6">
        <v>80000</v>
      </c>
      <c r="H6" s="6"/>
      <c r="I6" s="6">
        <v>70000</v>
      </c>
      <c r="J6" s="6"/>
      <c r="K6" s="6">
        <v>60000</v>
      </c>
      <c r="L6" s="6"/>
      <c r="M6" s="6">
        <v>80000</v>
      </c>
      <c r="N6" s="6"/>
      <c r="O6" s="6">
        <v>70000</v>
      </c>
      <c r="P6" s="6"/>
      <c r="R6" s="2" t="s">
        <v>19</v>
      </c>
      <c r="T6" s="7">
        <v>0.21</v>
      </c>
    </row>
    <row r="7" spans="1:20" x14ac:dyDescent="0.2">
      <c r="B7" s="5" t="s">
        <v>21</v>
      </c>
      <c r="C7" s="6">
        <v>30000</v>
      </c>
      <c r="D7" s="6">
        <v>40000</v>
      </c>
      <c r="E7" s="6">
        <v>35000</v>
      </c>
      <c r="F7" s="6">
        <v>45000</v>
      </c>
      <c r="G7" s="6">
        <v>45000</v>
      </c>
      <c r="H7" s="6">
        <v>45000</v>
      </c>
      <c r="I7" s="6">
        <v>40000</v>
      </c>
      <c r="J7" s="6">
        <v>35000</v>
      </c>
      <c r="K7" s="6">
        <v>35000</v>
      </c>
      <c r="L7" s="6">
        <v>45000</v>
      </c>
      <c r="M7" s="6">
        <v>45000</v>
      </c>
      <c r="N7" s="6">
        <v>45000</v>
      </c>
      <c r="O7" s="6">
        <v>40000</v>
      </c>
      <c r="P7" s="6">
        <v>35000</v>
      </c>
      <c r="R7" s="2" t="s">
        <v>22</v>
      </c>
      <c r="T7" s="7">
        <v>0.21</v>
      </c>
    </row>
    <row r="8" spans="1:20" x14ac:dyDescent="0.2">
      <c r="B8" s="5" t="s">
        <v>23</v>
      </c>
      <c r="C8" s="6">
        <v>30000</v>
      </c>
      <c r="D8" s="6">
        <v>15000</v>
      </c>
      <c r="E8" s="6">
        <v>25000</v>
      </c>
      <c r="F8" s="6">
        <v>20000</v>
      </c>
      <c r="G8" s="6">
        <v>25000</v>
      </c>
      <c r="H8" s="6">
        <v>30000</v>
      </c>
      <c r="I8" s="6">
        <v>25000</v>
      </c>
      <c r="J8" s="6">
        <v>20000</v>
      </c>
      <c r="K8" s="6">
        <v>25000</v>
      </c>
      <c r="L8" s="6">
        <v>20000</v>
      </c>
      <c r="M8" s="6">
        <v>25000</v>
      </c>
      <c r="N8" s="6">
        <v>30000</v>
      </c>
      <c r="O8" s="6">
        <v>25000</v>
      </c>
      <c r="P8" s="6">
        <v>20000</v>
      </c>
      <c r="R8" s="2" t="s">
        <v>24</v>
      </c>
      <c r="T8" s="7">
        <v>0.21</v>
      </c>
    </row>
    <row r="9" spans="1:20" s="8" customFormat="1" x14ac:dyDescent="0.2">
      <c r="B9" s="9" t="s">
        <v>25</v>
      </c>
      <c r="C9" s="10">
        <f t="shared" ref="C9:P9" si="0">SUM(C5:C8)</f>
        <v>185000</v>
      </c>
      <c r="D9" s="10">
        <f t="shared" si="0"/>
        <v>105000</v>
      </c>
      <c r="E9" s="10">
        <f t="shared" si="0"/>
        <v>170000</v>
      </c>
      <c r="F9" s="10">
        <f t="shared" si="0"/>
        <v>115000</v>
      </c>
      <c r="G9" s="10">
        <f t="shared" si="0"/>
        <v>200000</v>
      </c>
      <c r="H9" s="10">
        <f t="shared" si="0"/>
        <v>125000</v>
      </c>
      <c r="I9" s="10">
        <f t="shared" si="0"/>
        <v>185000</v>
      </c>
      <c r="J9" s="10">
        <f t="shared" si="0"/>
        <v>105000</v>
      </c>
      <c r="K9" s="10">
        <f t="shared" si="0"/>
        <v>170000</v>
      </c>
      <c r="L9" s="10">
        <f t="shared" si="0"/>
        <v>115000</v>
      </c>
      <c r="M9" s="10">
        <f t="shared" si="0"/>
        <v>200000</v>
      </c>
      <c r="N9" s="10">
        <f t="shared" si="0"/>
        <v>125000</v>
      </c>
      <c r="O9" s="10">
        <f t="shared" si="0"/>
        <v>185000</v>
      </c>
      <c r="P9" s="10">
        <f t="shared" si="0"/>
        <v>105000</v>
      </c>
    </row>
    <row r="11" spans="1:20" x14ac:dyDescent="0.2">
      <c r="B11" s="11" t="s">
        <v>26</v>
      </c>
      <c r="C11" s="11"/>
      <c r="D11" s="11"/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12</v>
      </c>
      <c r="N11" s="12" t="s">
        <v>13</v>
      </c>
      <c r="O11" s="12" t="s">
        <v>14</v>
      </c>
      <c r="P11" s="12" t="s">
        <v>15</v>
      </c>
    </row>
    <row r="12" spans="1:20" x14ac:dyDescent="0.2">
      <c r="B12" s="5" t="s">
        <v>18</v>
      </c>
      <c r="C12" s="5"/>
      <c r="D12" s="5"/>
      <c r="E12" s="6">
        <f t="shared" ref="E12:I13" si="1">+D5*(1+$T5)</f>
        <v>60500</v>
      </c>
      <c r="F12" s="6">
        <f t="shared" si="1"/>
        <v>60500</v>
      </c>
      <c r="G12" s="6">
        <f t="shared" si="1"/>
        <v>60500</v>
      </c>
      <c r="H12" s="6">
        <f t="shared" si="1"/>
        <v>60500</v>
      </c>
      <c r="I12" s="6">
        <f t="shared" si="1"/>
        <v>60500</v>
      </c>
      <c r="J12" s="6">
        <f t="shared" ref="J12:P13" si="2">+C5*(1+$T5)</f>
        <v>60500</v>
      </c>
      <c r="K12" s="6">
        <f t="shared" si="2"/>
        <v>60500</v>
      </c>
      <c r="L12" s="6">
        <f t="shared" si="2"/>
        <v>60500</v>
      </c>
      <c r="M12" s="6">
        <f t="shared" si="2"/>
        <v>60500</v>
      </c>
      <c r="N12" s="6">
        <f t="shared" si="2"/>
        <v>60500</v>
      </c>
      <c r="O12" s="6">
        <f t="shared" si="2"/>
        <v>60500</v>
      </c>
      <c r="P12" s="6">
        <f t="shared" si="2"/>
        <v>60500</v>
      </c>
    </row>
    <row r="13" spans="1:20" x14ac:dyDescent="0.2">
      <c r="B13" s="5" t="s">
        <v>20</v>
      </c>
      <c r="C13" s="5"/>
      <c r="D13" s="5"/>
      <c r="E13" s="6">
        <f t="shared" si="1"/>
        <v>0</v>
      </c>
      <c r="F13" s="6">
        <f t="shared" si="1"/>
        <v>72600</v>
      </c>
      <c r="G13" s="6">
        <f t="shared" si="1"/>
        <v>0</v>
      </c>
      <c r="H13" s="6">
        <f t="shared" si="1"/>
        <v>96800</v>
      </c>
      <c r="I13" s="6">
        <f t="shared" si="1"/>
        <v>0</v>
      </c>
      <c r="J13" s="6">
        <f t="shared" si="2"/>
        <v>90750</v>
      </c>
      <c r="K13" s="6">
        <f t="shared" si="2"/>
        <v>0</v>
      </c>
      <c r="L13" s="6">
        <f t="shared" si="2"/>
        <v>72600</v>
      </c>
      <c r="M13" s="6">
        <f t="shared" si="2"/>
        <v>0</v>
      </c>
      <c r="N13" s="6">
        <f t="shared" si="2"/>
        <v>96800</v>
      </c>
      <c r="O13" s="6">
        <f t="shared" si="2"/>
        <v>0</v>
      </c>
      <c r="P13" s="6">
        <f t="shared" si="2"/>
        <v>84700</v>
      </c>
    </row>
    <row r="14" spans="1:20" x14ac:dyDescent="0.2">
      <c r="B14" s="5" t="s">
        <v>21</v>
      </c>
      <c r="C14" s="5"/>
      <c r="D14" s="5"/>
      <c r="E14" s="6">
        <f t="shared" ref="E14:P14" si="3">+(C7*0.6+E7*0.7)*(1+$T7)</f>
        <v>51425</v>
      </c>
      <c r="F14" s="6">
        <f t="shared" si="3"/>
        <v>67155</v>
      </c>
      <c r="G14" s="6">
        <f t="shared" si="3"/>
        <v>63525</v>
      </c>
      <c r="H14" s="6">
        <f t="shared" si="3"/>
        <v>70785</v>
      </c>
      <c r="I14" s="6">
        <f t="shared" si="3"/>
        <v>66550</v>
      </c>
      <c r="J14" s="6">
        <f t="shared" si="3"/>
        <v>62315</v>
      </c>
      <c r="K14" s="6">
        <f t="shared" si="3"/>
        <v>58685</v>
      </c>
      <c r="L14" s="6">
        <f t="shared" si="3"/>
        <v>63525</v>
      </c>
      <c r="M14" s="6">
        <f t="shared" si="3"/>
        <v>63525</v>
      </c>
      <c r="N14" s="6">
        <f t="shared" si="3"/>
        <v>70785</v>
      </c>
      <c r="O14" s="6">
        <f t="shared" si="3"/>
        <v>66550</v>
      </c>
      <c r="P14" s="6">
        <f t="shared" si="3"/>
        <v>62315</v>
      </c>
    </row>
    <row r="15" spans="1:20" x14ac:dyDescent="0.2">
      <c r="B15" s="5" t="s">
        <v>23</v>
      </c>
      <c r="C15" s="5"/>
      <c r="D15" s="5"/>
      <c r="E15" s="6">
        <f t="shared" ref="E15:P15" si="4">+AVERAGE(C8:D8)*(1+$T8)</f>
        <v>27225</v>
      </c>
      <c r="F15" s="6">
        <f t="shared" si="4"/>
        <v>24200</v>
      </c>
      <c r="G15" s="6">
        <f t="shared" si="4"/>
        <v>27225</v>
      </c>
      <c r="H15" s="6">
        <f t="shared" si="4"/>
        <v>27225</v>
      </c>
      <c r="I15" s="6">
        <f t="shared" si="4"/>
        <v>33275</v>
      </c>
      <c r="J15" s="6">
        <f t="shared" si="4"/>
        <v>33275</v>
      </c>
      <c r="K15" s="6">
        <f t="shared" si="4"/>
        <v>27225</v>
      </c>
      <c r="L15" s="6">
        <f t="shared" si="4"/>
        <v>27225</v>
      </c>
      <c r="M15" s="6">
        <f t="shared" si="4"/>
        <v>27225</v>
      </c>
      <c r="N15" s="6">
        <f t="shared" si="4"/>
        <v>27225</v>
      </c>
      <c r="O15" s="6">
        <f t="shared" si="4"/>
        <v>33275</v>
      </c>
      <c r="P15" s="6">
        <f t="shared" si="4"/>
        <v>33275</v>
      </c>
    </row>
    <row r="16" spans="1:20" s="8" customFormat="1" x14ac:dyDescent="0.2">
      <c r="B16" s="9" t="s">
        <v>27</v>
      </c>
      <c r="C16" s="9"/>
      <c r="D16" s="9"/>
      <c r="E16" s="10">
        <f t="shared" ref="E16:P16" si="5">SUM(E12:E15)</f>
        <v>139150</v>
      </c>
      <c r="F16" s="10">
        <f t="shared" si="5"/>
        <v>224455</v>
      </c>
      <c r="G16" s="10">
        <f t="shared" si="5"/>
        <v>151250</v>
      </c>
      <c r="H16" s="10">
        <f t="shared" si="5"/>
        <v>255310</v>
      </c>
      <c r="I16" s="10">
        <f t="shared" si="5"/>
        <v>160325</v>
      </c>
      <c r="J16" s="10">
        <f t="shared" si="5"/>
        <v>246840</v>
      </c>
      <c r="K16" s="10">
        <f t="shared" si="5"/>
        <v>146410</v>
      </c>
      <c r="L16" s="10">
        <f t="shared" si="5"/>
        <v>223850</v>
      </c>
      <c r="M16" s="10">
        <f t="shared" si="5"/>
        <v>151250</v>
      </c>
      <c r="N16" s="10">
        <f t="shared" si="5"/>
        <v>255310</v>
      </c>
      <c r="O16" s="10">
        <f t="shared" si="5"/>
        <v>160325</v>
      </c>
      <c r="P16" s="10">
        <f t="shared" si="5"/>
        <v>240790</v>
      </c>
    </row>
    <row r="18" spans="2:16" x14ac:dyDescent="0.2">
      <c r="B18" s="11" t="s">
        <v>28</v>
      </c>
      <c r="C18" s="11"/>
      <c r="D18" s="11"/>
      <c r="E18" s="12" t="s">
        <v>4</v>
      </c>
      <c r="F18" s="12" t="s">
        <v>5</v>
      </c>
      <c r="G18" s="12" t="s">
        <v>6</v>
      </c>
      <c r="H18" s="12" t="s">
        <v>7</v>
      </c>
      <c r="I18" s="12" t="s">
        <v>8</v>
      </c>
      <c r="J18" s="12" t="s">
        <v>9</v>
      </c>
      <c r="K18" s="12" t="s">
        <v>10</v>
      </c>
      <c r="L18" s="12" t="s">
        <v>11</v>
      </c>
      <c r="M18" s="12" t="s">
        <v>12</v>
      </c>
      <c r="N18" s="12" t="s">
        <v>13</v>
      </c>
      <c r="O18" s="12" t="s">
        <v>14</v>
      </c>
      <c r="P18" s="12" t="s">
        <v>15</v>
      </c>
    </row>
    <row r="19" spans="2:16" x14ac:dyDescent="0.2">
      <c r="B19" s="5" t="s">
        <v>18</v>
      </c>
      <c r="C19" s="5"/>
      <c r="D19" s="5"/>
      <c r="E19" s="6">
        <f t="shared" ref="E19:I20" si="6">+D5</f>
        <v>50000</v>
      </c>
      <c r="F19" s="6">
        <f t="shared" si="6"/>
        <v>50000</v>
      </c>
      <c r="G19" s="6">
        <f t="shared" si="6"/>
        <v>50000</v>
      </c>
      <c r="H19" s="6">
        <f t="shared" si="6"/>
        <v>50000</v>
      </c>
      <c r="I19" s="6">
        <f t="shared" si="6"/>
        <v>50000</v>
      </c>
      <c r="J19" s="6">
        <f t="shared" ref="J19:P20" si="7">+C5</f>
        <v>50000</v>
      </c>
      <c r="K19" s="6">
        <f t="shared" si="7"/>
        <v>50000</v>
      </c>
      <c r="L19" s="6">
        <f t="shared" si="7"/>
        <v>50000</v>
      </c>
      <c r="M19" s="6">
        <f t="shared" si="7"/>
        <v>50000</v>
      </c>
      <c r="N19" s="6">
        <f t="shared" si="7"/>
        <v>50000</v>
      </c>
      <c r="O19" s="6">
        <f t="shared" si="7"/>
        <v>50000</v>
      </c>
      <c r="P19" s="6">
        <f t="shared" si="7"/>
        <v>50000</v>
      </c>
    </row>
    <row r="20" spans="2:16" x14ac:dyDescent="0.2">
      <c r="B20" s="5" t="s">
        <v>20</v>
      </c>
      <c r="C20" s="5"/>
      <c r="D20" s="5"/>
      <c r="E20" s="6">
        <f t="shared" si="6"/>
        <v>0</v>
      </c>
      <c r="F20" s="6">
        <f t="shared" si="6"/>
        <v>60000</v>
      </c>
      <c r="G20" s="6">
        <f t="shared" si="6"/>
        <v>0</v>
      </c>
      <c r="H20" s="6">
        <f t="shared" si="6"/>
        <v>80000</v>
      </c>
      <c r="I20" s="6">
        <f t="shared" si="6"/>
        <v>0</v>
      </c>
      <c r="J20" s="6">
        <f t="shared" si="7"/>
        <v>75000</v>
      </c>
      <c r="K20" s="6">
        <f t="shared" si="7"/>
        <v>0</v>
      </c>
      <c r="L20" s="6">
        <f t="shared" si="7"/>
        <v>60000</v>
      </c>
      <c r="M20" s="6">
        <f t="shared" si="7"/>
        <v>0</v>
      </c>
      <c r="N20" s="6">
        <f t="shared" si="7"/>
        <v>80000</v>
      </c>
      <c r="O20" s="6">
        <f t="shared" si="7"/>
        <v>0</v>
      </c>
      <c r="P20" s="6">
        <f t="shared" si="7"/>
        <v>70000</v>
      </c>
    </row>
    <row r="21" spans="2:16" x14ac:dyDescent="0.2">
      <c r="B21" s="5" t="s">
        <v>21</v>
      </c>
      <c r="C21" s="5"/>
      <c r="D21" s="5"/>
      <c r="E21" s="6">
        <f t="shared" ref="E21:P21" si="8">+C7*0.6+E7*0.7</f>
        <v>42500</v>
      </c>
      <c r="F21" s="6">
        <f t="shared" si="8"/>
        <v>55500</v>
      </c>
      <c r="G21" s="6">
        <f t="shared" si="8"/>
        <v>52500</v>
      </c>
      <c r="H21" s="6">
        <f t="shared" si="8"/>
        <v>58500</v>
      </c>
      <c r="I21" s="6">
        <f t="shared" si="8"/>
        <v>55000</v>
      </c>
      <c r="J21" s="6">
        <f t="shared" si="8"/>
        <v>51500</v>
      </c>
      <c r="K21" s="6">
        <f t="shared" si="8"/>
        <v>48500</v>
      </c>
      <c r="L21" s="6">
        <f t="shared" si="8"/>
        <v>52500</v>
      </c>
      <c r="M21" s="6">
        <f t="shared" si="8"/>
        <v>52500</v>
      </c>
      <c r="N21" s="6">
        <f t="shared" si="8"/>
        <v>58500</v>
      </c>
      <c r="O21" s="6">
        <f t="shared" si="8"/>
        <v>55000</v>
      </c>
      <c r="P21" s="6">
        <f t="shared" si="8"/>
        <v>51500</v>
      </c>
    </row>
    <row r="22" spans="2:16" x14ac:dyDescent="0.2">
      <c r="B22" s="5" t="s">
        <v>23</v>
      </c>
      <c r="C22" s="5"/>
      <c r="D22" s="5"/>
      <c r="E22" s="6">
        <f t="shared" ref="E22:P22" si="9">+AVERAGE(C8:D8)</f>
        <v>22500</v>
      </c>
      <c r="F22" s="6">
        <f t="shared" si="9"/>
        <v>20000</v>
      </c>
      <c r="G22" s="6">
        <f t="shared" si="9"/>
        <v>22500</v>
      </c>
      <c r="H22" s="6">
        <f t="shared" si="9"/>
        <v>22500</v>
      </c>
      <c r="I22" s="6">
        <f t="shared" si="9"/>
        <v>27500</v>
      </c>
      <c r="J22" s="6">
        <f t="shared" si="9"/>
        <v>27500</v>
      </c>
      <c r="K22" s="6">
        <f t="shared" si="9"/>
        <v>22500</v>
      </c>
      <c r="L22" s="6">
        <f t="shared" si="9"/>
        <v>22500</v>
      </c>
      <c r="M22" s="6">
        <f t="shared" si="9"/>
        <v>22500</v>
      </c>
      <c r="N22" s="6">
        <f t="shared" si="9"/>
        <v>22500</v>
      </c>
      <c r="O22" s="6">
        <f t="shared" si="9"/>
        <v>27500</v>
      </c>
      <c r="P22" s="6">
        <f t="shared" si="9"/>
        <v>27500</v>
      </c>
    </row>
    <row r="23" spans="2:16" x14ac:dyDescent="0.2">
      <c r="B23" s="5" t="s">
        <v>29</v>
      </c>
      <c r="C23" s="5"/>
      <c r="D23" s="5"/>
      <c r="E23" s="6">
        <f t="shared" ref="E23:P23" si="10">+SUMPRODUCT(E19:E22,$T$5:$T$8)</f>
        <v>24150</v>
      </c>
      <c r="F23" s="6">
        <f t="shared" si="10"/>
        <v>38955</v>
      </c>
      <c r="G23" s="6">
        <f t="shared" si="10"/>
        <v>26250</v>
      </c>
      <c r="H23" s="6">
        <f t="shared" si="10"/>
        <v>44310</v>
      </c>
      <c r="I23" s="6">
        <f t="shared" si="10"/>
        <v>27825</v>
      </c>
      <c r="J23" s="6">
        <f t="shared" si="10"/>
        <v>42840</v>
      </c>
      <c r="K23" s="6">
        <f t="shared" si="10"/>
        <v>25410</v>
      </c>
      <c r="L23" s="6">
        <f t="shared" si="10"/>
        <v>38850</v>
      </c>
      <c r="M23" s="6">
        <f t="shared" si="10"/>
        <v>26250</v>
      </c>
      <c r="N23" s="6">
        <f t="shared" si="10"/>
        <v>44310</v>
      </c>
      <c r="O23" s="6">
        <f t="shared" si="10"/>
        <v>27825</v>
      </c>
      <c r="P23" s="6">
        <f t="shared" si="10"/>
        <v>41790</v>
      </c>
    </row>
    <row r="24" spans="2:16" x14ac:dyDescent="0.2">
      <c r="B24" s="9" t="s">
        <v>27</v>
      </c>
      <c r="C24" s="9"/>
      <c r="D24" s="9"/>
      <c r="E24" s="10">
        <f t="shared" ref="E24:P24" si="11">SUM(E19:E23)</f>
        <v>139150</v>
      </c>
      <c r="F24" s="10">
        <f t="shared" si="11"/>
        <v>224455</v>
      </c>
      <c r="G24" s="10">
        <f t="shared" si="11"/>
        <v>151250</v>
      </c>
      <c r="H24" s="10">
        <f t="shared" si="11"/>
        <v>255310</v>
      </c>
      <c r="I24" s="10">
        <f t="shared" si="11"/>
        <v>160325</v>
      </c>
      <c r="J24" s="10">
        <f t="shared" si="11"/>
        <v>246840</v>
      </c>
      <c r="K24" s="10">
        <f t="shared" si="11"/>
        <v>146410</v>
      </c>
      <c r="L24" s="10">
        <f t="shared" si="11"/>
        <v>223850</v>
      </c>
      <c r="M24" s="10">
        <f t="shared" si="11"/>
        <v>151250</v>
      </c>
      <c r="N24" s="10">
        <f t="shared" si="11"/>
        <v>255310</v>
      </c>
      <c r="O24" s="10">
        <f t="shared" si="11"/>
        <v>160325</v>
      </c>
      <c r="P24" s="10">
        <f t="shared" si="11"/>
        <v>240790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7"/>
  <sheetViews>
    <sheetView showGridLines="0" tabSelected="1" workbookViewId="0">
      <selection activeCell="T12" sqref="T12"/>
    </sheetView>
  </sheetViews>
  <sheetFormatPr defaultColWidth="11.42578125" defaultRowHeight="12.75" outlineLevelCol="1" x14ac:dyDescent="0.2"/>
  <cols>
    <col min="1" max="1" width="3.5703125" style="2" customWidth="1"/>
    <col min="2" max="2" width="33.28515625" style="2" customWidth="1" outlineLevel="1"/>
    <col min="3" max="3" width="7.85546875" style="2" customWidth="1" outlineLevel="1"/>
    <col min="4" max="4" width="7.42578125" style="2" customWidth="1" outlineLevel="1"/>
    <col min="5" max="8" width="8.28515625" style="2" customWidth="1" outlineLevel="1"/>
    <col min="9" max="9" width="7.7109375" style="2" customWidth="1" outlineLevel="1"/>
    <col min="10" max="10" width="1" style="2" hidden="1" customWidth="1" outlineLevel="1"/>
    <col min="11" max="11" width="6.85546875" style="2" hidden="1" customWidth="1" outlineLevel="1"/>
    <col min="12" max="12" width="0.7109375" style="2" hidden="1" customWidth="1" outlineLevel="1"/>
    <col min="13" max="13" width="1.140625" style="2" hidden="1" customWidth="1" outlineLevel="1"/>
    <col min="14" max="14" width="6" style="2" hidden="1" customWidth="1" outlineLevel="1"/>
    <col min="15" max="15" width="7.42578125" style="2" customWidth="1" outlineLevel="1"/>
    <col min="16" max="16" width="7.140625" style="2" customWidth="1" outlineLevel="1"/>
    <col min="17" max="17" width="1.7109375" style="2" customWidth="1" outlineLevel="1"/>
    <col min="18" max="18" width="32.85546875" style="2" bestFit="1" customWidth="1"/>
    <col min="19" max="30" width="8.28515625" style="2" customWidth="1"/>
    <col min="31" max="31" width="11.42578125" style="2" customWidth="1"/>
    <col min="32" max="16384" width="11.42578125" style="2"/>
  </cols>
  <sheetData>
    <row r="1" spans="1:30" x14ac:dyDescent="0.2">
      <c r="A1" s="1" t="s">
        <v>30</v>
      </c>
    </row>
    <row r="2" spans="1:30" x14ac:dyDescent="0.2">
      <c r="A2" s="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R2" s="2" t="s">
        <v>31</v>
      </c>
      <c r="S2" s="14">
        <v>0.21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x14ac:dyDescent="0.2">
      <c r="A3" s="1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R3" s="2" t="s">
        <v>32</v>
      </c>
      <c r="S3" s="14">
        <v>0.06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x14ac:dyDescent="0.2">
      <c r="A4" s="1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R4" s="2" t="s">
        <v>33</v>
      </c>
      <c r="S4" s="14">
        <v>0.33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x14ac:dyDescent="0.2">
      <c r="A5" s="1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R5" s="2" t="s">
        <v>34</v>
      </c>
      <c r="S5" s="14">
        <v>0.16</v>
      </c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spans="1:30" x14ac:dyDescent="0.2">
      <c r="A6" s="1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R6" s="2" t="s">
        <v>35</v>
      </c>
      <c r="S6" s="14">
        <v>0.19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8" spans="1:30" x14ac:dyDescent="0.2">
      <c r="B8" s="3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R8" s="11" t="s">
        <v>36</v>
      </c>
      <c r="S8" s="12" t="s">
        <v>4</v>
      </c>
      <c r="T8" s="12" t="s">
        <v>5</v>
      </c>
      <c r="U8" s="12" t="s">
        <v>6</v>
      </c>
      <c r="V8" s="12" t="s">
        <v>7</v>
      </c>
      <c r="W8" s="12" t="s">
        <v>8</v>
      </c>
      <c r="X8" s="12" t="s">
        <v>9</v>
      </c>
      <c r="Y8" s="12" t="s">
        <v>10</v>
      </c>
      <c r="Z8" s="12" t="s">
        <v>11</v>
      </c>
      <c r="AA8" s="12" t="s">
        <v>12</v>
      </c>
      <c r="AB8" s="12" t="s">
        <v>13</v>
      </c>
      <c r="AC8" s="12" t="s">
        <v>14</v>
      </c>
      <c r="AD8" s="12" t="s">
        <v>15</v>
      </c>
    </row>
    <row r="9" spans="1:30" x14ac:dyDescent="0.2">
      <c r="B9" s="5" t="s">
        <v>37</v>
      </c>
      <c r="C9" s="6">
        <v>-19500</v>
      </c>
      <c r="D9" s="6">
        <v>-19500</v>
      </c>
      <c r="E9" s="6">
        <v>-21000</v>
      </c>
      <c r="F9" s="6">
        <v>-21000</v>
      </c>
      <c r="G9" s="6">
        <v>-21000</v>
      </c>
      <c r="H9" s="6">
        <v>-21000</v>
      </c>
      <c r="I9" s="6">
        <v>-21000</v>
      </c>
      <c r="J9" s="6">
        <v>-21000</v>
      </c>
      <c r="K9" s="6">
        <v>-21000</v>
      </c>
      <c r="L9" s="6">
        <v>-21000</v>
      </c>
      <c r="M9" s="6">
        <v>-21000</v>
      </c>
      <c r="N9" s="6">
        <v>-21000</v>
      </c>
      <c r="O9" s="6">
        <v>-21000</v>
      </c>
      <c r="P9" s="6">
        <v>-21000</v>
      </c>
      <c r="R9" s="5" t="s">
        <v>38</v>
      </c>
      <c r="S9" s="6">
        <f>+E9*12/14*(1-SS_TRABAJADOR-RET_TRABAJO)</f>
        <v>-14039.999999999998</v>
      </c>
      <c r="T9" s="6">
        <f t="shared" ref="T9:AD9" si="0">+F9*12/14*(1-SS_TRABAJADOR-RET_TRABAJO)</f>
        <v>-14039.999999999998</v>
      </c>
      <c r="U9" s="6">
        <f t="shared" si="0"/>
        <v>-14039.999999999998</v>
      </c>
      <c r="V9" s="6">
        <f t="shared" si="0"/>
        <v>-14039.999999999998</v>
      </c>
      <c r="W9" s="6">
        <f t="shared" si="0"/>
        <v>-14039.999999999998</v>
      </c>
      <c r="X9" s="6">
        <f t="shared" si="0"/>
        <v>-14039.999999999998</v>
      </c>
      <c r="Y9" s="6">
        <f t="shared" si="0"/>
        <v>-14039.999999999998</v>
      </c>
      <c r="Z9" s="6">
        <f t="shared" si="0"/>
        <v>-14039.999999999998</v>
      </c>
      <c r="AA9" s="6">
        <f t="shared" si="0"/>
        <v>-14039.999999999998</v>
      </c>
      <c r="AB9" s="6">
        <f t="shared" si="0"/>
        <v>-14039.999999999998</v>
      </c>
      <c r="AC9" s="6">
        <f t="shared" si="0"/>
        <v>-14039.999999999998</v>
      </c>
      <c r="AD9" s="6">
        <f t="shared" si="0"/>
        <v>-14039.999999999998</v>
      </c>
    </row>
    <row r="10" spans="1:30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R10" s="5" t="s">
        <v>39</v>
      </c>
      <c r="S10" s="6"/>
      <c r="T10" s="6"/>
      <c r="U10" s="6"/>
      <c r="V10" s="6"/>
      <c r="W10" s="6"/>
      <c r="X10" s="6">
        <f>+X9</f>
        <v>-14039.999999999998</v>
      </c>
      <c r="Y10" s="6"/>
      <c r="Z10" s="6"/>
      <c r="AA10" s="6"/>
      <c r="AB10" s="6"/>
      <c r="AC10" s="6"/>
      <c r="AD10" s="6">
        <f>+AD9</f>
        <v>-14039.999999999998</v>
      </c>
    </row>
    <row r="11" spans="1:30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R11" s="5" t="s">
        <v>40</v>
      </c>
      <c r="S11" s="6">
        <f>+D9*12/14*2*RET_TRABAJO*2</f>
        <v>-10697.142857142857</v>
      </c>
      <c r="T11" s="6"/>
      <c r="U11" s="6"/>
      <c r="V11" s="6">
        <f>+E9*12/14*RET_TRABAJO+F9*12/14*RET_TRABAJO+T12/(1-SS_TRABAJADOR-RET_TRABAJO)*RET_TRABAJO+G9*12/14*RET_TRABAJO</f>
        <v>-12672</v>
      </c>
      <c r="W11" s="6"/>
      <c r="X11" s="6"/>
      <c r="Y11" s="6">
        <f>+H9*12/14*RET_TRABAJO+I9*12/14*RET_TRABAJO+J9*12/14*2*RET_TRABAJO</f>
        <v>-11520</v>
      </c>
      <c r="Z11" s="6"/>
      <c r="AA11" s="6"/>
      <c r="AB11" s="6">
        <f>+K9*12/14*RET_TRABAJO+L9*12/14*RET_TRABAJO+M9*12/14*RET_TRABAJO</f>
        <v>-8640</v>
      </c>
      <c r="AC11" s="6"/>
      <c r="AD11" s="6"/>
    </row>
    <row r="12" spans="1:30" x14ac:dyDescent="0.2">
      <c r="B12" s="5" t="s">
        <v>41</v>
      </c>
      <c r="C12" s="6">
        <v>-2000</v>
      </c>
      <c r="D12" s="6">
        <v>-2000</v>
      </c>
      <c r="E12" s="6">
        <f t="shared" ref="E12:P12" si="1">+E9*0.1</f>
        <v>-2100</v>
      </c>
      <c r="F12" s="6">
        <f t="shared" si="1"/>
        <v>-2100</v>
      </c>
      <c r="G12" s="6">
        <f t="shared" si="1"/>
        <v>-2100</v>
      </c>
      <c r="H12" s="6">
        <f t="shared" si="1"/>
        <v>-2100</v>
      </c>
      <c r="I12" s="6">
        <f t="shared" si="1"/>
        <v>-2100</v>
      </c>
      <c r="J12" s="6">
        <f t="shared" si="1"/>
        <v>-2100</v>
      </c>
      <c r="K12" s="6">
        <f t="shared" si="1"/>
        <v>-2100</v>
      </c>
      <c r="L12" s="6">
        <f t="shared" si="1"/>
        <v>-2100</v>
      </c>
      <c r="M12" s="6">
        <f t="shared" si="1"/>
        <v>-2100</v>
      </c>
      <c r="N12" s="6">
        <f t="shared" si="1"/>
        <v>-2100</v>
      </c>
      <c r="O12" s="6">
        <f t="shared" si="1"/>
        <v>-2100</v>
      </c>
      <c r="P12" s="6">
        <f t="shared" si="1"/>
        <v>-2100</v>
      </c>
      <c r="R12" s="5" t="s">
        <v>41</v>
      </c>
      <c r="S12" s="6"/>
      <c r="T12" s="6">
        <f>+C12*12*1.05*(1-SS_TRABAJADOR-RET_TRABAJO)</f>
        <v>-19655.999999999996</v>
      </c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">
      <c r="B13" s="5" t="s">
        <v>42</v>
      </c>
      <c r="C13" s="6">
        <f t="shared" ref="C13:P13" si="2">+C9*0.3</f>
        <v>-5850</v>
      </c>
      <c r="D13" s="6">
        <f t="shared" si="2"/>
        <v>-5850</v>
      </c>
      <c r="E13" s="6">
        <f t="shared" si="2"/>
        <v>-6300</v>
      </c>
      <c r="F13" s="6">
        <f t="shared" si="2"/>
        <v>-6300</v>
      </c>
      <c r="G13" s="6">
        <f t="shared" si="2"/>
        <v>-6300</v>
      </c>
      <c r="H13" s="6">
        <f t="shared" si="2"/>
        <v>-6300</v>
      </c>
      <c r="I13" s="6">
        <f t="shared" si="2"/>
        <v>-6300</v>
      </c>
      <c r="J13" s="6">
        <f t="shared" si="2"/>
        <v>-6300</v>
      </c>
      <c r="K13" s="6">
        <f t="shared" si="2"/>
        <v>-6300</v>
      </c>
      <c r="L13" s="6">
        <f t="shared" si="2"/>
        <v>-6300</v>
      </c>
      <c r="M13" s="6">
        <f t="shared" si="2"/>
        <v>-6300</v>
      </c>
      <c r="N13" s="6">
        <f t="shared" si="2"/>
        <v>-6300</v>
      </c>
      <c r="O13" s="6">
        <f t="shared" si="2"/>
        <v>-6300</v>
      </c>
      <c r="P13" s="6">
        <f t="shared" si="2"/>
        <v>-6300</v>
      </c>
      <c r="R13" s="5" t="s">
        <v>43</v>
      </c>
      <c r="S13" s="6">
        <f>+D9*SS_TRABAJADOR+D13</f>
        <v>-7020</v>
      </c>
      <c r="T13" s="6">
        <f>+E9*SS_TRABAJADOR+E13</f>
        <v>-7560</v>
      </c>
      <c r="U13" s="6">
        <f>+F9*SS_TRABAJADOR+F13+T12/(1-SS_TRABAJADOR-RET_TRABAJO)*39%</f>
        <v>-17388</v>
      </c>
      <c r="V13" s="6">
        <f t="shared" ref="V13:AD13" si="3">+G9*SS_TRABAJADOR+G13</f>
        <v>-7560</v>
      </c>
      <c r="W13" s="6">
        <f t="shared" si="3"/>
        <v>-7560</v>
      </c>
      <c r="X13" s="6">
        <f t="shared" si="3"/>
        <v>-7560</v>
      </c>
      <c r="Y13" s="6">
        <f t="shared" si="3"/>
        <v>-7560</v>
      </c>
      <c r="Z13" s="6">
        <f t="shared" si="3"/>
        <v>-7560</v>
      </c>
      <c r="AA13" s="6">
        <f t="shared" si="3"/>
        <v>-7560</v>
      </c>
      <c r="AB13" s="6">
        <f t="shared" si="3"/>
        <v>-7560</v>
      </c>
      <c r="AC13" s="6">
        <f t="shared" si="3"/>
        <v>-7560</v>
      </c>
      <c r="AD13" s="6">
        <f t="shared" si="3"/>
        <v>-7560</v>
      </c>
    </row>
    <row r="14" spans="1:30" s="8" customFormat="1" x14ac:dyDescent="0.2">
      <c r="B14" s="15" t="s">
        <v>44</v>
      </c>
      <c r="C14" s="16">
        <f t="shared" ref="C14:P14" si="4">SUM(C9:C13)</f>
        <v>-27350</v>
      </c>
      <c r="D14" s="16">
        <f t="shared" si="4"/>
        <v>-27350</v>
      </c>
      <c r="E14" s="16">
        <f t="shared" si="4"/>
        <v>-29400</v>
      </c>
      <c r="F14" s="16">
        <f t="shared" si="4"/>
        <v>-29400</v>
      </c>
      <c r="G14" s="16">
        <f t="shared" si="4"/>
        <v>-29400</v>
      </c>
      <c r="H14" s="16">
        <f t="shared" si="4"/>
        <v>-29400</v>
      </c>
      <c r="I14" s="16">
        <f t="shared" si="4"/>
        <v>-29400</v>
      </c>
      <c r="J14" s="16">
        <f t="shared" si="4"/>
        <v>-29400</v>
      </c>
      <c r="K14" s="10">
        <f t="shared" si="4"/>
        <v>-29400</v>
      </c>
      <c r="L14" s="10">
        <f t="shared" si="4"/>
        <v>-29400</v>
      </c>
      <c r="M14" s="10">
        <f t="shared" si="4"/>
        <v>-29400</v>
      </c>
      <c r="N14" s="10">
        <f t="shared" si="4"/>
        <v>-29400</v>
      </c>
      <c r="O14" s="10">
        <f t="shared" si="4"/>
        <v>-29400</v>
      </c>
      <c r="P14" s="10">
        <f t="shared" si="4"/>
        <v>-29400</v>
      </c>
      <c r="R14" s="17" t="s">
        <v>44</v>
      </c>
      <c r="S14" s="18">
        <f t="shared" ref="S14:AD14" si="5">SUM(S9:S13)</f>
        <v>-31757.142857142855</v>
      </c>
      <c r="T14" s="18">
        <f t="shared" si="5"/>
        <v>-41255.999999999993</v>
      </c>
      <c r="U14" s="18">
        <f t="shared" si="5"/>
        <v>-31428</v>
      </c>
      <c r="V14" s="18">
        <f t="shared" si="5"/>
        <v>-34272</v>
      </c>
      <c r="W14" s="18">
        <f t="shared" si="5"/>
        <v>-21600</v>
      </c>
      <c r="X14" s="18">
        <f t="shared" si="5"/>
        <v>-35640</v>
      </c>
      <c r="Y14" s="18">
        <f t="shared" si="5"/>
        <v>-33120</v>
      </c>
      <c r="Z14" s="18">
        <f t="shared" si="5"/>
        <v>-21600</v>
      </c>
      <c r="AA14" s="18">
        <f t="shared" si="5"/>
        <v>-21600</v>
      </c>
      <c r="AB14" s="18">
        <f t="shared" si="5"/>
        <v>-30240</v>
      </c>
      <c r="AC14" s="18">
        <f t="shared" si="5"/>
        <v>-21600</v>
      </c>
      <c r="AD14" s="18">
        <f t="shared" si="5"/>
        <v>-35640</v>
      </c>
    </row>
    <row r="15" spans="1:30" s="8" customFormat="1" x14ac:dyDescent="0.2">
      <c r="B15" s="5" t="s">
        <v>45</v>
      </c>
      <c r="C15" s="6">
        <v>-5000</v>
      </c>
      <c r="D15" s="6">
        <v>-5000</v>
      </c>
      <c r="E15" s="6">
        <v>-21000</v>
      </c>
      <c r="F15" s="6">
        <v>-7000</v>
      </c>
      <c r="G15" s="6">
        <v>-8000</v>
      </c>
      <c r="H15" s="6">
        <v>-10000</v>
      </c>
      <c r="I15" s="6">
        <v>-11000</v>
      </c>
      <c r="J15" s="6">
        <v>-12000</v>
      </c>
      <c r="K15" s="6">
        <v>-11000</v>
      </c>
      <c r="L15" s="6">
        <v>-12000</v>
      </c>
      <c r="M15" s="6">
        <v>-13000</v>
      </c>
      <c r="N15" s="6">
        <v>-10000</v>
      </c>
      <c r="O15" s="6">
        <v>-11000</v>
      </c>
      <c r="P15" s="6">
        <v>-12000</v>
      </c>
      <c r="R15" s="5" t="s">
        <v>45</v>
      </c>
      <c r="S15" s="6">
        <f t="shared" ref="S15:AD15" si="6">E15*(1+IVA)</f>
        <v>-25410</v>
      </c>
      <c r="T15" s="6">
        <f t="shared" si="6"/>
        <v>-8470</v>
      </c>
      <c r="U15" s="6">
        <f t="shared" si="6"/>
        <v>-9680</v>
      </c>
      <c r="V15" s="6">
        <f t="shared" si="6"/>
        <v>-12100</v>
      </c>
      <c r="W15" s="6">
        <f t="shared" si="6"/>
        <v>-13310</v>
      </c>
      <c r="X15" s="6">
        <f t="shared" si="6"/>
        <v>-14520</v>
      </c>
      <c r="Y15" s="6">
        <f t="shared" si="6"/>
        <v>-13310</v>
      </c>
      <c r="Z15" s="6">
        <f t="shared" si="6"/>
        <v>-14520</v>
      </c>
      <c r="AA15" s="6">
        <f t="shared" si="6"/>
        <v>-15730</v>
      </c>
      <c r="AB15" s="6">
        <f t="shared" si="6"/>
        <v>-12100</v>
      </c>
      <c r="AC15" s="6">
        <f t="shared" si="6"/>
        <v>-13310</v>
      </c>
      <c r="AD15" s="6">
        <f t="shared" si="6"/>
        <v>-14520</v>
      </c>
    </row>
    <row r="16" spans="1:30" s="8" customFormat="1" x14ac:dyDescent="0.2">
      <c r="B16" s="5" t="s">
        <v>46</v>
      </c>
      <c r="C16" s="6">
        <v>-18000</v>
      </c>
      <c r="D16" s="6">
        <v>-24000</v>
      </c>
      <c r="E16" s="6">
        <v>-34000</v>
      </c>
      <c r="F16" s="6">
        <v>-7500</v>
      </c>
      <c r="G16" s="6">
        <v>-9500</v>
      </c>
      <c r="H16" s="6">
        <v>-19000</v>
      </c>
      <c r="I16" s="6">
        <v>-17000</v>
      </c>
      <c r="J16" s="6">
        <v>-17500</v>
      </c>
      <c r="K16" s="6">
        <v>-17000</v>
      </c>
      <c r="L16" s="6">
        <v>-17500</v>
      </c>
      <c r="M16" s="6">
        <v>-18000</v>
      </c>
      <c r="N16" s="6">
        <v>-19000</v>
      </c>
      <c r="O16" s="6">
        <v>-17000</v>
      </c>
      <c r="P16" s="6">
        <v>-17500</v>
      </c>
      <c r="R16" s="5" t="s">
        <v>46</v>
      </c>
      <c r="S16" s="6">
        <f t="shared" ref="S16:AD16" si="7">+D16*(1+IVA)</f>
        <v>-29040</v>
      </c>
      <c r="T16" s="6">
        <f t="shared" si="7"/>
        <v>-41140</v>
      </c>
      <c r="U16" s="6">
        <f t="shared" si="7"/>
        <v>-9075</v>
      </c>
      <c r="V16" s="6">
        <f t="shared" si="7"/>
        <v>-11495</v>
      </c>
      <c r="W16" s="6">
        <f t="shared" si="7"/>
        <v>-22990</v>
      </c>
      <c r="X16" s="6">
        <f t="shared" si="7"/>
        <v>-20570</v>
      </c>
      <c r="Y16" s="6">
        <f t="shared" si="7"/>
        <v>-21175</v>
      </c>
      <c r="Z16" s="6">
        <f t="shared" si="7"/>
        <v>-20570</v>
      </c>
      <c r="AA16" s="6">
        <f t="shared" si="7"/>
        <v>-21175</v>
      </c>
      <c r="AB16" s="6">
        <f t="shared" si="7"/>
        <v>-21780</v>
      </c>
      <c r="AC16" s="6">
        <f t="shared" si="7"/>
        <v>-22990</v>
      </c>
      <c r="AD16" s="6">
        <f t="shared" si="7"/>
        <v>-20570</v>
      </c>
    </row>
    <row r="17" spans="2:30" s="8" customFormat="1" x14ac:dyDescent="0.2">
      <c r="B17" s="5" t="s">
        <v>47</v>
      </c>
      <c r="C17" s="6">
        <v>-13000</v>
      </c>
      <c r="D17" s="6">
        <v>-4000</v>
      </c>
      <c r="E17" s="6">
        <v>-4500</v>
      </c>
      <c r="F17" s="6">
        <v>-3000</v>
      </c>
      <c r="G17" s="6">
        <v>-5000</v>
      </c>
      <c r="H17" s="6">
        <v>-4000</v>
      </c>
      <c r="I17" s="6">
        <v>-4500</v>
      </c>
      <c r="J17" s="6">
        <v>-3000</v>
      </c>
      <c r="K17" s="6">
        <v>-4500</v>
      </c>
      <c r="L17" s="6">
        <v>-3000</v>
      </c>
      <c r="M17" s="6">
        <v>-5000</v>
      </c>
      <c r="N17" s="6">
        <v>-4000</v>
      </c>
      <c r="O17" s="6">
        <v>-4500</v>
      </c>
      <c r="P17" s="6">
        <v>-3000</v>
      </c>
      <c r="R17" s="5" t="s">
        <v>47</v>
      </c>
      <c r="S17" s="6">
        <f t="shared" ref="S17:AD17" si="8">+C17*(1+IVA)</f>
        <v>-15730</v>
      </c>
      <c r="T17" s="6">
        <f t="shared" si="8"/>
        <v>-4840</v>
      </c>
      <c r="U17" s="6">
        <f t="shared" si="8"/>
        <v>-5445</v>
      </c>
      <c r="V17" s="6">
        <f t="shared" si="8"/>
        <v>-3630</v>
      </c>
      <c r="W17" s="6">
        <f t="shared" si="8"/>
        <v>-6050</v>
      </c>
      <c r="X17" s="6">
        <f t="shared" si="8"/>
        <v>-4840</v>
      </c>
      <c r="Y17" s="6">
        <f t="shared" si="8"/>
        <v>-5445</v>
      </c>
      <c r="Z17" s="6">
        <f t="shared" si="8"/>
        <v>-3630</v>
      </c>
      <c r="AA17" s="6">
        <f t="shared" si="8"/>
        <v>-5445</v>
      </c>
      <c r="AB17" s="6">
        <f t="shared" si="8"/>
        <v>-3630</v>
      </c>
      <c r="AC17" s="6">
        <f t="shared" si="8"/>
        <v>-6050</v>
      </c>
      <c r="AD17" s="6">
        <f t="shared" si="8"/>
        <v>-4840</v>
      </c>
    </row>
    <row r="18" spans="2:30" x14ac:dyDescent="0.2">
      <c r="B18" s="15" t="s">
        <v>48</v>
      </c>
      <c r="C18" s="16">
        <f t="shared" ref="C18:P18" si="9">SUM(C15:C17)</f>
        <v>-36000</v>
      </c>
      <c r="D18" s="16">
        <f t="shared" si="9"/>
        <v>-33000</v>
      </c>
      <c r="E18" s="16">
        <f t="shared" si="9"/>
        <v>-59500</v>
      </c>
      <c r="F18" s="16">
        <f t="shared" si="9"/>
        <v>-17500</v>
      </c>
      <c r="G18" s="16">
        <f t="shared" si="9"/>
        <v>-22500</v>
      </c>
      <c r="H18" s="16">
        <f t="shared" si="9"/>
        <v>-33000</v>
      </c>
      <c r="I18" s="16">
        <f t="shared" si="9"/>
        <v>-32500</v>
      </c>
      <c r="J18" s="16">
        <f t="shared" si="9"/>
        <v>-32500</v>
      </c>
      <c r="K18" s="10">
        <f t="shared" si="9"/>
        <v>-32500</v>
      </c>
      <c r="L18" s="10">
        <f t="shared" si="9"/>
        <v>-32500</v>
      </c>
      <c r="M18" s="10">
        <f t="shared" si="9"/>
        <v>-36000</v>
      </c>
      <c r="N18" s="10">
        <f t="shared" si="9"/>
        <v>-33000</v>
      </c>
      <c r="O18" s="10">
        <f t="shared" si="9"/>
        <v>-32500</v>
      </c>
      <c r="P18" s="10">
        <f t="shared" si="9"/>
        <v>-32500</v>
      </c>
      <c r="R18" s="17" t="s">
        <v>48</v>
      </c>
      <c r="S18" s="18">
        <f t="shared" ref="S18:AD18" si="10">SUM(S15:S17)</f>
        <v>-70180</v>
      </c>
      <c r="T18" s="18">
        <f t="shared" si="10"/>
        <v>-54450</v>
      </c>
      <c r="U18" s="18">
        <f t="shared" si="10"/>
        <v>-24200</v>
      </c>
      <c r="V18" s="18">
        <f t="shared" si="10"/>
        <v>-27225</v>
      </c>
      <c r="W18" s="18">
        <f t="shared" si="10"/>
        <v>-42350</v>
      </c>
      <c r="X18" s="18">
        <f t="shared" si="10"/>
        <v>-39930</v>
      </c>
      <c r="Y18" s="18">
        <f t="shared" si="10"/>
        <v>-39930</v>
      </c>
      <c r="Z18" s="18">
        <f t="shared" si="10"/>
        <v>-38720</v>
      </c>
      <c r="AA18" s="18">
        <f t="shared" si="10"/>
        <v>-42350</v>
      </c>
      <c r="AB18" s="18">
        <f t="shared" si="10"/>
        <v>-37510</v>
      </c>
      <c r="AC18" s="18">
        <f t="shared" si="10"/>
        <v>-42350</v>
      </c>
      <c r="AD18" s="18">
        <f t="shared" si="10"/>
        <v>-39930</v>
      </c>
    </row>
    <row r="19" spans="2:30" x14ac:dyDescent="0.2">
      <c r="B19" s="5" t="s">
        <v>49</v>
      </c>
      <c r="C19" s="6">
        <v>-1450</v>
      </c>
      <c r="D19" s="6">
        <v>-1450</v>
      </c>
      <c r="E19" s="6">
        <v>-1500</v>
      </c>
      <c r="F19" s="6">
        <v>-1500</v>
      </c>
      <c r="G19" s="6">
        <v>-1500</v>
      </c>
      <c r="H19" s="6">
        <v>-1500</v>
      </c>
      <c r="I19" s="6">
        <v>-1500</v>
      </c>
      <c r="J19" s="6">
        <v>-1500</v>
      </c>
      <c r="K19" s="6">
        <v>-1500</v>
      </c>
      <c r="L19" s="6">
        <v>-1500</v>
      </c>
      <c r="M19" s="6">
        <v>-1500</v>
      </c>
      <c r="N19" s="6">
        <v>-1500</v>
      </c>
      <c r="O19" s="6">
        <v>-1500</v>
      </c>
      <c r="P19" s="6">
        <v>-1500</v>
      </c>
      <c r="R19" s="5" t="s">
        <v>49</v>
      </c>
      <c r="S19" s="6">
        <f t="shared" ref="S19:AD20" si="11">+E19*(1+IVA-RETENCIÓN)</f>
        <v>-1530</v>
      </c>
      <c r="T19" s="6">
        <f t="shared" si="11"/>
        <v>-1530</v>
      </c>
      <c r="U19" s="6">
        <f t="shared" si="11"/>
        <v>-1530</v>
      </c>
      <c r="V19" s="6">
        <f t="shared" si="11"/>
        <v>-1530</v>
      </c>
      <c r="W19" s="6">
        <f t="shared" si="11"/>
        <v>-1530</v>
      </c>
      <c r="X19" s="6">
        <f t="shared" si="11"/>
        <v>-1530</v>
      </c>
      <c r="Y19" s="6">
        <f t="shared" si="11"/>
        <v>-1530</v>
      </c>
      <c r="Z19" s="6">
        <f t="shared" si="11"/>
        <v>-1530</v>
      </c>
      <c r="AA19" s="6">
        <f t="shared" si="11"/>
        <v>-1530</v>
      </c>
      <c r="AB19" s="6">
        <f t="shared" si="11"/>
        <v>-1530</v>
      </c>
      <c r="AC19" s="6">
        <f t="shared" si="11"/>
        <v>-1530</v>
      </c>
      <c r="AD19" s="6">
        <f t="shared" si="11"/>
        <v>-1530</v>
      </c>
    </row>
    <row r="20" spans="2:30" x14ac:dyDescent="0.2">
      <c r="B20" s="5" t="s">
        <v>50</v>
      </c>
      <c r="C20" s="6">
        <v>-800</v>
      </c>
      <c r="D20" s="6">
        <v>-800</v>
      </c>
      <c r="E20" s="6">
        <v>-1000</v>
      </c>
      <c r="F20" s="6">
        <v>-800</v>
      </c>
      <c r="G20" s="6">
        <v>-800</v>
      </c>
      <c r="H20" s="6">
        <v>-1000</v>
      </c>
      <c r="I20" s="6">
        <v>-800</v>
      </c>
      <c r="J20" s="6">
        <v>-800</v>
      </c>
      <c r="K20" s="6">
        <v>-1000</v>
      </c>
      <c r="L20" s="6">
        <v>-800</v>
      </c>
      <c r="M20" s="6">
        <v>-800</v>
      </c>
      <c r="N20" s="6">
        <v>-1000</v>
      </c>
      <c r="O20" s="6">
        <v>-800</v>
      </c>
      <c r="P20" s="6">
        <v>-800</v>
      </c>
      <c r="R20" s="5" t="s">
        <v>50</v>
      </c>
      <c r="S20" s="6">
        <f t="shared" si="11"/>
        <v>-1020</v>
      </c>
      <c r="T20" s="6">
        <f t="shared" si="11"/>
        <v>-816</v>
      </c>
      <c r="U20" s="6">
        <f t="shared" si="11"/>
        <v>-816</v>
      </c>
      <c r="V20" s="6">
        <f t="shared" si="11"/>
        <v>-1020</v>
      </c>
      <c r="W20" s="6">
        <f t="shared" si="11"/>
        <v>-816</v>
      </c>
      <c r="X20" s="6">
        <f t="shared" si="11"/>
        <v>-816</v>
      </c>
      <c r="Y20" s="6">
        <f t="shared" si="11"/>
        <v>-1020</v>
      </c>
      <c r="Z20" s="6">
        <f t="shared" si="11"/>
        <v>-816</v>
      </c>
      <c r="AA20" s="6">
        <f t="shared" si="11"/>
        <v>-816</v>
      </c>
      <c r="AB20" s="6">
        <f t="shared" si="11"/>
        <v>-1020</v>
      </c>
      <c r="AC20" s="6">
        <f t="shared" si="11"/>
        <v>-816</v>
      </c>
      <c r="AD20" s="6">
        <f t="shared" si="11"/>
        <v>-816</v>
      </c>
    </row>
    <row r="21" spans="2:30" x14ac:dyDescent="0.2">
      <c r="B21" s="5" t="s">
        <v>51</v>
      </c>
      <c r="C21" s="6">
        <v>-450</v>
      </c>
      <c r="D21" s="6">
        <v>-450</v>
      </c>
      <c r="E21" s="6">
        <v>-450</v>
      </c>
      <c r="F21" s="6">
        <v>-450</v>
      </c>
      <c r="G21" s="6">
        <v>-450</v>
      </c>
      <c r="H21" s="6">
        <v>-450</v>
      </c>
      <c r="I21" s="6">
        <v>-450</v>
      </c>
      <c r="J21" s="6">
        <v>-450</v>
      </c>
      <c r="K21" s="6">
        <v>-450</v>
      </c>
      <c r="L21" s="6">
        <v>-450</v>
      </c>
      <c r="M21" s="6">
        <v>-450</v>
      </c>
      <c r="N21" s="6">
        <v>-450</v>
      </c>
      <c r="O21" s="6">
        <v>-450</v>
      </c>
      <c r="P21" s="6">
        <v>-450</v>
      </c>
      <c r="R21" s="5" t="s">
        <v>51</v>
      </c>
      <c r="S21" s="6">
        <f t="shared" ref="S21:AD21" si="12">+E21*(1+IVA)</f>
        <v>-544.5</v>
      </c>
      <c r="T21" s="6">
        <f t="shared" si="12"/>
        <v>-544.5</v>
      </c>
      <c r="U21" s="6">
        <f t="shared" si="12"/>
        <v>-544.5</v>
      </c>
      <c r="V21" s="6">
        <f t="shared" si="12"/>
        <v>-544.5</v>
      </c>
      <c r="W21" s="6">
        <f t="shared" si="12"/>
        <v>-544.5</v>
      </c>
      <c r="X21" s="6">
        <f t="shared" si="12"/>
        <v>-544.5</v>
      </c>
      <c r="Y21" s="6">
        <f t="shared" si="12"/>
        <v>-544.5</v>
      </c>
      <c r="Z21" s="6">
        <f t="shared" si="12"/>
        <v>-544.5</v>
      </c>
      <c r="AA21" s="6">
        <f t="shared" si="12"/>
        <v>-544.5</v>
      </c>
      <c r="AB21" s="6">
        <f t="shared" si="12"/>
        <v>-544.5</v>
      </c>
      <c r="AC21" s="6">
        <f t="shared" si="12"/>
        <v>-544.5</v>
      </c>
      <c r="AD21" s="6">
        <f t="shared" si="12"/>
        <v>-544.5</v>
      </c>
    </row>
    <row r="22" spans="2:30" x14ac:dyDescent="0.2">
      <c r="B22" s="5" t="s">
        <v>52</v>
      </c>
      <c r="C22" s="6">
        <v>-500</v>
      </c>
      <c r="D22" s="6">
        <v>-500</v>
      </c>
      <c r="E22" s="6">
        <v>-500</v>
      </c>
      <c r="F22" s="6">
        <v>-500</v>
      </c>
      <c r="G22" s="6">
        <v>-500</v>
      </c>
      <c r="H22" s="6">
        <v>-500</v>
      </c>
      <c r="I22" s="6">
        <v>-500</v>
      </c>
      <c r="J22" s="6">
        <v>-500</v>
      </c>
      <c r="K22" s="6">
        <v>-500</v>
      </c>
      <c r="L22" s="6">
        <v>-500</v>
      </c>
      <c r="M22" s="6">
        <v>-500</v>
      </c>
      <c r="N22" s="6">
        <v>-500</v>
      </c>
      <c r="O22" s="6">
        <v>-500</v>
      </c>
      <c r="P22" s="6">
        <v>-500</v>
      </c>
      <c r="R22" s="5" t="s">
        <v>52</v>
      </c>
      <c r="S22" s="6"/>
      <c r="T22" s="6"/>
      <c r="U22" s="6"/>
      <c r="V22" s="6">
        <v>-6000</v>
      </c>
      <c r="W22" s="6"/>
      <c r="X22" s="6"/>
      <c r="Y22" s="6"/>
      <c r="Z22" s="6"/>
      <c r="AA22" s="6"/>
      <c r="AB22" s="6"/>
      <c r="AC22" s="6"/>
      <c r="AD22" s="6"/>
    </row>
    <row r="23" spans="2:30" x14ac:dyDescent="0.2">
      <c r="B23" s="5" t="s">
        <v>53</v>
      </c>
      <c r="C23" s="6">
        <v>-1000</v>
      </c>
      <c r="D23" s="6">
        <v>-1000</v>
      </c>
      <c r="E23" s="6">
        <v>-1000</v>
      </c>
      <c r="F23" s="6">
        <v>-1000</v>
      </c>
      <c r="G23" s="6">
        <v>-1000</v>
      </c>
      <c r="H23" s="6">
        <v>-1000</v>
      </c>
      <c r="I23" s="6">
        <v>-1000</v>
      </c>
      <c r="J23" s="6">
        <v>-1000</v>
      </c>
      <c r="K23" s="6">
        <v>-1000</v>
      </c>
      <c r="L23" s="6">
        <v>-1000</v>
      </c>
      <c r="M23" s="6">
        <v>-1000</v>
      </c>
      <c r="N23" s="6">
        <v>-1000</v>
      </c>
      <c r="O23" s="6">
        <v>-1000</v>
      </c>
      <c r="P23" s="6">
        <v>-1000</v>
      </c>
      <c r="R23" s="5" t="s">
        <v>53</v>
      </c>
      <c r="S23" s="6">
        <f>-500*(1+IVA)</f>
        <v>-605</v>
      </c>
      <c r="T23" s="6">
        <f>-500*(1+IVA)</f>
        <v>-605</v>
      </c>
      <c r="U23" s="6">
        <f>-2000*(1+IVA)</f>
        <v>-2420</v>
      </c>
      <c r="V23" s="6">
        <f>-500*(1+IVA)</f>
        <v>-605</v>
      </c>
      <c r="W23" s="6">
        <f>-500*(1+IVA)</f>
        <v>-605</v>
      </c>
      <c r="X23" s="6">
        <f>-2000*(1+IVA)</f>
        <v>-2420</v>
      </c>
      <c r="Y23" s="6">
        <f>-500*(1+IVA)</f>
        <v>-605</v>
      </c>
      <c r="Z23" s="6">
        <f>-500*(1+IVA)</f>
        <v>-605</v>
      </c>
      <c r="AA23" s="6">
        <f>-2000*(1+IVA)</f>
        <v>-2420</v>
      </c>
      <c r="AB23" s="6">
        <f>-500*(1+IVA)</f>
        <v>-605</v>
      </c>
      <c r="AC23" s="6">
        <f>-500*(1+IVA)</f>
        <v>-605</v>
      </c>
      <c r="AD23" s="6">
        <f>-2000*(1+IVA)</f>
        <v>-2420</v>
      </c>
    </row>
    <row r="24" spans="2:30" x14ac:dyDescent="0.2">
      <c r="B24" s="5" t="s">
        <v>54</v>
      </c>
      <c r="C24" s="6">
        <v>-2500</v>
      </c>
      <c r="D24" s="6">
        <v>-2500</v>
      </c>
      <c r="E24" s="6">
        <v>-2600</v>
      </c>
      <c r="F24" s="6">
        <v>-2600</v>
      </c>
      <c r="G24" s="6">
        <v>-2600</v>
      </c>
      <c r="H24" s="6">
        <v>-2600</v>
      </c>
      <c r="I24" s="6">
        <v>-2600</v>
      </c>
      <c r="J24" s="6">
        <v>-2600</v>
      </c>
      <c r="K24" s="6">
        <v>-2600</v>
      </c>
      <c r="L24" s="6">
        <v>-2600</v>
      </c>
      <c r="M24" s="6">
        <v>-2600</v>
      </c>
      <c r="N24" s="6">
        <v>-2600</v>
      </c>
      <c r="O24" s="6">
        <v>-2600</v>
      </c>
      <c r="P24" s="6">
        <v>-2600</v>
      </c>
      <c r="R24" s="5" t="s">
        <v>54</v>
      </c>
      <c r="S24" s="6">
        <f t="shared" ref="S24:AD24" si="13">+E24*(1+IVA)</f>
        <v>-3146</v>
      </c>
      <c r="T24" s="6">
        <f t="shared" si="13"/>
        <v>-3146</v>
      </c>
      <c r="U24" s="6">
        <f t="shared" si="13"/>
        <v>-3146</v>
      </c>
      <c r="V24" s="6">
        <f t="shared" si="13"/>
        <v>-3146</v>
      </c>
      <c r="W24" s="6">
        <f t="shared" si="13"/>
        <v>-3146</v>
      </c>
      <c r="X24" s="6">
        <f t="shared" si="13"/>
        <v>-3146</v>
      </c>
      <c r="Y24" s="6">
        <f t="shared" si="13"/>
        <v>-3146</v>
      </c>
      <c r="Z24" s="6">
        <f t="shared" si="13"/>
        <v>-3146</v>
      </c>
      <c r="AA24" s="6">
        <f t="shared" si="13"/>
        <v>-3146</v>
      </c>
      <c r="AB24" s="6">
        <f t="shared" si="13"/>
        <v>-3146</v>
      </c>
      <c r="AC24" s="6">
        <f t="shared" si="13"/>
        <v>-3146</v>
      </c>
      <c r="AD24" s="6">
        <f t="shared" si="13"/>
        <v>-3146</v>
      </c>
    </row>
    <row r="25" spans="2:30" x14ac:dyDescent="0.2">
      <c r="B25" s="15" t="s">
        <v>55</v>
      </c>
      <c r="C25" s="16">
        <f t="shared" ref="C25:P25" si="14">SUM(C19:C24)</f>
        <v>-6700</v>
      </c>
      <c r="D25" s="16">
        <f t="shared" si="14"/>
        <v>-6700</v>
      </c>
      <c r="E25" s="16">
        <f t="shared" si="14"/>
        <v>-7050</v>
      </c>
      <c r="F25" s="16">
        <f t="shared" si="14"/>
        <v>-6850</v>
      </c>
      <c r="G25" s="16">
        <f t="shared" si="14"/>
        <v>-6850</v>
      </c>
      <c r="H25" s="16">
        <f t="shared" si="14"/>
        <v>-7050</v>
      </c>
      <c r="I25" s="16">
        <f t="shared" si="14"/>
        <v>-6850</v>
      </c>
      <c r="J25" s="16">
        <f t="shared" si="14"/>
        <v>-6850</v>
      </c>
      <c r="K25" s="10">
        <f t="shared" si="14"/>
        <v>-7050</v>
      </c>
      <c r="L25" s="10">
        <f t="shared" si="14"/>
        <v>-6850</v>
      </c>
      <c r="M25" s="10">
        <f t="shared" si="14"/>
        <v>-6850</v>
      </c>
      <c r="N25" s="10">
        <f t="shared" si="14"/>
        <v>-7050</v>
      </c>
      <c r="O25" s="10">
        <f t="shared" si="14"/>
        <v>-6850</v>
      </c>
      <c r="P25" s="10">
        <f t="shared" si="14"/>
        <v>-6850</v>
      </c>
      <c r="R25" s="17" t="s">
        <v>55</v>
      </c>
      <c r="S25" s="18">
        <f t="shared" ref="S25:AD25" si="15">SUM(S19:S24)</f>
        <v>-6845.5</v>
      </c>
      <c r="T25" s="18">
        <f t="shared" si="15"/>
        <v>-6641.5</v>
      </c>
      <c r="U25" s="18">
        <f t="shared" si="15"/>
        <v>-8456.5</v>
      </c>
      <c r="V25" s="18">
        <f t="shared" si="15"/>
        <v>-12845.5</v>
      </c>
      <c r="W25" s="18">
        <f t="shared" si="15"/>
        <v>-6641.5</v>
      </c>
      <c r="X25" s="18">
        <f t="shared" si="15"/>
        <v>-8456.5</v>
      </c>
      <c r="Y25" s="18">
        <f t="shared" si="15"/>
        <v>-6845.5</v>
      </c>
      <c r="Z25" s="18">
        <f t="shared" si="15"/>
        <v>-6641.5</v>
      </c>
      <c r="AA25" s="18">
        <f t="shared" si="15"/>
        <v>-8456.5</v>
      </c>
      <c r="AB25" s="18">
        <f t="shared" si="15"/>
        <v>-6845.5</v>
      </c>
      <c r="AC25" s="18">
        <f t="shared" si="15"/>
        <v>-6641.5</v>
      </c>
      <c r="AD25" s="18">
        <f t="shared" si="15"/>
        <v>-8456.5</v>
      </c>
    </row>
    <row r="26" spans="2:30" x14ac:dyDescent="0.2">
      <c r="B26" s="5" t="s">
        <v>56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R26" s="5" t="s">
        <v>56</v>
      </c>
      <c r="S26" s="6">
        <v>-65000</v>
      </c>
      <c r="T26" s="6"/>
      <c r="U26" s="6"/>
      <c r="V26" s="6">
        <v>-76000</v>
      </c>
      <c r="W26" s="6"/>
      <c r="X26" s="6"/>
      <c r="Y26" s="6">
        <v>-65000</v>
      </c>
      <c r="Z26" s="6"/>
      <c r="AA26" s="6"/>
      <c r="AB26" s="6">
        <v>-76000</v>
      </c>
      <c r="AC26" s="6"/>
      <c r="AD26" s="6"/>
    </row>
    <row r="27" spans="2:30" x14ac:dyDescent="0.2">
      <c r="B27" s="5" t="s">
        <v>57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R27" s="5" t="s">
        <v>58</v>
      </c>
      <c r="S27" s="6">
        <v>-1300</v>
      </c>
      <c r="T27" s="6"/>
      <c r="U27" s="6"/>
      <c r="V27" s="6">
        <v>-1350</v>
      </c>
      <c r="W27" s="6"/>
      <c r="X27" s="6"/>
      <c r="Y27" s="6">
        <v>-1300</v>
      </c>
      <c r="Z27" s="6"/>
      <c r="AA27" s="6"/>
      <c r="AB27" s="6">
        <v>-1350</v>
      </c>
      <c r="AC27" s="6"/>
      <c r="AD27" s="6"/>
    </row>
    <row r="28" spans="2:30" x14ac:dyDescent="0.2">
      <c r="B28" s="5" t="s">
        <v>59</v>
      </c>
      <c r="C28" s="6">
        <v>-22620</v>
      </c>
      <c r="D28" s="6">
        <v>-7220</v>
      </c>
      <c r="E28" s="6">
        <v>-19870</v>
      </c>
      <c r="F28" s="6">
        <v>-8910</v>
      </c>
      <c r="G28" s="6">
        <v>-25210</v>
      </c>
      <c r="H28" s="6">
        <v>-10770</v>
      </c>
      <c r="I28" s="6">
        <v>-22910</v>
      </c>
      <c r="J28" s="6">
        <v>-6910</v>
      </c>
      <c r="K28" s="6">
        <v>-19870</v>
      </c>
      <c r="L28" s="6">
        <v>-8910</v>
      </c>
      <c r="M28" s="6">
        <v>-25210</v>
      </c>
      <c r="N28" s="6">
        <v>-10770</v>
      </c>
      <c r="O28" s="6">
        <v>-22910</v>
      </c>
      <c r="P28" s="6">
        <v>-6910</v>
      </c>
      <c r="R28" s="5" t="s">
        <v>59</v>
      </c>
      <c r="S28" s="6"/>
      <c r="T28" s="6"/>
      <c r="U28" s="6"/>
      <c r="V28" s="6">
        <v>-40000</v>
      </c>
      <c r="W28" s="6"/>
      <c r="X28" s="6"/>
      <c r="Y28" s="6">
        <v>-30000</v>
      </c>
      <c r="Z28" s="6"/>
      <c r="AA28" s="6"/>
      <c r="AB28" s="6">
        <v>-80000</v>
      </c>
      <c r="AC28" s="6"/>
      <c r="AD28" s="6">
        <v>-50000</v>
      </c>
    </row>
    <row r="29" spans="2:30" x14ac:dyDescent="0.2">
      <c r="B29" s="5" t="s">
        <v>60</v>
      </c>
      <c r="C29" s="6">
        <v>-500</v>
      </c>
      <c r="D29" s="6">
        <v>-500</v>
      </c>
      <c r="E29" s="6">
        <v>-500</v>
      </c>
      <c r="F29" s="6">
        <v>-500</v>
      </c>
      <c r="G29" s="6">
        <v>-500</v>
      </c>
      <c r="H29" s="6">
        <v>-500</v>
      </c>
      <c r="I29" s="6">
        <v>-500</v>
      </c>
      <c r="J29" s="6">
        <v>-500</v>
      </c>
      <c r="K29" s="6">
        <v>-500</v>
      </c>
      <c r="L29" s="6">
        <v>-500</v>
      </c>
      <c r="M29" s="6">
        <v>-500</v>
      </c>
      <c r="N29" s="6">
        <v>-500</v>
      </c>
      <c r="O29" s="6">
        <v>-500</v>
      </c>
      <c r="P29" s="6">
        <v>-500</v>
      </c>
      <c r="R29" s="5" t="s">
        <v>60</v>
      </c>
      <c r="S29" s="6">
        <v>-500</v>
      </c>
      <c r="T29" s="6">
        <v>-500</v>
      </c>
      <c r="U29" s="6">
        <v>-500</v>
      </c>
      <c r="V29" s="6">
        <v>-500</v>
      </c>
      <c r="W29" s="6">
        <v>-500</v>
      </c>
      <c r="X29" s="6">
        <v>-500</v>
      </c>
      <c r="Y29" s="6">
        <v>-500</v>
      </c>
      <c r="Z29" s="6">
        <v>-500</v>
      </c>
      <c r="AA29" s="6">
        <v>-500</v>
      </c>
      <c r="AB29" s="6">
        <v>-500</v>
      </c>
      <c r="AC29" s="6">
        <v>-500</v>
      </c>
      <c r="AD29" s="6">
        <v>-500</v>
      </c>
    </row>
    <row r="30" spans="2:30" x14ac:dyDescent="0.2">
      <c r="B30" s="15" t="s">
        <v>61</v>
      </c>
      <c r="C30" s="16">
        <f t="shared" ref="C30:P30" si="16">SUM(C26:C29)</f>
        <v>-23120</v>
      </c>
      <c r="D30" s="16">
        <f t="shared" si="16"/>
        <v>-7720</v>
      </c>
      <c r="E30" s="16">
        <f t="shared" si="16"/>
        <v>-20370</v>
      </c>
      <c r="F30" s="16">
        <f t="shared" si="16"/>
        <v>-9410</v>
      </c>
      <c r="G30" s="16">
        <f t="shared" si="16"/>
        <v>-25710</v>
      </c>
      <c r="H30" s="16">
        <f t="shared" si="16"/>
        <v>-11270</v>
      </c>
      <c r="I30" s="16">
        <f t="shared" si="16"/>
        <v>-23410</v>
      </c>
      <c r="J30" s="16">
        <f t="shared" si="16"/>
        <v>-7410</v>
      </c>
      <c r="K30" s="10">
        <f t="shared" si="16"/>
        <v>-20370</v>
      </c>
      <c r="L30" s="10">
        <f t="shared" si="16"/>
        <v>-9410</v>
      </c>
      <c r="M30" s="10">
        <f t="shared" si="16"/>
        <v>-25710</v>
      </c>
      <c r="N30" s="10">
        <f t="shared" si="16"/>
        <v>-11270</v>
      </c>
      <c r="O30" s="10">
        <f t="shared" si="16"/>
        <v>-23410</v>
      </c>
      <c r="P30" s="10">
        <f t="shared" si="16"/>
        <v>-7410</v>
      </c>
      <c r="R30" s="17" t="s">
        <v>55</v>
      </c>
      <c r="S30" s="18">
        <f t="shared" ref="S30:AD30" si="17">SUM(S26:S29)</f>
        <v>-66800</v>
      </c>
      <c r="T30" s="18">
        <f t="shared" si="17"/>
        <v>-500</v>
      </c>
      <c r="U30" s="18">
        <f t="shared" si="17"/>
        <v>-500</v>
      </c>
      <c r="V30" s="18">
        <f t="shared" si="17"/>
        <v>-117850</v>
      </c>
      <c r="W30" s="18">
        <f t="shared" si="17"/>
        <v>-500</v>
      </c>
      <c r="X30" s="18">
        <f t="shared" si="17"/>
        <v>-500</v>
      </c>
      <c r="Y30" s="18">
        <f t="shared" si="17"/>
        <v>-96800</v>
      </c>
      <c r="Z30" s="18">
        <f t="shared" si="17"/>
        <v>-500</v>
      </c>
      <c r="AA30" s="18">
        <f t="shared" si="17"/>
        <v>-500</v>
      </c>
      <c r="AB30" s="18">
        <f t="shared" si="17"/>
        <v>-157850</v>
      </c>
      <c r="AC30" s="18">
        <f t="shared" si="17"/>
        <v>-500</v>
      </c>
      <c r="AD30" s="18">
        <f t="shared" si="17"/>
        <v>-50500</v>
      </c>
    </row>
    <row r="31" spans="2:30" x14ac:dyDescent="0.2">
      <c r="B31" s="5" t="s">
        <v>62</v>
      </c>
      <c r="C31" s="6">
        <v>-300</v>
      </c>
      <c r="D31" s="6">
        <v>-300</v>
      </c>
      <c r="E31" s="6">
        <v>-300</v>
      </c>
      <c r="F31" s="6">
        <v>-300</v>
      </c>
      <c r="G31" s="6">
        <v>-300</v>
      </c>
      <c r="H31" s="6">
        <v>-300</v>
      </c>
      <c r="I31" s="6">
        <v>-300</v>
      </c>
      <c r="J31" s="6">
        <v>-300</v>
      </c>
      <c r="K31" s="6">
        <v>-300</v>
      </c>
      <c r="L31" s="6">
        <v>-300</v>
      </c>
      <c r="M31" s="6">
        <v>-300</v>
      </c>
      <c r="N31" s="6">
        <v>-300</v>
      </c>
      <c r="O31" s="6">
        <v>-300</v>
      </c>
      <c r="P31" s="6">
        <v>-300</v>
      </c>
      <c r="R31" s="5" t="s">
        <v>62</v>
      </c>
      <c r="S31" s="6">
        <v>-300</v>
      </c>
      <c r="T31" s="6">
        <v>-300</v>
      </c>
      <c r="U31" s="6">
        <v>-300</v>
      </c>
      <c r="V31" s="6">
        <v>-300</v>
      </c>
      <c r="W31" s="6">
        <v>-300</v>
      </c>
      <c r="X31" s="6">
        <v>-300</v>
      </c>
      <c r="Y31" s="6">
        <v>-300</v>
      </c>
      <c r="Z31" s="6">
        <v>-300</v>
      </c>
      <c r="AA31" s="6">
        <v>-300</v>
      </c>
      <c r="AB31" s="6">
        <v>-300</v>
      </c>
      <c r="AC31" s="6">
        <v>-300</v>
      </c>
      <c r="AD31" s="6">
        <v>-300</v>
      </c>
    </row>
    <row r="32" spans="2:30" x14ac:dyDescent="0.2">
      <c r="B32" s="5" t="s">
        <v>63</v>
      </c>
      <c r="C32" s="6">
        <v>-1000</v>
      </c>
      <c r="D32" s="6">
        <v>-1000</v>
      </c>
      <c r="E32" s="6">
        <v>-1000</v>
      </c>
      <c r="F32" s="6">
        <v>-1000</v>
      </c>
      <c r="G32" s="6">
        <v>-1000</v>
      </c>
      <c r="H32" s="6">
        <v>-1000</v>
      </c>
      <c r="I32" s="6">
        <v>-1000</v>
      </c>
      <c r="J32" s="6">
        <v>-1000</v>
      </c>
      <c r="K32" s="6">
        <v>-1000</v>
      </c>
      <c r="L32" s="6">
        <v>-1000</v>
      </c>
      <c r="M32" s="6">
        <v>-1000</v>
      </c>
      <c r="N32" s="6">
        <v>-1000</v>
      </c>
      <c r="O32" s="6">
        <v>-1000</v>
      </c>
      <c r="P32" s="6">
        <v>-1000</v>
      </c>
      <c r="R32" s="5" t="s">
        <v>63</v>
      </c>
      <c r="S32" s="6">
        <v>-1000</v>
      </c>
      <c r="T32" s="6">
        <v>-1000</v>
      </c>
      <c r="U32" s="6">
        <v>-1000</v>
      </c>
      <c r="V32" s="6">
        <v>-1000</v>
      </c>
      <c r="W32" s="6">
        <v>-1000</v>
      </c>
      <c r="X32" s="6">
        <v>-1000</v>
      </c>
      <c r="Y32" s="6">
        <v>-1000</v>
      </c>
      <c r="Z32" s="6">
        <v>-1000</v>
      </c>
      <c r="AA32" s="6">
        <v>-1000</v>
      </c>
      <c r="AB32" s="6">
        <v>-1000</v>
      </c>
      <c r="AC32" s="6">
        <v>-1000</v>
      </c>
      <c r="AD32" s="6">
        <v>-1000</v>
      </c>
    </row>
    <row r="33" spans="2:30" x14ac:dyDescent="0.2">
      <c r="B33" s="19" t="s">
        <v>64</v>
      </c>
      <c r="C33" s="20">
        <f t="shared" ref="C33:P33" si="18">+C14+C18+C25+C30+C31+C32</f>
        <v>-94470</v>
      </c>
      <c r="D33" s="20">
        <f t="shared" si="18"/>
        <v>-76070</v>
      </c>
      <c r="E33" s="20">
        <f t="shared" si="18"/>
        <v>-117620</v>
      </c>
      <c r="F33" s="20">
        <f t="shared" si="18"/>
        <v>-64460</v>
      </c>
      <c r="G33" s="20">
        <f t="shared" si="18"/>
        <v>-85760</v>
      </c>
      <c r="H33" s="20">
        <f t="shared" si="18"/>
        <v>-82020</v>
      </c>
      <c r="I33" s="20">
        <f t="shared" si="18"/>
        <v>-93460</v>
      </c>
      <c r="J33" s="20">
        <f t="shared" si="18"/>
        <v>-77460</v>
      </c>
      <c r="K33" s="10">
        <f t="shared" si="18"/>
        <v>-90620</v>
      </c>
      <c r="L33" s="10">
        <f t="shared" si="18"/>
        <v>-79460</v>
      </c>
      <c r="M33" s="10">
        <f t="shared" si="18"/>
        <v>-99260</v>
      </c>
      <c r="N33" s="10">
        <f t="shared" si="18"/>
        <v>-82020</v>
      </c>
      <c r="O33" s="10">
        <f t="shared" si="18"/>
        <v>-93460</v>
      </c>
      <c r="P33" s="10">
        <f t="shared" si="18"/>
        <v>-77460</v>
      </c>
      <c r="R33" s="21" t="s">
        <v>65</v>
      </c>
      <c r="S33" s="22">
        <f t="shared" ref="S33:AD33" si="19">+S14+S18+S25+S30+S31+S32</f>
        <v>-176882.64285714284</v>
      </c>
      <c r="T33" s="22">
        <f t="shared" si="19"/>
        <v>-104147.5</v>
      </c>
      <c r="U33" s="22">
        <f t="shared" si="19"/>
        <v>-65884.5</v>
      </c>
      <c r="V33" s="22">
        <f t="shared" si="19"/>
        <v>-193492.5</v>
      </c>
      <c r="W33" s="22">
        <f t="shared" si="19"/>
        <v>-72391.5</v>
      </c>
      <c r="X33" s="22">
        <f t="shared" si="19"/>
        <v>-85826.5</v>
      </c>
      <c r="Y33" s="22">
        <f t="shared" si="19"/>
        <v>-177995.5</v>
      </c>
      <c r="Z33" s="22">
        <f t="shared" si="19"/>
        <v>-68761.5</v>
      </c>
      <c r="AA33" s="22">
        <f t="shared" si="19"/>
        <v>-74206.5</v>
      </c>
      <c r="AB33" s="22">
        <f t="shared" si="19"/>
        <v>-233745.5</v>
      </c>
      <c r="AC33" s="22">
        <f t="shared" si="19"/>
        <v>-72391.5</v>
      </c>
      <c r="AD33" s="22">
        <f t="shared" si="19"/>
        <v>-135826.5</v>
      </c>
    </row>
    <row r="37" spans="2:30" x14ac:dyDescent="0.2">
      <c r="L37" s="2">
        <f>-239*0.21</f>
        <v>-50.19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"/>
  <sheetViews>
    <sheetView showGridLines="0" topLeftCell="A31" workbookViewId="0">
      <selection activeCell="E57" sqref="E57"/>
    </sheetView>
  </sheetViews>
  <sheetFormatPr defaultColWidth="11.42578125" defaultRowHeight="12.75" outlineLevelRow="2" x14ac:dyDescent="0.2"/>
  <cols>
    <col min="1" max="1" width="3.42578125" style="2" customWidth="1"/>
    <col min="2" max="2" width="2.140625" style="2" customWidth="1"/>
    <col min="3" max="3" width="32.85546875" style="2" bestFit="1" customWidth="1"/>
    <col min="4" max="4" width="11.5703125" style="2" customWidth="1"/>
    <col min="5" max="5" width="14.28515625" style="2" customWidth="1"/>
    <col min="6" max="6" width="12.140625" style="2" customWidth="1"/>
    <col min="7" max="7" width="11.28515625" style="2" customWidth="1"/>
    <col min="8" max="8" width="14" style="2" customWidth="1"/>
    <col min="9" max="9" width="11.42578125" style="2" customWidth="1"/>
    <col min="10" max="10" width="12.140625" style="2" customWidth="1"/>
    <col min="11" max="11" width="7.42578125" style="2" bestFit="1" customWidth="1"/>
    <col min="12" max="12" width="10.7109375" style="2" customWidth="1"/>
    <col min="13" max="13" width="8" style="2" bestFit="1" customWidth="1"/>
    <col min="14" max="14" width="7.42578125" style="2" bestFit="1" customWidth="1"/>
    <col min="15" max="15" width="8" style="2" bestFit="1" customWidth="1"/>
    <col min="16" max="16" width="1.7109375" style="2" customWidth="1"/>
    <col min="17" max="17" width="9.42578125" style="2" bestFit="1" customWidth="1"/>
    <col min="18" max="18" width="11.42578125" style="2" customWidth="1"/>
    <col min="19" max="16384" width="11.42578125" style="2"/>
  </cols>
  <sheetData>
    <row r="1" spans="1:17" x14ac:dyDescent="0.2">
      <c r="A1" s="1" t="s">
        <v>94</v>
      </c>
    </row>
    <row r="3" spans="1:17" x14ac:dyDescent="0.2">
      <c r="B3" s="11" t="s">
        <v>36</v>
      </c>
      <c r="C3" s="11"/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Q3" s="12" t="s">
        <v>66</v>
      </c>
    </row>
    <row r="4" spans="1:17" s="8" customFormat="1" x14ac:dyDescent="0.2">
      <c r="B4" s="23" t="s">
        <v>67</v>
      </c>
      <c r="C4" s="24"/>
      <c r="D4" s="25">
        <v>45000</v>
      </c>
      <c r="E4" s="25">
        <f t="shared" ref="E4:O4" si="0">+D56</f>
        <v>-39690.976190476176</v>
      </c>
      <c r="F4" s="25">
        <f t="shared" si="0"/>
        <v>77387.357142857145</v>
      </c>
      <c r="G4" s="25">
        <f t="shared" si="0"/>
        <v>34836.190476190488</v>
      </c>
      <c r="H4" s="25">
        <f t="shared" si="0"/>
        <v>76924.523809523816</v>
      </c>
      <c r="I4" s="25">
        <f t="shared" si="0"/>
        <v>161090.66269841269</v>
      </c>
      <c r="J4" s="25">
        <f t="shared" si="0"/>
        <v>183336.80158730154</v>
      </c>
      <c r="K4" s="25">
        <f t="shared" si="0"/>
        <v>-52203.559523809585</v>
      </c>
      <c r="L4" s="25">
        <f t="shared" si="0"/>
        <v>98579.384920634853</v>
      </c>
      <c r="M4" s="25">
        <f t="shared" si="0"/>
        <v>21317.329365079291</v>
      </c>
      <c r="N4" s="25">
        <f t="shared" si="0"/>
        <v>38576.273809523736</v>
      </c>
      <c r="O4" s="25">
        <f t="shared" si="0"/>
        <v>121478.52380952373</v>
      </c>
      <c r="Q4" s="25">
        <f>+D4</f>
        <v>45000</v>
      </c>
    </row>
    <row r="5" spans="1:17" outlineLevel="1" x14ac:dyDescent="0.2">
      <c r="C5" s="5" t="s">
        <v>18</v>
      </c>
      <c r="D5" s="6">
        <f>Traslación_Cobros!E12</f>
        <v>60500</v>
      </c>
      <c r="E5" s="6">
        <f>Traslación_Cobros!F12</f>
        <v>60500</v>
      </c>
      <c r="F5" s="6">
        <f>Traslación_Cobros!G12</f>
        <v>60500</v>
      </c>
      <c r="G5" s="6">
        <f>Traslación_Cobros!H12</f>
        <v>60500</v>
      </c>
      <c r="H5" s="6">
        <f>Traslación_Cobros!I12</f>
        <v>60500</v>
      </c>
      <c r="I5" s="6">
        <f>Traslación_Cobros!J12</f>
        <v>60500</v>
      </c>
      <c r="J5" s="6">
        <f>Traslación_Cobros!K12</f>
        <v>60500</v>
      </c>
      <c r="K5" s="6">
        <f>Traslación_Cobros!L12</f>
        <v>60500</v>
      </c>
      <c r="L5" s="6">
        <f>Traslación_Cobros!M12</f>
        <v>60500</v>
      </c>
      <c r="M5" s="6">
        <f>Traslación_Cobros!N12</f>
        <v>60500</v>
      </c>
      <c r="N5" s="6">
        <f>Traslación_Cobros!O12</f>
        <v>60500</v>
      </c>
      <c r="O5" s="6">
        <f>Traslación_Cobros!P12</f>
        <v>60500</v>
      </c>
      <c r="Q5" s="6">
        <f>SUM(D5:O5)</f>
        <v>726000</v>
      </c>
    </row>
    <row r="6" spans="1:17" outlineLevel="1" x14ac:dyDescent="0.2">
      <c r="C6" s="5" t="s">
        <v>20</v>
      </c>
      <c r="D6" s="6">
        <f>Traslación_Cobros!E13</f>
        <v>0</v>
      </c>
      <c r="E6" s="6">
        <f>Traslación_Cobros!F13</f>
        <v>72600</v>
      </c>
      <c r="F6" s="6">
        <f>Traslación_Cobros!G13</f>
        <v>0</v>
      </c>
      <c r="G6" s="6">
        <f>Traslación_Cobros!H13</f>
        <v>96800</v>
      </c>
      <c r="H6" s="6">
        <f>Traslación_Cobros!I13</f>
        <v>0</v>
      </c>
      <c r="I6" s="6">
        <f>Traslación_Cobros!J13</f>
        <v>90750</v>
      </c>
      <c r="J6" s="6">
        <f>Traslación_Cobros!K13</f>
        <v>0</v>
      </c>
      <c r="K6" s="6">
        <f>Traslación_Cobros!L13</f>
        <v>72600</v>
      </c>
      <c r="L6" s="6">
        <f>Traslación_Cobros!M13</f>
        <v>0</v>
      </c>
      <c r="M6" s="6">
        <f>Traslación_Cobros!N13</f>
        <v>96800</v>
      </c>
      <c r="N6" s="6">
        <f>Traslación_Cobros!O13</f>
        <v>0</v>
      </c>
      <c r="O6" s="6">
        <f>Traslación_Cobros!P13</f>
        <v>84700</v>
      </c>
      <c r="Q6" s="6">
        <f>SUM(D6:O6)</f>
        <v>514250</v>
      </c>
    </row>
    <row r="7" spans="1:17" outlineLevel="1" x14ac:dyDescent="0.2">
      <c r="C7" s="5" t="s">
        <v>21</v>
      </c>
      <c r="D7" s="6">
        <f>Traslación_Cobros!E14</f>
        <v>51425</v>
      </c>
      <c r="E7" s="6">
        <f>Traslación_Cobros!F14</f>
        <v>67155</v>
      </c>
      <c r="F7" s="6">
        <f>Traslación_Cobros!G14</f>
        <v>63525</v>
      </c>
      <c r="G7" s="6">
        <f>Traslación_Cobros!H14</f>
        <v>70785</v>
      </c>
      <c r="H7" s="6">
        <f>Traslación_Cobros!I14</f>
        <v>66550</v>
      </c>
      <c r="I7" s="6">
        <f>Traslación_Cobros!J14</f>
        <v>62315</v>
      </c>
      <c r="J7" s="6">
        <f>Traslación_Cobros!K14</f>
        <v>58685</v>
      </c>
      <c r="K7" s="6">
        <f>Traslación_Cobros!L14</f>
        <v>63525</v>
      </c>
      <c r="L7" s="6">
        <f>Traslación_Cobros!M14</f>
        <v>63525</v>
      </c>
      <c r="M7" s="6">
        <f>Traslación_Cobros!N14</f>
        <v>70785</v>
      </c>
      <c r="N7" s="6">
        <f>Traslación_Cobros!O14</f>
        <v>66550</v>
      </c>
      <c r="O7" s="6">
        <f>Traslación_Cobros!P14</f>
        <v>62315</v>
      </c>
      <c r="Q7" s="6">
        <f>SUM(D7:O7)</f>
        <v>767140</v>
      </c>
    </row>
    <row r="8" spans="1:17" outlineLevel="1" x14ac:dyDescent="0.2">
      <c r="C8" s="5" t="s">
        <v>23</v>
      </c>
      <c r="D8" s="6">
        <f>Traslación_Cobros!E15</f>
        <v>27225</v>
      </c>
      <c r="E8" s="6">
        <f>Traslación_Cobros!F15</f>
        <v>24200</v>
      </c>
      <c r="F8" s="6">
        <f>Traslación_Cobros!G15</f>
        <v>27225</v>
      </c>
      <c r="G8" s="6">
        <f>Traslación_Cobros!H15</f>
        <v>27225</v>
      </c>
      <c r="H8" s="6">
        <f>Traslación_Cobros!I15</f>
        <v>33275</v>
      </c>
      <c r="I8" s="6">
        <f>Traslación_Cobros!J15</f>
        <v>33275</v>
      </c>
      <c r="J8" s="6">
        <f>Traslación_Cobros!K15</f>
        <v>27225</v>
      </c>
      <c r="K8" s="6">
        <f>Traslación_Cobros!L15</f>
        <v>27225</v>
      </c>
      <c r="L8" s="6">
        <f>Traslación_Cobros!M15</f>
        <v>27225</v>
      </c>
      <c r="M8" s="6">
        <f>Traslación_Cobros!N15</f>
        <v>27225</v>
      </c>
      <c r="N8" s="6">
        <f>Traslación_Cobros!O15</f>
        <v>33275</v>
      </c>
      <c r="O8" s="6">
        <f>Traslación_Cobros!P15</f>
        <v>33275</v>
      </c>
      <c r="Q8" s="6">
        <f>SUM(D8:O8)</f>
        <v>347875</v>
      </c>
    </row>
    <row r="9" spans="1:17" x14ac:dyDescent="0.2">
      <c r="C9" s="9" t="s">
        <v>27</v>
      </c>
      <c r="D9" s="10">
        <f t="shared" ref="D9:O9" si="1">SUM(D5:D8)</f>
        <v>139150</v>
      </c>
      <c r="E9" s="10">
        <f t="shared" si="1"/>
        <v>224455</v>
      </c>
      <c r="F9" s="10">
        <f t="shared" si="1"/>
        <v>151250</v>
      </c>
      <c r="G9" s="10">
        <f t="shared" si="1"/>
        <v>255310</v>
      </c>
      <c r="H9" s="10">
        <f t="shared" si="1"/>
        <v>160325</v>
      </c>
      <c r="I9" s="10">
        <f t="shared" si="1"/>
        <v>246840</v>
      </c>
      <c r="J9" s="10">
        <f t="shared" si="1"/>
        <v>146410</v>
      </c>
      <c r="K9" s="10">
        <f t="shared" si="1"/>
        <v>223850</v>
      </c>
      <c r="L9" s="10">
        <f t="shared" si="1"/>
        <v>151250</v>
      </c>
      <c r="M9" s="10">
        <f t="shared" si="1"/>
        <v>255310</v>
      </c>
      <c r="N9" s="10">
        <f t="shared" si="1"/>
        <v>160325</v>
      </c>
      <c r="O9" s="10">
        <f t="shared" si="1"/>
        <v>240790</v>
      </c>
      <c r="Q9" s="10">
        <f>SUM(Q5:Q8)</f>
        <v>2355265</v>
      </c>
    </row>
    <row r="10" spans="1:17" outlineLevel="1" x14ac:dyDescent="0.2">
      <c r="C10" s="5" t="s">
        <v>38</v>
      </c>
      <c r="D10" s="6">
        <f>Traslación_Pagos!S9</f>
        <v>-14039.999999999998</v>
      </c>
      <c r="E10" s="6">
        <f>Traslación_Pagos!T9</f>
        <v>-14039.999999999998</v>
      </c>
      <c r="F10" s="6">
        <f>Traslación_Pagos!U9</f>
        <v>-14039.999999999998</v>
      </c>
      <c r="G10" s="6">
        <f>Traslación_Pagos!V9</f>
        <v>-14039.999999999998</v>
      </c>
      <c r="H10" s="6">
        <f>Traslación_Pagos!W9</f>
        <v>-14039.999999999998</v>
      </c>
      <c r="I10" s="6">
        <f>Traslación_Pagos!X9</f>
        <v>-14039.999999999998</v>
      </c>
      <c r="J10" s="6">
        <f>Traslación_Pagos!Y9</f>
        <v>-14039.999999999998</v>
      </c>
      <c r="K10" s="6">
        <f>Traslación_Pagos!Z9</f>
        <v>-14039.999999999998</v>
      </c>
      <c r="L10" s="6">
        <f>Traslación_Pagos!AA9</f>
        <v>-14039.999999999998</v>
      </c>
      <c r="M10" s="6">
        <f>Traslación_Pagos!AB9</f>
        <v>-14039.999999999998</v>
      </c>
      <c r="N10" s="6">
        <f>Traslación_Pagos!AC9</f>
        <v>-14039.999999999998</v>
      </c>
      <c r="O10" s="6">
        <f>Traslación_Pagos!AD9</f>
        <v>-14039.999999999998</v>
      </c>
      <c r="Q10" s="6">
        <f>SUM(D10:O10)</f>
        <v>-168479.99999999997</v>
      </c>
    </row>
    <row r="11" spans="1:17" outlineLevel="1" x14ac:dyDescent="0.2">
      <c r="C11" s="5" t="s">
        <v>39</v>
      </c>
      <c r="D11" s="6">
        <f>Traslación_Pagos!S10</f>
        <v>0</v>
      </c>
      <c r="E11" s="6">
        <f>Traslación_Pagos!T10</f>
        <v>0</v>
      </c>
      <c r="F11" s="6">
        <f>Traslación_Pagos!U10</f>
        <v>0</v>
      </c>
      <c r="G11" s="6">
        <f>Traslación_Pagos!V10</f>
        <v>0</v>
      </c>
      <c r="H11" s="6">
        <f>Traslación_Pagos!W10</f>
        <v>0</v>
      </c>
      <c r="I11" s="6">
        <f>Traslación_Pagos!X10</f>
        <v>-14039.999999999998</v>
      </c>
      <c r="J11" s="6">
        <f>Traslación_Pagos!Y10</f>
        <v>0</v>
      </c>
      <c r="K11" s="6">
        <f>Traslación_Pagos!Z10</f>
        <v>0</v>
      </c>
      <c r="L11" s="6">
        <f>Traslación_Pagos!AA10</f>
        <v>0</v>
      </c>
      <c r="M11" s="6">
        <f>Traslación_Pagos!AB10</f>
        <v>0</v>
      </c>
      <c r="N11" s="6">
        <f>Traslación_Pagos!AC10</f>
        <v>0</v>
      </c>
      <c r="O11" s="6">
        <f>Traslación_Pagos!AD10</f>
        <v>-14039.999999999998</v>
      </c>
      <c r="Q11" s="6">
        <f>SUM(D11:O11)</f>
        <v>-28079.999999999996</v>
      </c>
    </row>
    <row r="12" spans="1:17" outlineLevel="1" x14ac:dyDescent="0.2">
      <c r="C12" s="5" t="s">
        <v>40</v>
      </c>
      <c r="D12" s="6">
        <f>Traslación_Pagos!S11</f>
        <v>-10697.142857142857</v>
      </c>
      <c r="E12" s="6">
        <f>Traslación_Pagos!T11</f>
        <v>0</v>
      </c>
      <c r="F12" s="6">
        <f>Traslación_Pagos!U11</f>
        <v>0</v>
      </c>
      <c r="G12" s="6">
        <f>Traslación_Pagos!V11</f>
        <v>-12672</v>
      </c>
      <c r="H12" s="6">
        <f>Traslación_Pagos!W11</f>
        <v>0</v>
      </c>
      <c r="I12" s="6">
        <f>Traslación_Pagos!X11</f>
        <v>0</v>
      </c>
      <c r="J12" s="6">
        <f>Traslación_Pagos!Y11</f>
        <v>-11520</v>
      </c>
      <c r="K12" s="6">
        <f>Traslación_Pagos!Z11</f>
        <v>0</v>
      </c>
      <c r="L12" s="6">
        <f>Traslación_Pagos!AA11</f>
        <v>0</v>
      </c>
      <c r="M12" s="6">
        <f>Traslación_Pagos!AB11</f>
        <v>-8640</v>
      </c>
      <c r="N12" s="6">
        <f>Traslación_Pagos!AC11</f>
        <v>0</v>
      </c>
      <c r="O12" s="6">
        <f>Traslación_Pagos!AD11</f>
        <v>0</v>
      </c>
      <c r="Q12" s="6">
        <f>SUM(D12:O12)</f>
        <v>-43529.142857142855</v>
      </c>
    </row>
    <row r="13" spans="1:17" outlineLevel="1" x14ac:dyDescent="0.2">
      <c r="C13" s="5" t="s">
        <v>41</v>
      </c>
      <c r="D13" s="6">
        <f>Traslación_Pagos!S12</f>
        <v>0</v>
      </c>
      <c r="E13" s="6">
        <f>Traslación_Pagos!T12</f>
        <v>-19655.999999999996</v>
      </c>
      <c r="F13" s="6">
        <f>Traslación_Pagos!U12</f>
        <v>0</v>
      </c>
      <c r="G13" s="6">
        <f>Traslación_Pagos!V12</f>
        <v>0</v>
      </c>
      <c r="H13" s="6">
        <f>Traslación_Pagos!W12</f>
        <v>0</v>
      </c>
      <c r="I13" s="6">
        <f>Traslación_Pagos!X12</f>
        <v>0</v>
      </c>
      <c r="J13" s="6">
        <f>Traslación_Pagos!Y12</f>
        <v>0</v>
      </c>
      <c r="K13" s="6">
        <f>Traslación_Pagos!Z12</f>
        <v>0</v>
      </c>
      <c r="L13" s="6">
        <f>Traslación_Pagos!AA12</f>
        <v>0</v>
      </c>
      <c r="M13" s="6">
        <f>Traslación_Pagos!AB12</f>
        <v>0</v>
      </c>
      <c r="N13" s="6">
        <f>Traslación_Pagos!AC12</f>
        <v>0</v>
      </c>
      <c r="O13" s="6">
        <f>Traslación_Pagos!AD12</f>
        <v>0</v>
      </c>
      <c r="Q13" s="6">
        <f>SUM(D13:O13)</f>
        <v>-19655.999999999996</v>
      </c>
    </row>
    <row r="14" spans="1:17" outlineLevel="1" x14ac:dyDescent="0.2">
      <c r="C14" s="5" t="s">
        <v>43</v>
      </c>
      <c r="D14" s="6">
        <f>Traslación_Pagos!S13</f>
        <v>-7020</v>
      </c>
      <c r="E14" s="6">
        <f>Traslación_Pagos!T13</f>
        <v>-7560</v>
      </c>
      <c r="F14" s="6">
        <f>Traslación_Pagos!U13</f>
        <v>-17388</v>
      </c>
      <c r="G14" s="6">
        <f>Traslación_Pagos!V13</f>
        <v>-7560</v>
      </c>
      <c r="H14" s="6">
        <f>Traslación_Pagos!W13</f>
        <v>-7560</v>
      </c>
      <c r="I14" s="6">
        <f>Traslación_Pagos!X13</f>
        <v>-7560</v>
      </c>
      <c r="J14" s="6">
        <f>Traslación_Pagos!Y13</f>
        <v>-7560</v>
      </c>
      <c r="K14" s="6">
        <f>Traslación_Pagos!Z13</f>
        <v>-7560</v>
      </c>
      <c r="L14" s="6">
        <f>Traslación_Pagos!AA13</f>
        <v>-7560</v>
      </c>
      <c r="M14" s="6">
        <f>Traslación_Pagos!AB13</f>
        <v>-7560</v>
      </c>
      <c r="N14" s="6">
        <f>Traslación_Pagos!AC13</f>
        <v>-7560</v>
      </c>
      <c r="O14" s="6">
        <f>Traslación_Pagos!AD13</f>
        <v>-7560</v>
      </c>
      <c r="Q14" s="6">
        <f>SUM(D14:O14)</f>
        <v>-100008</v>
      </c>
    </row>
    <row r="15" spans="1:17" x14ac:dyDescent="0.2">
      <c r="C15" s="26" t="s">
        <v>44</v>
      </c>
      <c r="D15" s="27">
        <f t="shared" ref="D15:O15" si="2">SUM(D10:D14)</f>
        <v>-31757.142857142855</v>
      </c>
      <c r="E15" s="27">
        <f t="shared" si="2"/>
        <v>-41255.999999999993</v>
      </c>
      <c r="F15" s="27">
        <f t="shared" si="2"/>
        <v>-31428</v>
      </c>
      <c r="G15" s="27">
        <f t="shared" si="2"/>
        <v>-34272</v>
      </c>
      <c r="H15" s="27">
        <f t="shared" si="2"/>
        <v>-21600</v>
      </c>
      <c r="I15" s="27">
        <f t="shared" si="2"/>
        <v>-35640</v>
      </c>
      <c r="J15" s="27">
        <f t="shared" si="2"/>
        <v>-33120</v>
      </c>
      <c r="K15" s="27">
        <f t="shared" si="2"/>
        <v>-21600</v>
      </c>
      <c r="L15" s="27">
        <f t="shared" si="2"/>
        <v>-21600</v>
      </c>
      <c r="M15" s="27">
        <f t="shared" si="2"/>
        <v>-30240</v>
      </c>
      <c r="N15" s="27">
        <f t="shared" si="2"/>
        <v>-21600</v>
      </c>
      <c r="O15" s="27">
        <f t="shared" si="2"/>
        <v>-35640</v>
      </c>
      <c r="Q15" s="27">
        <f>SUM(Q10:Q14)</f>
        <v>-359753.14285714284</v>
      </c>
    </row>
    <row r="16" spans="1:17" outlineLevel="1" x14ac:dyDescent="0.2">
      <c r="C16" s="5" t="s">
        <v>45</v>
      </c>
      <c r="D16" s="6">
        <f>Traslación_Pagos!S15</f>
        <v>-25410</v>
      </c>
      <c r="E16" s="6">
        <f>Traslación_Pagos!T15</f>
        <v>-8470</v>
      </c>
      <c r="F16" s="6">
        <f>Traslación_Pagos!U15</f>
        <v>-9680</v>
      </c>
      <c r="G16" s="6">
        <f>Traslación_Pagos!V15</f>
        <v>-12100</v>
      </c>
      <c r="H16" s="6">
        <f>Traslación_Pagos!W15</f>
        <v>-13310</v>
      </c>
      <c r="I16" s="6">
        <f>Traslación_Pagos!X15</f>
        <v>-14520</v>
      </c>
      <c r="J16" s="6">
        <f>Traslación_Pagos!Y15</f>
        <v>-13310</v>
      </c>
      <c r="K16" s="6">
        <f>Traslación_Pagos!Z15</f>
        <v>-14520</v>
      </c>
      <c r="L16" s="6">
        <f>Traslación_Pagos!AA15</f>
        <v>-15730</v>
      </c>
      <c r="M16" s="6">
        <f>Traslación_Pagos!AB15</f>
        <v>-12100</v>
      </c>
      <c r="N16" s="6">
        <f>Traslación_Pagos!AC15</f>
        <v>-13310</v>
      </c>
      <c r="O16" s="6">
        <f>Traslación_Pagos!AD15</f>
        <v>-14520</v>
      </c>
      <c r="Q16" s="6">
        <f>SUM(D16:O16)</f>
        <v>-166980</v>
      </c>
    </row>
    <row r="17" spans="3:17" outlineLevel="1" x14ac:dyDescent="0.2">
      <c r="C17" s="5" t="s">
        <v>46</v>
      </c>
      <c r="D17" s="6">
        <f>Traslación_Pagos!S16</f>
        <v>-29040</v>
      </c>
      <c r="E17" s="6">
        <f>Traslación_Pagos!T16</f>
        <v>-41140</v>
      </c>
      <c r="F17" s="6">
        <f>Traslación_Pagos!U16</f>
        <v>-9075</v>
      </c>
      <c r="G17" s="6">
        <f>Traslación_Pagos!V16</f>
        <v>-11495</v>
      </c>
      <c r="H17" s="6">
        <f>Traslación_Pagos!W16</f>
        <v>-22990</v>
      </c>
      <c r="I17" s="6">
        <f>Traslación_Pagos!X16</f>
        <v>-20570</v>
      </c>
      <c r="J17" s="6">
        <f>Traslación_Pagos!Y16</f>
        <v>-21175</v>
      </c>
      <c r="K17" s="6">
        <f>Traslación_Pagos!Z16</f>
        <v>-20570</v>
      </c>
      <c r="L17" s="6">
        <f>Traslación_Pagos!AA16</f>
        <v>-21175</v>
      </c>
      <c r="M17" s="6">
        <f>Traslación_Pagos!AB16</f>
        <v>-21780</v>
      </c>
      <c r="N17" s="6">
        <f>Traslación_Pagos!AC16</f>
        <v>-22990</v>
      </c>
      <c r="O17" s="6">
        <f>Traslación_Pagos!AD16</f>
        <v>-20570</v>
      </c>
      <c r="Q17" s="6">
        <f>SUM(D17:O17)</f>
        <v>-262570</v>
      </c>
    </row>
    <row r="18" spans="3:17" outlineLevel="1" x14ac:dyDescent="0.2">
      <c r="C18" s="5" t="s">
        <v>47</v>
      </c>
      <c r="D18" s="6">
        <f>Traslación_Pagos!S17</f>
        <v>-15730</v>
      </c>
      <c r="E18" s="6">
        <f>Traslación_Pagos!T17</f>
        <v>-4840</v>
      </c>
      <c r="F18" s="6">
        <f>Traslación_Pagos!U17</f>
        <v>-5445</v>
      </c>
      <c r="G18" s="6">
        <f>Traslación_Pagos!V17</f>
        <v>-3630</v>
      </c>
      <c r="H18" s="6">
        <f>Traslación_Pagos!W17</f>
        <v>-6050</v>
      </c>
      <c r="I18" s="6">
        <f>Traslación_Pagos!X17</f>
        <v>-4840</v>
      </c>
      <c r="J18" s="6">
        <f>Traslación_Pagos!Y17</f>
        <v>-5445</v>
      </c>
      <c r="K18" s="6">
        <f>Traslación_Pagos!Z17</f>
        <v>-3630</v>
      </c>
      <c r="L18" s="6">
        <f>Traslación_Pagos!AA17</f>
        <v>-5445</v>
      </c>
      <c r="M18" s="6">
        <f>Traslación_Pagos!AB17</f>
        <v>-3630</v>
      </c>
      <c r="N18" s="6">
        <f>Traslación_Pagos!AC17</f>
        <v>-6050</v>
      </c>
      <c r="O18" s="6">
        <f>Traslación_Pagos!AD17</f>
        <v>-4840</v>
      </c>
      <c r="Q18" s="6">
        <f>SUM(D18:O18)</f>
        <v>-69575</v>
      </c>
    </row>
    <row r="19" spans="3:17" x14ac:dyDescent="0.2">
      <c r="C19" s="26" t="s">
        <v>48</v>
      </c>
      <c r="D19" s="27">
        <f t="shared" ref="D19:O19" si="3">SUM(D16:D18)</f>
        <v>-70180</v>
      </c>
      <c r="E19" s="27">
        <f t="shared" si="3"/>
        <v>-54450</v>
      </c>
      <c r="F19" s="27">
        <f t="shared" si="3"/>
        <v>-24200</v>
      </c>
      <c r="G19" s="27">
        <f t="shared" si="3"/>
        <v>-27225</v>
      </c>
      <c r="H19" s="27">
        <f t="shared" si="3"/>
        <v>-42350</v>
      </c>
      <c r="I19" s="27">
        <f t="shared" si="3"/>
        <v>-39930</v>
      </c>
      <c r="J19" s="27">
        <f t="shared" si="3"/>
        <v>-39930</v>
      </c>
      <c r="K19" s="27">
        <f t="shared" si="3"/>
        <v>-38720</v>
      </c>
      <c r="L19" s="27">
        <f t="shared" si="3"/>
        <v>-42350</v>
      </c>
      <c r="M19" s="27">
        <f t="shared" si="3"/>
        <v>-37510</v>
      </c>
      <c r="N19" s="27">
        <f t="shared" si="3"/>
        <v>-42350</v>
      </c>
      <c r="O19" s="27">
        <f t="shared" si="3"/>
        <v>-39930</v>
      </c>
      <c r="Q19" s="27">
        <f>SUM(Q16:Q18)</f>
        <v>-499125</v>
      </c>
    </row>
    <row r="20" spans="3:17" outlineLevel="1" x14ac:dyDescent="0.2">
      <c r="C20" s="5" t="s">
        <v>49</v>
      </c>
      <c r="D20" s="6">
        <f>Traslación_Pagos!S19</f>
        <v>-1530</v>
      </c>
      <c r="E20" s="6">
        <f>Traslación_Pagos!T19</f>
        <v>-1530</v>
      </c>
      <c r="F20" s="6">
        <f>Traslación_Pagos!U19</f>
        <v>-1530</v>
      </c>
      <c r="G20" s="6">
        <f>Traslación_Pagos!V19</f>
        <v>-1530</v>
      </c>
      <c r="H20" s="6">
        <f>Traslación_Pagos!W19</f>
        <v>-1530</v>
      </c>
      <c r="I20" s="6">
        <f>Traslación_Pagos!X19</f>
        <v>-1530</v>
      </c>
      <c r="J20" s="6">
        <f>Traslación_Pagos!Y19</f>
        <v>-1530</v>
      </c>
      <c r="K20" s="6">
        <f>Traslación_Pagos!Z19</f>
        <v>-1530</v>
      </c>
      <c r="L20" s="6">
        <f>Traslación_Pagos!AA19</f>
        <v>-1530</v>
      </c>
      <c r="M20" s="6">
        <f>Traslación_Pagos!AB19</f>
        <v>-1530</v>
      </c>
      <c r="N20" s="6">
        <f>Traslación_Pagos!AC19</f>
        <v>-1530</v>
      </c>
      <c r="O20" s="6">
        <f>Traslación_Pagos!AD19</f>
        <v>-1530</v>
      </c>
      <c r="Q20" s="6">
        <f t="shared" ref="Q20:Q25" si="4">SUM(D20:O20)</f>
        <v>-18360</v>
      </c>
    </row>
    <row r="21" spans="3:17" outlineLevel="1" x14ac:dyDescent="0.2">
      <c r="C21" s="5" t="s">
        <v>50</v>
      </c>
      <c r="D21" s="6">
        <f>Traslación_Pagos!S20</f>
        <v>-1020</v>
      </c>
      <c r="E21" s="6">
        <f>Traslación_Pagos!T20</f>
        <v>-816</v>
      </c>
      <c r="F21" s="6">
        <f>Traslación_Pagos!U20</f>
        <v>-816</v>
      </c>
      <c r="G21" s="6">
        <f>Traslación_Pagos!V20</f>
        <v>-1020</v>
      </c>
      <c r="H21" s="6">
        <f>Traslación_Pagos!W20</f>
        <v>-816</v>
      </c>
      <c r="I21" s="6">
        <f>Traslación_Pagos!X20</f>
        <v>-816</v>
      </c>
      <c r="J21" s="6">
        <f>Traslación_Pagos!Y20</f>
        <v>-1020</v>
      </c>
      <c r="K21" s="6">
        <f>Traslación_Pagos!Z20</f>
        <v>-816</v>
      </c>
      <c r="L21" s="6">
        <f>Traslación_Pagos!AA20</f>
        <v>-816</v>
      </c>
      <c r="M21" s="6">
        <f>Traslación_Pagos!AB20</f>
        <v>-1020</v>
      </c>
      <c r="N21" s="6">
        <f>Traslación_Pagos!AC20</f>
        <v>-816</v>
      </c>
      <c r="O21" s="6">
        <f>Traslación_Pagos!AD20</f>
        <v>-816</v>
      </c>
      <c r="Q21" s="6">
        <f t="shared" si="4"/>
        <v>-10608</v>
      </c>
    </row>
    <row r="22" spans="3:17" outlineLevel="1" x14ac:dyDescent="0.2">
      <c r="C22" s="5" t="s">
        <v>51</v>
      </c>
      <c r="D22" s="6">
        <f>Traslación_Pagos!S21</f>
        <v>-544.5</v>
      </c>
      <c r="E22" s="6">
        <f>Traslación_Pagos!T21</f>
        <v>-544.5</v>
      </c>
      <c r="F22" s="6">
        <f>Traslación_Pagos!U21</f>
        <v>-544.5</v>
      </c>
      <c r="G22" s="6">
        <f>Traslación_Pagos!V21</f>
        <v>-544.5</v>
      </c>
      <c r="H22" s="6">
        <f>Traslación_Pagos!W21</f>
        <v>-544.5</v>
      </c>
      <c r="I22" s="6">
        <f>Traslación_Pagos!X21</f>
        <v>-544.5</v>
      </c>
      <c r="J22" s="6">
        <f>Traslación_Pagos!Y21</f>
        <v>-544.5</v>
      </c>
      <c r="K22" s="6">
        <f>Traslación_Pagos!Z21</f>
        <v>-544.5</v>
      </c>
      <c r="L22" s="6">
        <f>Traslación_Pagos!AA21</f>
        <v>-544.5</v>
      </c>
      <c r="M22" s="6">
        <f>Traslación_Pagos!AB21</f>
        <v>-544.5</v>
      </c>
      <c r="N22" s="6">
        <f>Traslación_Pagos!AC21</f>
        <v>-544.5</v>
      </c>
      <c r="O22" s="6">
        <f>Traslación_Pagos!AD21</f>
        <v>-544.5</v>
      </c>
      <c r="Q22" s="6">
        <f t="shared" si="4"/>
        <v>-6534</v>
      </c>
    </row>
    <row r="23" spans="3:17" outlineLevel="1" x14ac:dyDescent="0.2">
      <c r="C23" s="5" t="s">
        <v>52</v>
      </c>
      <c r="D23" s="6">
        <f>Traslación_Pagos!S22</f>
        <v>0</v>
      </c>
      <c r="E23" s="6">
        <f>Traslación_Pagos!T22</f>
        <v>0</v>
      </c>
      <c r="F23" s="6">
        <f>Traslación_Pagos!U22</f>
        <v>0</v>
      </c>
      <c r="G23" s="6">
        <f>Traslación_Pagos!V22</f>
        <v>-6000</v>
      </c>
      <c r="H23" s="6">
        <f>Traslación_Pagos!W22</f>
        <v>0</v>
      </c>
      <c r="I23" s="6">
        <f>Traslación_Pagos!X22</f>
        <v>0</v>
      </c>
      <c r="J23" s="6">
        <f>Traslación_Pagos!Y22</f>
        <v>0</v>
      </c>
      <c r="K23" s="6">
        <f>Traslación_Pagos!Z22</f>
        <v>0</v>
      </c>
      <c r="L23" s="6">
        <f>Traslación_Pagos!AA22</f>
        <v>0</v>
      </c>
      <c r="M23" s="6">
        <f>Traslación_Pagos!AB22</f>
        <v>0</v>
      </c>
      <c r="N23" s="6">
        <f>Traslación_Pagos!AC22</f>
        <v>0</v>
      </c>
      <c r="O23" s="6">
        <f>Traslación_Pagos!AD22</f>
        <v>0</v>
      </c>
      <c r="Q23" s="6">
        <f t="shared" si="4"/>
        <v>-6000</v>
      </c>
    </row>
    <row r="24" spans="3:17" outlineLevel="1" x14ac:dyDescent="0.2">
      <c r="C24" s="5" t="s">
        <v>53</v>
      </c>
      <c r="D24" s="6">
        <f>Traslación_Pagos!S23</f>
        <v>-605</v>
      </c>
      <c r="E24" s="6">
        <f>Traslación_Pagos!T23</f>
        <v>-605</v>
      </c>
      <c r="F24" s="6">
        <f>Traslación_Pagos!U23</f>
        <v>-2420</v>
      </c>
      <c r="G24" s="6">
        <f>Traslación_Pagos!V23</f>
        <v>-605</v>
      </c>
      <c r="H24" s="6">
        <f>Traslación_Pagos!W23</f>
        <v>-605</v>
      </c>
      <c r="I24" s="6">
        <f>Traslación_Pagos!X23</f>
        <v>-2420</v>
      </c>
      <c r="J24" s="6">
        <f>Traslación_Pagos!Y23</f>
        <v>-605</v>
      </c>
      <c r="K24" s="6">
        <f>Traslación_Pagos!Z23</f>
        <v>-605</v>
      </c>
      <c r="L24" s="6">
        <f>Traslación_Pagos!AA23</f>
        <v>-2420</v>
      </c>
      <c r="M24" s="6">
        <f>Traslación_Pagos!AB23</f>
        <v>-605</v>
      </c>
      <c r="N24" s="6">
        <f>Traslación_Pagos!AC23</f>
        <v>-605</v>
      </c>
      <c r="O24" s="6">
        <f>Traslación_Pagos!AD23</f>
        <v>-2420</v>
      </c>
      <c r="Q24" s="6">
        <f t="shared" si="4"/>
        <v>-14520</v>
      </c>
    </row>
    <row r="25" spans="3:17" outlineLevel="1" x14ac:dyDescent="0.2">
      <c r="C25" s="5" t="s">
        <v>54</v>
      </c>
      <c r="D25" s="6">
        <f>Traslación_Pagos!S24</f>
        <v>-3146</v>
      </c>
      <c r="E25" s="6">
        <f>Traslación_Pagos!T24</f>
        <v>-3146</v>
      </c>
      <c r="F25" s="6">
        <f>Traslación_Pagos!U24</f>
        <v>-3146</v>
      </c>
      <c r="G25" s="6">
        <f>Traslación_Pagos!V24</f>
        <v>-3146</v>
      </c>
      <c r="H25" s="6">
        <f>Traslación_Pagos!W24</f>
        <v>-3146</v>
      </c>
      <c r="I25" s="6">
        <f>Traslación_Pagos!X24</f>
        <v>-3146</v>
      </c>
      <c r="J25" s="6">
        <f>Traslación_Pagos!Y24</f>
        <v>-3146</v>
      </c>
      <c r="K25" s="6">
        <f>Traslación_Pagos!Z24</f>
        <v>-3146</v>
      </c>
      <c r="L25" s="6">
        <f>Traslación_Pagos!AA24</f>
        <v>-3146</v>
      </c>
      <c r="M25" s="6">
        <f>Traslación_Pagos!AB24</f>
        <v>-3146</v>
      </c>
      <c r="N25" s="6">
        <f>Traslación_Pagos!AC24</f>
        <v>-3146</v>
      </c>
      <c r="O25" s="6">
        <f>Traslación_Pagos!AD24</f>
        <v>-3146</v>
      </c>
      <c r="Q25" s="6">
        <f t="shared" si="4"/>
        <v>-37752</v>
      </c>
    </row>
    <row r="26" spans="3:17" x14ac:dyDescent="0.2">
      <c r="C26" s="26" t="s">
        <v>55</v>
      </c>
      <c r="D26" s="27">
        <f t="shared" ref="D26:O26" si="5">SUM(D20:D25)</f>
        <v>-6845.5</v>
      </c>
      <c r="E26" s="27">
        <f t="shared" si="5"/>
        <v>-6641.5</v>
      </c>
      <c r="F26" s="27">
        <f t="shared" si="5"/>
        <v>-8456.5</v>
      </c>
      <c r="G26" s="27">
        <f t="shared" si="5"/>
        <v>-12845.5</v>
      </c>
      <c r="H26" s="27">
        <f t="shared" si="5"/>
        <v>-6641.5</v>
      </c>
      <c r="I26" s="27">
        <f t="shared" si="5"/>
        <v>-8456.5</v>
      </c>
      <c r="J26" s="27">
        <f t="shared" si="5"/>
        <v>-6845.5</v>
      </c>
      <c r="K26" s="27">
        <f t="shared" si="5"/>
        <v>-6641.5</v>
      </c>
      <c r="L26" s="27">
        <f t="shared" si="5"/>
        <v>-8456.5</v>
      </c>
      <c r="M26" s="27">
        <f t="shared" si="5"/>
        <v>-6845.5</v>
      </c>
      <c r="N26" s="27">
        <f t="shared" si="5"/>
        <v>-6641.5</v>
      </c>
      <c r="O26" s="27">
        <f t="shared" si="5"/>
        <v>-8456.5</v>
      </c>
      <c r="Q26" s="27">
        <f>SUM(Q20:Q25)</f>
        <v>-93774</v>
      </c>
    </row>
    <row r="27" spans="3:17" outlineLevel="1" x14ac:dyDescent="0.2">
      <c r="C27" s="5" t="s">
        <v>56</v>
      </c>
      <c r="D27" s="6">
        <f>Traslación_Pagos!S26</f>
        <v>-65000</v>
      </c>
      <c r="E27" s="6">
        <f>Traslación_Pagos!T26</f>
        <v>0</v>
      </c>
      <c r="F27" s="6">
        <f>Traslación_Pagos!U26</f>
        <v>0</v>
      </c>
      <c r="G27" s="6">
        <f>Traslación_Pagos!V26</f>
        <v>-76000</v>
      </c>
      <c r="H27" s="6">
        <f>Traslación_Pagos!W26</f>
        <v>0</v>
      </c>
      <c r="I27" s="6">
        <f>Traslación_Pagos!X26</f>
        <v>0</v>
      </c>
      <c r="J27" s="6">
        <f>Traslación_Pagos!Y26</f>
        <v>-65000</v>
      </c>
      <c r="K27" s="6">
        <f>Traslación_Pagos!Z26</f>
        <v>0</v>
      </c>
      <c r="L27" s="6">
        <f>Traslación_Pagos!AA26</f>
        <v>0</v>
      </c>
      <c r="M27" s="6">
        <f>Traslación_Pagos!AB26</f>
        <v>-76000</v>
      </c>
      <c r="N27" s="6">
        <f>Traslación_Pagos!AC26</f>
        <v>0</v>
      </c>
      <c r="O27" s="6">
        <f>Traslación_Pagos!AD26</f>
        <v>0</v>
      </c>
      <c r="Q27" s="6">
        <f>SUM(D27:O27)</f>
        <v>-282000</v>
      </c>
    </row>
    <row r="28" spans="3:17" outlineLevel="1" x14ac:dyDescent="0.2">
      <c r="C28" s="5" t="s">
        <v>58</v>
      </c>
      <c r="D28" s="6">
        <f>Traslación_Pagos!S27</f>
        <v>-1300</v>
      </c>
      <c r="E28" s="6">
        <f>Traslación_Pagos!T27</f>
        <v>0</v>
      </c>
      <c r="F28" s="6">
        <f>Traslación_Pagos!U27</f>
        <v>0</v>
      </c>
      <c r="G28" s="6">
        <f>Traslación_Pagos!V27</f>
        <v>-1350</v>
      </c>
      <c r="H28" s="6">
        <f>Traslación_Pagos!W27</f>
        <v>0</v>
      </c>
      <c r="I28" s="6">
        <f>Traslación_Pagos!X27</f>
        <v>0</v>
      </c>
      <c r="J28" s="6">
        <f>Traslación_Pagos!Y27</f>
        <v>-1300</v>
      </c>
      <c r="K28" s="6">
        <f>Traslación_Pagos!Z27</f>
        <v>0</v>
      </c>
      <c r="L28" s="6">
        <f>Traslación_Pagos!AA27</f>
        <v>0</v>
      </c>
      <c r="M28" s="6">
        <f>Traslación_Pagos!AB27</f>
        <v>-1350</v>
      </c>
      <c r="N28" s="6">
        <f>Traslación_Pagos!AC27</f>
        <v>0</v>
      </c>
      <c r="O28" s="6">
        <f>Traslación_Pagos!AD27</f>
        <v>0</v>
      </c>
      <c r="Q28" s="6">
        <f>SUM(D28:O28)</f>
        <v>-5300</v>
      </c>
    </row>
    <row r="29" spans="3:17" outlineLevel="1" x14ac:dyDescent="0.2">
      <c r="C29" s="5" t="s">
        <v>59</v>
      </c>
      <c r="D29" s="6">
        <f>Traslación_Pagos!S28</f>
        <v>0</v>
      </c>
      <c r="E29" s="6">
        <f>Traslación_Pagos!T28</f>
        <v>0</v>
      </c>
      <c r="F29" s="6">
        <f>Traslación_Pagos!U28</f>
        <v>0</v>
      </c>
      <c r="G29" s="6">
        <f>Traslación_Pagos!V28</f>
        <v>-40000</v>
      </c>
      <c r="H29" s="6">
        <f>Traslación_Pagos!W28</f>
        <v>0</v>
      </c>
      <c r="I29" s="6">
        <f>Traslación_Pagos!X28</f>
        <v>0</v>
      </c>
      <c r="J29" s="6">
        <f>Traslación_Pagos!Y28</f>
        <v>-30000</v>
      </c>
      <c r="K29" s="6">
        <f>Traslación_Pagos!Z28</f>
        <v>0</v>
      </c>
      <c r="L29" s="6">
        <f>Traslación_Pagos!AA28</f>
        <v>0</v>
      </c>
      <c r="M29" s="6">
        <f>Traslación_Pagos!AB28</f>
        <v>-80000</v>
      </c>
      <c r="N29" s="6">
        <f>Traslación_Pagos!AC28</f>
        <v>0</v>
      </c>
      <c r="O29" s="6">
        <f>Traslación_Pagos!AD28</f>
        <v>-50000</v>
      </c>
      <c r="Q29" s="6">
        <f>SUM(D29:O29)</f>
        <v>-200000</v>
      </c>
    </row>
    <row r="30" spans="3:17" outlineLevel="1" x14ac:dyDescent="0.2">
      <c r="C30" s="5" t="s">
        <v>60</v>
      </c>
      <c r="D30" s="6">
        <f>Traslación_Pagos!S29</f>
        <v>-500</v>
      </c>
      <c r="E30" s="6">
        <f>Traslación_Pagos!T29</f>
        <v>-500</v>
      </c>
      <c r="F30" s="6">
        <f>Traslación_Pagos!U29</f>
        <v>-500</v>
      </c>
      <c r="G30" s="6">
        <f>Traslación_Pagos!V29</f>
        <v>-500</v>
      </c>
      <c r="H30" s="6">
        <f>Traslación_Pagos!W29</f>
        <v>-500</v>
      </c>
      <c r="I30" s="6">
        <f>Traslación_Pagos!X29</f>
        <v>-500</v>
      </c>
      <c r="J30" s="6">
        <f>Traslación_Pagos!Y29</f>
        <v>-500</v>
      </c>
      <c r="K30" s="6">
        <f>Traslación_Pagos!Z29</f>
        <v>-500</v>
      </c>
      <c r="L30" s="6">
        <f>Traslación_Pagos!AA29</f>
        <v>-500</v>
      </c>
      <c r="M30" s="6">
        <f>Traslación_Pagos!AB29</f>
        <v>-500</v>
      </c>
      <c r="N30" s="6">
        <f>Traslación_Pagos!AC29</f>
        <v>-500</v>
      </c>
      <c r="O30" s="6">
        <f>Traslación_Pagos!AD29</f>
        <v>-500</v>
      </c>
      <c r="Q30" s="6">
        <f>SUM(D30:O30)</f>
        <v>-6000</v>
      </c>
    </row>
    <row r="31" spans="3:17" x14ac:dyDescent="0.2">
      <c r="C31" s="26" t="s">
        <v>61</v>
      </c>
      <c r="D31" s="27">
        <f t="shared" ref="D31:O31" si="6">SUM(D27:D30)</f>
        <v>-66800</v>
      </c>
      <c r="E31" s="27">
        <f t="shared" si="6"/>
        <v>-500</v>
      </c>
      <c r="F31" s="27">
        <f t="shared" si="6"/>
        <v>-500</v>
      </c>
      <c r="G31" s="27">
        <f t="shared" si="6"/>
        <v>-117850</v>
      </c>
      <c r="H31" s="27">
        <f t="shared" si="6"/>
        <v>-500</v>
      </c>
      <c r="I31" s="27">
        <f t="shared" si="6"/>
        <v>-500</v>
      </c>
      <c r="J31" s="27">
        <f t="shared" si="6"/>
        <v>-96800</v>
      </c>
      <c r="K31" s="27">
        <f t="shared" si="6"/>
        <v>-500</v>
      </c>
      <c r="L31" s="27">
        <f t="shared" si="6"/>
        <v>-500</v>
      </c>
      <c r="M31" s="27">
        <f t="shared" si="6"/>
        <v>-157850</v>
      </c>
      <c r="N31" s="27">
        <f t="shared" si="6"/>
        <v>-500</v>
      </c>
      <c r="O31" s="27">
        <f t="shared" si="6"/>
        <v>-50500</v>
      </c>
      <c r="Q31" s="27">
        <f>SUM(Q27:Q30)</f>
        <v>-493300</v>
      </c>
    </row>
    <row r="32" spans="3:17" outlineLevel="1" x14ac:dyDescent="0.2">
      <c r="C32" s="5" t="s">
        <v>62</v>
      </c>
      <c r="D32" s="6">
        <f>Traslación_Pagos!S31</f>
        <v>-300</v>
      </c>
      <c r="E32" s="6">
        <f>Traslación_Pagos!T31</f>
        <v>-300</v>
      </c>
      <c r="F32" s="6">
        <f>Traslación_Pagos!U31</f>
        <v>-300</v>
      </c>
      <c r="G32" s="6">
        <f>Traslación_Pagos!V31</f>
        <v>-300</v>
      </c>
      <c r="H32" s="6">
        <f>Traslación_Pagos!W31</f>
        <v>-300</v>
      </c>
      <c r="I32" s="6">
        <f>Traslación_Pagos!X31</f>
        <v>-300</v>
      </c>
      <c r="J32" s="6">
        <f>Traslación_Pagos!Y31</f>
        <v>-300</v>
      </c>
      <c r="K32" s="6">
        <f>Traslación_Pagos!Z31</f>
        <v>-300</v>
      </c>
      <c r="L32" s="6">
        <f>Traslación_Pagos!AA31</f>
        <v>-300</v>
      </c>
      <c r="M32" s="6">
        <f>Traslación_Pagos!AB31</f>
        <v>-300</v>
      </c>
      <c r="N32" s="6">
        <f>Traslación_Pagos!AC31</f>
        <v>-300</v>
      </c>
      <c r="O32" s="6">
        <f>Traslación_Pagos!AD31</f>
        <v>-300</v>
      </c>
      <c r="Q32" s="6">
        <f>SUM(D32:O32)</f>
        <v>-3600</v>
      </c>
    </row>
    <row r="33" spans="2:18" outlineLevel="1" x14ac:dyDescent="0.2">
      <c r="C33" s="5" t="s">
        <v>63</v>
      </c>
      <c r="D33" s="6">
        <f>Traslación_Pagos!S32</f>
        <v>-1000</v>
      </c>
      <c r="E33" s="6">
        <f>Traslación_Pagos!T32</f>
        <v>-1000</v>
      </c>
      <c r="F33" s="6">
        <f>Traslación_Pagos!U32</f>
        <v>-1000</v>
      </c>
      <c r="G33" s="6">
        <f>Traslación_Pagos!V32</f>
        <v>-1000</v>
      </c>
      <c r="H33" s="6">
        <f>Traslación_Pagos!W32</f>
        <v>-1000</v>
      </c>
      <c r="I33" s="6">
        <f>Traslación_Pagos!X32</f>
        <v>-1000</v>
      </c>
      <c r="J33" s="6">
        <f>Traslación_Pagos!Y32</f>
        <v>-1000</v>
      </c>
      <c r="K33" s="6">
        <f>Traslación_Pagos!Z32</f>
        <v>-1000</v>
      </c>
      <c r="L33" s="6">
        <f>Traslación_Pagos!AA32</f>
        <v>-1000</v>
      </c>
      <c r="M33" s="6">
        <f>Traslación_Pagos!AB32</f>
        <v>-1000</v>
      </c>
      <c r="N33" s="6">
        <f>Traslación_Pagos!AC32</f>
        <v>-1000</v>
      </c>
      <c r="O33" s="6">
        <f>Traslación_Pagos!AD32</f>
        <v>-1000</v>
      </c>
      <c r="Q33" s="6">
        <f>SUM(D33:O33)</f>
        <v>-12000</v>
      </c>
    </row>
    <row r="34" spans="2:18" x14ac:dyDescent="0.2">
      <c r="C34" s="21" t="s">
        <v>68</v>
      </c>
      <c r="D34" s="22">
        <f t="shared" ref="D34:O34" si="7">+D15+D19+D26+D31+D32+D33</f>
        <v>-176882.64285714284</v>
      </c>
      <c r="E34" s="22">
        <f t="shared" si="7"/>
        <v>-104147.5</v>
      </c>
      <c r="F34" s="22">
        <f t="shared" si="7"/>
        <v>-65884.5</v>
      </c>
      <c r="G34" s="22">
        <f t="shared" si="7"/>
        <v>-193492.5</v>
      </c>
      <c r="H34" s="22">
        <f t="shared" si="7"/>
        <v>-72391.5</v>
      </c>
      <c r="I34" s="22">
        <f t="shared" si="7"/>
        <v>-85826.5</v>
      </c>
      <c r="J34" s="22">
        <f t="shared" si="7"/>
        <v>-177995.5</v>
      </c>
      <c r="K34" s="22">
        <f t="shared" si="7"/>
        <v>-68761.5</v>
      </c>
      <c r="L34" s="22">
        <f t="shared" si="7"/>
        <v>-74206.5</v>
      </c>
      <c r="M34" s="22">
        <f t="shared" si="7"/>
        <v>-233745.5</v>
      </c>
      <c r="N34" s="22">
        <f t="shared" si="7"/>
        <v>-72391.5</v>
      </c>
      <c r="O34" s="22">
        <f t="shared" si="7"/>
        <v>-135826.5</v>
      </c>
      <c r="Q34" s="22">
        <f>+Q15+Q19+Q26+Q31+Q32+Q33</f>
        <v>-1461552.1428571427</v>
      </c>
    </row>
    <row r="35" spans="2:18" x14ac:dyDescent="0.2">
      <c r="B35" s="28" t="s">
        <v>69</v>
      </c>
      <c r="C35" s="28"/>
      <c r="D35" s="29">
        <f t="shared" ref="D35:O35" si="8">+D9+D34</f>
        <v>-37732.642857142841</v>
      </c>
      <c r="E35" s="29">
        <f t="shared" si="8"/>
        <v>120307.5</v>
      </c>
      <c r="F35" s="29">
        <f t="shared" si="8"/>
        <v>85365.5</v>
      </c>
      <c r="G35" s="29">
        <f t="shared" si="8"/>
        <v>61817.5</v>
      </c>
      <c r="H35" s="29">
        <f t="shared" si="8"/>
        <v>87933.5</v>
      </c>
      <c r="I35" s="29">
        <f t="shared" si="8"/>
        <v>161013.5</v>
      </c>
      <c r="J35" s="29">
        <f t="shared" si="8"/>
        <v>-31585.5</v>
      </c>
      <c r="K35" s="29">
        <f t="shared" si="8"/>
        <v>155088.5</v>
      </c>
      <c r="L35" s="29">
        <f t="shared" si="8"/>
        <v>77043.5</v>
      </c>
      <c r="M35" s="29">
        <f t="shared" si="8"/>
        <v>21564.5</v>
      </c>
      <c r="N35" s="29">
        <f t="shared" si="8"/>
        <v>87933.5</v>
      </c>
      <c r="O35" s="29">
        <f t="shared" si="8"/>
        <v>104963.5</v>
      </c>
      <c r="Q35" s="29">
        <f>+Q9+Q34</f>
        <v>893712.85714285728</v>
      </c>
    </row>
    <row r="36" spans="2:18" outlineLevel="1" x14ac:dyDescent="0.2">
      <c r="C36" s="5" t="s">
        <v>70</v>
      </c>
      <c r="D36" s="6">
        <v>-50000</v>
      </c>
      <c r="E36" s="6"/>
      <c r="F36" s="6"/>
      <c r="G36" s="6">
        <v>-15000</v>
      </c>
      <c r="H36" s="6"/>
      <c r="I36" s="6">
        <v>-10000</v>
      </c>
      <c r="J36" s="6"/>
      <c r="K36" s="6"/>
      <c r="L36" s="6">
        <v>-25000</v>
      </c>
      <c r="M36" s="6"/>
      <c r="N36" s="6"/>
      <c r="O36" s="6"/>
      <c r="Q36" s="6">
        <f>SUM(D36:O36)</f>
        <v>-100000</v>
      </c>
      <c r="R36" s="7"/>
    </row>
    <row r="37" spans="2:18" outlineLevel="1" x14ac:dyDescent="0.2">
      <c r="C37" s="5" t="s">
        <v>71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Q37" s="6">
        <f>SUM(D37:O37)</f>
        <v>0</v>
      </c>
    </row>
    <row r="38" spans="2:18" x14ac:dyDescent="0.2">
      <c r="C38" s="30" t="s">
        <v>72</v>
      </c>
      <c r="D38" s="31">
        <f t="shared" ref="D38:O38" si="9">SUM(D36:D37)</f>
        <v>-50000</v>
      </c>
      <c r="E38" s="31">
        <f t="shared" si="9"/>
        <v>0</v>
      </c>
      <c r="F38" s="31">
        <f t="shared" si="9"/>
        <v>0</v>
      </c>
      <c r="G38" s="31">
        <f t="shared" si="9"/>
        <v>-15000</v>
      </c>
      <c r="H38" s="31">
        <f t="shared" si="9"/>
        <v>0</v>
      </c>
      <c r="I38" s="31">
        <f t="shared" si="9"/>
        <v>-10000</v>
      </c>
      <c r="J38" s="31">
        <f t="shared" si="9"/>
        <v>0</v>
      </c>
      <c r="K38" s="31">
        <f t="shared" si="9"/>
        <v>0</v>
      </c>
      <c r="L38" s="31">
        <f t="shared" si="9"/>
        <v>-25000</v>
      </c>
      <c r="M38" s="31">
        <f t="shared" si="9"/>
        <v>0</v>
      </c>
      <c r="N38" s="31">
        <f t="shared" si="9"/>
        <v>0</v>
      </c>
      <c r="O38" s="31">
        <f t="shared" si="9"/>
        <v>0</v>
      </c>
      <c r="Q38" s="31">
        <f>SUM(Q36:Q37)</f>
        <v>-100000</v>
      </c>
    </row>
    <row r="39" spans="2:18" outlineLevel="1" x14ac:dyDescent="0.2">
      <c r="C39" s="5" t="s">
        <v>73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Q39" s="6">
        <f t="shared" ref="Q39:Q44" si="10">SUM(D39:O39)</f>
        <v>0</v>
      </c>
    </row>
    <row r="40" spans="2:18" outlineLevel="1" x14ac:dyDescent="0.2">
      <c r="C40" s="5" t="s">
        <v>74</v>
      </c>
      <c r="D40" s="6"/>
      <c r="E40" s="6"/>
      <c r="F40" s="6">
        <f>[1]Cuadro_vencimientos_y_devengos!D13</f>
        <v>-125000</v>
      </c>
      <c r="G40" s="6"/>
      <c r="H40" s="6"/>
      <c r="I40" s="6">
        <f>[1]Cuadro_vencimientos_y_devengos!G13</f>
        <v>-125000</v>
      </c>
      <c r="J40" s="6"/>
      <c r="K40" s="6"/>
      <c r="L40" s="6">
        <f>[1]Cuadro_vencimientos_y_devengos!J13</f>
        <v>-125000</v>
      </c>
      <c r="M40" s="6"/>
      <c r="N40" s="6"/>
      <c r="O40" s="6">
        <f>[1]Cuadro_vencimientos_y_devengos!M13</f>
        <v>-125000</v>
      </c>
      <c r="Q40" s="6">
        <f t="shared" si="10"/>
        <v>-500000</v>
      </c>
    </row>
    <row r="41" spans="2:18" outlineLevel="1" x14ac:dyDescent="0.2">
      <c r="C41" s="5" t="s">
        <v>75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Q41" s="6">
        <f t="shared" si="10"/>
        <v>0</v>
      </c>
    </row>
    <row r="42" spans="2:18" outlineLevel="1" x14ac:dyDescent="0.2">
      <c r="C42" s="5" t="s">
        <v>76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Q42" s="6">
        <f t="shared" si="10"/>
        <v>0</v>
      </c>
    </row>
    <row r="43" spans="2:18" outlineLevel="1" x14ac:dyDescent="0.2">
      <c r="C43" s="5" t="s">
        <v>77</v>
      </c>
      <c r="D43" s="6">
        <f>[1]Cuadro_vencimientos_y_devengos!B14</f>
        <v>3229.1666666666665</v>
      </c>
      <c r="E43" s="6">
        <f>[1]Cuadro_vencimientos_y_devengos!C14</f>
        <v>-3229.1666666666665</v>
      </c>
      <c r="F43" s="6">
        <f>[1]Cuadro_vencimientos_y_devengos!D14</f>
        <v>-2916.6666666666665</v>
      </c>
      <c r="G43" s="6">
        <f>[1]Cuadro_vencimientos_y_devengos!E14</f>
        <v>-3229.1666666666665</v>
      </c>
      <c r="H43" s="6">
        <f>[1]Cuadro_vencimientos_y_devengos!F14</f>
        <v>-3767.3611111111113</v>
      </c>
      <c r="I43" s="6">
        <f>[1]Cuadro_vencimientos_y_devengos!G14</f>
        <v>-3767.3611111111113</v>
      </c>
      <c r="J43" s="6">
        <f>[1]Cuadro_vencimientos_y_devengos!H14</f>
        <v>-3767.3611111111113</v>
      </c>
      <c r="K43" s="6">
        <f>[1]Cuadro_vencimientos_y_devengos!I14</f>
        <v>-4305.5555555555557</v>
      </c>
      <c r="L43" s="6">
        <f>[1]Cuadro_vencimientos_y_devengos!J14</f>
        <v>-4305.5555555555557</v>
      </c>
      <c r="M43" s="6">
        <f>[1]Cuadro_vencimientos_y_devengos!K14</f>
        <v>-4305.5555555555557</v>
      </c>
      <c r="N43" s="6">
        <f>[1]Cuadro_vencimientos_y_devengos!L14</f>
        <v>-4843.75</v>
      </c>
      <c r="O43" s="6">
        <f>[1]Cuadro_vencimientos_y_devengos!M14</f>
        <v>-4843.75</v>
      </c>
      <c r="Q43" s="6">
        <f t="shared" si="10"/>
        <v>-40052.083333333328</v>
      </c>
    </row>
    <row r="44" spans="2:18" outlineLevel="1" x14ac:dyDescent="0.2">
      <c r="C44" s="5" t="s">
        <v>78</v>
      </c>
      <c r="D44" s="6">
        <f>[1]Cuadro_vencimientos_y_devengos!B12</f>
        <v>-187.5</v>
      </c>
      <c r="E44" s="6">
        <f>[1]Cuadro_vencimientos_y_devengos!C12</f>
        <v>0</v>
      </c>
      <c r="F44" s="6">
        <f>[1]Cuadro_vencimientos_y_devengos!D12</f>
        <v>0</v>
      </c>
      <c r="G44" s="6">
        <f>[1]Cuadro_vencimientos_y_devengos!E12</f>
        <v>-1500</v>
      </c>
      <c r="H44" s="6">
        <f>[1]Cuadro_vencimientos_y_devengos!F12</f>
        <v>0</v>
      </c>
      <c r="I44" s="6">
        <f>[1]Cuadro_vencimientos_y_devengos!G12</f>
        <v>0</v>
      </c>
      <c r="J44" s="6">
        <f>[1]Cuadro_vencimientos_y_devengos!H12</f>
        <v>-187.5</v>
      </c>
      <c r="K44" s="6">
        <f>[1]Cuadro_vencimientos_y_devengos!I12</f>
        <v>0</v>
      </c>
      <c r="L44" s="6">
        <f>[1]Cuadro_vencimientos_y_devengos!J12</f>
        <v>0</v>
      </c>
      <c r="M44" s="6">
        <f>[1]Cuadro_vencimientos_y_devengos!K12</f>
        <v>0</v>
      </c>
      <c r="N44" s="6">
        <f>[1]Cuadro_vencimientos_y_devengos!L12</f>
        <v>-187.5</v>
      </c>
      <c r="O44" s="6">
        <f>[1]Cuadro_vencimientos_y_devengos!M12</f>
        <v>0</v>
      </c>
      <c r="Q44" s="6">
        <f t="shared" si="10"/>
        <v>-2062.5</v>
      </c>
    </row>
    <row r="45" spans="2:18" x14ac:dyDescent="0.2">
      <c r="C45" s="30" t="s">
        <v>79</v>
      </c>
      <c r="D45" s="31">
        <f t="shared" ref="D45:O45" si="11">SUM(D39:D44)</f>
        <v>3041.6666666666665</v>
      </c>
      <c r="E45" s="31">
        <f t="shared" si="11"/>
        <v>-3229.1666666666665</v>
      </c>
      <c r="F45" s="31">
        <f t="shared" si="11"/>
        <v>-127916.66666666667</v>
      </c>
      <c r="G45" s="31">
        <f t="shared" si="11"/>
        <v>-4729.1666666666661</v>
      </c>
      <c r="H45" s="31">
        <f t="shared" si="11"/>
        <v>-3767.3611111111113</v>
      </c>
      <c r="I45" s="31">
        <f t="shared" si="11"/>
        <v>-128767.36111111111</v>
      </c>
      <c r="J45" s="31">
        <f t="shared" si="11"/>
        <v>-3954.8611111111113</v>
      </c>
      <c r="K45" s="31">
        <f t="shared" si="11"/>
        <v>-4305.5555555555557</v>
      </c>
      <c r="L45" s="31">
        <f t="shared" si="11"/>
        <v>-129305.55555555556</v>
      </c>
      <c r="M45" s="31">
        <f t="shared" si="11"/>
        <v>-4305.5555555555557</v>
      </c>
      <c r="N45" s="31">
        <f t="shared" si="11"/>
        <v>-5031.25</v>
      </c>
      <c r="O45" s="31">
        <f t="shared" si="11"/>
        <v>-129843.75</v>
      </c>
      <c r="Q45" s="31">
        <f>SUM(Q39:Q44)</f>
        <v>-542114.58333333337</v>
      </c>
    </row>
    <row r="46" spans="2:18" outlineLevel="2" x14ac:dyDescent="0.2">
      <c r="C46" s="5" t="s">
        <v>80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Q46" s="6">
        <f>SUM(D46:O46)</f>
        <v>0</v>
      </c>
    </row>
    <row r="47" spans="2:18" outlineLevel="2" x14ac:dyDescent="0.2">
      <c r="C47" s="5" t="s">
        <v>81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Q47" s="6">
        <f>SUM(D47:O47)</f>
        <v>0</v>
      </c>
    </row>
    <row r="48" spans="2:18" outlineLevel="2" x14ac:dyDescent="0.2">
      <c r="C48" s="5" t="s">
        <v>82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Q48" s="6">
        <f>SUM(D48:O48)</f>
        <v>0</v>
      </c>
    </row>
    <row r="49" spans="2:17" outlineLevel="2" x14ac:dyDescent="0.2">
      <c r="C49" s="5" t="s">
        <v>83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Q49" s="6">
        <f>SUM(D49:O49)</f>
        <v>0</v>
      </c>
    </row>
    <row r="50" spans="2:17" outlineLevel="2" x14ac:dyDescent="0.2">
      <c r="C50" s="5" t="s">
        <v>84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Q50" s="6">
        <f>SUM(D50:O50)</f>
        <v>0</v>
      </c>
    </row>
    <row r="51" spans="2:17" x14ac:dyDescent="0.2">
      <c r="C51" s="30" t="s">
        <v>85</v>
      </c>
      <c r="D51" s="31">
        <f t="shared" ref="D51:O51" si="12">SUM(D46:D50)</f>
        <v>0</v>
      </c>
      <c r="E51" s="31">
        <f t="shared" si="12"/>
        <v>0</v>
      </c>
      <c r="F51" s="31">
        <f t="shared" si="12"/>
        <v>0</v>
      </c>
      <c r="G51" s="31">
        <f t="shared" si="12"/>
        <v>0</v>
      </c>
      <c r="H51" s="31">
        <f t="shared" si="12"/>
        <v>0</v>
      </c>
      <c r="I51" s="31">
        <f t="shared" si="12"/>
        <v>0</v>
      </c>
      <c r="J51" s="31">
        <f t="shared" si="12"/>
        <v>0</v>
      </c>
      <c r="K51" s="31">
        <f t="shared" si="12"/>
        <v>0</v>
      </c>
      <c r="L51" s="31">
        <f t="shared" si="12"/>
        <v>0</v>
      </c>
      <c r="M51" s="31">
        <f t="shared" si="12"/>
        <v>0</v>
      </c>
      <c r="N51" s="31">
        <f t="shared" si="12"/>
        <v>0</v>
      </c>
      <c r="O51" s="31">
        <f t="shared" si="12"/>
        <v>0</v>
      </c>
      <c r="Q51" s="31">
        <f>SUM(Q46:Q50)</f>
        <v>0</v>
      </c>
    </row>
    <row r="52" spans="2:17" outlineLevel="1" x14ac:dyDescent="0.2">
      <c r="C52" s="5" t="s">
        <v>86</v>
      </c>
      <c r="D52" s="6"/>
      <c r="E52" s="6"/>
      <c r="F52" s="6"/>
      <c r="G52" s="6"/>
      <c r="H52" s="6"/>
      <c r="I52" s="6"/>
      <c r="J52" s="6">
        <v>-200000</v>
      </c>
      <c r="K52" s="6"/>
      <c r="L52" s="6"/>
      <c r="M52" s="6"/>
      <c r="N52" s="6"/>
      <c r="O52" s="6"/>
      <c r="Q52" s="6">
        <f>SUM(D52:O52)</f>
        <v>-200000</v>
      </c>
    </row>
    <row r="53" spans="2:17" outlineLevel="1" x14ac:dyDescent="0.2">
      <c r="C53" s="5" t="s">
        <v>87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Q53" s="6">
        <f>SUM(D53:O53)</f>
        <v>0</v>
      </c>
    </row>
    <row r="54" spans="2:17" x14ac:dyDescent="0.2">
      <c r="C54" s="30" t="s">
        <v>88</v>
      </c>
      <c r="D54" s="31">
        <f t="shared" ref="D54:O54" si="13">SUM(D52:D53)</f>
        <v>0</v>
      </c>
      <c r="E54" s="31">
        <f t="shared" si="13"/>
        <v>0</v>
      </c>
      <c r="F54" s="31">
        <f t="shared" si="13"/>
        <v>0</v>
      </c>
      <c r="G54" s="31">
        <f t="shared" si="13"/>
        <v>0</v>
      </c>
      <c r="H54" s="31">
        <f t="shared" si="13"/>
        <v>0</v>
      </c>
      <c r="I54" s="31">
        <f t="shared" si="13"/>
        <v>0</v>
      </c>
      <c r="J54" s="31">
        <f t="shared" si="13"/>
        <v>-200000</v>
      </c>
      <c r="K54" s="31">
        <f t="shared" si="13"/>
        <v>0</v>
      </c>
      <c r="L54" s="31">
        <f t="shared" si="13"/>
        <v>0</v>
      </c>
      <c r="M54" s="31">
        <f t="shared" si="13"/>
        <v>0</v>
      </c>
      <c r="N54" s="31">
        <f t="shared" si="13"/>
        <v>0</v>
      </c>
      <c r="O54" s="31">
        <f t="shared" si="13"/>
        <v>0</v>
      </c>
      <c r="Q54" s="31">
        <f>SUM(Q52:Q53)</f>
        <v>-200000</v>
      </c>
    </row>
    <row r="55" spans="2:17" x14ac:dyDescent="0.2">
      <c r="B55" s="28" t="s">
        <v>89</v>
      </c>
      <c r="C55" s="28"/>
      <c r="D55" s="29">
        <f t="shared" ref="D55:O55" si="14">+D38+D45+D51+D54</f>
        <v>-46958.333333333336</v>
      </c>
      <c r="E55" s="29">
        <f t="shared" si="14"/>
        <v>-3229.1666666666665</v>
      </c>
      <c r="F55" s="29">
        <f t="shared" si="14"/>
        <v>-127916.66666666667</v>
      </c>
      <c r="G55" s="29">
        <f t="shared" si="14"/>
        <v>-19729.166666666664</v>
      </c>
      <c r="H55" s="29">
        <f t="shared" si="14"/>
        <v>-3767.3611111111113</v>
      </c>
      <c r="I55" s="29">
        <f t="shared" si="14"/>
        <v>-138767.36111111112</v>
      </c>
      <c r="J55" s="29">
        <f t="shared" si="14"/>
        <v>-203954.86111111112</v>
      </c>
      <c r="K55" s="29">
        <f t="shared" si="14"/>
        <v>-4305.5555555555557</v>
      </c>
      <c r="L55" s="29">
        <f t="shared" si="14"/>
        <v>-154305.55555555556</v>
      </c>
      <c r="M55" s="29">
        <f t="shared" si="14"/>
        <v>-4305.5555555555557</v>
      </c>
      <c r="N55" s="29">
        <f t="shared" si="14"/>
        <v>-5031.25</v>
      </c>
      <c r="O55" s="29">
        <f t="shared" si="14"/>
        <v>-129843.75</v>
      </c>
      <c r="Q55" s="29">
        <f>+Q38+Q45+Q51+Q54</f>
        <v>-842114.58333333337</v>
      </c>
    </row>
    <row r="56" spans="2:17" s="8" customFormat="1" x14ac:dyDescent="0.2">
      <c r="B56" s="23" t="s">
        <v>90</v>
      </c>
      <c r="C56" s="24"/>
      <c r="D56" s="25">
        <f t="shared" ref="D56:O56" si="15">+D4+D35+D55</f>
        <v>-39690.976190476176</v>
      </c>
      <c r="E56" s="25">
        <f t="shared" si="15"/>
        <v>77387.357142857145</v>
      </c>
      <c r="F56" s="25">
        <f t="shared" si="15"/>
        <v>34836.190476190488</v>
      </c>
      <c r="G56" s="25">
        <f t="shared" si="15"/>
        <v>76924.523809523816</v>
      </c>
      <c r="H56" s="25">
        <f t="shared" si="15"/>
        <v>161090.66269841269</v>
      </c>
      <c r="I56" s="25">
        <f t="shared" si="15"/>
        <v>183336.80158730154</v>
      </c>
      <c r="J56" s="25">
        <f t="shared" si="15"/>
        <v>-52203.559523809585</v>
      </c>
      <c r="K56" s="25">
        <f t="shared" si="15"/>
        <v>98579.384920634853</v>
      </c>
      <c r="L56" s="25">
        <f t="shared" si="15"/>
        <v>21317.329365079291</v>
      </c>
      <c r="M56" s="25">
        <f t="shared" si="15"/>
        <v>38576.273809523736</v>
      </c>
      <c r="N56" s="25">
        <f t="shared" si="15"/>
        <v>121478.52380952373</v>
      </c>
      <c r="O56" s="25">
        <f t="shared" si="15"/>
        <v>96598.273809523729</v>
      </c>
      <c r="Q56" s="25">
        <f>+Q4+Q35+Q55</f>
        <v>96598.273809523904</v>
      </c>
    </row>
    <row r="58" spans="2:17" x14ac:dyDescent="0.2">
      <c r="F58" s="7"/>
      <c r="H58" s="32"/>
    </row>
    <row r="59" spans="2:17" x14ac:dyDescent="0.2">
      <c r="C59" s="2" t="s">
        <v>91</v>
      </c>
    </row>
  </sheetData>
  <conditionalFormatting sqref="A56:XFD56">
    <cfRule type="cellIs" dxfId="1" priority="1" stopIfTrue="1" operator="lessThan">
      <formula>0</formula>
    </cfRule>
  </conditionalFormatting>
  <pageMargins left="0.70000000000000007" right="0.70000000000000007" top="0.75" bottom="0.75" header="0.30000000000000004" footer="0.3000000000000000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0"/>
  <sheetViews>
    <sheetView showGridLines="0" workbookViewId="0">
      <selection activeCell="D10" sqref="D10"/>
    </sheetView>
  </sheetViews>
  <sheetFormatPr defaultColWidth="11.42578125" defaultRowHeight="12.75" outlineLevelRow="2" x14ac:dyDescent="0.2"/>
  <cols>
    <col min="1" max="1" width="3.42578125" style="2" customWidth="1"/>
    <col min="2" max="2" width="2.140625" style="2" customWidth="1"/>
    <col min="3" max="3" width="32.85546875" style="2" bestFit="1" customWidth="1"/>
    <col min="4" max="5" width="8" style="2" bestFit="1" customWidth="1"/>
    <col min="6" max="6" width="11.140625" style="2" customWidth="1"/>
    <col min="7" max="7" width="13.28515625" style="2" customWidth="1"/>
    <col min="8" max="8" width="12.28515625" style="2" customWidth="1"/>
    <col min="9" max="9" width="13.28515625" style="2" customWidth="1"/>
    <col min="10" max="10" width="10.7109375" style="2" customWidth="1"/>
    <col min="11" max="11" width="12.5703125" style="2" customWidth="1"/>
    <col min="12" max="13" width="8" style="2" bestFit="1" customWidth="1"/>
    <col min="14" max="14" width="7.42578125" style="2" bestFit="1" customWidth="1"/>
    <col min="15" max="15" width="10" style="2" customWidth="1"/>
    <col min="16" max="16" width="1.7109375" style="2" customWidth="1"/>
    <col min="17" max="17" width="14.85546875" style="2" customWidth="1"/>
    <col min="18" max="18" width="11.42578125" style="2" customWidth="1"/>
    <col min="19" max="16384" width="11.42578125" style="2"/>
  </cols>
  <sheetData>
    <row r="1" spans="1:17" x14ac:dyDescent="0.2">
      <c r="A1" s="1" t="s">
        <v>95</v>
      </c>
    </row>
    <row r="3" spans="1:17" x14ac:dyDescent="0.2">
      <c r="B3" s="11" t="s">
        <v>36</v>
      </c>
      <c r="C3" s="11"/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Q3" s="12" t="s">
        <v>66</v>
      </c>
    </row>
    <row r="4" spans="1:17" s="8" customFormat="1" x14ac:dyDescent="0.2">
      <c r="B4" s="23" t="s">
        <v>67</v>
      </c>
      <c r="C4" s="24"/>
      <c r="D4" s="25">
        <v>45000</v>
      </c>
      <c r="E4" s="25">
        <f t="shared" ref="E4:O4" si="0">+D56</f>
        <v>10309.023809523826</v>
      </c>
      <c r="F4" s="25">
        <f t="shared" si="0"/>
        <v>77387.357142857159</v>
      </c>
      <c r="G4" s="25">
        <f t="shared" si="0"/>
        <v>34836.190476190488</v>
      </c>
      <c r="H4" s="25">
        <f t="shared" si="0"/>
        <v>76924.523809523816</v>
      </c>
      <c r="I4" s="25">
        <f t="shared" si="0"/>
        <v>161090.66269841269</v>
      </c>
      <c r="J4" s="25">
        <f t="shared" si="0"/>
        <v>183336.80158730154</v>
      </c>
      <c r="K4" s="25">
        <f t="shared" si="0"/>
        <v>-52203.559523809585</v>
      </c>
      <c r="L4" s="25">
        <f t="shared" si="0"/>
        <v>98579.384920634853</v>
      </c>
      <c r="M4" s="25">
        <f t="shared" si="0"/>
        <v>21317.329365079291</v>
      </c>
      <c r="N4" s="25">
        <f t="shared" si="0"/>
        <v>38576.273809523736</v>
      </c>
      <c r="O4" s="25">
        <f t="shared" si="0"/>
        <v>121478.52380952373</v>
      </c>
      <c r="Q4" s="25">
        <f>+D4</f>
        <v>45000</v>
      </c>
    </row>
    <row r="5" spans="1:17" outlineLevel="1" x14ac:dyDescent="0.2">
      <c r="C5" s="5" t="s">
        <v>18</v>
      </c>
      <c r="D5" s="6">
        <f>Traslación_Cobros!E12</f>
        <v>60500</v>
      </c>
      <c r="E5" s="6">
        <f>Traslación_Cobros!F12</f>
        <v>60500</v>
      </c>
      <c r="F5" s="6">
        <f>Traslación_Cobros!G12</f>
        <v>60500</v>
      </c>
      <c r="G5" s="6">
        <f>Traslación_Cobros!H12</f>
        <v>60500</v>
      </c>
      <c r="H5" s="6">
        <f>Traslación_Cobros!I12</f>
        <v>60500</v>
      </c>
      <c r="I5" s="6">
        <f>Traslación_Cobros!J12</f>
        <v>60500</v>
      </c>
      <c r="J5" s="6">
        <f>Traslación_Cobros!K12</f>
        <v>60500</v>
      </c>
      <c r="K5" s="6">
        <f>Traslación_Cobros!L12</f>
        <v>60500</v>
      </c>
      <c r="L5" s="6">
        <f>Traslación_Cobros!M12</f>
        <v>60500</v>
      </c>
      <c r="M5" s="6">
        <f>Traslación_Cobros!N12</f>
        <v>60500</v>
      </c>
      <c r="N5" s="6">
        <f>Traslación_Cobros!O12</f>
        <v>60500</v>
      </c>
      <c r="O5" s="6">
        <f>Traslación_Cobros!P12</f>
        <v>60500</v>
      </c>
      <c r="Q5" s="6">
        <f>SUM(D5:O5)</f>
        <v>726000</v>
      </c>
    </row>
    <row r="6" spans="1:17" outlineLevel="1" x14ac:dyDescent="0.2">
      <c r="C6" s="5" t="s">
        <v>20</v>
      </c>
      <c r="D6" s="6">
        <f>Traslación_Cobros!E13</f>
        <v>0</v>
      </c>
      <c r="E6" s="6">
        <f>Traslación_Cobros!F13</f>
        <v>72600</v>
      </c>
      <c r="F6" s="6">
        <f>Traslación_Cobros!G13</f>
        <v>0</v>
      </c>
      <c r="G6" s="6">
        <f>Traslación_Cobros!H13</f>
        <v>96800</v>
      </c>
      <c r="H6" s="6">
        <f>Traslación_Cobros!I13</f>
        <v>0</v>
      </c>
      <c r="I6" s="6">
        <f>Traslación_Cobros!J13</f>
        <v>90750</v>
      </c>
      <c r="J6" s="6">
        <f>Traslación_Cobros!K13</f>
        <v>0</v>
      </c>
      <c r="K6" s="6">
        <f>Traslación_Cobros!L13</f>
        <v>72600</v>
      </c>
      <c r="L6" s="6">
        <f>Traslación_Cobros!M13</f>
        <v>0</v>
      </c>
      <c r="M6" s="6">
        <f>Traslación_Cobros!N13</f>
        <v>96800</v>
      </c>
      <c r="N6" s="6">
        <f>Traslación_Cobros!O13</f>
        <v>0</v>
      </c>
      <c r="O6" s="6">
        <f>Traslación_Cobros!P13</f>
        <v>84700</v>
      </c>
      <c r="Q6" s="6">
        <f>SUM(D6:O6)</f>
        <v>514250</v>
      </c>
    </row>
    <row r="7" spans="1:17" outlineLevel="1" x14ac:dyDescent="0.2">
      <c r="C7" s="5" t="s">
        <v>21</v>
      </c>
      <c r="D7" s="6">
        <f>Traslación_Cobros!E14</f>
        <v>51425</v>
      </c>
      <c r="E7" s="6">
        <f>Traslación_Cobros!F14</f>
        <v>67155</v>
      </c>
      <c r="F7" s="6">
        <f>Traslación_Cobros!G14</f>
        <v>63525</v>
      </c>
      <c r="G7" s="6">
        <f>Traslación_Cobros!H14</f>
        <v>70785</v>
      </c>
      <c r="H7" s="6">
        <f>Traslación_Cobros!I14</f>
        <v>66550</v>
      </c>
      <c r="I7" s="6">
        <f>Traslación_Cobros!J14</f>
        <v>62315</v>
      </c>
      <c r="J7" s="6">
        <f>Traslación_Cobros!K14</f>
        <v>58685</v>
      </c>
      <c r="K7" s="6">
        <f>Traslación_Cobros!L14</f>
        <v>63525</v>
      </c>
      <c r="L7" s="6">
        <f>Traslación_Cobros!M14</f>
        <v>63525</v>
      </c>
      <c r="M7" s="6">
        <f>Traslación_Cobros!N14</f>
        <v>70785</v>
      </c>
      <c r="N7" s="6">
        <f>Traslación_Cobros!O14</f>
        <v>66550</v>
      </c>
      <c r="O7" s="6">
        <f>Traslación_Cobros!P14</f>
        <v>62315</v>
      </c>
      <c r="Q7" s="6">
        <f>SUM(D7:O7)</f>
        <v>767140</v>
      </c>
    </row>
    <row r="8" spans="1:17" outlineLevel="1" x14ac:dyDescent="0.2">
      <c r="C8" s="5" t="s">
        <v>23</v>
      </c>
      <c r="D8" s="6">
        <f>Traslación_Cobros!E15</f>
        <v>27225</v>
      </c>
      <c r="E8" s="6">
        <f>Traslación_Cobros!F15</f>
        <v>24200</v>
      </c>
      <c r="F8" s="6">
        <f>Traslación_Cobros!G15</f>
        <v>27225</v>
      </c>
      <c r="G8" s="6">
        <f>Traslación_Cobros!H15</f>
        <v>27225</v>
      </c>
      <c r="H8" s="6">
        <f>Traslación_Cobros!I15</f>
        <v>33275</v>
      </c>
      <c r="I8" s="6">
        <f>Traslación_Cobros!J15</f>
        <v>33275</v>
      </c>
      <c r="J8" s="6">
        <f>Traslación_Cobros!K15</f>
        <v>27225</v>
      </c>
      <c r="K8" s="6">
        <f>Traslación_Cobros!L15</f>
        <v>27225</v>
      </c>
      <c r="L8" s="6">
        <f>Traslación_Cobros!M15</f>
        <v>27225</v>
      </c>
      <c r="M8" s="6">
        <f>Traslación_Cobros!N15</f>
        <v>27225</v>
      </c>
      <c r="N8" s="6">
        <f>Traslación_Cobros!O15</f>
        <v>33275</v>
      </c>
      <c r="O8" s="6">
        <f>Traslación_Cobros!P15</f>
        <v>33275</v>
      </c>
      <c r="Q8" s="6">
        <f>SUM(D8:O8)</f>
        <v>347875</v>
      </c>
    </row>
    <row r="9" spans="1:17" x14ac:dyDescent="0.2">
      <c r="C9" s="9" t="s">
        <v>27</v>
      </c>
      <c r="D9" s="10">
        <f t="shared" ref="D9:O9" si="1">SUM(D5:D8)</f>
        <v>139150</v>
      </c>
      <c r="E9" s="10">
        <f t="shared" si="1"/>
        <v>224455</v>
      </c>
      <c r="F9" s="10">
        <f t="shared" si="1"/>
        <v>151250</v>
      </c>
      <c r="G9" s="10">
        <f t="shared" si="1"/>
        <v>255310</v>
      </c>
      <c r="H9" s="10">
        <f t="shared" si="1"/>
        <v>160325</v>
      </c>
      <c r="I9" s="10">
        <f t="shared" si="1"/>
        <v>246840</v>
      </c>
      <c r="J9" s="10">
        <f t="shared" si="1"/>
        <v>146410</v>
      </c>
      <c r="K9" s="10">
        <f t="shared" si="1"/>
        <v>223850</v>
      </c>
      <c r="L9" s="10">
        <f t="shared" si="1"/>
        <v>151250</v>
      </c>
      <c r="M9" s="10">
        <f t="shared" si="1"/>
        <v>255310</v>
      </c>
      <c r="N9" s="10">
        <f t="shared" si="1"/>
        <v>160325</v>
      </c>
      <c r="O9" s="10">
        <f t="shared" si="1"/>
        <v>240790</v>
      </c>
      <c r="Q9" s="10">
        <f>SUM(Q5:Q8)</f>
        <v>2355265</v>
      </c>
    </row>
    <row r="10" spans="1:17" outlineLevel="1" x14ac:dyDescent="0.2">
      <c r="C10" s="5" t="s">
        <v>38</v>
      </c>
      <c r="D10" s="6">
        <f>Traslación_Pagos!S9</f>
        <v>-14039.999999999998</v>
      </c>
      <c r="E10" s="6">
        <f>Traslación_Pagos!T9</f>
        <v>-14039.999999999998</v>
      </c>
      <c r="F10" s="6">
        <f>Traslación_Pagos!U9</f>
        <v>-14039.999999999998</v>
      </c>
      <c r="G10" s="6">
        <f>Traslación_Pagos!V9</f>
        <v>-14039.999999999998</v>
      </c>
      <c r="H10" s="6">
        <f>Traslación_Pagos!W9</f>
        <v>-14039.999999999998</v>
      </c>
      <c r="I10" s="6">
        <f>Traslación_Pagos!X9</f>
        <v>-14039.999999999998</v>
      </c>
      <c r="J10" s="6">
        <f>Traslación_Pagos!Y9</f>
        <v>-14039.999999999998</v>
      </c>
      <c r="K10" s="6">
        <f>Traslación_Pagos!Z9</f>
        <v>-14039.999999999998</v>
      </c>
      <c r="L10" s="6">
        <f>Traslación_Pagos!AA9</f>
        <v>-14039.999999999998</v>
      </c>
      <c r="M10" s="6">
        <f>Traslación_Pagos!AB9</f>
        <v>-14039.999999999998</v>
      </c>
      <c r="N10" s="6">
        <f>Traslación_Pagos!AC9</f>
        <v>-14039.999999999998</v>
      </c>
      <c r="O10" s="6">
        <f>Traslación_Pagos!AD9</f>
        <v>-14039.999999999998</v>
      </c>
      <c r="Q10" s="6">
        <f>SUM(D10:O10)</f>
        <v>-168479.99999999997</v>
      </c>
    </row>
    <row r="11" spans="1:17" outlineLevel="1" x14ac:dyDescent="0.2">
      <c r="C11" s="5" t="s">
        <v>39</v>
      </c>
      <c r="D11" s="6">
        <f>Traslación_Pagos!S10</f>
        <v>0</v>
      </c>
      <c r="E11" s="6">
        <f>Traslación_Pagos!T10</f>
        <v>0</v>
      </c>
      <c r="F11" s="6">
        <f>Traslación_Pagos!U10</f>
        <v>0</v>
      </c>
      <c r="G11" s="6">
        <f>Traslación_Pagos!V10</f>
        <v>0</v>
      </c>
      <c r="H11" s="6">
        <f>Traslación_Pagos!W10</f>
        <v>0</v>
      </c>
      <c r="I11" s="6">
        <f>Traslación_Pagos!X10</f>
        <v>-14039.999999999998</v>
      </c>
      <c r="J11" s="6">
        <f>Traslación_Pagos!Y10</f>
        <v>0</v>
      </c>
      <c r="K11" s="6">
        <f>Traslación_Pagos!Z10</f>
        <v>0</v>
      </c>
      <c r="L11" s="6">
        <f>Traslación_Pagos!AA10</f>
        <v>0</v>
      </c>
      <c r="M11" s="6">
        <f>Traslación_Pagos!AB10</f>
        <v>0</v>
      </c>
      <c r="N11" s="6">
        <f>Traslación_Pagos!AC10</f>
        <v>0</v>
      </c>
      <c r="O11" s="6">
        <f>Traslación_Pagos!AD10</f>
        <v>-14039.999999999998</v>
      </c>
      <c r="Q11" s="6">
        <f>SUM(D11:O11)</f>
        <v>-28079.999999999996</v>
      </c>
    </row>
    <row r="12" spans="1:17" outlineLevel="1" x14ac:dyDescent="0.2">
      <c r="C12" s="5" t="s">
        <v>40</v>
      </c>
      <c r="D12" s="6">
        <f>Traslación_Pagos!S11</f>
        <v>-10697.142857142857</v>
      </c>
      <c r="E12" s="6">
        <f>Traslación_Pagos!T11</f>
        <v>0</v>
      </c>
      <c r="F12" s="6">
        <f>Traslación_Pagos!U11</f>
        <v>0</v>
      </c>
      <c r="G12" s="6">
        <f>Traslación_Pagos!V11</f>
        <v>-12672</v>
      </c>
      <c r="H12" s="6">
        <f>Traslación_Pagos!W11</f>
        <v>0</v>
      </c>
      <c r="I12" s="6">
        <f>Traslación_Pagos!X11</f>
        <v>0</v>
      </c>
      <c r="J12" s="6">
        <f>Traslación_Pagos!Y11</f>
        <v>-11520</v>
      </c>
      <c r="K12" s="6">
        <f>Traslación_Pagos!Z11</f>
        <v>0</v>
      </c>
      <c r="L12" s="6">
        <f>Traslación_Pagos!AA11</f>
        <v>0</v>
      </c>
      <c r="M12" s="6">
        <f>Traslación_Pagos!AB11</f>
        <v>-8640</v>
      </c>
      <c r="N12" s="6">
        <f>Traslación_Pagos!AC11</f>
        <v>0</v>
      </c>
      <c r="O12" s="6">
        <f>Traslación_Pagos!AD11</f>
        <v>0</v>
      </c>
      <c r="Q12" s="6">
        <f>SUM(D12:O12)</f>
        <v>-43529.142857142855</v>
      </c>
    </row>
    <row r="13" spans="1:17" outlineLevel="1" x14ac:dyDescent="0.2">
      <c r="C13" s="5" t="s">
        <v>41</v>
      </c>
      <c r="D13" s="6">
        <f>Traslación_Pagos!S12</f>
        <v>0</v>
      </c>
      <c r="E13" s="6">
        <f>Traslación_Pagos!T12</f>
        <v>-19655.999999999996</v>
      </c>
      <c r="F13" s="6">
        <f>Traslación_Pagos!U12</f>
        <v>0</v>
      </c>
      <c r="G13" s="6">
        <f>Traslación_Pagos!V12</f>
        <v>0</v>
      </c>
      <c r="H13" s="6">
        <f>Traslación_Pagos!W12</f>
        <v>0</v>
      </c>
      <c r="I13" s="6">
        <f>Traslación_Pagos!X12</f>
        <v>0</v>
      </c>
      <c r="J13" s="6">
        <f>Traslación_Pagos!Y12</f>
        <v>0</v>
      </c>
      <c r="K13" s="6">
        <f>Traslación_Pagos!Z12</f>
        <v>0</v>
      </c>
      <c r="L13" s="6">
        <f>Traslación_Pagos!AA12</f>
        <v>0</v>
      </c>
      <c r="M13" s="6">
        <f>Traslación_Pagos!AB12</f>
        <v>0</v>
      </c>
      <c r="N13" s="6">
        <f>Traslación_Pagos!AC12</f>
        <v>0</v>
      </c>
      <c r="O13" s="6">
        <f>Traslación_Pagos!AD12</f>
        <v>0</v>
      </c>
      <c r="Q13" s="6">
        <f>SUM(D13:O13)</f>
        <v>-19655.999999999996</v>
      </c>
    </row>
    <row r="14" spans="1:17" outlineLevel="1" x14ac:dyDescent="0.2">
      <c r="C14" s="5" t="s">
        <v>43</v>
      </c>
      <c r="D14" s="6">
        <f>Traslación_Pagos!S13</f>
        <v>-7020</v>
      </c>
      <c r="E14" s="6">
        <f>Traslación_Pagos!T13</f>
        <v>-7560</v>
      </c>
      <c r="F14" s="6">
        <f>Traslación_Pagos!U13</f>
        <v>-17388</v>
      </c>
      <c r="G14" s="6">
        <f>Traslación_Pagos!V13</f>
        <v>-7560</v>
      </c>
      <c r="H14" s="6">
        <f>Traslación_Pagos!W13</f>
        <v>-7560</v>
      </c>
      <c r="I14" s="6">
        <f>Traslación_Pagos!X13</f>
        <v>-7560</v>
      </c>
      <c r="J14" s="6">
        <f>Traslación_Pagos!Y13</f>
        <v>-7560</v>
      </c>
      <c r="K14" s="6">
        <f>Traslación_Pagos!Z13</f>
        <v>-7560</v>
      </c>
      <c r="L14" s="6">
        <f>Traslación_Pagos!AA13</f>
        <v>-7560</v>
      </c>
      <c r="M14" s="6">
        <f>Traslación_Pagos!AB13</f>
        <v>-7560</v>
      </c>
      <c r="N14" s="6">
        <f>Traslación_Pagos!AC13</f>
        <v>-7560</v>
      </c>
      <c r="O14" s="6">
        <f>Traslación_Pagos!AD13</f>
        <v>-7560</v>
      </c>
      <c r="Q14" s="6">
        <f>SUM(D14:O14)</f>
        <v>-100008</v>
      </c>
    </row>
    <row r="15" spans="1:17" x14ac:dyDescent="0.2">
      <c r="C15" s="26" t="s">
        <v>44</v>
      </c>
      <c r="D15" s="27">
        <f t="shared" ref="D15:O15" si="2">SUM(D10:D14)</f>
        <v>-31757.142857142855</v>
      </c>
      <c r="E15" s="27">
        <f t="shared" si="2"/>
        <v>-41255.999999999993</v>
      </c>
      <c r="F15" s="27">
        <f t="shared" si="2"/>
        <v>-31428</v>
      </c>
      <c r="G15" s="27">
        <f t="shared" si="2"/>
        <v>-34272</v>
      </c>
      <c r="H15" s="27">
        <f t="shared" si="2"/>
        <v>-21600</v>
      </c>
      <c r="I15" s="27">
        <f t="shared" si="2"/>
        <v>-35640</v>
      </c>
      <c r="J15" s="27">
        <f t="shared" si="2"/>
        <v>-33120</v>
      </c>
      <c r="K15" s="27">
        <f t="shared" si="2"/>
        <v>-21600</v>
      </c>
      <c r="L15" s="27">
        <f t="shared" si="2"/>
        <v>-21600</v>
      </c>
      <c r="M15" s="27">
        <f t="shared" si="2"/>
        <v>-30240</v>
      </c>
      <c r="N15" s="27">
        <f t="shared" si="2"/>
        <v>-21600</v>
      </c>
      <c r="O15" s="27">
        <f t="shared" si="2"/>
        <v>-35640</v>
      </c>
      <c r="Q15" s="27">
        <f>SUM(Q10:Q14)</f>
        <v>-359753.14285714284</v>
      </c>
    </row>
    <row r="16" spans="1:17" outlineLevel="1" x14ac:dyDescent="0.2">
      <c r="C16" s="5" t="s">
        <v>45</v>
      </c>
      <c r="D16" s="6">
        <f>Traslación_Pagos!S15</f>
        <v>-25410</v>
      </c>
      <c r="E16" s="6">
        <f>Traslación_Pagos!T15</f>
        <v>-8470</v>
      </c>
      <c r="F16" s="6">
        <f>Traslación_Pagos!U15</f>
        <v>-9680</v>
      </c>
      <c r="G16" s="6">
        <f>Traslación_Pagos!V15</f>
        <v>-12100</v>
      </c>
      <c r="H16" s="6">
        <f>Traslación_Pagos!W15</f>
        <v>-13310</v>
      </c>
      <c r="I16" s="6">
        <f>Traslación_Pagos!X15</f>
        <v>-14520</v>
      </c>
      <c r="J16" s="6">
        <f>Traslación_Pagos!Y15</f>
        <v>-13310</v>
      </c>
      <c r="K16" s="6">
        <f>Traslación_Pagos!Z15</f>
        <v>-14520</v>
      </c>
      <c r="L16" s="6">
        <f>Traslación_Pagos!AA15</f>
        <v>-15730</v>
      </c>
      <c r="M16" s="6">
        <f>Traslación_Pagos!AB15</f>
        <v>-12100</v>
      </c>
      <c r="N16" s="6">
        <f>Traslación_Pagos!AC15</f>
        <v>-13310</v>
      </c>
      <c r="O16" s="6">
        <f>Traslación_Pagos!AD15</f>
        <v>-14520</v>
      </c>
      <c r="Q16" s="6">
        <f>SUM(D16:O16)</f>
        <v>-166980</v>
      </c>
    </row>
    <row r="17" spans="3:17" outlineLevel="1" x14ac:dyDescent="0.2">
      <c r="C17" s="5" t="s">
        <v>46</v>
      </c>
      <c r="D17" s="6">
        <f>Traslación_Pagos!S16</f>
        <v>-29040</v>
      </c>
      <c r="E17" s="6">
        <f>Traslación_Pagos!T16</f>
        <v>-41140</v>
      </c>
      <c r="F17" s="6">
        <f>Traslación_Pagos!U16</f>
        <v>-9075</v>
      </c>
      <c r="G17" s="6">
        <f>Traslación_Pagos!V16</f>
        <v>-11495</v>
      </c>
      <c r="H17" s="6">
        <f>Traslación_Pagos!W16</f>
        <v>-22990</v>
      </c>
      <c r="I17" s="6">
        <f>Traslación_Pagos!X16</f>
        <v>-20570</v>
      </c>
      <c r="J17" s="6">
        <f>Traslación_Pagos!Y16</f>
        <v>-21175</v>
      </c>
      <c r="K17" s="6">
        <f>Traslación_Pagos!Z16</f>
        <v>-20570</v>
      </c>
      <c r="L17" s="6">
        <f>Traslación_Pagos!AA16</f>
        <v>-21175</v>
      </c>
      <c r="M17" s="6">
        <f>Traslación_Pagos!AB16</f>
        <v>-21780</v>
      </c>
      <c r="N17" s="6">
        <f>Traslación_Pagos!AC16</f>
        <v>-22990</v>
      </c>
      <c r="O17" s="6">
        <f>Traslación_Pagos!AD16</f>
        <v>-20570</v>
      </c>
      <c r="Q17" s="6">
        <f>SUM(D17:O17)</f>
        <v>-262570</v>
      </c>
    </row>
    <row r="18" spans="3:17" outlineLevel="1" x14ac:dyDescent="0.2">
      <c r="C18" s="5" t="s">
        <v>47</v>
      </c>
      <c r="D18" s="6">
        <f>Traslación_Pagos!S17</f>
        <v>-15730</v>
      </c>
      <c r="E18" s="6">
        <f>Traslación_Pagos!T17</f>
        <v>-4840</v>
      </c>
      <c r="F18" s="6">
        <f>Traslación_Pagos!U17</f>
        <v>-5445</v>
      </c>
      <c r="G18" s="6">
        <f>Traslación_Pagos!V17</f>
        <v>-3630</v>
      </c>
      <c r="H18" s="6">
        <f>Traslación_Pagos!W17</f>
        <v>-6050</v>
      </c>
      <c r="I18" s="6">
        <f>Traslación_Pagos!X17</f>
        <v>-4840</v>
      </c>
      <c r="J18" s="6">
        <f>Traslación_Pagos!Y17</f>
        <v>-5445</v>
      </c>
      <c r="K18" s="6">
        <f>Traslación_Pagos!Z17</f>
        <v>-3630</v>
      </c>
      <c r="L18" s="6">
        <f>Traslación_Pagos!AA17</f>
        <v>-5445</v>
      </c>
      <c r="M18" s="6">
        <f>Traslación_Pagos!AB17</f>
        <v>-3630</v>
      </c>
      <c r="N18" s="6">
        <f>Traslación_Pagos!AC17</f>
        <v>-6050</v>
      </c>
      <c r="O18" s="6">
        <f>Traslación_Pagos!AD17</f>
        <v>-4840</v>
      </c>
      <c r="Q18" s="6">
        <f>SUM(D18:O18)</f>
        <v>-69575</v>
      </c>
    </row>
    <row r="19" spans="3:17" x14ac:dyDescent="0.2">
      <c r="C19" s="26" t="s">
        <v>48</v>
      </c>
      <c r="D19" s="27">
        <f t="shared" ref="D19:O19" si="3">SUM(D16:D18)</f>
        <v>-70180</v>
      </c>
      <c r="E19" s="27">
        <f t="shared" si="3"/>
        <v>-54450</v>
      </c>
      <c r="F19" s="27">
        <f t="shared" si="3"/>
        <v>-24200</v>
      </c>
      <c r="G19" s="27">
        <f t="shared" si="3"/>
        <v>-27225</v>
      </c>
      <c r="H19" s="27">
        <f t="shared" si="3"/>
        <v>-42350</v>
      </c>
      <c r="I19" s="27">
        <f t="shared" si="3"/>
        <v>-39930</v>
      </c>
      <c r="J19" s="27">
        <f t="shared" si="3"/>
        <v>-39930</v>
      </c>
      <c r="K19" s="27">
        <f t="shared" si="3"/>
        <v>-38720</v>
      </c>
      <c r="L19" s="27">
        <f t="shared" si="3"/>
        <v>-42350</v>
      </c>
      <c r="M19" s="27">
        <f t="shared" si="3"/>
        <v>-37510</v>
      </c>
      <c r="N19" s="27">
        <f t="shared" si="3"/>
        <v>-42350</v>
      </c>
      <c r="O19" s="27">
        <f t="shared" si="3"/>
        <v>-39930</v>
      </c>
      <c r="Q19" s="27">
        <f>SUM(Q16:Q18)</f>
        <v>-499125</v>
      </c>
    </row>
    <row r="20" spans="3:17" outlineLevel="1" x14ac:dyDescent="0.2">
      <c r="C20" s="5" t="s">
        <v>49</v>
      </c>
      <c r="D20" s="6">
        <f>Traslación_Pagos!S19</f>
        <v>-1530</v>
      </c>
      <c r="E20" s="6">
        <f>Traslación_Pagos!T19</f>
        <v>-1530</v>
      </c>
      <c r="F20" s="6">
        <f>Traslación_Pagos!U19</f>
        <v>-1530</v>
      </c>
      <c r="G20" s="6">
        <f>Traslación_Pagos!V19</f>
        <v>-1530</v>
      </c>
      <c r="H20" s="6">
        <f>Traslación_Pagos!W19</f>
        <v>-1530</v>
      </c>
      <c r="I20" s="6">
        <f>Traslación_Pagos!X19</f>
        <v>-1530</v>
      </c>
      <c r="J20" s="6">
        <f>Traslación_Pagos!Y19</f>
        <v>-1530</v>
      </c>
      <c r="K20" s="6">
        <f>Traslación_Pagos!Z19</f>
        <v>-1530</v>
      </c>
      <c r="L20" s="6">
        <f>Traslación_Pagos!AA19</f>
        <v>-1530</v>
      </c>
      <c r="M20" s="6">
        <f>Traslación_Pagos!AB19</f>
        <v>-1530</v>
      </c>
      <c r="N20" s="6">
        <f>Traslación_Pagos!AC19</f>
        <v>-1530</v>
      </c>
      <c r="O20" s="6">
        <f>Traslación_Pagos!AD19</f>
        <v>-1530</v>
      </c>
      <c r="Q20" s="6">
        <f t="shared" ref="Q20:Q25" si="4">SUM(D20:O20)</f>
        <v>-18360</v>
      </c>
    </row>
    <row r="21" spans="3:17" outlineLevel="1" x14ac:dyDescent="0.2">
      <c r="C21" s="5" t="s">
        <v>50</v>
      </c>
      <c r="D21" s="6">
        <f>Traslación_Pagos!S20</f>
        <v>-1020</v>
      </c>
      <c r="E21" s="6">
        <f>Traslación_Pagos!T20</f>
        <v>-816</v>
      </c>
      <c r="F21" s="6">
        <f>Traslación_Pagos!U20</f>
        <v>-816</v>
      </c>
      <c r="G21" s="6">
        <f>Traslación_Pagos!V20</f>
        <v>-1020</v>
      </c>
      <c r="H21" s="6">
        <f>Traslación_Pagos!W20</f>
        <v>-816</v>
      </c>
      <c r="I21" s="6">
        <f>Traslación_Pagos!X20</f>
        <v>-816</v>
      </c>
      <c r="J21" s="6">
        <f>Traslación_Pagos!Y20</f>
        <v>-1020</v>
      </c>
      <c r="K21" s="6">
        <f>Traslación_Pagos!Z20</f>
        <v>-816</v>
      </c>
      <c r="L21" s="6">
        <f>Traslación_Pagos!AA20</f>
        <v>-816</v>
      </c>
      <c r="M21" s="6">
        <f>Traslación_Pagos!AB20</f>
        <v>-1020</v>
      </c>
      <c r="N21" s="6">
        <f>Traslación_Pagos!AC20</f>
        <v>-816</v>
      </c>
      <c r="O21" s="6">
        <f>Traslación_Pagos!AD20</f>
        <v>-816</v>
      </c>
      <c r="Q21" s="6">
        <f t="shared" si="4"/>
        <v>-10608</v>
      </c>
    </row>
    <row r="22" spans="3:17" outlineLevel="1" x14ac:dyDescent="0.2">
      <c r="C22" s="5" t="s">
        <v>51</v>
      </c>
      <c r="D22" s="6">
        <f>Traslación_Pagos!S21</f>
        <v>-544.5</v>
      </c>
      <c r="E22" s="6">
        <f>Traslación_Pagos!T21</f>
        <v>-544.5</v>
      </c>
      <c r="F22" s="6">
        <f>Traslación_Pagos!U21</f>
        <v>-544.5</v>
      </c>
      <c r="G22" s="6">
        <f>Traslación_Pagos!V21</f>
        <v>-544.5</v>
      </c>
      <c r="H22" s="6">
        <f>Traslación_Pagos!W21</f>
        <v>-544.5</v>
      </c>
      <c r="I22" s="6">
        <f>Traslación_Pagos!X21</f>
        <v>-544.5</v>
      </c>
      <c r="J22" s="6">
        <f>Traslación_Pagos!Y21</f>
        <v>-544.5</v>
      </c>
      <c r="K22" s="6">
        <f>Traslación_Pagos!Z21</f>
        <v>-544.5</v>
      </c>
      <c r="L22" s="6">
        <f>Traslación_Pagos!AA21</f>
        <v>-544.5</v>
      </c>
      <c r="M22" s="6">
        <f>Traslación_Pagos!AB21</f>
        <v>-544.5</v>
      </c>
      <c r="N22" s="6">
        <f>Traslación_Pagos!AC21</f>
        <v>-544.5</v>
      </c>
      <c r="O22" s="6">
        <f>Traslación_Pagos!AD21</f>
        <v>-544.5</v>
      </c>
      <c r="Q22" s="6">
        <f t="shared" si="4"/>
        <v>-6534</v>
      </c>
    </row>
    <row r="23" spans="3:17" outlineLevel="1" x14ac:dyDescent="0.2">
      <c r="C23" s="5" t="s">
        <v>52</v>
      </c>
      <c r="D23" s="6">
        <f>Traslación_Pagos!S22</f>
        <v>0</v>
      </c>
      <c r="E23" s="6">
        <f>Traslación_Pagos!T22</f>
        <v>0</v>
      </c>
      <c r="F23" s="6">
        <f>Traslación_Pagos!U22</f>
        <v>0</v>
      </c>
      <c r="G23" s="6">
        <f>Traslación_Pagos!V22</f>
        <v>-6000</v>
      </c>
      <c r="H23" s="6">
        <f>Traslación_Pagos!W22</f>
        <v>0</v>
      </c>
      <c r="I23" s="6">
        <f>Traslación_Pagos!X22</f>
        <v>0</v>
      </c>
      <c r="J23" s="6">
        <f>Traslación_Pagos!Y22</f>
        <v>0</v>
      </c>
      <c r="K23" s="6">
        <f>Traslación_Pagos!Z22</f>
        <v>0</v>
      </c>
      <c r="L23" s="6">
        <f>Traslación_Pagos!AA22</f>
        <v>0</v>
      </c>
      <c r="M23" s="6">
        <f>Traslación_Pagos!AB22</f>
        <v>0</v>
      </c>
      <c r="N23" s="6">
        <f>Traslación_Pagos!AC22</f>
        <v>0</v>
      </c>
      <c r="O23" s="6">
        <f>Traslación_Pagos!AD22</f>
        <v>0</v>
      </c>
      <c r="Q23" s="6">
        <f t="shared" si="4"/>
        <v>-6000</v>
      </c>
    </row>
    <row r="24" spans="3:17" outlineLevel="1" x14ac:dyDescent="0.2">
      <c r="C24" s="5" t="s">
        <v>53</v>
      </c>
      <c r="D24" s="6">
        <f>Traslación_Pagos!S23</f>
        <v>-605</v>
      </c>
      <c r="E24" s="6">
        <f>Traslación_Pagos!T23</f>
        <v>-605</v>
      </c>
      <c r="F24" s="6">
        <f>Traslación_Pagos!U23</f>
        <v>-2420</v>
      </c>
      <c r="G24" s="6">
        <f>Traslación_Pagos!V23</f>
        <v>-605</v>
      </c>
      <c r="H24" s="6">
        <f>Traslación_Pagos!W23</f>
        <v>-605</v>
      </c>
      <c r="I24" s="6">
        <f>Traslación_Pagos!X23</f>
        <v>-2420</v>
      </c>
      <c r="J24" s="6">
        <f>Traslación_Pagos!Y23</f>
        <v>-605</v>
      </c>
      <c r="K24" s="6">
        <f>Traslación_Pagos!Z23</f>
        <v>-605</v>
      </c>
      <c r="L24" s="6">
        <f>Traslación_Pagos!AA23</f>
        <v>-2420</v>
      </c>
      <c r="M24" s="6">
        <f>Traslación_Pagos!AB23</f>
        <v>-605</v>
      </c>
      <c r="N24" s="6">
        <f>Traslación_Pagos!AC23</f>
        <v>-605</v>
      </c>
      <c r="O24" s="6">
        <f>Traslación_Pagos!AD23</f>
        <v>-2420</v>
      </c>
      <c r="Q24" s="6">
        <f t="shared" si="4"/>
        <v>-14520</v>
      </c>
    </row>
    <row r="25" spans="3:17" outlineLevel="1" x14ac:dyDescent="0.2">
      <c r="C25" s="5" t="s">
        <v>54</v>
      </c>
      <c r="D25" s="6">
        <f>Traslación_Pagos!S24</f>
        <v>-3146</v>
      </c>
      <c r="E25" s="6">
        <f>Traslación_Pagos!T24</f>
        <v>-3146</v>
      </c>
      <c r="F25" s="6">
        <f>Traslación_Pagos!U24</f>
        <v>-3146</v>
      </c>
      <c r="G25" s="6">
        <f>Traslación_Pagos!V24</f>
        <v>-3146</v>
      </c>
      <c r="H25" s="6">
        <f>Traslación_Pagos!W24</f>
        <v>-3146</v>
      </c>
      <c r="I25" s="6">
        <f>Traslación_Pagos!X24</f>
        <v>-3146</v>
      </c>
      <c r="J25" s="6">
        <f>Traslación_Pagos!Y24</f>
        <v>-3146</v>
      </c>
      <c r="K25" s="6">
        <f>Traslación_Pagos!Z24</f>
        <v>-3146</v>
      </c>
      <c r="L25" s="6">
        <f>Traslación_Pagos!AA24</f>
        <v>-3146</v>
      </c>
      <c r="M25" s="6">
        <f>Traslación_Pagos!AB24</f>
        <v>-3146</v>
      </c>
      <c r="N25" s="6">
        <f>Traslación_Pagos!AC24</f>
        <v>-3146</v>
      </c>
      <c r="O25" s="6">
        <f>Traslación_Pagos!AD24</f>
        <v>-3146</v>
      </c>
      <c r="Q25" s="6">
        <f t="shared" si="4"/>
        <v>-37752</v>
      </c>
    </row>
    <row r="26" spans="3:17" x14ac:dyDescent="0.2">
      <c r="C26" s="26" t="s">
        <v>55</v>
      </c>
      <c r="D26" s="27">
        <f t="shared" ref="D26:O26" si="5">SUM(D20:D25)</f>
        <v>-6845.5</v>
      </c>
      <c r="E26" s="27">
        <f t="shared" si="5"/>
        <v>-6641.5</v>
      </c>
      <c r="F26" s="27">
        <f t="shared" si="5"/>
        <v>-8456.5</v>
      </c>
      <c r="G26" s="27">
        <f t="shared" si="5"/>
        <v>-12845.5</v>
      </c>
      <c r="H26" s="27">
        <f t="shared" si="5"/>
        <v>-6641.5</v>
      </c>
      <c r="I26" s="27">
        <f t="shared" si="5"/>
        <v>-8456.5</v>
      </c>
      <c r="J26" s="27">
        <f t="shared" si="5"/>
        <v>-6845.5</v>
      </c>
      <c r="K26" s="27">
        <f t="shared" si="5"/>
        <v>-6641.5</v>
      </c>
      <c r="L26" s="27">
        <f t="shared" si="5"/>
        <v>-8456.5</v>
      </c>
      <c r="M26" s="27">
        <f t="shared" si="5"/>
        <v>-6845.5</v>
      </c>
      <c r="N26" s="27">
        <f t="shared" si="5"/>
        <v>-6641.5</v>
      </c>
      <c r="O26" s="27">
        <f t="shared" si="5"/>
        <v>-8456.5</v>
      </c>
      <c r="Q26" s="27">
        <f>SUM(Q20:Q25)</f>
        <v>-93774</v>
      </c>
    </row>
    <row r="27" spans="3:17" outlineLevel="1" x14ac:dyDescent="0.2">
      <c r="C27" s="5" t="s">
        <v>56</v>
      </c>
      <c r="D27" s="6">
        <f>Traslación_Pagos!S26</f>
        <v>-65000</v>
      </c>
      <c r="E27" s="6">
        <f>Traslación_Pagos!T26</f>
        <v>0</v>
      </c>
      <c r="F27" s="6">
        <f>Traslación_Pagos!U26</f>
        <v>0</v>
      </c>
      <c r="G27" s="6">
        <f>Traslación_Pagos!V26</f>
        <v>-76000</v>
      </c>
      <c r="H27" s="6">
        <f>Traslación_Pagos!W26</f>
        <v>0</v>
      </c>
      <c r="I27" s="6">
        <f>Traslación_Pagos!X26</f>
        <v>0</v>
      </c>
      <c r="J27" s="6">
        <f>Traslación_Pagos!Y26</f>
        <v>-65000</v>
      </c>
      <c r="K27" s="6">
        <f>Traslación_Pagos!Z26</f>
        <v>0</v>
      </c>
      <c r="L27" s="6">
        <f>Traslación_Pagos!AA26</f>
        <v>0</v>
      </c>
      <c r="M27" s="6">
        <f>Traslación_Pagos!AB26</f>
        <v>-76000</v>
      </c>
      <c r="N27" s="6">
        <f>Traslación_Pagos!AC26</f>
        <v>0</v>
      </c>
      <c r="O27" s="6">
        <f>Traslación_Pagos!AD26</f>
        <v>0</v>
      </c>
      <c r="Q27" s="6">
        <f>SUM(D27:O27)</f>
        <v>-282000</v>
      </c>
    </row>
    <row r="28" spans="3:17" outlineLevel="1" x14ac:dyDescent="0.2">
      <c r="C28" s="5" t="s">
        <v>58</v>
      </c>
      <c r="D28" s="6">
        <f>Traslación_Pagos!S27</f>
        <v>-1300</v>
      </c>
      <c r="E28" s="6">
        <f>Traslación_Pagos!T27</f>
        <v>0</v>
      </c>
      <c r="F28" s="6">
        <f>Traslación_Pagos!U27</f>
        <v>0</v>
      </c>
      <c r="G28" s="6">
        <f>Traslación_Pagos!V27</f>
        <v>-1350</v>
      </c>
      <c r="H28" s="6">
        <f>Traslación_Pagos!W27</f>
        <v>0</v>
      </c>
      <c r="I28" s="6">
        <f>Traslación_Pagos!X27</f>
        <v>0</v>
      </c>
      <c r="J28" s="6">
        <f>Traslación_Pagos!Y27</f>
        <v>-1300</v>
      </c>
      <c r="K28" s="6">
        <f>Traslación_Pagos!Z27</f>
        <v>0</v>
      </c>
      <c r="L28" s="6">
        <f>Traslación_Pagos!AA27</f>
        <v>0</v>
      </c>
      <c r="M28" s="6">
        <f>Traslación_Pagos!AB27</f>
        <v>-1350</v>
      </c>
      <c r="N28" s="6">
        <f>Traslación_Pagos!AC27</f>
        <v>0</v>
      </c>
      <c r="O28" s="6">
        <f>Traslación_Pagos!AD27</f>
        <v>0</v>
      </c>
      <c r="Q28" s="6">
        <f>SUM(D28:O28)</f>
        <v>-5300</v>
      </c>
    </row>
    <row r="29" spans="3:17" outlineLevel="1" x14ac:dyDescent="0.2">
      <c r="C29" s="5" t="s">
        <v>59</v>
      </c>
      <c r="D29" s="6">
        <f>Traslación_Pagos!S28</f>
        <v>0</v>
      </c>
      <c r="E29" s="6">
        <f>Traslación_Pagos!T28</f>
        <v>0</v>
      </c>
      <c r="F29" s="6">
        <f>Traslación_Pagos!U28</f>
        <v>0</v>
      </c>
      <c r="G29" s="6">
        <f>Traslación_Pagos!V28</f>
        <v>-40000</v>
      </c>
      <c r="H29" s="6">
        <f>Traslación_Pagos!W28</f>
        <v>0</v>
      </c>
      <c r="I29" s="6">
        <f>Traslación_Pagos!X28</f>
        <v>0</v>
      </c>
      <c r="J29" s="6">
        <f>Traslación_Pagos!Y28</f>
        <v>-30000</v>
      </c>
      <c r="K29" s="6">
        <f>Traslación_Pagos!Z28</f>
        <v>0</v>
      </c>
      <c r="L29" s="6">
        <f>Traslación_Pagos!AA28</f>
        <v>0</v>
      </c>
      <c r="M29" s="6">
        <f>Traslación_Pagos!AB28</f>
        <v>-80000</v>
      </c>
      <c r="N29" s="6">
        <f>Traslación_Pagos!AC28</f>
        <v>0</v>
      </c>
      <c r="O29" s="6">
        <f>Traslación_Pagos!AD28</f>
        <v>-50000</v>
      </c>
      <c r="Q29" s="6">
        <f>SUM(D29:O29)</f>
        <v>-200000</v>
      </c>
    </row>
    <row r="30" spans="3:17" outlineLevel="1" x14ac:dyDescent="0.2">
      <c r="C30" s="5" t="s">
        <v>60</v>
      </c>
      <c r="D30" s="6">
        <f>Traslación_Pagos!S29</f>
        <v>-500</v>
      </c>
      <c r="E30" s="6">
        <f>Traslación_Pagos!T29</f>
        <v>-500</v>
      </c>
      <c r="F30" s="6">
        <f>Traslación_Pagos!U29</f>
        <v>-500</v>
      </c>
      <c r="G30" s="6">
        <f>Traslación_Pagos!V29</f>
        <v>-500</v>
      </c>
      <c r="H30" s="6">
        <f>Traslación_Pagos!W29</f>
        <v>-500</v>
      </c>
      <c r="I30" s="6">
        <f>Traslación_Pagos!X29</f>
        <v>-500</v>
      </c>
      <c r="J30" s="6">
        <f>Traslación_Pagos!Y29</f>
        <v>-500</v>
      </c>
      <c r="K30" s="6">
        <f>Traslación_Pagos!Z29</f>
        <v>-500</v>
      </c>
      <c r="L30" s="6">
        <f>Traslación_Pagos!AA29</f>
        <v>-500</v>
      </c>
      <c r="M30" s="6">
        <f>Traslación_Pagos!AB29</f>
        <v>-500</v>
      </c>
      <c r="N30" s="6">
        <f>Traslación_Pagos!AC29</f>
        <v>-500</v>
      </c>
      <c r="O30" s="6">
        <f>Traslación_Pagos!AD29</f>
        <v>-500</v>
      </c>
      <c r="Q30" s="6">
        <f>SUM(D30:O30)</f>
        <v>-6000</v>
      </c>
    </row>
    <row r="31" spans="3:17" x14ac:dyDescent="0.2">
      <c r="C31" s="26" t="s">
        <v>61</v>
      </c>
      <c r="D31" s="27">
        <f t="shared" ref="D31:O31" si="6">SUM(D27:D30)</f>
        <v>-66800</v>
      </c>
      <c r="E31" s="27">
        <f t="shared" si="6"/>
        <v>-500</v>
      </c>
      <c r="F31" s="27">
        <f t="shared" si="6"/>
        <v>-500</v>
      </c>
      <c r="G31" s="27">
        <f t="shared" si="6"/>
        <v>-117850</v>
      </c>
      <c r="H31" s="27">
        <f t="shared" si="6"/>
        <v>-500</v>
      </c>
      <c r="I31" s="27">
        <f t="shared" si="6"/>
        <v>-500</v>
      </c>
      <c r="J31" s="27">
        <f t="shared" si="6"/>
        <v>-96800</v>
      </c>
      <c r="K31" s="27">
        <f t="shared" si="6"/>
        <v>-500</v>
      </c>
      <c r="L31" s="27">
        <f t="shared" si="6"/>
        <v>-500</v>
      </c>
      <c r="M31" s="27">
        <f t="shared" si="6"/>
        <v>-157850</v>
      </c>
      <c r="N31" s="27">
        <f t="shared" si="6"/>
        <v>-500</v>
      </c>
      <c r="O31" s="27">
        <f t="shared" si="6"/>
        <v>-50500</v>
      </c>
      <c r="Q31" s="27">
        <f>SUM(Q27:Q30)</f>
        <v>-493300</v>
      </c>
    </row>
    <row r="32" spans="3:17" outlineLevel="1" x14ac:dyDescent="0.2">
      <c r="C32" s="5" t="s">
        <v>62</v>
      </c>
      <c r="D32" s="6">
        <f>Traslación_Pagos!S31</f>
        <v>-300</v>
      </c>
      <c r="E32" s="6">
        <f>Traslación_Pagos!T31</f>
        <v>-300</v>
      </c>
      <c r="F32" s="6">
        <f>Traslación_Pagos!U31</f>
        <v>-300</v>
      </c>
      <c r="G32" s="6">
        <f>Traslación_Pagos!V31</f>
        <v>-300</v>
      </c>
      <c r="H32" s="6">
        <f>Traslación_Pagos!W31</f>
        <v>-300</v>
      </c>
      <c r="I32" s="6">
        <f>Traslación_Pagos!X31</f>
        <v>-300</v>
      </c>
      <c r="J32" s="6">
        <f>Traslación_Pagos!Y31</f>
        <v>-300</v>
      </c>
      <c r="K32" s="6">
        <f>Traslación_Pagos!Z31</f>
        <v>-300</v>
      </c>
      <c r="L32" s="6">
        <f>Traslación_Pagos!AA31</f>
        <v>-300</v>
      </c>
      <c r="M32" s="6">
        <f>Traslación_Pagos!AB31</f>
        <v>-300</v>
      </c>
      <c r="N32" s="6">
        <f>Traslación_Pagos!AC31</f>
        <v>-300</v>
      </c>
      <c r="O32" s="6">
        <f>Traslación_Pagos!AD31</f>
        <v>-300</v>
      </c>
      <c r="Q32" s="6">
        <f>SUM(D32:O32)</f>
        <v>-3600</v>
      </c>
    </row>
    <row r="33" spans="2:18" outlineLevel="1" x14ac:dyDescent="0.2">
      <c r="C33" s="5" t="s">
        <v>63</v>
      </c>
      <c r="D33" s="6">
        <f>Traslación_Pagos!S32</f>
        <v>-1000</v>
      </c>
      <c r="E33" s="6">
        <f>Traslación_Pagos!T32</f>
        <v>-1000</v>
      </c>
      <c r="F33" s="6">
        <f>Traslación_Pagos!U32</f>
        <v>-1000</v>
      </c>
      <c r="G33" s="6">
        <f>Traslación_Pagos!V32</f>
        <v>-1000</v>
      </c>
      <c r="H33" s="6">
        <f>Traslación_Pagos!W32</f>
        <v>-1000</v>
      </c>
      <c r="I33" s="6">
        <f>Traslación_Pagos!X32</f>
        <v>-1000</v>
      </c>
      <c r="J33" s="6">
        <f>Traslación_Pagos!Y32</f>
        <v>-1000</v>
      </c>
      <c r="K33" s="6">
        <f>Traslación_Pagos!Z32</f>
        <v>-1000</v>
      </c>
      <c r="L33" s="6">
        <f>Traslación_Pagos!AA32</f>
        <v>-1000</v>
      </c>
      <c r="M33" s="6">
        <f>Traslación_Pagos!AB32</f>
        <v>-1000</v>
      </c>
      <c r="N33" s="6">
        <f>Traslación_Pagos!AC32</f>
        <v>-1000</v>
      </c>
      <c r="O33" s="6">
        <f>Traslación_Pagos!AD32</f>
        <v>-1000</v>
      </c>
      <c r="Q33" s="6">
        <f>SUM(D33:O33)</f>
        <v>-12000</v>
      </c>
    </row>
    <row r="34" spans="2:18" x14ac:dyDescent="0.2">
      <c r="C34" s="21" t="s">
        <v>68</v>
      </c>
      <c r="D34" s="22">
        <f t="shared" ref="D34:O34" si="7">+D15+D19+D26+D31+D32+D33</f>
        <v>-176882.64285714284</v>
      </c>
      <c r="E34" s="22">
        <f t="shared" si="7"/>
        <v>-104147.5</v>
      </c>
      <c r="F34" s="22">
        <f t="shared" si="7"/>
        <v>-65884.5</v>
      </c>
      <c r="G34" s="22">
        <f t="shared" si="7"/>
        <v>-193492.5</v>
      </c>
      <c r="H34" s="22">
        <f t="shared" si="7"/>
        <v>-72391.5</v>
      </c>
      <c r="I34" s="22">
        <f t="shared" si="7"/>
        <v>-85826.5</v>
      </c>
      <c r="J34" s="22">
        <f t="shared" si="7"/>
        <v>-177995.5</v>
      </c>
      <c r="K34" s="22">
        <f t="shared" si="7"/>
        <v>-68761.5</v>
      </c>
      <c r="L34" s="22">
        <f t="shared" si="7"/>
        <v>-74206.5</v>
      </c>
      <c r="M34" s="22">
        <f t="shared" si="7"/>
        <v>-233745.5</v>
      </c>
      <c r="N34" s="22">
        <f t="shared" si="7"/>
        <v>-72391.5</v>
      </c>
      <c r="O34" s="22">
        <f t="shared" si="7"/>
        <v>-135826.5</v>
      </c>
      <c r="Q34" s="22">
        <f>+Q15+Q19+Q26+Q31+Q32+Q33</f>
        <v>-1461552.1428571427</v>
      </c>
    </row>
    <row r="35" spans="2:18" x14ac:dyDescent="0.2">
      <c r="B35" s="28" t="s">
        <v>69</v>
      </c>
      <c r="C35" s="28"/>
      <c r="D35" s="29">
        <f t="shared" ref="D35:O35" si="8">+D9+D34</f>
        <v>-37732.642857142841</v>
      </c>
      <c r="E35" s="29">
        <f t="shared" si="8"/>
        <v>120307.5</v>
      </c>
      <c r="F35" s="29">
        <f t="shared" si="8"/>
        <v>85365.5</v>
      </c>
      <c r="G35" s="29">
        <f t="shared" si="8"/>
        <v>61817.5</v>
      </c>
      <c r="H35" s="29">
        <f t="shared" si="8"/>
        <v>87933.5</v>
      </c>
      <c r="I35" s="29">
        <f t="shared" si="8"/>
        <v>161013.5</v>
      </c>
      <c r="J35" s="29">
        <f t="shared" si="8"/>
        <v>-31585.5</v>
      </c>
      <c r="K35" s="29">
        <f t="shared" si="8"/>
        <v>155088.5</v>
      </c>
      <c r="L35" s="29">
        <f t="shared" si="8"/>
        <v>77043.5</v>
      </c>
      <c r="M35" s="29">
        <f t="shared" si="8"/>
        <v>21564.5</v>
      </c>
      <c r="N35" s="29">
        <f t="shared" si="8"/>
        <v>87933.5</v>
      </c>
      <c r="O35" s="29">
        <f t="shared" si="8"/>
        <v>104963.5</v>
      </c>
      <c r="Q35" s="29">
        <f>+Q9+Q34</f>
        <v>893712.85714285728</v>
      </c>
    </row>
    <row r="36" spans="2:18" outlineLevel="1" x14ac:dyDescent="0.2">
      <c r="C36" s="5" t="s">
        <v>70</v>
      </c>
      <c r="D36" s="6"/>
      <c r="E36" s="6">
        <v>-50000</v>
      </c>
      <c r="F36" s="6"/>
      <c r="G36" s="6">
        <v>-15000</v>
      </c>
      <c r="H36" s="6"/>
      <c r="I36" s="6">
        <v>-10000</v>
      </c>
      <c r="J36" s="6"/>
      <c r="K36" s="6"/>
      <c r="L36" s="6">
        <v>-25000</v>
      </c>
      <c r="M36" s="6"/>
      <c r="N36" s="6"/>
      <c r="O36" s="6"/>
      <c r="Q36" s="6">
        <f>SUM(D36:O36)</f>
        <v>-100000</v>
      </c>
      <c r="R36" s="7"/>
    </row>
    <row r="37" spans="2:18" outlineLevel="1" x14ac:dyDescent="0.2">
      <c r="C37" s="5" t="s">
        <v>71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Q37" s="6">
        <f>SUM(D37:O37)</f>
        <v>0</v>
      </c>
    </row>
    <row r="38" spans="2:18" x14ac:dyDescent="0.2">
      <c r="C38" s="30" t="s">
        <v>72</v>
      </c>
      <c r="D38" s="31">
        <f t="shared" ref="D38:O38" si="9">SUM(D36:D37)</f>
        <v>0</v>
      </c>
      <c r="E38" s="31">
        <f t="shared" si="9"/>
        <v>-50000</v>
      </c>
      <c r="F38" s="31">
        <f t="shared" si="9"/>
        <v>0</v>
      </c>
      <c r="G38" s="31">
        <f t="shared" si="9"/>
        <v>-15000</v>
      </c>
      <c r="H38" s="31">
        <f t="shared" si="9"/>
        <v>0</v>
      </c>
      <c r="I38" s="31">
        <f t="shared" si="9"/>
        <v>-10000</v>
      </c>
      <c r="J38" s="31">
        <f t="shared" si="9"/>
        <v>0</v>
      </c>
      <c r="K38" s="31">
        <f t="shared" si="9"/>
        <v>0</v>
      </c>
      <c r="L38" s="31">
        <f t="shared" si="9"/>
        <v>-25000</v>
      </c>
      <c r="M38" s="31">
        <f t="shared" si="9"/>
        <v>0</v>
      </c>
      <c r="N38" s="31">
        <f t="shared" si="9"/>
        <v>0</v>
      </c>
      <c r="O38" s="31">
        <f t="shared" si="9"/>
        <v>0</v>
      </c>
      <c r="Q38" s="31">
        <f>SUM(Q36:Q37)</f>
        <v>-100000</v>
      </c>
    </row>
    <row r="39" spans="2:18" outlineLevel="1" x14ac:dyDescent="0.2">
      <c r="C39" s="5" t="s">
        <v>73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Q39" s="6">
        <f t="shared" ref="Q39:Q44" si="10">SUM(D39:O39)</f>
        <v>0</v>
      </c>
    </row>
    <row r="40" spans="2:18" outlineLevel="1" x14ac:dyDescent="0.2">
      <c r="C40" s="5" t="s">
        <v>74</v>
      </c>
      <c r="D40" s="6"/>
      <c r="E40" s="6"/>
      <c r="F40" s="6">
        <f>[1]Cuadro_vencimientos_y_devengos!D13</f>
        <v>-125000</v>
      </c>
      <c r="G40" s="6"/>
      <c r="H40" s="6"/>
      <c r="I40" s="6">
        <f>[1]Cuadro_vencimientos_y_devengos!G13</f>
        <v>-125000</v>
      </c>
      <c r="J40" s="6"/>
      <c r="K40" s="6"/>
      <c r="L40" s="6">
        <f>[1]Cuadro_vencimientos_y_devengos!J13</f>
        <v>-125000</v>
      </c>
      <c r="M40" s="6"/>
      <c r="N40" s="6"/>
      <c r="O40" s="6">
        <f>[1]Cuadro_vencimientos_y_devengos!M13</f>
        <v>-125000</v>
      </c>
      <c r="Q40" s="6">
        <f t="shared" si="10"/>
        <v>-500000</v>
      </c>
    </row>
    <row r="41" spans="2:18" outlineLevel="1" x14ac:dyDescent="0.2">
      <c r="C41" s="5" t="s">
        <v>75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Q41" s="6">
        <f t="shared" si="10"/>
        <v>0</v>
      </c>
    </row>
    <row r="42" spans="2:18" outlineLevel="1" x14ac:dyDescent="0.2">
      <c r="C42" s="5" t="s">
        <v>76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Q42" s="6">
        <f t="shared" si="10"/>
        <v>0</v>
      </c>
    </row>
    <row r="43" spans="2:18" outlineLevel="1" x14ac:dyDescent="0.2">
      <c r="C43" s="5" t="s">
        <v>77</v>
      </c>
      <c r="D43" s="6">
        <f>[1]Cuadro_vencimientos_y_devengos!B14</f>
        <v>3229.1666666666665</v>
      </c>
      <c r="E43" s="6">
        <f>[1]Cuadro_vencimientos_y_devengos!C14</f>
        <v>-3229.1666666666665</v>
      </c>
      <c r="F43" s="6">
        <f>[1]Cuadro_vencimientos_y_devengos!D14</f>
        <v>-2916.6666666666665</v>
      </c>
      <c r="G43" s="6">
        <f>[1]Cuadro_vencimientos_y_devengos!E14</f>
        <v>-3229.1666666666665</v>
      </c>
      <c r="H43" s="6">
        <f>[1]Cuadro_vencimientos_y_devengos!F14</f>
        <v>-3767.3611111111113</v>
      </c>
      <c r="I43" s="6">
        <f>[1]Cuadro_vencimientos_y_devengos!G14</f>
        <v>-3767.3611111111113</v>
      </c>
      <c r="J43" s="6">
        <f>[1]Cuadro_vencimientos_y_devengos!H14</f>
        <v>-3767.3611111111113</v>
      </c>
      <c r="K43" s="6">
        <f>[1]Cuadro_vencimientos_y_devengos!I14</f>
        <v>-4305.5555555555557</v>
      </c>
      <c r="L43" s="6">
        <f>[1]Cuadro_vencimientos_y_devengos!J14</f>
        <v>-4305.5555555555557</v>
      </c>
      <c r="M43" s="6">
        <f>[1]Cuadro_vencimientos_y_devengos!K14</f>
        <v>-4305.5555555555557</v>
      </c>
      <c r="N43" s="6">
        <f>[1]Cuadro_vencimientos_y_devengos!L14</f>
        <v>-4843.75</v>
      </c>
      <c r="O43" s="6">
        <f>[1]Cuadro_vencimientos_y_devengos!M14</f>
        <v>-4843.75</v>
      </c>
      <c r="Q43" s="6">
        <f t="shared" si="10"/>
        <v>-40052.083333333328</v>
      </c>
    </row>
    <row r="44" spans="2:18" outlineLevel="1" x14ac:dyDescent="0.2">
      <c r="C44" s="5" t="s">
        <v>78</v>
      </c>
      <c r="D44" s="6">
        <f>[1]Cuadro_vencimientos_y_devengos!B12</f>
        <v>-187.5</v>
      </c>
      <c r="E44" s="6">
        <f>[1]Cuadro_vencimientos_y_devengos!C12</f>
        <v>0</v>
      </c>
      <c r="F44" s="6">
        <f>[1]Cuadro_vencimientos_y_devengos!D12</f>
        <v>0</v>
      </c>
      <c r="G44" s="6">
        <f>[1]Cuadro_vencimientos_y_devengos!E12</f>
        <v>-1500</v>
      </c>
      <c r="H44" s="6">
        <f>[1]Cuadro_vencimientos_y_devengos!F12</f>
        <v>0</v>
      </c>
      <c r="I44" s="6">
        <f>[1]Cuadro_vencimientos_y_devengos!G12</f>
        <v>0</v>
      </c>
      <c r="J44" s="6">
        <f>[1]Cuadro_vencimientos_y_devengos!H12</f>
        <v>-187.5</v>
      </c>
      <c r="K44" s="6">
        <f>[1]Cuadro_vencimientos_y_devengos!I12</f>
        <v>0</v>
      </c>
      <c r="L44" s="6">
        <f>[1]Cuadro_vencimientos_y_devengos!J12</f>
        <v>0</v>
      </c>
      <c r="M44" s="6">
        <f>[1]Cuadro_vencimientos_y_devengos!K12</f>
        <v>0</v>
      </c>
      <c r="N44" s="6">
        <f>[1]Cuadro_vencimientos_y_devengos!L12</f>
        <v>-187.5</v>
      </c>
      <c r="O44" s="6">
        <f>[1]Cuadro_vencimientos_y_devengos!M12</f>
        <v>0</v>
      </c>
      <c r="Q44" s="6">
        <f t="shared" si="10"/>
        <v>-2062.5</v>
      </c>
    </row>
    <row r="45" spans="2:18" x14ac:dyDescent="0.2">
      <c r="C45" s="30" t="s">
        <v>79</v>
      </c>
      <c r="D45" s="31">
        <f t="shared" ref="D45:O45" si="11">SUM(D39:D44)</f>
        <v>3041.6666666666665</v>
      </c>
      <c r="E45" s="31">
        <f t="shared" si="11"/>
        <v>-3229.1666666666665</v>
      </c>
      <c r="F45" s="31">
        <f t="shared" si="11"/>
        <v>-127916.66666666667</v>
      </c>
      <c r="G45" s="31">
        <f t="shared" si="11"/>
        <v>-4729.1666666666661</v>
      </c>
      <c r="H45" s="31">
        <f t="shared" si="11"/>
        <v>-3767.3611111111113</v>
      </c>
      <c r="I45" s="31">
        <f t="shared" si="11"/>
        <v>-128767.36111111111</v>
      </c>
      <c r="J45" s="31">
        <f t="shared" si="11"/>
        <v>-3954.8611111111113</v>
      </c>
      <c r="K45" s="31">
        <f t="shared" si="11"/>
        <v>-4305.5555555555557</v>
      </c>
      <c r="L45" s="31">
        <f t="shared" si="11"/>
        <v>-129305.55555555556</v>
      </c>
      <c r="M45" s="31">
        <f t="shared" si="11"/>
        <v>-4305.5555555555557</v>
      </c>
      <c r="N45" s="31">
        <f t="shared" si="11"/>
        <v>-5031.25</v>
      </c>
      <c r="O45" s="31">
        <f t="shared" si="11"/>
        <v>-129843.75</v>
      </c>
      <c r="Q45" s="31">
        <f>SUM(Q39:Q44)</f>
        <v>-542114.58333333337</v>
      </c>
    </row>
    <row r="46" spans="2:18" outlineLevel="2" x14ac:dyDescent="0.2">
      <c r="C46" s="5" t="s">
        <v>80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Q46" s="6">
        <f>SUM(D46:O46)</f>
        <v>0</v>
      </c>
    </row>
    <row r="47" spans="2:18" outlineLevel="2" x14ac:dyDescent="0.2">
      <c r="C47" s="5" t="s">
        <v>81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Q47" s="6">
        <f>SUM(D47:O47)</f>
        <v>0</v>
      </c>
    </row>
    <row r="48" spans="2:18" outlineLevel="2" x14ac:dyDescent="0.2">
      <c r="C48" s="5" t="s">
        <v>82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Q48" s="6">
        <f>SUM(D48:O48)</f>
        <v>0</v>
      </c>
    </row>
    <row r="49" spans="2:17" outlineLevel="2" x14ac:dyDescent="0.2">
      <c r="C49" s="5" t="s">
        <v>83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Q49" s="6">
        <f>SUM(D49:O49)</f>
        <v>0</v>
      </c>
    </row>
    <row r="50" spans="2:17" outlineLevel="2" x14ac:dyDescent="0.2">
      <c r="C50" s="5" t="s">
        <v>84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Q50" s="6">
        <f>SUM(D50:O50)</f>
        <v>0</v>
      </c>
    </row>
    <row r="51" spans="2:17" x14ac:dyDescent="0.2">
      <c r="C51" s="30" t="s">
        <v>85</v>
      </c>
      <c r="D51" s="31">
        <f t="shared" ref="D51:O51" si="12">SUM(D46:D50)</f>
        <v>0</v>
      </c>
      <c r="E51" s="31">
        <f t="shared" si="12"/>
        <v>0</v>
      </c>
      <c r="F51" s="31">
        <f t="shared" si="12"/>
        <v>0</v>
      </c>
      <c r="G51" s="31">
        <f t="shared" si="12"/>
        <v>0</v>
      </c>
      <c r="H51" s="31">
        <f t="shared" si="12"/>
        <v>0</v>
      </c>
      <c r="I51" s="31">
        <f t="shared" si="12"/>
        <v>0</v>
      </c>
      <c r="J51" s="31">
        <f t="shared" si="12"/>
        <v>0</v>
      </c>
      <c r="K51" s="31">
        <f t="shared" si="12"/>
        <v>0</v>
      </c>
      <c r="L51" s="31">
        <f t="shared" si="12"/>
        <v>0</v>
      </c>
      <c r="M51" s="31">
        <f t="shared" si="12"/>
        <v>0</v>
      </c>
      <c r="N51" s="31">
        <f t="shared" si="12"/>
        <v>0</v>
      </c>
      <c r="O51" s="31">
        <f t="shared" si="12"/>
        <v>0</v>
      </c>
      <c r="Q51" s="31">
        <f>SUM(Q46:Q50)</f>
        <v>0</v>
      </c>
    </row>
    <row r="52" spans="2:17" outlineLevel="1" x14ac:dyDescent="0.2">
      <c r="C52" s="5" t="s">
        <v>86</v>
      </c>
      <c r="D52" s="6"/>
      <c r="E52" s="6"/>
      <c r="F52" s="6"/>
      <c r="G52" s="6"/>
      <c r="H52" s="6"/>
      <c r="J52" s="6">
        <v>-200000</v>
      </c>
      <c r="K52" s="6"/>
      <c r="L52" s="6"/>
      <c r="M52" s="6"/>
      <c r="N52" s="6"/>
      <c r="O52" s="6"/>
      <c r="Q52" s="6">
        <f>SUM(D52:O52)</f>
        <v>-200000</v>
      </c>
    </row>
    <row r="53" spans="2:17" outlineLevel="1" x14ac:dyDescent="0.2">
      <c r="C53" s="5" t="s">
        <v>87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Q53" s="6">
        <f>SUM(D53:O53)</f>
        <v>0</v>
      </c>
    </row>
    <row r="54" spans="2:17" x14ac:dyDescent="0.2">
      <c r="C54" s="30" t="s">
        <v>88</v>
      </c>
      <c r="D54" s="31">
        <f t="shared" ref="D54:O54" si="13">SUM(D52:D53)</f>
        <v>0</v>
      </c>
      <c r="E54" s="31">
        <f t="shared" si="13"/>
        <v>0</v>
      </c>
      <c r="F54" s="31">
        <f t="shared" si="13"/>
        <v>0</v>
      </c>
      <c r="G54" s="31">
        <f t="shared" si="13"/>
        <v>0</v>
      </c>
      <c r="H54" s="31">
        <f t="shared" si="13"/>
        <v>0</v>
      </c>
      <c r="I54" s="31">
        <f>SUM(I52:I53)</f>
        <v>0</v>
      </c>
      <c r="J54" s="31">
        <f t="shared" si="13"/>
        <v>-200000</v>
      </c>
      <c r="K54" s="31">
        <f>SUM(K52:K53)</f>
        <v>0</v>
      </c>
      <c r="L54" s="31">
        <f t="shared" si="13"/>
        <v>0</v>
      </c>
      <c r="M54" s="31">
        <f t="shared" si="13"/>
        <v>0</v>
      </c>
      <c r="N54" s="31">
        <f t="shared" si="13"/>
        <v>0</v>
      </c>
      <c r="O54" s="31">
        <f t="shared" si="13"/>
        <v>0</v>
      </c>
      <c r="Q54" s="31">
        <f>SUM(Q52:Q53)</f>
        <v>-200000</v>
      </c>
    </row>
    <row r="55" spans="2:17" x14ac:dyDescent="0.2">
      <c r="B55" s="28" t="s">
        <v>89</v>
      </c>
      <c r="C55" s="28"/>
      <c r="D55" s="29">
        <f t="shared" ref="D55:O55" si="14">+D38+D45+D51+D54</f>
        <v>3041.6666666666665</v>
      </c>
      <c r="E55" s="29">
        <f t="shared" si="14"/>
        <v>-53229.166666666664</v>
      </c>
      <c r="F55" s="29">
        <f t="shared" si="14"/>
        <v>-127916.66666666667</v>
      </c>
      <c r="G55" s="29">
        <f t="shared" si="14"/>
        <v>-19729.166666666664</v>
      </c>
      <c r="H55" s="29">
        <f t="shared" si="14"/>
        <v>-3767.3611111111113</v>
      </c>
      <c r="I55" s="29">
        <f t="shared" si="14"/>
        <v>-138767.36111111112</v>
      </c>
      <c r="J55" s="29">
        <f t="shared" si="14"/>
        <v>-203954.86111111112</v>
      </c>
      <c r="K55" s="29">
        <f t="shared" si="14"/>
        <v>-4305.5555555555557</v>
      </c>
      <c r="L55" s="29">
        <f t="shared" si="14"/>
        <v>-154305.55555555556</v>
      </c>
      <c r="M55" s="29">
        <f t="shared" si="14"/>
        <v>-4305.5555555555557</v>
      </c>
      <c r="N55" s="29">
        <f t="shared" si="14"/>
        <v>-5031.25</v>
      </c>
      <c r="O55" s="29">
        <f t="shared" si="14"/>
        <v>-129843.75</v>
      </c>
      <c r="Q55" s="29">
        <f>+Q38+Q45+Q51+Q54</f>
        <v>-842114.58333333337</v>
      </c>
    </row>
    <row r="56" spans="2:17" s="8" customFormat="1" x14ac:dyDescent="0.2">
      <c r="B56" s="23" t="s">
        <v>90</v>
      </c>
      <c r="C56" s="24"/>
      <c r="D56" s="25">
        <f t="shared" ref="D56:O56" si="15">+D4+D35+D55</f>
        <v>10309.023809523826</v>
      </c>
      <c r="E56" s="25">
        <f t="shared" si="15"/>
        <v>77387.357142857159</v>
      </c>
      <c r="F56" s="25">
        <f t="shared" si="15"/>
        <v>34836.190476190488</v>
      </c>
      <c r="G56" s="25">
        <f t="shared" si="15"/>
        <v>76924.523809523816</v>
      </c>
      <c r="H56" s="25">
        <f t="shared" si="15"/>
        <v>161090.66269841269</v>
      </c>
      <c r="I56" s="25">
        <f t="shared" si="15"/>
        <v>183336.80158730154</v>
      </c>
      <c r="J56" s="25">
        <f t="shared" si="15"/>
        <v>-52203.559523809585</v>
      </c>
      <c r="K56" s="25">
        <f t="shared" si="15"/>
        <v>98579.384920634853</v>
      </c>
      <c r="L56" s="25">
        <f t="shared" si="15"/>
        <v>21317.329365079291</v>
      </c>
      <c r="M56" s="25">
        <f t="shared" si="15"/>
        <v>38576.273809523736</v>
      </c>
      <c r="N56" s="25">
        <f t="shared" si="15"/>
        <v>121478.52380952373</v>
      </c>
      <c r="O56" s="25">
        <f t="shared" si="15"/>
        <v>96598.273809523729</v>
      </c>
      <c r="Q56" s="25">
        <f>+Q4+Q35+Q55</f>
        <v>96598.273809523904</v>
      </c>
    </row>
    <row r="58" spans="2:17" x14ac:dyDescent="0.2">
      <c r="F58" s="7"/>
      <c r="H58" s="32"/>
    </row>
    <row r="59" spans="2:17" x14ac:dyDescent="0.2">
      <c r="C59" s="2" t="s">
        <v>92</v>
      </c>
    </row>
    <row r="60" spans="2:17" x14ac:dyDescent="0.2">
      <c r="C60" s="2" t="s">
        <v>93</v>
      </c>
    </row>
  </sheetData>
  <conditionalFormatting sqref="A56:XFD56">
    <cfRule type="cellIs" dxfId="0" priority="1" stopIfTrue="1" operator="lessThan">
      <formula>0</formula>
    </cfRule>
  </conditionalFormatting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4</vt:i4>
      </vt:variant>
      <vt:variant>
        <vt:lpstr>Intervals amb nom</vt:lpstr>
      </vt:variant>
      <vt:variant>
        <vt:i4>5</vt:i4>
      </vt:variant>
    </vt:vector>
  </HeadingPairs>
  <TitlesOfParts>
    <vt:vector size="9" baseType="lpstr">
      <vt:lpstr>Traslación_Cobros</vt:lpstr>
      <vt:lpstr>Traslación_Pagos</vt:lpstr>
      <vt:lpstr>Presupuesto_Tesorería_v1</vt:lpstr>
      <vt:lpstr>Presupuesto_Tesorería_v2</vt:lpstr>
      <vt:lpstr>IVA</vt:lpstr>
      <vt:lpstr>RET_TRABAJO</vt:lpstr>
      <vt:lpstr>RETENCIÓN</vt:lpstr>
      <vt:lpstr>SS_EMPRESA</vt:lpstr>
      <vt:lpstr>SS_TRABAJADOR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</dc:creator>
  <cp:lastModifiedBy>oriol Calblay</cp:lastModifiedBy>
  <cp:lastPrinted>2021-08-17T15:37:14Z</cp:lastPrinted>
  <dcterms:created xsi:type="dcterms:W3CDTF">2021-08-17T15:09:30Z</dcterms:created>
  <dcterms:modified xsi:type="dcterms:W3CDTF">2024-06-26T17:33:54Z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b904b49-3f4d-4965-871f-2e2fd7247f94_Enabled">
    <vt:lpwstr>True</vt:lpwstr>
  </property>
  <property fmtid="{D5CDD505-2E9C-101B-9397-08002B2CF9AE}" pid="5" name="MSIP_Label_ab904b49-3f4d-4965-871f-2e2fd7247f94_SiteId">
    <vt:lpwstr>05088b6e-1d96-4f6b-8918-48957eca4f00</vt:lpwstr>
  </property>
  <property fmtid="{D5CDD505-2E9C-101B-9397-08002B2CF9AE}" pid="6" name="MSIP_Label_ab904b49-3f4d-4965-871f-2e2fd7247f94_Owner">
    <vt:lpwstr>aleix.vives@cellnextelecom.com</vt:lpwstr>
  </property>
  <property fmtid="{D5CDD505-2E9C-101B-9397-08002B2CF9AE}" pid="7" name="MSIP_Label_ab904b49-3f4d-4965-871f-2e2fd7247f94_SetDate">
    <vt:lpwstr>2021-09-28T15:00:07.9083214Z</vt:lpwstr>
  </property>
  <property fmtid="{D5CDD505-2E9C-101B-9397-08002B2CF9AE}" pid="8" name="MSIP_Label_ab904b49-3f4d-4965-871f-2e2fd7247f94_Name">
    <vt:lpwstr>Internal</vt:lpwstr>
  </property>
  <property fmtid="{D5CDD505-2E9C-101B-9397-08002B2CF9AE}" pid="9" name="MSIP_Label_ab904b49-3f4d-4965-871f-2e2fd7247f94_Application">
    <vt:lpwstr>Microsoft Azure Information Protection</vt:lpwstr>
  </property>
  <property fmtid="{D5CDD505-2E9C-101B-9397-08002B2CF9AE}" pid="10" name="MSIP_Label_ab904b49-3f4d-4965-871f-2e2fd7247f94_ActionId">
    <vt:lpwstr>3053ac61-15c4-4bc7-bd86-9ccfaab08288</vt:lpwstr>
  </property>
  <property fmtid="{D5CDD505-2E9C-101B-9397-08002B2CF9AE}" pid="11" name="MSIP_Label_ab904b49-3f4d-4965-871f-2e2fd7247f94_Extended_MSFT_Method">
    <vt:lpwstr>Automatic</vt:lpwstr>
  </property>
  <property fmtid="{D5CDD505-2E9C-101B-9397-08002B2CF9AE}" pid="12" name="Sensitivity">
    <vt:lpwstr>Internal</vt:lpwstr>
  </property>
</Properties>
</file>