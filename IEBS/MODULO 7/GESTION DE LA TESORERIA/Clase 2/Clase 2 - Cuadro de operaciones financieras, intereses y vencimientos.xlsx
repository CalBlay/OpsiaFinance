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7/GESTION DE LA TESORERIA/Clase 2/"/>
    </mc:Choice>
  </mc:AlternateContent>
  <xr:revisionPtr revIDLastSave="0" documentId="8_{F3134F92-1976-4BC9-899E-4E7EC369BC27}" xr6:coauthVersionLast="47" xr6:coauthVersionMax="47" xr10:uidLastSave="{00000000-0000-0000-0000-000000000000}"/>
  <bookViews>
    <workbookView xWindow="22932" yWindow="-60" windowWidth="23256" windowHeight="12456" xr2:uid="{00000000-000D-0000-FFFF-FFFF00000000}"/>
  </bookViews>
  <sheets>
    <sheet name="Cuadro_vencimientos_y_devengos" sheetId="1" r:id="rId1"/>
  </sheets>
  <externalReferences>
    <externalReference r:id="rId2"/>
  </externalReferences>
  <definedNames>
    <definedName name="DEUDA_INI">Cuadro_vencimientos_y_devengos!$I$5</definedName>
    <definedName name="INTERÉS">Cuadro_vencimientos_y_devengos!$J$5</definedName>
    <definedName name="IVA">[1]Traslación_Pagos!$S$2</definedName>
    <definedName name="RET_TRABAJO">[1]Traslación_Pagos!$S$5</definedName>
    <definedName name="RETENCIÓN">[1]Traslación_Pagos!$S$6</definedName>
    <definedName name="SS_TRABAJADOR">[1]Traslación_Pagos!$S$3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" l="1"/>
  <c r="E12" i="1"/>
  <c r="H12" i="1"/>
  <c r="L12" i="1"/>
  <c r="B14" i="1"/>
  <c r="C14" i="1"/>
  <c r="C15" i="1" s="1"/>
  <c r="D14" i="1"/>
  <c r="D15" i="1" s="1"/>
  <c r="E14" i="1"/>
  <c r="F14" i="1"/>
  <c r="F15" i="1" s="1"/>
  <c r="G14" i="1"/>
  <c r="H14" i="1"/>
  <c r="I14" i="1"/>
  <c r="I15" i="1" s="1"/>
  <c r="J14" i="1"/>
  <c r="K14" i="1"/>
  <c r="L14" i="1"/>
  <c r="M14" i="1"/>
  <c r="M15" i="1" s="1"/>
  <c r="G15" i="1"/>
  <c r="H15" i="1"/>
  <c r="J15" i="1"/>
  <c r="B18" i="1"/>
  <c r="C18" i="1"/>
  <c r="D18" i="1"/>
  <c r="E18" i="1"/>
  <c r="F18" i="1"/>
  <c r="G18" i="1"/>
  <c r="H18" i="1"/>
  <c r="I18" i="1"/>
  <c r="J18" i="1"/>
  <c r="K18" i="1"/>
  <c r="L18" i="1"/>
  <c r="M18" i="1"/>
  <c r="K15" i="1" l="1"/>
  <c r="E15" i="1"/>
  <c r="B15" i="1"/>
  <c r="L15" i="1"/>
</calcChain>
</file>

<file path=xl/sharedStrings.xml><?xml version="1.0" encoding="utf-8"?>
<sst xmlns="http://schemas.openxmlformats.org/spreadsheetml/2006/main" count="45" uniqueCount="44">
  <si>
    <t>INVERSIONES FINANCIERAS</t>
  </si>
  <si>
    <t>ENDEUDAMIENTO</t>
  </si>
  <si>
    <t>Intereses Préstamo 2</t>
  </si>
  <si>
    <t>Amortización Préstamo 2</t>
  </si>
  <si>
    <t>Comisiones Renovación y ND Póliza</t>
  </si>
  <si>
    <t>DIC</t>
  </si>
  <si>
    <t>NOV</t>
  </si>
  <si>
    <t>OCT</t>
  </si>
  <si>
    <t>SEP</t>
  </si>
  <si>
    <t>AGO</t>
  </si>
  <si>
    <t>JUL</t>
  </si>
  <si>
    <t>JUN</t>
  </si>
  <si>
    <t>MAY</t>
  </si>
  <si>
    <t>ABR</t>
  </si>
  <si>
    <t>MAR</t>
  </si>
  <si>
    <t>FEB</t>
  </si>
  <si>
    <t>ENE</t>
  </si>
  <si>
    <t>Amortización lineal  125.000 / trimestre</t>
  </si>
  <si>
    <t>Trimestral</t>
  </si>
  <si>
    <t>Mensual</t>
  </si>
  <si>
    <t>Banco B</t>
  </si>
  <si>
    <t>11-00002</t>
  </si>
  <si>
    <t>Préstamo l/p</t>
  </si>
  <si>
    <t>Renovación 1% Anual. CND 12,5 bps Trimestral</t>
  </si>
  <si>
    <t>-</t>
  </si>
  <si>
    <t>Banco A</t>
  </si>
  <si>
    <t>00-00001</t>
  </si>
  <si>
    <t>Póliza Crédito</t>
  </si>
  <si>
    <t>Comentarios</t>
  </si>
  <si>
    <t>Amortizac.</t>
  </si>
  <si>
    <t>Liquidación</t>
  </si>
  <si>
    <t>Gastos</t>
  </si>
  <si>
    <t>Comisiones</t>
  </si>
  <si>
    <t>Tipo Interés</t>
  </si>
  <si>
    <t>Disp. 1 Ene</t>
  </si>
  <si>
    <t>Nominal</t>
  </si>
  <si>
    <t>Fecha Vcto.</t>
  </si>
  <si>
    <t>Fecha Inicio</t>
  </si>
  <si>
    <t>Entidad</t>
  </si>
  <si>
    <t>Contrato</t>
  </si>
  <si>
    <t>Tipo</t>
  </si>
  <si>
    <t>Op.</t>
  </si>
  <si>
    <t>REGISTRO DE OPERACIONES FINANCIERAS</t>
  </si>
  <si>
    <t>CALENDARIZACIÓN ANUAL DE INTERESES Y VENCIMIENTOS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</si>
</sst>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4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CB9CA"/>
        <bgColor rgb="FFACB9CA"/>
      </patternFill>
    </fill>
    <fill>
      <patternFill patternType="solid">
        <fgColor rgb="FF305496"/>
        <bgColor rgb="FF305496"/>
      </patternFill>
    </fill>
  </fills>
  <borders count="3">
    <border>
      <left/>
      <right/>
      <top/>
      <bottom/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4" fontId="1" fillId="0" borderId="0" xfId="0" applyNumberFormat="1" applyFont="1"/>
    <xf numFmtId="3" fontId="2" fillId="2" borderId="1" xfId="0" applyNumberFormat="1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3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3" fillId="3" borderId="2" xfId="0" applyFont="1" applyFill="1" applyBorder="1" applyAlignment="1">
      <alignment horizontal="center"/>
    </xf>
    <xf numFmtId="0" fontId="2" fillId="0" borderId="0" xfId="0" applyFont="1"/>
    <xf numFmtId="3" fontId="1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 indent="1"/>
    </xf>
    <xf numFmtId="1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 indent="1"/>
    </xf>
    <xf numFmtId="10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14" fontId="3" fillId="3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vives\Downloads\Presupuesto%20Tesorer&#237;a.od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slación_Cobros"/>
      <sheetName val="Traslación_Pagos"/>
      <sheetName val="Presupuesto_Tesorería_v1"/>
      <sheetName val="Presupuesto_Tesorería_v2"/>
    </sheetNames>
    <sheetDataSet>
      <sheetData sheetId="0"/>
      <sheetData sheetId="1">
        <row r="2">
          <cell r="S2">
            <v>0.21</v>
          </cell>
        </row>
        <row r="3">
          <cell r="S3">
            <v>0.06</v>
          </cell>
        </row>
        <row r="5">
          <cell r="S5">
            <v>0.16</v>
          </cell>
        </row>
        <row r="6">
          <cell r="S6">
            <v>0.19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8"/>
  <sheetViews>
    <sheetView showGridLines="0" tabSelected="1" workbookViewId="0">
      <selection activeCell="B11" sqref="B11"/>
    </sheetView>
  </sheetViews>
  <sheetFormatPr defaultColWidth="11.42578125" defaultRowHeight="12.75" x14ac:dyDescent="0.2"/>
  <cols>
    <col min="1" max="1" width="3" style="1" customWidth="1"/>
    <col min="2" max="2" width="6" style="1" customWidth="1"/>
    <col min="3" max="3" width="12.7109375" style="1" customWidth="1"/>
    <col min="4" max="4" width="9" style="1" bestFit="1" customWidth="1"/>
    <col min="5" max="5" width="7.7109375" style="1" bestFit="1" customWidth="1"/>
    <col min="6" max="6" width="11.42578125" style="3" customWidth="1"/>
    <col min="7" max="7" width="11.140625" style="3" bestFit="1" customWidth="1"/>
    <col min="8" max="8" width="8.85546875" style="1" bestFit="1" customWidth="1"/>
    <col min="9" max="9" width="8.7109375" style="1" bestFit="1" customWidth="1"/>
    <col min="10" max="10" width="10.28515625" style="1" bestFit="1" customWidth="1"/>
    <col min="11" max="11" width="9.85546875" style="1" bestFit="1" customWidth="1"/>
    <col min="12" max="12" width="6.140625" style="1" bestFit="1" customWidth="1"/>
    <col min="13" max="13" width="12.140625" style="1" bestFit="1" customWidth="1"/>
    <col min="14" max="14" width="9.28515625" style="1" bestFit="1" customWidth="1"/>
    <col min="15" max="15" width="38.7109375" style="2" bestFit="1" customWidth="1"/>
    <col min="16" max="16" width="11.42578125" style="1" customWidth="1"/>
    <col min="17" max="16384" width="11.42578125" style="1"/>
  </cols>
  <sheetData>
    <row r="2" spans="2:15" customFormat="1" ht="15" x14ac:dyDescent="0.25">
      <c r="B2" s="9" t="s">
        <v>42</v>
      </c>
      <c r="C2" s="1"/>
      <c r="D2" s="1"/>
      <c r="E2" s="1"/>
      <c r="F2" s="3"/>
      <c r="G2" s="3"/>
      <c r="H2" s="1"/>
      <c r="I2" s="1"/>
      <c r="J2" s="1"/>
      <c r="K2" s="1"/>
      <c r="L2" s="1"/>
      <c r="M2" s="1"/>
      <c r="N2" s="1"/>
      <c r="O2" s="2"/>
    </row>
    <row r="3" spans="2:15" customFormat="1" ht="15" x14ac:dyDescent="0.25">
      <c r="B3" s="8" t="s">
        <v>41</v>
      </c>
      <c r="C3" s="8" t="s">
        <v>40</v>
      </c>
      <c r="D3" s="8" t="s">
        <v>39</v>
      </c>
      <c r="E3" s="8" t="s">
        <v>38</v>
      </c>
      <c r="F3" s="20" t="s">
        <v>37</v>
      </c>
      <c r="G3" s="20" t="s">
        <v>36</v>
      </c>
      <c r="H3" s="8" t="s">
        <v>35</v>
      </c>
      <c r="I3" s="8" t="s">
        <v>34</v>
      </c>
      <c r="J3" s="8" t="s">
        <v>33</v>
      </c>
      <c r="K3" s="8" t="s">
        <v>32</v>
      </c>
      <c r="L3" s="8" t="s">
        <v>31</v>
      </c>
      <c r="M3" s="8" t="s">
        <v>30</v>
      </c>
      <c r="N3" s="8" t="s">
        <v>29</v>
      </c>
      <c r="O3" s="19" t="s">
        <v>28</v>
      </c>
    </row>
    <row r="4" spans="2:15" customFormat="1" ht="15" x14ac:dyDescent="0.25">
      <c r="B4" s="15">
        <v>1</v>
      </c>
      <c r="C4" s="15" t="s">
        <v>27</v>
      </c>
      <c r="D4" s="7" t="s">
        <v>26</v>
      </c>
      <c r="E4" s="7" t="s">
        <v>25</v>
      </c>
      <c r="F4" s="14">
        <v>43936</v>
      </c>
      <c r="G4" s="14">
        <v>44666</v>
      </c>
      <c r="H4" s="7">
        <v>150000</v>
      </c>
      <c r="I4" s="7">
        <v>0</v>
      </c>
      <c r="J4" s="16">
        <v>2.2499999999999999E-2</v>
      </c>
      <c r="K4" s="17">
        <v>1.25E-3</v>
      </c>
      <c r="L4" s="16">
        <v>0.01</v>
      </c>
      <c r="M4" s="6" t="s">
        <v>18</v>
      </c>
      <c r="N4" s="18" t="s">
        <v>24</v>
      </c>
      <c r="O4" s="6" t="s">
        <v>23</v>
      </c>
    </row>
    <row r="5" spans="2:15" customFormat="1" ht="15" x14ac:dyDescent="0.25">
      <c r="B5" s="15">
        <v>2</v>
      </c>
      <c r="C5" s="15" t="s">
        <v>22</v>
      </c>
      <c r="D5" s="7" t="s">
        <v>21</v>
      </c>
      <c r="E5" s="7" t="s">
        <v>20</v>
      </c>
      <c r="F5" s="14">
        <v>44012</v>
      </c>
      <c r="G5" s="14">
        <v>44742</v>
      </c>
      <c r="H5" s="7">
        <v>1000000</v>
      </c>
      <c r="I5" s="7">
        <v>750000</v>
      </c>
      <c r="J5" s="16">
        <v>0.05</v>
      </c>
      <c r="K5" s="17"/>
      <c r="L5" s="16"/>
      <c r="M5" s="6" t="s">
        <v>19</v>
      </c>
      <c r="N5" s="6" t="s">
        <v>18</v>
      </c>
      <c r="O5" s="6" t="s">
        <v>17</v>
      </c>
    </row>
    <row r="6" spans="2:15" customFormat="1" ht="15" x14ac:dyDescent="0.25">
      <c r="B6" s="15">
        <v>3</v>
      </c>
      <c r="C6" s="15"/>
      <c r="D6" s="7"/>
      <c r="E6" s="7"/>
      <c r="F6" s="14"/>
      <c r="G6" s="14"/>
      <c r="H6" s="7"/>
      <c r="I6" s="7"/>
      <c r="J6" s="16"/>
      <c r="K6" s="7"/>
      <c r="L6" s="7"/>
      <c r="M6" s="7"/>
      <c r="N6" s="7"/>
      <c r="O6" s="6"/>
    </row>
    <row r="7" spans="2:15" customFormat="1" ht="15" x14ac:dyDescent="0.25">
      <c r="B7" s="15">
        <v>4</v>
      </c>
      <c r="C7" s="15"/>
      <c r="D7" s="7"/>
      <c r="E7" s="7"/>
      <c r="F7" s="14"/>
      <c r="G7" s="14"/>
      <c r="H7" s="7"/>
      <c r="I7" s="7"/>
      <c r="J7" s="7"/>
      <c r="K7" s="7"/>
      <c r="L7" s="7"/>
      <c r="M7" s="7"/>
      <c r="N7" s="7"/>
      <c r="O7" s="6"/>
    </row>
    <row r="8" spans="2:15" customFormat="1" ht="15" x14ac:dyDescent="0.25">
      <c r="B8" s="15">
        <v>5</v>
      </c>
      <c r="C8" s="15"/>
      <c r="D8" s="7"/>
      <c r="E8" s="7"/>
      <c r="F8" s="14"/>
      <c r="G8" s="14"/>
      <c r="H8" s="7"/>
      <c r="I8" s="7"/>
      <c r="J8" s="7"/>
      <c r="K8" s="7"/>
      <c r="L8" s="7"/>
      <c r="M8" s="7"/>
      <c r="N8" s="7"/>
      <c r="O8" s="6"/>
    </row>
    <row r="9" spans="2:15" customFormat="1" ht="15" x14ac:dyDescent="0.25">
      <c r="B9" s="13"/>
      <c r="C9" s="13"/>
      <c r="D9" s="11"/>
      <c r="E9" s="11"/>
      <c r="F9" s="12"/>
      <c r="G9" s="12"/>
      <c r="H9" s="11"/>
      <c r="I9" s="11"/>
      <c r="J9" s="11"/>
      <c r="K9" s="11"/>
      <c r="L9" s="11"/>
      <c r="M9" s="11"/>
      <c r="N9" s="11"/>
      <c r="O9" s="10"/>
    </row>
    <row r="10" spans="2:15" customFormat="1" ht="15" x14ac:dyDescent="0.25">
      <c r="B10" s="9" t="s">
        <v>43</v>
      </c>
      <c r="C10" s="1"/>
      <c r="D10" s="1"/>
      <c r="E10" s="1"/>
      <c r="F10" s="3"/>
      <c r="G10" s="3"/>
      <c r="H10" s="1"/>
      <c r="I10" s="1"/>
      <c r="J10" s="1"/>
      <c r="K10" s="1"/>
      <c r="L10" s="1"/>
      <c r="M10" s="1"/>
      <c r="N10" s="1"/>
      <c r="O10" s="1"/>
    </row>
    <row r="11" spans="2:15" customFormat="1" ht="15" x14ac:dyDescent="0.25">
      <c r="B11" s="8" t="s">
        <v>16</v>
      </c>
      <c r="C11" s="8" t="s">
        <v>15</v>
      </c>
      <c r="D11" s="8" t="s">
        <v>14</v>
      </c>
      <c r="E11" s="8" t="s">
        <v>13</v>
      </c>
      <c r="F11" s="8" t="s">
        <v>12</v>
      </c>
      <c r="G11" s="8" t="s">
        <v>11</v>
      </c>
      <c r="H11" s="8" t="s">
        <v>10</v>
      </c>
      <c r="I11" s="8" t="s">
        <v>9</v>
      </c>
      <c r="J11" s="8" t="s">
        <v>8</v>
      </c>
      <c r="K11" s="8" t="s">
        <v>7</v>
      </c>
      <c r="L11" s="8" t="s">
        <v>6</v>
      </c>
      <c r="M11" s="8" t="s">
        <v>5</v>
      </c>
      <c r="N11" s="1"/>
      <c r="O11" s="8"/>
    </row>
    <row r="12" spans="2:15" customFormat="1" ht="15" x14ac:dyDescent="0.25">
      <c r="B12" s="7">
        <f>-$H$4*$K$4</f>
        <v>-187.5</v>
      </c>
      <c r="C12" s="7"/>
      <c r="D12" s="7"/>
      <c r="E12" s="7">
        <f>-H4*1%</f>
        <v>-1500</v>
      </c>
      <c r="F12" s="7"/>
      <c r="G12" s="7"/>
      <c r="H12" s="7">
        <f>-$H$4*$K$4</f>
        <v>-187.5</v>
      </c>
      <c r="I12" s="7"/>
      <c r="J12" s="7"/>
      <c r="K12" s="7"/>
      <c r="L12" s="7">
        <f>-$H$4*$K$4</f>
        <v>-187.5</v>
      </c>
      <c r="M12" s="7"/>
      <c r="N12" s="1"/>
      <c r="O12" s="6" t="s">
        <v>4</v>
      </c>
    </row>
    <row r="13" spans="2:15" customFormat="1" ht="15" x14ac:dyDescent="0.25">
      <c r="B13" s="7"/>
      <c r="C13" s="7"/>
      <c r="D13" s="7">
        <v>-125000</v>
      </c>
      <c r="E13" s="7"/>
      <c r="F13" s="7"/>
      <c r="G13" s="7">
        <v>-125000</v>
      </c>
      <c r="H13" s="7"/>
      <c r="I13" s="7"/>
      <c r="J13" s="7">
        <v>-125000</v>
      </c>
      <c r="K13" s="7"/>
      <c r="L13" s="7"/>
      <c r="M13" s="7">
        <v>-125000</v>
      </c>
      <c r="N13" s="1"/>
      <c r="O13" s="6" t="s">
        <v>3</v>
      </c>
    </row>
    <row r="14" spans="2:15" customFormat="1" ht="15" x14ac:dyDescent="0.25">
      <c r="B14" s="7">
        <f>--(DEUDA_INI)*INTERÉS*31/360</f>
        <v>3229.1666666666665</v>
      </c>
      <c r="C14" s="7">
        <f>-(DEUDA_INI-SUM(B13:$B13))*INTERÉS*31/360</f>
        <v>-3229.1666666666665</v>
      </c>
      <c r="D14" s="7">
        <f>-(DEUDA_INI-SUM(B13:$C13))*INTERÉS*28/360</f>
        <v>-2916.6666666666665</v>
      </c>
      <c r="E14" s="7">
        <f>-(DEUDA_INI-SUM($B13:C13))*INTERÉS*31/360</f>
        <v>-3229.1666666666665</v>
      </c>
      <c r="F14" s="7">
        <f>-(DEUDA_INI-SUM($B13:D13))*INTERÉS*31/360</f>
        <v>-3767.3611111111113</v>
      </c>
      <c r="G14" s="7">
        <f>-(DEUDA_INI-SUM($B13:E13))*INTERÉS*31/360</f>
        <v>-3767.3611111111113</v>
      </c>
      <c r="H14" s="7">
        <f>-(DEUDA_INI-SUM($B13:F13))*INTERÉS*31/360</f>
        <v>-3767.3611111111113</v>
      </c>
      <c r="I14" s="7">
        <f>-(DEUDA_INI-SUM($B13:G13))*INTERÉS*31/360</f>
        <v>-4305.5555555555557</v>
      </c>
      <c r="J14" s="7">
        <f>-(DEUDA_INI-SUM($B13:H13))*INTERÉS*31/360</f>
        <v>-4305.5555555555557</v>
      </c>
      <c r="K14" s="7">
        <f>-(DEUDA_INI-SUM($B13:I13))*INTERÉS*31/360</f>
        <v>-4305.5555555555557</v>
      </c>
      <c r="L14" s="7">
        <f>-(DEUDA_INI-SUM($B13:J13))*INTERÉS*31/360</f>
        <v>-4843.75</v>
      </c>
      <c r="M14" s="7">
        <f>-(DEUDA_INI-SUM($B13:K13))*INTERÉS*31/360</f>
        <v>-4843.75</v>
      </c>
      <c r="N14" s="1"/>
      <c r="O14" s="6" t="s">
        <v>2</v>
      </c>
    </row>
    <row r="15" spans="2:15" customFormat="1" ht="15" x14ac:dyDescent="0.25">
      <c r="B15" s="5">
        <f t="shared" ref="B15:M15" si="0">SUM(B12:B14)</f>
        <v>3041.6666666666665</v>
      </c>
      <c r="C15" s="5">
        <f t="shared" si="0"/>
        <v>-3229.1666666666665</v>
      </c>
      <c r="D15" s="5">
        <f t="shared" si="0"/>
        <v>-127916.66666666667</v>
      </c>
      <c r="E15" s="5">
        <f t="shared" si="0"/>
        <v>-4729.1666666666661</v>
      </c>
      <c r="F15" s="5">
        <f t="shared" si="0"/>
        <v>-3767.3611111111113</v>
      </c>
      <c r="G15" s="5">
        <f t="shared" si="0"/>
        <v>-128767.36111111111</v>
      </c>
      <c r="H15" s="5">
        <f t="shared" si="0"/>
        <v>-3954.8611111111113</v>
      </c>
      <c r="I15" s="5">
        <f t="shared" si="0"/>
        <v>-4305.5555555555557</v>
      </c>
      <c r="J15" s="5">
        <f t="shared" si="0"/>
        <v>-129305.55555555556</v>
      </c>
      <c r="K15" s="5">
        <f t="shared" si="0"/>
        <v>-4305.5555555555557</v>
      </c>
      <c r="L15" s="5">
        <f t="shared" si="0"/>
        <v>-5031.25</v>
      </c>
      <c r="M15" s="5">
        <f t="shared" si="0"/>
        <v>-129843.75</v>
      </c>
      <c r="N15" s="1"/>
      <c r="O15" s="4" t="s">
        <v>1</v>
      </c>
    </row>
    <row r="16" spans="2:15" customFormat="1" ht="15" x14ac:dyDescent="0.25">
      <c r="B16" s="1"/>
      <c r="C16" s="1"/>
      <c r="D16" s="1"/>
      <c r="E16" s="1"/>
      <c r="F16" s="1"/>
      <c r="G16" s="1"/>
      <c r="H16" s="1"/>
      <c r="I16" s="1"/>
      <c r="J16" s="1"/>
      <c r="K16" s="7"/>
      <c r="L16" s="7"/>
      <c r="M16" s="7"/>
      <c r="N16" s="1"/>
      <c r="O16" s="6"/>
    </row>
    <row r="17" spans="2:15" customFormat="1" ht="15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1"/>
      <c r="O17" s="6"/>
    </row>
    <row r="18" spans="2:15" customFormat="1" ht="15" x14ac:dyDescent="0.25">
      <c r="B18" s="5">
        <f t="shared" ref="B18:M18" si="1">+SUM(B16:B17)</f>
        <v>0</v>
      </c>
      <c r="C18" s="5">
        <f t="shared" si="1"/>
        <v>0</v>
      </c>
      <c r="D18" s="5">
        <f t="shared" si="1"/>
        <v>0</v>
      </c>
      <c r="E18" s="5">
        <f t="shared" si="1"/>
        <v>0</v>
      </c>
      <c r="F18" s="5">
        <f t="shared" si="1"/>
        <v>0</v>
      </c>
      <c r="G18" s="5">
        <f t="shared" si="1"/>
        <v>0</v>
      </c>
      <c r="H18" s="5">
        <f t="shared" si="1"/>
        <v>0</v>
      </c>
      <c r="I18" s="5">
        <f t="shared" si="1"/>
        <v>0</v>
      </c>
      <c r="J18" s="5">
        <f t="shared" si="1"/>
        <v>0</v>
      </c>
      <c r="K18" s="5">
        <f t="shared" si="1"/>
        <v>0</v>
      </c>
      <c r="L18" s="5">
        <f t="shared" si="1"/>
        <v>0</v>
      </c>
      <c r="M18" s="5">
        <f t="shared" si="1"/>
        <v>0</v>
      </c>
      <c r="N18" s="1"/>
      <c r="O18" s="4" t="s">
        <v>0</v>
      </c>
    </row>
  </sheetData>
  <pageMargins left="0.70000000000000007" right="0.70000000000000007" top="0.75" bottom="0.75" header="0.30000000000000004" footer="0.3000000000000000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Fulls de càlcul</vt:lpstr>
      </vt:variant>
      <vt:variant>
        <vt:i4>1</vt:i4>
      </vt:variant>
      <vt:variant>
        <vt:lpstr>Intervals amb nom</vt:lpstr>
      </vt:variant>
      <vt:variant>
        <vt:i4>2</vt:i4>
      </vt:variant>
    </vt:vector>
  </HeadingPairs>
  <TitlesOfParts>
    <vt:vector size="3" baseType="lpstr">
      <vt:lpstr>Cuadro_vencimientos_y_devengos</vt:lpstr>
      <vt:lpstr>DEUDA_INI</vt:lpstr>
      <vt:lpstr>INTERÉS</vt:lpstr>
    </vt:vector>
  </TitlesOfParts>
  <Company>Cellnex Telecom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VIVES BOROTAU, ALEIX</dc:creator>
  <cp:lastModifiedBy>oriol Calblay</cp:lastModifiedBy>
  <dcterms:created xsi:type="dcterms:W3CDTF">2021-09-28T14:58:10Z</dcterms:created>
  <dcterms:modified xsi:type="dcterms:W3CDTF">2024-06-11T18:11:24Z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ab904b49-3f4d-4965-871f-2e2fd7247f94_Enabled">
    <vt:lpwstr>True</vt:lpwstr>
  </property>
  <property fmtid="{D5CDD505-2E9C-101B-9397-08002B2CF9AE}" pid="5" name="MSIP_Label_ab904b49-3f4d-4965-871f-2e2fd7247f94_SiteId">
    <vt:lpwstr>05088b6e-1d96-4f6b-8918-48957eca4f00</vt:lpwstr>
  </property>
  <property fmtid="{D5CDD505-2E9C-101B-9397-08002B2CF9AE}" pid="6" name="MSIP_Label_ab904b49-3f4d-4965-871f-2e2fd7247f94_Owner">
    <vt:lpwstr>aleix.vives@cellnextelecom.com</vt:lpwstr>
  </property>
  <property fmtid="{D5CDD505-2E9C-101B-9397-08002B2CF9AE}" pid="7" name="MSIP_Label_ab904b49-3f4d-4965-871f-2e2fd7247f94_SetDate">
    <vt:lpwstr>2021-09-28T14:58:16.7419368Z</vt:lpwstr>
  </property>
  <property fmtid="{D5CDD505-2E9C-101B-9397-08002B2CF9AE}" pid="8" name="MSIP_Label_ab904b49-3f4d-4965-871f-2e2fd7247f94_Name">
    <vt:lpwstr>Internal</vt:lpwstr>
  </property>
  <property fmtid="{D5CDD505-2E9C-101B-9397-08002B2CF9AE}" pid="9" name="MSIP_Label_ab904b49-3f4d-4965-871f-2e2fd7247f94_Application">
    <vt:lpwstr>Microsoft Azure Information Protection</vt:lpwstr>
  </property>
  <property fmtid="{D5CDD505-2E9C-101B-9397-08002B2CF9AE}" pid="10" name="MSIP_Label_ab904b49-3f4d-4965-871f-2e2fd7247f94_ActionId">
    <vt:lpwstr>81c6cc15-ed89-479a-b304-66cebb8d8f67</vt:lpwstr>
  </property>
  <property fmtid="{D5CDD505-2E9C-101B-9397-08002B2CF9AE}" pid="11" name="MSIP_Label_ab904b49-3f4d-4965-871f-2e2fd7247f94_Extended_MSFT_Method">
    <vt:lpwstr>Automatic</vt:lpwstr>
  </property>
  <property fmtid="{D5CDD505-2E9C-101B-9397-08002B2CF9AE}" pid="12" name="Sensitivity">
    <vt:lpwstr>Internal</vt:lpwstr>
  </property>
</Properties>
</file>