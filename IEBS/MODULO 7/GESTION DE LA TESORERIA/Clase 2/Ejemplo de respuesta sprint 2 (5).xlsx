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0" documentId="8_{025D07D2-4C9C-4D17-A37A-3365B381FB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mplo de respuesta" sheetId="1" r:id="rId1"/>
  </sheets>
  <definedNames>
    <definedName name="IVA">#REF!</definedName>
    <definedName name="RET_TRABAJO">#REF!</definedName>
    <definedName name="RETENCIÓN">#REF!</definedName>
    <definedName name="SS_EMPRESA">#REF!</definedName>
    <definedName name="SS_TRABAJA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1" l="1"/>
  <c r="O31" i="1"/>
  <c r="N31" i="1"/>
  <c r="M31" i="1"/>
  <c r="L31" i="1"/>
  <c r="K31" i="1"/>
  <c r="J31" i="1"/>
  <c r="I31" i="1"/>
  <c r="H31" i="1"/>
  <c r="G31" i="1"/>
  <c r="F31" i="1"/>
  <c r="E31" i="1"/>
  <c r="R31" i="1" s="1"/>
  <c r="P30" i="1"/>
  <c r="O30" i="1"/>
  <c r="N30" i="1"/>
  <c r="M30" i="1"/>
  <c r="L30" i="1"/>
  <c r="K30" i="1"/>
  <c r="J30" i="1"/>
  <c r="I30" i="1"/>
  <c r="R30" i="1" s="1"/>
  <c r="H30" i="1"/>
  <c r="G30" i="1"/>
  <c r="F30" i="1"/>
  <c r="E30" i="1"/>
  <c r="P29" i="1"/>
  <c r="O29" i="1"/>
  <c r="N29" i="1"/>
  <c r="M29" i="1"/>
  <c r="L29" i="1"/>
  <c r="K29" i="1"/>
  <c r="J29" i="1"/>
  <c r="I29" i="1"/>
  <c r="H29" i="1"/>
  <c r="G29" i="1"/>
  <c r="F29" i="1"/>
  <c r="R29" i="1" s="1"/>
  <c r="E29" i="1"/>
  <c r="P28" i="1"/>
  <c r="O28" i="1"/>
  <c r="N28" i="1"/>
  <c r="M28" i="1"/>
  <c r="L28" i="1"/>
  <c r="K28" i="1"/>
  <c r="J28" i="1"/>
  <c r="I28" i="1"/>
  <c r="H28" i="1"/>
  <c r="G28" i="1"/>
  <c r="F28" i="1"/>
  <c r="E28" i="1"/>
  <c r="R28" i="1" s="1"/>
  <c r="P27" i="1"/>
  <c r="O27" i="1"/>
  <c r="N27" i="1"/>
  <c r="M27" i="1"/>
  <c r="L27" i="1"/>
  <c r="K27" i="1"/>
  <c r="J27" i="1"/>
  <c r="I27" i="1"/>
  <c r="R27" i="1" s="1"/>
  <c r="H27" i="1"/>
  <c r="G27" i="1"/>
  <c r="F27" i="1"/>
  <c r="E27" i="1"/>
  <c r="P26" i="1"/>
  <c r="O26" i="1"/>
  <c r="N26" i="1"/>
  <c r="M26" i="1"/>
  <c r="L26" i="1"/>
  <c r="K26" i="1"/>
  <c r="J26" i="1"/>
  <c r="I26" i="1"/>
  <c r="H26" i="1"/>
  <c r="G26" i="1"/>
  <c r="F26" i="1"/>
  <c r="R26" i="1" s="1"/>
  <c r="E26" i="1"/>
  <c r="P25" i="1"/>
  <c r="O25" i="1"/>
  <c r="N25" i="1"/>
  <c r="M25" i="1"/>
  <c r="L25" i="1"/>
  <c r="K25" i="1"/>
  <c r="J25" i="1"/>
  <c r="I25" i="1"/>
  <c r="H25" i="1"/>
  <c r="G25" i="1"/>
  <c r="F25" i="1"/>
  <c r="E25" i="1"/>
  <c r="R25" i="1" s="1"/>
  <c r="P24" i="1"/>
  <c r="O24" i="1"/>
  <c r="N24" i="1"/>
  <c r="M24" i="1"/>
  <c r="L24" i="1"/>
  <c r="K24" i="1"/>
  <c r="J24" i="1"/>
  <c r="I24" i="1"/>
  <c r="H24" i="1"/>
  <c r="R24" i="1" s="1"/>
  <c r="G24" i="1"/>
  <c r="F24" i="1"/>
  <c r="E24" i="1"/>
  <c r="P23" i="1"/>
  <c r="O23" i="1"/>
  <c r="N23" i="1"/>
  <c r="M23" i="1"/>
  <c r="L23" i="1"/>
  <c r="K23" i="1"/>
  <c r="J23" i="1"/>
  <c r="I23" i="1"/>
  <c r="H23" i="1"/>
  <c r="G23" i="1"/>
  <c r="F23" i="1"/>
  <c r="E23" i="1"/>
  <c r="R23" i="1" s="1"/>
  <c r="P22" i="1"/>
  <c r="O22" i="1"/>
  <c r="N22" i="1"/>
  <c r="M22" i="1"/>
  <c r="L22" i="1"/>
  <c r="K22" i="1"/>
  <c r="J22" i="1"/>
  <c r="I22" i="1"/>
  <c r="H22" i="1"/>
  <c r="G22" i="1"/>
  <c r="F22" i="1"/>
  <c r="E22" i="1"/>
  <c r="R22" i="1" s="1"/>
  <c r="P21" i="1"/>
  <c r="P32" i="1" s="1"/>
  <c r="O21" i="1"/>
  <c r="O32" i="1" s="1"/>
  <c r="N21" i="1"/>
  <c r="N32" i="1" s="1"/>
  <c r="M21" i="1"/>
  <c r="M32" i="1" s="1"/>
  <c r="L21" i="1"/>
  <c r="L32" i="1" s="1"/>
  <c r="K21" i="1"/>
  <c r="K32" i="1" s="1"/>
  <c r="J21" i="1"/>
  <c r="J32" i="1" s="1"/>
  <c r="I21" i="1"/>
  <c r="I32" i="1" s="1"/>
  <c r="H21" i="1"/>
  <c r="H32" i="1" s="1"/>
  <c r="G21" i="1"/>
  <c r="G32" i="1" s="1"/>
  <c r="F21" i="1"/>
  <c r="F32" i="1" s="1"/>
  <c r="E21" i="1"/>
  <c r="E32" i="1" s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R15" i="1"/>
  <c r="R14" i="1"/>
  <c r="R13" i="1"/>
  <c r="R12" i="1"/>
  <c r="R11" i="1"/>
  <c r="R10" i="1"/>
  <c r="R9" i="1"/>
  <c r="R8" i="1"/>
  <c r="R7" i="1"/>
  <c r="R6" i="1"/>
  <c r="R5" i="1"/>
  <c r="R16" i="1" s="1"/>
  <c r="R21" i="1" l="1"/>
  <c r="R32" i="1" s="1"/>
</calcChain>
</file>

<file path=xl/sharedStrings.xml><?xml version="1.0" encoding="utf-8"?>
<sst xmlns="http://schemas.openxmlformats.org/spreadsheetml/2006/main" count="80" uniqueCount="40">
  <si>
    <t>TRASLACIÓN DE COBROS DE CUENTA DE RESULTADOS A PRESUPUESTO DE TESORERÍA</t>
  </si>
  <si>
    <t>CUENTA DE RESULTADOS</t>
  </si>
  <si>
    <t>NOV A-1</t>
  </si>
  <si>
    <t>DIC A-1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</si>
  <si>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</si>
  <si>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</si>
  <si>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</si>
  <si>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</si>
  <si>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</si>
  <si>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</si>
  <si>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</si>
  <si>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</si>
  <si>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</si>
  <si>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</si>
  <si>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</si>
  <si>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</si>
  <si>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FY</t>
  </si>
  <si>
    <t>CONDICIONES</t>
  </si>
  <si>
    <t>IMPUESTO</t>
  </si>
  <si>
    <t>Cliente TOP 1</t>
  </si>
  <si>
    <t>PAGO 30 DÍAS</t>
  </si>
  <si>
    <t>Cliente TOP 2</t>
  </si>
  <si>
    <t>PAGO 60 DÍAS</t>
  </si>
  <si>
    <t>Cliente TOP 3</t>
  </si>
  <si>
    <t>40% CONTADO, 60% 60 DÍAS</t>
  </si>
  <si>
    <t>Cliente TOP 4</t>
  </si>
  <si>
    <t>PAGO 45 DÍAS</t>
  </si>
  <si>
    <t>Cliente TOP 5</t>
  </si>
  <si>
    <t>Exportación, no aplica IVA</t>
  </si>
  <si>
    <t>Cliente TOP 6</t>
  </si>
  <si>
    <t>50% CONTADO, 50% 30 DÍAS</t>
  </si>
  <si>
    <t>Cliente TOP 7</t>
  </si>
  <si>
    <t>Cliente TOP 8</t>
  </si>
  <si>
    <t>PAGO 15 DÍAS</t>
  </si>
  <si>
    <t>Cliente TOP 9</t>
  </si>
  <si>
    <t>Cliente TOP 10</t>
  </si>
  <si>
    <t>Resto Clientes</t>
  </si>
  <si>
    <t>PROMEDIO 45 DÍAS</t>
  </si>
  <si>
    <t>INGRESOS POR VENTAS</t>
  </si>
  <si>
    <t>PRESUPUESTO TESORERÍA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</si>
</sst>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0"/>
      <color rgb="FF305496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548235"/>
        <bgColor rgb="FF548235"/>
      </patternFill>
    </fill>
    <fill>
      <patternFill patternType="solid">
        <fgColor rgb="FF0070C0"/>
        <bgColor rgb="FF0070C0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9" fontId="2" fillId="0" borderId="0" xfId="0" applyNumberFormat="1" applyFont="1"/>
    <xf numFmtId="0" fontId="4" fillId="0" borderId="0" xfId="0" applyFont="1"/>
    <xf numFmtId="0" fontId="3" fillId="3" borderId="3" xfId="0" applyFont="1" applyFill="1" applyBorder="1" applyAlignment="1">
      <alignment horizontal="left"/>
    </xf>
    <xf numFmtId="3" fontId="3" fillId="3" borderId="3" xfId="0" applyNumberFormat="1" applyFont="1" applyFill="1" applyBorder="1" applyAlignment="1">
      <alignment horizontal="right"/>
    </xf>
    <xf numFmtId="4" fontId="2" fillId="0" borderId="0" xfId="0" applyNumberFormat="1" applyFont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4.42578125" defaultRowHeight="15" customHeight="1" x14ac:dyDescent="0.25"/>
  <cols>
    <col min="1" max="1" width="3.5703125" customWidth="1"/>
    <col min="2" max="2" width="20.42578125" customWidth="1"/>
    <col min="3" max="3" width="7.85546875" customWidth="1"/>
    <col min="4" max="4" width="7.42578125" customWidth="1"/>
    <col min="5" max="16" width="8.28515625" customWidth="1"/>
    <col min="17" max="17" width="1.7109375" customWidth="1"/>
    <col min="18" max="18" width="11.28515625" customWidth="1"/>
    <col min="19" max="19" width="1.7109375" customWidth="1"/>
    <col min="20" max="20" width="23.28515625" customWidth="1"/>
    <col min="21" max="21" width="1.7109375" customWidth="1"/>
    <col min="22" max="22" width="9" customWidth="1"/>
    <col min="23" max="23" width="22" customWidth="1"/>
    <col min="24" max="26" width="10.7109375" customWidth="1"/>
  </cols>
  <sheetData>
    <row r="1" spans="1:26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2"/>
      <c r="R4" s="4" t="s">
        <v>16</v>
      </c>
      <c r="S4" s="2"/>
      <c r="T4" s="4" t="s">
        <v>17</v>
      </c>
      <c r="U4" s="2"/>
      <c r="V4" s="4" t="s">
        <v>18</v>
      </c>
      <c r="W4" s="2"/>
      <c r="X4" s="2"/>
      <c r="Y4" s="2"/>
      <c r="Z4" s="2"/>
    </row>
    <row r="5" spans="1:26" ht="12.75" customHeight="1" x14ac:dyDescent="0.25">
      <c r="A5" s="2"/>
      <c r="B5" s="5" t="s">
        <v>19</v>
      </c>
      <c r="C5" s="6">
        <v>54000</v>
      </c>
      <c r="D5" s="6">
        <v>21000</v>
      </c>
      <c r="E5" s="6">
        <v>32000</v>
      </c>
      <c r="F5" s="6">
        <v>34000</v>
      </c>
      <c r="G5" s="6">
        <v>21000</v>
      </c>
      <c r="H5" s="6">
        <v>25000</v>
      </c>
      <c r="I5" s="6">
        <v>45000</v>
      </c>
      <c r="J5" s="6">
        <v>10000</v>
      </c>
      <c r="K5" s="6">
        <v>45000</v>
      </c>
      <c r="L5" s="6">
        <v>28000</v>
      </c>
      <c r="M5" s="6">
        <v>32000</v>
      </c>
      <c r="N5" s="6">
        <v>38000</v>
      </c>
      <c r="O5" s="6">
        <v>17000</v>
      </c>
      <c r="P5" s="6">
        <v>48000</v>
      </c>
      <c r="Q5" s="2"/>
      <c r="R5" s="6">
        <f t="shared" ref="R5:R15" si="0">+SUM(E5:P5)</f>
        <v>375000</v>
      </c>
      <c r="S5" s="2"/>
      <c r="T5" s="2" t="s">
        <v>20</v>
      </c>
      <c r="U5" s="2"/>
      <c r="V5" s="7">
        <v>0.21</v>
      </c>
      <c r="W5" s="2"/>
      <c r="X5" s="2"/>
      <c r="Y5" s="2"/>
      <c r="Z5" s="2"/>
    </row>
    <row r="6" spans="1:26" ht="12.75" customHeight="1" x14ac:dyDescent="0.25">
      <c r="A6" s="2"/>
      <c r="B6" s="5" t="s">
        <v>21</v>
      </c>
      <c r="C6" s="6">
        <v>26000</v>
      </c>
      <c r="D6" s="6">
        <v>6000</v>
      </c>
      <c r="E6" s="6">
        <v>4000</v>
      </c>
      <c r="F6" s="6">
        <v>50000</v>
      </c>
      <c r="G6" s="6">
        <v>59000</v>
      </c>
      <c r="H6" s="6">
        <v>10000</v>
      </c>
      <c r="I6" s="6">
        <v>37000</v>
      </c>
      <c r="J6" s="6">
        <v>12000</v>
      </c>
      <c r="K6" s="6">
        <v>54000</v>
      </c>
      <c r="L6" s="6">
        <v>35000</v>
      </c>
      <c r="M6" s="6">
        <v>43000</v>
      </c>
      <c r="N6" s="6">
        <v>30000</v>
      </c>
      <c r="O6" s="6">
        <v>11000</v>
      </c>
      <c r="P6" s="6">
        <v>48000</v>
      </c>
      <c r="Q6" s="2"/>
      <c r="R6" s="6">
        <f t="shared" si="0"/>
        <v>393000</v>
      </c>
      <c r="S6" s="2"/>
      <c r="T6" s="2" t="s">
        <v>22</v>
      </c>
      <c r="U6" s="2"/>
      <c r="V6" s="7">
        <v>0.21</v>
      </c>
      <c r="W6" s="2"/>
      <c r="X6" s="2"/>
      <c r="Y6" s="2"/>
      <c r="Z6" s="2"/>
    </row>
    <row r="7" spans="1:26" ht="12.75" customHeight="1" x14ac:dyDescent="0.25">
      <c r="A7" s="2"/>
      <c r="B7" s="5" t="s">
        <v>23</v>
      </c>
      <c r="C7" s="6">
        <v>32000</v>
      </c>
      <c r="D7" s="6">
        <v>7000</v>
      </c>
      <c r="E7" s="6">
        <v>32000</v>
      </c>
      <c r="F7" s="6">
        <v>41000</v>
      </c>
      <c r="G7" s="6">
        <v>44000</v>
      </c>
      <c r="H7" s="6">
        <v>37000</v>
      </c>
      <c r="I7" s="6">
        <v>45000</v>
      </c>
      <c r="J7" s="6">
        <v>21000</v>
      </c>
      <c r="K7" s="6">
        <v>55000</v>
      </c>
      <c r="L7" s="6">
        <v>7000</v>
      </c>
      <c r="M7" s="6">
        <v>11000</v>
      </c>
      <c r="N7" s="6">
        <v>46000</v>
      </c>
      <c r="O7" s="6">
        <v>33000</v>
      </c>
      <c r="P7" s="6">
        <v>31000</v>
      </c>
      <c r="Q7" s="2"/>
      <c r="R7" s="6">
        <f t="shared" si="0"/>
        <v>403000</v>
      </c>
      <c r="S7" s="2"/>
      <c r="T7" s="2" t="s">
        <v>24</v>
      </c>
      <c r="U7" s="2"/>
      <c r="V7" s="7">
        <v>0.21</v>
      </c>
      <c r="W7" s="2"/>
      <c r="X7" s="2"/>
      <c r="Y7" s="2"/>
      <c r="Z7" s="2"/>
    </row>
    <row r="8" spans="1:26" ht="12.75" customHeight="1" x14ac:dyDescent="0.25">
      <c r="A8" s="2"/>
      <c r="B8" s="5" t="s">
        <v>25</v>
      </c>
      <c r="C8" s="6">
        <v>37000</v>
      </c>
      <c r="D8" s="6">
        <v>33000</v>
      </c>
      <c r="E8" s="6">
        <v>19000</v>
      </c>
      <c r="F8" s="6">
        <v>33000</v>
      </c>
      <c r="G8" s="6">
        <v>15000</v>
      </c>
      <c r="H8" s="6">
        <v>60000</v>
      </c>
      <c r="I8" s="6">
        <v>13000</v>
      </c>
      <c r="J8" s="6">
        <v>20000</v>
      </c>
      <c r="K8" s="6">
        <v>7000</v>
      </c>
      <c r="L8" s="6">
        <v>48000</v>
      </c>
      <c r="M8" s="6">
        <v>48000</v>
      </c>
      <c r="N8" s="6">
        <v>10000</v>
      </c>
      <c r="O8" s="6">
        <v>45000</v>
      </c>
      <c r="P8" s="6">
        <v>18000</v>
      </c>
      <c r="Q8" s="2"/>
      <c r="R8" s="6">
        <f t="shared" si="0"/>
        <v>336000</v>
      </c>
      <c r="S8" s="2"/>
      <c r="T8" s="2" t="s">
        <v>26</v>
      </c>
      <c r="U8" s="2"/>
      <c r="V8" s="7">
        <v>0.21</v>
      </c>
      <c r="W8" s="2"/>
      <c r="X8" s="2"/>
      <c r="Y8" s="2"/>
      <c r="Z8" s="2"/>
    </row>
    <row r="9" spans="1:26" ht="12.75" customHeight="1" x14ac:dyDescent="0.25">
      <c r="A9" s="2"/>
      <c r="B9" s="5" t="s">
        <v>27</v>
      </c>
      <c r="C9" s="6">
        <v>18000</v>
      </c>
      <c r="D9" s="6">
        <v>45000</v>
      </c>
      <c r="E9" s="6">
        <v>41000</v>
      </c>
      <c r="F9" s="6">
        <v>5000</v>
      </c>
      <c r="G9" s="6">
        <v>46000</v>
      </c>
      <c r="H9" s="6">
        <v>45000</v>
      </c>
      <c r="I9" s="6">
        <v>0</v>
      </c>
      <c r="J9" s="6">
        <v>21000</v>
      </c>
      <c r="K9" s="6">
        <v>31000</v>
      </c>
      <c r="L9" s="6">
        <v>38000</v>
      </c>
      <c r="M9" s="6">
        <v>18000</v>
      </c>
      <c r="N9" s="6">
        <v>19000</v>
      </c>
      <c r="O9" s="6">
        <v>44000</v>
      </c>
      <c r="P9" s="6">
        <v>16000</v>
      </c>
      <c r="Q9" s="2"/>
      <c r="R9" s="6">
        <f t="shared" si="0"/>
        <v>324000</v>
      </c>
      <c r="S9" s="2"/>
      <c r="T9" s="2" t="s">
        <v>22</v>
      </c>
      <c r="U9" s="2"/>
      <c r="V9" s="7"/>
      <c r="W9" s="2" t="s">
        <v>28</v>
      </c>
      <c r="X9" s="2"/>
      <c r="Y9" s="2"/>
      <c r="Z9" s="2"/>
    </row>
    <row r="10" spans="1:26" ht="12.75" customHeight="1" x14ac:dyDescent="0.25">
      <c r="A10" s="2"/>
      <c r="B10" s="5" t="s">
        <v>29</v>
      </c>
      <c r="C10" s="6">
        <v>24000</v>
      </c>
      <c r="D10" s="6">
        <v>15000</v>
      </c>
      <c r="E10" s="6">
        <v>4000</v>
      </c>
      <c r="F10" s="6">
        <v>23000</v>
      </c>
      <c r="G10" s="6">
        <v>27000</v>
      </c>
      <c r="H10" s="6">
        <v>30000</v>
      </c>
      <c r="I10" s="6">
        <v>42000</v>
      </c>
      <c r="J10" s="6">
        <v>42000</v>
      </c>
      <c r="K10" s="6">
        <v>14000</v>
      </c>
      <c r="L10" s="6">
        <v>41000</v>
      </c>
      <c r="M10" s="6">
        <v>57000</v>
      </c>
      <c r="N10" s="6">
        <v>28000</v>
      </c>
      <c r="O10" s="6">
        <v>32000</v>
      </c>
      <c r="P10" s="6">
        <v>17000</v>
      </c>
      <c r="Q10" s="2"/>
      <c r="R10" s="6">
        <f t="shared" si="0"/>
        <v>357000</v>
      </c>
      <c r="S10" s="2"/>
      <c r="T10" s="2" t="s">
        <v>30</v>
      </c>
      <c r="U10" s="2"/>
      <c r="V10" s="7">
        <v>0.21</v>
      </c>
      <c r="W10" s="2"/>
      <c r="X10" s="2"/>
      <c r="Y10" s="2"/>
      <c r="Z10" s="2"/>
    </row>
    <row r="11" spans="1:26" ht="12.75" customHeight="1" x14ac:dyDescent="0.25">
      <c r="A11" s="2"/>
      <c r="B11" s="5" t="s">
        <v>31</v>
      </c>
      <c r="C11" s="6">
        <v>29000</v>
      </c>
      <c r="D11" s="6">
        <v>0</v>
      </c>
      <c r="E11" s="6">
        <v>5000</v>
      </c>
      <c r="F11" s="6">
        <v>31000</v>
      </c>
      <c r="G11" s="6">
        <v>23000</v>
      </c>
      <c r="H11" s="6">
        <v>26000</v>
      </c>
      <c r="I11" s="6">
        <v>41000</v>
      </c>
      <c r="J11" s="6">
        <v>31000</v>
      </c>
      <c r="K11" s="6">
        <v>15000</v>
      </c>
      <c r="L11" s="6">
        <v>26000</v>
      </c>
      <c r="M11" s="6">
        <v>33000</v>
      </c>
      <c r="N11" s="6">
        <v>35000</v>
      </c>
      <c r="O11" s="6">
        <v>0</v>
      </c>
      <c r="P11" s="6">
        <v>45000</v>
      </c>
      <c r="Q11" s="2"/>
      <c r="R11" s="6">
        <f t="shared" si="0"/>
        <v>311000</v>
      </c>
      <c r="S11" s="2"/>
      <c r="T11" s="2" t="s">
        <v>20</v>
      </c>
      <c r="U11" s="2"/>
      <c r="V11" s="7">
        <v>0.21</v>
      </c>
      <c r="W11" s="2"/>
      <c r="X11" s="2"/>
      <c r="Y11" s="2"/>
      <c r="Z11" s="2"/>
    </row>
    <row r="12" spans="1:26" ht="12.75" customHeight="1" x14ac:dyDescent="0.25">
      <c r="A12" s="2"/>
      <c r="B12" s="5" t="s">
        <v>32</v>
      </c>
      <c r="C12" s="6">
        <v>44000</v>
      </c>
      <c r="D12" s="6">
        <v>39000</v>
      </c>
      <c r="E12" s="6">
        <v>50000</v>
      </c>
      <c r="F12" s="6">
        <v>13000</v>
      </c>
      <c r="G12" s="6">
        <v>0</v>
      </c>
      <c r="H12" s="6">
        <v>4000</v>
      </c>
      <c r="I12" s="6">
        <v>15000</v>
      </c>
      <c r="J12" s="6">
        <v>28000</v>
      </c>
      <c r="K12" s="6">
        <v>39000</v>
      </c>
      <c r="L12" s="6">
        <v>0</v>
      </c>
      <c r="M12" s="6">
        <v>25000</v>
      </c>
      <c r="N12" s="6">
        <v>30000</v>
      </c>
      <c r="O12" s="6">
        <v>55000</v>
      </c>
      <c r="P12" s="6">
        <v>4000</v>
      </c>
      <c r="Q12" s="2"/>
      <c r="R12" s="6">
        <f t="shared" si="0"/>
        <v>263000</v>
      </c>
      <c r="S12" s="2"/>
      <c r="T12" s="2" t="s">
        <v>33</v>
      </c>
      <c r="U12" s="2"/>
      <c r="V12" s="7">
        <v>0.21</v>
      </c>
      <c r="W12" s="2"/>
      <c r="X12" s="2"/>
      <c r="Y12" s="2"/>
      <c r="Z12" s="2"/>
    </row>
    <row r="13" spans="1:26" ht="12.75" customHeight="1" x14ac:dyDescent="0.25">
      <c r="A13" s="2"/>
      <c r="B13" s="5" t="s">
        <v>34</v>
      </c>
      <c r="C13" s="6">
        <v>36000</v>
      </c>
      <c r="D13" s="6">
        <v>41000</v>
      </c>
      <c r="E13" s="6">
        <v>12000</v>
      </c>
      <c r="F13" s="6">
        <v>0</v>
      </c>
      <c r="G13" s="6">
        <v>23000</v>
      </c>
      <c r="H13" s="6">
        <v>28000</v>
      </c>
      <c r="I13" s="6">
        <v>25000</v>
      </c>
      <c r="J13" s="6">
        <v>24000</v>
      </c>
      <c r="K13" s="6">
        <v>18000</v>
      </c>
      <c r="L13" s="6">
        <v>14000</v>
      </c>
      <c r="M13" s="6">
        <v>22000</v>
      </c>
      <c r="N13" s="6">
        <v>0</v>
      </c>
      <c r="O13" s="6">
        <v>8000</v>
      </c>
      <c r="P13" s="6">
        <v>9000</v>
      </c>
      <c r="Q13" s="2"/>
      <c r="R13" s="6">
        <f t="shared" si="0"/>
        <v>183000</v>
      </c>
      <c r="S13" s="2"/>
      <c r="T13" s="2" t="s">
        <v>22</v>
      </c>
      <c r="U13" s="2"/>
      <c r="V13" s="7">
        <v>0.21</v>
      </c>
      <c r="W13" s="2"/>
      <c r="X13" s="2"/>
      <c r="Y13" s="2"/>
      <c r="Z13" s="2"/>
    </row>
    <row r="14" spans="1:26" ht="12.75" customHeight="1" x14ac:dyDescent="0.25">
      <c r="A14" s="2"/>
      <c r="B14" s="5" t="s">
        <v>35</v>
      </c>
      <c r="C14" s="6">
        <v>42000</v>
      </c>
      <c r="D14" s="6">
        <v>0</v>
      </c>
      <c r="E14" s="6">
        <v>18000</v>
      </c>
      <c r="F14" s="6">
        <v>0</v>
      </c>
      <c r="G14" s="6">
        <v>5000</v>
      </c>
      <c r="H14" s="6">
        <v>0</v>
      </c>
      <c r="I14" s="6">
        <v>29000</v>
      </c>
      <c r="J14" s="6">
        <v>0</v>
      </c>
      <c r="K14" s="6">
        <v>17000</v>
      </c>
      <c r="L14" s="6">
        <v>0</v>
      </c>
      <c r="M14" s="6">
        <v>52000</v>
      </c>
      <c r="N14" s="6">
        <v>0</v>
      </c>
      <c r="O14" s="6">
        <v>13000</v>
      </c>
      <c r="P14" s="6">
        <v>0</v>
      </c>
      <c r="Q14" s="2"/>
      <c r="R14" s="6">
        <f t="shared" si="0"/>
        <v>134000</v>
      </c>
      <c r="S14" s="2"/>
      <c r="T14" s="2" t="s">
        <v>20</v>
      </c>
      <c r="U14" s="2"/>
      <c r="V14" s="7">
        <v>0.21</v>
      </c>
      <c r="W14" s="2"/>
      <c r="X14" s="2"/>
      <c r="Y14" s="2"/>
      <c r="Z14" s="2"/>
    </row>
    <row r="15" spans="1:26" ht="12.75" customHeight="1" x14ac:dyDescent="0.25">
      <c r="A15" s="2"/>
      <c r="B15" s="5" t="s">
        <v>36</v>
      </c>
      <c r="C15" s="6">
        <v>41000</v>
      </c>
      <c r="D15" s="6">
        <v>22000</v>
      </c>
      <c r="E15" s="6">
        <v>35000</v>
      </c>
      <c r="F15" s="6">
        <v>28000</v>
      </c>
      <c r="G15" s="6">
        <v>49000</v>
      </c>
      <c r="H15" s="6">
        <v>34000</v>
      </c>
      <c r="I15" s="6">
        <v>21000</v>
      </c>
      <c r="J15" s="6">
        <v>27000</v>
      </c>
      <c r="K15" s="6">
        <v>30000</v>
      </c>
      <c r="L15" s="6">
        <v>29000</v>
      </c>
      <c r="M15" s="6">
        <v>18000</v>
      </c>
      <c r="N15" s="6">
        <v>29000</v>
      </c>
      <c r="O15" s="6">
        <v>59000</v>
      </c>
      <c r="P15" s="6">
        <v>46000</v>
      </c>
      <c r="Q15" s="2"/>
      <c r="R15" s="6">
        <f t="shared" si="0"/>
        <v>405000</v>
      </c>
      <c r="S15" s="2"/>
      <c r="T15" s="2" t="s">
        <v>37</v>
      </c>
      <c r="U15" s="2"/>
      <c r="V15" s="7">
        <v>0.21</v>
      </c>
      <c r="W15" s="2"/>
      <c r="X15" s="2"/>
      <c r="Y15" s="2"/>
      <c r="Z15" s="2"/>
    </row>
    <row r="16" spans="1:26" ht="12.75" customHeight="1" x14ac:dyDescent="0.25">
      <c r="A16" s="8"/>
      <c r="B16" s="9" t="s">
        <v>38</v>
      </c>
      <c r="C16" s="10">
        <f t="shared" ref="C16:P16" si="1">SUM(C5:C15)</f>
        <v>383000</v>
      </c>
      <c r="D16" s="10">
        <f t="shared" si="1"/>
        <v>229000</v>
      </c>
      <c r="E16" s="10">
        <f t="shared" si="1"/>
        <v>252000</v>
      </c>
      <c r="F16" s="10">
        <f t="shared" si="1"/>
        <v>258000</v>
      </c>
      <c r="G16" s="10">
        <f t="shared" si="1"/>
        <v>312000</v>
      </c>
      <c r="H16" s="10">
        <f t="shared" si="1"/>
        <v>299000</v>
      </c>
      <c r="I16" s="10">
        <f t="shared" si="1"/>
        <v>313000</v>
      </c>
      <c r="J16" s="10">
        <f t="shared" si="1"/>
        <v>236000</v>
      </c>
      <c r="K16" s="10">
        <f t="shared" si="1"/>
        <v>325000</v>
      </c>
      <c r="L16" s="10">
        <f t="shared" si="1"/>
        <v>266000</v>
      </c>
      <c r="M16" s="10">
        <f t="shared" si="1"/>
        <v>359000</v>
      </c>
      <c r="N16" s="10">
        <f t="shared" si="1"/>
        <v>265000</v>
      </c>
      <c r="O16" s="10">
        <f t="shared" si="1"/>
        <v>317000</v>
      </c>
      <c r="P16" s="10">
        <f t="shared" si="1"/>
        <v>282000</v>
      </c>
      <c r="Q16" s="8"/>
      <c r="R16" s="10">
        <f>SUM(R5:R15)</f>
        <v>3484000</v>
      </c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12" t="s">
        <v>39</v>
      </c>
      <c r="C20" s="13"/>
      <c r="D20" s="13"/>
      <c r="E20" s="13" t="s">
        <v>4</v>
      </c>
      <c r="F20" s="13" t="s">
        <v>5</v>
      </c>
      <c r="G20" s="13" t="s">
        <v>6</v>
      </c>
      <c r="H20" s="13" t="s">
        <v>7</v>
      </c>
      <c r="I20" s="13" t="s">
        <v>8</v>
      </c>
      <c r="J20" s="13" t="s">
        <v>9</v>
      </c>
      <c r="K20" s="13" t="s">
        <v>10</v>
      </c>
      <c r="L20" s="13" t="s">
        <v>11</v>
      </c>
      <c r="M20" s="13" t="s">
        <v>12</v>
      </c>
      <c r="N20" s="13" t="s">
        <v>13</v>
      </c>
      <c r="O20" s="13" t="s">
        <v>14</v>
      </c>
      <c r="P20" s="13" t="s">
        <v>15</v>
      </c>
      <c r="Q20" s="2"/>
      <c r="R20" s="13" t="s">
        <v>15</v>
      </c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5" t="s">
        <v>19</v>
      </c>
      <c r="C21" s="6"/>
      <c r="D21" s="6"/>
      <c r="E21" s="6">
        <f t="shared" ref="E21:P21" si="2">+D5*(1+$V5)</f>
        <v>25410</v>
      </c>
      <c r="F21" s="6">
        <f t="shared" si="2"/>
        <v>38720</v>
      </c>
      <c r="G21" s="6">
        <f t="shared" si="2"/>
        <v>41140</v>
      </c>
      <c r="H21" s="6">
        <f t="shared" si="2"/>
        <v>25410</v>
      </c>
      <c r="I21" s="6">
        <f t="shared" si="2"/>
        <v>30250</v>
      </c>
      <c r="J21" s="6">
        <f t="shared" si="2"/>
        <v>54450</v>
      </c>
      <c r="K21" s="6">
        <f t="shared" si="2"/>
        <v>12100</v>
      </c>
      <c r="L21" s="6">
        <f t="shared" si="2"/>
        <v>54450</v>
      </c>
      <c r="M21" s="6">
        <f t="shared" si="2"/>
        <v>33880</v>
      </c>
      <c r="N21" s="6">
        <f t="shared" si="2"/>
        <v>38720</v>
      </c>
      <c r="O21" s="6">
        <f t="shared" si="2"/>
        <v>45980</v>
      </c>
      <c r="P21" s="6">
        <f t="shared" si="2"/>
        <v>20570</v>
      </c>
      <c r="Q21" s="2"/>
      <c r="R21" s="6">
        <f t="shared" ref="R21:R31" si="3">+SUM(E21:P21)</f>
        <v>421080</v>
      </c>
      <c r="S21" s="2"/>
      <c r="T21" s="2" t="s">
        <v>20</v>
      </c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5" t="s">
        <v>21</v>
      </c>
      <c r="C22" s="6"/>
      <c r="D22" s="6"/>
      <c r="E22" s="6">
        <f t="shared" ref="E22:P22" si="4">+C6*(1+$V6)</f>
        <v>31460</v>
      </c>
      <c r="F22" s="6">
        <f t="shared" si="4"/>
        <v>7260</v>
      </c>
      <c r="G22" s="6">
        <f t="shared" si="4"/>
        <v>4840</v>
      </c>
      <c r="H22" s="6">
        <f t="shared" si="4"/>
        <v>60500</v>
      </c>
      <c r="I22" s="6">
        <f t="shared" si="4"/>
        <v>71390</v>
      </c>
      <c r="J22" s="6">
        <f t="shared" si="4"/>
        <v>12100</v>
      </c>
      <c r="K22" s="6">
        <f t="shared" si="4"/>
        <v>44770</v>
      </c>
      <c r="L22" s="6">
        <f t="shared" si="4"/>
        <v>14520</v>
      </c>
      <c r="M22" s="6">
        <f t="shared" si="4"/>
        <v>65340</v>
      </c>
      <c r="N22" s="6">
        <f t="shared" si="4"/>
        <v>42350</v>
      </c>
      <c r="O22" s="6">
        <f t="shared" si="4"/>
        <v>52030</v>
      </c>
      <c r="P22" s="6">
        <f t="shared" si="4"/>
        <v>36300</v>
      </c>
      <c r="Q22" s="2"/>
      <c r="R22" s="6">
        <f t="shared" si="3"/>
        <v>442860</v>
      </c>
      <c r="S22" s="2"/>
      <c r="T22" s="2" t="s">
        <v>22</v>
      </c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5" t="s">
        <v>23</v>
      </c>
      <c r="C23" s="6"/>
      <c r="D23" s="6"/>
      <c r="E23" s="6">
        <f t="shared" ref="E23:P23" si="5">+(C7*0.6+E7*0.4)*(1+$V7)</f>
        <v>38720</v>
      </c>
      <c r="F23" s="6">
        <f t="shared" si="5"/>
        <v>24926</v>
      </c>
      <c r="G23" s="6">
        <f t="shared" si="5"/>
        <v>44528</v>
      </c>
      <c r="H23" s="6">
        <f t="shared" si="5"/>
        <v>47674</v>
      </c>
      <c r="I23" s="6">
        <f t="shared" si="5"/>
        <v>53724</v>
      </c>
      <c r="J23" s="6">
        <f t="shared" si="5"/>
        <v>37026</v>
      </c>
      <c r="K23" s="6">
        <f t="shared" si="5"/>
        <v>59290</v>
      </c>
      <c r="L23" s="6">
        <f t="shared" si="5"/>
        <v>18634</v>
      </c>
      <c r="M23" s="6">
        <f t="shared" si="5"/>
        <v>45254</v>
      </c>
      <c r="N23" s="6">
        <f t="shared" si="5"/>
        <v>27346</v>
      </c>
      <c r="O23" s="6">
        <f t="shared" si="5"/>
        <v>23958</v>
      </c>
      <c r="P23" s="6">
        <f t="shared" si="5"/>
        <v>48400</v>
      </c>
      <c r="Q23" s="2"/>
      <c r="R23" s="6">
        <f t="shared" si="3"/>
        <v>469480</v>
      </c>
      <c r="S23" s="2"/>
      <c r="T23" s="2" t="s">
        <v>24</v>
      </c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5" t="s">
        <v>25</v>
      </c>
      <c r="C24" s="6"/>
      <c r="D24" s="6"/>
      <c r="E24" s="6">
        <f t="shared" ref="E24:P24" si="6">+(C8/2+D8/2)*(1+$V8)</f>
        <v>42350</v>
      </c>
      <c r="F24" s="6">
        <f t="shared" si="6"/>
        <v>31460</v>
      </c>
      <c r="G24" s="6">
        <f t="shared" si="6"/>
        <v>31460</v>
      </c>
      <c r="H24" s="6">
        <f t="shared" si="6"/>
        <v>29040</v>
      </c>
      <c r="I24" s="6">
        <f t="shared" si="6"/>
        <v>45375</v>
      </c>
      <c r="J24" s="6">
        <f t="shared" si="6"/>
        <v>44165</v>
      </c>
      <c r="K24" s="6">
        <f t="shared" si="6"/>
        <v>19965</v>
      </c>
      <c r="L24" s="6">
        <f t="shared" si="6"/>
        <v>16335</v>
      </c>
      <c r="M24" s="6">
        <f t="shared" si="6"/>
        <v>33275</v>
      </c>
      <c r="N24" s="6">
        <f t="shared" si="6"/>
        <v>58080</v>
      </c>
      <c r="O24" s="6">
        <f t="shared" si="6"/>
        <v>35090</v>
      </c>
      <c r="P24" s="6">
        <f t="shared" si="6"/>
        <v>33275</v>
      </c>
      <c r="Q24" s="2"/>
      <c r="R24" s="6">
        <f t="shared" si="3"/>
        <v>419870</v>
      </c>
      <c r="S24" s="2"/>
      <c r="T24" s="2" t="s">
        <v>26</v>
      </c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5" t="s">
        <v>27</v>
      </c>
      <c r="C25" s="6"/>
      <c r="D25" s="6"/>
      <c r="E25" s="6">
        <f t="shared" ref="E25:P25" si="7">+C9*(1+$V9)</f>
        <v>18000</v>
      </c>
      <c r="F25" s="6">
        <f t="shared" si="7"/>
        <v>45000</v>
      </c>
      <c r="G25" s="6">
        <f t="shared" si="7"/>
        <v>41000</v>
      </c>
      <c r="H25" s="6">
        <f t="shared" si="7"/>
        <v>5000</v>
      </c>
      <c r="I25" s="6">
        <f t="shared" si="7"/>
        <v>46000</v>
      </c>
      <c r="J25" s="6">
        <f t="shared" si="7"/>
        <v>45000</v>
      </c>
      <c r="K25" s="6">
        <f t="shared" si="7"/>
        <v>0</v>
      </c>
      <c r="L25" s="6">
        <f t="shared" si="7"/>
        <v>21000</v>
      </c>
      <c r="M25" s="6">
        <f t="shared" si="7"/>
        <v>31000</v>
      </c>
      <c r="N25" s="6">
        <f t="shared" si="7"/>
        <v>38000</v>
      </c>
      <c r="O25" s="6">
        <f t="shared" si="7"/>
        <v>18000</v>
      </c>
      <c r="P25" s="6">
        <f t="shared" si="7"/>
        <v>19000</v>
      </c>
      <c r="Q25" s="2"/>
      <c r="R25" s="6">
        <f t="shared" si="3"/>
        <v>327000</v>
      </c>
      <c r="S25" s="2"/>
      <c r="T25" s="2" t="s">
        <v>22</v>
      </c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5" t="s">
        <v>29</v>
      </c>
      <c r="C26" s="6"/>
      <c r="D26" s="6"/>
      <c r="E26" s="6">
        <f t="shared" ref="E26:P26" si="8">+(D10*0.5+E10*0.5)*(1+$V10)</f>
        <v>11495</v>
      </c>
      <c r="F26" s="6">
        <f t="shared" si="8"/>
        <v>16335</v>
      </c>
      <c r="G26" s="6">
        <f t="shared" si="8"/>
        <v>30250</v>
      </c>
      <c r="H26" s="6">
        <f t="shared" si="8"/>
        <v>34485</v>
      </c>
      <c r="I26" s="6">
        <f t="shared" si="8"/>
        <v>43560</v>
      </c>
      <c r="J26" s="6">
        <f t="shared" si="8"/>
        <v>50820</v>
      </c>
      <c r="K26" s="6">
        <f t="shared" si="8"/>
        <v>33880</v>
      </c>
      <c r="L26" s="6">
        <f t="shared" si="8"/>
        <v>33275</v>
      </c>
      <c r="M26" s="6">
        <f t="shared" si="8"/>
        <v>59290</v>
      </c>
      <c r="N26" s="6">
        <f t="shared" si="8"/>
        <v>51425</v>
      </c>
      <c r="O26" s="6">
        <f t="shared" si="8"/>
        <v>36300</v>
      </c>
      <c r="P26" s="6">
        <f t="shared" si="8"/>
        <v>29645</v>
      </c>
      <c r="Q26" s="2"/>
      <c r="R26" s="6">
        <f t="shared" si="3"/>
        <v>430760</v>
      </c>
      <c r="S26" s="2"/>
      <c r="T26" s="2" t="s">
        <v>30</v>
      </c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5" t="s">
        <v>31</v>
      </c>
      <c r="C27" s="6"/>
      <c r="D27" s="6"/>
      <c r="E27" s="6">
        <f t="shared" ref="E27:P27" si="9">+D11*(1+$V11)</f>
        <v>0</v>
      </c>
      <c r="F27" s="6">
        <f t="shared" si="9"/>
        <v>6050</v>
      </c>
      <c r="G27" s="6">
        <f t="shared" si="9"/>
        <v>37510</v>
      </c>
      <c r="H27" s="6">
        <f t="shared" si="9"/>
        <v>27830</v>
      </c>
      <c r="I27" s="6">
        <f t="shared" si="9"/>
        <v>31460</v>
      </c>
      <c r="J27" s="6">
        <f t="shared" si="9"/>
        <v>49610</v>
      </c>
      <c r="K27" s="6">
        <f t="shared" si="9"/>
        <v>37510</v>
      </c>
      <c r="L27" s="6">
        <f t="shared" si="9"/>
        <v>18150</v>
      </c>
      <c r="M27" s="6">
        <f t="shared" si="9"/>
        <v>31460</v>
      </c>
      <c r="N27" s="6">
        <f t="shared" si="9"/>
        <v>39930</v>
      </c>
      <c r="O27" s="6">
        <f t="shared" si="9"/>
        <v>42350</v>
      </c>
      <c r="P27" s="6">
        <f t="shared" si="9"/>
        <v>0</v>
      </c>
      <c r="Q27" s="2"/>
      <c r="R27" s="6">
        <f t="shared" si="3"/>
        <v>321860</v>
      </c>
      <c r="S27" s="2"/>
      <c r="T27" s="2" t="s">
        <v>20</v>
      </c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5" t="s">
        <v>32</v>
      </c>
      <c r="C28" s="6"/>
      <c r="D28" s="6"/>
      <c r="E28" s="6">
        <f t="shared" ref="E28:P28" si="10">+(D12/2+E12/2)*(1+$V12)</f>
        <v>53845</v>
      </c>
      <c r="F28" s="6">
        <f t="shared" si="10"/>
        <v>38115</v>
      </c>
      <c r="G28" s="6">
        <f t="shared" si="10"/>
        <v>7865</v>
      </c>
      <c r="H28" s="6">
        <f t="shared" si="10"/>
        <v>2420</v>
      </c>
      <c r="I28" s="6">
        <f t="shared" si="10"/>
        <v>11495</v>
      </c>
      <c r="J28" s="6">
        <f t="shared" si="10"/>
        <v>26015</v>
      </c>
      <c r="K28" s="6">
        <f t="shared" si="10"/>
        <v>40535</v>
      </c>
      <c r="L28" s="6">
        <f t="shared" si="10"/>
        <v>23595</v>
      </c>
      <c r="M28" s="6">
        <f t="shared" si="10"/>
        <v>15125</v>
      </c>
      <c r="N28" s="6">
        <f t="shared" si="10"/>
        <v>33275</v>
      </c>
      <c r="O28" s="6">
        <f t="shared" si="10"/>
        <v>51425</v>
      </c>
      <c r="P28" s="6">
        <f t="shared" si="10"/>
        <v>35695</v>
      </c>
      <c r="Q28" s="2"/>
      <c r="R28" s="6">
        <f t="shared" si="3"/>
        <v>339405</v>
      </c>
      <c r="S28" s="2"/>
      <c r="T28" s="2" t="s">
        <v>33</v>
      </c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5" t="s">
        <v>34</v>
      </c>
      <c r="C29" s="6"/>
      <c r="D29" s="6"/>
      <c r="E29" s="6">
        <f t="shared" ref="E29:P29" si="11">+C13*(1+$V13)</f>
        <v>43560</v>
      </c>
      <c r="F29" s="6">
        <f t="shared" si="11"/>
        <v>49610</v>
      </c>
      <c r="G29" s="6">
        <f t="shared" si="11"/>
        <v>14520</v>
      </c>
      <c r="H29" s="6">
        <f t="shared" si="11"/>
        <v>0</v>
      </c>
      <c r="I29" s="6">
        <f t="shared" si="11"/>
        <v>27830</v>
      </c>
      <c r="J29" s="6">
        <f t="shared" si="11"/>
        <v>33880</v>
      </c>
      <c r="K29" s="6">
        <f t="shared" si="11"/>
        <v>30250</v>
      </c>
      <c r="L29" s="6">
        <f t="shared" si="11"/>
        <v>29040</v>
      </c>
      <c r="M29" s="6">
        <f t="shared" si="11"/>
        <v>21780</v>
      </c>
      <c r="N29" s="6">
        <f t="shared" si="11"/>
        <v>16940</v>
      </c>
      <c r="O29" s="6">
        <f t="shared" si="11"/>
        <v>26620</v>
      </c>
      <c r="P29" s="6">
        <f t="shared" si="11"/>
        <v>0</v>
      </c>
      <c r="Q29" s="2"/>
      <c r="R29" s="6">
        <f t="shared" si="3"/>
        <v>294030</v>
      </c>
      <c r="S29" s="2"/>
      <c r="T29" s="2" t="s">
        <v>22</v>
      </c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5" t="s">
        <v>35</v>
      </c>
      <c r="C30" s="6"/>
      <c r="D30" s="6"/>
      <c r="E30" s="6">
        <f t="shared" ref="E30:P30" si="12">+D14*(1+$V14)</f>
        <v>0</v>
      </c>
      <c r="F30" s="6">
        <f t="shared" si="12"/>
        <v>21780</v>
      </c>
      <c r="G30" s="6">
        <f t="shared" si="12"/>
        <v>0</v>
      </c>
      <c r="H30" s="6">
        <f t="shared" si="12"/>
        <v>6050</v>
      </c>
      <c r="I30" s="6">
        <f t="shared" si="12"/>
        <v>0</v>
      </c>
      <c r="J30" s="6">
        <f t="shared" si="12"/>
        <v>35090</v>
      </c>
      <c r="K30" s="6">
        <f t="shared" si="12"/>
        <v>0</v>
      </c>
      <c r="L30" s="6">
        <f t="shared" si="12"/>
        <v>20570</v>
      </c>
      <c r="M30" s="6">
        <f t="shared" si="12"/>
        <v>0</v>
      </c>
      <c r="N30" s="6">
        <f t="shared" si="12"/>
        <v>62920</v>
      </c>
      <c r="O30" s="6">
        <f t="shared" si="12"/>
        <v>0</v>
      </c>
      <c r="P30" s="6">
        <f t="shared" si="12"/>
        <v>15730</v>
      </c>
      <c r="Q30" s="2"/>
      <c r="R30" s="6">
        <f t="shared" si="3"/>
        <v>162140</v>
      </c>
      <c r="S30" s="2"/>
      <c r="T30" s="2" t="s">
        <v>20</v>
      </c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5" t="s">
        <v>36</v>
      </c>
      <c r="C31" s="6"/>
      <c r="D31" s="6"/>
      <c r="E31" s="6">
        <f t="shared" ref="E31:P31" si="13">+(C15/2+D15/2)*(1+$V15)</f>
        <v>38115</v>
      </c>
      <c r="F31" s="6">
        <f t="shared" si="13"/>
        <v>34485</v>
      </c>
      <c r="G31" s="6">
        <f t="shared" si="13"/>
        <v>38115</v>
      </c>
      <c r="H31" s="6">
        <f t="shared" si="13"/>
        <v>46585</v>
      </c>
      <c r="I31" s="6">
        <f t="shared" si="13"/>
        <v>50215</v>
      </c>
      <c r="J31" s="6">
        <f t="shared" si="13"/>
        <v>33275</v>
      </c>
      <c r="K31" s="6">
        <f t="shared" si="13"/>
        <v>29040</v>
      </c>
      <c r="L31" s="6">
        <f t="shared" si="13"/>
        <v>34485</v>
      </c>
      <c r="M31" s="6">
        <f t="shared" si="13"/>
        <v>35695</v>
      </c>
      <c r="N31" s="6">
        <f t="shared" si="13"/>
        <v>28435</v>
      </c>
      <c r="O31" s="6">
        <f t="shared" si="13"/>
        <v>28435</v>
      </c>
      <c r="P31" s="6">
        <f t="shared" si="13"/>
        <v>53240</v>
      </c>
      <c r="Q31" s="2"/>
      <c r="R31" s="6">
        <f t="shared" si="3"/>
        <v>450120</v>
      </c>
      <c r="S31" s="2"/>
      <c r="T31" s="2" t="s">
        <v>37</v>
      </c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9" t="s">
        <v>38</v>
      </c>
      <c r="C32" s="10"/>
      <c r="D32" s="10"/>
      <c r="E32" s="10">
        <f t="shared" ref="E32:P32" si="14">SUM(E21:E31)</f>
        <v>302955</v>
      </c>
      <c r="F32" s="10">
        <f t="shared" si="14"/>
        <v>313741</v>
      </c>
      <c r="G32" s="10">
        <f t="shared" si="14"/>
        <v>291228</v>
      </c>
      <c r="H32" s="10">
        <f t="shared" si="14"/>
        <v>284994</v>
      </c>
      <c r="I32" s="10">
        <f t="shared" si="14"/>
        <v>411299</v>
      </c>
      <c r="J32" s="10">
        <f t="shared" si="14"/>
        <v>421431</v>
      </c>
      <c r="K32" s="10">
        <f t="shared" si="14"/>
        <v>307340</v>
      </c>
      <c r="L32" s="10">
        <f t="shared" si="14"/>
        <v>284054</v>
      </c>
      <c r="M32" s="10">
        <f t="shared" si="14"/>
        <v>372099</v>
      </c>
      <c r="N32" s="10">
        <f t="shared" si="14"/>
        <v>437421</v>
      </c>
      <c r="O32" s="10">
        <f t="shared" si="14"/>
        <v>360188</v>
      </c>
      <c r="P32" s="10">
        <f t="shared" si="14"/>
        <v>291855</v>
      </c>
      <c r="Q32" s="2"/>
      <c r="R32" s="10">
        <f>SUM(R21:R31)</f>
        <v>4078605</v>
      </c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0000000000000007" right="0.7000000000000000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Ejemplo de respuesta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Calblay</cp:lastModifiedBy>
  <dcterms:created xsi:type="dcterms:W3CDTF">2024-06-16T18:06:58Z</dcterms:created>
  <dcterms:modified xsi:type="dcterms:W3CDTF">2024-06-16T18:06:58Z</dcterms:modified>
</cp:coreProperties>
</file>