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0" documentId="8_{C4594197-4A19-41B7-B496-FAE90B867CF4}" xr6:coauthVersionLast="47" xr6:coauthVersionMax="47" xr10:uidLastSave="{00000000-0000-0000-0000-000000000000}"/>
  <bookViews>
    <workbookView xWindow="22932" yWindow="-60" windowWidth="23256" windowHeight="12456" activeTab="1" xr2:uid="{00000000-000D-0000-FFFF-FFFF00000000}"/>
  </bookViews>
  <sheets>
    <sheet name="CAP" sheetId="1" r:id="rId1"/>
    <sheet name="I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2" l="1"/>
  <c r="I14" i="2" s="1"/>
  <c r="H13" i="2"/>
  <c r="H14" i="2" s="1"/>
  <c r="G13" i="2"/>
  <c r="G14" i="2" s="1"/>
  <c r="F13" i="2"/>
  <c r="F14" i="2" s="1"/>
  <c r="E13" i="2"/>
  <c r="E14" i="2" s="1"/>
  <c r="D13" i="2"/>
  <c r="D14" i="2" s="1"/>
  <c r="C13" i="2"/>
  <c r="C14" i="2" s="1"/>
  <c r="F12" i="1"/>
  <c r="F14" i="1" s="1"/>
  <c r="E12" i="1"/>
  <c r="E14" i="1" s="1"/>
  <c r="D12" i="1"/>
  <c r="D14" i="1" s="1"/>
  <c r="F8" i="1"/>
  <c r="D8" i="1"/>
  <c r="C8" i="1"/>
  <c r="E5" i="1"/>
  <c r="E8" i="1" s="1"/>
  <c r="D16" i="1" l="1"/>
  <c r="E16" i="1"/>
  <c r="F16" i="1"/>
</calcChain>
</file>

<file path=xl/sharedStrings.xml><?xml version="1.0" encoding="utf-8"?>
<sst xmlns="http://schemas.openxmlformats.org/spreadsheetml/2006/main" count="54" uniqueCount="37">
  <si>
    <t>Año 1</t>
  </si>
  <si>
    <t>Año 2
(L: Pre-COVID)</t>
  </si>
  <si>
    <t>Año 2
(L: Pomedio)</t>
  </si>
  <si>
    <t>Año 2
(L: Mín. año)</t>
  </si>
  <si>
    <t>Nocional</t>
  </si>
  <si>
    <t>LIBOR</t>
  </si>
  <si>
    <t>Spread</t>
  </si>
  <si>
    <t>Interés libre</t>
  </si>
  <si>
    <t>CAP</t>
  </si>
  <si>
    <t>Interés CAP</t>
  </si>
  <si>
    <t>Coste CAP</t>
  </si>
  <si>
    <t>Coste Total</t>
  </si>
  <si>
    <t>Ahorro CAP</t>
  </si>
  <si>
    <t>Año 2</t>
  </si>
  <si>
    <t>Año 3</t>
  </si>
  <si>
    <t>Año 4</t>
  </si>
  <si>
    <t>Año 5</t>
  </si>
  <si>
    <t>Año 6</t>
  </si>
  <si>
    <t>Año 7</t>
  </si>
  <si>
    <t>EURIBOR</t>
  </si>
  <si>
    <t>?</t>
  </si>
  <si>
    <t>A</t>
  </si>
  <si>
    <t>Interés Variable</t>
  </si>
  <si>
    <t>Int 1</t>
  </si>
  <si>
    <t>Int 2</t>
  </si>
  <si>
    <t>Int 3</t>
  </si>
  <si>
    <t>Int 4</t>
  </si>
  <si>
    <t>Int 5</t>
  </si>
  <si>
    <t>Int 6</t>
  </si>
  <si>
    <t>Int 7</t>
  </si>
  <si>
    <t>Tipo fijo IRS</t>
  </si>
  <si>
    <t>B</t>
  </si>
  <si>
    <t>Cobro IRS</t>
  </si>
  <si>
    <t>C</t>
  </si>
  <si>
    <t>Pago IRS</t>
  </si>
  <si>
    <t>Coste (A-B+C)</t>
  </si>
  <si>
    <t>Interest Rate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</si>
</sst>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/>
  </sheetViews>
  <sheetFormatPr defaultColWidth="11.42578125" defaultRowHeight="15" x14ac:dyDescent="0.25"/>
  <cols>
    <col min="1" max="1" width="11.42578125" customWidth="1"/>
    <col min="2" max="2" width="13" customWidth="1"/>
    <col min="3" max="3" width="13.140625" customWidth="1"/>
    <col min="4" max="4" width="13.7109375" bestFit="1" customWidth="1"/>
    <col min="5" max="5" width="12.28515625" bestFit="1" customWidth="1"/>
    <col min="6" max="6" width="11.85546875" bestFit="1" customWidth="1"/>
    <col min="7" max="7" width="11.42578125" customWidth="1"/>
  </cols>
  <sheetData>
    <row r="1" spans="1:6" x14ac:dyDescent="0.25">
      <c r="A1" s="15" t="s">
        <v>8</v>
      </c>
    </row>
    <row r="3" spans="1:6" s="1" customFormat="1" ht="36" customHeight="1" x14ac:dyDescent="0.25">
      <c r="C3" s="2" t="s">
        <v>0</v>
      </c>
      <c r="D3" s="3" t="s">
        <v>1</v>
      </c>
      <c r="E3" s="3" t="s">
        <v>2</v>
      </c>
      <c r="F3" s="3" t="s">
        <v>3</v>
      </c>
    </row>
    <row r="4" spans="1:6" x14ac:dyDescent="0.25">
      <c r="B4" s="4" t="s">
        <v>4</v>
      </c>
      <c r="C4" s="5">
        <v>10000000</v>
      </c>
      <c r="D4" s="5">
        <v>10000000</v>
      </c>
      <c r="E4" s="5">
        <v>10000000</v>
      </c>
      <c r="F4" s="5">
        <v>10000000</v>
      </c>
    </row>
    <row r="5" spans="1:6" x14ac:dyDescent="0.25">
      <c r="B5" s="4" t="s">
        <v>5</v>
      </c>
      <c r="C5" s="6">
        <v>1.8613E-3</v>
      </c>
      <c r="D5" s="6">
        <v>9.7788000000000007E-3</v>
      </c>
      <c r="E5" s="6">
        <f>+AVERAGE(D5,F5)</f>
        <v>5.3325500000000001E-3</v>
      </c>
      <c r="F5" s="6">
        <v>8.8630000000000002E-4</v>
      </c>
    </row>
    <row r="6" spans="1:6" x14ac:dyDescent="0.25">
      <c r="B6" s="4" t="s">
        <v>6</v>
      </c>
      <c r="C6" s="6">
        <v>0.02</v>
      </c>
      <c r="D6" s="6">
        <v>0.02</v>
      </c>
      <c r="E6" s="6">
        <v>0.02</v>
      </c>
      <c r="F6" s="6">
        <v>0.02</v>
      </c>
    </row>
    <row r="7" spans="1:6" ht="7.5" customHeight="1" x14ac:dyDescent="0.25"/>
    <row r="8" spans="1:6" x14ac:dyDescent="0.25">
      <c r="B8" s="7" t="s">
        <v>7</v>
      </c>
      <c r="C8" s="8">
        <f>+C4*(C5+C6)</f>
        <v>218613</v>
      </c>
      <c r="D8" s="8">
        <f>+D4*(D5+D6)</f>
        <v>297788</v>
      </c>
      <c r="E8" s="8">
        <f>+E4*(E5+E6)</f>
        <v>253325.50000000003</v>
      </c>
      <c r="F8" s="8">
        <f>+F4*(F5+F6)</f>
        <v>208863</v>
      </c>
    </row>
    <row r="9" spans="1:6" ht="7.5" customHeight="1" x14ac:dyDescent="0.25"/>
    <row r="10" spans="1:6" x14ac:dyDescent="0.25">
      <c r="B10" s="4" t="s">
        <v>8</v>
      </c>
      <c r="C10" s="4"/>
      <c r="D10" s="6">
        <v>2.3E-3</v>
      </c>
      <c r="E10" s="6">
        <v>2.3E-3</v>
      </c>
      <c r="F10" s="6">
        <v>2.3E-3</v>
      </c>
    </row>
    <row r="11" spans="1:6" ht="7.5" customHeight="1" x14ac:dyDescent="0.25"/>
    <row r="12" spans="1:6" x14ac:dyDescent="0.25">
      <c r="B12" s="4" t="s">
        <v>9</v>
      </c>
      <c r="C12" s="4"/>
      <c r="D12" s="5">
        <f>+D4*(D10+D6)</f>
        <v>223000</v>
      </c>
      <c r="E12" s="5">
        <f>+E4*(E10+E6)</f>
        <v>223000</v>
      </c>
      <c r="F12" s="5">
        <f>+F4*(F5+F6)</f>
        <v>208863</v>
      </c>
    </row>
    <row r="13" spans="1:6" x14ac:dyDescent="0.25">
      <c r="B13" s="4" t="s">
        <v>10</v>
      </c>
      <c r="C13" s="4"/>
      <c r="D13" s="5">
        <v>5000</v>
      </c>
      <c r="E13" s="5">
        <v>5000</v>
      </c>
      <c r="F13" s="5">
        <v>5000</v>
      </c>
    </row>
    <row r="14" spans="1:6" x14ac:dyDescent="0.25">
      <c r="B14" s="7" t="s">
        <v>11</v>
      </c>
      <c r="C14" s="7"/>
      <c r="D14" s="8">
        <f>SUM(D12:D13)</f>
        <v>228000</v>
      </c>
      <c r="E14" s="8">
        <f>SUM(E12:E13)</f>
        <v>228000</v>
      </c>
      <c r="F14" s="8">
        <f>SUM(F12:F13)</f>
        <v>213863</v>
      </c>
    </row>
    <row r="15" spans="1:6" ht="7.5" customHeight="1" x14ac:dyDescent="0.25"/>
    <row r="16" spans="1:6" x14ac:dyDescent="0.25">
      <c r="B16" s="7" t="s">
        <v>12</v>
      </c>
      <c r="C16" s="7"/>
      <c r="D16" s="8">
        <f>+D8-D14</f>
        <v>69788</v>
      </c>
      <c r="E16" s="8">
        <f>+E8-E14</f>
        <v>25325.500000000029</v>
      </c>
      <c r="F16" s="8">
        <f>+F8-F14</f>
        <v>-5000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tabSelected="1" workbookViewId="0">
      <selection activeCell="B18" sqref="B18"/>
    </sheetView>
  </sheetViews>
  <sheetFormatPr defaultColWidth="11.42578125" defaultRowHeight="15" x14ac:dyDescent="0.25"/>
  <cols>
    <col min="1" max="1" width="11.42578125" customWidth="1"/>
    <col min="2" max="2" width="15.140625" bestFit="1" customWidth="1"/>
    <col min="3" max="3" width="13.140625" customWidth="1"/>
    <col min="4" max="4" width="13.7109375" bestFit="1" customWidth="1"/>
    <col min="5" max="9" width="12.28515625" bestFit="1" customWidth="1"/>
    <col min="10" max="10" width="11.42578125" customWidth="1"/>
  </cols>
  <sheetData>
    <row r="1" spans="1:9" x14ac:dyDescent="0.25">
      <c r="A1" s="15" t="s">
        <v>36</v>
      </c>
    </row>
    <row r="3" spans="1:9" s="1" customFormat="1" ht="36" customHeight="1" x14ac:dyDescent="0.25">
      <c r="C3" s="2" t="s">
        <v>0</v>
      </c>
      <c r="D3" s="3" t="s">
        <v>13</v>
      </c>
      <c r="E3" s="3" t="s">
        <v>14</v>
      </c>
      <c r="F3" s="2" t="s">
        <v>15</v>
      </c>
      <c r="G3" s="3" t="s">
        <v>16</v>
      </c>
      <c r="H3" s="3" t="s">
        <v>17</v>
      </c>
      <c r="I3" s="2" t="s">
        <v>18</v>
      </c>
    </row>
    <row r="4" spans="1:9" x14ac:dyDescent="0.25">
      <c r="B4" s="4" t="s">
        <v>4</v>
      </c>
      <c r="C4" s="5">
        <v>50000000</v>
      </c>
      <c r="D4" s="5">
        <v>50000000</v>
      </c>
      <c r="E4" s="5">
        <v>50000000</v>
      </c>
      <c r="F4" s="5">
        <v>50000000</v>
      </c>
      <c r="G4" s="5">
        <v>50000000</v>
      </c>
      <c r="H4" s="5">
        <v>50000000</v>
      </c>
      <c r="I4" s="5">
        <v>50000000</v>
      </c>
    </row>
    <row r="5" spans="1:9" x14ac:dyDescent="0.25">
      <c r="B5" s="4" t="s">
        <v>19</v>
      </c>
      <c r="C5" s="9" t="s">
        <v>20</v>
      </c>
      <c r="D5" s="9" t="s">
        <v>20</v>
      </c>
      <c r="E5" s="9" t="s">
        <v>20</v>
      </c>
      <c r="F5" s="9" t="s">
        <v>20</v>
      </c>
      <c r="G5" s="9" t="s">
        <v>20</v>
      </c>
      <c r="H5" s="9" t="s">
        <v>20</v>
      </c>
      <c r="I5" s="9" t="s">
        <v>20</v>
      </c>
    </row>
    <row r="6" spans="1:9" x14ac:dyDescent="0.25">
      <c r="B6" s="4" t="s">
        <v>6</v>
      </c>
      <c r="C6" s="6">
        <v>1.7500000000000002E-2</v>
      </c>
      <c r="D6" s="6">
        <v>1.7500000000000002E-2</v>
      </c>
      <c r="E6" s="6">
        <v>1.7500000000000002E-2</v>
      </c>
      <c r="F6" s="6">
        <v>1.7500000000000002E-2</v>
      </c>
      <c r="G6" s="6">
        <v>1.7500000000000002E-2</v>
      </c>
      <c r="H6" s="6">
        <v>1.7500000000000002E-2</v>
      </c>
      <c r="I6" s="6">
        <v>1.7500000000000002E-2</v>
      </c>
    </row>
    <row r="7" spans="1:9" ht="7.5" customHeight="1" x14ac:dyDescent="0.25"/>
    <row r="8" spans="1:9" x14ac:dyDescent="0.25">
      <c r="A8" s="10" t="s">
        <v>21</v>
      </c>
      <c r="B8" s="7" t="s">
        <v>22</v>
      </c>
      <c r="C8" s="11" t="s">
        <v>23</v>
      </c>
      <c r="D8" s="12" t="s">
        <v>24</v>
      </c>
      <c r="E8" s="11" t="s">
        <v>25</v>
      </c>
      <c r="F8" s="12" t="s">
        <v>26</v>
      </c>
      <c r="G8" s="11" t="s">
        <v>27</v>
      </c>
      <c r="H8" s="12" t="s">
        <v>28</v>
      </c>
      <c r="I8" s="11" t="s">
        <v>29</v>
      </c>
    </row>
    <row r="9" spans="1:9" ht="7.5" customHeight="1" x14ac:dyDescent="0.25">
      <c r="A9" s="10"/>
    </row>
    <row r="10" spans="1:9" x14ac:dyDescent="0.25">
      <c r="A10" s="10"/>
      <c r="B10" s="4" t="s">
        <v>30</v>
      </c>
      <c r="C10" s="6">
        <v>1.95E-2</v>
      </c>
      <c r="D10" s="6">
        <v>1.95E-2</v>
      </c>
      <c r="E10" s="6">
        <v>1.95E-2</v>
      </c>
      <c r="F10" s="6">
        <v>1.95E-2</v>
      </c>
      <c r="G10" s="6">
        <v>1.95E-2</v>
      </c>
      <c r="H10" s="6">
        <v>1.95E-2</v>
      </c>
      <c r="I10" s="6">
        <v>1.95E-2</v>
      </c>
    </row>
    <row r="11" spans="1:9" ht="7.5" customHeight="1" x14ac:dyDescent="0.25">
      <c r="A11" s="10"/>
    </row>
    <row r="12" spans="1:9" x14ac:dyDescent="0.25">
      <c r="A12" s="10" t="s">
        <v>31</v>
      </c>
      <c r="B12" s="4" t="s">
        <v>32</v>
      </c>
      <c r="C12" s="13" t="s">
        <v>23</v>
      </c>
      <c r="D12" s="14" t="s">
        <v>24</v>
      </c>
      <c r="E12" s="14" t="s">
        <v>25</v>
      </c>
      <c r="F12" s="14" t="s">
        <v>26</v>
      </c>
      <c r="G12" s="14" t="s">
        <v>27</v>
      </c>
      <c r="H12" s="14" t="s">
        <v>28</v>
      </c>
      <c r="I12" s="14" t="s">
        <v>29</v>
      </c>
    </row>
    <row r="13" spans="1:9" x14ac:dyDescent="0.25">
      <c r="A13" s="10" t="s">
        <v>33</v>
      </c>
      <c r="B13" s="4" t="s">
        <v>34</v>
      </c>
      <c r="C13" s="5">
        <f t="shared" ref="C13:I13" si="0">-C4*C10</f>
        <v>-975000</v>
      </c>
      <c r="D13" s="5">
        <f t="shared" si="0"/>
        <v>-975000</v>
      </c>
      <c r="E13" s="5">
        <f t="shared" si="0"/>
        <v>-975000</v>
      </c>
      <c r="F13" s="5">
        <f t="shared" si="0"/>
        <v>-975000</v>
      </c>
      <c r="G13" s="5">
        <f t="shared" si="0"/>
        <v>-975000</v>
      </c>
      <c r="H13" s="5">
        <f t="shared" si="0"/>
        <v>-975000</v>
      </c>
      <c r="I13" s="5">
        <f t="shared" si="0"/>
        <v>-975000</v>
      </c>
    </row>
    <row r="14" spans="1:9" x14ac:dyDescent="0.25">
      <c r="A14" s="10"/>
      <c r="B14" s="7" t="s">
        <v>35</v>
      </c>
      <c r="C14" s="8">
        <f t="shared" ref="C14:I14" si="1">SUM(C12:C13)</f>
        <v>-975000</v>
      </c>
      <c r="D14" s="8">
        <f t="shared" si="1"/>
        <v>-975000</v>
      </c>
      <c r="E14" s="8">
        <f t="shared" si="1"/>
        <v>-975000</v>
      </c>
      <c r="F14" s="8">
        <f t="shared" si="1"/>
        <v>-975000</v>
      </c>
      <c r="G14" s="8">
        <f t="shared" si="1"/>
        <v>-975000</v>
      </c>
      <c r="H14" s="8">
        <f t="shared" si="1"/>
        <v>-975000</v>
      </c>
      <c r="I14" s="8">
        <f t="shared" si="1"/>
        <v>-975000</v>
      </c>
    </row>
    <row r="15" spans="1:9" ht="7.5" customHeight="1" x14ac:dyDescent="0.25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CAP</vt:lpstr>
      <vt:lpstr>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</dc:creator>
  <cp:lastModifiedBy>oriol Calblay</cp:lastModifiedBy>
  <dcterms:created xsi:type="dcterms:W3CDTF">2021-08-20T09:06:53Z</dcterms:created>
  <dcterms:modified xsi:type="dcterms:W3CDTF">2024-06-11T19:05:09Z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2021-09-28T15:06:10.2971622Z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60c538fa-0956-40b7-85b4-f6c4183195e7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