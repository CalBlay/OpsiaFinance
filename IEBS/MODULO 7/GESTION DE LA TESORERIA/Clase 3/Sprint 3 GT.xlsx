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7/GESTION DE LA TESORERIA/Clase 3/"/>
    </mc:Choice>
  </mc:AlternateContent>
  <xr:revisionPtr revIDLastSave="340" documentId="8_{42FBF883-58F1-4286-95BD-9ED0C8462B9C}" xr6:coauthVersionLast="47" xr6:coauthVersionMax="47" xr10:uidLastSave="{39CAA601-7ADA-4334-B987-575BBE042800}"/>
  <bookViews>
    <workbookView xWindow="22932" yWindow="-60" windowWidth="23256" windowHeight="12456" xr2:uid="{00000000-000D-0000-FFFF-FFFF00000000}"/>
  </bookViews>
  <sheets>
    <sheet name="Sprint3" sheetId="2" r:id="rId1"/>
  </sheets>
  <definedNames>
    <definedName name="INTERBANCARIO">#REF!</definedName>
    <definedName name="INTERBANCARIO_1">Sprint3!$G$6</definedName>
    <definedName name="INTERBANCARIO_2">Sprint3!$J$6</definedName>
    <definedName name="Rentabilidad_media_depósit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2" l="1"/>
  <c r="B73" i="2"/>
  <c r="D57" i="2"/>
  <c r="D58" i="2"/>
  <c r="D59" i="2"/>
  <c r="D60" i="2"/>
  <c r="D61" i="2"/>
  <c r="D62" i="2"/>
  <c r="D56" i="2"/>
  <c r="D51" i="2"/>
  <c r="D50" i="2"/>
  <c r="D52" i="2" s="1"/>
  <c r="J13" i="2" s="1"/>
  <c r="D48" i="2"/>
  <c r="D47" i="2"/>
  <c r="D46" i="2"/>
  <c r="D45" i="2"/>
  <c r="D44" i="2"/>
  <c r="D43" i="2"/>
  <c r="D42" i="2"/>
  <c r="D13" i="2"/>
  <c r="D12" i="2"/>
  <c r="D5" i="2"/>
  <c r="D6" i="2"/>
  <c r="D7" i="2"/>
  <c r="D8" i="2"/>
  <c r="D9" i="2"/>
  <c r="D10" i="2"/>
  <c r="B52" i="2"/>
  <c r="J10" i="2" s="1"/>
  <c r="B49" i="2"/>
  <c r="J9" i="2" s="1"/>
  <c r="G12" i="2"/>
  <c r="B14" i="2"/>
  <c r="G10" i="2" s="1"/>
  <c r="B11" i="2"/>
  <c r="C11" i="2" s="1"/>
  <c r="G18" i="2"/>
  <c r="D67" i="2"/>
  <c r="D68" i="2"/>
  <c r="D69" i="2"/>
  <c r="D70" i="2"/>
  <c r="D71" i="2"/>
  <c r="D72" i="2"/>
  <c r="D66" i="2"/>
  <c r="B35" i="2"/>
  <c r="D29" i="2"/>
  <c r="D30" i="2"/>
  <c r="D31" i="2"/>
  <c r="D32" i="2"/>
  <c r="D33" i="2"/>
  <c r="D34" i="2"/>
  <c r="D28" i="2"/>
  <c r="D19" i="2"/>
  <c r="D20" i="2"/>
  <c r="D21" i="2"/>
  <c r="D22" i="2"/>
  <c r="D23" i="2"/>
  <c r="D24" i="2"/>
  <c r="D18" i="2"/>
  <c r="D4" i="2"/>
  <c r="J11" i="2" l="1"/>
  <c r="D63" i="2"/>
  <c r="J14" i="2" s="1"/>
  <c r="D49" i="2"/>
  <c r="J12" i="2" s="1"/>
  <c r="D73" i="2"/>
  <c r="D53" i="2"/>
  <c r="C52" i="2"/>
  <c r="B53" i="2"/>
  <c r="D14" i="2"/>
  <c r="C14" i="2" s="1"/>
  <c r="C49" i="2"/>
  <c r="G9" i="2"/>
  <c r="G11" i="2" s="1"/>
  <c r="B15" i="2"/>
  <c r="D25" i="2"/>
  <c r="G14" i="2" s="1"/>
  <c r="D35" i="2"/>
  <c r="G15" i="2" s="1"/>
  <c r="C53" i="2" l="1"/>
  <c r="D15" i="2"/>
  <c r="D36" i="2" s="1"/>
  <c r="D37" i="2" s="1"/>
  <c r="G5" i="2" s="1"/>
  <c r="G13" i="2"/>
  <c r="D74" i="2"/>
  <c r="J15" i="2"/>
  <c r="J16" i="2" s="1"/>
  <c r="J17" i="2" s="1"/>
  <c r="J19" i="2" s="1"/>
  <c r="G16" i="2"/>
  <c r="G17" i="2" s="1"/>
  <c r="G19" i="2" s="1"/>
  <c r="C15" i="2" l="1"/>
  <c r="D75" i="2"/>
  <c r="J5" i="2" s="1"/>
  <c r="J4" i="2"/>
  <c r="G4" i="2"/>
</calcChain>
</file>

<file path=xl/sharedStrings.xml><?xml version="1.0" encoding="utf-8"?>
<sst xmlns="http://schemas.openxmlformats.org/spreadsheetml/2006/main" count="126" uniqueCount="59">
  <si>
    <t>Riesgo Financiero</t>
  </si>
  <si>
    <t>Saldo Medio</t>
  </si>
  <si>
    <t>Intereses</t>
  </si>
  <si>
    <t>Riesgo Medio Deudor</t>
  </si>
  <si>
    <t>Saldos en cuenta corriente</t>
  </si>
  <si>
    <t>Depósitos c/p</t>
  </si>
  <si>
    <t>Posiciones Acreedores</t>
  </si>
  <si>
    <t>Riesgo Neto</t>
  </si>
  <si>
    <t>Comisiones</t>
  </si>
  <si>
    <t>Vol. Medio / Núm Trx</t>
  </si>
  <si>
    <t>Importe</t>
  </si>
  <si>
    <t>Total Comisiones</t>
  </si>
  <si>
    <t>-</t>
  </si>
  <si>
    <t>Vol. Medio</t>
  </si>
  <si>
    <t>Días</t>
  </si>
  <si>
    <t>Pagos proveedores / nóminas otras entidades</t>
  </si>
  <si>
    <t>Pagos proveedores extranjeros</t>
  </si>
  <si>
    <t>Pagos SWIFT Urgentes (VMD)</t>
  </si>
  <si>
    <t>Ingreso cheques y transferencias</t>
  </si>
  <si>
    <t>Pagos IVA y Retenciones</t>
  </si>
  <si>
    <t>Pagos Impuesto Sociedades</t>
  </si>
  <si>
    <t>Pagos Cotizaciones Sociales</t>
  </si>
  <si>
    <t>Total Negocio Indirecto por Float Financiero</t>
  </si>
  <si>
    <t>Rendimiento de la entidad financiera</t>
  </si>
  <si>
    <t>Rentabilidad Bruta s/ Riesgo</t>
  </si>
  <si>
    <t>BALANCE BANCO EMPRESA RESUMIDO</t>
  </si>
  <si>
    <t>Posiciones Acreedoras Medias</t>
  </si>
  <si>
    <t>Intereses pagados al banco</t>
  </si>
  <si>
    <t>Intereses cobrados por la empresa</t>
  </si>
  <si>
    <t>Negocio indirecto por Float Financiero</t>
  </si>
  <si>
    <t>Total Rendimientos</t>
  </si>
  <si>
    <t>Coste Financiero Banco</t>
  </si>
  <si>
    <t>Margen neto banco</t>
  </si>
  <si>
    <t>Tipo (%)</t>
  </si>
  <si>
    <t>Póliza de Crédito 1</t>
  </si>
  <si>
    <t>Póliza de Crédito 2</t>
  </si>
  <si>
    <t>Línea de Descuento</t>
  </si>
  <si>
    <t>Financiación Largo Plazo 1</t>
  </si>
  <si>
    <t>Financiación Largo Plazo 2</t>
  </si>
  <si>
    <t>Inversión Financiera 1</t>
  </si>
  <si>
    <t>Inversión Financiera 2</t>
  </si>
  <si>
    <t>Comisión (%)</t>
  </si>
  <si>
    <t>Comisión Póliza Crédito 1</t>
  </si>
  <si>
    <t>Comisión Póliza Crédito 2</t>
  </si>
  <si>
    <t>Comisión Línea de Descuento</t>
  </si>
  <si>
    <t>Comisión Financiación Largo Plazo 1</t>
  </si>
  <si>
    <t>Comisión Financiación Largo Plazo 2</t>
  </si>
  <si>
    <t>Comisión Inversión Financiera 1</t>
  </si>
  <si>
    <t>Comisión Inversión Financiera 2</t>
  </si>
  <si>
    <t>Tabla: Banco 2</t>
  </si>
  <si>
    <t>BALANCE BANCO 1 EMPRESA</t>
  </si>
  <si>
    <t>Valoración del Float Financiero</t>
  </si>
  <si>
    <t>Tipo Interbancario de Referencia</t>
  </si>
  <si>
    <t>Resumen Financiero</t>
  </si>
  <si>
    <t>pagos proveedores / nóminas otras entidades</t>
  </si>
  <si>
    <r>
      <t>Rendimiento de la entidad financiera</t>
    </r>
    <r>
      <rPr>
        <sz val="11"/>
        <color rgb="FF000000"/>
        <rFont val="Calibri"/>
      </rPr>
      <t xml:space="preserve">: </t>
    </r>
  </si>
  <si>
    <r>
      <t>Rentabilidad Bruta sobre el Riesgo</t>
    </r>
    <r>
      <rPr>
        <sz val="11"/>
        <color rgb="FF000000"/>
        <rFont val="Calibri"/>
      </rPr>
      <t xml:space="preserve">: </t>
    </r>
  </si>
  <si>
    <t>BANCO 1</t>
  </si>
  <si>
    <t>BANCO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</si>
</sst>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%"/>
  </numFmts>
  <fonts count="10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3.5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4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B4C6E7"/>
        <bgColor rgb="FFB4C6E7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10" fontId="0" fillId="0" borderId="0" xfId="2" applyNumberFormat="1" applyFont="1" applyAlignment="1">
      <alignment vertical="center"/>
    </xf>
    <xf numFmtId="3" fontId="6" fillId="2" borderId="8" xfId="0" applyNumberFormat="1" applyFont="1" applyFill="1" applyBorder="1" applyAlignment="1">
      <alignment horizontal="left"/>
    </xf>
    <xf numFmtId="3" fontId="6" fillId="2" borderId="2" xfId="0" applyNumberFormat="1" applyFont="1" applyFill="1" applyBorder="1" applyAlignment="1">
      <alignment horizontal="right"/>
    </xf>
    <xf numFmtId="164" fontId="6" fillId="2" borderId="2" xfId="0" applyNumberFormat="1" applyFont="1" applyFill="1" applyBorder="1" applyAlignment="1">
      <alignment horizontal="right"/>
    </xf>
    <xf numFmtId="164" fontId="6" fillId="2" borderId="3" xfId="0" applyNumberFormat="1" applyFont="1" applyFill="1" applyBorder="1" applyAlignment="1">
      <alignment horizontal="right"/>
    </xf>
    <xf numFmtId="0" fontId="6" fillId="2" borderId="5" xfId="0" applyFont="1" applyFill="1" applyBorder="1"/>
    <xf numFmtId="3" fontId="6" fillId="2" borderId="6" xfId="0" applyNumberFormat="1" applyFont="1" applyFill="1" applyBorder="1" applyAlignment="1">
      <alignment horizontal="center"/>
    </xf>
    <xf numFmtId="0" fontId="7" fillId="0" borderId="7" xfId="0" applyFont="1" applyBorder="1"/>
    <xf numFmtId="3" fontId="7" fillId="0" borderId="4" xfId="0" applyNumberFormat="1" applyFont="1" applyBorder="1"/>
    <xf numFmtId="0" fontId="8" fillId="3" borderId="8" xfId="0" applyFont="1" applyFill="1" applyBorder="1"/>
    <xf numFmtId="3" fontId="8" fillId="3" borderId="9" xfId="0" applyNumberFormat="1" applyFont="1" applyFill="1" applyBorder="1" applyAlignment="1">
      <alignment horizontal="right"/>
    </xf>
    <xf numFmtId="164" fontId="7" fillId="0" borderId="4" xfId="0" applyNumberFormat="1" applyFont="1" applyBorder="1"/>
    <xf numFmtId="3" fontId="6" fillId="2" borderId="3" xfId="0" applyNumberFormat="1" applyFont="1" applyFill="1" applyBorder="1" applyAlignment="1">
      <alignment horizontal="right"/>
    </xf>
    <xf numFmtId="0" fontId="0" fillId="0" borderId="10" xfId="0" applyBorder="1" applyAlignment="1">
      <alignment vertical="center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3" fontId="0" fillId="0" borderId="10" xfId="0" applyNumberFormat="1" applyBorder="1" applyAlignment="1">
      <alignment vertical="center" wrapText="1"/>
    </xf>
    <xf numFmtId="10" fontId="0" fillId="0" borderId="10" xfId="2" applyNumberFormat="1" applyFont="1" applyBorder="1" applyAlignment="1">
      <alignment vertical="center" wrapText="1"/>
    </xf>
    <xf numFmtId="0" fontId="5" fillId="5" borderId="10" xfId="0" applyFont="1" applyFill="1" applyBorder="1" applyAlignment="1">
      <alignment horizontal="left" vertical="center" wrapText="1"/>
    </xf>
    <xf numFmtId="3" fontId="5" fillId="5" borderId="10" xfId="0" applyNumberFormat="1" applyFont="1" applyFill="1" applyBorder="1" applyAlignment="1">
      <alignment vertical="center" wrapText="1"/>
    </xf>
    <xf numFmtId="10" fontId="5" fillId="5" borderId="10" xfId="2" applyNumberFormat="1" applyFont="1" applyFill="1" applyBorder="1" applyAlignment="1">
      <alignment vertical="center" wrapText="1"/>
    </xf>
    <xf numFmtId="0" fontId="5" fillId="6" borderId="10" xfId="0" applyFont="1" applyFill="1" applyBorder="1" applyAlignment="1">
      <alignment horizontal="left" vertical="center" wrapText="1"/>
    </xf>
    <xf numFmtId="3" fontId="1" fillId="6" borderId="10" xfId="0" applyNumberFormat="1" applyFont="1" applyFill="1" applyBorder="1" applyAlignment="1">
      <alignment vertical="center" wrapText="1"/>
    </xf>
    <xf numFmtId="10" fontId="5" fillId="6" borderId="10" xfId="2" applyNumberFormat="1" applyFont="1" applyFill="1" applyBorder="1" applyAlignment="1">
      <alignment vertical="center" wrapText="1"/>
    </xf>
    <xf numFmtId="0" fontId="5" fillId="6" borderId="10" xfId="0" applyFont="1" applyFill="1" applyBorder="1" applyAlignment="1">
      <alignment vertical="center" wrapText="1"/>
    </xf>
    <xf numFmtId="3" fontId="5" fillId="6" borderId="10" xfId="0" applyNumberFormat="1" applyFont="1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43" fontId="0" fillId="0" borderId="10" xfId="1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3" fontId="1" fillId="0" borderId="10" xfId="0" applyNumberFormat="1" applyFont="1" applyBorder="1" applyAlignment="1">
      <alignment vertical="center" wrapText="1"/>
    </xf>
    <xf numFmtId="43" fontId="1" fillId="0" borderId="10" xfId="1" applyFont="1" applyBorder="1" applyAlignment="1">
      <alignment vertical="center" wrapText="1"/>
    </xf>
    <xf numFmtId="0" fontId="9" fillId="4" borderId="0" xfId="0" applyFont="1" applyFill="1" applyAlignment="1">
      <alignment horizontal="center" vertical="center"/>
    </xf>
    <xf numFmtId="0" fontId="9" fillId="4" borderId="8" xfId="0" applyFont="1" applyFill="1" applyBorder="1"/>
    <xf numFmtId="164" fontId="9" fillId="4" borderId="9" xfId="0" applyNumberFormat="1" applyFont="1" applyFill="1" applyBorder="1"/>
    <xf numFmtId="0" fontId="5" fillId="7" borderId="11" xfId="0" applyFont="1" applyFill="1" applyBorder="1" applyAlignment="1">
      <alignment horizontal="left" vertical="center"/>
    </xf>
    <xf numFmtId="3" fontId="0" fillId="7" borderId="12" xfId="0" applyNumberFormat="1" applyFill="1" applyBorder="1" applyAlignment="1">
      <alignment vertical="center"/>
    </xf>
    <xf numFmtId="0" fontId="5" fillId="7" borderId="13" xfId="0" applyFont="1" applyFill="1" applyBorder="1" applyAlignment="1">
      <alignment horizontal="left" vertical="center"/>
    </xf>
    <xf numFmtId="164" fontId="0" fillId="7" borderId="14" xfId="0" applyNumberFormat="1" applyFill="1" applyBorder="1" applyAlignment="1">
      <alignment vertical="center"/>
    </xf>
    <xf numFmtId="0" fontId="9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43" fontId="4" fillId="0" borderId="10" xfId="1" applyFont="1" applyBorder="1" applyAlignment="1">
      <alignment vertical="center"/>
    </xf>
    <xf numFmtId="10" fontId="4" fillId="0" borderId="10" xfId="2" applyNumberFormat="1" applyFont="1" applyBorder="1" applyAlignment="1">
      <alignment horizontal="right" vertical="center"/>
    </xf>
    <xf numFmtId="43" fontId="4" fillId="0" borderId="10" xfId="1" applyFont="1" applyBorder="1" applyAlignment="1">
      <alignment horizontal="center" vertical="center" wrapText="1"/>
    </xf>
    <xf numFmtId="10" fontId="4" fillId="0" borderId="10" xfId="2" applyNumberFormat="1" applyFont="1" applyBorder="1" applyAlignment="1">
      <alignment horizontal="right" vertical="center" wrapText="1"/>
    </xf>
    <xf numFmtId="43" fontId="4" fillId="0" borderId="10" xfId="1" applyFont="1" applyBorder="1" applyAlignment="1">
      <alignment vertical="center" wrapText="1"/>
    </xf>
    <xf numFmtId="3" fontId="6" fillId="2" borderId="10" xfId="0" applyNumberFormat="1" applyFont="1" applyFill="1" applyBorder="1" applyAlignment="1">
      <alignment horizontal="left"/>
    </xf>
    <xf numFmtId="3" fontId="6" fillId="2" borderId="10" xfId="0" applyNumberFormat="1" applyFont="1" applyFill="1" applyBorder="1" applyAlignment="1">
      <alignment horizontal="right"/>
    </xf>
    <xf numFmtId="164" fontId="6" fillId="2" borderId="10" xfId="0" applyNumberFormat="1" applyFont="1" applyFill="1" applyBorder="1" applyAlignment="1">
      <alignment horizontal="right"/>
    </xf>
    <xf numFmtId="0" fontId="5" fillId="8" borderId="15" xfId="0" applyFont="1" applyFill="1" applyBorder="1" applyAlignment="1">
      <alignment vertical="center"/>
    </xf>
    <xf numFmtId="10" fontId="5" fillId="8" borderId="16" xfId="2" applyNumberFormat="1" applyFont="1" applyFill="1" applyBorder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Coma" xfId="1" builtinId="3"/>
    <cellStyle name="Normal" xfId="0" builtinId="0"/>
    <cellStyle name="Percentat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2605-865D-44B5-868C-D90A86D36C0E}">
  <dimension ref="A1:J75"/>
  <sheetViews>
    <sheetView showGridLines="0" tabSelected="1" workbookViewId="0">
      <selection activeCell="F22" sqref="F22"/>
    </sheetView>
  </sheetViews>
  <sheetFormatPr defaultRowHeight="15" x14ac:dyDescent="0.25"/>
  <cols>
    <col min="1" max="1" width="45.140625" style="1" customWidth="1"/>
    <col min="2" max="2" width="21.42578125" style="1" customWidth="1"/>
    <col min="3" max="3" width="15.140625" style="1" customWidth="1"/>
    <col min="4" max="4" width="22.85546875" style="1" customWidth="1"/>
    <col min="5" max="5" width="10.42578125" style="1" customWidth="1"/>
    <col min="6" max="6" width="35" style="1" customWidth="1"/>
    <col min="7" max="7" width="11.28515625" style="1" customWidth="1"/>
    <col min="8" max="8" width="4.42578125" style="1" customWidth="1"/>
    <col min="9" max="9" width="36.5703125" style="1" customWidth="1"/>
    <col min="10" max="10" width="18.140625" style="1" customWidth="1"/>
    <col min="11" max="16384" width="9.140625" style="1"/>
  </cols>
  <sheetData>
    <row r="1" spans="1:10" ht="18" x14ac:dyDescent="0.25">
      <c r="A1" s="53" t="s">
        <v>50</v>
      </c>
      <c r="B1" s="53"/>
      <c r="C1" s="53"/>
      <c r="D1" s="53"/>
    </row>
    <row r="2" spans="1:10" x14ac:dyDescent="0.25">
      <c r="A2" s="15"/>
      <c r="B2" s="15"/>
      <c r="C2" s="15"/>
      <c r="D2" s="15"/>
    </row>
    <row r="3" spans="1:10" ht="19.5" thickBot="1" x14ac:dyDescent="0.3">
      <c r="A3" s="16" t="s">
        <v>0</v>
      </c>
      <c r="B3" s="17" t="s">
        <v>1</v>
      </c>
      <c r="C3" s="17" t="s">
        <v>33</v>
      </c>
      <c r="D3" s="17" t="s">
        <v>2</v>
      </c>
      <c r="F3" s="34" t="s">
        <v>53</v>
      </c>
      <c r="G3" s="34" t="s">
        <v>57</v>
      </c>
      <c r="H3" s="42"/>
      <c r="I3" s="34" t="s">
        <v>53</v>
      </c>
      <c r="J3" s="34" t="s">
        <v>58</v>
      </c>
    </row>
    <row r="4" spans="1:10" x14ac:dyDescent="0.25">
      <c r="A4" s="18" t="s">
        <v>34</v>
      </c>
      <c r="B4" s="19">
        <v>2000000</v>
      </c>
      <c r="C4" s="20">
        <v>2.5000000000000001E-2</v>
      </c>
      <c r="D4" s="19">
        <f>B4*C4</f>
        <v>50000</v>
      </c>
      <c r="F4" s="37" t="s">
        <v>55</v>
      </c>
      <c r="G4" s="38">
        <f>D36</f>
        <v>348184.93150684942</v>
      </c>
      <c r="H4" s="42"/>
      <c r="I4" s="37" t="s">
        <v>55</v>
      </c>
      <c r="J4" s="38">
        <f>D74</f>
        <v>856279.79452054796</v>
      </c>
    </row>
    <row r="5" spans="1:10" x14ac:dyDescent="0.25">
      <c r="A5" s="18" t="s">
        <v>35</v>
      </c>
      <c r="B5" s="19">
        <v>1500000</v>
      </c>
      <c r="C5" s="20">
        <v>0.03</v>
      </c>
      <c r="D5" s="19">
        <f t="shared" ref="D5:D13" si="0">B5*C5</f>
        <v>45000</v>
      </c>
      <c r="F5" s="39" t="s">
        <v>56</v>
      </c>
      <c r="G5" s="40">
        <f>D37</f>
        <v>2.210697977821266E-2</v>
      </c>
      <c r="H5" s="42"/>
      <c r="I5" s="39" t="s">
        <v>56</v>
      </c>
      <c r="J5" s="40">
        <f>D75</f>
        <v>4.5668255707762555E-2</v>
      </c>
    </row>
    <row r="6" spans="1:10" ht="15.75" thickBot="1" x14ac:dyDescent="0.3">
      <c r="A6" s="18" t="s">
        <v>36</v>
      </c>
      <c r="B6" s="19">
        <v>3000000</v>
      </c>
      <c r="C6" s="20">
        <v>2.1999999999999999E-2</v>
      </c>
      <c r="D6" s="19">
        <f t="shared" si="0"/>
        <v>66000</v>
      </c>
      <c r="F6" s="51" t="s">
        <v>52</v>
      </c>
      <c r="G6" s="52">
        <v>5.0000000000000001E-3</v>
      </c>
      <c r="H6" s="42"/>
      <c r="I6" s="51" t="s">
        <v>52</v>
      </c>
      <c r="J6" s="52">
        <v>5.0000000000000001E-3</v>
      </c>
    </row>
    <row r="7" spans="1:10" x14ac:dyDescent="0.25">
      <c r="A7" s="18" t="s">
        <v>37</v>
      </c>
      <c r="B7" s="19">
        <v>4000000</v>
      </c>
      <c r="C7" s="20">
        <v>4.4999999999999998E-2</v>
      </c>
      <c r="D7" s="19">
        <f t="shared" si="0"/>
        <v>180000</v>
      </c>
      <c r="F7" s="54"/>
      <c r="G7" s="54"/>
      <c r="H7" s="54"/>
      <c r="I7" s="54"/>
      <c r="J7" s="54"/>
    </row>
    <row r="8" spans="1:10" x14ac:dyDescent="0.2">
      <c r="A8" s="18" t="s">
        <v>38</v>
      </c>
      <c r="B8" s="19">
        <v>3500000</v>
      </c>
      <c r="C8" s="20">
        <v>4.7500000000000001E-2</v>
      </c>
      <c r="D8" s="19">
        <f t="shared" si="0"/>
        <v>166250</v>
      </c>
      <c r="F8" s="7" t="s">
        <v>25</v>
      </c>
      <c r="G8" s="8"/>
      <c r="H8" s="42"/>
      <c r="I8" s="7" t="s">
        <v>25</v>
      </c>
      <c r="J8" s="8"/>
    </row>
    <row r="9" spans="1:10" x14ac:dyDescent="0.2">
      <c r="A9" s="18" t="s">
        <v>39</v>
      </c>
      <c r="B9" s="19">
        <v>2500000</v>
      </c>
      <c r="C9" s="20">
        <v>1.2E-2</v>
      </c>
      <c r="D9" s="19">
        <f t="shared" si="0"/>
        <v>30000</v>
      </c>
      <c r="F9" s="9" t="s">
        <v>3</v>
      </c>
      <c r="G9" s="10">
        <f>B11</f>
        <v>18500000</v>
      </c>
      <c r="H9" s="42"/>
      <c r="I9" s="9" t="s">
        <v>3</v>
      </c>
      <c r="J9" s="10">
        <f>B49</f>
        <v>21500000</v>
      </c>
    </row>
    <row r="10" spans="1:10" x14ac:dyDescent="0.2">
      <c r="A10" s="18" t="s">
        <v>40</v>
      </c>
      <c r="B10" s="19">
        <v>2000000</v>
      </c>
      <c r="C10" s="20">
        <v>1.4999999999999999E-2</v>
      </c>
      <c r="D10" s="19">
        <f t="shared" si="0"/>
        <v>30000</v>
      </c>
      <c r="F10" s="9" t="s">
        <v>26</v>
      </c>
      <c r="G10" s="10">
        <f>B14</f>
        <v>2750000</v>
      </c>
      <c r="H10" s="42"/>
      <c r="I10" s="9" t="s">
        <v>26</v>
      </c>
      <c r="J10" s="10">
        <f>B52</f>
        <v>2750000</v>
      </c>
    </row>
    <row r="11" spans="1:10" x14ac:dyDescent="0.2">
      <c r="A11" s="21" t="s">
        <v>3</v>
      </c>
      <c r="B11" s="22">
        <f>SUM(B4:B10)</f>
        <v>18500000</v>
      </c>
      <c r="C11" s="23">
        <f>D11/B11</f>
        <v>1.3817567567567572E-2</v>
      </c>
      <c r="D11" s="22">
        <v>255625.00000000009</v>
      </c>
      <c r="F11" s="11" t="s">
        <v>7</v>
      </c>
      <c r="G11" s="12">
        <f>+G9-G10</f>
        <v>15750000</v>
      </c>
      <c r="H11" s="42"/>
      <c r="I11" s="11" t="s">
        <v>7</v>
      </c>
      <c r="J11" s="12">
        <f>+J9-J10</f>
        <v>18750000</v>
      </c>
    </row>
    <row r="12" spans="1:10" x14ac:dyDescent="0.2">
      <c r="A12" s="18" t="s">
        <v>4</v>
      </c>
      <c r="B12" s="19">
        <v>1500000</v>
      </c>
      <c r="C12" s="20">
        <v>5.0000000000000001E-3</v>
      </c>
      <c r="D12" s="19">
        <f t="shared" si="0"/>
        <v>7500</v>
      </c>
      <c r="F12" s="9" t="s">
        <v>27</v>
      </c>
      <c r="G12" s="10">
        <f>D11</f>
        <v>255625.00000000009</v>
      </c>
      <c r="H12" s="42"/>
      <c r="I12" s="9" t="s">
        <v>27</v>
      </c>
      <c r="J12" s="10">
        <f>D49</f>
        <v>733000</v>
      </c>
    </row>
    <row r="13" spans="1:10" x14ac:dyDescent="0.2">
      <c r="A13" s="18" t="s">
        <v>5</v>
      </c>
      <c r="B13" s="19">
        <v>1250000</v>
      </c>
      <c r="C13" s="20">
        <v>8.5000000000000006E-3</v>
      </c>
      <c r="D13" s="19">
        <f t="shared" si="0"/>
        <v>10625</v>
      </c>
      <c r="F13" s="9" t="s">
        <v>28</v>
      </c>
      <c r="G13" s="10">
        <f>D14</f>
        <v>18125</v>
      </c>
      <c r="H13" s="42"/>
      <c r="I13" s="9" t="s">
        <v>28</v>
      </c>
      <c r="J13" s="10">
        <f>D52</f>
        <v>18125</v>
      </c>
    </row>
    <row r="14" spans="1:10" x14ac:dyDescent="0.2">
      <c r="A14" s="21" t="s">
        <v>6</v>
      </c>
      <c r="B14" s="22">
        <f>SUM(B12:B13)</f>
        <v>2750000</v>
      </c>
      <c r="C14" s="23">
        <f>D14/B14</f>
        <v>6.5909090909090908E-3</v>
      </c>
      <c r="D14" s="22">
        <f>SUM(D12:D13)</f>
        <v>18125</v>
      </c>
      <c r="F14" s="9" t="s">
        <v>8</v>
      </c>
      <c r="G14" s="10">
        <f>D25</f>
        <v>72750</v>
      </c>
      <c r="H14" s="42"/>
      <c r="I14" s="9" t="s">
        <v>8</v>
      </c>
      <c r="J14" s="10">
        <f>D63</f>
        <v>103100</v>
      </c>
    </row>
    <row r="15" spans="1:10" x14ac:dyDescent="0.2">
      <c r="A15" s="24" t="s">
        <v>7</v>
      </c>
      <c r="B15" s="25">
        <f>B11-B14</f>
        <v>15750000</v>
      </c>
      <c r="C15" s="26">
        <f>D15/B15</f>
        <v>1.7380952380952389E-2</v>
      </c>
      <c r="D15" s="25">
        <f>SUM(D11+D14)</f>
        <v>273750.00000000012</v>
      </c>
      <c r="F15" s="9" t="s">
        <v>29</v>
      </c>
      <c r="G15" s="10">
        <f>D35</f>
        <v>1684.9315068493152</v>
      </c>
      <c r="H15" s="42"/>
      <c r="I15" s="9" t="s">
        <v>29</v>
      </c>
      <c r="J15" s="10">
        <f>D73</f>
        <v>2054.794520547945</v>
      </c>
    </row>
    <row r="16" spans="1:10" x14ac:dyDescent="0.2">
      <c r="A16" s="15"/>
      <c r="B16" s="15"/>
      <c r="C16" s="15"/>
      <c r="D16" s="15"/>
      <c r="F16" s="11" t="s">
        <v>30</v>
      </c>
      <c r="G16" s="12">
        <f>+G12-G13+G14+G15</f>
        <v>311934.93150684942</v>
      </c>
      <c r="H16" s="42"/>
      <c r="I16" s="11" t="s">
        <v>30</v>
      </c>
      <c r="J16" s="12">
        <f>+J12-J13+J14+J15</f>
        <v>820029.79452054796</v>
      </c>
    </row>
    <row r="17" spans="1:10" x14ac:dyDescent="0.2">
      <c r="A17" s="16" t="s">
        <v>8</v>
      </c>
      <c r="B17" s="17" t="s">
        <v>9</v>
      </c>
      <c r="C17" s="17" t="s">
        <v>41</v>
      </c>
      <c r="D17" s="17" t="s">
        <v>10</v>
      </c>
      <c r="F17" s="9" t="s">
        <v>24</v>
      </c>
      <c r="G17" s="13">
        <f>+G16/G11</f>
        <v>1.9805392476625359E-2</v>
      </c>
      <c r="H17" s="42"/>
      <c r="I17" s="9" t="s">
        <v>24</v>
      </c>
      <c r="J17" s="13">
        <f>+J16/J11</f>
        <v>4.3734922374429226E-2</v>
      </c>
    </row>
    <row r="18" spans="1:10" x14ac:dyDescent="0.2">
      <c r="A18" s="18" t="s">
        <v>42</v>
      </c>
      <c r="B18" s="19">
        <v>2000000</v>
      </c>
      <c r="C18" s="20">
        <v>7.4999999999999997E-3</v>
      </c>
      <c r="D18" s="19">
        <f>B18*C18</f>
        <v>15000</v>
      </c>
      <c r="F18" s="9" t="s">
        <v>31</v>
      </c>
      <c r="G18" s="13" t="e">
        <f>INTERBANCARIO</f>
        <v>#REF!</v>
      </c>
      <c r="H18" s="42"/>
      <c r="I18" s="9" t="s">
        <v>31</v>
      </c>
      <c r="J18" s="13" t="e">
        <f>INTERBANCARIO</f>
        <v>#REF!</v>
      </c>
    </row>
    <row r="19" spans="1:10" ht="18.75" x14ac:dyDescent="0.3">
      <c r="A19" s="18" t="s">
        <v>43</v>
      </c>
      <c r="B19" s="19">
        <v>1500000</v>
      </c>
      <c r="C19" s="20">
        <v>0.01</v>
      </c>
      <c r="D19" s="19">
        <f t="shared" ref="D19:D24" si="1">B19*C19</f>
        <v>15000</v>
      </c>
      <c r="F19" s="35" t="s">
        <v>32</v>
      </c>
      <c r="G19" s="36" t="e">
        <f>+G17-G18</f>
        <v>#REF!</v>
      </c>
      <c r="H19" s="41"/>
      <c r="I19" s="35" t="s">
        <v>32</v>
      </c>
      <c r="J19" s="36" t="e">
        <f>+J17-J18</f>
        <v>#REF!</v>
      </c>
    </row>
    <row r="20" spans="1:10" x14ac:dyDescent="0.25">
      <c r="A20" s="18" t="s">
        <v>44</v>
      </c>
      <c r="B20" s="19">
        <v>3000000</v>
      </c>
      <c r="C20" s="20">
        <v>5.0000000000000001E-3</v>
      </c>
      <c r="D20" s="19">
        <f t="shared" si="1"/>
        <v>15000</v>
      </c>
    </row>
    <row r="21" spans="1:10" x14ac:dyDescent="0.25">
      <c r="A21" s="18" t="s">
        <v>45</v>
      </c>
      <c r="B21" s="19">
        <v>4000000</v>
      </c>
      <c r="C21" s="20">
        <v>2.5000000000000001E-3</v>
      </c>
      <c r="D21" s="19">
        <f t="shared" si="1"/>
        <v>10000</v>
      </c>
    </row>
    <row r="22" spans="1:10" x14ac:dyDescent="0.25">
      <c r="A22" s="18" t="s">
        <v>46</v>
      </c>
      <c r="B22" s="19">
        <v>3500000</v>
      </c>
      <c r="C22" s="20">
        <v>2.5000000000000001E-3</v>
      </c>
      <c r="D22" s="19">
        <f t="shared" si="1"/>
        <v>8750</v>
      </c>
    </row>
    <row r="23" spans="1:10" x14ac:dyDescent="0.25">
      <c r="A23" s="18" t="s">
        <v>47</v>
      </c>
      <c r="B23" s="19">
        <v>2500000</v>
      </c>
      <c r="C23" s="20">
        <v>2E-3</v>
      </c>
      <c r="D23" s="19">
        <f t="shared" si="1"/>
        <v>5000</v>
      </c>
    </row>
    <row r="24" spans="1:10" x14ac:dyDescent="0.25">
      <c r="A24" s="18" t="s">
        <v>48</v>
      </c>
      <c r="B24" s="19">
        <v>2000000</v>
      </c>
      <c r="C24" s="20">
        <v>2E-3</v>
      </c>
      <c r="D24" s="19">
        <f t="shared" si="1"/>
        <v>4000</v>
      </c>
    </row>
    <row r="25" spans="1:10" x14ac:dyDescent="0.25">
      <c r="A25" s="24" t="s">
        <v>11</v>
      </c>
      <c r="B25" s="27" t="s">
        <v>12</v>
      </c>
      <c r="C25" s="27" t="s">
        <v>12</v>
      </c>
      <c r="D25" s="28">
        <f>SUM(D18:D24)</f>
        <v>72750</v>
      </c>
    </row>
    <row r="26" spans="1:10" x14ac:dyDescent="0.25">
      <c r="A26" s="15"/>
      <c r="B26" s="15"/>
      <c r="C26" s="15"/>
      <c r="D26" s="15"/>
    </row>
    <row r="27" spans="1:10" x14ac:dyDescent="0.25">
      <c r="A27" s="16" t="s">
        <v>51</v>
      </c>
      <c r="B27" s="17" t="s">
        <v>13</v>
      </c>
      <c r="C27" s="17" t="s">
        <v>14</v>
      </c>
      <c r="D27" s="17" t="s">
        <v>10</v>
      </c>
    </row>
    <row r="28" spans="1:10" x14ac:dyDescent="0.25">
      <c r="A28" s="18" t="s">
        <v>15</v>
      </c>
      <c r="B28" s="19">
        <v>10000000</v>
      </c>
      <c r="C28" s="29">
        <v>2</v>
      </c>
      <c r="D28" s="30">
        <f t="shared" ref="D28:D34" si="2">B28*INTERBANCARIO_1*C28/365</f>
        <v>273.97260273972603</v>
      </c>
    </row>
    <row r="29" spans="1:10" x14ac:dyDescent="0.25">
      <c r="A29" s="18" t="s">
        <v>16</v>
      </c>
      <c r="B29" s="19">
        <v>2500000</v>
      </c>
      <c r="C29" s="29">
        <v>3</v>
      </c>
      <c r="D29" s="30">
        <f t="shared" si="2"/>
        <v>102.73972602739725</v>
      </c>
    </row>
    <row r="30" spans="1:10" x14ac:dyDescent="0.25">
      <c r="A30" s="18" t="s">
        <v>17</v>
      </c>
      <c r="B30" s="19">
        <v>3500000</v>
      </c>
      <c r="C30" s="29">
        <v>1</v>
      </c>
      <c r="D30" s="30">
        <f t="shared" si="2"/>
        <v>47.945205479452056</v>
      </c>
    </row>
    <row r="31" spans="1:10" x14ac:dyDescent="0.25">
      <c r="A31" s="18" t="s">
        <v>18</v>
      </c>
      <c r="B31" s="19">
        <v>20000000</v>
      </c>
      <c r="C31" s="29">
        <v>2</v>
      </c>
      <c r="D31" s="30">
        <f t="shared" si="2"/>
        <v>547.94520547945206</v>
      </c>
    </row>
    <row r="32" spans="1:10" x14ac:dyDescent="0.25">
      <c r="A32" s="18" t="s">
        <v>19</v>
      </c>
      <c r="B32" s="19">
        <v>5000000</v>
      </c>
      <c r="C32" s="29">
        <v>7</v>
      </c>
      <c r="D32" s="30">
        <f t="shared" si="2"/>
        <v>479.45205479452056</v>
      </c>
    </row>
    <row r="33" spans="1:5" x14ac:dyDescent="0.25">
      <c r="A33" s="18" t="s">
        <v>20</v>
      </c>
      <c r="B33" s="19">
        <v>1000000</v>
      </c>
      <c r="C33" s="29">
        <v>5</v>
      </c>
      <c r="D33" s="30">
        <f t="shared" si="2"/>
        <v>68.493150684931507</v>
      </c>
    </row>
    <row r="34" spans="1:5" x14ac:dyDescent="0.25">
      <c r="A34" s="18" t="s">
        <v>21</v>
      </c>
      <c r="B34" s="19">
        <v>1200000</v>
      </c>
      <c r="C34" s="29">
        <v>10</v>
      </c>
      <c r="D34" s="30">
        <f t="shared" si="2"/>
        <v>164.38356164383561</v>
      </c>
    </row>
    <row r="35" spans="1:5" x14ac:dyDescent="0.25">
      <c r="A35" s="31" t="s">
        <v>22</v>
      </c>
      <c r="B35" s="32">
        <f>SUM(B28:B34)</f>
        <v>43200000</v>
      </c>
      <c r="C35" s="29" t="s">
        <v>12</v>
      </c>
      <c r="D35" s="33">
        <f>SUM(D28:D34)</f>
        <v>1684.9315068493152</v>
      </c>
    </row>
    <row r="36" spans="1:5" x14ac:dyDescent="0.2">
      <c r="A36" s="3" t="s">
        <v>23</v>
      </c>
      <c r="B36" s="4"/>
      <c r="C36" s="5"/>
      <c r="D36" s="14">
        <f>+D15+D25+D35</f>
        <v>348184.93150684942</v>
      </c>
    </row>
    <row r="37" spans="1:5" x14ac:dyDescent="0.2">
      <c r="A37" s="3" t="s">
        <v>24</v>
      </c>
      <c r="B37" s="4"/>
      <c r="C37" s="5"/>
      <c r="D37" s="6">
        <f>D36/B15</f>
        <v>2.210697977821266E-2</v>
      </c>
    </row>
    <row r="40" spans="1:5" ht="18" x14ac:dyDescent="0.25">
      <c r="A40" s="53" t="s">
        <v>49</v>
      </c>
      <c r="B40" s="53"/>
      <c r="C40" s="53"/>
      <c r="D40" s="53"/>
    </row>
    <row r="41" spans="1:5" x14ac:dyDescent="0.25">
      <c r="A41" s="16" t="s">
        <v>0</v>
      </c>
      <c r="B41" s="17" t="s">
        <v>1</v>
      </c>
      <c r="C41" s="17" t="s">
        <v>33</v>
      </c>
      <c r="D41" s="17" t="s">
        <v>2</v>
      </c>
    </row>
    <row r="42" spans="1:5" x14ac:dyDescent="0.25">
      <c r="A42" s="18" t="s">
        <v>34</v>
      </c>
      <c r="B42" s="19">
        <v>2500000</v>
      </c>
      <c r="C42" s="20">
        <v>2.7999999999999997E-2</v>
      </c>
      <c r="D42" s="19">
        <f>B42*C42</f>
        <v>70000</v>
      </c>
      <c r="E42" s="2"/>
    </row>
    <row r="43" spans="1:5" x14ac:dyDescent="0.25">
      <c r="A43" s="18" t="s">
        <v>35</v>
      </c>
      <c r="B43" s="19">
        <v>1800000</v>
      </c>
      <c r="C43" s="20">
        <v>3.2000000000000001E-2</v>
      </c>
      <c r="D43" s="19">
        <f t="shared" ref="D43:D51" si="3">B43*C43</f>
        <v>57600</v>
      </c>
      <c r="E43" s="2"/>
    </row>
    <row r="44" spans="1:5" x14ac:dyDescent="0.25">
      <c r="A44" s="18" t="s">
        <v>36</v>
      </c>
      <c r="B44" s="19">
        <v>2500000</v>
      </c>
      <c r="C44" s="20">
        <v>2.5000000000000001E-2</v>
      </c>
      <c r="D44" s="19">
        <f t="shared" si="3"/>
        <v>62500</v>
      </c>
      <c r="E44" s="2"/>
    </row>
    <row r="45" spans="1:5" x14ac:dyDescent="0.25">
      <c r="A45" s="18" t="s">
        <v>37</v>
      </c>
      <c r="B45" s="19">
        <v>5000000</v>
      </c>
      <c r="C45" s="20">
        <v>4.8000000000000001E-2</v>
      </c>
      <c r="D45" s="19">
        <f t="shared" si="3"/>
        <v>240000</v>
      </c>
      <c r="E45" s="2"/>
    </row>
    <row r="46" spans="1:5" x14ac:dyDescent="0.25">
      <c r="A46" s="18" t="s">
        <v>38</v>
      </c>
      <c r="B46" s="19">
        <v>4500000</v>
      </c>
      <c r="C46" s="20">
        <v>4.9000000000000002E-2</v>
      </c>
      <c r="D46" s="19">
        <f t="shared" si="3"/>
        <v>220500</v>
      </c>
      <c r="E46" s="2"/>
    </row>
    <row r="47" spans="1:5" x14ac:dyDescent="0.25">
      <c r="A47" s="18" t="s">
        <v>39</v>
      </c>
      <c r="B47" s="19">
        <v>3000000</v>
      </c>
      <c r="C47" s="20">
        <v>1.4999999999999999E-2</v>
      </c>
      <c r="D47" s="19">
        <f t="shared" si="3"/>
        <v>45000</v>
      </c>
      <c r="E47" s="2"/>
    </row>
    <row r="48" spans="1:5" x14ac:dyDescent="0.25">
      <c r="A48" s="18" t="s">
        <v>40</v>
      </c>
      <c r="B48" s="19">
        <v>2200000</v>
      </c>
      <c r="C48" s="20">
        <v>1.7000000000000001E-2</v>
      </c>
      <c r="D48" s="19">
        <f t="shared" si="3"/>
        <v>37400</v>
      </c>
      <c r="E48" s="2"/>
    </row>
    <row r="49" spans="1:4" x14ac:dyDescent="0.25">
      <c r="A49" s="21" t="s">
        <v>3</v>
      </c>
      <c r="B49" s="22">
        <f>SUM(B42:B48)</f>
        <v>21500000</v>
      </c>
      <c r="C49" s="23">
        <f>D49/B49</f>
        <v>3.4093023255813953E-2</v>
      </c>
      <c r="D49" s="22">
        <f>SUM(D42:D48)</f>
        <v>733000</v>
      </c>
    </row>
    <row r="50" spans="1:4" x14ac:dyDescent="0.25">
      <c r="A50" s="18" t="s">
        <v>4</v>
      </c>
      <c r="B50" s="19">
        <v>1500000</v>
      </c>
      <c r="C50" s="20">
        <v>5.0000000000000001E-3</v>
      </c>
      <c r="D50" s="19">
        <f t="shared" si="3"/>
        <v>7500</v>
      </c>
    </row>
    <row r="51" spans="1:4" x14ac:dyDescent="0.25">
      <c r="A51" s="18" t="s">
        <v>5</v>
      </c>
      <c r="B51" s="19">
        <v>1250000</v>
      </c>
      <c r="C51" s="20">
        <v>8.5000000000000006E-3</v>
      </c>
      <c r="D51" s="19">
        <f t="shared" si="3"/>
        <v>10625</v>
      </c>
    </row>
    <row r="52" spans="1:4" x14ac:dyDescent="0.25">
      <c r="A52" s="21" t="s">
        <v>6</v>
      </c>
      <c r="B52" s="22">
        <f>SUM(B50:B51)</f>
        <v>2750000</v>
      </c>
      <c r="C52" s="23">
        <f>D52/B52</f>
        <v>6.5909090909090908E-3</v>
      </c>
      <c r="D52" s="22">
        <f>SUM(D50:D51)</f>
        <v>18125</v>
      </c>
    </row>
    <row r="53" spans="1:4" x14ac:dyDescent="0.25">
      <c r="A53" s="24" t="s">
        <v>7</v>
      </c>
      <c r="B53" s="25">
        <f>B49-B52</f>
        <v>18750000</v>
      </c>
      <c r="C53" s="26">
        <f>D53/B53</f>
        <v>4.0059999999999998E-2</v>
      </c>
      <c r="D53" s="25">
        <f>D49+D52</f>
        <v>751125</v>
      </c>
    </row>
    <row r="54" spans="1:4" ht="16.5" customHeight="1" x14ac:dyDescent="0.25">
      <c r="A54" s="18"/>
      <c r="B54" s="19"/>
      <c r="C54" s="20"/>
      <c r="D54" s="19"/>
    </row>
    <row r="55" spans="1:4" x14ac:dyDescent="0.25">
      <c r="A55" s="16" t="s">
        <v>8</v>
      </c>
      <c r="B55" s="17" t="s">
        <v>9</v>
      </c>
      <c r="C55" s="17" t="s">
        <v>41</v>
      </c>
      <c r="D55" s="17" t="s">
        <v>10</v>
      </c>
    </row>
    <row r="56" spans="1:4" x14ac:dyDescent="0.25">
      <c r="A56" s="15" t="s">
        <v>42</v>
      </c>
      <c r="B56" s="43">
        <v>2500000</v>
      </c>
      <c r="C56" s="44">
        <v>0.01</v>
      </c>
      <c r="D56" s="19">
        <f>B56*C56</f>
        <v>25000</v>
      </c>
    </row>
    <row r="57" spans="1:4" x14ac:dyDescent="0.25">
      <c r="A57" s="16" t="s">
        <v>43</v>
      </c>
      <c r="B57" s="45">
        <v>1800000</v>
      </c>
      <c r="C57" s="46">
        <v>1.2E-2</v>
      </c>
      <c r="D57" s="19">
        <f t="shared" ref="D57:D62" si="4">B57*C57</f>
        <v>21600</v>
      </c>
    </row>
    <row r="58" spans="1:4" x14ac:dyDescent="0.25">
      <c r="A58" s="18" t="s">
        <v>44</v>
      </c>
      <c r="B58" s="47">
        <v>2500000</v>
      </c>
      <c r="C58" s="46">
        <v>6.0000000000000001E-3</v>
      </c>
      <c r="D58" s="19">
        <f t="shared" si="4"/>
        <v>15000</v>
      </c>
    </row>
    <row r="59" spans="1:4" x14ac:dyDescent="0.25">
      <c r="A59" s="18" t="s">
        <v>45</v>
      </c>
      <c r="B59" s="47">
        <v>5000000</v>
      </c>
      <c r="C59" s="46">
        <v>3.0000000000000001E-3</v>
      </c>
      <c r="D59" s="19">
        <f t="shared" si="4"/>
        <v>15000</v>
      </c>
    </row>
    <row r="60" spans="1:4" x14ac:dyDescent="0.25">
      <c r="A60" s="18" t="s">
        <v>46</v>
      </c>
      <c r="B60" s="47">
        <v>4500000</v>
      </c>
      <c r="C60" s="46">
        <v>3.0000000000000001E-3</v>
      </c>
      <c r="D60" s="19">
        <f t="shared" si="4"/>
        <v>13500</v>
      </c>
    </row>
    <row r="61" spans="1:4" x14ac:dyDescent="0.25">
      <c r="A61" s="18" t="s">
        <v>47</v>
      </c>
      <c r="B61" s="47">
        <v>3000000</v>
      </c>
      <c r="C61" s="46">
        <v>2.5000000000000001E-3</v>
      </c>
      <c r="D61" s="19">
        <f t="shared" si="4"/>
        <v>7500</v>
      </c>
    </row>
    <row r="62" spans="1:4" x14ac:dyDescent="0.25">
      <c r="A62" s="18" t="s">
        <v>48</v>
      </c>
      <c r="B62" s="47">
        <v>2200000</v>
      </c>
      <c r="C62" s="46">
        <v>2.5000000000000001E-3</v>
      </c>
      <c r="D62" s="19">
        <f t="shared" si="4"/>
        <v>5500</v>
      </c>
    </row>
    <row r="63" spans="1:4" x14ac:dyDescent="0.25">
      <c r="A63" s="24" t="s">
        <v>11</v>
      </c>
      <c r="B63" s="27" t="s">
        <v>12</v>
      </c>
      <c r="C63" s="27" t="s">
        <v>12</v>
      </c>
      <c r="D63" s="28">
        <f>SUM(D56:D62)</f>
        <v>103100</v>
      </c>
    </row>
    <row r="64" spans="1:4" x14ac:dyDescent="0.25">
      <c r="A64" s="18"/>
      <c r="B64" s="19"/>
      <c r="C64" s="20"/>
      <c r="D64" s="19"/>
    </row>
    <row r="65" spans="1:4" x14ac:dyDescent="0.25">
      <c r="A65" s="16" t="s">
        <v>51</v>
      </c>
      <c r="B65" s="17" t="s">
        <v>13</v>
      </c>
      <c r="C65" s="17" t="s">
        <v>14</v>
      </c>
      <c r="D65" s="17" t="s">
        <v>10</v>
      </c>
    </row>
    <row r="66" spans="1:4" x14ac:dyDescent="0.25">
      <c r="A66" s="18" t="s">
        <v>54</v>
      </c>
      <c r="B66" s="19">
        <v>12000000</v>
      </c>
      <c r="C66" s="29">
        <v>2</v>
      </c>
      <c r="D66" s="30">
        <f t="shared" ref="D66:D72" si="5">B66*INTERBANCARIO_2*C66/365</f>
        <v>328.76712328767121</v>
      </c>
    </row>
    <row r="67" spans="1:4" x14ac:dyDescent="0.25">
      <c r="A67" s="18" t="s">
        <v>16</v>
      </c>
      <c r="B67" s="19">
        <v>3000000</v>
      </c>
      <c r="C67" s="29">
        <v>3</v>
      </c>
      <c r="D67" s="30">
        <f t="shared" si="5"/>
        <v>123.28767123287672</v>
      </c>
    </row>
    <row r="68" spans="1:4" x14ac:dyDescent="0.25">
      <c r="A68" s="18" t="s">
        <v>17</v>
      </c>
      <c r="B68" s="19">
        <v>4000000</v>
      </c>
      <c r="C68" s="29">
        <v>1</v>
      </c>
      <c r="D68" s="30">
        <f t="shared" si="5"/>
        <v>54.794520547945204</v>
      </c>
    </row>
    <row r="69" spans="1:4" x14ac:dyDescent="0.25">
      <c r="A69" s="18" t="s">
        <v>18</v>
      </c>
      <c r="B69" s="19">
        <v>25000000</v>
      </c>
      <c r="C69" s="29">
        <v>2</v>
      </c>
      <c r="D69" s="30">
        <f t="shared" si="5"/>
        <v>684.93150684931504</v>
      </c>
    </row>
    <row r="70" spans="1:4" x14ac:dyDescent="0.25">
      <c r="A70" s="18" t="s">
        <v>19</v>
      </c>
      <c r="B70" s="19">
        <v>6000000</v>
      </c>
      <c r="C70" s="29">
        <v>7</v>
      </c>
      <c r="D70" s="30">
        <f t="shared" si="5"/>
        <v>575.34246575342468</v>
      </c>
    </row>
    <row r="71" spans="1:4" x14ac:dyDescent="0.25">
      <c r="A71" s="18" t="s">
        <v>20</v>
      </c>
      <c r="B71" s="19">
        <v>1200000</v>
      </c>
      <c r="C71" s="29">
        <v>5</v>
      </c>
      <c r="D71" s="30">
        <f t="shared" si="5"/>
        <v>82.191780821917803</v>
      </c>
    </row>
    <row r="72" spans="1:4" x14ac:dyDescent="0.25">
      <c r="A72" s="18" t="s">
        <v>21</v>
      </c>
      <c r="B72" s="19">
        <v>1500000</v>
      </c>
      <c r="C72" s="29">
        <v>10</v>
      </c>
      <c r="D72" s="30">
        <f t="shared" si="5"/>
        <v>205.47945205479451</v>
      </c>
    </row>
    <row r="73" spans="1:4" x14ac:dyDescent="0.25">
      <c r="A73" s="31" t="s">
        <v>22</v>
      </c>
      <c r="B73" s="32">
        <f>SUM(B66:B72)</f>
        <v>52700000</v>
      </c>
      <c r="C73" s="29" t="s">
        <v>12</v>
      </c>
      <c r="D73" s="33">
        <f>SUM(D66:D72)</f>
        <v>2054.794520547945</v>
      </c>
    </row>
    <row r="74" spans="1:4" x14ac:dyDescent="0.2">
      <c r="A74" s="48" t="s">
        <v>23</v>
      </c>
      <c r="B74" s="49"/>
      <c r="C74" s="50"/>
      <c r="D74" s="49">
        <f>+D53+D63+D73</f>
        <v>856279.79452054796</v>
      </c>
    </row>
    <row r="75" spans="1:4" x14ac:dyDescent="0.2">
      <c r="A75" s="48" t="s">
        <v>24</v>
      </c>
      <c r="B75" s="49"/>
      <c r="C75" s="50"/>
      <c r="D75" s="50">
        <f>D74/B53</f>
        <v>4.5668255707762555E-2</v>
      </c>
    </row>
  </sheetData>
  <mergeCells count="3">
    <mergeCell ref="A1:D1"/>
    <mergeCell ref="A40:D40"/>
    <mergeCell ref="F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1</vt:i4>
      </vt:variant>
      <vt:variant>
        <vt:lpstr>Intervals amb nom</vt:lpstr>
      </vt:variant>
      <vt:variant>
        <vt:i4>2</vt:i4>
      </vt:variant>
    </vt:vector>
  </HeadingPairs>
  <TitlesOfParts>
    <vt:vector size="3" baseType="lpstr">
      <vt:lpstr>Sprint3</vt:lpstr>
      <vt:lpstr>INTERBANCARIO_1</vt:lpstr>
      <vt:lpstr>INTERBANCARIO_2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Calblay</cp:lastModifiedBy>
  <dcterms:created xsi:type="dcterms:W3CDTF">2024-06-17T16:41:10Z</dcterms:created>
  <dcterms:modified xsi:type="dcterms:W3CDTF">2024-06-19T18:16:35Z</dcterms:modified>
</cp:coreProperties>
</file>