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https://d.docs.live.net/e6c7bcb4eb356115/Escritorio/IEBS/MODULO 7/GESTION DE LA TESORERIA/"/>
    </mc:Choice>
  </mc:AlternateContent>
  <xr:revisionPtr revIDLastSave="442" documentId="8_{CA80D0DB-84A3-433E-910B-B6522FCA98C6}" xr6:coauthVersionLast="47" xr6:coauthVersionMax="47" xr10:uidLastSave="{DBC40532-1631-4AD3-AED8-EDB7327D5B5B}"/>
  <bookViews>
    <workbookView xWindow="-120" yWindow="-120" windowWidth="29040" windowHeight="15720" tabRatio="757" activeTab="1" xr2:uid="{00000000-000D-0000-FFFF-FFFF00000000}"/>
  </bookViews>
  <sheets>
    <sheet name="Cuenta de Resultados" sheetId="2" r:id="rId1"/>
    <sheet name="Traslación_Cobros" sheetId="8" r:id="rId2"/>
    <sheet name="Traslación_Pagos_1" sheetId="7" r:id="rId3"/>
    <sheet name="Presupuesto_Tesoreria_1" sheetId="11" r:id="rId4"/>
    <sheet name="Traslación_Pagos_2" sheetId="10" r:id="rId5"/>
    <sheet name="Presupuesto_Tesoreria_2" sheetId="9" r:id="rId6"/>
  </sheets>
  <externalReferences>
    <externalReference r:id="rId7"/>
  </externalReferences>
  <definedNames>
    <definedName name="DEUDA_INI">[1]Cuadro_vencimientos_y_devengos!$I$5</definedName>
    <definedName name="INTERÉS">[1]Cuadro_vencimientos_y_devengos!$J$5</definedName>
    <definedName name="IVA">'Cuenta de Resultados'!#REF!</definedName>
    <definedName name="RET_TRABAJO">'Cuenta de Resultados'!#REF!</definedName>
    <definedName name="RETENCIÓN">'Cuenta de Resultados'!#REF!</definedName>
    <definedName name="SS_EMPRESA">'Cuenta de Resultados'!#REF!</definedName>
    <definedName name="SS_TRABAJADOR">'Cuenta de Resultados'!#REF!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7" i="10" l="1"/>
  <c r="D47" i="7"/>
  <c r="N47" i="7"/>
  <c r="Q46" i="11" l="1"/>
  <c r="E46" i="11"/>
  <c r="L46" i="11"/>
  <c r="M46" i="11"/>
  <c r="I46" i="9"/>
  <c r="J46" i="9"/>
  <c r="E40" i="9"/>
  <c r="E42" i="9" s="1"/>
  <c r="E46" i="9" s="1"/>
  <c r="F40" i="9"/>
  <c r="F42" i="9" s="1"/>
  <c r="F46" i="9" s="1"/>
  <c r="G40" i="9"/>
  <c r="G42" i="9" s="1"/>
  <c r="G46" i="9" s="1"/>
  <c r="H40" i="9"/>
  <c r="H42" i="9" s="1"/>
  <c r="H46" i="9" s="1"/>
  <c r="I40" i="9"/>
  <c r="I42" i="9" s="1"/>
  <c r="J40" i="9"/>
  <c r="J42" i="9" s="1"/>
  <c r="K40" i="9"/>
  <c r="K42" i="9" s="1"/>
  <c r="K46" i="9" s="1"/>
  <c r="L40" i="9"/>
  <c r="L42" i="9" s="1"/>
  <c r="L46" i="9" s="1"/>
  <c r="M40" i="9"/>
  <c r="M42" i="9" s="1"/>
  <c r="M46" i="9" s="1"/>
  <c r="N40" i="9"/>
  <c r="N42" i="9" s="1"/>
  <c r="N46" i="9" s="1"/>
  <c r="O40" i="9"/>
  <c r="O42" i="9" s="1"/>
  <c r="O46" i="9" s="1"/>
  <c r="D40" i="9"/>
  <c r="D42" i="9" s="1"/>
  <c r="D46" i="9" s="1"/>
  <c r="E40" i="11"/>
  <c r="F40" i="11"/>
  <c r="F42" i="11" s="1"/>
  <c r="F46" i="11" s="1"/>
  <c r="G40" i="11"/>
  <c r="H40" i="11"/>
  <c r="I40" i="11"/>
  <c r="J40" i="11"/>
  <c r="J42" i="11" s="1"/>
  <c r="J46" i="11" s="1"/>
  <c r="K40" i="11"/>
  <c r="K42" i="11" s="1"/>
  <c r="K46" i="11" s="1"/>
  <c r="L40" i="11"/>
  <c r="L42" i="11" s="1"/>
  <c r="M40" i="11"/>
  <c r="N40" i="11"/>
  <c r="O40" i="11"/>
  <c r="D40" i="11"/>
  <c r="D42" i="11" s="1"/>
  <c r="D46" i="11" s="1"/>
  <c r="E20" i="9"/>
  <c r="F20" i="9"/>
  <c r="G20" i="9"/>
  <c r="H20" i="9"/>
  <c r="I20" i="9"/>
  <c r="J20" i="9"/>
  <c r="K20" i="9"/>
  <c r="L20" i="9"/>
  <c r="M20" i="9"/>
  <c r="N20" i="9"/>
  <c r="O20" i="9"/>
  <c r="D20" i="9"/>
  <c r="N53" i="10"/>
  <c r="H53" i="10"/>
  <c r="H59" i="10" s="1"/>
  <c r="M26" i="9"/>
  <c r="E26" i="9"/>
  <c r="F26" i="9"/>
  <c r="G26" i="9"/>
  <c r="H26" i="9"/>
  <c r="J26" i="9"/>
  <c r="K26" i="9"/>
  <c r="L26" i="9"/>
  <c r="N26" i="9"/>
  <c r="D26" i="9"/>
  <c r="E26" i="11"/>
  <c r="F26" i="11"/>
  <c r="G26" i="11"/>
  <c r="H26" i="11"/>
  <c r="H32" i="11" s="1"/>
  <c r="I26" i="11"/>
  <c r="J26" i="11"/>
  <c r="K26" i="11"/>
  <c r="L26" i="11"/>
  <c r="L32" i="11" s="1"/>
  <c r="M26" i="11"/>
  <c r="N26" i="11"/>
  <c r="O26" i="11"/>
  <c r="D26" i="11"/>
  <c r="O45" i="11"/>
  <c r="N45" i="11"/>
  <c r="M45" i="11"/>
  <c r="L45" i="11"/>
  <c r="K45" i="11"/>
  <c r="J45" i="11"/>
  <c r="I45" i="11"/>
  <c r="H45" i="11"/>
  <c r="G45" i="11"/>
  <c r="F45" i="11"/>
  <c r="E45" i="11"/>
  <c r="D45" i="11"/>
  <c r="Q44" i="11"/>
  <c r="Q43" i="11"/>
  <c r="Q45" i="11" s="1"/>
  <c r="O42" i="11"/>
  <c r="O46" i="11" s="1"/>
  <c r="N42" i="11"/>
  <c r="N46" i="11" s="1"/>
  <c r="M42" i="11"/>
  <c r="I42" i="11"/>
  <c r="I46" i="11" s="1"/>
  <c r="H42" i="11"/>
  <c r="H46" i="11" s="1"/>
  <c r="G42" i="11"/>
  <c r="G46" i="11" s="1"/>
  <c r="E42" i="11"/>
  <c r="Q41" i="11"/>
  <c r="O37" i="11"/>
  <c r="N37" i="11"/>
  <c r="M37" i="11"/>
  <c r="L37" i="11"/>
  <c r="K37" i="11"/>
  <c r="J37" i="11"/>
  <c r="I37" i="11"/>
  <c r="H37" i="11"/>
  <c r="G37" i="11"/>
  <c r="F37" i="11"/>
  <c r="E37" i="11"/>
  <c r="D37" i="11"/>
  <c r="Q37" i="11" s="1"/>
  <c r="O36" i="11"/>
  <c r="N36" i="11"/>
  <c r="M36" i="11"/>
  <c r="L36" i="11"/>
  <c r="K36" i="11"/>
  <c r="J36" i="11"/>
  <c r="I36" i="11"/>
  <c r="H36" i="11"/>
  <c r="Q36" i="11" s="1"/>
  <c r="G36" i="11"/>
  <c r="F36" i="11"/>
  <c r="E36" i="11"/>
  <c r="D36" i="11"/>
  <c r="O34" i="11"/>
  <c r="N34" i="11"/>
  <c r="M34" i="11"/>
  <c r="L34" i="11"/>
  <c r="K34" i="11"/>
  <c r="J34" i="11"/>
  <c r="I34" i="11"/>
  <c r="H34" i="11"/>
  <c r="G34" i="11"/>
  <c r="F34" i="11"/>
  <c r="E34" i="11"/>
  <c r="D34" i="11"/>
  <c r="O33" i="11"/>
  <c r="N33" i="11"/>
  <c r="M33" i="11"/>
  <c r="M35" i="11" s="1"/>
  <c r="L33" i="11"/>
  <c r="L35" i="11" s="1"/>
  <c r="K33" i="11"/>
  <c r="K35" i="11" s="1"/>
  <c r="J33" i="11"/>
  <c r="J35" i="11" s="1"/>
  <c r="I33" i="11"/>
  <c r="I35" i="11" s="1"/>
  <c r="H33" i="11"/>
  <c r="H35" i="11" s="1"/>
  <c r="G33" i="11"/>
  <c r="F33" i="11"/>
  <c r="E33" i="11"/>
  <c r="E35" i="11" s="1"/>
  <c r="D33" i="11"/>
  <c r="D35" i="11" s="1"/>
  <c r="O31" i="11"/>
  <c r="N31" i="11"/>
  <c r="M31" i="11"/>
  <c r="L31" i="11"/>
  <c r="K31" i="11"/>
  <c r="J31" i="11"/>
  <c r="I31" i="11"/>
  <c r="H31" i="11"/>
  <c r="G31" i="11"/>
  <c r="F31" i="11"/>
  <c r="E31" i="11"/>
  <c r="D31" i="11"/>
  <c r="O30" i="11"/>
  <c r="N30" i="11"/>
  <c r="M30" i="11"/>
  <c r="L30" i="11"/>
  <c r="K30" i="11"/>
  <c r="J30" i="11"/>
  <c r="I30" i="11"/>
  <c r="H30" i="11"/>
  <c r="G30" i="11"/>
  <c r="F30" i="11"/>
  <c r="E30" i="11"/>
  <c r="D30" i="11"/>
  <c r="O29" i="11"/>
  <c r="N29" i="11"/>
  <c r="N32" i="11" s="1"/>
  <c r="M29" i="11"/>
  <c r="L29" i="11"/>
  <c r="K29" i="11"/>
  <c r="J29" i="11"/>
  <c r="I29" i="11"/>
  <c r="H29" i="11"/>
  <c r="G29" i="11"/>
  <c r="F29" i="11"/>
  <c r="F32" i="11" s="1"/>
  <c r="E29" i="11"/>
  <c r="D29" i="11"/>
  <c r="O28" i="11"/>
  <c r="N28" i="11"/>
  <c r="M28" i="11"/>
  <c r="L28" i="11"/>
  <c r="K28" i="11"/>
  <c r="K32" i="11" s="1"/>
  <c r="J28" i="11"/>
  <c r="I28" i="11"/>
  <c r="H28" i="11"/>
  <c r="G28" i="11"/>
  <c r="F28" i="11"/>
  <c r="E28" i="11"/>
  <c r="D28" i="11"/>
  <c r="Q28" i="11" s="1"/>
  <c r="O27" i="11"/>
  <c r="O32" i="11" s="1"/>
  <c r="N27" i="11"/>
  <c r="M27" i="11"/>
  <c r="L27" i="11"/>
  <c r="K27" i="11"/>
  <c r="J27" i="11"/>
  <c r="I27" i="11"/>
  <c r="I32" i="11" s="1"/>
  <c r="H27" i="11"/>
  <c r="G27" i="11"/>
  <c r="G32" i="11" s="1"/>
  <c r="F27" i="11"/>
  <c r="E27" i="11"/>
  <c r="E32" i="11" s="1"/>
  <c r="D27" i="11"/>
  <c r="M32" i="11"/>
  <c r="J32" i="11"/>
  <c r="O24" i="11"/>
  <c r="N24" i="11"/>
  <c r="M24" i="11"/>
  <c r="L24" i="11"/>
  <c r="K24" i="11"/>
  <c r="J24" i="11"/>
  <c r="I24" i="11"/>
  <c r="H24" i="11"/>
  <c r="G24" i="11"/>
  <c r="F24" i="11"/>
  <c r="E24" i="11"/>
  <c r="D24" i="11"/>
  <c r="O23" i="11"/>
  <c r="O25" i="11" s="1"/>
  <c r="N23" i="11"/>
  <c r="N25" i="11" s="1"/>
  <c r="M23" i="11"/>
  <c r="M25" i="11" s="1"/>
  <c r="L23" i="11"/>
  <c r="L25" i="11" s="1"/>
  <c r="K23" i="11"/>
  <c r="K25" i="11" s="1"/>
  <c r="J23" i="11"/>
  <c r="J25" i="11" s="1"/>
  <c r="I23" i="11"/>
  <c r="I25" i="11" s="1"/>
  <c r="H23" i="11"/>
  <c r="G23" i="11"/>
  <c r="G25" i="11" s="1"/>
  <c r="F23" i="11"/>
  <c r="F25" i="11" s="1"/>
  <c r="E23" i="11"/>
  <c r="E25" i="11" s="1"/>
  <c r="D23" i="11"/>
  <c r="N22" i="11"/>
  <c r="O21" i="11"/>
  <c r="N21" i="11"/>
  <c r="M21" i="11"/>
  <c r="L21" i="11"/>
  <c r="K21" i="11"/>
  <c r="J21" i="11"/>
  <c r="I21" i="11"/>
  <c r="H21" i="11"/>
  <c r="G21" i="11"/>
  <c r="E21" i="11"/>
  <c r="D21" i="11"/>
  <c r="O20" i="11"/>
  <c r="N20" i="11"/>
  <c r="M20" i="11"/>
  <c r="L20" i="11"/>
  <c r="K20" i="11"/>
  <c r="J20" i="11"/>
  <c r="I20" i="11"/>
  <c r="H20" i="11"/>
  <c r="G20" i="11"/>
  <c r="F20" i="11"/>
  <c r="E20" i="11"/>
  <c r="D20" i="11"/>
  <c r="O19" i="11"/>
  <c r="N19" i="11"/>
  <c r="M19" i="11"/>
  <c r="L19" i="11"/>
  <c r="K19" i="11"/>
  <c r="J19" i="11"/>
  <c r="I19" i="11"/>
  <c r="H19" i="11"/>
  <c r="F19" i="11"/>
  <c r="E19" i="11"/>
  <c r="D19" i="11"/>
  <c r="O18" i="11"/>
  <c r="N18" i="11"/>
  <c r="M18" i="11"/>
  <c r="L18" i="11"/>
  <c r="K18" i="11"/>
  <c r="J18" i="11"/>
  <c r="I18" i="11"/>
  <c r="H18" i="11"/>
  <c r="G18" i="11"/>
  <c r="F18" i="11"/>
  <c r="E18" i="11"/>
  <c r="D18" i="11"/>
  <c r="O17" i="11"/>
  <c r="N17" i="11"/>
  <c r="M17" i="11"/>
  <c r="L17" i="11"/>
  <c r="K17" i="11"/>
  <c r="J17" i="11"/>
  <c r="I17" i="11"/>
  <c r="I22" i="11" s="1"/>
  <c r="H17" i="11"/>
  <c r="H22" i="11" s="1"/>
  <c r="G17" i="11"/>
  <c r="F17" i="11"/>
  <c r="E17" i="11"/>
  <c r="D17" i="11"/>
  <c r="O15" i="11"/>
  <c r="N15" i="11"/>
  <c r="M15" i="11"/>
  <c r="L15" i="11"/>
  <c r="K15" i="11"/>
  <c r="J15" i="11"/>
  <c r="I15" i="11"/>
  <c r="H15" i="11"/>
  <c r="G15" i="11"/>
  <c r="F15" i="11"/>
  <c r="E15" i="11"/>
  <c r="D15" i="11"/>
  <c r="O14" i="11"/>
  <c r="N14" i="11"/>
  <c r="M14" i="11"/>
  <c r="L14" i="11"/>
  <c r="K14" i="11"/>
  <c r="J14" i="11"/>
  <c r="I14" i="11"/>
  <c r="H14" i="11"/>
  <c r="G14" i="11"/>
  <c r="F14" i="11"/>
  <c r="E14" i="11"/>
  <c r="D14" i="11"/>
  <c r="O13" i="11"/>
  <c r="N13" i="11"/>
  <c r="M13" i="11"/>
  <c r="L13" i="11"/>
  <c r="K13" i="11"/>
  <c r="J13" i="11"/>
  <c r="I13" i="11"/>
  <c r="H13" i="11"/>
  <c r="G13" i="11"/>
  <c r="F13" i="11"/>
  <c r="E13" i="11"/>
  <c r="D13" i="11"/>
  <c r="O12" i="11"/>
  <c r="N12" i="11"/>
  <c r="M12" i="11"/>
  <c r="L12" i="11"/>
  <c r="K12" i="11"/>
  <c r="J12" i="11"/>
  <c r="I12" i="11"/>
  <c r="H12" i="11"/>
  <c r="G12" i="11"/>
  <c r="F12" i="11"/>
  <c r="Q12" i="11" s="1"/>
  <c r="E12" i="11"/>
  <c r="D12" i="11"/>
  <c r="O11" i="11"/>
  <c r="N11" i="11"/>
  <c r="M11" i="11"/>
  <c r="L11" i="11"/>
  <c r="K11" i="11"/>
  <c r="J11" i="11"/>
  <c r="I11" i="11"/>
  <c r="H11" i="11"/>
  <c r="G11" i="11"/>
  <c r="F11" i="11"/>
  <c r="E11" i="11"/>
  <c r="D11" i="11"/>
  <c r="O10" i="11"/>
  <c r="N10" i="11"/>
  <c r="M10" i="11"/>
  <c r="L10" i="11"/>
  <c r="K10" i="11"/>
  <c r="J10" i="11"/>
  <c r="I10" i="11"/>
  <c r="H10" i="11"/>
  <c r="G10" i="11"/>
  <c r="F10" i="11"/>
  <c r="E10" i="11"/>
  <c r="D10" i="11"/>
  <c r="O9" i="11"/>
  <c r="N9" i="11"/>
  <c r="M9" i="11"/>
  <c r="L9" i="11"/>
  <c r="K9" i="11"/>
  <c r="J9" i="11"/>
  <c r="I9" i="11"/>
  <c r="H9" i="11"/>
  <c r="G9" i="11"/>
  <c r="F9" i="11"/>
  <c r="E9" i="11"/>
  <c r="D9" i="11"/>
  <c r="O8" i="11"/>
  <c r="N8" i="11"/>
  <c r="M8" i="11"/>
  <c r="L8" i="11"/>
  <c r="K8" i="11"/>
  <c r="J8" i="11"/>
  <c r="I8" i="11"/>
  <c r="H8" i="11"/>
  <c r="G8" i="11"/>
  <c r="F8" i="11"/>
  <c r="E8" i="11"/>
  <c r="D8" i="11"/>
  <c r="O7" i="11"/>
  <c r="N7" i="11"/>
  <c r="M7" i="11"/>
  <c r="L7" i="11"/>
  <c r="K7" i="11"/>
  <c r="J7" i="11"/>
  <c r="I7" i="11"/>
  <c r="H7" i="11"/>
  <c r="G7" i="11"/>
  <c r="F7" i="11"/>
  <c r="E7" i="11"/>
  <c r="D7" i="11"/>
  <c r="O6" i="11"/>
  <c r="N6" i="11"/>
  <c r="M6" i="11"/>
  <c r="L6" i="11"/>
  <c r="K6" i="11"/>
  <c r="J6" i="11"/>
  <c r="I6" i="11"/>
  <c r="H6" i="11"/>
  <c r="G6" i="11"/>
  <c r="F6" i="11"/>
  <c r="E6" i="11"/>
  <c r="D6" i="11"/>
  <c r="O5" i="11"/>
  <c r="N5" i="11"/>
  <c r="N16" i="11" s="1"/>
  <c r="M5" i="11"/>
  <c r="L5" i="11"/>
  <c r="K5" i="11"/>
  <c r="J5" i="11"/>
  <c r="I5" i="11"/>
  <c r="H5" i="11"/>
  <c r="H16" i="11" s="1"/>
  <c r="G5" i="11"/>
  <c r="G16" i="11" s="1"/>
  <c r="F5" i="11"/>
  <c r="E5" i="11"/>
  <c r="D5" i="11"/>
  <c r="Q4" i="11"/>
  <c r="N64" i="10"/>
  <c r="M64" i="10"/>
  <c r="L64" i="10"/>
  <c r="K64" i="10"/>
  <c r="J64" i="10"/>
  <c r="I64" i="10"/>
  <c r="H64" i="10"/>
  <c r="G64" i="10"/>
  <c r="F64" i="10"/>
  <c r="E64" i="10"/>
  <c r="D64" i="10"/>
  <c r="C64" i="10"/>
  <c r="N63" i="10"/>
  <c r="M63" i="10"/>
  <c r="L63" i="10"/>
  <c r="K63" i="10"/>
  <c r="J63" i="10"/>
  <c r="I63" i="10"/>
  <c r="H63" i="10"/>
  <c r="G63" i="10"/>
  <c r="F63" i="10"/>
  <c r="E63" i="10"/>
  <c r="D63" i="10"/>
  <c r="C63" i="10"/>
  <c r="I61" i="10"/>
  <c r="N60" i="10"/>
  <c r="L60" i="10"/>
  <c r="F60" i="10"/>
  <c r="N58" i="10"/>
  <c r="M58" i="10"/>
  <c r="L58" i="10"/>
  <c r="K58" i="10"/>
  <c r="J58" i="10"/>
  <c r="I58" i="10"/>
  <c r="H58" i="10"/>
  <c r="G58" i="10"/>
  <c r="F58" i="10"/>
  <c r="E58" i="10"/>
  <c r="D58" i="10"/>
  <c r="C58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N55" i="10"/>
  <c r="M55" i="10"/>
  <c r="L55" i="10"/>
  <c r="K55" i="10"/>
  <c r="J55" i="10"/>
  <c r="I55" i="10"/>
  <c r="H55" i="10"/>
  <c r="G55" i="10"/>
  <c r="G59" i="10" s="1"/>
  <c r="F55" i="10"/>
  <c r="F59" i="10" s="1"/>
  <c r="E55" i="10"/>
  <c r="D55" i="10"/>
  <c r="C55" i="10"/>
  <c r="N54" i="10"/>
  <c r="M54" i="10"/>
  <c r="L54" i="10"/>
  <c r="K54" i="10"/>
  <c r="J54" i="10"/>
  <c r="J59" i="10" s="1"/>
  <c r="I54" i="10"/>
  <c r="H54" i="10"/>
  <c r="G54" i="10"/>
  <c r="F54" i="10"/>
  <c r="E54" i="10"/>
  <c r="D54" i="10"/>
  <c r="C54" i="10"/>
  <c r="C59" i="10" s="1"/>
  <c r="K59" i="10"/>
  <c r="N51" i="10"/>
  <c r="M51" i="10"/>
  <c r="L51" i="10"/>
  <c r="K51" i="10"/>
  <c r="J51" i="10"/>
  <c r="I51" i="10"/>
  <c r="H51" i="10"/>
  <c r="G51" i="10"/>
  <c r="F51" i="10"/>
  <c r="E51" i="10"/>
  <c r="D51" i="10"/>
  <c r="C51" i="10"/>
  <c r="N50" i="10"/>
  <c r="N52" i="10" s="1"/>
  <c r="M50" i="10"/>
  <c r="L50" i="10"/>
  <c r="L52" i="10" s="1"/>
  <c r="K50" i="10"/>
  <c r="J50" i="10"/>
  <c r="I50" i="10"/>
  <c r="I52" i="10" s="1"/>
  <c r="H50" i="10"/>
  <c r="G50" i="10"/>
  <c r="G52" i="10" s="1"/>
  <c r="F50" i="10"/>
  <c r="F52" i="10" s="1"/>
  <c r="E50" i="10"/>
  <c r="D50" i="10"/>
  <c r="D52" i="10" s="1"/>
  <c r="C50" i="10"/>
  <c r="L46" i="10"/>
  <c r="I46" i="10"/>
  <c r="C46" i="10"/>
  <c r="I45" i="10"/>
  <c r="L44" i="10"/>
  <c r="K44" i="10"/>
  <c r="I44" i="10"/>
  <c r="H44" i="10"/>
  <c r="G44" i="10"/>
  <c r="D44" i="10"/>
  <c r="C44" i="10"/>
  <c r="R34" i="10"/>
  <c r="R24" i="10"/>
  <c r="R23" i="10"/>
  <c r="P22" i="10"/>
  <c r="O22" i="10"/>
  <c r="N22" i="10"/>
  <c r="M22" i="10"/>
  <c r="L22" i="10"/>
  <c r="K22" i="10"/>
  <c r="J22" i="10"/>
  <c r="I22" i="10"/>
  <c r="H22" i="10"/>
  <c r="G22" i="10"/>
  <c r="R22" i="10" s="1"/>
  <c r="F22" i="10"/>
  <c r="E22" i="10"/>
  <c r="D22" i="10"/>
  <c r="C22" i="10"/>
  <c r="R21" i="10"/>
  <c r="N61" i="10" s="1"/>
  <c r="R20" i="10"/>
  <c r="I60" i="10" s="1"/>
  <c r="I62" i="10" s="1"/>
  <c r="P19" i="10"/>
  <c r="O19" i="10"/>
  <c r="N19" i="10"/>
  <c r="M19" i="10"/>
  <c r="L19" i="10"/>
  <c r="K19" i="10"/>
  <c r="J19" i="10"/>
  <c r="I19" i="10"/>
  <c r="H19" i="10"/>
  <c r="R19" i="10" s="1"/>
  <c r="G19" i="10"/>
  <c r="F19" i="10"/>
  <c r="E19" i="10"/>
  <c r="D19" i="10"/>
  <c r="C19" i="10"/>
  <c r="R18" i="10"/>
  <c r="R17" i="10"/>
  <c r="R16" i="10"/>
  <c r="D56" i="10" s="1"/>
  <c r="R15" i="10"/>
  <c r="R14" i="10"/>
  <c r="R13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R12" i="10" s="1"/>
  <c r="D12" i="10"/>
  <c r="C12" i="10"/>
  <c r="R11" i="10"/>
  <c r="R10" i="10"/>
  <c r="O9" i="10"/>
  <c r="O25" i="10" s="1"/>
  <c r="O27" i="10" s="1"/>
  <c r="N9" i="10"/>
  <c r="N25" i="10" s="1"/>
  <c r="N27" i="10" s="1"/>
  <c r="G9" i="10"/>
  <c r="G25" i="10" s="1"/>
  <c r="G27" i="10" s="1"/>
  <c r="F9" i="10"/>
  <c r="F25" i="10" s="1"/>
  <c r="F27" i="10" s="1"/>
  <c r="O8" i="10"/>
  <c r="N48" i="10" s="1"/>
  <c r="N8" i="10"/>
  <c r="M48" i="10" s="1"/>
  <c r="M8" i="10"/>
  <c r="L48" i="10" s="1"/>
  <c r="J8" i="10"/>
  <c r="J9" i="10" s="1"/>
  <c r="J25" i="10" s="1"/>
  <c r="J27" i="10" s="1"/>
  <c r="G8" i="10"/>
  <c r="F48" i="10" s="1"/>
  <c r="F8" i="10"/>
  <c r="E8" i="10"/>
  <c r="P7" i="10"/>
  <c r="P8" i="10" s="1"/>
  <c r="P9" i="10" s="1"/>
  <c r="P25" i="10" s="1"/>
  <c r="P27" i="10" s="1"/>
  <c r="O7" i="10"/>
  <c r="N7" i="10"/>
  <c r="M7" i="10"/>
  <c r="M9" i="10" s="1"/>
  <c r="M25" i="10" s="1"/>
  <c r="M27" i="10" s="1"/>
  <c r="L7" i="10"/>
  <c r="L8" i="10" s="1"/>
  <c r="K48" i="10" s="1"/>
  <c r="K7" i="10"/>
  <c r="K8" i="10" s="1"/>
  <c r="J7" i="10"/>
  <c r="I7" i="10"/>
  <c r="I8" i="10" s="1"/>
  <c r="H48" i="10" s="1"/>
  <c r="H7" i="10"/>
  <c r="H8" i="10" s="1"/>
  <c r="G7" i="10"/>
  <c r="F7" i="10"/>
  <c r="E7" i="10"/>
  <c r="R7" i="10" s="1"/>
  <c r="D7" i="10"/>
  <c r="D8" i="10" s="1"/>
  <c r="C48" i="10" s="1"/>
  <c r="C7" i="10"/>
  <c r="C8" i="10" s="1"/>
  <c r="C9" i="10" s="1"/>
  <c r="C25" i="10" s="1"/>
  <c r="C27" i="10" s="1"/>
  <c r="R6" i="10"/>
  <c r="J44" i="10" s="1"/>
  <c r="R5" i="10"/>
  <c r="E5" i="9"/>
  <c r="F5" i="9"/>
  <c r="G5" i="9"/>
  <c r="H5" i="9"/>
  <c r="I5" i="9"/>
  <c r="J5" i="9"/>
  <c r="K5" i="9"/>
  <c r="L5" i="9"/>
  <c r="M5" i="9"/>
  <c r="N5" i="9"/>
  <c r="O5" i="9"/>
  <c r="E6" i="9"/>
  <c r="F6" i="9"/>
  <c r="G6" i="9"/>
  <c r="H6" i="9"/>
  <c r="I6" i="9"/>
  <c r="J6" i="9"/>
  <c r="K6" i="9"/>
  <c r="L6" i="9"/>
  <c r="M6" i="9"/>
  <c r="N6" i="9"/>
  <c r="O6" i="9"/>
  <c r="E7" i="9"/>
  <c r="F7" i="9"/>
  <c r="G7" i="9"/>
  <c r="H7" i="9"/>
  <c r="I7" i="9"/>
  <c r="J7" i="9"/>
  <c r="K7" i="9"/>
  <c r="L7" i="9"/>
  <c r="M7" i="9"/>
  <c r="N7" i="9"/>
  <c r="O7" i="9"/>
  <c r="E8" i="9"/>
  <c r="F8" i="9"/>
  <c r="G8" i="9"/>
  <c r="H8" i="9"/>
  <c r="I8" i="9"/>
  <c r="J8" i="9"/>
  <c r="K8" i="9"/>
  <c r="L8" i="9"/>
  <c r="M8" i="9"/>
  <c r="N8" i="9"/>
  <c r="O8" i="9"/>
  <c r="E9" i="9"/>
  <c r="F9" i="9"/>
  <c r="G9" i="9"/>
  <c r="H9" i="9"/>
  <c r="I9" i="9"/>
  <c r="J9" i="9"/>
  <c r="K9" i="9"/>
  <c r="L9" i="9"/>
  <c r="M9" i="9"/>
  <c r="N9" i="9"/>
  <c r="O9" i="9"/>
  <c r="E10" i="9"/>
  <c r="F10" i="9"/>
  <c r="G10" i="9"/>
  <c r="H10" i="9"/>
  <c r="I10" i="9"/>
  <c r="J10" i="9"/>
  <c r="K10" i="9"/>
  <c r="L10" i="9"/>
  <c r="M10" i="9"/>
  <c r="N10" i="9"/>
  <c r="O10" i="9"/>
  <c r="E11" i="9"/>
  <c r="F11" i="9"/>
  <c r="G11" i="9"/>
  <c r="H11" i="9"/>
  <c r="I11" i="9"/>
  <c r="J11" i="9"/>
  <c r="K11" i="9"/>
  <c r="L11" i="9"/>
  <c r="M11" i="9"/>
  <c r="N11" i="9"/>
  <c r="O11" i="9"/>
  <c r="E12" i="9"/>
  <c r="F12" i="9"/>
  <c r="G12" i="9"/>
  <c r="H12" i="9"/>
  <c r="I12" i="9"/>
  <c r="J12" i="9"/>
  <c r="K12" i="9"/>
  <c r="L12" i="9"/>
  <c r="M12" i="9"/>
  <c r="N12" i="9"/>
  <c r="O12" i="9"/>
  <c r="E13" i="9"/>
  <c r="F13" i="9"/>
  <c r="G13" i="9"/>
  <c r="H13" i="9"/>
  <c r="I13" i="9"/>
  <c r="J13" i="9"/>
  <c r="K13" i="9"/>
  <c r="L13" i="9"/>
  <c r="M13" i="9"/>
  <c r="N13" i="9"/>
  <c r="O13" i="9"/>
  <c r="E14" i="9"/>
  <c r="F14" i="9"/>
  <c r="G14" i="9"/>
  <c r="H14" i="9"/>
  <c r="I14" i="9"/>
  <c r="J14" i="9"/>
  <c r="K14" i="9"/>
  <c r="L14" i="9"/>
  <c r="M14" i="9"/>
  <c r="N14" i="9"/>
  <c r="O14" i="9"/>
  <c r="E15" i="9"/>
  <c r="F15" i="9"/>
  <c r="G15" i="9"/>
  <c r="H15" i="9"/>
  <c r="I15" i="9"/>
  <c r="J15" i="9"/>
  <c r="K15" i="9"/>
  <c r="L15" i="9"/>
  <c r="M15" i="9"/>
  <c r="N15" i="9"/>
  <c r="O15" i="9"/>
  <c r="D6" i="9"/>
  <c r="D7" i="9"/>
  <c r="D8" i="9"/>
  <c r="D9" i="9"/>
  <c r="D10" i="9"/>
  <c r="D11" i="9"/>
  <c r="D12" i="9"/>
  <c r="D13" i="9"/>
  <c r="D14" i="9"/>
  <c r="D15" i="9"/>
  <c r="D5" i="9"/>
  <c r="E33" i="9"/>
  <c r="F33" i="9"/>
  <c r="H33" i="9"/>
  <c r="I33" i="9"/>
  <c r="K33" i="9"/>
  <c r="L33" i="9"/>
  <c r="N33" i="9"/>
  <c r="D33" i="9"/>
  <c r="F29" i="9"/>
  <c r="G29" i="9"/>
  <c r="H29" i="9"/>
  <c r="I29" i="9"/>
  <c r="J29" i="9"/>
  <c r="K29" i="9"/>
  <c r="L29" i="9"/>
  <c r="M29" i="9"/>
  <c r="N29" i="9"/>
  <c r="O29" i="9"/>
  <c r="D29" i="9"/>
  <c r="E18" i="9"/>
  <c r="F18" i="9"/>
  <c r="G18" i="9"/>
  <c r="H18" i="9"/>
  <c r="I18" i="9"/>
  <c r="K18" i="9"/>
  <c r="L18" i="9"/>
  <c r="M18" i="9"/>
  <c r="N18" i="9"/>
  <c r="E19" i="9"/>
  <c r="F19" i="9"/>
  <c r="H19" i="9"/>
  <c r="I19" i="9"/>
  <c r="K19" i="9"/>
  <c r="L19" i="9"/>
  <c r="N19" i="9"/>
  <c r="O19" i="9"/>
  <c r="D18" i="9"/>
  <c r="O45" i="9"/>
  <c r="N45" i="9"/>
  <c r="M45" i="9"/>
  <c r="L45" i="9"/>
  <c r="K45" i="9"/>
  <c r="J45" i="9"/>
  <c r="I45" i="9"/>
  <c r="H45" i="9"/>
  <c r="G45" i="9"/>
  <c r="F45" i="9"/>
  <c r="E45" i="9"/>
  <c r="D45" i="9"/>
  <c r="Q44" i="9"/>
  <c r="Q43" i="9"/>
  <c r="Q41" i="9"/>
  <c r="Q4" i="9"/>
  <c r="P31" i="8"/>
  <c r="O31" i="8"/>
  <c r="N31" i="8"/>
  <c r="M31" i="8"/>
  <c r="L31" i="8"/>
  <c r="K31" i="8"/>
  <c r="J31" i="8"/>
  <c r="I31" i="8"/>
  <c r="H31" i="8"/>
  <c r="G31" i="8"/>
  <c r="R31" i="8" s="1"/>
  <c r="F31" i="8"/>
  <c r="E31" i="8"/>
  <c r="P30" i="8"/>
  <c r="O30" i="8"/>
  <c r="N30" i="8"/>
  <c r="M30" i="8"/>
  <c r="L30" i="8"/>
  <c r="K30" i="8"/>
  <c r="J30" i="8"/>
  <c r="I30" i="8"/>
  <c r="H30" i="8"/>
  <c r="G30" i="8"/>
  <c r="F30" i="8"/>
  <c r="E30" i="8"/>
  <c r="R30" i="8" s="1"/>
  <c r="P29" i="8"/>
  <c r="O29" i="8"/>
  <c r="N29" i="8"/>
  <c r="M29" i="8"/>
  <c r="L29" i="8"/>
  <c r="K29" i="8"/>
  <c r="J29" i="8"/>
  <c r="I29" i="8"/>
  <c r="R29" i="8" s="1"/>
  <c r="H29" i="8"/>
  <c r="G29" i="8"/>
  <c r="F29" i="8"/>
  <c r="E29" i="8"/>
  <c r="P28" i="8"/>
  <c r="O28" i="8"/>
  <c r="N28" i="8"/>
  <c r="M28" i="8"/>
  <c r="L28" i="8"/>
  <c r="K28" i="8"/>
  <c r="J28" i="8"/>
  <c r="I28" i="8"/>
  <c r="H28" i="8"/>
  <c r="G28" i="8"/>
  <c r="F28" i="8"/>
  <c r="E28" i="8"/>
  <c r="R28" i="8" s="1"/>
  <c r="P27" i="8"/>
  <c r="O27" i="8"/>
  <c r="N27" i="8"/>
  <c r="M27" i="8"/>
  <c r="L27" i="8"/>
  <c r="K27" i="8"/>
  <c r="J27" i="8"/>
  <c r="I27" i="8"/>
  <c r="R27" i="8" s="1"/>
  <c r="H27" i="8"/>
  <c r="G27" i="8"/>
  <c r="F27" i="8"/>
  <c r="E27" i="8"/>
  <c r="P26" i="8"/>
  <c r="O26" i="8"/>
  <c r="N26" i="8"/>
  <c r="M26" i="8"/>
  <c r="L26" i="8"/>
  <c r="K26" i="8"/>
  <c r="J26" i="8"/>
  <c r="I26" i="8"/>
  <c r="H26" i="8"/>
  <c r="G26" i="8"/>
  <c r="F26" i="8"/>
  <c r="R26" i="8" s="1"/>
  <c r="E26" i="8"/>
  <c r="P25" i="8"/>
  <c r="O25" i="8"/>
  <c r="N25" i="8"/>
  <c r="M25" i="8"/>
  <c r="L25" i="8"/>
  <c r="K25" i="8"/>
  <c r="J25" i="8"/>
  <c r="I25" i="8"/>
  <c r="H25" i="8"/>
  <c r="G25" i="8"/>
  <c r="F25" i="8"/>
  <c r="E25" i="8"/>
  <c r="R25" i="8" s="1"/>
  <c r="P24" i="8"/>
  <c r="O24" i="8"/>
  <c r="N24" i="8"/>
  <c r="M24" i="8"/>
  <c r="L24" i="8"/>
  <c r="K24" i="8"/>
  <c r="J24" i="8"/>
  <c r="I24" i="8"/>
  <c r="H24" i="8"/>
  <c r="R24" i="8" s="1"/>
  <c r="G24" i="8"/>
  <c r="F24" i="8"/>
  <c r="E24" i="8"/>
  <c r="P23" i="8"/>
  <c r="O23" i="8"/>
  <c r="N23" i="8"/>
  <c r="M23" i="8"/>
  <c r="L23" i="8"/>
  <c r="K23" i="8"/>
  <c r="J23" i="8"/>
  <c r="I23" i="8"/>
  <c r="H23" i="8"/>
  <c r="G23" i="8"/>
  <c r="F23" i="8"/>
  <c r="E23" i="8"/>
  <c r="R23" i="8" s="1"/>
  <c r="P22" i="8"/>
  <c r="O22" i="8"/>
  <c r="N22" i="8"/>
  <c r="M22" i="8"/>
  <c r="M32" i="8" s="1"/>
  <c r="L22" i="8"/>
  <c r="K22" i="8"/>
  <c r="K32" i="8" s="1"/>
  <c r="J22" i="8"/>
  <c r="J32" i="8" s="1"/>
  <c r="I22" i="8"/>
  <c r="H22" i="8"/>
  <c r="G22" i="8"/>
  <c r="F22" i="8"/>
  <c r="E22" i="8"/>
  <c r="R22" i="8" s="1"/>
  <c r="R21" i="8"/>
  <c r="P21" i="8"/>
  <c r="P32" i="8" s="1"/>
  <c r="O21" i="8"/>
  <c r="O32" i="8" s="1"/>
  <c r="N21" i="8"/>
  <c r="N32" i="8" s="1"/>
  <c r="M21" i="8"/>
  <c r="L21" i="8"/>
  <c r="L32" i="8" s="1"/>
  <c r="K21" i="8"/>
  <c r="J21" i="8"/>
  <c r="I21" i="8"/>
  <c r="I32" i="8" s="1"/>
  <c r="H21" i="8"/>
  <c r="H32" i="8" s="1"/>
  <c r="G21" i="8"/>
  <c r="G32" i="8" s="1"/>
  <c r="F21" i="8"/>
  <c r="F32" i="8" s="1"/>
  <c r="E21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R15" i="8"/>
  <c r="R14" i="8"/>
  <c r="R13" i="8"/>
  <c r="R12" i="8"/>
  <c r="R11" i="8"/>
  <c r="R10" i="8"/>
  <c r="R9" i="8"/>
  <c r="R8" i="8"/>
  <c r="R7" i="8"/>
  <c r="R6" i="8"/>
  <c r="R5" i="8"/>
  <c r="R16" i="8" s="1"/>
  <c r="O22" i="11" l="1"/>
  <c r="J22" i="11"/>
  <c r="K22" i="11"/>
  <c r="D22" i="11"/>
  <c r="L22" i="11"/>
  <c r="L38" i="11" s="1"/>
  <c r="L39" i="11" s="1"/>
  <c r="O16" i="11"/>
  <c r="Q6" i="11"/>
  <c r="Q8" i="11"/>
  <c r="L16" i="11"/>
  <c r="Q30" i="11"/>
  <c r="J38" i="11"/>
  <c r="Q23" i="11"/>
  <c r="Q25" i="11" s="1"/>
  <c r="I16" i="11"/>
  <c r="Q14" i="11"/>
  <c r="Q20" i="11"/>
  <c r="F16" i="11"/>
  <c r="J16" i="11"/>
  <c r="J39" i="11" s="1"/>
  <c r="E22" i="11"/>
  <c r="E38" i="11" s="1"/>
  <c r="E39" i="11" s="1"/>
  <c r="F35" i="11"/>
  <c r="N35" i="11"/>
  <c r="K16" i="11"/>
  <c r="H25" i="11"/>
  <c r="H38" i="11" s="1"/>
  <c r="H39" i="11" s="1"/>
  <c r="Q24" i="11"/>
  <c r="Q27" i="11"/>
  <c r="G35" i="11"/>
  <c r="O35" i="11"/>
  <c r="O38" i="11" s="1"/>
  <c r="O39" i="11" s="1"/>
  <c r="Q5" i="11"/>
  <c r="Q16" i="11" s="1"/>
  <c r="Q7" i="11"/>
  <c r="Q9" i="11"/>
  <c r="Q10" i="11"/>
  <c r="Q11" i="11"/>
  <c r="Q29" i="11"/>
  <c r="Q31" i="11"/>
  <c r="Q34" i="11"/>
  <c r="M22" i="11"/>
  <c r="M38" i="11" s="1"/>
  <c r="D32" i="11"/>
  <c r="E16" i="11"/>
  <c r="M16" i="11"/>
  <c r="Q13" i="11"/>
  <c r="Q15" i="11"/>
  <c r="Q18" i="11"/>
  <c r="Q15" i="9"/>
  <c r="L16" i="9"/>
  <c r="Q40" i="9"/>
  <c r="Q42" i="9" s="1"/>
  <c r="D16" i="9"/>
  <c r="Q14" i="9"/>
  <c r="Q10" i="9"/>
  <c r="K16" i="9"/>
  <c r="N16" i="9"/>
  <c r="F16" i="9"/>
  <c r="I16" i="9"/>
  <c r="Q11" i="9"/>
  <c r="G16" i="9"/>
  <c r="Q8" i="9"/>
  <c r="M16" i="9"/>
  <c r="E16" i="9"/>
  <c r="Q6" i="9"/>
  <c r="Q40" i="11"/>
  <c r="Q42" i="11" s="1"/>
  <c r="N59" i="10"/>
  <c r="H52" i="10"/>
  <c r="J52" i="10"/>
  <c r="M59" i="10"/>
  <c r="C52" i="10"/>
  <c r="K52" i="10"/>
  <c r="E59" i="10"/>
  <c r="K49" i="10"/>
  <c r="E52" i="10"/>
  <c r="M52" i="10"/>
  <c r="I59" i="10"/>
  <c r="O26" i="9"/>
  <c r="I26" i="9"/>
  <c r="L59" i="10"/>
  <c r="Q26" i="11"/>
  <c r="I38" i="11"/>
  <c r="N38" i="11"/>
  <c r="N39" i="11" s="1"/>
  <c r="K38" i="11"/>
  <c r="K39" i="11" s="1"/>
  <c r="D16" i="11"/>
  <c r="Q17" i="11"/>
  <c r="Q33" i="11"/>
  <c r="Q35" i="11" s="1"/>
  <c r="D25" i="11"/>
  <c r="D38" i="11" s="1"/>
  <c r="D59" i="10"/>
  <c r="R8" i="10"/>
  <c r="K9" i="10"/>
  <c r="K25" i="10" s="1"/>
  <c r="K27" i="10" s="1"/>
  <c r="J48" i="10"/>
  <c r="J49" i="10" s="1"/>
  <c r="J65" i="10" s="1"/>
  <c r="C49" i="10"/>
  <c r="G48" i="10"/>
  <c r="G49" i="10" s="1"/>
  <c r="G65" i="10" s="1"/>
  <c r="H9" i="10"/>
  <c r="H25" i="10" s="1"/>
  <c r="H27" i="10" s="1"/>
  <c r="N62" i="10"/>
  <c r="L49" i="10"/>
  <c r="H49" i="10"/>
  <c r="H65" i="10" s="1"/>
  <c r="D9" i="10"/>
  <c r="D25" i="10" s="1"/>
  <c r="D27" i="10" s="1"/>
  <c r="L9" i="10"/>
  <c r="L25" i="10" s="1"/>
  <c r="L27" i="10" s="1"/>
  <c r="E44" i="10"/>
  <c r="M44" i="10"/>
  <c r="M49" i="10" s="1"/>
  <c r="M65" i="10" s="1"/>
  <c r="G61" i="10"/>
  <c r="G62" i="10" s="1"/>
  <c r="E9" i="10"/>
  <c r="F44" i="10"/>
  <c r="N44" i="10"/>
  <c r="I48" i="10"/>
  <c r="I49" i="10" s="1"/>
  <c r="I65" i="10" s="1"/>
  <c r="H61" i="10"/>
  <c r="H62" i="10" s="1"/>
  <c r="J61" i="10"/>
  <c r="J62" i="10" s="1"/>
  <c r="D48" i="10"/>
  <c r="D49" i="10" s="1"/>
  <c r="C61" i="10"/>
  <c r="C62" i="10" s="1"/>
  <c r="K61" i="10"/>
  <c r="K62" i="10" s="1"/>
  <c r="I9" i="10"/>
  <c r="I25" i="10" s="1"/>
  <c r="I27" i="10" s="1"/>
  <c r="D61" i="10"/>
  <c r="D62" i="10" s="1"/>
  <c r="L61" i="10"/>
  <c r="L62" i="10" s="1"/>
  <c r="E61" i="10"/>
  <c r="E62" i="10" s="1"/>
  <c r="M61" i="10"/>
  <c r="M62" i="10" s="1"/>
  <c r="F61" i="10"/>
  <c r="F62" i="10" s="1"/>
  <c r="J16" i="9"/>
  <c r="H16" i="9"/>
  <c r="Q9" i="9"/>
  <c r="Q5" i="9"/>
  <c r="Q7" i="9"/>
  <c r="Q13" i="9"/>
  <c r="Q12" i="9"/>
  <c r="Q45" i="9"/>
  <c r="Q46" i="9" s="1"/>
  <c r="O16" i="9"/>
  <c r="R32" i="8"/>
  <c r="E32" i="8"/>
  <c r="N64" i="7"/>
  <c r="O37" i="9" s="1"/>
  <c r="M64" i="7"/>
  <c r="N37" i="9" s="1"/>
  <c r="L64" i="7"/>
  <c r="M37" i="9" s="1"/>
  <c r="K64" i="7"/>
  <c r="L37" i="9" s="1"/>
  <c r="J64" i="7"/>
  <c r="K37" i="9" s="1"/>
  <c r="I64" i="7"/>
  <c r="J37" i="9" s="1"/>
  <c r="H64" i="7"/>
  <c r="I37" i="9" s="1"/>
  <c r="G64" i="7"/>
  <c r="H37" i="9" s="1"/>
  <c r="F64" i="7"/>
  <c r="G37" i="9" s="1"/>
  <c r="E64" i="7"/>
  <c r="F37" i="9" s="1"/>
  <c r="D64" i="7"/>
  <c r="E37" i="9" s="1"/>
  <c r="C64" i="7"/>
  <c r="D37" i="9" s="1"/>
  <c r="N63" i="7"/>
  <c r="O36" i="9" s="1"/>
  <c r="M63" i="7"/>
  <c r="N36" i="9" s="1"/>
  <c r="L63" i="7"/>
  <c r="M36" i="9" s="1"/>
  <c r="K63" i="7"/>
  <c r="L36" i="9" s="1"/>
  <c r="J63" i="7"/>
  <c r="K36" i="9" s="1"/>
  <c r="I63" i="7"/>
  <c r="J36" i="9" s="1"/>
  <c r="H63" i="7"/>
  <c r="I36" i="9" s="1"/>
  <c r="G63" i="7"/>
  <c r="H36" i="9" s="1"/>
  <c r="F63" i="7"/>
  <c r="G36" i="9" s="1"/>
  <c r="E63" i="7"/>
  <c r="F36" i="9" s="1"/>
  <c r="D63" i="7"/>
  <c r="E36" i="9" s="1"/>
  <c r="C63" i="7"/>
  <c r="D36" i="9" s="1"/>
  <c r="N60" i="7"/>
  <c r="L60" i="7"/>
  <c r="M33" i="9" s="1"/>
  <c r="F60" i="7"/>
  <c r="G33" i="9" s="1"/>
  <c r="N58" i="7"/>
  <c r="O31" i="9" s="1"/>
  <c r="M58" i="7"/>
  <c r="N31" i="9" s="1"/>
  <c r="L58" i="7"/>
  <c r="M31" i="9" s="1"/>
  <c r="K58" i="7"/>
  <c r="L31" i="9" s="1"/>
  <c r="J58" i="7"/>
  <c r="K31" i="9" s="1"/>
  <c r="I58" i="7"/>
  <c r="J31" i="9" s="1"/>
  <c r="H58" i="7"/>
  <c r="I31" i="9" s="1"/>
  <c r="G58" i="7"/>
  <c r="H31" i="9" s="1"/>
  <c r="F58" i="7"/>
  <c r="G31" i="9" s="1"/>
  <c r="E58" i="7"/>
  <c r="F31" i="9" s="1"/>
  <c r="D58" i="7"/>
  <c r="E31" i="9" s="1"/>
  <c r="C58" i="7"/>
  <c r="D31" i="9" s="1"/>
  <c r="N57" i="7"/>
  <c r="O30" i="9" s="1"/>
  <c r="M57" i="7"/>
  <c r="N30" i="9" s="1"/>
  <c r="L57" i="7"/>
  <c r="M30" i="9" s="1"/>
  <c r="K57" i="7"/>
  <c r="L30" i="9" s="1"/>
  <c r="J57" i="7"/>
  <c r="K30" i="9" s="1"/>
  <c r="I57" i="7"/>
  <c r="J30" i="9" s="1"/>
  <c r="H57" i="7"/>
  <c r="I30" i="9" s="1"/>
  <c r="G57" i="7"/>
  <c r="F57" i="7"/>
  <c r="G30" i="9" s="1"/>
  <c r="E57" i="7"/>
  <c r="F30" i="9" s="1"/>
  <c r="D57" i="7"/>
  <c r="E30" i="9" s="1"/>
  <c r="C57" i="7"/>
  <c r="D30" i="9" s="1"/>
  <c r="N55" i="7"/>
  <c r="O28" i="9" s="1"/>
  <c r="M55" i="7"/>
  <c r="N28" i="9" s="1"/>
  <c r="L55" i="7"/>
  <c r="M28" i="9" s="1"/>
  <c r="K55" i="7"/>
  <c r="L28" i="9" s="1"/>
  <c r="J55" i="7"/>
  <c r="K28" i="9" s="1"/>
  <c r="I55" i="7"/>
  <c r="J28" i="9" s="1"/>
  <c r="H55" i="7"/>
  <c r="I28" i="9" s="1"/>
  <c r="G55" i="7"/>
  <c r="H28" i="9" s="1"/>
  <c r="F55" i="7"/>
  <c r="G28" i="9" s="1"/>
  <c r="E55" i="7"/>
  <c r="F28" i="9" s="1"/>
  <c r="D55" i="7"/>
  <c r="E28" i="9" s="1"/>
  <c r="C55" i="7"/>
  <c r="D28" i="9" s="1"/>
  <c r="N54" i="7"/>
  <c r="O27" i="9" s="1"/>
  <c r="M54" i="7"/>
  <c r="N27" i="9" s="1"/>
  <c r="L54" i="7"/>
  <c r="M27" i="9" s="1"/>
  <c r="K54" i="7"/>
  <c r="L27" i="9" s="1"/>
  <c r="J54" i="7"/>
  <c r="K27" i="9" s="1"/>
  <c r="I54" i="7"/>
  <c r="J27" i="9" s="1"/>
  <c r="H54" i="7"/>
  <c r="G54" i="7"/>
  <c r="H27" i="9" s="1"/>
  <c r="F54" i="7"/>
  <c r="G27" i="9" s="1"/>
  <c r="E54" i="7"/>
  <c r="F27" i="9" s="1"/>
  <c r="D54" i="7"/>
  <c r="E27" i="9" s="1"/>
  <c r="C54" i="7"/>
  <c r="D27" i="9" s="1"/>
  <c r="N53" i="7"/>
  <c r="M53" i="7"/>
  <c r="L53" i="7"/>
  <c r="K53" i="7"/>
  <c r="J53" i="7"/>
  <c r="I53" i="7"/>
  <c r="H53" i="7"/>
  <c r="G53" i="7"/>
  <c r="F53" i="7"/>
  <c r="E53" i="7"/>
  <c r="D53" i="7"/>
  <c r="C53" i="7"/>
  <c r="N51" i="7"/>
  <c r="O24" i="9" s="1"/>
  <c r="M51" i="7"/>
  <c r="N24" i="9" s="1"/>
  <c r="L51" i="7"/>
  <c r="M24" i="9" s="1"/>
  <c r="K51" i="7"/>
  <c r="L24" i="9" s="1"/>
  <c r="J51" i="7"/>
  <c r="K24" i="9" s="1"/>
  <c r="I51" i="7"/>
  <c r="J24" i="9" s="1"/>
  <c r="H51" i="7"/>
  <c r="I24" i="9" s="1"/>
  <c r="G51" i="7"/>
  <c r="H24" i="9" s="1"/>
  <c r="F51" i="7"/>
  <c r="G24" i="9" s="1"/>
  <c r="E51" i="7"/>
  <c r="F24" i="9" s="1"/>
  <c r="D51" i="7"/>
  <c r="E24" i="9" s="1"/>
  <c r="C51" i="7"/>
  <c r="D24" i="9" s="1"/>
  <c r="N50" i="7"/>
  <c r="M50" i="7"/>
  <c r="L50" i="7"/>
  <c r="K50" i="7"/>
  <c r="J50" i="7"/>
  <c r="I50" i="7"/>
  <c r="H50" i="7"/>
  <c r="G50" i="7"/>
  <c r="F50" i="7"/>
  <c r="E50" i="7"/>
  <c r="D50" i="7"/>
  <c r="C50" i="7"/>
  <c r="L46" i="7"/>
  <c r="M19" i="9" s="1"/>
  <c r="I46" i="7"/>
  <c r="J19" i="9" s="1"/>
  <c r="C46" i="7"/>
  <c r="D19" i="9" s="1"/>
  <c r="K44" i="7"/>
  <c r="D44" i="7"/>
  <c r="E17" i="9" s="1"/>
  <c r="C44" i="7"/>
  <c r="D17" i="9" s="1"/>
  <c r="R34" i="7"/>
  <c r="R24" i="7"/>
  <c r="R23" i="7"/>
  <c r="P22" i="7"/>
  <c r="O22" i="7"/>
  <c r="N22" i="7"/>
  <c r="M22" i="7"/>
  <c r="L22" i="7"/>
  <c r="K22" i="7"/>
  <c r="J22" i="7"/>
  <c r="I22" i="7"/>
  <c r="H22" i="7"/>
  <c r="G22" i="7"/>
  <c r="F22" i="7"/>
  <c r="E22" i="7"/>
  <c r="D22" i="7"/>
  <c r="C22" i="7"/>
  <c r="R21" i="7"/>
  <c r="N61" i="7" s="1"/>
  <c r="O34" i="9" s="1"/>
  <c r="R20" i="7"/>
  <c r="P19" i="7"/>
  <c r="O19" i="7"/>
  <c r="N19" i="7"/>
  <c r="M19" i="7"/>
  <c r="L19" i="7"/>
  <c r="K19" i="7"/>
  <c r="J19" i="7"/>
  <c r="I19" i="7"/>
  <c r="H19" i="7"/>
  <c r="G19" i="7"/>
  <c r="F19" i="7"/>
  <c r="E19" i="7"/>
  <c r="R19" i="7" s="1"/>
  <c r="D19" i="7"/>
  <c r="C19" i="7"/>
  <c r="R18" i="7"/>
  <c r="R17" i="7"/>
  <c r="R16" i="7"/>
  <c r="D56" i="7" s="1"/>
  <c r="E29" i="9" s="1"/>
  <c r="Q29" i="9" s="1"/>
  <c r="R15" i="7"/>
  <c r="R14" i="7"/>
  <c r="R13" i="7"/>
  <c r="P12" i="7"/>
  <c r="O12" i="7"/>
  <c r="N12" i="7"/>
  <c r="M12" i="7"/>
  <c r="L12" i="7"/>
  <c r="K12" i="7"/>
  <c r="J12" i="7"/>
  <c r="I12" i="7"/>
  <c r="R12" i="7" s="1"/>
  <c r="H12" i="7"/>
  <c r="G12" i="7"/>
  <c r="F12" i="7"/>
  <c r="E12" i="7"/>
  <c r="D12" i="7"/>
  <c r="C12" i="7"/>
  <c r="R11" i="7"/>
  <c r="R10" i="7"/>
  <c r="P7" i="7"/>
  <c r="P8" i="7" s="1"/>
  <c r="O7" i="7"/>
  <c r="O8" i="7" s="1"/>
  <c r="N48" i="7" s="1"/>
  <c r="O21" i="9" s="1"/>
  <c r="N7" i="7"/>
  <c r="N8" i="7" s="1"/>
  <c r="M7" i="7"/>
  <c r="L7" i="7"/>
  <c r="L8" i="7" s="1"/>
  <c r="K48" i="7" s="1"/>
  <c r="L21" i="9" s="1"/>
  <c r="K7" i="7"/>
  <c r="K8" i="7" s="1"/>
  <c r="J7" i="7"/>
  <c r="J8" i="7" s="1"/>
  <c r="I7" i="7"/>
  <c r="H7" i="7"/>
  <c r="H8" i="7" s="1"/>
  <c r="G48" i="7" s="1"/>
  <c r="H21" i="9" s="1"/>
  <c r="G7" i="7"/>
  <c r="G8" i="7" s="1"/>
  <c r="F48" i="7" s="1"/>
  <c r="G21" i="9" s="1"/>
  <c r="F7" i="7"/>
  <c r="F8" i="7" s="1"/>
  <c r="E7" i="7"/>
  <c r="D7" i="7"/>
  <c r="D8" i="7" s="1"/>
  <c r="C48" i="7" s="1"/>
  <c r="D21" i="9" s="1"/>
  <c r="C7" i="7"/>
  <c r="C8" i="7" s="1"/>
  <c r="C9" i="7" s="1"/>
  <c r="C25" i="7" s="1"/>
  <c r="C27" i="7" s="1"/>
  <c r="R6" i="7"/>
  <c r="J44" i="7" s="1"/>
  <c r="K17" i="9" s="1"/>
  <c r="R5" i="7"/>
  <c r="M39" i="11" l="1"/>
  <c r="I39" i="11"/>
  <c r="Q32" i="11"/>
  <c r="Q37" i="9"/>
  <c r="Q28" i="9"/>
  <c r="Q31" i="9"/>
  <c r="Q36" i="9"/>
  <c r="D22" i="9"/>
  <c r="Q24" i="9"/>
  <c r="K65" i="10"/>
  <c r="D65" i="10"/>
  <c r="D39" i="11"/>
  <c r="D47" i="11" s="1"/>
  <c r="E4" i="11" s="1"/>
  <c r="E47" i="11" s="1"/>
  <c r="F4" i="11" s="1"/>
  <c r="L65" i="10"/>
  <c r="N45" i="10"/>
  <c r="N49" i="10" s="1"/>
  <c r="N65" i="10" s="1"/>
  <c r="E48" i="10"/>
  <c r="E49" i="10" s="1"/>
  <c r="E65" i="10" s="1"/>
  <c r="F46" i="10"/>
  <c r="F49" i="10" s="1"/>
  <c r="F65" i="10" s="1"/>
  <c r="C65" i="10"/>
  <c r="R9" i="10"/>
  <c r="E25" i="10"/>
  <c r="I48" i="7"/>
  <c r="J21" i="9" s="1"/>
  <c r="J9" i="7"/>
  <c r="J25" i="7" s="1"/>
  <c r="J27" i="7" s="1"/>
  <c r="E9" i="7"/>
  <c r="D52" i="7"/>
  <c r="E23" i="9"/>
  <c r="E25" i="9" s="1"/>
  <c r="L52" i="7"/>
  <c r="M23" i="9"/>
  <c r="M25" i="9" s="1"/>
  <c r="D59" i="7"/>
  <c r="E32" i="9"/>
  <c r="L59" i="7"/>
  <c r="M32" i="9"/>
  <c r="H59" i="7"/>
  <c r="I27" i="9"/>
  <c r="I32" i="9" s="1"/>
  <c r="E59" i="7"/>
  <c r="L17" i="9"/>
  <c r="L44" i="7"/>
  <c r="M17" i="9" s="1"/>
  <c r="G52" i="7"/>
  <c r="H23" i="9"/>
  <c r="H25" i="9" s="1"/>
  <c r="F59" i="7"/>
  <c r="G32" i="9"/>
  <c r="I9" i="7"/>
  <c r="I25" i="7" s="1"/>
  <c r="I27" i="7" s="1"/>
  <c r="E8" i="7"/>
  <c r="D48" i="7" s="1"/>
  <c r="E21" i="9" s="1"/>
  <c r="H52" i="7"/>
  <c r="I23" i="9"/>
  <c r="I25" i="9" s="1"/>
  <c r="R22" i="7"/>
  <c r="F52" i="7"/>
  <c r="G23" i="9"/>
  <c r="G25" i="9" s="1"/>
  <c r="N59" i="7"/>
  <c r="O32" i="9"/>
  <c r="I8" i="7"/>
  <c r="H48" i="7" s="1"/>
  <c r="I21" i="9" s="1"/>
  <c r="I52" i="7"/>
  <c r="J23" i="9"/>
  <c r="J25" i="9" s="1"/>
  <c r="I59" i="7"/>
  <c r="J32" i="9"/>
  <c r="N62" i="7"/>
  <c r="O33" i="9"/>
  <c r="O35" i="9" s="1"/>
  <c r="M52" i="7"/>
  <c r="N23" i="9"/>
  <c r="N25" i="9" s="1"/>
  <c r="N52" i="7"/>
  <c r="O23" i="9"/>
  <c r="O25" i="9" s="1"/>
  <c r="J52" i="7"/>
  <c r="K23" i="9"/>
  <c r="K25" i="9" s="1"/>
  <c r="J59" i="7"/>
  <c r="K32" i="9"/>
  <c r="G61" i="7"/>
  <c r="E52" i="7"/>
  <c r="F23" i="9"/>
  <c r="F25" i="9" s="1"/>
  <c r="M59" i="7"/>
  <c r="N32" i="9"/>
  <c r="M8" i="7"/>
  <c r="L48" i="7" s="1"/>
  <c r="C52" i="7"/>
  <c r="D23" i="9"/>
  <c r="K52" i="7"/>
  <c r="L23" i="9"/>
  <c r="L25" i="9" s="1"/>
  <c r="C59" i="7"/>
  <c r="K59" i="7"/>
  <c r="L32" i="9"/>
  <c r="G59" i="7"/>
  <c r="H30" i="9"/>
  <c r="H32" i="9" s="1"/>
  <c r="H61" i="7"/>
  <c r="Q16" i="9"/>
  <c r="F9" i="7"/>
  <c r="F25" i="7" s="1"/>
  <c r="F27" i="7" s="1"/>
  <c r="E25" i="7"/>
  <c r="C49" i="7"/>
  <c r="F62" i="7"/>
  <c r="J49" i="7"/>
  <c r="M48" i="7"/>
  <c r="N21" i="9" s="1"/>
  <c r="N9" i="7"/>
  <c r="N25" i="7" s="1"/>
  <c r="N27" i="7" s="1"/>
  <c r="K9" i="7"/>
  <c r="K25" i="7" s="1"/>
  <c r="K27" i="7" s="1"/>
  <c r="J48" i="7"/>
  <c r="K21" i="9" s="1"/>
  <c r="K22" i="9" s="1"/>
  <c r="I60" i="7"/>
  <c r="D9" i="7"/>
  <c r="D25" i="7" s="1"/>
  <c r="D27" i="7" s="1"/>
  <c r="L9" i="7"/>
  <c r="L25" i="7" s="1"/>
  <c r="L27" i="7" s="1"/>
  <c r="E44" i="7"/>
  <c r="F17" i="9" s="1"/>
  <c r="M44" i="7"/>
  <c r="I61" i="7"/>
  <c r="J34" i="9" s="1"/>
  <c r="F44" i="7"/>
  <c r="G17" i="9" s="1"/>
  <c r="N44" i="7"/>
  <c r="O17" i="9" s="1"/>
  <c r="J61" i="7"/>
  <c r="G44" i="7"/>
  <c r="C61" i="7"/>
  <c r="K61" i="7"/>
  <c r="G9" i="7"/>
  <c r="G25" i="7" s="1"/>
  <c r="G27" i="7" s="1"/>
  <c r="O9" i="7"/>
  <c r="O25" i="7" s="1"/>
  <c r="O27" i="7" s="1"/>
  <c r="H44" i="7"/>
  <c r="D61" i="7"/>
  <c r="L61" i="7"/>
  <c r="R7" i="7"/>
  <c r="H9" i="7"/>
  <c r="H25" i="7" s="1"/>
  <c r="H27" i="7" s="1"/>
  <c r="P9" i="7"/>
  <c r="P25" i="7" s="1"/>
  <c r="P27" i="7" s="1"/>
  <c r="I44" i="7"/>
  <c r="J17" i="9" s="1"/>
  <c r="E61" i="7"/>
  <c r="M61" i="7"/>
  <c r="F61" i="7"/>
  <c r="G34" i="9" s="1"/>
  <c r="G35" i="9" s="1"/>
  <c r="Q27" i="9" l="1"/>
  <c r="R25" i="10"/>
  <c r="E27" i="10"/>
  <c r="R27" i="10" s="1"/>
  <c r="G49" i="7"/>
  <c r="H17" i="9"/>
  <c r="H22" i="9" s="1"/>
  <c r="L49" i="7"/>
  <c r="M21" i="9"/>
  <c r="C62" i="7"/>
  <c r="C65" i="7" s="1"/>
  <c r="D34" i="9"/>
  <c r="L62" i="7"/>
  <c r="M34" i="9"/>
  <c r="M35" i="9" s="1"/>
  <c r="J62" i="7"/>
  <c r="J65" i="7" s="1"/>
  <c r="K34" i="9"/>
  <c r="K35" i="9" s="1"/>
  <c r="K38" i="9" s="1"/>
  <c r="K39" i="9" s="1"/>
  <c r="I62" i="7"/>
  <c r="J33" i="9"/>
  <c r="Q23" i="9"/>
  <c r="Q25" i="9" s="1"/>
  <c r="D25" i="9"/>
  <c r="D62" i="7"/>
  <c r="E34" i="9"/>
  <c r="E35" i="9" s="1"/>
  <c r="D32" i="9"/>
  <c r="K62" i="7"/>
  <c r="L34" i="9"/>
  <c r="L35" i="9" s="1"/>
  <c r="M62" i="7"/>
  <c r="N34" i="9"/>
  <c r="N35" i="9" s="1"/>
  <c r="H49" i="7"/>
  <c r="I17" i="9"/>
  <c r="I22" i="9" s="1"/>
  <c r="M9" i="7"/>
  <c r="M25" i="7" s="1"/>
  <c r="M27" i="7" s="1"/>
  <c r="E62" i="7"/>
  <c r="F34" i="9"/>
  <c r="F35" i="9" s="1"/>
  <c r="R8" i="7"/>
  <c r="M22" i="9"/>
  <c r="M38" i="9" s="1"/>
  <c r="M39" i="9" s="1"/>
  <c r="M49" i="7"/>
  <c r="M65" i="7" s="1"/>
  <c r="N17" i="9"/>
  <c r="N22" i="9" s="1"/>
  <c r="N38" i="9" s="1"/>
  <c r="N39" i="9" s="1"/>
  <c r="H62" i="7"/>
  <c r="I34" i="9"/>
  <c r="I35" i="9" s="1"/>
  <c r="G62" i="7"/>
  <c r="H34" i="9"/>
  <c r="H35" i="9" s="1"/>
  <c r="Q30" i="9"/>
  <c r="N45" i="7"/>
  <c r="O18" i="9" s="1"/>
  <c r="O22" i="9" s="1"/>
  <c r="O38" i="9" s="1"/>
  <c r="O39" i="9" s="1"/>
  <c r="N49" i="7"/>
  <c r="N65" i="7" s="1"/>
  <c r="E27" i="7"/>
  <c r="F46" i="7"/>
  <c r="G19" i="11" s="1"/>
  <c r="E48" i="7"/>
  <c r="D49" i="7"/>
  <c r="D65" i="7" s="1"/>
  <c r="I45" i="7"/>
  <c r="Q19" i="11" l="1"/>
  <c r="G22" i="11"/>
  <c r="G38" i="11" s="1"/>
  <c r="G39" i="11" s="1"/>
  <c r="F21" i="9"/>
  <c r="Q21" i="9" s="1"/>
  <c r="F21" i="11"/>
  <c r="H38" i="9"/>
  <c r="H39" i="9" s="1"/>
  <c r="I38" i="9"/>
  <c r="I39" i="9" s="1"/>
  <c r="H65" i="7"/>
  <c r="G65" i="7"/>
  <c r="L65" i="7"/>
  <c r="Q20" i="9"/>
  <c r="E22" i="9"/>
  <c r="E38" i="9" s="1"/>
  <c r="E39" i="9" s="1"/>
  <c r="D35" i="9"/>
  <c r="D38" i="9" s="1"/>
  <c r="D39" i="9" s="1"/>
  <c r="Q34" i="9"/>
  <c r="L22" i="9"/>
  <c r="L38" i="9" s="1"/>
  <c r="L39" i="9" s="1"/>
  <c r="K49" i="7"/>
  <c r="K65" i="7" s="1"/>
  <c r="I49" i="7"/>
  <c r="I65" i="7" s="1"/>
  <c r="J18" i="9"/>
  <c r="R9" i="7"/>
  <c r="R27" i="7"/>
  <c r="J35" i="9"/>
  <c r="Q33" i="9"/>
  <c r="Q35" i="9" s="1"/>
  <c r="R25" i="7"/>
  <c r="Q17" i="9"/>
  <c r="E49" i="7"/>
  <c r="E65" i="7" s="1"/>
  <c r="F49" i="7"/>
  <c r="F65" i="7" s="1"/>
  <c r="G19" i="9"/>
  <c r="F22" i="9"/>
  <c r="F22" i="11" l="1"/>
  <c r="F38" i="11" s="1"/>
  <c r="F39" i="11" s="1"/>
  <c r="F47" i="11" s="1"/>
  <c r="G4" i="11" s="1"/>
  <c r="G47" i="11" s="1"/>
  <c r="H4" i="11" s="1"/>
  <c r="H47" i="11" s="1"/>
  <c r="I4" i="11" s="1"/>
  <c r="I47" i="11" s="1"/>
  <c r="J4" i="11" s="1"/>
  <c r="J47" i="11" s="1"/>
  <c r="K4" i="11" s="1"/>
  <c r="K47" i="11" s="1"/>
  <c r="L4" i="11" s="1"/>
  <c r="L47" i="11" s="1"/>
  <c r="M4" i="11" s="1"/>
  <c r="M47" i="11" s="1"/>
  <c r="N4" i="11" s="1"/>
  <c r="N47" i="11" s="1"/>
  <c r="O4" i="11" s="1"/>
  <c r="O47" i="11" s="1"/>
  <c r="Q21" i="11"/>
  <c r="Q22" i="11" s="1"/>
  <c r="Q38" i="11" s="1"/>
  <c r="Q39" i="11" s="1"/>
  <c r="Q47" i="11" s="1"/>
  <c r="D47" i="9"/>
  <c r="E4" i="9" s="1"/>
  <c r="E47" i="9" s="1"/>
  <c r="F4" i="9" s="1"/>
  <c r="Q18" i="9"/>
  <c r="J22" i="9"/>
  <c r="J38" i="9" s="1"/>
  <c r="J39" i="9" s="1"/>
  <c r="G22" i="9"/>
  <c r="G38" i="9" s="1"/>
  <c r="G39" i="9" s="1"/>
  <c r="Q19" i="9"/>
  <c r="Q22" i="9" s="1"/>
  <c r="R34" i="2" l="1"/>
  <c r="C19" i="2"/>
  <c r="D19" i="2"/>
  <c r="E19" i="2"/>
  <c r="G19" i="2"/>
  <c r="K19" i="2"/>
  <c r="L19" i="2"/>
  <c r="M19" i="2"/>
  <c r="O19" i="2"/>
  <c r="P19" i="2"/>
  <c r="N19" i="2"/>
  <c r="H19" i="2"/>
  <c r="F19" i="2"/>
  <c r="K12" i="2"/>
  <c r="P7" i="2"/>
  <c r="P8" i="2" s="1"/>
  <c r="O7" i="2"/>
  <c r="O8" i="2" s="1"/>
  <c r="N7" i="2"/>
  <c r="N8" i="2" s="1"/>
  <c r="M7" i="2"/>
  <c r="M8" i="2" s="1"/>
  <c r="L7" i="2"/>
  <c r="L8" i="2" s="1"/>
  <c r="K7" i="2"/>
  <c r="K8" i="2" s="1"/>
  <c r="J7" i="2"/>
  <c r="J8" i="2" s="1"/>
  <c r="I7" i="2"/>
  <c r="I8" i="2" s="1"/>
  <c r="H7" i="2"/>
  <c r="H8" i="2" s="1"/>
  <c r="G7" i="2"/>
  <c r="G8" i="2" s="1"/>
  <c r="F7" i="2"/>
  <c r="F8" i="2" s="1"/>
  <c r="E7" i="2"/>
  <c r="E8" i="2" s="1"/>
  <c r="D7" i="2"/>
  <c r="D8" i="2" s="1"/>
  <c r="C7" i="2"/>
  <c r="C8" i="2" s="1"/>
  <c r="R24" i="2"/>
  <c r="R23" i="2"/>
  <c r="R21" i="2"/>
  <c r="R20" i="2"/>
  <c r="R18" i="2"/>
  <c r="R17" i="2"/>
  <c r="R16" i="2"/>
  <c r="R14" i="2"/>
  <c r="R13" i="2"/>
  <c r="R6" i="2"/>
  <c r="R5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J19" i="2"/>
  <c r="I19" i="2"/>
  <c r="R15" i="2" l="1"/>
  <c r="M12" i="2"/>
  <c r="N12" i="2"/>
  <c r="O12" i="2"/>
  <c r="I12" i="2"/>
  <c r="F12" i="2"/>
  <c r="P12" i="2"/>
  <c r="J12" i="2"/>
  <c r="D12" i="2"/>
  <c r="G12" i="2"/>
  <c r="H12" i="2"/>
  <c r="R11" i="2"/>
  <c r="C12" i="2"/>
  <c r="R10" i="2"/>
  <c r="E12" i="2"/>
  <c r="C9" i="2"/>
  <c r="R8" i="2"/>
  <c r="R7" i="2"/>
  <c r="R19" i="2"/>
  <c r="G9" i="2"/>
  <c r="R22" i="2"/>
  <c r="N9" i="2"/>
  <c r="H9" i="2"/>
  <c r="P9" i="2"/>
  <c r="F9" i="2"/>
  <c r="O9" i="2"/>
  <c r="I9" i="2"/>
  <c r="J9" i="2"/>
  <c r="K9" i="2"/>
  <c r="K25" i="2" s="1"/>
  <c r="K27" i="2" s="1"/>
  <c r="E9" i="2"/>
  <c r="M9" i="2"/>
  <c r="D9" i="2"/>
  <c r="L9" i="2"/>
  <c r="P25" i="2" l="1"/>
  <c r="P27" i="2" s="1"/>
  <c r="F25" i="2"/>
  <c r="F27" i="2" s="1"/>
  <c r="L12" i="2"/>
  <c r="L25" i="2" s="1"/>
  <c r="L27" i="2" s="1"/>
  <c r="D25" i="2"/>
  <c r="D27" i="2" s="1"/>
  <c r="H25" i="2"/>
  <c r="H27" i="2" s="1"/>
  <c r="N25" i="2"/>
  <c r="N27" i="2" s="1"/>
  <c r="I25" i="2"/>
  <c r="I27" i="2" s="1"/>
  <c r="M25" i="2"/>
  <c r="M27" i="2" s="1"/>
  <c r="J25" i="2"/>
  <c r="J27" i="2" s="1"/>
  <c r="G25" i="2"/>
  <c r="G27" i="2" s="1"/>
  <c r="O25" i="2"/>
  <c r="O27" i="2" s="1"/>
  <c r="C25" i="2"/>
  <c r="C27" i="2" s="1"/>
  <c r="E25" i="2"/>
  <c r="E27" i="2" s="1"/>
  <c r="R9" i="2"/>
  <c r="R27" i="2" l="1"/>
  <c r="R12" i="2"/>
  <c r="R25" i="2"/>
  <c r="Q26" i="9"/>
  <c r="Q32" i="9" s="1"/>
  <c r="Q38" i="9" s="1"/>
  <c r="Q39" i="9" s="1"/>
  <c r="Q47" i="9" s="1"/>
  <c r="F32" i="9"/>
  <c r="F38" i="9" s="1"/>
  <c r="F39" i="9" s="1"/>
  <c r="F47" i="9" s="1"/>
  <c r="G4" i="9" s="1"/>
  <c r="G47" i="9" s="1"/>
  <c r="H4" i="9" s="1"/>
  <c r="H47" i="9" s="1"/>
  <c r="I4" i="9" s="1"/>
  <c r="I47" i="9" s="1"/>
  <c r="J4" i="9" s="1"/>
  <c r="J47" i="9" s="1"/>
  <c r="K4" i="9" s="1"/>
  <c r="K47" i="9" s="1"/>
  <c r="L4" i="9" s="1"/>
  <c r="L47" i="9" s="1"/>
  <c r="M4" i="9" s="1"/>
  <c r="M47" i="9" s="1"/>
  <c r="N4" i="9" s="1"/>
  <c r="N47" i="9" s="1"/>
  <c r="O4" i="9" s="1"/>
  <c r="O47" i="9" s="1"/>
</calcChain>
</file>

<file path=xl/sharedStrings.xml><?xml version="1.0" encoding="utf-8"?>
<sst xmlns="http://schemas.openxmlformats.org/spreadsheetml/2006/main" count="440" uniqueCount="102">
  <si>
    <t>CUENTA DE RESULTADOS</t>
  </si>
  <si>
    <t>NOV A-1</t>
  </si>
  <si>
    <t>DIC A-1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</si>
  <si>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</si>
  <si>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</si>
  <si>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</si>
  <si>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</si>
  <si>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</si>
  <si>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</si>
  <si>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</si>
  <si>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</si>
  <si>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</si>
  <si>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</si>
  <si>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</si>
  <si>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</si>
  <si>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INGRESOS POR VENTAS</t>
  </si>
  <si>
    <t>Sueldos y Salarios</t>
  </si>
  <si>
    <t>Bonus e Incentivos</t>
  </si>
  <si>
    <t>Seguridad Social Empresa</t>
  </si>
  <si>
    <t>COSTES DE PERSONAL</t>
  </si>
  <si>
    <t>COMPRAS A PROVEEDORES</t>
  </si>
  <si>
    <t>Alquileres</t>
  </si>
  <si>
    <t>Serv. Profesionales Independientes</t>
  </si>
  <si>
    <t>Transporte</t>
  </si>
  <si>
    <t>Seguros</t>
  </si>
  <si>
    <t>Publicidad y Márketing</t>
  </si>
  <si>
    <t xml:space="preserve">Suministros </t>
  </si>
  <si>
    <t>SERVICIOS EXTERIORES</t>
  </si>
  <si>
    <t>H. Pública por Impuesto de Sociedades</t>
  </si>
  <si>
    <t>IAE y otros tributos locales</t>
  </si>
  <si>
    <t>IMPUESTOS Y TRIBUTOS</t>
  </si>
  <si>
    <t>Gastos Bancarios</t>
  </si>
  <si>
    <t>Otros Gastos</t>
  </si>
  <si>
    <t>TOTAL GASTOS EXPLOTACIÓN</t>
  </si>
  <si>
    <t>FY</t>
  </si>
  <si>
    <t>Compra de materias primas</t>
  </si>
  <si>
    <t>Compra de otros materiales para producción</t>
  </si>
  <si>
    <t>MARGEN DE EXPLOTACIÓN</t>
  </si>
  <si>
    <t>El salario anual se divide en 14 pagas, teniendo paga extra los meses de julio y diciembre.</t>
  </si>
  <si>
    <t>Los bonus e incentivos por objetivos se cobran en el mes de febrero.</t>
  </si>
  <si>
    <t>Se pagan por anticipado entre el 1 y el 5 de cada mes.</t>
  </si>
  <si>
    <t>La póliza anual de seguros se renueva en febrero</t>
  </si>
  <si>
    <t>Se pagan a 30 días</t>
  </si>
  <si>
    <t>Se pagan a mes vencido.</t>
  </si>
  <si>
    <t>El IAE supone un 80% de este epígrafe y se paga en enero, el resto se paga mensualmente.</t>
  </si>
  <si>
    <t>Se hacen pagos a cuenta en abril, octubre y diciembre y el pago de la liquidación es en Julio.</t>
  </si>
  <si>
    <t>Presupuesto de Capital:</t>
  </si>
  <si>
    <t>CUENTA DE RESULTADOS DE EXPLOTACIÓN</t>
  </si>
  <si>
    <t>Elabora el cuadro de operaciones financieras que incluya, al menos, dos líneas de financiación a corto plazo, un préstamo a largo plazo y varios depósitos a corto plazo en función de la liquidez obtenida.</t>
  </si>
  <si>
    <t>La compra de activos fijos se prevé según la periodificación adjunta:</t>
  </si>
  <si>
    <t>Compra de Activos Fijos</t>
  </si>
  <si>
    <t xml:space="preserve">Un tercio de nuestros proveedores son empresas cuyos plazos de pago están amparados por la legislación comercial de protección a pequeñas empresas por lo que son a 30 días. Todos aplican un 21% de IVA.
El resto de los proveedores tiene plazos de pago entre 45 y 90 días. </t>
  </si>
  <si>
    <t>Resto Clientes</t>
  </si>
  <si>
    <t>SALDO INICIAL</t>
  </si>
  <si>
    <t>SALDO FINAL</t>
  </si>
  <si>
    <t>PRESUPUESTO DE TESORERÍA</t>
  </si>
  <si>
    <t>Nómina mensual</t>
  </si>
  <si>
    <t>Pagas Extras</t>
  </si>
  <si>
    <t>Retenciones a trabajadores</t>
  </si>
  <si>
    <t>Seguridad Social</t>
  </si>
  <si>
    <t>TOTAL PAGOS EXPLOTACIÓN</t>
  </si>
  <si>
    <t>Tipo IVA</t>
  </si>
  <si>
    <t>Tipo Seguridad Social Trabajador</t>
  </si>
  <si>
    <t>Tipo Seguridad Social Empresa</t>
  </si>
  <si>
    <t>Tipo Retención Trabajadores</t>
  </si>
  <si>
    <t>Tipo Retención Alquileres y Profesionales</t>
  </si>
  <si>
    <t>TOTAL</t>
  </si>
  <si>
    <t>TRASLACIÓN DE COBROS DE CUENTA DE RESULTADOS A PRESUPUESTO DE TESORERÍA</t>
  </si>
  <si>
    <t>CONDICIONES</t>
  </si>
  <si>
    <t>IMPUESTO</t>
  </si>
  <si>
    <t>Cliente TOP 1</t>
  </si>
  <si>
    <t>PAGO 30 DÍAS</t>
  </si>
  <si>
    <t>Cliente TOP 2</t>
  </si>
  <si>
    <t>PAGO 60 DÍAS</t>
  </si>
  <si>
    <t>Cliente TOP 3</t>
  </si>
  <si>
    <t>40% CONTADO, 60% 60 DÍAS</t>
  </si>
  <si>
    <t>Cliente TOP 4</t>
  </si>
  <si>
    <t>PAGO 45 DÍAS</t>
  </si>
  <si>
    <t>Cliente TOP 5</t>
  </si>
  <si>
    <t>Exportación, no aplica IVA</t>
  </si>
  <si>
    <t>Cliente TOP 6</t>
  </si>
  <si>
    <t>50% CONTADO, 50% 30 DÍAS</t>
  </si>
  <si>
    <t>Cliente TOP 7</t>
  </si>
  <si>
    <t>Cliente TOP 8</t>
  </si>
  <si>
    <t>PAGO 15 DÍAS</t>
  </si>
  <si>
    <t>Cliente TOP 9</t>
  </si>
  <si>
    <t>Cliente TOP 10</t>
  </si>
  <si>
    <t>PROMEDIO 45 DÍAS</t>
  </si>
  <si>
    <t>PRESUPUESTO TESORERÍA</t>
  </si>
  <si>
    <t>CONSOLIDACIÓN Y ANÁLISIS</t>
  </si>
  <si>
    <t>COBROS EXPLOTACIÓN</t>
  </si>
  <si>
    <t>PAGOS EXPLOTACIÓN (OPEX)</t>
  </si>
  <si>
    <t>FLUJO CAJA EXPLOTACIÓN</t>
  </si>
  <si>
    <t>(-) Compra de Activos Fijos</t>
  </si>
  <si>
    <t>(+) Enajenación de Activos Fijos</t>
  </si>
  <si>
    <t>FLUJO CAJA ACTIVOS FIJOS (CAPEX)</t>
  </si>
  <si>
    <t>(-) Pagos de Dividendos</t>
  </si>
  <si>
    <t>(+) Ampliaciones de Capital</t>
  </si>
  <si>
    <t>FLUJO CAJA OP. SOCIETARIAS</t>
  </si>
  <si>
    <t>FLUJO CAJA CAPITAL</t>
  </si>
  <si>
    <t>Negociar para relaizar dos paganos anuales</t>
  </si>
  <si>
    <t>Los bonus se pagan a final de año.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</si>
</sst>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rgb="FF000000"/>
      <name val="Calibri"/>
      <family val="2"/>
    </font>
    <font>
      <sz val="11"/>
      <color rgb="FFC00000"/>
      <name val="Calibri"/>
      <family val="2"/>
    </font>
    <font>
      <b/>
      <sz val="10"/>
      <color rgb="FF305496"/>
      <name val="Calibri"/>
      <family val="2"/>
    </font>
    <font>
      <sz val="10"/>
      <color rgb="FF000000"/>
      <name val="Calibri"/>
      <family val="2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0"/>
      <color rgb="FF305496"/>
      <name val="Calibri"/>
    </font>
    <font>
      <sz val="10"/>
      <color rgb="FF000000"/>
      <name val="Calibri"/>
    </font>
    <font>
      <b/>
      <sz val="10"/>
      <color rgb="FFFFFFFF"/>
      <name val="Calibri"/>
    </font>
    <font>
      <b/>
      <sz val="10"/>
      <color rgb="FF000000"/>
      <name val="Calibri"/>
    </font>
  </fonts>
  <fills count="16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  <fill>
      <patternFill patternType="solid">
        <fgColor rgb="FFA9D08E"/>
        <bgColor rgb="FFA9D08E"/>
      </patternFill>
    </fill>
    <fill>
      <patternFill patternType="solid">
        <fgColor theme="5" tint="0.79998168889431442"/>
        <bgColor rgb="FFA9D08E"/>
      </patternFill>
    </fill>
    <fill>
      <patternFill patternType="solid">
        <fgColor theme="5" tint="0.39997558519241921"/>
        <bgColor rgb="FF00B050"/>
      </patternFill>
    </fill>
    <fill>
      <patternFill patternType="solid">
        <fgColor theme="8" tint="0.59999389629810485"/>
        <bgColor rgb="FF00B050"/>
      </patternFill>
    </fill>
    <fill>
      <patternFill patternType="solid">
        <fgColor rgb="FF305496"/>
        <bgColor rgb="FF305496"/>
      </patternFill>
    </fill>
    <fill>
      <patternFill patternType="solid">
        <fgColor rgb="FFACB9CA"/>
        <bgColor rgb="FFACB9CA"/>
      </patternFill>
    </fill>
    <fill>
      <patternFill patternType="solid">
        <fgColor rgb="FFD9D9D9"/>
        <bgColor rgb="FFD9D9D9"/>
      </patternFill>
    </fill>
    <fill>
      <patternFill patternType="solid">
        <fgColor rgb="FFFFD966"/>
        <bgColor rgb="FFFFD966"/>
      </patternFill>
    </fill>
    <fill>
      <patternFill patternType="solid">
        <fgColor rgb="FFFFC000"/>
        <bgColor rgb="FFFFC000"/>
      </patternFill>
    </fill>
    <fill>
      <patternFill patternType="solid">
        <fgColor rgb="FF548235"/>
        <bgColor rgb="FF548235"/>
      </patternFill>
    </fill>
    <fill>
      <patternFill patternType="solid">
        <fgColor rgb="FFFF99FF"/>
        <bgColor rgb="FFFF99FF"/>
      </patternFill>
    </fill>
    <fill>
      <patternFill patternType="solid">
        <fgColor rgb="FF0070C0"/>
        <bgColor rgb="FF0070C0"/>
      </patternFill>
    </fill>
    <fill>
      <patternFill patternType="solid">
        <fgColor rgb="FFB6FD6F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E1F2"/>
      </bottom>
      <diagonal/>
    </border>
    <border>
      <left/>
      <right/>
      <top style="thin">
        <color rgb="FFD9E1F2"/>
      </top>
      <bottom style="thin">
        <color rgb="FFD9E1F2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1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left" indent="1"/>
    </xf>
    <xf numFmtId="3" fontId="3" fillId="0" borderId="2" xfId="0" applyNumberFormat="1" applyFont="1" applyBorder="1" applyAlignment="1">
      <alignment horizontal="right"/>
    </xf>
    <xf numFmtId="9" fontId="3" fillId="0" borderId="0" xfId="0" applyNumberFormat="1" applyFont="1"/>
    <xf numFmtId="0" fontId="5" fillId="0" borderId="0" xfId="0" applyFont="1"/>
    <xf numFmtId="3" fontId="3" fillId="0" borderId="0" xfId="0" applyNumberFormat="1" applyFont="1" applyAlignment="1">
      <alignment horizontal="right"/>
    </xf>
    <xf numFmtId="0" fontId="5" fillId="3" borderId="2" xfId="0" applyFont="1" applyFill="1" applyBorder="1" applyAlignment="1">
      <alignment horizontal="left"/>
    </xf>
    <xf numFmtId="3" fontId="5" fillId="3" borderId="2" xfId="0" applyNumberFormat="1" applyFont="1" applyFill="1" applyBorder="1" applyAlignment="1">
      <alignment horizontal="right"/>
    </xf>
    <xf numFmtId="3" fontId="3" fillId="0" borderId="0" xfId="0" applyNumberFormat="1" applyFont="1"/>
    <xf numFmtId="0" fontId="5" fillId="4" borderId="2" xfId="0" applyFont="1" applyFill="1" applyBorder="1" applyAlignment="1">
      <alignment horizontal="left"/>
    </xf>
    <xf numFmtId="3" fontId="5" fillId="4" borderId="2" xfId="0" applyNumberFormat="1" applyFont="1" applyFill="1" applyBorder="1" applyAlignment="1">
      <alignment horizontal="right"/>
    </xf>
    <xf numFmtId="0" fontId="5" fillId="5" borderId="2" xfId="0" applyFont="1" applyFill="1" applyBorder="1" applyAlignment="1">
      <alignment horizontal="left"/>
    </xf>
    <xf numFmtId="3" fontId="5" fillId="5" borderId="2" xfId="0" applyNumberFormat="1" applyFont="1" applyFill="1" applyBorder="1" applyAlignment="1">
      <alignment horizontal="right"/>
    </xf>
    <xf numFmtId="0" fontId="5" fillId="6" borderId="2" xfId="0" applyFont="1" applyFill="1" applyBorder="1" applyAlignment="1">
      <alignment horizontal="left"/>
    </xf>
    <xf numFmtId="3" fontId="5" fillId="6" borderId="2" xfId="0" applyNumberFormat="1" applyFont="1" applyFill="1" applyBorder="1" applyAlignment="1">
      <alignment horizontal="right"/>
    </xf>
    <xf numFmtId="0" fontId="4" fillId="7" borderId="1" xfId="0" applyFont="1" applyFill="1" applyBorder="1" applyAlignment="1">
      <alignment horizontal="center"/>
    </xf>
    <xf numFmtId="3" fontId="5" fillId="8" borderId="2" xfId="0" applyNumberFormat="1" applyFont="1" applyFill="1" applyBorder="1" applyAlignment="1">
      <alignment horizontal="right"/>
    </xf>
    <xf numFmtId="0" fontId="4" fillId="7" borderId="1" xfId="0" applyFont="1" applyFill="1" applyBorder="1"/>
    <xf numFmtId="0" fontId="5" fillId="10" borderId="2" xfId="0" applyFont="1" applyFill="1" applyBorder="1" applyAlignment="1">
      <alignment horizontal="left"/>
    </xf>
    <xf numFmtId="3" fontId="5" fillId="10" borderId="2" xfId="0" applyNumberFormat="1" applyFont="1" applyFill="1" applyBorder="1" applyAlignment="1">
      <alignment horizontal="right"/>
    </xf>
    <xf numFmtId="0" fontId="5" fillId="11" borderId="2" xfId="0" applyFont="1" applyFill="1" applyBorder="1" applyAlignment="1">
      <alignment horizontal="left"/>
    </xf>
    <xf numFmtId="3" fontId="5" fillId="11" borderId="2" xfId="0" applyNumberFormat="1" applyFont="1" applyFill="1" applyBorder="1" applyAlignment="1">
      <alignment horizontal="right"/>
    </xf>
    <xf numFmtId="9" fontId="3" fillId="0" borderId="0" xfId="0" applyNumberFormat="1" applyFont="1" applyAlignment="1">
      <alignment horizontal="right"/>
    </xf>
    <xf numFmtId="3" fontId="5" fillId="0" borderId="0" xfId="0" applyNumberFormat="1" applyFont="1"/>
    <xf numFmtId="3" fontId="5" fillId="9" borderId="2" xfId="0" applyNumberFormat="1" applyFont="1" applyFill="1" applyBorder="1" applyAlignment="1">
      <alignment horizontal="right"/>
    </xf>
    <xf numFmtId="3" fontId="4" fillId="12" borderId="2" xfId="0" applyNumberFormat="1" applyFont="1" applyFill="1" applyBorder="1" applyAlignment="1">
      <alignment horizontal="right"/>
    </xf>
    <xf numFmtId="3" fontId="3" fillId="10" borderId="2" xfId="0" applyNumberFormat="1" applyFont="1" applyFill="1" applyBorder="1" applyAlignment="1">
      <alignment horizontal="right"/>
    </xf>
    <xf numFmtId="3" fontId="5" fillId="13" borderId="2" xfId="0" applyNumberFormat="1" applyFont="1" applyFill="1" applyBorder="1" applyAlignment="1">
      <alignment horizontal="right"/>
    </xf>
    <xf numFmtId="0" fontId="4" fillId="0" borderId="0" xfId="0" applyFont="1" applyAlignment="1">
      <alignment horizontal="center"/>
    </xf>
    <xf numFmtId="3" fontId="5" fillId="0" borderId="0" xfId="0" applyNumberFormat="1" applyFont="1" applyAlignment="1">
      <alignment horizontal="right"/>
    </xf>
    <xf numFmtId="3" fontId="4" fillId="0" borderId="0" xfId="0" applyNumberFormat="1" applyFont="1" applyAlignment="1">
      <alignment horizontal="right"/>
    </xf>
    <xf numFmtId="0" fontId="6" fillId="0" borderId="0" xfId="0" applyFont="1"/>
    <xf numFmtId="0" fontId="7" fillId="0" borderId="0" xfId="0" applyFont="1"/>
    <xf numFmtId="0" fontId="8" fillId="2" borderId="1" xfId="0" applyFont="1" applyFill="1" applyBorder="1"/>
    <xf numFmtId="0" fontId="8" fillId="2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left"/>
    </xf>
    <xf numFmtId="3" fontId="7" fillId="0" borderId="2" xfId="0" applyNumberFormat="1" applyFont="1" applyBorder="1" applyAlignment="1">
      <alignment horizontal="right"/>
    </xf>
    <xf numFmtId="9" fontId="7" fillId="0" borderId="0" xfId="0" applyNumberFormat="1" applyFont="1"/>
    <xf numFmtId="0" fontId="9" fillId="0" borderId="0" xfId="0" applyFont="1"/>
    <xf numFmtId="0" fontId="8" fillId="12" borderId="2" xfId="0" applyFont="1" applyFill="1" applyBorder="1" applyAlignment="1">
      <alignment horizontal="left"/>
    </xf>
    <xf numFmtId="3" fontId="8" fillId="12" borderId="2" xfId="0" applyNumberFormat="1" applyFont="1" applyFill="1" applyBorder="1" applyAlignment="1">
      <alignment horizontal="right"/>
    </xf>
    <xf numFmtId="4" fontId="7" fillId="0" borderId="0" xfId="0" applyNumberFormat="1" applyFont="1"/>
    <xf numFmtId="0" fontId="8" fillId="14" borderId="1" xfId="0" applyFont="1" applyFill="1" applyBorder="1"/>
    <xf numFmtId="0" fontId="8" fillId="14" borderId="1" xfId="0" applyFont="1" applyFill="1" applyBorder="1" applyAlignment="1">
      <alignment horizontal="center"/>
    </xf>
    <xf numFmtId="0" fontId="5" fillId="9" borderId="2" xfId="0" applyFont="1" applyFill="1" applyBorder="1" applyAlignment="1">
      <alignment horizontal="left"/>
    </xf>
    <xf numFmtId="0" fontId="5" fillId="9" borderId="2" xfId="0" applyFont="1" applyFill="1" applyBorder="1" applyAlignment="1">
      <alignment horizontal="left" indent="1"/>
    </xf>
    <xf numFmtId="0" fontId="4" fillId="12" borderId="2" xfId="0" applyFont="1" applyFill="1" applyBorder="1" applyAlignment="1">
      <alignment horizontal="left"/>
    </xf>
    <xf numFmtId="0" fontId="3" fillId="10" borderId="2" xfId="0" applyFont="1" applyFill="1" applyBorder="1" applyAlignment="1">
      <alignment horizontal="left"/>
    </xf>
    <xf numFmtId="0" fontId="5" fillId="8" borderId="2" xfId="0" applyFont="1" applyFill="1" applyBorder="1" applyAlignment="1">
      <alignment horizontal="left"/>
    </xf>
    <xf numFmtId="0" fontId="5" fillId="13" borderId="2" xfId="0" applyFont="1" applyFill="1" applyBorder="1" applyAlignment="1">
      <alignment horizontal="left"/>
    </xf>
    <xf numFmtId="0" fontId="3" fillId="15" borderId="2" xfId="0" applyFont="1" applyFill="1" applyBorder="1" applyAlignment="1">
      <alignment horizontal="left" indent="1"/>
    </xf>
    <xf numFmtId="3" fontId="3" fillId="15" borderId="2" xfId="0" applyNumberFormat="1" applyFont="1" applyFill="1" applyBorder="1" applyAlignment="1">
      <alignment horizontal="right"/>
    </xf>
    <xf numFmtId="0" fontId="3" fillId="0" borderId="0" xfId="0" applyFont="1" applyAlignment="1">
      <alignment horizontal="left" vertical="top" wrapText="1"/>
    </xf>
    <xf numFmtId="0" fontId="3" fillId="0" borderId="0" xfId="0" applyFont="1" applyFill="1"/>
    <xf numFmtId="0" fontId="3" fillId="0" borderId="2" xfId="0" applyFont="1" applyFill="1" applyBorder="1" applyAlignment="1">
      <alignment horizontal="left" indent="1"/>
    </xf>
    <xf numFmtId="3" fontId="3" fillId="0" borderId="2" xfId="0" applyNumberFormat="1" applyFont="1" applyFill="1" applyBorder="1" applyAlignment="1">
      <alignment horizontal="right"/>
    </xf>
    <xf numFmtId="0" fontId="0" fillId="0" borderId="0" xfId="0" applyFill="1"/>
  </cellXfs>
  <cellStyles count="2">
    <cellStyle name="cf1" xfId="1" xr:uid="{00000000-0005-0000-0000-000000000000}"/>
    <cellStyle name="Normal" xfId="0" builtinId="0" customBuiltin="1"/>
  </cellStyles>
  <dxfs count="5"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</dxfs>
  <tableStyles count="0" defaultTableStyle="TableStyleMedium2" defaultPivotStyle="PivotStyleLight16"/>
  <colors>
    <mruColors>
      <color rgb="FFB6FD6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9525</xdr:colOff>
      <xdr:row>2</xdr:row>
      <xdr:rowOff>180975</xdr:rowOff>
    </xdr:from>
    <xdr:to>
      <xdr:col>27</xdr:col>
      <xdr:colOff>276225</xdr:colOff>
      <xdr:row>17</xdr:row>
      <xdr:rowOff>66675</xdr:rowOff>
    </xdr:to>
    <xdr:sp macro="" textlink="">
      <xdr:nvSpPr>
        <xdr:cNvPr id="2" name="QuadreDeText 1">
          <a:extLst>
            <a:ext uri="{FF2B5EF4-FFF2-40B4-BE49-F238E27FC236}">
              <a16:creationId xmlns:a16="http://schemas.microsoft.com/office/drawing/2014/main" id="{8C4471BA-478E-6CE2-66A5-AADBF2149471}"/>
            </a:ext>
          </a:extLst>
        </xdr:cNvPr>
        <xdr:cNvSpPr txBox="1"/>
      </xdr:nvSpPr>
      <xdr:spPr>
        <a:xfrm>
          <a:off x="11906250" y="561975"/>
          <a:ext cx="5753100" cy="2743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ca-ES" sz="1100"/>
            <a:t>Para</a:t>
          </a:r>
          <a:r>
            <a:rPr lang="ca-ES" sz="1100" baseline="0"/>
            <a:t> que la tesoreria este en positivo todos los meses hemos echo algum replanteamiento en los pagos, concretamente tres:</a:t>
          </a:r>
        </a:p>
        <a:p>
          <a:endParaRPr lang="ca-ES" sz="1100" baseline="0"/>
        </a:p>
        <a:p>
          <a:r>
            <a:rPr lang="ca-ES" sz="1100" baseline="0"/>
            <a:t>1.- Realizar el pago de bonus Al mes de diciembre. Finales de año.</a:t>
          </a:r>
        </a:p>
        <a:p>
          <a:endParaRPr lang="ca-ES" sz="1100" baseline="0"/>
        </a:p>
        <a:p>
          <a:r>
            <a:rPr lang="ca-ES" sz="1100" baseline="0"/>
            <a:t>2,- Los alquileres negociaremospara hacer pago dos veces al año, e incluso si hubiera posible dte. un pago unico que seria en diciembre, sino de moemnto junio y diciembre.</a:t>
          </a:r>
        </a:p>
        <a:p>
          <a:endParaRPr lang="ca-ES" sz="1100" baseline="0"/>
        </a:p>
        <a:p>
          <a:endParaRPr lang="ca-ES" sz="1100" baseline="0"/>
        </a:p>
        <a:p>
          <a:endParaRPr lang="ca-ES" sz="1100" baseline="0"/>
        </a:p>
        <a:p>
          <a:r>
            <a:rPr lang="ca-ES" sz="1100" baseline="0"/>
            <a:t>Podemos ver que nos queda una buena tesoreria para hacer frente a prestamos que tuvieramos c.p y l.p. Ultimo qutrimestre del años seria bueno para povisionar o negociar los pagos de las posibles deudas que tuviera la compañía.</a:t>
          </a:r>
          <a:endParaRPr lang="ca-E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vives\Desktop\av\IEBS\Clase%202%20-%20Cuadro%20de%20operaciones%20financieras,%20intereses%20y%20vencimient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adro_vencimientos_y_devengos"/>
    </sheetNames>
    <sheetDataSet>
      <sheetData sheetId="0">
        <row r="5">
          <cell r="I5">
            <v>750000</v>
          </cell>
          <cell r="J5">
            <v>0.05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63"/>
  <sheetViews>
    <sheetView showGridLines="0" topLeftCell="A4" workbookViewId="0">
      <selection activeCell="I4" sqref="I1:I1048576"/>
    </sheetView>
  </sheetViews>
  <sheetFormatPr defaultColWidth="11.42578125" defaultRowHeight="12.75" outlineLevelCol="1" x14ac:dyDescent="0.2"/>
  <cols>
    <col min="1" max="1" width="3.5703125" style="2" customWidth="1"/>
    <col min="2" max="2" width="38.42578125" style="2" customWidth="1" outlineLevel="1"/>
    <col min="3" max="14" width="8" style="2" customWidth="1" outlineLevel="1"/>
    <col min="15" max="15" width="9.140625" style="2" customWidth="1" outlineLevel="1"/>
    <col min="16" max="16" width="11" style="2" customWidth="1" outlineLevel="1"/>
    <col min="17" max="17" width="1.7109375" style="2" customWidth="1" outlineLevel="1"/>
    <col min="18" max="18" width="9.42578125" style="2" bestFit="1" customWidth="1"/>
    <col min="19" max="19" width="1" style="2" customWidth="1"/>
    <col min="20" max="20" width="90.28515625" style="2" customWidth="1"/>
    <col min="21" max="16384" width="11.42578125" style="2"/>
  </cols>
  <sheetData>
    <row r="1" spans="1:20" x14ac:dyDescent="0.2">
      <c r="A1" s="1" t="s">
        <v>0</v>
      </c>
    </row>
    <row r="2" spans="1:20" x14ac:dyDescent="0.2">
      <c r="A2" s="1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4" spans="1:20" x14ac:dyDescent="0.2">
      <c r="B4" s="3" t="s">
        <v>47</v>
      </c>
      <c r="C4" s="4" t="s">
        <v>1</v>
      </c>
      <c r="D4" s="4" t="s">
        <v>2</v>
      </c>
      <c r="E4" s="4" t="s">
        <v>3</v>
      </c>
      <c r="F4" s="4" t="s">
        <v>4</v>
      </c>
      <c r="G4" s="4" t="s">
        <v>5</v>
      </c>
      <c r="H4" s="4" t="s">
        <v>6</v>
      </c>
      <c r="I4" s="4" t="s">
        <v>7</v>
      </c>
      <c r="J4" s="4" t="s">
        <v>8</v>
      </c>
      <c r="K4" s="4" t="s">
        <v>9</v>
      </c>
      <c r="L4" s="4" t="s">
        <v>10</v>
      </c>
      <c r="M4" s="4" t="s">
        <v>11</v>
      </c>
      <c r="N4" s="4" t="s">
        <v>12</v>
      </c>
      <c r="O4" s="4" t="s">
        <v>13</v>
      </c>
      <c r="P4" s="4" t="s">
        <v>14</v>
      </c>
      <c r="R4" s="4" t="s">
        <v>34</v>
      </c>
    </row>
    <row r="5" spans="1:20" x14ac:dyDescent="0.2">
      <c r="B5" s="10" t="s">
        <v>15</v>
      </c>
      <c r="C5" s="11">
        <v>383000</v>
      </c>
      <c r="D5" s="11">
        <v>229000</v>
      </c>
      <c r="E5" s="11">
        <v>252000</v>
      </c>
      <c r="F5" s="11">
        <v>258000</v>
      </c>
      <c r="G5" s="11">
        <v>312000</v>
      </c>
      <c r="H5" s="11">
        <v>299000</v>
      </c>
      <c r="I5" s="11">
        <v>313000</v>
      </c>
      <c r="J5" s="11">
        <v>236000</v>
      </c>
      <c r="K5" s="11">
        <v>325000</v>
      </c>
      <c r="L5" s="11">
        <v>266000</v>
      </c>
      <c r="M5" s="11">
        <v>359000</v>
      </c>
      <c r="N5" s="11">
        <v>265000</v>
      </c>
      <c r="O5" s="11">
        <v>317000</v>
      </c>
      <c r="P5" s="11">
        <v>282000</v>
      </c>
      <c r="R5" s="11">
        <f>+SUM(E5:P5)</f>
        <v>3484000</v>
      </c>
    </row>
    <row r="6" spans="1:20" x14ac:dyDescent="0.2">
      <c r="B6" s="5" t="s">
        <v>16</v>
      </c>
      <c r="C6" s="6">
        <v>-42500</v>
      </c>
      <c r="D6" s="6">
        <v>-42500</v>
      </c>
      <c r="E6" s="6">
        <v>-57500</v>
      </c>
      <c r="F6" s="6">
        <v>-57500</v>
      </c>
      <c r="G6" s="6">
        <v>-57500</v>
      </c>
      <c r="H6" s="6">
        <v>-57500</v>
      </c>
      <c r="I6" s="6">
        <v>-57500</v>
      </c>
      <c r="J6" s="6">
        <v>-57500</v>
      </c>
      <c r="K6" s="6">
        <v>-57500</v>
      </c>
      <c r="L6" s="6">
        <v>-57500</v>
      </c>
      <c r="M6" s="6">
        <v>-57500</v>
      </c>
      <c r="N6" s="6">
        <v>-57500</v>
      </c>
      <c r="O6" s="6">
        <v>-57500</v>
      </c>
      <c r="P6" s="6">
        <v>-57500</v>
      </c>
      <c r="R6" s="6">
        <f t="shared" ref="R6:R25" si="0">+SUM(E6:P6)</f>
        <v>-690000</v>
      </c>
      <c r="T6" s="2" t="s">
        <v>38</v>
      </c>
    </row>
    <row r="7" spans="1:20" x14ac:dyDescent="0.2">
      <c r="B7" s="5" t="s">
        <v>17</v>
      </c>
      <c r="C7" s="6">
        <f>+C6*0.2</f>
        <v>-8500</v>
      </c>
      <c r="D7" s="6">
        <f>+D6*0.2</f>
        <v>-8500</v>
      </c>
      <c r="E7" s="6">
        <f t="shared" ref="E7:P7" si="1">+E6*0.2</f>
        <v>-11500</v>
      </c>
      <c r="F7" s="6">
        <f t="shared" si="1"/>
        <v>-11500</v>
      </c>
      <c r="G7" s="6">
        <f t="shared" si="1"/>
        <v>-11500</v>
      </c>
      <c r="H7" s="6">
        <f t="shared" si="1"/>
        <v>-11500</v>
      </c>
      <c r="I7" s="6">
        <f t="shared" si="1"/>
        <v>-11500</v>
      </c>
      <c r="J7" s="6">
        <f t="shared" si="1"/>
        <v>-11500</v>
      </c>
      <c r="K7" s="6">
        <f t="shared" si="1"/>
        <v>-11500</v>
      </c>
      <c r="L7" s="6">
        <f t="shared" si="1"/>
        <v>-11500</v>
      </c>
      <c r="M7" s="6">
        <f t="shared" si="1"/>
        <v>-11500</v>
      </c>
      <c r="N7" s="6">
        <f t="shared" si="1"/>
        <v>-11500</v>
      </c>
      <c r="O7" s="6">
        <f t="shared" si="1"/>
        <v>-11500</v>
      </c>
      <c r="P7" s="6">
        <f t="shared" si="1"/>
        <v>-11500</v>
      </c>
      <c r="R7" s="6">
        <f t="shared" si="0"/>
        <v>-138000</v>
      </c>
      <c r="T7" s="2" t="s">
        <v>39</v>
      </c>
    </row>
    <row r="8" spans="1:20" x14ac:dyDescent="0.2">
      <c r="B8" s="5" t="s">
        <v>18</v>
      </c>
      <c r="C8" s="6">
        <f>+(C7+C6*0.3)</f>
        <v>-21250</v>
      </c>
      <c r="D8" s="6">
        <f>+(D7+D6*0.3)</f>
        <v>-21250</v>
      </c>
      <c r="E8" s="6">
        <f t="shared" ref="E8:P8" si="2">+(E7+E6*0.3)</f>
        <v>-28750</v>
      </c>
      <c r="F8" s="6">
        <f t="shared" si="2"/>
        <v>-28750</v>
      </c>
      <c r="G8" s="6">
        <f t="shared" si="2"/>
        <v>-28750</v>
      </c>
      <c r="H8" s="6">
        <f t="shared" si="2"/>
        <v>-28750</v>
      </c>
      <c r="I8" s="6">
        <f t="shared" si="2"/>
        <v>-28750</v>
      </c>
      <c r="J8" s="6">
        <f t="shared" si="2"/>
        <v>-28750</v>
      </c>
      <c r="K8" s="6">
        <f t="shared" si="2"/>
        <v>-28750</v>
      </c>
      <c r="L8" s="6">
        <f t="shared" si="2"/>
        <v>-28750</v>
      </c>
      <c r="M8" s="6">
        <f t="shared" si="2"/>
        <v>-28750</v>
      </c>
      <c r="N8" s="6">
        <f t="shared" si="2"/>
        <v>-28750</v>
      </c>
      <c r="O8" s="6">
        <f t="shared" si="2"/>
        <v>-28750</v>
      </c>
      <c r="P8" s="6">
        <f t="shared" si="2"/>
        <v>-28750</v>
      </c>
      <c r="R8" s="6">
        <f t="shared" si="0"/>
        <v>-345000</v>
      </c>
    </row>
    <row r="9" spans="1:20" s="8" customFormat="1" x14ac:dyDescent="0.2">
      <c r="B9" s="13" t="s">
        <v>19</v>
      </c>
      <c r="C9" s="14">
        <f t="shared" ref="C9:P9" si="3">SUM(C6:C8)</f>
        <v>-72250</v>
      </c>
      <c r="D9" s="14">
        <f t="shared" si="3"/>
        <v>-72250</v>
      </c>
      <c r="E9" s="14">
        <f t="shared" si="3"/>
        <v>-97750</v>
      </c>
      <c r="F9" s="14">
        <f t="shared" si="3"/>
        <v>-97750</v>
      </c>
      <c r="G9" s="14">
        <f t="shared" si="3"/>
        <v>-97750</v>
      </c>
      <c r="H9" s="14">
        <f t="shared" si="3"/>
        <v>-97750</v>
      </c>
      <c r="I9" s="14">
        <f t="shared" si="3"/>
        <v>-97750</v>
      </c>
      <c r="J9" s="14">
        <f t="shared" si="3"/>
        <v>-97750</v>
      </c>
      <c r="K9" s="14">
        <f t="shared" si="3"/>
        <v>-97750</v>
      </c>
      <c r="L9" s="14">
        <f t="shared" si="3"/>
        <v>-97750</v>
      </c>
      <c r="M9" s="14">
        <f t="shared" si="3"/>
        <v>-97750</v>
      </c>
      <c r="N9" s="14">
        <f t="shared" si="3"/>
        <v>-97750</v>
      </c>
      <c r="O9" s="14">
        <f t="shared" si="3"/>
        <v>-97750</v>
      </c>
      <c r="P9" s="14">
        <f t="shared" si="3"/>
        <v>-97750</v>
      </c>
      <c r="R9" s="14">
        <f t="shared" si="0"/>
        <v>-1173000</v>
      </c>
    </row>
    <row r="10" spans="1:20" s="8" customFormat="1" ht="12.75" customHeight="1" x14ac:dyDescent="0.2">
      <c r="B10" s="5" t="s">
        <v>35</v>
      </c>
      <c r="C10" s="6">
        <v>-54000</v>
      </c>
      <c r="D10" s="6">
        <v>-49000</v>
      </c>
      <c r="E10" s="6">
        <v>-48000</v>
      </c>
      <c r="F10" s="6">
        <v>-56000</v>
      </c>
      <c r="G10" s="6">
        <v>-47500</v>
      </c>
      <c r="H10" s="6">
        <v>-58000</v>
      </c>
      <c r="I10" s="6">
        <v>-56000</v>
      </c>
      <c r="J10" s="6">
        <v>-62000</v>
      </c>
      <c r="K10" s="6">
        <v>-47000</v>
      </c>
      <c r="L10" s="6">
        <v>-35000</v>
      </c>
      <c r="M10" s="6">
        <v>-42000</v>
      </c>
      <c r="N10" s="6">
        <v>-38000</v>
      </c>
      <c r="O10" s="6">
        <v>-41000</v>
      </c>
      <c r="P10" s="6">
        <v>-47000</v>
      </c>
      <c r="R10" s="6">
        <f t="shared" si="0"/>
        <v>-577500</v>
      </c>
      <c r="T10" s="56" t="s">
        <v>51</v>
      </c>
    </row>
    <row r="11" spans="1:20" s="8" customFormat="1" x14ac:dyDescent="0.2">
      <c r="B11" s="5" t="s">
        <v>36</v>
      </c>
      <c r="C11" s="6">
        <v>-32000</v>
      </c>
      <c r="D11" s="6">
        <v>-29000</v>
      </c>
      <c r="E11" s="6">
        <v>-28000</v>
      </c>
      <c r="F11" s="6">
        <v>-26000</v>
      </c>
      <c r="G11" s="6">
        <v>-24000</v>
      </c>
      <c r="H11" s="6">
        <v>-25000</v>
      </c>
      <c r="I11" s="6">
        <v>-23000</v>
      </c>
      <c r="J11" s="6">
        <v>-19000</v>
      </c>
      <c r="K11" s="6">
        <v>-21000</v>
      </c>
      <c r="L11" s="6">
        <v>-17000</v>
      </c>
      <c r="M11" s="6">
        <v>-12000</v>
      </c>
      <c r="N11" s="6">
        <v>-16000</v>
      </c>
      <c r="O11" s="6">
        <v>-17000</v>
      </c>
      <c r="P11" s="6">
        <v>-19000</v>
      </c>
      <c r="R11" s="6">
        <f t="shared" si="0"/>
        <v>-247000</v>
      </c>
      <c r="T11" s="56"/>
    </row>
    <row r="12" spans="1:20" x14ac:dyDescent="0.2">
      <c r="B12" s="13" t="s">
        <v>20</v>
      </c>
      <c r="C12" s="14">
        <f t="shared" ref="C12:P12" si="4">SUM(C10:C11)</f>
        <v>-86000</v>
      </c>
      <c r="D12" s="14">
        <f t="shared" si="4"/>
        <v>-78000</v>
      </c>
      <c r="E12" s="14">
        <f t="shared" si="4"/>
        <v>-76000</v>
      </c>
      <c r="F12" s="14">
        <f t="shared" si="4"/>
        <v>-82000</v>
      </c>
      <c r="G12" s="14">
        <f t="shared" si="4"/>
        <v>-71500</v>
      </c>
      <c r="H12" s="14">
        <f t="shared" si="4"/>
        <v>-83000</v>
      </c>
      <c r="I12" s="14">
        <f t="shared" si="4"/>
        <v>-79000</v>
      </c>
      <c r="J12" s="14">
        <f t="shared" si="4"/>
        <v>-81000</v>
      </c>
      <c r="K12" s="14">
        <f t="shared" si="4"/>
        <v>-68000</v>
      </c>
      <c r="L12" s="14">
        <f t="shared" si="4"/>
        <v>-52000</v>
      </c>
      <c r="M12" s="14">
        <f t="shared" si="4"/>
        <v>-54000</v>
      </c>
      <c r="N12" s="14">
        <f t="shared" si="4"/>
        <v>-54000</v>
      </c>
      <c r="O12" s="14">
        <f t="shared" si="4"/>
        <v>-58000</v>
      </c>
      <c r="P12" s="14">
        <f t="shared" si="4"/>
        <v>-66000</v>
      </c>
      <c r="R12" s="14">
        <f t="shared" si="0"/>
        <v>-824500</v>
      </c>
      <c r="T12" s="56"/>
    </row>
    <row r="13" spans="1:20" x14ac:dyDescent="0.2">
      <c r="B13" s="5" t="s">
        <v>21</v>
      </c>
      <c r="C13" s="6">
        <v>-16500</v>
      </c>
      <c r="D13" s="6">
        <v>-16500</v>
      </c>
      <c r="E13" s="6">
        <v>-18000</v>
      </c>
      <c r="F13" s="6">
        <v>-18000</v>
      </c>
      <c r="G13" s="6">
        <v>-18000</v>
      </c>
      <c r="H13" s="6">
        <v>-18000</v>
      </c>
      <c r="I13" s="6">
        <v>-18000</v>
      </c>
      <c r="J13" s="6">
        <v>-18000</v>
      </c>
      <c r="K13" s="6">
        <v>-18000</v>
      </c>
      <c r="L13" s="6">
        <v>-18000</v>
      </c>
      <c r="M13" s="6">
        <v>-18000</v>
      </c>
      <c r="N13" s="6">
        <v>-18000</v>
      </c>
      <c r="O13" s="6">
        <v>-18000</v>
      </c>
      <c r="P13" s="6">
        <v>-18000</v>
      </c>
      <c r="R13" s="6">
        <f t="shared" si="0"/>
        <v>-216000</v>
      </c>
      <c r="T13" s="2" t="s">
        <v>40</v>
      </c>
    </row>
    <row r="14" spans="1:20" x14ac:dyDescent="0.2">
      <c r="B14" s="5" t="s">
        <v>22</v>
      </c>
      <c r="C14" s="6">
        <v>-4000</v>
      </c>
      <c r="D14" s="6">
        <v>-4000</v>
      </c>
      <c r="E14" s="6">
        <v>-16000</v>
      </c>
      <c r="F14" s="6">
        <v>-4000</v>
      </c>
      <c r="G14" s="6">
        <v>-4000</v>
      </c>
      <c r="H14" s="6">
        <v>-6000</v>
      </c>
      <c r="I14" s="6">
        <v>-4000</v>
      </c>
      <c r="J14" s="6">
        <v>-4000</v>
      </c>
      <c r="K14" s="6">
        <v>-6000</v>
      </c>
      <c r="L14" s="6">
        <v>-4000</v>
      </c>
      <c r="M14" s="6">
        <v>-4000</v>
      </c>
      <c r="N14" s="6">
        <v>-6000</v>
      </c>
      <c r="O14" s="6">
        <v>-4000</v>
      </c>
      <c r="P14" s="6">
        <v>-4000</v>
      </c>
      <c r="R14" s="6">
        <f t="shared" si="0"/>
        <v>-66000</v>
      </c>
      <c r="T14" s="2" t="s">
        <v>42</v>
      </c>
    </row>
    <row r="15" spans="1:20" x14ac:dyDescent="0.2">
      <c r="B15" s="5" t="s">
        <v>23</v>
      </c>
      <c r="C15" s="6">
        <v>-19150</v>
      </c>
      <c r="D15" s="6">
        <v>-11450</v>
      </c>
      <c r="E15" s="6">
        <v>-12600</v>
      </c>
      <c r="F15" s="6">
        <v>-12900</v>
      </c>
      <c r="G15" s="6">
        <v>-15600</v>
      </c>
      <c r="H15" s="6">
        <v>-14950</v>
      </c>
      <c r="I15" s="6">
        <v>-15650</v>
      </c>
      <c r="J15" s="6">
        <v>-11800</v>
      </c>
      <c r="K15" s="6">
        <v>-16250</v>
      </c>
      <c r="L15" s="6">
        <v>-13300</v>
      </c>
      <c r="M15" s="6">
        <v>-17950</v>
      </c>
      <c r="N15" s="6">
        <v>-13250</v>
      </c>
      <c r="O15" s="6">
        <v>-15850</v>
      </c>
      <c r="P15" s="6">
        <v>-14100</v>
      </c>
      <c r="R15" s="6">
        <f t="shared" si="0"/>
        <v>-174200</v>
      </c>
      <c r="T15" s="2" t="s">
        <v>42</v>
      </c>
    </row>
    <row r="16" spans="1:20" x14ac:dyDescent="0.2">
      <c r="B16" s="5" t="s">
        <v>24</v>
      </c>
      <c r="C16" s="6">
        <v>-3750</v>
      </c>
      <c r="D16" s="6">
        <v>-3750</v>
      </c>
      <c r="E16" s="6">
        <v>-3750</v>
      </c>
      <c r="F16" s="6">
        <v>-3750</v>
      </c>
      <c r="G16" s="6">
        <v>-3750</v>
      </c>
      <c r="H16" s="6">
        <v>-3750</v>
      </c>
      <c r="I16" s="6">
        <v>-3750</v>
      </c>
      <c r="J16" s="6">
        <v>-3750</v>
      </c>
      <c r="K16" s="6">
        <v>-3750</v>
      </c>
      <c r="L16" s="6">
        <v>-3750</v>
      </c>
      <c r="M16" s="6">
        <v>-3750</v>
      </c>
      <c r="N16" s="6">
        <v>-3750</v>
      </c>
      <c r="O16" s="6">
        <v>-3750</v>
      </c>
      <c r="P16" s="6">
        <v>-3750</v>
      </c>
      <c r="R16" s="6">
        <f t="shared" si="0"/>
        <v>-45000</v>
      </c>
      <c r="T16" s="2" t="s">
        <v>41</v>
      </c>
    </row>
    <row r="17" spans="2:20" x14ac:dyDescent="0.2">
      <c r="B17" s="5" t="s">
        <v>25</v>
      </c>
      <c r="C17" s="6">
        <v>-2500</v>
      </c>
      <c r="D17" s="6">
        <v>-7500</v>
      </c>
      <c r="E17" s="6">
        <v>-2500</v>
      </c>
      <c r="F17" s="6">
        <v>-2500</v>
      </c>
      <c r="G17" s="6">
        <v>-2500</v>
      </c>
      <c r="H17" s="6">
        <v>-2500</v>
      </c>
      <c r="I17" s="6">
        <v>-2500</v>
      </c>
      <c r="J17" s="6">
        <v>-2500</v>
      </c>
      <c r="K17" s="6">
        <v>-2500</v>
      </c>
      <c r="L17" s="6">
        <v>-2500</v>
      </c>
      <c r="M17" s="6">
        <v>-2500</v>
      </c>
      <c r="N17" s="6">
        <v>-2500</v>
      </c>
      <c r="O17" s="6">
        <v>-2500</v>
      </c>
      <c r="P17" s="6">
        <v>-7500</v>
      </c>
      <c r="R17" s="6">
        <f t="shared" si="0"/>
        <v>-35000</v>
      </c>
      <c r="T17" s="2" t="s">
        <v>42</v>
      </c>
    </row>
    <row r="18" spans="2:20" x14ac:dyDescent="0.2">
      <c r="B18" s="5" t="s">
        <v>26</v>
      </c>
      <c r="C18" s="6">
        <v>-4500</v>
      </c>
      <c r="D18" s="6">
        <v>-4500</v>
      </c>
      <c r="E18" s="6">
        <v>-4500</v>
      </c>
      <c r="F18" s="6">
        <v>-4500</v>
      </c>
      <c r="G18" s="6">
        <v>-4500</v>
      </c>
      <c r="H18" s="6">
        <v>-4500</v>
      </c>
      <c r="I18" s="6">
        <v>-4500</v>
      </c>
      <c r="J18" s="6">
        <v>-4500</v>
      </c>
      <c r="K18" s="6">
        <v>-4500</v>
      </c>
      <c r="L18" s="6">
        <v>-4500</v>
      </c>
      <c r="M18" s="6">
        <v>-4500</v>
      </c>
      <c r="N18" s="6">
        <v>-4500</v>
      </c>
      <c r="O18" s="6">
        <v>-4500</v>
      </c>
      <c r="P18" s="6">
        <v>-4500</v>
      </c>
      <c r="R18" s="6">
        <f t="shared" si="0"/>
        <v>-54000</v>
      </c>
      <c r="T18" s="2" t="s">
        <v>43</v>
      </c>
    </row>
    <row r="19" spans="2:20" x14ac:dyDescent="0.2">
      <c r="B19" s="13" t="s">
        <v>27</v>
      </c>
      <c r="C19" s="14">
        <f t="shared" ref="C19:P19" si="5">SUM(C13:C18)</f>
        <v>-50400</v>
      </c>
      <c r="D19" s="14">
        <f t="shared" si="5"/>
        <v>-47700</v>
      </c>
      <c r="E19" s="14">
        <f t="shared" si="5"/>
        <v>-57350</v>
      </c>
      <c r="F19" s="14">
        <f t="shared" si="5"/>
        <v>-45650</v>
      </c>
      <c r="G19" s="14">
        <f t="shared" si="5"/>
        <v>-48350</v>
      </c>
      <c r="H19" s="14">
        <f t="shared" si="5"/>
        <v>-49700</v>
      </c>
      <c r="I19" s="14">
        <f t="shared" si="5"/>
        <v>-48400</v>
      </c>
      <c r="J19" s="14">
        <f t="shared" si="5"/>
        <v>-44550</v>
      </c>
      <c r="K19" s="14">
        <f t="shared" si="5"/>
        <v>-51000</v>
      </c>
      <c r="L19" s="14">
        <f t="shared" si="5"/>
        <v>-46050</v>
      </c>
      <c r="M19" s="14">
        <f t="shared" si="5"/>
        <v>-50700</v>
      </c>
      <c r="N19" s="14">
        <f t="shared" si="5"/>
        <v>-48000</v>
      </c>
      <c r="O19" s="14">
        <f t="shared" si="5"/>
        <v>-48600</v>
      </c>
      <c r="P19" s="14">
        <f t="shared" si="5"/>
        <v>-51850</v>
      </c>
      <c r="R19" s="14">
        <f t="shared" si="0"/>
        <v>-590200</v>
      </c>
    </row>
    <row r="20" spans="2:20" x14ac:dyDescent="0.2">
      <c r="B20" s="5" t="s">
        <v>28</v>
      </c>
      <c r="C20" s="6">
        <v>-35248.5</v>
      </c>
      <c r="D20" s="6">
        <v>-5155.5</v>
      </c>
      <c r="E20" s="6">
        <v>-3024</v>
      </c>
      <c r="F20" s="6">
        <v>-5481</v>
      </c>
      <c r="G20" s="6">
        <v>-18459</v>
      </c>
      <c r="H20" s="6">
        <v>-13030.5</v>
      </c>
      <c r="I20" s="6">
        <v>-17083.5</v>
      </c>
      <c r="J20" s="6">
        <v>-1302</v>
      </c>
      <c r="K20" s="6">
        <v>-21367.5</v>
      </c>
      <c r="L20" s="6">
        <v>-9177</v>
      </c>
      <c r="M20" s="6">
        <v>-30040.5</v>
      </c>
      <c r="N20" s="6">
        <v>-7507.5</v>
      </c>
      <c r="O20" s="6">
        <v>-18091.5</v>
      </c>
      <c r="P20" s="6">
        <v>-11109</v>
      </c>
      <c r="R20" s="6">
        <f t="shared" si="0"/>
        <v>-155673</v>
      </c>
      <c r="T20" s="2" t="s">
        <v>45</v>
      </c>
    </row>
    <row r="21" spans="2:20" x14ac:dyDescent="0.2">
      <c r="B21" s="5" t="s">
        <v>29</v>
      </c>
      <c r="C21" s="6">
        <v>-3000</v>
      </c>
      <c r="D21" s="6">
        <v>-3000</v>
      </c>
      <c r="E21" s="6">
        <v>-3000</v>
      </c>
      <c r="F21" s="6">
        <v>-3000</v>
      </c>
      <c r="G21" s="6">
        <v>-3000</v>
      </c>
      <c r="H21" s="6">
        <v>-3000</v>
      </c>
      <c r="I21" s="6">
        <v>-3000</v>
      </c>
      <c r="J21" s="6">
        <v>-3000</v>
      </c>
      <c r="K21" s="6">
        <v>-3000</v>
      </c>
      <c r="L21" s="6">
        <v>-3000</v>
      </c>
      <c r="M21" s="6">
        <v>-3000</v>
      </c>
      <c r="N21" s="6">
        <v>-3000</v>
      </c>
      <c r="O21" s="6">
        <v>-3000</v>
      </c>
      <c r="P21" s="6">
        <v>-3000</v>
      </c>
      <c r="R21" s="6">
        <f t="shared" si="0"/>
        <v>-36000</v>
      </c>
      <c r="T21" s="2" t="s">
        <v>44</v>
      </c>
    </row>
    <row r="22" spans="2:20" x14ac:dyDescent="0.2">
      <c r="B22" s="13" t="s">
        <v>30</v>
      </c>
      <c r="C22" s="14">
        <f t="shared" ref="C22:P22" si="6">SUM(C20:C21)</f>
        <v>-38248.5</v>
      </c>
      <c r="D22" s="14">
        <f t="shared" si="6"/>
        <v>-8155.5</v>
      </c>
      <c r="E22" s="14">
        <f t="shared" si="6"/>
        <v>-6024</v>
      </c>
      <c r="F22" s="14">
        <f t="shared" si="6"/>
        <v>-8481</v>
      </c>
      <c r="G22" s="14">
        <f t="shared" si="6"/>
        <v>-21459</v>
      </c>
      <c r="H22" s="14">
        <f t="shared" si="6"/>
        <v>-16030.5</v>
      </c>
      <c r="I22" s="14">
        <f t="shared" si="6"/>
        <v>-20083.5</v>
      </c>
      <c r="J22" s="14">
        <f t="shared" si="6"/>
        <v>-4302</v>
      </c>
      <c r="K22" s="14">
        <f t="shared" si="6"/>
        <v>-24367.5</v>
      </c>
      <c r="L22" s="14">
        <f t="shared" si="6"/>
        <v>-12177</v>
      </c>
      <c r="M22" s="14">
        <f t="shared" si="6"/>
        <v>-33040.5</v>
      </c>
      <c r="N22" s="14">
        <f t="shared" si="6"/>
        <v>-10507.5</v>
      </c>
      <c r="O22" s="14">
        <f t="shared" si="6"/>
        <v>-21091.5</v>
      </c>
      <c r="P22" s="14">
        <f t="shared" si="6"/>
        <v>-14109</v>
      </c>
      <c r="R22" s="14">
        <f t="shared" si="0"/>
        <v>-191673</v>
      </c>
    </row>
    <row r="23" spans="2:20" x14ac:dyDescent="0.2">
      <c r="B23" s="5" t="s">
        <v>31</v>
      </c>
      <c r="C23" s="6">
        <v>-1000</v>
      </c>
      <c r="D23" s="6">
        <v>-1000</v>
      </c>
      <c r="E23" s="6">
        <v>-1000</v>
      </c>
      <c r="F23" s="6">
        <v>-1000</v>
      </c>
      <c r="G23" s="6">
        <v>-1000</v>
      </c>
      <c r="H23" s="6">
        <v>-1000</v>
      </c>
      <c r="I23" s="6">
        <v>-1000</v>
      </c>
      <c r="J23" s="6">
        <v>-1000</v>
      </c>
      <c r="K23" s="6">
        <v>-1000</v>
      </c>
      <c r="L23" s="6">
        <v>-1000</v>
      </c>
      <c r="M23" s="6">
        <v>-1000</v>
      </c>
      <c r="N23" s="6">
        <v>-1000</v>
      </c>
      <c r="O23" s="6">
        <v>-1000</v>
      </c>
      <c r="P23" s="6">
        <v>-1000</v>
      </c>
      <c r="R23" s="6">
        <f t="shared" si="0"/>
        <v>-12000</v>
      </c>
    </row>
    <row r="24" spans="2:20" x14ac:dyDescent="0.2">
      <c r="B24" s="5" t="s">
        <v>32</v>
      </c>
      <c r="C24" s="6">
        <v>-2500</v>
      </c>
      <c r="D24" s="6">
        <v>-2500</v>
      </c>
      <c r="E24" s="6">
        <v>-2500</v>
      </c>
      <c r="F24" s="6">
        <v>-2500</v>
      </c>
      <c r="G24" s="6">
        <v>-2500</v>
      </c>
      <c r="H24" s="6">
        <v>-2500</v>
      </c>
      <c r="I24" s="6">
        <v>-2500</v>
      </c>
      <c r="J24" s="6">
        <v>-2500</v>
      </c>
      <c r="K24" s="6">
        <v>-2500</v>
      </c>
      <c r="L24" s="6">
        <v>-2500</v>
      </c>
      <c r="M24" s="6">
        <v>-2500</v>
      </c>
      <c r="N24" s="6">
        <v>-2500</v>
      </c>
      <c r="O24" s="6">
        <v>-2500</v>
      </c>
      <c r="P24" s="6">
        <v>-2500</v>
      </c>
      <c r="R24" s="6">
        <f t="shared" si="0"/>
        <v>-30000</v>
      </c>
    </row>
    <row r="25" spans="2:20" x14ac:dyDescent="0.2">
      <c r="B25" s="15" t="s">
        <v>33</v>
      </c>
      <c r="C25" s="16">
        <f t="shared" ref="C25:P25" si="7">+C9+C12+C19+C22+C23+C24</f>
        <v>-250398.5</v>
      </c>
      <c r="D25" s="16">
        <f t="shared" si="7"/>
        <v>-209605.5</v>
      </c>
      <c r="E25" s="16">
        <f t="shared" si="7"/>
        <v>-240624</v>
      </c>
      <c r="F25" s="16">
        <f t="shared" si="7"/>
        <v>-237381</v>
      </c>
      <c r="G25" s="16">
        <f t="shared" si="7"/>
        <v>-242559</v>
      </c>
      <c r="H25" s="16">
        <f t="shared" si="7"/>
        <v>-249980.5</v>
      </c>
      <c r="I25" s="16">
        <f t="shared" si="7"/>
        <v>-248733.5</v>
      </c>
      <c r="J25" s="16">
        <f t="shared" si="7"/>
        <v>-231102</v>
      </c>
      <c r="K25" s="16">
        <f t="shared" si="7"/>
        <v>-244617.5</v>
      </c>
      <c r="L25" s="16">
        <f t="shared" si="7"/>
        <v>-211477</v>
      </c>
      <c r="M25" s="16">
        <f t="shared" si="7"/>
        <v>-238990.5</v>
      </c>
      <c r="N25" s="16">
        <f t="shared" si="7"/>
        <v>-213757.5</v>
      </c>
      <c r="O25" s="16">
        <f t="shared" si="7"/>
        <v>-228941.5</v>
      </c>
      <c r="P25" s="16">
        <f t="shared" si="7"/>
        <v>-233209</v>
      </c>
      <c r="R25" s="16">
        <f t="shared" si="0"/>
        <v>-2821373</v>
      </c>
    </row>
    <row r="27" spans="2:20" x14ac:dyDescent="0.2">
      <c r="B27" s="17" t="s">
        <v>37</v>
      </c>
      <c r="C27" s="18">
        <f>+C5+C25</f>
        <v>132601.5</v>
      </c>
      <c r="D27" s="18">
        <f t="shared" ref="D27:P27" si="8">+D5+D25</f>
        <v>19394.5</v>
      </c>
      <c r="E27" s="18">
        <f t="shared" si="8"/>
        <v>11376</v>
      </c>
      <c r="F27" s="18">
        <f t="shared" si="8"/>
        <v>20619</v>
      </c>
      <c r="G27" s="18">
        <f t="shared" si="8"/>
        <v>69441</v>
      </c>
      <c r="H27" s="18">
        <f t="shared" si="8"/>
        <v>49019.5</v>
      </c>
      <c r="I27" s="18">
        <f t="shared" si="8"/>
        <v>64266.5</v>
      </c>
      <c r="J27" s="18">
        <f t="shared" si="8"/>
        <v>4898</v>
      </c>
      <c r="K27" s="18">
        <f t="shared" si="8"/>
        <v>80382.5</v>
      </c>
      <c r="L27" s="18">
        <f t="shared" si="8"/>
        <v>54523</v>
      </c>
      <c r="M27" s="18">
        <f t="shared" si="8"/>
        <v>120009.5</v>
      </c>
      <c r="N27" s="18">
        <f t="shared" si="8"/>
        <v>51242.5</v>
      </c>
      <c r="O27" s="18">
        <f t="shared" si="8"/>
        <v>88058.5</v>
      </c>
      <c r="P27" s="18">
        <f t="shared" si="8"/>
        <v>48791</v>
      </c>
      <c r="R27" s="18">
        <f t="shared" ref="R27" si="9">+SUM(E27:P27)</f>
        <v>662627</v>
      </c>
    </row>
    <row r="28" spans="2:20" x14ac:dyDescent="0.2">
      <c r="R28" s="7"/>
    </row>
    <row r="29" spans="2:20" x14ac:dyDescent="0.2"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</row>
    <row r="30" spans="2:20" x14ac:dyDescent="0.2">
      <c r="B30" s="8" t="s">
        <v>46</v>
      </c>
    </row>
    <row r="31" spans="2:20" x14ac:dyDescent="0.2">
      <c r="B31" s="2" t="s">
        <v>48</v>
      </c>
    </row>
    <row r="33" spans="2:18" x14ac:dyDescent="0.2">
      <c r="B33" s="2" t="s">
        <v>49</v>
      </c>
    </row>
    <row r="34" spans="2:18" x14ac:dyDescent="0.2">
      <c r="B34" s="5" t="s">
        <v>50</v>
      </c>
      <c r="C34" s="6"/>
      <c r="D34" s="6"/>
      <c r="E34" s="6">
        <v>-70000</v>
      </c>
      <c r="F34" s="6">
        <v>-50000</v>
      </c>
      <c r="G34" s="6">
        <v>-15000</v>
      </c>
      <c r="H34" s="6">
        <v>-5000</v>
      </c>
      <c r="I34" s="6">
        <v>-2000</v>
      </c>
      <c r="J34" s="6">
        <v>-12000</v>
      </c>
      <c r="K34" s="6">
        <v>-2000</v>
      </c>
      <c r="L34" s="6">
        <v>-2000</v>
      </c>
      <c r="M34" s="6">
        <v>-9000</v>
      </c>
      <c r="N34" s="6">
        <v>-8500</v>
      </c>
      <c r="O34" s="6">
        <v>-2000</v>
      </c>
      <c r="P34" s="6">
        <v>-2000</v>
      </c>
      <c r="R34" s="6">
        <f t="shared" ref="R34" si="10">+SUM(E34:P34)</f>
        <v>-179500</v>
      </c>
    </row>
    <row r="35" spans="2:18" x14ac:dyDescent="0.2">
      <c r="P35" s="9"/>
    </row>
    <row r="36" spans="2:18" x14ac:dyDescent="0.2">
      <c r="P36" s="9"/>
    </row>
    <row r="37" spans="2:18" x14ac:dyDescent="0.2">
      <c r="P37" s="9"/>
    </row>
    <row r="38" spans="2:18" x14ac:dyDescent="0.2">
      <c r="P38" s="9"/>
    </row>
    <row r="39" spans="2:18" x14ac:dyDescent="0.2">
      <c r="P39" s="9"/>
    </row>
    <row r="40" spans="2:18" x14ac:dyDescent="0.2">
      <c r="P40" s="9"/>
    </row>
    <row r="41" spans="2:18" x14ac:dyDescent="0.2">
      <c r="P41" s="33"/>
    </row>
    <row r="42" spans="2:18" x14ac:dyDescent="0.2">
      <c r="P42" s="33"/>
    </row>
    <row r="43" spans="2:18" x14ac:dyDescent="0.2">
      <c r="P43" s="9"/>
    </row>
    <row r="44" spans="2:18" x14ac:dyDescent="0.2">
      <c r="P44" s="9"/>
    </row>
    <row r="45" spans="2:18" x14ac:dyDescent="0.2">
      <c r="P45" s="33"/>
    </row>
    <row r="46" spans="2:18" x14ac:dyDescent="0.2">
      <c r="P46" s="9"/>
    </row>
    <row r="47" spans="2:18" x14ac:dyDescent="0.2">
      <c r="P47" s="9"/>
    </row>
    <row r="48" spans="2:18" x14ac:dyDescent="0.2">
      <c r="P48" s="9"/>
    </row>
    <row r="49" spans="16:16" x14ac:dyDescent="0.2">
      <c r="P49" s="9"/>
    </row>
    <row r="50" spans="16:16" x14ac:dyDescent="0.2">
      <c r="P50" s="9"/>
    </row>
    <row r="51" spans="16:16" x14ac:dyDescent="0.2">
      <c r="P51" s="9"/>
    </row>
    <row r="52" spans="16:16" x14ac:dyDescent="0.2">
      <c r="P52" s="33"/>
    </row>
    <row r="53" spans="16:16" x14ac:dyDescent="0.2">
      <c r="P53" s="9"/>
    </row>
    <row r="54" spans="16:16" x14ac:dyDescent="0.2">
      <c r="P54" s="9"/>
    </row>
    <row r="55" spans="16:16" x14ac:dyDescent="0.2">
      <c r="P55" s="9"/>
    </row>
    <row r="56" spans="16:16" x14ac:dyDescent="0.2">
      <c r="P56" s="9"/>
    </row>
    <row r="57" spans="16:16" x14ac:dyDescent="0.2">
      <c r="P57" s="9"/>
    </row>
    <row r="58" spans="16:16" x14ac:dyDescent="0.2">
      <c r="P58" s="33"/>
    </row>
    <row r="59" spans="16:16" x14ac:dyDescent="0.2">
      <c r="P59" s="9"/>
    </row>
    <row r="60" spans="16:16" x14ac:dyDescent="0.2">
      <c r="P60" s="9"/>
    </row>
    <row r="61" spans="16:16" x14ac:dyDescent="0.2">
      <c r="P61" s="33"/>
    </row>
    <row r="62" spans="16:16" x14ac:dyDescent="0.2">
      <c r="P62" s="33"/>
    </row>
    <row r="63" spans="16:16" x14ac:dyDescent="0.2">
      <c r="P63" s="33"/>
    </row>
  </sheetData>
  <mergeCells count="1">
    <mergeCell ref="T10:T12"/>
  </mergeCells>
  <conditionalFormatting sqref="P63">
    <cfRule type="cellIs" dxfId="4" priority="1" stopIfTrue="1" operator="lessThan">
      <formula>0</formula>
    </cfRule>
  </conditionalFormatting>
  <pageMargins left="0.70000000000000007" right="0.70000000000000007" top="0.75" bottom="0.75" header="0.30000000000000004" footer="0.30000000000000004"/>
  <pageSetup paperSize="9" fitToWidth="0" fitToHeight="0" orientation="portrait" r:id="rId1"/>
  <ignoredErrors>
    <ignoredError sqref="R5:R11 R12:R19 R20:R25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414DB-6D68-4011-A01A-0FC503863C19}">
  <dimension ref="A1:W33"/>
  <sheetViews>
    <sheetView tabSelected="1" workbookViewId="0">
      <selection activeCell="W32" sqref="W32"/>
    </sheetView>
  </sheetViews>
  <sheetFormatPr defaultRowHeight="15" x14ac:dyDescent="0.25"/>
  <cols>
    <col min="2" max="2" width="16" customWidth="1"/>
  </cols>
  <sheetData>
    <row r="1" spans="1:23" x14ac:dyDescent="0.25">
      <c r="A1" s="35" t="s">
        <v>67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</row>
    <row r="2" spans="1:23" x14ac:dyDescent="0.25">
      <c r="A2" s="35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</row>
    <row r="3" spans="1:23" x14ac:dyDescent="0.25">
      <c r="A3" s="36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</row>
    <row r="4" spans="1:23" x14ac:dyDescent="0.25">
      <c r="A4" s="36"/>
      <c r="B4" s="37" t="s">
        <v>0</v>
      </c>
      <c r="C4" s="38" t="s">
        <v>1</v>
      </c>
      <c r="D4" s="38" t="s">
        <v>2</v>
      </c>
      <c r="E4" s="38" t="s">
        <v>3</v>
      </c>
      <c r="F4" s="38" t="s">
        <v>4</v>
      </c>
      <c r="G4" s="38" t="s">
        <v>5</v>
      </c>
      <c r="H4" s="38" t="s">
        <v>6</v>
      </c>
      <c r="I4" s="38" t="s">
        <v>7</v>
      </c>
      <c r="J4" s="38" t="s">
        <v>8</v>
      </c>
      <c r="K4" s="38" t="s">
        <v>9</v>
      </c>
      <c r="L4" s="38" t="s">
        <v>10</v>
      </c>
      <c r="M4" s="38" t="s">
        <v>11</v>
      </c>
      <c r="N4" s="38" t="s">
        <v>12</v>
      </c>
      <c r="O4" s="38" t="s">
        <v>13</v>
      </c>
      <c r="P4" s="38" t="s">
        <v>14</v>
      </c>
      <c r="Q4" s="36"/>
      <c r="R4" s="38" t="s">
        <v>34</v>
      </c>
      <c r="S4" s="36"/>
      <c r="T4" s="38" t="s">
        <v>68</v>
      </c>
      <c r="U4" s="36"/>
      <c r="V4" s="38" t="s">
        <v>69</v>
      </c>
      <c r="W4" s="36"/>
    </row>
    <row r="5" spans="1:23" x14ac:dyDescent="0.25">
      <c r="A5" s="36"/>
      <c r="B5" s="39" t="s">
        <v>70</v>
      </c>
      <c r="C5" s="40">
        <v>54000</v>
      </c>
      <c r="D5" s="40">
        <v>21000</v>
      </c>
      <c r="E5" s="40">
        <v>32000</v>
      </c>
      <c r="F5" s="40">
        <v>34000</v>
      </c>
      <c r="G5" s="40">
        <v>21000</v>
      </c>
      <c r="H5" s="40">
        <v>25000</v>
      </c>
      <c r="I5" s="40">
        <v>45000</v>
      </c>
      <c r="J5" s="40">
        <v>10000</v>
      </c>
      <c r="K5" s="40">
        <v>45000</v>
      </c>
      <c r="L5" s="40">
        <v>28000</v>
      </c>
      <c r="M5" s="40">
        <v>32000</v>
      </c>
      <c r="N5" s="40">
        <v>38000</v>
      </c>
      <c r="O5" s="40">
        <v>17000</v>
      </c>
      <c r="P5" s="40">
        <v>48000</v>
      </c>
      <c r="Q5" s="36"/>
      <c r="R5" s="40">
        <f t="shared" ref="R5:R15" si="0">+SUM(E5:P5)</f>
        <v>375000</v>
      </c>
      <c r="S5" s="36"/>
      <c r="T5" s="36" t="s">
        <v>71</v>
      </c>
      <c r="U5" s="36"/>
      <c r="V5" s="41">
        <v>0.21</v>
      </c>
      <c r="W5" s="36"/>
    </row>
    <row r="6" spans="1:23" x14ac:dyDescent="0.25">
      <c r="A6" s="36"/>
      <c r="B6" s="39" t="s">
        <v>72</v>
      </c>
      <c r="C6" s="40">
        <v>26000</v>
      </c>
      <c r="D6" s="40">
        <v>6000</v>
      </c>
      <c r="E6" s="40">
        <v>4000</v>
      </c>
      <c r="F6" s="40">
        <v>50000</v>
      </c>
      <c r="G6" s="40">
        <v>59000</v>
      </c>
      <c r="H6" s="40">
        <v>10000</v>
      </c>
      <c r="I6" s="40">
        <v>37000</v>
      </c>
      <c r="J6" s="40">
        <v>12000</v>
      </c>
      <c r="K6" s="40">
        <v>54000</v>
      </c>
      <c r="L6" s="40">
        <v>35000</v>
      </c>
      <c r="M6" s="40">
        <v>43000</v>
      </c>
      <c r="N6" s="40">
        <v>30000</v>
      </c>
      <c r="O6" s="40">
        <v>11000</v>
      </c>
      <c r="P6" s="40">
        <v>48000</v>
      </c>
      <c r="Q6" s="36"/>
      <c r="R6" s="40">
        <f t="shared" si="0"/>
        <v>393000</v>
      </c>
      <c r="S6" s="36"/>
      <c r="T6" s="36" t="s">
        <v>73</v>
      </c>
      <c r="U6" s="36"/>
      <c r="V6" s="41">
        <v>0.21</v>
      </c>
      <c r="W6" s="36"/>
    </row>
    <row r="7" spans="1:23" x14ac:dyDescent="0.25">
      <c r="A7" s="36"/>
      <c r="B7" s="39" t="s">
        <v>74</v>
      </c>
      <c r="C7" s="40">
        <v>32000</v>
      </c>
      <c r="D7" s="40">
        <v>7000</v>
      </c>
      <c r="E7" s="40">
        <v>32000</v>
      </c>
      <c r="F7" s="40">
        <v>41000</v>
      </c>
      <c r="G7" s="40">
        <v>44000</v>
      </c>
      <c r="H7" s="40">
        <v>37000</v>
      </c>
      <c r="I7" s="40">
        <v>45000</v>
      </c>
      <c r="J7" s="40">
        <v>21000</v>
      </c>
      <c r="K7" s="40">
        <v>55000</v>
      </c>
      <c r="L7" s="40">
        <v>7000</v>
      </c>
      <c r="M7" s="40">
        <v>11000</v>
      </c>
      <c r="N7" s="40">
        <v>46000</v>
      </c>
      <c r="O7" s="40">
        <v>33000</v>
      </c>
      <c r="P7" s="40">
        <v>31000</v>
      </c>
      <c r="Q7" s="36"/>
      <c r="R7" s="40">
        <f t="shared" si="0"/>
        <v>403000</v>
      </c>
      <c r="S7" s="36"/>
      <c r="T7" s="36" t="s">
        <v>75</v>
      </c>
      <c r="U7" s="36"/>
      <c r="V7" s="41">
        <v>0.21</v>
      </c>
      <c r="W7" s="36"/>
    </row>
    <row r="8" spans="1:23" x14ac:dyDescent="0.25">
      <c r="A8" s="36"/>
      <c r="B8" s="39" t="s">
        <v>76</v>
      </c>
      <c r="C8" s="40">
        <v>37000</v>
      </c>
      <c r="D8" s="40">
        <v>33000</v>
      </c>
      <c r="E8" s="40">
        <v>19000</v>
      </c>
      <c r="F8" s="40">
        <v>33000</v>
      </c>
      <c r="G8" s="40">
        <v>15000</v>
      </c>
      <c r="H8" s="40">
        <v>60000</v>
      </c>
      <c r="I8" s="40">
        <v>13000</v>
      </c>
      <c r="J8" s="40">
        <v>20000</v>
      </c>
      <c r="K8" s="40">
        <v>7000</v>
      </c>
      <c r="L8" s="40">
        <v>48000</v>
      </c>
      <c r="M8" s="40">
        <v>48000</v>
      </c>
      <c r="N8" s="40">
        <v>10000</v>
      </c>
      <c r="O8" s="40">
        <v>45000</v>
      </c>
      <c r="P8" s="40">
        <v>18000</v>
      </c>
      <c r="Q8" s="36"/>
      <c r="R8" s="40">
        <f t="shared" si="0"/>
        <v>336000</v>
      </c>
      <c r="S8" s="36"/>
      <c r="T8" s="36" t="s">
        <v>77</v>
      </c>
      <c r="U8" s="36"/>
      <c r="V8" s="41">
        <v>0.21</v>
      </c>
      <c r="W8" s="36"/>
    </row>
    <row r="9" spans="1:23" x14ac:dyDescent="0.25">
      <c r="A9" s="36"/>
      <c r="B9" s="39" t="s">
        <v>78</v>
      </c>
      <c r="C9" s="40">
        <v>18000</v>
      </c>
      <c r="D9" s="40">
        <v>45000</v>
      </c>
      <c r="E9" s="40">
        <v>41000</v>
      </c>
      <c r="F9" s="40">
        <v>5000</v>
      </c>
      <c r="G9" s="40">
        <v>46000</v>
      </c>
      <c r="H9" s="40">
        <v>45000</v>
      </c>
      <c r="I9" s="40">
        <v>0</v>
      </c>
      <c r="J9" s="40">
        <v>21000</v>
      </c>
      <c r="K9" s="40">
        <v>31000</v>
      </c>
      <c r="L9" s="40">
        <v>38000</v>
      </c>
      <c r="M9" s="40">
        <v>18000</v>
      </c>
      <c r="N9" s="40">
        <v>19000</v>
      </c>
      <c r="O9" s="40">
        <v>44000</v>
      </c>
      <c r="P9" s="40">
        <v>16000</v>
      </c>
      <c r="Q9" s="36"/>
      <c r="R9" s="40">
        <f t="shared" si="0"/>
        <v>324000</v>
      </c>
      <c r="S9" s="36"/>
      <c r="T9" s="36" t="s">
        <v>73</v>
      </c>
      <c r="U9" s="36"/>
      <c r="V9" s="41"/>
      <c r="W9" s="36" t="s">
        <v>79</v>
      </c>
    </row>
    <row r="10" spans="1:23" x14ac:dyDescent="0.25">
      <c r="A10" s="36"/>
      <c r="B10" s="39" t="s">
        <v>80</v>
      </c>
      <c r="C10" s="40">
        <v>24000</v>
      </c>
      <c r="D10" s="40">
        <v>15000</v>
      </c>
      <c r="E10" s="40">
        <v>4000</v>
      </c>
      <c r="F10" s="40">
        <v>23000</v>
      </c>
      <c r="G10" s="40">
        <v>27000</v>
      </c>
      <c r="H10" s="40">
        <v>30000</v>
      </c>
      <c r="I10" s="40">
        <v>42000</v>
      </c>
      <c r="J10" s="40">
        <v>42000</v>
      </c>
      <c r="K10" s="40">
        <v>14000</v>
      </c>
      <c r="L10" s="40">
        <v>41000</v>
      </c>
      <c r="M10" s="40">
        <v>57000</v>
      </c>
      <c r="N10" s="40">
        <v>28000</v>
      </c>
      <c r="O10" s="40">
        <v>32000</v>
      </c>
      <c r="P10" s="40">
        <v>17000</v>
      </c>
      <c r="Q10" s="36"/>
      <c r="R10" s="40">
        <f t="shared" si="0"/>
        <v>357000</v>
      </c>
      <c r="S10" s="36"/>
      <c r="T10" s="36" t="s">
        <v>81</v>
      </c>
      <c r="U10" s="36"/>
      <c r="V10" s="41">
        <v>0.21</v>
      </c>
      <c r="W10" s="36"/>
    </row>
    <row r="11" spans="1:23" x14ac:dyDescent="0.25">
      <c r="A11" s="36"/>
      <c r="B11" s="39" t="s">
        <v>82</v>
      </c>
      <c r="C11" s="40">
        <v>29000</v>
      </c>
      <c r="D11" s="40">
        <v>0</v>
      </c>
      <c r="E11" s="40">
        <v>5000</v>
      </c>
      <c r="F11" s="40">
        <v>31000</v>
      </c>
      <c r="G11" s="40">
        <v>23000</v>
      </c>
      <c r="H11" s="40">
        <v>26000</v>
      </c>
      <c r="I11" s="40">
        <v>41000</v>
      </c>
      <c r="J11" s="40">
        <v>31000</v>
      </c>
      <c r="K11" s="40">
        <v>15000</v>
      </c>
      <c r="L11" s="40">
        <v>26000</v>
      </c>
      <c r="M11" s="40">
        <v>33000</v>
      </c>
      <c r="N11" s="40">
        <v>35000</v>
      </c>
      <c r="O11" s="40">
        <v>0</v>
      </c>
      <c r="P11" s="40">
        <v>45000</v>
      </c>
      <c r="Q11" s="36"/>
      <c r="R11" s="40">
        <f t="shared" si="0"/>
        <v>311000</v>
      </c>
      <c r="S11" s="36"/>
      <c r="T11" s="36" t="s">
        <v>71</v>
      </c>
      <c r="U11" s="36"/>
      <c r="V11" s="41">
        <v>0.21</v>
      </c>
      <c r="W11" s="36"/>
    </row>
    <row r="12" spans="1:23" x14ac:dyDescent="0.25">
      <c r="A12" s="36"/>
      <c r="B12" s="39" t="s">
        <v>83</v>
      </c>
      <c r="C12" s="40">
        <v>44000</v>
      </c>
      <c r="D12" s="40">
        <v>39000</v>
      </c>
      <c r="E12" s="40">
        <v>50000</v>
      </c>
      <c r="F12" s="40">
        <v>13000</v>
      </c>
      <c r="G12" s="40">
        <v>0</v>
      </c>
      <c r="H12" s="40">
        <v>4000</v>
      </c>
      <c r="I12" s="40">
        <v>15000</v>
      </c>
      <c r="J12" s="40">
        <v>28000</v>
      </c>
      <c r="K12" s="40">
        <v>39000</v>
      </c>
      <c r="L12" s="40">
        <v>0</v>
      </c>
      <c r="M12" s="40">
        <v>25000</v>
      </c>
      <c r="N12" s="40">
        <v>30000</v>
      </c>
      <c r="O12" s="40">
        <v>55000</v>
      </c>
      <c r="P12" s="40">
        <v>4000</v>
      </c>
      <c r="Q12" s="36"/>
      <c r="R12" s="40">
        <f t="shared" si="0"/>
        <v>263000</v>
      </c>
      <c r="S12" s="36"/>
      <c r="T12" s="36" t="s">
        <v>84</v>
      </c>
      <c r="U12" s="36"/>
      <c r="V12" s="41">
        <v>0.21</v>
      </c>
      <c r="W12" s="36"/>
    </row>
    <row r="13" spans="1:23" x14ac:dyDescent="0.25">
      <c r="A13" s="36"/>
      <c r="B13" s="39" t="s">
        <v>85</v>
      </c>
      <c r="C13" s="40">
        <v>36000</v>
      </c>
      <c r="D13" s="40">
        <v>41000</v>
      </c>
      <c r="E13" s="40">
        <v>12000</v>
      </c>
      <c r="F13" s="40">
        <v>0</v>
      </c>
      <c r="G13" s="40">
        <v>23000</v>
      </c>
      <c r="H13" s="40">
        <v>28000</v>
      </c>
      <c r="I13" s="40">
        <v>25000</v>
      </c>
      <c r="J13" s="40">
        <v>24000</v>
      </c>
      <c r="K13" s="40">
        <v>18000</v>
      </c>
      <c r="L13" s="40">
        <v>14000</v>
      </c>
      <c r="M13" s="40">
        <v>22000</v>
      </c>
      <c r="N13" s="40">
        <v>0</v>
      </c>
      <c r="O13" s="40">
        <v>8000</v>
      </c>
      <c r="P13" s="40">
        <v>9000</v>
      </c>
      <c r="Q13" s="36"/>
      <c r="R13" s="40">
        <f t="shared" si="0"/>
        <v>183000</v>
      </c>
      <c r="S13" s="36"/>
      <c r="T13" s="36" t="s">
        <v>73</v>
      </c>
      <c r="U13" s="36"/>
      <c r="V13" s="41">
        <v>0.21</v>
      </c>
      <c r="W13" s="36"/>
    </row>
    <row r="14" spans="1:23" x14ac:dyDescent="0.25">
      <c r="A14" s="36"/>
      <c r="B14" s="39" t="s">
        <v>86</v>
      </c>
      <c r="C14" s="40">
        <v>42000</v>
      </c>
      <c r="D14" s="40">
        <v>0</v>
      </c>
      <c r="E14" s="40">
        <v>18000</v>
      </c>
      <c r="F14" s="40">
        <v>0</v>
      </c>
      <c r="G14" s="40">
        <v>5000</v>
      </c>
      <c r="H14" s="40">
        <v>0</v>
      </c>
      <c r="I14" s="40">
        <v>29000</v>
      </c>
      <c r="J14" s="40">
        <v>0</v>
      </c>
      <c r="K14" s="40">
        <v>17000</v>
      </c>
      <c r="L14" s="40">
        <v>0</v>
      </c>
      <c r="M14" s="40">
        <v>52000</v>
      </c>
      <c r="N14" s="40">
        <v>0</v>
      </c>
      <c r="O14" s="40">
        <v>13000</v>
      </c>
      <c r="P14" s="40">
        <v>0</v>
      </c>
      <c r="Q14" s="36"/>
      <c r="R14" s="40">
        <f t="shared" si="0"/>
        <v>134000</v>
      </c>
      <c r="S14" s="36"/>
      <c r="T14" s="36" t="s">
        <v>71</v>
      </c>
      <c r="U14" s="36"/>
      <c r="V14" s="41">
        <v>0.21</v>
      </c>
      <c r="W14" s="36"/>
    </row>
    <row r="15" spans="1:23" x14ac:dyDescent="0.25">
      <c r="A15" s="36"/>
      <c r="B15" s="39" t="s">
        <v>52</v>
      </c>
      <c r="C15" s="40">
        <v>41000</v>
      </c>
      <c r="D15" s="40">
        <v>22000</v>
      </c>
      <c r="E15" s="40">
        <v>35000</v>
      </c>
      <c r="F15" s="40">
        <v>28000</v>
      </c>
      <c r="G15" s="40">
        <v>49000</v>
      </c>
      <c r="H15" s="40">
        <v>34000</v>
      </c>
      <c r="I15" s="40">
        <v>21000</v>
      </c>
      <c r="J15" s="40">
        <v>27000</v>
      </c>
      <c r="K15" s="40">
        <v>30000</v>
      </c>
      <c r="L15" s="40">
        <v>29000</v>
      </c>
      <c r="M15" s="40">
        <v>18000</v>
      </c>
      <c r="N15" s="40">
        <v>29000</v>
      </c>
      <c r="O15" s="40">
        <v>59000</v>
      </c>
      <c r="P15" s="40">
        <v>46000</v>
      </c>
      <c r="Q15" s="36"/>
      <c r="R15" s="40">
        <f t="shared" si="0"/>
        <v>405000</v>
      </c>
      <c r="S15" s="36"/>
      <c r="T15" s="36" t="s">
        <v>87</v>
      </c>
      <c r="U15" s="36"/>
      <c r="V15" s="41">
        <v>0.21</v>
      </c>
      <c r="W15" s="36"/>
    </row>
    <row r="16" spans="1:23" x14ac:dyDescent="0.25">
      <c r="A16" s="42"/>
      <c r="B16" s="43" t="s">
        <v>15</v>
      </c>
      <c r="C16" s="44">
        <f t="shared" ref="C16:P16" si="1">SUM(C5:C15)</f>
        <v>383000</v>
      </c>
      <c r="D16" s="44">
        <f t="shared" si="1"/>
        <v>229000</v>
      </c>
      <c r="E16" s="44">
        <f t="shared" si="1"/>
        <v>252000</v>
      </c>
      <c r="F16" s="44">
        <f t="shared" si="1"/>
        <v>258000</v>
      </c>
      <c r="G16" s="44">
        <f t="shared" si="1"/>
        <v>312000</v>
      </c>
      <c r="H16" s="44">
        <f t="shared" si="1"/>
        <v>299000</v>
      </c>
      <c r="I16" s="44">
        <f t="shared" si="1"/>
        <v>313000</v>
      </c>
      <c r="J16" s="44">
        <f t="shared" si="1"/>
        <v>236000</v>
      </c>
      <c r="K16" s="44">
        <f t="shared" si="1"/>
        <v>325000</v>
      </c>
      <c r="L16" s="44">
        <f t="shared" si="1"/>
        <v>266000</v>
      </c>
      <c r="M16" s="44">
        <f t="shared" si="1"/>
        <v>359000</v>
      </c>
      <c r="N16" s="44">
        <f t="shared" si="1"/>
        <v>265000</v>
      </c>
      <c r="O16" s="44">
        <f t="shared" si="1"/>
        <v>317000</v>
      </c>
      <c r="P16" s="44">
        <f t="shared" si="1"/>
        <v>282000</v>
      </c>
      <c r="Q16" s="42"/>
      <c r="R16" s="44">
        <f>SUM(R5:R15)</f>
        <v>3484000</v>
      </c>
      <c r="S16" s="42"/>
      <c r="T16" s="42"/>
      <c r="U16" s="42"/>
      <c r="V16" s="42"/>
      <c r="W16" s="42"/>
    </row>
    <row r="17" spans="1:23" x14ac:dyDescent="0.25">
      <c r="A17" s="36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45"/>
      <c r="S17" s="36"/>
      <c r="T17" s="36"/>
      <c r="U17" s="36"/>
      <c r="V17" s="36"/>
      <c r="W17" s="36"/>
    </row>
    <row r="18" spans="1:23" x14ac:dyDescent="0.25">
      <c r="A18" s="36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</row>
    <row r="19" spans="1:23" x14ac:dyDescent="0.25">
      <c r="A19" s="36"/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</row>
    <row r="20" spans="1:23" x14ac:dyDescent="0.25">
      <c r="A20" s="36"/>
      <c r="B20" s="46" t="s">
        <v>88</v>
      </c>
      <c r="C20" s="47"/>
      <c r="D20" s="47"/>
      <c r="E20" s="47" t="s">
        <v>3</v>
      </c>
      <c r="F20" s="47" t="s">
        <v>4</v>
      </c>
      <c r="G20" s="47" t="s">
        <v>5</v>
      </c>
      <c r="H20" s="47" t="s">
        <v>6</v>
      </c>
      <c r="I20" s="47" t="s">
        <v>7</v>
      </c>
      <c r="J20" s="47" t="s">
        <v>8</v>
      </c>
      <c r="K20" s="47" t="s">
        <v>9</v>
      </c>
      <c r="L20" s="47" t="s">
        <v>10</v>
      </c>
      <c r="M20" s="47" t="s">
        <v>11</v>
      </c>
      <c r="N20" s="47" t="s">
        <v>12</v>
      </c>
      <c r="O20" s="47" t="s">
        <v>13</v>
      </c>
      <c r="P20" s="47" t="s">
        <v>14</v>
      </c>
      <c r="Q20" s="36"/>
      <c r="R20" s="47" t="s">
        <v>14</v>
      </c>
      <c r="S20" s="36"/>
      <c r="T20" s="36"/>
      <c r="U20" s="36"/>
      <c r="V20" s="36"/>
      <c r="W20" s="36"/>
    </row>
    <row r="21" spans="1:23" x14ac:dyDescent="0.25">
      <c r="A21" s="36"/>
      <c r="B21" s="39" t="s">
        <v>70</v>
      </c>
      <c r="C21" s="40"/>
      <c r="D21" s="40"/>
      <c r="E21" s="40">
        <f t="shared" ref="E21:P21" si="2">+D5*(1+$V5)</f>
        <v>25410</v>
      </c>
      <c r="F21" s="40">
        <f t="shared" si="2"/>
        <v>38720</v>
      </c>
      <c r="G21" s="40">
        <f t="shared" si="2"/>
        <v>41140</v>
      </c>
      <c r="H21" s="40">
        <f t="shared" si="2"/>
        <v>25410</v>
      </c>
      <c r="I21" s="40">
        <f t="shared" si="2"/>
        <v>30250</v>
      </c>
      <c r="J21" s="40">
        <f t="shared" si="2"/>
        <v>54450</v>
      </c>
      <c r="K21" s="40">
        <f t="shared" si="2"/>
        <v>12100</v>
      </c>
      <c r="L21" s="40">
        <f t="shared" si="2"/>
        <v>54450</v>
      </c>
      <c r="M21" s="40">
        <f t="shared" si="2"/>
        <v>33880</v>
      </c>
      <c r="N21" s="40">
        <f t="shared" si="2"/>
        <v>38720</v>
      </c>
      <c r="O21" s="40">
        <f t="shared" si="2"/>
        <v>45980</v>
      </c>
      <c r="P21" s="40">
        <f t="shared" si="2"/>
        <v>20570</v>
      </c>
      <c r="Q21" s="36"/>
      <c r="R21" s="40">
        <f t="shared" ref="R21:R31" si="3">+SUM(E21:P21)</f>
        <v>421080</v>
      </c>
      <c r="S21" s="36"/>
      <c r="T21" s="36" t="s">
        <v>71</v>
      </c>
      <c r="U21" s="36"/>
      <c r="V21" s="36"/>
      <c r="W21" s="36"/>
    </row>
    <row r="22" spans="1:23" x14ac:dyDescent="0.25">
      <c r="A22" s="36"/>
      <c r="B22" s="39" t="s">
        <v>72</v>
      </c>
      <c r="C22" s="40"/>
      <c r="D22" s="40"/>
      <c r="E22" s="40">
        <f t="shared" ref="E22:P22" si="4">+C6*(1+$V6)</f>
        <v>31460</v>
      </c>
      <c r="F22" s="40">
        <f t="shared" si="4"/>
        <v>7260</v>
      </c>
      <c r="G22" s="40">
        <f t="shared" si="4"/>
        <v>4840</v>
      </c>
      <c r="H22" s="40">
        <f t="shared" si="4"/>
        <v>60500</v>
      </c>
      <c r="I22" s="40">
        <f t="shared" si="4"/>
        <v>71390</v>
      </c>
      <c r="J22" s="40">
        <f t="shared" si="4"/>
        <v>12100</v>
      </c>
      <c r="K22" s="40">
        <f t="shared" si="4"/>
        <v>44770</v>
      </c>
      <c r="L22" s="40">
        <f t="shared" si="4"/>
        <v>14520</v>
      </c>
      <c r="M22" s="40">
        <f t="shared" si="4"/>
        <v>65340</v>
      </c>
      <c r="N22" s="40">
        <f t="shared" si="4"/>
        <v>42350</v>
      </c>
      <c r="O22" s="40">
        <f t="shared" si="4"/>
        <v>52030</v>
      </c>
      <c r="P22" s="40">
        <f t="shared" si="4"/>
        <v>36300</v>
      </c>
      <c r="Q22" s="36"/>
      <c r="R22" s="40">
        <f t="shared" si="3"/>
        <v>442860</v>
      </c>
      <c r="S22" s="36"/>
      <c r="T22" s="36" t="s">
        <v>73</v>
      </c>
      <c r="U22" s="36"/>
      <c r="V22" s="36"/>
      <c r="W22" s="36"/>
    </row>
    <row r="23" spans="1:23" x14ac:dyDescent="0.25">
      <c r="A23" s="36"/>
      <c r="B23" s="39" t="s">
        <v>74</v>
      </c>
      <c r="C23" s="40"/>
      <c r="D23" s="40"/>
      <c r="E23" s="40">
        <f t="shared" ref="E23:P23" si="5">+(C7*0.6+E7*0.4)*(1+$V7)</f>
        <v>38720</v>
      </c>
      <c r="F23" s="40">
        <f t="shared" si="5"/>
        <v>24926</v>
      </c>
      <c r="G23" s="40">
        <f t="shared" si="5"/>
        <v>44528</v>
      </c>
      <c r="H23" s="40">
        <f t="shared" si="5"/>
        <v>47674</v>
      </c>
      <c r="I23" s="40">
        <f t="shared" si="5"/>
        <v>53724</v>
      </c>
      <c r="J23" s="40">
        <f t="shared" si="5"/>
        <v>37026</v>
      </c>
      <c r="K23" s="40">
        <f t="shared" si="5"/>
        <v>59290</v>
      </c>
      <c r="L23" s="40">
        <f t="shared" si="5"/>
        <v>18634</v>
      </c>
      <c r="M23" s="40">
        <f t="shared" si="5"/>
        <v>45254</v>
      </c>
      <c r="N23" s="40">
        <f t="shared" si="5"/>
        <v>27346</v>
      </c>
      <c r="O23" s="40">
        <f t="shared" si="5"/>
        <v>23958</v>
      </c>
      <c r="P23" s="40">
        <f t="shared" si="5"/>
        <v>48400</v>
      </c>
      <c r="Q23" s="36"/>
      <c r="R23" s="40">
        <f t="shared" si="3"/>
        <v>469480</v>
      </c>
      <c r="S23" s="36"/>
      <c r="T23" s="36" t="s">
        <v>75</v>
      </c>
      <c r="U23" s="36"/>
      <c r="V23" s="36"/>
      <c r="W23" s="36"/>
    </row>
    <row r="24" spans="1:23" x14ac:dyDescent="0.25">
      <c r="A24" s="36"/>
      <c r="B24" s="39" t="s">
        <v>76</v>
      </c>
      <c r="C24" s="40"/>
      <c r="D24" s="40"/>
      <c r="E24" s="40">
        <f t="shared" ref="E24:P24" si="6">+(C8/2+D8/2)*(1+$V8)</f>
        <v>42350</v>
      </c>
      <c r="F24" s="40">
        <f t="shared" si="6"/>
        <v>31460</v>
      </c>
      <c r="G24" s="40">
        <f t="shared" si="6"/>
        <v>31460</v>
      </c>
      <c r="H24" s="40">
        <f t="shared" si="6"/>
        <v>29040</v>
      </c>
      <c r="I24" s="40">
        <f t="shared" si="6"/>
        <v>45375</v>
      </c>
      <c r="J24" s="40">
        <f t="shared" si="6"/>
        <v>44165</v>
      </c>
      <c r="K24" s="40">
        <f t="shared" si="6"/>
        <v>19965</v>
      </c>
      <c r="L24" s="40">
        <f t="shared" si="6"/>
        <v>16335</v>
      </c>
      <c r="M24" s="40">
        <f t="shared" si="6"/>
        <v>33275</v>
      </c>
      <c r="N24" s="40">
        <f t="shared" si="6"/>
        <v>58080</v>
      </c>
      <c r="O24" s="40">
        <f t="shared" si="6"/>
        <v>35090</v>
      </c>
      <c r="P24" s="40">
        <f t="shared" si="6"/>
        <v>33275</v>
      </c>
      <c r="Q24" s="36"/>
      <c r="R24" s="40">
        <f t="shared" si="3"/>
        <v>419870</v>
      </c>
      <c r="S24" s="36"/>
      <c r="T24" s="36" t="s">
        <v>77</v>
      </c>
      <c r="U24" s="36"/>
      <c r="V24" s="36"/>
      <c r="W24" s="36"/>
    </row>
    <row r="25" spans="1:23" x14ac:dyDescent="0.25">
      <c r="A25" s="36"/>
      <c r="B25" s="39" t="s">
        <v>78</v>
      </c>
      <c r="C25" s="40"/>
      <c r="D25" s="40"/>
      <c r="E25" s="40">
        <f t="shared" ref="E25:P25" si="7">+C9*(1+$V9)</f>
        <v>18000</v>
      </c>
      <c r="F25" s="40">
        <f t="shared" si="7"/>
        <v>45000</v>
      </c>
      <c r="G25" s="40">
        <f t="shared" si="7"/>
        <v>41000</v>
      </c>
      <c r="H25" s="40">
        <f t="shared" si="7"/>
        <v>5000</v>
      </c>
      <c r="I25" s="40">
        <f t="shared" si="7"/>
        <v>46000</v>
      </c>
      <c r="J25" s="40">
        <f t="shared" si="7"/>
        <v>45000</v>
      </c>
      <c r="K25" s="40">
        <f t="shared" si="7"/>
        <v>0</v>
      </c>
      <c r="L25" s="40">
        <f t="shared" si="7"/>
        <v>21000</v>
      </c>
      <c r="M25" s="40">
        <f t="shared" si="7"/>
        <v>31000</v>
      </c>
      <c r="N25" s="40">
        <f t="shared" si="7"/>
        <v>38000</v>
      </c>
      <c r="O25" s="40">
        <f t="shared" si="7"/>
        <v>18000</v>
      </c>
      <c r="P25" s="40">
        <f t="shared" si="7"/>
        <v>19000</v>
      </c>
      <c r="Q25" s="36"/>
      <c r="R25" s="40">
        <f t="shared" si="3"/>
        <v>327000</v>
      </c>
      <c r="S25" s="36"/>
      <c r="T25" s="36" t="s">
        <v>73</v>
      </c>
      <c r="U25" s="36"/>
      <c r="V25" s="36"/>
      <c r="W25" s="36"/>
    </row>
    <row r="26" spans="1:23" x14ac:dyDescent="0.25">
      <c r="A26" s="36"/>
      <c r="B26" s="39" t="s">
        <v>80</v>
      </c>
      <c r="C26" s="40"/>
      <c r="D26" s="40"/>
      <c r="E26" s="40">
        <f t="shared" ref="E26:P26" si="8">+(D10*0.5+E10*0.5)*(1+$V10)</f>
        <v>11495</v>
      </c>
      <c r="F26" s="40">
        <f t="shared" si="8"/>
        <v>16335</v>
      </c>
      <c r="G26" s="40">
        <f t="shared" si="8"/>
        <v>30250</v>
      </c>
      <c r="H26" s="40">
        <f t="shared" si="8"/>
        <v>34485</v>
      </c>
      <c r="I26" s="40">
        <f t="shared" si="8"/>
        <v>43560</v>
      </c>
      <c r="J26" s="40">
        <f t="shared" si="8"/>
        <v>50820</v>
      </c>
      <c r="K26" s="40">
        <f t="shared" si="8"/>
        <v>33880</v>
      </c>
      <c r="L26" s="40">
        <f t="shared" si="8"/>
        <v>33275</v>
      </c>
      <c r="M26" s="40">
        <f t="shared" si="8"/>
        <v>59290</v>
      </c>
      <c r="N26" s="40">
        <f t="shared" si="8"/>
        <v>51425</v>
      </c>
      <c r="O26" s="40">
        <f t="shared" si="8"/>
        <v>36300</v>
      </c>
      <c r="P26" s="40">
        <f t="shared" si="8"/>
        <v>29645</v>
      </c>
      <c r="Q26" s="36"/>
      <c r="R26" s="40">
        <f t="shared" si="3"/>
        <v>430760</v>
      </c>
      <c r="S26" s="36"/>
      <c r="T26" s="36" t="s">
        <v>81</v>
      </c>
      <c r="U26" s="36"/>
      <c r="V26" s="36"/>
      <c r="W26" s="36"/>
    </row>
    <row r="27" spans="1:23" x14ac:dyDescent="0.25">
      <c r="A27" s="36"/>
      <c r="B27" s="39" t="s">
        <v>82</v>
      </c>
      <c r="C27" s="40"/>
      <c r="D27" s="40"/>
      <c r="E27" s="40">
        <f t="shared" ref="E27:P27" si="9">+D11*(1+$V11)</f>
        <v>0</v>
      </c>
      <c r="F27" s="40">
        <f t="shared" si="9"/>
        <v>6050</v>
      </c>
      <c r="G27" s="40">
        <f t="shared" si="9"/>
        <v>37510</v>
      </c>
      <c r="H27" s="40">
        <f t="shared" si="9"/>
        <v>27830</v>
      </c>
      <c r="I27" s="40">
        <f t="shared" si="9"/>
        <v>31460</v>
      </c>
      <c r="J27" s="40">
        <f t="shared" si="9"/>
        <v>49610</v>
      </c>
      <c r="K27" s="40">
        <f t="shared" si="9"/>
        <v>37510</v>
      </c>
      <c r="L27" s="40">
        <f t="shared" si="9"/>
        <v>18150</v>
      </c>
      <c r="M27" s="40">
        <f t="shared" si="9"/>
        <v>31460</v>
      </c>
      <c r="N27" s="40">
        <f t="shared" si="9"/>
        <v>39930</v>
      </c>
      <c r="O27" s="40">
        <f t="shared" si="9"/>
        <v>42350</v>
      </c>
      <c r="P27" s="40">
        <f t="shared" si="9"/>
        <v>0</v>
      </c>
      <c r="Q27" s="36"/>
      <c r="R27" s="40">
        <f t="shared" si="3"/>
        <v>321860</v>
      </c>
      <c r="S27" s="36"/>
      <c r="T27" s="36" t="s">
        <v>71</v>
      </c>
      <c r="U27" s="36"/>
      <c r="V27" s="36"/>
      <c r="W27" s="36"/>
    </row>
    <row r="28" spans="1:23" x14ac:dyDescent="0.25">
      <c r="A28" s="36"/>
      <c r="B28" s="39" t="s">
        <v>83</v>
      </c>
      <c r="C28" s="40"/>
      <c r="D28" s="40"/>
      <c r="E28" s="40">
        <f t="shared" ref="E28:P28" si="10">+(D12/2+E12/2)*(1+$V12)</f>
        <v>53845</v>
      </c>
      <c r="F28" s="40">
        <f t="shared" si="10"/>
        <v>38115</v>
      </c>
      <c r="G28" s="40">
        <f t="shared" si="10"/>
        <v>7865</v>
      </c>
      <c r="H28" s="40">
        <f t="shared" si="10"/>
        <v>2420</v>
      </c>
      <c r="I28" s="40">
        <f t="shared" si="10"/>
        <v>11495</v>
      </c>
      <c r="J28" s="40">
        <f t="shared" si="10"/>
        <v>26015</v>
      </c>
      <c r="K28" s="40">
        <f t="shared" si="10"/>
        <v>40535</v>
      </c>
      <c r="L28" s="40">
        <f t="shared" si="10"/>
        <v>23595</v>
      </c>
      <c r="M28" s="40">
        <f t="shared" si="10"/>
        <v>15125</v>
      </c>
      <c r="N28" s="40">
        <f t="shared" si="10"/>
        <v>33275</v>
      </c>
      <c r="O28" s="40">
        <f t="shared" si="10"/>
        <v>51425</v>
      </c>
      <c r="P28" s="40">
        <f t="shared" si="10"/>
        <v>35695</v>
      </c>
      <c r="Q28" s="36"/>
      <c r="R28" s="40">
        <f t="shared" si="3"/>
        <v>339405</v>
      </c>
      <c r="S28" s="36"/>
      <c r="T28" s="36" t="s">
        <v>84</v>
      </c>
      <c r="U28" s="36"/>
      <c r="V28" s="36"/>
      <c r="W28" s="36"/>
    </row>
    <row r="29" spans="1:23" x14ac:dyDescent="0.25">
      <c r="A29" s="36"/>
      <c r="B29" s="39" t="s">
        <v>85</v>
      </c>
      <c r="C29" s="40"/>
      <c r="D29" s="40"/>
      <c r="E29" s="40">
        <f t="shared" ref="E29:P29" si="11">+C13*(1+$V13)</f>
        <v>43560</v>
      </c>
      <c r="F29" s="40">
        <f t="shared" si="11"/>
        <v>49610</v>
      </c>
      <c r="G29" s="40">
        <f t="shared" si="11"/>
        <v>14520</v>
      </c>
      <c r="H29" s="40">
        <f t="shared" si="11"/>
        <v>0</v>
      </c>
      <c r="I29" s="40">
        <f t="shared" si="11"/>
        <v>27830</v>
      </c>
      <c r="J29" s="40">
        <f t="shared" si="11"/>
        <v>33880</v>
      </c>
      <c r="K29" s="40">
        <f t="shared" si="11"/>
        <v>30250</v>
      </c>
      <c r="L29" s="40">
        <f t="shared" si="11"/>
        <v>29040</v>
      </c>
      <c r="M29" s="40">
        <f t="shared" si="11"/>
        <v>21780</v>
      </c>
      <c r="N29" s="40">
        <f t="shared" si="11"/>
        <v>16940</v>
      </c>
      <c r="O29" s="40">
        <f t="shared" si="11"/>
        <v>26620</v>
      </c>
      <c r="P29" s="40">
        <f t="shared" si="11"/>
        <v>0</v>
      </c>
      <c r="Q29" s="36"/>
      <c r="R29" s="40">
        <f t="shared" si="3"/>
        <v>294030</v>
      </c>
      <c r="S29" s="36"/>
      <c r="T29" s="36" t="s">
        <v>73</v>
      </c>
      <c r="U29" s="36"/>
      <c r="V29" s="36"/>
      <c r="W29" s="36"/>
    </row>
    <row r="30" spans="1:23" x14ac:dyDescent="0.25">
      <c r="A30" s="36"/>
      <c r="B30" s="39" t="s">
        <v>86</v>
      </c>
      <c r="C30" s="40"/>
      <c r="D30" s="40"/>
      <c r="E30" s="40">
        <f t="shared" ref="E30:P30" si="12">+D14*(1+$V14)</f>
        <v>0</v>
      </c>
      <c r="F30" s="40">
        <f t="shared" si="12"/>
        <v>21780</v>
      </c>
      <c r="G30" s="40">
        <f t="shared" si="12"/>
        <v>0</v>
      </c>
      <c r="H30" s="40">
        <f t="shared" si="12"/>
        <v>6050</v>
      </c>
      <c r="I30" s="40">
        <f t="shared" si="12"/>
        <v>0</v>
      </c>
      <c r="J30" s="40">
        <f t="shared" si="12"/>
        <v>35090</v>
      </c>
      <c r="K30" s="40">
        <f t="shared" si="12"/>
        <v>0</v>
      </c>
      <c r="L30" s="40">
        <f t="shared" si="12"/>
        <v>20570</v>
      </c>
      <c r="M30" s="40">
        <f t="shared" si="12"/>
        <v>0</v>
      </c>
      <c r="N30" s="40">
        <f t="shared" si="12"/>
        <v>62920</v>
      </c>
      <c r="O30" s="40">
        <f t="shared" si="12"/>
        <v>0</v>
      </c>
      <c r="P30" s="40">
        <f t="shared" si="12"/>
        <v>15730</v>
      </c>
      <c r="Q30" s="36"/>
      <c r="R30" s="40">
        <f t="shared" si="3"/>
        <v>162140</v>
      </c>
      <c r="S30" s="36"/>
      <c r="T30" s="36" t="s">
        <v>71</v>
      </c>
      <c r="U30" s="36"/>
      <c r="V30" s="36"/>
      <c r="W30" s="36"/>
    </row>
    <row r="31" spans="1:23" x14ac:dyDescent="0.25">
      <c r="A31" s="36"/>
      <c r="B31" s="39" t="s">
        <v>52</v>
      </c>
      <c r="C31" s="40"/>
      <c r="D31" s="40"/>
      <c r="E31" s="40">
        <f t="shared" ref="E31:P31" si="13">+(C15/2+D15/2)*(1+$V15)</f>
        <v>38115</v>
      </c>
      <c r="F31" s="40">
        <f t="shared" si="13"/>
        <v>34485</v>
      </c>
      <c r="G31" s="40">
        <f t="shared" si="13"/>
        <v>38115</v>
      </c>
      <c r="H31" s="40">
        <f t="shared" si="13"/>
        <v>46585</v>
      </c>
      <c r="I31" s="40">
        <f t="shared" si="13"/>
        <v>50215</v>
      </c>
      <c r="J31" s="40">
        <f t="shared" si="13"/>
        <v>33275</v>
      </c>
      <c r="K31" s="40">
        <f t="shared" si="13"/>
        <v>29040</v>
      </c>
      <c r="L31" s="40">
        <f t="shared" si="13"/>
        <v>34485</v>
      </c>
      <c r="M31" s="40">
        <f t="shared" si="13"/>
        <v>35695</v>
      </c>
      <c r="N31" s="40">
        <f t="shared" si="13"/>
        <v>28435</v>
      </c>
      <c r="O31" s="40">
        <f t="shared" si="13"/>
        <v>28435</v>
      </c>
      <c r="P31" s="40">
        <f t="shared" si="13"/>
        <v>53240</v>
      </c>
      <c r="Q31" s="36"/>
      <c r="R31" s="40">
        <f t="shared" si="3"/>
        <v>450120</v>
      </c>
      <c r="S31" s="36"/>
      <c r="T31" s="36" t="s">
        <v>87</v>
      </c>
      <c r="U31" s="36"/>
      <c r="V31" s="36"/>
      <c r="W31" s="36"/>
    </row>
    <row r="32" spans="1:23" x14ac:dyDescent="0.25">
      <c r="A32" s="36"/>
      <c r="B32" s="43" t="s">
        <v>15</v>
      </c>
      <c r="C32" s="44"/>
      <c r="D32" s="44"/>
      <c r="E32" s="44">
        <f t="shared" ref="E32:P32" si="14">SUM(E21:E31)</f>
        <v>302955</v>
      </c>
      <c r="F32" s="44">
        <f t="shared" si="14"/>
        <v>313741</v>
      </c>
      <c r="G32" s="44">
        <f t="shared" si="14"/>
        <v>291228</v>
      </c>
      <c r="H32" s="44">
        <f t="shared" si="14"/>
        <v>284994</v>
      </c>
      <c r="I32" s="44">
        <f t="shared" si="14"/>
        <v>411299</v>
      </c>
      <c r="J32" s="44">
        <f t="shared" si="14"/>
        <v>421431</v>
      </c>
      <c r="K32" s="44">
        <f t="shared" si="14"/>
        <v>307340</v>
      </c>
      <c r="L32" s="44">
        <f t="shared" si="14"/>
        <v>284054</v>
      </c>
      <c r="M32" s="44">
        <f t="shared" si="14"/>
        <v>372099</v>
      </c>
      <c r="N32" s="44">
        <f t="shared" si="14"/>
        <v>437421</v>
      </c>
      <c r="O32" s="44">
        <f t="shared" si="14"/>
        <v>360188</v>
      </c>
      <c r="P32" s="44">
        <f t="shared" si="14"/>
        <v>291855</v>
      </c>
      <c r="Q32" s="36"/>
      <c r="R32" s="44">
        <f>SUM(R21:R31)</f>
        <v>4078605</v>
      </c>
      <c r="S32" s="36"/>
      <c r="T32" s="36"/>
      <c r="U32" s="36"/>
      <c r="V32" s="36"/>
      <c r="W32" s="36"/>
    </row>
    <row r="33" spans="1:23" x14ac:dyDescent="0.25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9C20A-278C-440B-9E97-172232FD2929}">
  <dimension ref="A1:T94"/>
  <sheetViews>
    <sheetView topLeftCell="A25" workbookViewId="0">
      <selection activeCell="D47" sqref="D47"/>
    </sheetView>
  </sheetViews>
  <sheetFormatPr defaultColWidth="11.42578125" defaultRowHeight="12.75" outlineLevelCol="1" x14ac:dyDescent="0.2"/>
  <cols>
    <col min="1" max="1" width="3.5703125" style="2" customWidth="1"/>
    <col min="2" max="2" width="38.42578125" style="2" customWidth="1" outlineLevel="1"/>
    <col min="3" max="3" width="8" style="2" customWidth="1" outlineLevel="1"/>
    <col min="4" max="4" width="10.28515625" style="2" customWidth="1" outlineLevel="1"/>
    <col min="5" max="14" width="8" style="2" customWidth="1" outlineLevel="1"/>
    <col min="15" max="15" width="9.140625" style="2" customWidth="1" outlineLevel="1"/>
    <col min="16" max="16" width="11" style="2" customWidth="1" outlineLevel="1"/>
    <col min="17" max="17" width="1.7109375" style="2" customWidth="1" outlineLevel="1"/>
    <col min="18" max="18" width="9.42578125" style="2" bestFit="1" customWidth="1"/>
    <col min="19" max="19" width="1" style="2" customWidth="1"/>
    <col min="20" max="20" width="90.28515625" style="2" customWidth="1"/>
    <col min="21" max="16384" width="11.42578125" style="2"/>
  </cols>
  <sheetData>
    <row r="1" spans="1:20" x14ac:dyDescent="0.2">
      <c r="A1" s="1" t="s">
        <v>0</v>
      </c>
    </row>
    <row r="2" spans="1:20" x14ac:dyDescent="0.2">
      <c r="A2" s="1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4" spans="1:20" x14ac:dyDescent="0.2">
      <c r="B4" s="3" t="s">
        <v>47</v>
      </c>
      <c r="C4" s="4" t="s">
        <v>1</v>
      </c>
      <c r="D4" s="4" t="s">
        <v>2</v>
      </c>
      <c r="E4" s="4" t="s">
        <v>3</v>
      </c>
      <c r="F4" s="4" t="s">
        <v>4</v>
      </c>
      <c r="G4" s="4" t="s">
        <v>5</v>
      </c>
      <c r="H4" s="4" t="s">
        <v>6</v>
      </c>
      <c r="I4" s="4" t="s">
        <v>7</v>
      </c>
      <c r="J4" s="4" t="s">
        <v>8</v>
      </c>
      <c r="K4" s="4" t="s">
        <v>9</v>
      </c>
      <c r="L4" s="4" t="s">
        <v>10</v>
      </c>
      <c r="M4" s="4" t="s">
        <v>11</v>
      </c>
      <c r="N4" s="4" t="s">
        <v>12</v>
      </c>
      <c r="O4" s="4" t="s">
        <v>13</v>
      </c>
      <c r="P4" s="4" t="s">
        <v>14</v>
      </c>
      <c r="R4" s="4" t="s">
        <v>34</v>
      </c>
    </row>
    <row r="5" spans="1:20" x14ac:dyDescent="0.2">
      <c r="B5" s="10" t="s">
        <v>15</v>
      </c>
      <c r="C5" s="11">
        <v>383000</v>
      </c>
      <c r="D5" s="11">
        <v>229000</v>
      </c>
      <c r="E5" s="11">
        <v>252000</v>
      </c>
      <c r="F5" s="11">
        <v>258000</v>
      </c>
      <c r="G5" s="11">
        <v>312000</v>
      </c>
      <c r="H5" s="11">
        <v>299000</v>
      </c>
      <c r="I5" s="11">
        <v>313000</v>
      </c>
      <c r="J5" s="11">
        <v>236000</v>
      </c>
      <c r="K5" s="11">
        <v>325000</v>
      </c>
      <c r="L5" s="11">
        <v>266000</v>
      </c>
      <c r="M5" s="11">
        <v>359000</v>
      </c>
      <c r="N5" s="11">
        <v>265000</v>
      </c>
      <c r="O5" s="11">
        <v>317000</v>
      </c>
      <c r="P5" s="11">
        <v>282000</v>
      </c>
      <c r="R5" s="11">
        <f>+SUM(E5:P5)</f>
        <v>3484000</v>
      </c>
    </row>
    <row r="6" spans="1:20" x14ac:dyDescent="0.2">
      <c r="B6" s="5" t="s">
        <v>16</v>
      </c>
      <c r="C6" s="6">
        <v>-42500</v>
      </c>
      <c r="D6" s="6">
        <v>-42500</v>
      </c>
      <c r="E6" s="6">
        <v>-57500</v>
      </c>
      <c r="F6" s="6">
        <v>-57500</v>
      </c>
      <c r="G6" s="6">
        <v>-57500</v>
      </c>
      <c r="H6" s="6">
        <v>-57500</v>
      </c>
      <c r="I6" s="6">
        <v>-57500</v>
      </c>
      <c r="J6" s="6">
        <v>-57500</v>
      </c>
      <c r="K6" s="6">
        <v>-57500</v>
      </c>
      <c r="L6" s="6">
        <v>-57500</v>
      </c>
      <c r="M6" s="6">
        <v>-57500</v>
      </c>
      <c r="N6" s="6">
        <v>-57500</v>
      </c>
      <c r="O6" s="6">
        <v>-57500</v>
      </c>
      <c r="P6" s="6">
        <v>-57500</v>
      </c>
      <c r="R6" s="6">
        <f t="shared" ref="R6:R25" si="0">+SUM(E6:P6)</f>
        <v>-690000</v>
      </c>
      <c r="T6" s="2" t="s">
        <v>38</v>
      </c>
    </row>
    <row r="7" spans="1:20" x14ac:dyDescent="0.2">
      <c r="B7" s="5" t="s">
        <v>17</v>
      </c>
      <c r="C7" s="6">
        <f>+C6*0.2</f>
        <v>-8500</v>
      </c>
      <c r="D7" s="6">
        <f>+D6*0.2</f>
        <v>-8500</v>
      </c>
      <c r="E7" s="6">
        <f t="shared" ref="E7:P7" si="1">+E6*0.2</f>
        <v>-11500</v>
      </c>
      <c r="F7" s="6">
        <f t="shared" si="1"/>
        <v>-11500</v>
      </c>
      <c r="G7" s="6">
        <f t="shared" si="1"/>
        <v>-11500</v>
      </c>
      <c r="H7" s="6">
        <f t="shared" si="1"/>
        <v>-11500</v>
      </c>
      <c r="I7" s="6">
        <f t="shared" si="1"/>
        <v>-11500</v>
      </c>
      <c r="J7" s="6">
        <f t="shared" si="1"/>
        <v>-11500</v>
      </c>
      <c r="K7" s="6">
        <f t="shared" si="1"/>
        <v>-11500</v>
      </c>
      <c r="L7" s="6">
        <f t="shared" si="1"/>
        <v>-11500</v>
      </c>
      <c r="M7" s="6">
        <f t="shared" si="1"/>
        <v>-11500</v>
      </c>
      <c r="N7" s="6">
        <f t="shared" si="1"/>
        <v>-11500</v>
      </c>
      <c r="O7" s="6">
        <f t="shared" si="1"/>
        <v>-11500</v>
      </c>
      <c r="P7" s="6">
        <f t="shared" si="1"/>
        <v>-11500</v>
      </c>
      <c r="R7" s="6">
        <f t="shared" si="0"/>
        <v>-138000</v>
      </c>
      <c r="T7" s="2" t="s">
        <v>39</v>
      </c>
    </row>
    <row r="8" spans="1:20" x14ac:dyDescent="0.2">
      <c r="B8" s="5" t="s">
        <v>18</v>
      </c>
      <c r="C8" s="6">
        <f>+(C7+C6*0.3)</f>
        <v>-21250</v>
      </c>
      <c r="D8" s="6">
        <f>+(D7+D6*0.3)</f>
        <v>-21250</v>
      </c>
      <c r="E8" s="6">
        <f t="shared" ref="E8:P8" si="2">+(E7+E6*0.3)</f>
        <v>-28750</v>
      </c>
      <c r="F8" s="6">
        <f t="shared" si="2"/>
        <v>-28750</v>
      </c>
      <c r="G8" s="6">
        <f t="shared" si="2"/>
        <v>-28750</v>
      </c>
      <c r="H8" s="6">
        <f t="shared" si="2"/>
        <v>-28750</v>
      </c>
      <c r="I8" s="6">
        <f t="shared" si="2"/>
        <v>-28750</v>
      </c>
      <c r="J8" s="6">
        <f t="shared" si="2"/>
        <v>-28750</v>
      </c>
      <c r="K8" s="6">
        <f t="shared" si="2"/>
        <v>-28750</v>
      </c>
      <c r="L8" s="6">
        <f t="shared" si="2"/>
        <v>-28750</v>
      </c>
      <c r="M8" s="6">
        <f t="shared" si="2"/>
        <v>-28750</v>
      </c>
      <c r="N8" s="6">
        <f t="shared" si="2"/>
        <v>-28750</v>
      </c>
      <c r="O8" s="6">
        <f t="shared" si="2"/>
        <v>-28750</v>
      </c>
      <c r="P8" s="6">
        <f t="shared" si="2"/>
        <v>-28750</v>
      </c>
      <c r="R8" s="6">
        <f t="shared" si="0"/>
        <v>-345000</v>
      </c>
    </row>
    <row r="9" spans="1:20" s="8" customFormat="1" x14ac:dyDescent="0.2">
      <c r="B9" s="13" t="s">
        <v>19</v>
      </c>
      <c r="C9" s="14">
        <f t="shared" ref="C9:P9" si="3">SUM(C6:C8)</f>
        <v>-72250</v>
      </c>
      <c r="D9" s="14">
        <f t="shared" si="3"/>
        <v>-72250</v>
      </c>
      <c r="E9" s="14">
        <f t="shared" si="3"/>
        <v>-97750</v>
      </c>
      <c r="F9" s="14">
        <f t="shared" si="3"/>
        <v>-97750</v>
      </c>
      <c r="G9" s="14">
        <f t="shared" si="3"/>
        <v>-97750</v>
      </c>
      <c r="H9" s="14">
        <f t="shared" si="3"/>
        <v>-97750</v>
      </c>
      <c r="I9" s="14">
        <f t="shared" si="3"/>
        <v>-97750</v>
      </c>
      <c r="J9" s="14">
        <f t="shared" si="3"/>
        <v>-97750</v>
      </c>
      <c r="K9" s="14">
        <f t="shared" si="3"/>
        <v>-97750</v>
      </c>
      <c r="L9" s="14">
        <f t="shared" si="3"/>
        <v>-97750</v>
      </c>
      <c r="M9" s="14">
        <f t="shared" si="3"/>
        <v>-97750</v>
      </c>
      <c r="N9" s="14">
        <f t="shared" si="3"/>
        <v>-97750</v>
      </c>
      <c r="O9" s="14">
        <f t="shared" si="3"/>
        <v>-97750</v>
      </c>
      <c r="P9" s="14">
        <f t="shared" si="3"/>
        <v>-97750</v>
      </c>
      <c r="R9" s="14">
        <f t="shared" si="0"/>
        <v>-1173000</v>
      </c>
    </row>
    <row r="10" spans="1:20" s="8" customFormat="1" ht="12.75" customHeight="1" x14ac:dyDescent="0.2">
      <c r="B10" s="5" t="s">
        <v>35</v>
      </c>
      <c r="C10" s="6">
        <v>-54000</v>
      </c>
      <c r="D10" s="6">
        <v>-49000</v>
      </c>
      <c r="E10" s="6">
        <v>-48000</v>
      </c>
      <c r="F10" s="6">
        <v>-56000</v>
      </c>
      <c r="G10" s="6">
        <v>-47500</v>
      </c>
      <c r="H10" s="6">
        <v>-58000</v>
      </c>
      <c r="I10" s="6">
        <v>-56000</v>
      </c>
      <c r="J10" s="6">
        <v>-62000</v>
      </c>
      <c r="K10" s="6">
        <v>-47000</v>
      </c>
      <c r="L10" s="6">
        <v>-35000</v>
      </c>
      <c r="M10" s="6">
        <v>-42000</v>
      </c>
      <c r="N10" s="6">
        <v>-38000</v>
      </c>
      <c r="O10" s="6">
        <v>-41000</v>
      </c>
      <c r="P10" s="6">
        <v>-47000</v>
      </c>
      <c r="R10" s="6">
        <f t="shared" si="0"/>
        <v>-577500</v>
      </c>
      <c r="T10" s="56" t="s">
        <v>51</v>
      </c>
    </row>
    <row r="11" spans="1:20" s="8" customFormat="1" x14ac:dyDescent="0.2">
      <c r="B11" s="5" t="s">
        <v>36</v>
      </c>
      <c r="C11" s="6">
        <v>-32000</v>
      </c>
      <c r="D11" s="6">
        <v>-29000</v>
      </c>
      <c r="E11" s="6">
        <v>-28000</v>
      </c>
      <c r="F11" s="6">
        <v>-26000</v>
      </c>
      <c r="G11" s="6">
        <v>-24000</v>
      </c>
      <c r="H11" s="6">
        <v>-25000</v>
      </c>
      <c r="I11" s="6">
        <v>-23000</v>
      </c>
      <c r="J11" s="6">
        <v>-19000</v>
      </c>
      <c r="K11" s="6">
        <v>-21000</v>
      </c>
      <c r="L11" s="6">
        <v>-17000</v>
      </c>
      <c r="M11" s="6">
        <v>-12000</v>
      </c>
      <c r="N11" s="6">
        <v>-16000</v>
      </c>
      <c r="O11" s="6">
        <v>-17000</v>
      </c>
      <c r="P11" s="6">
        <v>-19000</v>
      </c>
      <c r="R11" s="6">
        <f t="shared" si="0"/>
        <v>-247000</v>
      </c>
      <c r="T11" s="56"/>
    </row>
    <row r="12" spans="1:20" x14ac:dyDescent="0.2">
      <c r="B12" s="13" t="s">
        <v>20</v>
      </c>
      <c r="C12" s="14">
        <f t="shared" ref="C12:P12" si="4">SUM(C10:C11)</f>
        <v>-86000</v>
      </c>
      <c r="D12" s="14">
        <f t="shared" si="4"/>
        <v>-78000</v>
      </c>
      <c r="E12" s="14">
        <f t="shared" si="4"/>
        <v>-76000</v>
      </c>
      <c r="F12" s="14">
        <f t="shared" si="4"/>
        <v>-82000</v>
      </c>
      <c r="G12" s="14">
        <f t="shared" si="4"/>
        <v>-71500</v>
      </c>
      <c r="H12" s="14">
        <f t="shared" si="4"/>
        <v>-83000</v>
      </c>
      <c r="I12" s="14">
        <f t="shared" si="4"/>
        <v>-79000</v>
      </c>
      <c r="J12" s="14">
        <f t="shared" si="4"/>
        <v>-81000</v>
      </c>
      <c r="K12" s="14">
        <f t="shared" si="4"/>
        <v>-68000</v>
      </c>
      <c r="L12" s="14">
        <f t="shared" si="4"/>
        <v>-52000</v>
      </c>
      <c r="M12" s="14">
        <f t="shared" si="4"/>
        <v>-54000</v>
      </c>
      <c r="N12" s="14">
        <f t="shared" si="4"/>
        <v>-54000</v>
      </c>
      <c r="O12" s="14">
        <f t="shared" si="4"/>
        <v>-58000</v>
      </c>
      <c r="P12" s="14">
        <f t="shared" si="4"/>
        <v>-66000</v>
      </c>
      <c r="R12" s="14">
        <f t="shared" si="0"/>
        <v>-824500</v>
      </c>
      <c r="T12" s="56"/>
    </row>
    <row r="13" spans="1:20" x14ac:dyDescent="0.2">
      <c r="B13" s="5" t="s">
        <v>21</v>
      </c>
      <c r="C13" s="6">
        <v>-16500</v>
      </c>
      <c r="D13" s="6">
        <v>-16500</v>
      </c>
      <c r="E13" s="6">
        <v>-18000</v>
      </c>
      <c r="F13" s="6">
        <v>-18000</v>
      </c>
      <c r="G13" s="6">
        <v>-18000</v>
      </c>
      <c r="H13" s="6">
        <v>-18000</v>
      </c>
      <c r="I13" s="6">
        <v>-18000</v>
      </c>
      <c r="J13" s="6">
        <v>-18000</v>
      </c>
      <c r="K13" s="6">
        <v>-18000</v>
      </c>
      <c r="L13" s="6">
        <v>-18000</v>
      </c>
      <c r="M13" s="6">
        <v>-18000</v>
      </c>
      <c r="N13" s="6">
        <v>-18000</v>
      </c>
      <c r="O13" s="6">
        <v>-18000</v>
      </c>
      <c r="P13" s="6">
        <v>-18000</v>
      </c>
      <c r="R13" s="6">
        <f t="shared" si="0"/>
        <v>-216000</v>
      </c>
      <c r="T13" s="2" t="s">
        <v>40</v>
      </c>
    </row>
    <row r="14" spans="1:20" x14ac:dyDescent="0.2">
      <c r="B14" s="5" t="s">
        <v>22</v>
      </c>
      <c r="C14" s="6">
        <v>-4000</v>
      </c>
      <c r="D14" s="6">
        <v>-4000</v>
      </c>
      <c r="E14" s="6">
        <v>-16000</v>
      </c>
      <c r="F14" s="6">
        <v>-4000</v>
      </c>
      <c r="G14" s="6">
        <v>-4000</v>
      </c>
      <c r="H14" s="6">
        <v>-6000</v>
      </c>
      <c r="I14" s="6">
        <v>-4000</v>
      </c>
      <c r="J14" s="6">
        <v>-4000</v>
      </c>
      <c r="K14" s="6">
        <v>-6000</v>
      </c>
      <c r="L14" s="6">
        <v>-4000</v>
      </c>
      <c r="M14" s="6">
        <v>-4000</v>
      </c>
      <c r="N14" s="6">
        <v>-6000</v>
      </c>
      <c r="O14" s="6">
        <v>-4000</v>
      </c>
      <c r="P14" s="6">
        <v>-4000</v>
      </c>
      <c r="R14" s="6">
        <f t="shared" si="0"/>
        <v>-66000</v>
      </c>
      <c r="T14" s="2" t="s">
        <v>42</v>
      </c>
    </row>
    <row r="15" spans="1:20" x14ac:dyDescent="0.2">
      <c r="B15" s="5" t="s">
        <v>23</v>
      </c>
      <c r="C15" s="6">
        <v>-19150</v>
      </c>
      <c r="D15" s="6">
        <v>-11450</v>
      </c>
      <c r="E15" s="6">
        <v>-12600</v>
      </c>
      <c r="F15" s="6">
        <v>-12900</v>
      </c>
      <c r="G15" s="6">
        <v>-15600</v>
      </c>
      <c r="H15" s="6">
        <v>-14950</v>
      </c>
      <c r="I15" s="6">
        <v>-15650</v>
      </c>
      <c r="J15" s="6">
        <v>-11800</v>
      </c>
      <c r="K15" s="6">
        <v>-16250</v>
      </c>
      <c r="L15" s="6">
        <v>-13300</v>
      </c>
      <c r="M15" s="6">
        <v>-17950</v>
      </c>
      <c r="N15" s="6">
        <v>-13250</v>
      </c>
      <c r="O15" s="6">
        <v>-15850</v>
      </c>
      <c r="P15" s="6">
        <v>-14100</v>
      </c>
      <c r="R15" s="6">
        <f t="shared" si="0"/>
        <v>-174200</v>
      </c>
      <c r="T15" s="2" t="s">
        <v>42</v>
      </c>
    </row>
    <row r="16" spans="1:20" x14ac:dyDescent="0.2">
      <c r="B16" s="5" t="s">
        <v>24</v>
      </c>
      <c r="C16" s="6">
        <v>-3750</v>
      </c>
      <c r="D16" s="6">
        <v>-3750</v>
      </c>
      <c r="E16" s="6">
        <v>-3750</v>
      </c>
      <c r="F16" s="6">
        <v>-3750</v>
      </c>
      <c r="G16" s="6">
        <v>-3750</v>
      </c>
      <c r="H16" s="6">
        <v>-3750</v>
      </c>
      <c r="I16" s="6">
        <v>-3750</v>
      </c>
      <c r="J16" s="6">
        <v>-3750</v>
      </c>
      <c r="K16" s="6">
        <v>-3750</v>
      </c>
      <c r="L16" s="6">
        <v>-3750</v>
      </c>
      <c r="M16" s="6">
        <v>-3750</v>
      </c>
      <c r="N16" s="6">
        <v>-3750</v>
      </c>
      <c r="O16" s="6">
        <v>-3750</v>
      </c>
      <c r="P16" s="6">
        <v>-3750</v>
      </c>
      <c r="R16" s="6">
        <f t="shared" si="0"/>
        <v>-45000</v>
      </c>
      <c r="T16" s="2" t="s">
        <v>41</v>
      </c>
    </row>
    <row r="17" spans="2:20" x14ac:dyDescent="0.2">
      <c r="B17" s="5" t="s">
        <v>25</v>
      </c>
      <c r="C17" s="6">
        <v>-2500</v>
      </c>
      <c r="D17" s="6">
        <v>-7500</v>
      </c>
      <c r="E17" s="6">
        <v>-2500</v>
      </c>
      <c r="F17" s="6">
        <v>-2500</v>
      </c>
      <c r="G17" s="6">
        <v>-2500</v>
      </c>
      <c r="H17" s="6">
        <v>-2500</v>
      </c>
      <c r="I17" s="6">
        <v>-2500</v>
      </c>
      <c r="J17" s="6">
        <v>-2500</v>
      </c>
      <c r="K17" s="6">
        <v>-2500</v>
      </c>
      <c r="L17" s="6">
        <v>-2500</v>
      </c>
      <c r="M17" s="6">
        <v>-2500</v>
      </c>
      <c r="N17" s="6">
        <v>-2500</v>
      </c>
      <c r="O17" s="6">
        <v>-2500</v>
      </c>
      <c r="P17" s="6">
        <v>-7500</v>
      </c>
      <c r="R17" s="6">
        <f t="shared" si="0"/>
        <v>-35000</v>
      </c>
      <c r="T17" s="2" t="s">
        <v>42</v>
      </c>
    </row>
    <row r="18" spans="2:20" x14ac:dyDescent="0.2">
      <c r="B18" s="5" t="s">
        <v>26</v>
      </c>
      <c r="C18" s="6">
        <v>-4500</v>
      </c>
      <c r="D18" s="6">
        <v>-4500</v>
      </c>
      <c r="E18" s="6">
        <v>-4500</v>
      </c>
      <c r="F18" s="6">
        <v>-4500</v>
      </c>
      <c r="G18" s="6">
        <v>-4500</v>
      </c>
      <c r="H18" s="6">
        <v>-4500</v>
      </c>
      <c r="I18" s="6">
        <v>-4500</v>
      </c>
      <c r="J18" s="6">
        <v>-4500</v>
      </c>
      <c r="K18" s="6">
        <v>-4500</v>
      </c>
      <c r="L18" s="6">
        <v>-4500</v>
      </c>
      <c r="M18" s="6">
        <v>-4500</v>
      </c>
      <c r="N18" s="6">
        <v>-4500</v>
      </c>
      <c r="O18" s="6">
        <v>-4500</v>
      </c>
      <c r="P18" s="6">
        <v>-4500</v>
      </c>
      <c r="R18" s="6">
        <f t="shared" si="0"/>
        <v>-54000</v>
      </c>
      <c r="T18" s="2" t="s">
        <v>43</v>
      </c>
    </row>
    <row r="19" spans="2:20" x14ac:dyDescent="0.2">
      <c r="B19" s="13" t="s">
        <v>27</v>
      </c>
      <c r="C19" s="14">
        <f t="shared" ref="C19:P19" si="5">SUM(C13:C18)</f>
        <v>-50400</v>
      </c>
      <c r="D19" s="14">
        <f t="shared" si="5"/>
        <v>-47700</v>
      </c>
      <c r="E19" s="14">
        <f t="shared" si="5"/>
        <v>-57350</v>
      </c>
      <c r="F19" s="14">
        <f t="shared" si="5"/>
        <v>-45650</v>
      </c>
      <c r="G19" s="14">
        <f t="shared" si="5"/>
        <v>-48350</v>
      </c>
      <c r="H19" s="14">
        <f t="shared" si="5"/>
        <v>-49700</v>
      </c>
      <c r="I19" s="14">
        <f t="shared" si="5"/>
        <v>-48400</v>
      </c>
      <c r="J19" s="14">
        <f t="shared" si="5"/>
        <v>-44550</v>
      </c>
      <c r="K19" s="14">
        <f t="shared" si="5"/>
        <v>-51000</v>
      </c>
      <c r="L19" s="14">
        <f t="shared" si="5"/>
        <v>-46050</v>
      </c>
      <c r="M19" s="14">
        <f t="shared" si="5"/>
        <v>-50700</v>
      </c>
      <c r="N19" s="14">
        <f t="shared" si="5"/>
        <v>-48000</v>
      </c>
      <c r="O19" s="14">
        <f t="shared" si="5"/>
        <v>-48600</v>
      </c>
      <c r="P19" s="14">
        <f t="shared" si="5"/>
        <v>-51850</v>
      </c>
      <c r="R19" s="14">
        <f t="shared" si="0"/>
        <v>-590200</v>
      </c>
    </row>
    <row r="20" spans="2:20" x14ac:dyDescent="0.2">
      <c r="B20" s="5" t="s">
        <v>28</v>
      </c>
      <c r="C20" s="6">
        <v>-35248.5</v>
      </c>
      <c r="D20" s="6">
        <v>-5155.5</v>
      </c>
      <c r="E20" s="6">
        <v>-3024</v>
      </c>
      <c r="F20" s="6">
        <v>-5481</v>
      </c>
      <c r="G20" s="6">
        <v>-18459</v>
      </c>
      <c r="H20" s="6">
        <v>-13030.5</v>
      </c>
      <c r="I20" s="6">
        <v>-17083.5</v>
      </c>
      <c r="J20" s="6">
        <v>-1302</v>
      </c>
      <c r="K20" s="6">
        <v>-21367.5</v>
      </c>
      <c r="L20" s="6">
        <v>-9177</v>
      </c>
      <c r="M20" s="6">
        <v>-30040.5</v>
      </c>
      <c r="N20" s="6">
        <v>-7507.5</v>
      </c>
      <c r="O20" s="6">
        <v>-18091.5</v>
      </c>
      <c r="P20" s="6">
        <v>-11109</v>
      </c>
      <c r="R20" s="6">
        <f t="shared" si="0"/>
        <v>-155673</v>
      </c>
      <c r="T20" s="2" t="s">
        <v>45</v>
      </c>
    </row>
    <row r="21" spans="2:20" x14ac:dyDescent="0.2">
      <c r="B21" s="5" t="s">
        <v>29</v>
      </c>
      <c r="C21" s="6">
        <v>-3000</v>
      </c>
      <c r="D21" s="6">
        <v>-3000</v>
      </c>
      <c r="E21" s="6">
        <v>-3000</v>
      </c>
      <c r="F21" s="6">
        <v>-3000</v>
      </c>
      <c r="G21" s="6">
        <v>-3000</v>
      </c>
      <c r="H21" s="6">
        <v>-3000</v>
      </c>
      <c r="I21" s="6">
        <v>-3000</v>
      </c>
      <c r="J21" s="6">
        <v>-3000</v>
      </c>
      <c r="K21" s="6">
        <v>-3000</v>
      </c>
      <c r="L21" s="6">
        <v>-3000</v>
      </c>
      <c r="M21" s="6">
        <v>-3000</v>
      </c>
      <c r="N21" s="6">
        <v>-3000</v>
      </c>
      <c r="O21" s="6">
        <v>-3000</v>
      </c>
      <c r="P21" s="6">
        <v>-3000</v>
      </c>
      <c r="R21" s="6">
        <f t="shared" si="0"/>
        <v>-36000</v>
      </c>
      <c r="T21" s="2" t="s">
        <v>44</v>
      </c>
    </row>
    <row r="22" spans="2:20" x14ac:dyDescent="0.2">
      <c r="B22" s="13" t="s">
        <v>30</v>
      </c>
      <c r="C22" s="14">
        <f t="shared" ref="C22:P22" si="6">SUM(C20:C21)</f>
        <v>-38248.5</v>
      </c>
      <c r="D22" s="14">
        <f t="shared" si="6"/>
        <v>-8155.5</v>
      </c>
      <c r="E22" s="14">
        <f t="shared" si="6"/>
        <v>-6024</v>
      </c>
      <c r="F22" s="14">
        <f t="shared" si="6"/>
        <v>-8481</v>
      </c>
      <c r="G22" s="14">
        <f t="shared" si="6"/>
        <v>-21459</v>
      </c>
      <c r="H22" s="14">
        <f t="shared" si="6"/>
        <v>-16030.5</v>
      </c>
      <c r="I22" s="14">
        <f t="shared" si="6"/>
        <v>-20083.5</v>
      </c>
      <c r="J22" s="14">
        <f t="shared" si="6"/>
        <v>-4302</v>
      </c>
      <c r="K22" s="14">
        <f t="shared" si="6"/>
        <v>-24367.5</v>
      </c>
      <c r="L22" s="14">
        <f t="shared" si="6"/>
        <v>-12177</v>
      </c>
      <c r="M22" s="14">
        <f t="shared" si="6"/>
        <v>-33040.5</v>
      </c>
      <c r="N22" s="14">
        <f t="shared" si="6"/>
        <v>-10507.5</v>
      </c>
      <c r="O22" s="14">
        <f t="shared" si="6"/>
        <v>-21091.5</v>
      </c>
      <c r="P22" s="14">
        <f t="shared" si="6"/>
        <v>-14109</v>
      </c>
      <c r="R22" s="14">
        <f t="shared" si="0"/>
        <v>-191673</v>
      </c>
    </row>
    <row r="23" spans="2:20" x14ac:dyDescent="0.2">
      <c r="B23" s="5" t="s">
        <v>31</v>
      </c>
      <c r="C23" s="6">
        <v>-1000</v>
      </c>
      <c r="D23" s="6">
        <v>-1000</v>
      </c>
      <c r="E23" s="6">
        <v>-1000</v>
      </c>
      <c r="F23" s="6">
        <v>-1000</v>
      </c>
      <c r="G23" s="6">
        <v>-1000</v>
      </c>
      <c r="H23" s="6">
        <v>-1000</v>
      </c>
      <c r="I23" s="6">
        <v>-1000</v>
      </c>
      <c r="J23" s="6">
        <v>-1000</v>
      </c>
      <c r="K23" s="6">
        <v>-1000</v>
      </c>
      <c r="L23" s="6">
        <v>-1000</v>
      </c>
      <c r="M23" s="6">
        <v>-1000</v>
      </c>
      <c r="N23" s="6">
        <v>-1000</v>
      </c>
      <c r="O23" s="6">
        <v>-1000</v>
      </c>
      <c r="P23" s="6">
        <v>-1000</v>
      </c>
      <c r="R23" s="6">
        <f t="shared" si="0"/>
        <v>-12000</v>
      </c>
    </row>
    <row r="24" spans="2:20" x14ac:dyDescent="0.2">
      <c r="B24" s="5" t="s">
        <v>32</v>
      </c>
      <c r="C24" s="6">
        <v>-2500</v>
      </c>
      <c r="D24" s="6">
        <v>-2500</v>
      </c>
      <c r="E24" s="6">
        <v>-2500</v>
      </c>
      <c r="F24" s="6">
        <v>-2500</v>
      </c>
      <c r="G24" s="6">
        <v>-2500</v>
      </c>
      <c r="H24" s="6">
        <v>-2500</v>
      </c>
      <c r="I24" s="6">
        <v>-2500</v>
      </c>
      <c r="J24" s="6">
        <v>-2500</v>
      </c>
      <c r="K24" s="6">
        <v>-2500</v>
      </c>
      <c r="L24" s="6">
        <v>-2500</v>
      </c>
      <c r="M24" s="6">
        <v>-2500</v>
      </c>
      <c r="N24" s="6">
        <v>-2500</v>
      </c>
      <c r="O24" s="6">
        <v>-2500</v>
      </c>
      <c r="P24" s="6">
        <v>-2500</v>
      </c>
      <c r="R24" s="6">
        <f t="shared" si="0"/>
        <v>-30000</v>
      </c>
    </row>
    <row r="25" spans="2:20" x14ac:dyDescent="0.2">
      <c r="B25" s="15" t="s">
        <v>33</v>
      </c>
      <c r="C25" s="16">
        <f t="shared" ref="C25:P25" si="7">+C9+C12+C19+C22+C23+C24</f>
        <v>-250398.5</v>
      </c>
      <c r="D25" s="16">
        <f t="shared" si="7"/>
        <v>-209605.5</v>
      </c>
      <c r="E25" s="16">
        <f t="shared" si="7"/>
        <v>-240624</v>
      </c>
      <c r="F25" s="16">
        <f t="shared" si="7"/>
        <v>-237381</v>
      </c>
      <c r="G25" s="16">
        <f t="shared" si="7"/>
        <v>-242559</v>
      </c>
      <c r="H25" s="16">
        <f t="shared" si="7"/>
        <v>-249980.5</v>
      </c>
      <c r="I25" s="16">
        <f t="shared" si="7"/>
        <v>-248733.5</v>
      </c>
      <c r="J25" s="16">
        <f t="shared" si="7"/>
        <v>-231102</v>
      </c>
      <c r="K25" s="16">
        <f t="shared" si="7"/>
        <v>-244617.5</v>
      </c>
      <c r="L25" s="16">
        <f t="shared" si="7"/>
        <v>-211477</v>
      </c>
      <c r="M25" s="16">
        <f t="shared" si="7"/>
        <v>-238990.5</v>
      </c>
      <c r="N25" s="16">
        <f t="shared" si="7"/>
        <v>-213757.5</v>
      </c>
      <c r="O25" s="16">
        <f t="shared" si="7"/>
        <v>-228941.5</v>
      </c>
      <c r="P25" s="16">
        <f t="shared" si="7"/>
        <v>-233209</v>
      </c>
      <c r="R25" s="16">
        <f t="shared" si="0"/>
        <v>-2821373</v>
      </c>
    </row>
    <row r="27" spans="2:20" x14ac:dyDescent="0.2">
      <c r="B27" s="17" t="s">
        <v>37</v>
      </c>
      <c r="C27" s="18">
        <f>+C5+C25</f>
        <v>132601.5</v>
      </c>
      <c r="D27" s="18">
        <f t="shared" ref="D27:P27" si="8">+D5+D25</f>
        <v>19394.5</v>
      </c>
      <c r="E27" s="18">
        <f t="shared" si="8"/>
        <v>11376</v>
      </c>
      <c r="F27" s="18">
        <f t="shared" si="8"/>
        <v>20619</v>
      </c>
      <c r="G27" s="18">
        <f t="shared" si="8"/>
        <v>69441</v>
      </c>
      <c r="H27" s="18">
        <f t="shared" si="8"/>
        <v>49019.5</v>
      </c>
      <c r="I27" s="18">
        <f t="shared" si="8"/>
        <v>64266.5</v>
      </c>
      <c r="J27" s="18">
        <f t="shared" si="8"/>
        <v>4898</v>
      </c>
      <c r="K27" s="18">
        <f t="shared" si="8"/>
        <v>80382.5</v>
      </c>
      <c r="L27" s="18">
        <f t="shared" si="8"/>
        <v>54523</v>
      </c>
      <c r="M27" s="18">
        <f t="shared" si="8"/>
        <v>120009.5</v>
      </c>
      <c r="N27" s="18">
        <f t="shared" si="8"/>
        <v>51242.5</v>
      </c>
      <c r="O27" s="18">
        <f t="shared" si="8"/>
        <v>88058.5</v>
      </c>
      <c r="P27" s="18">
        <f t="shared" si="8"/>
        <v>48791</v>
      </c>
      <c r="R27" s="18">
        <f t="shared" ref="R27" si="9">+SUM(E27:P27)</f>
        <v>662627</v>
      </c>
    </row>
    <row r="28" spans="2:20" x14ac:dyDescent="0.2">
      <c r="R28" s="7"/>
    </row>
    <row r="29" spans="2:20" x14ac:dyDescent="0.2"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</row>
    <row r="30" spans="2:20" x14ac:dyDescent="0.2">
      <c r="B30" s="8" t="s">
        <v>46</v>
      </c>
    </row>
    <row r="31" spans="2:20" x14ac:dyDescent="0.2">
      <c r="B31" s="2" t="s">
        <v>48</v>
      </c>
    </row>
    <row r="33" spans="2:18" x14ac:dyDescent="0.2">
      <c r="B33" s="2" t="s">
        <v>49</v>
      </c>
    </row>
    <row r="34" spans="2:18" x14ac:dyDescent="0.2">
      <c r="B34" s="5" t="s">
        <v>50</v>
      </c>
      <c r="C34" s="6"/>
      <c r="D34" s="6"/>
      <c r="E34" s="6">
        <v>-70000</v>
      </c>
      <c r="F34" s="6">
        <v>-50000</v>
      </c>
      <c r="G34" s="6">
        <v>-15000</v>
      </c>
      <c r="H34" s="6">
        <v>-5000</v>
      </c>
      <c r="I34" s="6">
        <v>-2000</v>
      </c>
      <c r="J34" s="6">
        <v>-12000</v>
      </c>
      <c r="K34" s="6">
        <v>-2000</v>
      </c>
      <c r="L34" s="6">
        <v>-2000</v>
      </c>
      <c r="M34" s="6">
        <v>-9000</v>
      </c>
      <c r="N34" s="6">
        <v>-8500</v>
      </c>
      <c r="O34" s="6">
        <v>-2000</v>
      </c>
      <c r="P34" s="6">
        <v>-2000</v>
      </c>
      <c r="R34" s="6">
        <f t="shared" ref="R34" si="10">+SUM(E34:P34)</f>
        <v>-179500</v>
      </c>
    </row>
    <row r="35" spans="2:18" x14ac:dyDescent="0.2">
      <c r="B35" s="2" t="s">
        <v>61</v>
      </c>
      <c r="C35" s="26">
        <v>0.21</v>
      </c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</row>
    <row r="36" spans="2:18" x14ac:dyDescent="0.2">
      <c r="B36" s="2" t="s">
        <v>62</v>
      </c>
      <c r="C36" s="26">
        <v>0.06</v>
      </c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2:18" x14ac:dyDescent="0.2">
      <c r="B37" s="2" t="s">
        <v>63</v>
      </c>
      <c r="C37" s="26">
        <v>0.33</v>
      </c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</row>
    <row r="38" spans="2:18" x14ac:dyDescent="0.2">
      <c r="B38" s="2" t="s">
        <v>64</v>
      </c>
      <c r="C38" s="26">
        <v>0.16</v>
      </c>
      <c r="E38" s="9"/>
      <c r="F38" s="9"/>
      <c r="G38" s="9"/>
      <c r="H38" s="9"/>
      <c r="I38" s="9"/>
      <c r="J38" s="9"/>
      <c r="K38" s="9"/>
      <c r="L38" s="9"/>
      <c r="M38" s="9"/>
      <c r="N38" s="9"/>
      <c r="O38" s="12"/>
    </row>
    <row r="39" spans="2:18" x14ac:dyDescent="0.2">
      <c r="B39" s="2" t="s">
        <v>65</v>
      </c>
      <c r="C39" s="26">
        <v>0.19</v>
      </c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3" spans="2:18" x14ac:dyDescent="0.2">
      <c r="B43" s="21" t="s">
        <v>55</v>
      </c>
      <c r="C43" s="19" t="s">
        <v>3</v>
      </c>
      <c r="D43" s="19" t="s">
        <v>4</v>
      </c>
      <c r="E43" s="19" t="s">
        <v>5</v>
      </c>
      <c r="F43" s="19" t="s">
        <v>6</v>
      </c>
      <c r="G43" s="19" t="s">
        <v>7</v>
      </c>
      <c r="H43" s="19" t="s">
        <v>8</v>
      </c>
      <c r="I43" s="19" t="s">
        <v>9</v>
      </c>
      <c r="J43" s="19" t="s">
        <v>10</v>
      </c>
      <c r="K43" s="19" t="s">
        <v>11</v>
      </c>
      <c r="L43" s="19" t="s">
        <v>12</v>
      </c>
      <c r="M43" s="19" t="s">
        <v>13</v>
      </c>
      <c r="N43" s="19" t="s">
        <v>14</v>
      </c>
      <c r="O43" s="8"/>
      <c r="P43" s="32"/>
    </row>
    <row r="44" spans="2:18" x14ac:dyDescent="0.2">
      <c r="B44" s="5" t="s">
        <v>56</v>
      </c>
      <c r="C44" s="6">
        <f>$R$6/14</f>
        <v>-49285.714285714283</v>
      </c>
      <c r="D44" s="6">
        <f t="shared" ref="D44:M44" si="11">$R$6/14</f>
        <v>-49285.714285714283</v>
      </c>
      <c r="E44" s="6">
        <f t="shared" si="11"/>
        <v>-49285.714285714283</v>
      </c>
      <c r="F44" s="6">
        <f t="shared" si="11"/>
        <v>-49285.714285714283</v>
      </c>
      <c r="G44" s="6">
        <f t="shared" si="11"/>
        <v>-49285.714285714283</v>
      </c>
      <c r="H44" s="6">
        <f t="shared" si="11"/>
        <v>-49285.714285714283</v>
      </c>
      <c r="I44" s="6">
        <f>$R$6/14</f>
        <v>-49285.714285714283</v>
      </c>
      <c r="J44" s="6">
        <f t="shared" si="11"/>
        <v>-49285.714285714283</v>
      </c>
      <c r="K44" s="6">
        <f t="shared" si="11"/>
        <v>-49285.714285714283</v>
      </c>
      <c r="L44" s="6">
        <f t="shared" si="11"/>
        <v>-49285.714285714283</v>
      </c>
      <c r="M44" s="6">
        <f t="shared" si="11"/>
        <v>-49285.714285714283</v>
      </c>
      <c r="N44" s="6">
        <f>$R$6/14</f>
        <v>-49285.714285714283</v>
      </c>
      <c r="O44" s="27"/>
      <c r="P44" s="33"/>
    </row>
    <row r="45" spans="2:18" x14ac:dyDescent="0.2">
      <c r="B45" s="5" t="s">
        <v>57</v>
      </c>
      <c r="C45" s="6"/>
      <c r="D45" s="6"/>
      <c r="E45" s="6"/>
      <c r="F45" s="6"/>
      <c r="G45" s="6"/>
      <c r="H45" s="6"/>
      <c r="I45" s="6">
        <f>+I44</f>
        <v>-49285.714285714283</v>
      </c>
      <c r="J45" s="6"/>
      <c r="K45" s="6"/>
      <c r="L45" s="6"/>
      <c r="M45" s="6"/>
      <c r="N45" s="6">
        <f>+N44</f>
        <v>-49285.714285714283</v>
      </c>
      <c r="O45" s="27"/>
      <c r="P45" s="9"/>
    </row>
    <row r="46" spans="2:18" x14ac:dyDescent="0.2">
      <c r="B46" s="5" t="s">
        <v>58</v>
      </c>
      <c r="C46" s="6">
        <f>D6*12/14*2*C38*2+C6*12/14*C38</f>
        <v>-29142.857142857141</v>
      </c>
      <c r="D46" s="6"/>
      <c r="E46" s="6"/>
      <c r="F46" s="6">
        <f>+E6*12/14*C38+F6*12/14*C38+D47/(1-C36-C38)*C38+G6*12/14*C36</f>
        <v>-40808.571428571428</v>
      </c>
      <c r="G46" s="6"/>
      <c r="H46" s="6"/>
      <c r="I46" s="6">
        <f>H6*12/14*C38+I6*12/14*C38+J6*12/14*2*C38</f>
        <v>-31542.857142857141</v>
      </c>
      <c r="J46" s="6"/>
      <c r="K46" s="6"/>
      <c r="L46" s="6">
        <f>K6*12/14*C38+L6*12/14*C38+M6*12/14*C38</f>
        <v>-23657.142857142855</v>
      </c>
      <c r="M46" s="6"/>
      <c r="N46" s="6"/>
      <c r="O46" s="27"/>
      <c r="P46" s="9"/>
    </row>
    <row r="47" spans="2:18" x14ac:dyDescent="0.2">
      <c r="B47" s="5" t="s">
        <v>17</v>
      </c>
      <c r="C47" s="6"/>
      <c r="D47" s="6">
        <f>$R$7*(1-$C$36-$C$38)</f>
        <v>-107639.99999999999</v>
      </c>
      <c r="E47" s="6"/>
      <c r="F47" s="6"/>
      <c r="G47" s="6"/>
      <c r="H47" s="6"/>
      <c r="I47" s="6"/>
      <c r="J47" s="6"/>
      <c r="K47" s="6"/>
      <c r="L47" s="6"/>
      <c r="M47" s="6"/>
      <c r="N47" s="6">
        <f>AB7*(1-M36-M38)</f>
        <v>0</v>
      </c>
      <c r="O47" s="27"/>
      <c r="P47" s="9"/>
    </row>
    <row r="48" spans="2:18" x14ac:dyDescent="0.2">
      <c r="B48" s="5" t="s">
        <v>59</v>
      </c>
      <c r="C48" s="6">
        <f>D6*$C$36+D8</f>
        <v>-23800</v>
      </c>
      <c r="D48" s="6">
        <f>E6*$C$36+E8</f>
        <v>-32200</v>
      </c>
      <c r="E48" s="6">
        <f>F6*C38+F13+D47/(1-C36-C38)*39%</f>
        <v>-81020</v>
      </c>
      <c r="F48" s="6">
        <f>G6*$C$36+G8</f>
        <v>-32200</v>
      </c>
      <c r="G48" s="6">
        <f t="shared" ref="G48:N48" si="12">H6*$C$36+H8</f>
        <v>-32200</v>
      </c>
      <c r="H48" s="6">
        <f t="shared" si="12"/>
        <v>-32200</v>
      </c>
      <c r="I48" s="6">
        <f t="shared" si="12"/>
        <v>-32200</v>
      </c>
      <c r="J48" s="6">
        <f t="shared" si="12"/>
        <v>-32200</v>
      </c>
      <c r="K48" s="6">
        <f t="shared" si="12"/>
        <v>-32200</v>
      </c>
      <c r="L48" s="6">
        <f t="shared" si="12"/>
        <v>-32200</v>
      </c>
      <c r="M48" s="6">
        <f t="shared" si="12"/>
        <v>-32200</v>
      </c>
      <c r="N48" s="6">
        <f t="shared" si="12"/>
        <v>-32200</v>
      </c>
      <c r="O48" s="27"/>
      <c r="P48" s="9"/>
    </row>
    <row r="49" spans="2:16" x14ac:dyDescent="0.2">
      <c r="B49" s="22" t="s">
        <v>19</v>
      </c>
      <c r="C49" s="23">
        <f t="shared" ref="C49:N49" si="13">SUM(C44:C48)</f>
        <v>-102228.57142857142</v>
      </c>
      <c r="D49" s="23">
        <f t="shared" si="13"/>
        <v>-189125.71428571426</v>
      </c>
      <c r="E49" s="23">
        <f t="shared" si="13"/>
        <v>-130305.71428571429</v>
      </c>
      <c r="F49" s="23">
        <f t="shared" si="13"/>
        <v>-122294.28571428571</v>
      </c>
      <c r="G49" s="23">
        <f t="shared" si="13"/>
        <v>-81485.71428571429</v>
      </c>
      <c r="H49" s="23">
        <f t="shared" si="13"/>
        <v>-81485.71428571429</v>
      </c>
      <c r="I49" s="23">
        <f t="shared" si="13"/>
        <v>-162314.28571428571</v>
      </c>
      <c r="J49" s="23">
        <f t="shared" si="13"/>
        <v>-81485.71428571429</v>
      </c>
      <c r="K49" s="23">
        <f t="shared" si="13"/>
        <v>-81485.71428571429</v>
      </c>
      <c r="L49" s="23">
        <f t="shared" si="13"/>
        <v>-105142.85714285713</v>
      </c>
      <c r="M49" s="23">
        <f t="shared" si="13"/>
        <v>-81485.71428571429</v>
      </c>
      <c r="N49" s="23">
        <f t="shared" si="13"/>
        <v>-130771.42857142857</v>
      </c>
      <c r="O49" s="27"/>
      <c r="P49" s="34"/>
    </row>
    <row r="50" spans="2:16" x14ac:dyDescent="0.2">
      <c r="B50" s="5" t="s">
        <v>35</v>
      </c>
      <c r="C50" s="6">
        <f>((D10*1/3)+(C10*2/3))*(1+$C$35)</f>
        <v>-63323.333333333336</v>
      </c>
      <c r="D50" s="6">
        <f>((E10*1/3)+(D10*2/3))*(1+$C$35)</f>
        <v>-58886.666666666672</v>
      </c>
      <c r="E50" s="6">
        <f t="shared" ref="E50:N50" si="14">((F10*1/3)+(E10*2/3))*(1+$C$35)</f>
        <v>-61306.666666666672</v>
      </c>
      <c r="F50" s="6">
        <f t="shared" si="14"/>
        <v>-64331.666666666672</v>
      </c>
      <c r="G50" s="6">
        <f t="shared" si="14"/>
        <v>-61710</v>
      </c>
      <c r="H50" s="6">
        <f t="shared" si="14"/>
        <v>-69373.333333333328</v>
      </c>
      <c r="I50" s="6">
        <f t="shared" si="14"/>
        <v>-70180</v>
      </c>
      <c r="J50" s="6">
        <f t="shared" si="14"/>
        <v>-68970</v>
      </c>
      <c r="K50" s="6">
        <f t="shared" si="14"/>
        <v>-52030</v>
      </c>
      <c r="L50" s="6">
        <f t="shared" si="14"/>
        <v>-45173.333333333328</v>
      </c>
      <c r="M50" s="6">
        <f t="shared" si="14"/>
        <v>-49206.666666666664</v>
      </c>
      <c r="N50" s="6">
        <f t="shared" si="14"/>
        <v>-47190</v>
      </c>
      <c r="O50" s="27"/>
      <c r="P50" s="9"/>
    </row>
    <row r="51" spans="2:16" x14ac:dyDescent="0.2">
      <c r="B51" s="5" t="s">
        <v>36</v>
      </c>
      <c r="C51" s="6">
        <f>((D11*1/3)+(C11*2/3))*(1+$C$35)</f>
        <v>-37510</v>
      </c>
      <c r="D51" s="6">
        <f t="shared" ref="D51:N51" si="15">((E11*1/3)+(D11*2/3))*(1+$C$35)</f>
        <v>-34686.666666666664</v>
      </c>
      <c r="E51" s="6">
        <f t="shared" si="15"/>
        <v>-33073.333333333336</v>
      </c>
      <c r="F51" s="6">
        <f t="shared" si="15"/>
        <v>-30653.333333333332</v>
      </c>
      <c r="G51" s="6">
        <f t="shared" si="15"/>
        <v>-29443.333333333336</v>
      </c>
      <c r="H51" s="6">
        <f t="shared" si="15"/>
        <v>-29443.333333333336</v>
      </c>
      <c r="I51" s="6">
        <f t="shared" si="15"/>
        <v>-26216.666666666668</v>
      </c>
      <c r="J51" s="6">
        <f t="shared" si="15"/>
        <v>-23796.666666666664</v>
      </c>
      <c r="K51" s="6">
        <f t="shared" si="15"/>
        <v>-23796.666666666668</v>
      </c>
      <c r="L51" s="6">
        <f t="shared" si="15"/>
        <v>-18553.333333333332</v>
      </c>
      <c r="M51" s="6">
        <f t="shared" si="15"/>
        <v>-16133.333333333332</v>
      </c>
      <c r="N51" s="6">
        <f t="shared" si="15"/>
        <v>-19763.333333333332</v>
      </c>
      <c r="O51" s="27"/>
      <c r="P51" s="9"/>
    </row>
    <row r="52" spans="2:16" x14ac:dyDescent="0.2">
      <c r="B52" s="22" t="s">
        <v>20</v>
      </c>
      <c r="C52" s="23">
        <f t="shared" ref="C52:N52" si="16">SUM(C50:C51)</f>
        <v>-100833.33333333334</v>
      </c>
      <c r="D52" s="23">
        <f t="shared" si="16"/>
        <v>-93573.333333333343</v>
      </c>
      <c r="E52" s="23">
        <f t="shared" si="16"/>
        <v>-94380</v>
      </c>
      <c r="F52" s="23">
        <f t="shared" si="16"/>
        <v>-94985</v>
      </c>
      <c r="G52" s="23">
        <f t="shared" si="16"/>
        <v>-91153.333333333343</v>
      </c>
      <c r="H52" s="23">
        <f t="shared" si="16"/>
        <v>-98816.666666666657</v>
      </c>
      <c r="I52" s="23">
        <f t="shared" si="16"/>
        <v>-96396.666666666672</v>
      </c>
      <c r="J52" s="23">
        <f t="shared" si="16"/>
        <v>-92766.666666666657</v>
      </c>
      <c r="K52" s="23">
        <f t="shared" si="16"/>
        <v>-75826.666666666672</v>
      </c>
      <c r="L52" s="23">
        <f t="shared" si="16"/>
        <v>-63726.666666666657</v>
      </c>
      <c r="M52" s="23">
        <f t="shared" si="16"/>
        <v>-65340</v>
      </c>
      <c r="N52" s="23">
        <f t="shared" si="16"/>
        <v>-66953.333333333328</v>
      </c>
      <c r="P52" s="9"/>
    </row>
    <row r="53" spans="2:16" x14ac:dyDescent="0.2">
      <c r="B53" s="5" t="s">
        <v>21</v>
      </c>
      <c r="C53" s="6">
        <f>E13*(1+$C$35-$C$39)</f>
        <v>-18360</v>
      </c>
      <c r="D53" s="6">
        <f t="shared" ref="D53:N53" si="17">F13*(1+$C$35-$C$39)</f>
        <v>-18360</v>
      </c>
      <c r="E53" s="6">
        <f t="shared" si="17"/>
        <v>-18360</v>
      </c>
      <c r="F53" s="6">
        <f t="shared" si="17"/>
        <v>-18360</v>
      </c>
      <c r="G53" s="6">
        <f t="shared" si="17"/>
        <v>-18360</v>
      </c>
      <c r="H53" s="6">
        <f t="shared" si="17"/>
        <v>-18360</v>
      </c>
      <c r="I53" s="6">
        <f t="shared" si="17"/>
        <v>-18360</v>
      </c>
      <c r="J53" s="6">
        <f t="shared" si="17"/>
        <v>-18360</v>
      </c>
      <c r="K53" s="6">
        <f t="shared" si="17"/>
        <v>-18360</v>
      </c>
      <c r="L53" s="6">
        <f t="shared" si="17"/>
        <v>-18360</v>
      </c>
      <c r="M53" s="6">
        <f t="shared" si="17"/>
        <v>-18360</v>
      </c>
      <c r="N53" s="6">
        <f t="shared" si="17"/>
        <v>-18360</v>
      </c>
      <c r="P53" s="9"/>
    </row>
    <row r="54" spans="2:16" x14ac:dyDescent="0.2">
      <c r="B54" s="5" t="s">
        <v>22</v>
      </c>
      <c r="C54" s="6">
        <f>D14*(1+$C$35-$C$39)</f>
        <v>-4080</v>
      </c>
      <c r="D54" s="6">
        <f t="shared" ref="D54:N54" si="18">E14*(1+$C$35-$C$39)</f>
        <v>-16320</v>
      </c>
      <c r="E54" s="6">
        <f t="shared" si="18"/>
        <v>-4080</v>
      </c>
      <c r="F54" s="6">
        <f t="shared" si="18"/>
        <v>-4080</v>
      </c>
      <c r="G54" s="6">
        <f t="shared" si="18"/>
        <v>-6120</v>
      </c>
      <c r="H54" s="6">
        <f t="shared" si="18"/>
        <v>-4080</v>
      </c>
      <c r="I54" s="6">
        <f t="shared" si="18"/>
        <v>-4080</v>
      </c>
      <c r="J54" s="6">
        <f t="shared" si="18"/>
        <v>-6120</v>
      </c>
      <c r="K54" s="6">
        <f t="shared" si="18"/>
        <v>-4080</v>
      </c>
      <c r="L54" s="6">
        <f t="shared" si="18"/>
        <v>-4080</v>
      </c>
      <c r="M54" s="6">
        <f t="shared" si="18"/>
        <v>-6120</v>
      </c>
      <c r="N54" s="6">
        <f t="shared" si="18"/>
        <v>-4080</v>
      </c>
      <c r="P54" s="9"/>
    </row>
    <row r="55" spans="2:16" x14ac:dyDescent="0.2">
      <c r="B55" s="5" t="s">
        <v>23</v>
      </c>
      <c r="C55" s="6">
        <f>D15*(1+$C$35)</f>
        <v>-13854.5</v>
      </c>
      <c r="D55" s="6">
        <f t="shared" ref="D55:N55" si="19">E15*(1+$C$35)</f>
        <v>-15246</v>
      </c>
      <c r="E55" s="6">
        <f t="shared" si="19"/>
        <v>-15609</v>
      </c>
      <c r="F55" s="6">
        <f t="shared" si="19"/>
        <v>-18876</v>
      </c>
      <c r="G55" s="6">
        <f t="shared" si="19"/>
        <v>-18089.5</v>
      </c>
      <c r="H55" s="6">
        <f t="shared" si="19"/>
        <v>-18936.5</v>
      </c>
      <c r="I55" s="6">
        <f t="shared" si="19"/>
        <v>-14278</v>
      </c>
      <c r="J55" s="6">
        <f t="shared" si="19"/>
        <v>-19662.5</v>
      </c>
      <c r="K55" s="6">
        <f t="shared" si="19"/>
        <v>-16093</v>
      </c>
      <c r="L55" s="6">
        <f t="shared" si="19"/>
        <v>-21719.5</v>
      </c>
      <c r="M55" s="6">
        <f t="shared" si="19"/>
        <v>-16032.5</v>
      </c>
      <c r="N55" s="6">
        <f t="shared" si="19"/>
        <v>-19178.5</v>
      </c>
      <c r="P55" s="9"/>
    </row>
    <row r="56" spans="2:16" x14ac:dyDescent="0.2">
      <c r="B56" s="5" t="s">
        <v>24</v>
      </c>
      <c r="C56" s="6"/>
      <c r="D56" s="6">
        <f>R16</f>
        <v>-45000</v>
      </c>
      <c r="E56" s="6"/>
      <c r="F56" s="6"/>
      <c r="G56" s="6"/>
      <c r="H56" s="6"/>
      <c r="I56" s="6"/>
      <c r="J56" s="6"/>
      <c r="K56" s="6"/>
      <c r="L56" s="6"/>
      <c r="M56" s="6"/>
      <c r="N56" s="6"/>
      <c r="P56" s="9"/>
    </row>
    <row r="57" spans="2:16" x14ac:dyDescent="0.2">
      <c r="B57" s="5" t="s">
        <v>25</v>
      </c>
      <c r="C57" s="6">
        <f>D17*(1+$C$35)</f>
        <v>-9075</v>
      </c>
      <c r="D57" s="6">
        <f t="shared" ref="D57:N57" si="20">E17*(1+$C$35)</f>
        <v>-3025</v>
      </c>
      <c r="E57" s="6">
        <f t="shared" si="20"/>
        <v>-3025</v>
      </c>
      <c r="F57" s="6">
        <f t="shared" si="20"/>
        <v>-3025</v>
      </c>
      <c r="G57" s="6">
        <f t="shared" si="20"/>
        <v>-3025</v>
      </c>
      <c r="H57" s="6">
        <f t="shared" si="20"/>
        <v>-3025</v>
      </c>
      <c r="I57" s="6">
        <f t="shared" si="20"/>
        <v>-3025</v>
      </c>
      <c r="J57" s="6">
        <f t="shared" si="20"/>
        <v>-3025</v>
      </c>
      <c r="K57" s="6">
        <f t="shared" si="20"/>
        <v>-3025</v>
      </c>
      <c r="L57" s="6">
        <f t="shared" si="20"/>
        <v>-3025</v>
      </c>
      <c r="M57" s="6">
        <f t="shared" si="20"/>
        <v>-3025</v>
      </c>
      <c r="N57" s="6">
        <f t="shared" si="20"/>
        <v>-3025</v>
      </c>
      <c r="P57" s="9"/>
    </row>
    <row r="58" spans="2:16" x14ac:dyDescent="0.2">
      <c r="B58" s="5" t="s">
        <v>26</v>
      </c>
      <c r="C58" s="6">
        <f>E18*(1+$C$35)</f>
        <v>-5445</v>
      </c>
      <c r="D58" s="6">
        <f t="shared" ref="D58:N58" si="21">F18*(1+$C$35)</f>
        <v>-5445</v>
      </c>
      <c r="E58" s="6">
        <f t="shared" si="21"/>
        <v>-5445</v>
      </c>
      <c r="F58" s="6">
        <f t="shared" si="21"/>
        <v>-5445</v>
      </c>
      <c r="G58" s="6">
        <f t="shared" si="21"/>
        <v>-5445</v>
      </c>
      <c r="H58" s="6">
        <f t="shared" si="21"/>
        <v>-5445</v>
      </c>
      <c r="I58" s="6">
        <f t="shared" si="21"/>
        <v>-5445</v>
      </c>
      <c r="J58" s="6">
        <f t="shared" si="21"/>
        <v>-5445</v>
      </c>
      <c r="K58" s="6">
        <f t="shared" si="21"/>
        <v>-5445</v>
      </c>
      <c r="L58" s="6">
        <f t="shared" si="21"/>
        <v>-5445</v>
      </c>
      <c r="M58" s="6">
        <f t="shared" si="21"/>
        <v>-5445</v>
      </c>
      <c r="N58" s="6">
        <f t="shared" si="21"/>
        <v>-5445</v>
      </c>
      <c r="P58" s="9"/>
    </row>
    <row r="59" spans="2:16" x14ac:dyDescent="0.2">
      <c r="B59" s="22" t="s">
        <v>27</v>
      </c>
      <c r="C59" s="23">
        <f t="shared" ref="C59:N59" si="22">SUM(C53:C58)</f>
        <v>-50814.5</v>
      </c>
      <c r="D59" s="23">
        <f t="shared" si="22"/>
        <v>-103396</v>
      </c>
      <c r="E59" s="23">
        <f t="shared" si="22"/>
        <v>-46519</v>
      </c>
      <c r="F59" s="23">
        <f t="shared" si="22"/>
        <v>-49786</v>
      </c>
      <c r="G59" s="23">
        <f t="shared" si="22"/>
        <v>-51039.5</v>
      </c>
      <c r="H59" s="23">
        <f t="shared" si="22"/>
        <v>-49846.5</v>
      </c>
      <c r="I59" s="23">
        <f t="shared" si="22"/>
        <v>-45188</v>
      </c>
      <c r="J59" s="23">
        <f t="shared" si="22"/>
        <v>-52612.5</v>
      </c>
      <c r="K59" s="23">
        <f t="shared" si="22"/>
        <v>-47003</v>
      </c>
      <c r="L59" s="23">
        <f t="shared" si="22"/>
        <v>-52629.5</v>
      </c>
      <c r="M59" s="23">
        <f t="shared" si="22"/>
        <v>-48982.5</v>
      </c>
      <c r="N59" s="23">
        <f t="shared" si="22"/>
        <v>-50088.5</v>
      </c>
      <c r="P59" s="9"/>
    </row>
    <row r="60" spans="2:16" x14ac:dyDescent="0.2">
      <c r="B60" s="5" t="s">
        <v>28</v>
      </c>
      <c r="C60" s="6"/>
      <c r="D60" s="6"/>
      <c r="E60" s="6"/>
      <c r="F60" s="6">
        <f>-45000</f>
        <v>-45000</v>
      </c>
      <c r="G60" s="6"/>
      <c r="H60" s="6"/>
      <c r="I60" s="6">
        <f>R20-(F60+L60+N60)</f>
        <v>-20673</v>
      </c>
      <c r="J60" s="6"/>
      <c r="K60" s="6"/>
      <c r="L60" s="6">
        <f>-45000</f>
        <v>-45000</v>
      </c>
      <c r="M60" s="6"/>
      <c r="N60" s="6">
        <f>-45000</f>
        <v>-45000</v>
      </c>
      <c r="P60" s="9"/>
    </row>
    <row r="61" spans="2:16" x14ac:dyDescent="0.2">
      <c r="B61" s="5" t="s">
        <v>29</v>
      </c>
      <c r="C61" s="6">
        <f>R21*80%</f>
        <v>-28800</v>
      </c>
      <c r="D61" s="6">
        <f>($R$21*20%)/11</f>
        <v>-654.5454545454545</v>
      </c>
      <c r="E61" s="6">
        <f>($R$21*20%)/11</f>
        <v>-654.5454545454545</v>
      </c>
      <c r="F61" s="6">
        <f t="shared" ref="F61:N61" si="23">($R$21*20%)/11</f>
        <v>-654.5454545454545</v>
      </c>
      <c r="G61" s="6">
        <f t="shared" si="23"/>
        <v>-654.5454545454545</v>
      </c>
      <c r="H61" s="6">
        <f t="shared" si="23"/>
        <v>-654.5454545454545</v>
      </c>
      <c r="I61" s="6">
        <f t="shared" si="23"/>
        <v>-654.5454545454545</v>
      </c>
      <c r="J61" s="6">
        <f t="shared" si="23"/>
        <v>-654.5454545454545</v>
      </c>
      <c r="K61" s="6">
        <f t="shared" si="23"/>
        <v>-654.5454545454545</v>
      </c>
      <c r="L61" s="6">
        <f t="shared" si="23"/>
        <v>-654.5454545454545</v>
      </c>
      <c r="M61" s="6">
        <f t="shared" si="23"/>
        <v>-654.5454545454545</v>
      </c>
      <c r="N61" s="6">
        <f t="shared" si="23"/>
        <v>-654.5454545454545</v>
      </c>
      <c r="P61" s="9"/>
    </row>
    <row r="62" spans="2:16" x14ac:dyDescent="0.2">
      <c r="B62" s="22" t="s">
        <v>30</v>
      </c>
      <c r="C62" s="23">
        <f t="shared" ref="C62:N62" si="24">SUM(C60:C61)</f>
        <v>-28800</v>
      </c>
      <c r="D62" s="23">
        <f t="shared" si="24"/>
        <v>-654.5454545454545</v>
      </c>
      <c r="E62" s="23">
        <f t="shared" si="24"/>
        <v>-654.5454545454545</v>
      </c>
      <c r="F62" s="23">
        <f t="shared" si="24"/>
        <v>-45654.545454545456</v>
      </c>
      <c r="G62" s="23">
        <f t="shared" si="24"/>
        <v>-654.5454545454545</v>
      </c>
      <c r="H62" s="23">
        <f t="shared" si="24"/>
        <v>-654.5454545454545</v>
      </c>
      <c r="I62" s="23">
        <f t="shared" si="24"/>
        <v>-21327.545454545456</v>
      </c>
      <c r="J62" s="23">
        <f t="shared" si="24"/>
        <v>-654.5454545454545</v>
      </c>
      <c r="K62" s="23">
        <f t="shared" si="24"/>
        <v>-654.5454545454545</v>
      </c>
      <c r="L62" s="23">
        <f t="shared" si="24"/>
        <v>-45654.545454545456</v>
      </c>
      <c r="M62" s="23">
        <f t="shared" si="24"/>
        <v>-654.5454545454545</v>
      </c>
      <c r="N62" s="23">
        <f t="shared" si="24"/>
        <v>-45654.545454545456</v>
      </c>
      <c r="P62" s="9"/>
    </row>
    <row r="63" spans="2:16" x14ac:dyDescent="0.2">
      <c r="B63" s="5" t="s">
        <v>31</v>
      </c>
      <c r="C63" s="6">
        <f>E23</f>
        <v>-1000</v>
      </c>
      <c r="D63" s="6">
        <f t="shared" ref="D63:N64" si="25">F23</f>
        <v>-1000</v>
      </c>
      <c r="E63" s="6">
        <f t="shared" si="25"/>
        <v>-1000</v>
      </c>
      <c r="F63" s="6">
        <f t="shared" si="25"/>
        <v>-1000</v>
      </c>
      <c r="G63" s="6">
        <f t="shared" si="25"/>
        <v>-1000</v>
      </c>
      <c r="H63" s="6">
        <f t="shared" si="25"/>
        <v>-1000</v>
      </c>
      <c r="I63" s="6">
        <f t="shared" si="25"/>
        <v>-1000</v>
      </c>
      <c r="J63" s="6">
        <f t="shared" si="25"/>
        <v>-1000</v>
      </c>
      <c r="K63" s="6">
        <f t="shared" si="25"/>
        <v>-1000</v>
      </c>
      <c r="L63" s="6">
        <f t="shared" si="25"/>
        <v>-1000</v>
      </c>
      <c r="M63" s="6">
        <f t="shared" si="25"/>
        <v>-1000</v>
      </c>
      <c r="N63" s="6">
        <f t="shared" si="25"/>
        <v>-1000</v>
      </c>
      <c r="P63" s="9"/>
    </row>
    <row r="64" spans="2:16" x14ac:dyDescent="0.2">
      <c r="B64" s="5" t="s">
        <v>32</v>
      </c>
      <c r="C64" s="6">
        <f>E24</f>
        <v>-2500</v>
      </c>
      <c r="D64" s="6">
        <f t="shared" si="25"/>
        <v>-2500</v>
      </c>
      <c r="E64" s="6">
        <f t="shared" si="25"/>
        <v>-2500</v>
      </c>
      <c r="F64" s="6">
        <f t="shared" si="25"/>
        <v>-2500</v>
      </c>
      <c r="G64" s="6">
        <f t="shared" si="25"/>
        <v>-2500</v>
      </c>
      <c r="H64" s="6">
        <f t="shared" si="25"/>
        <v>-2500</v>
      </c>
      <c r="I64" s="6">
        <f t="shared" si="25"/>
        <v>-2500</v>
      </c>
      <c r="J64" s="6">
        <f t="shared" si="25"/>
        <v>-2500</v>
      </c>
      <c r="K64" s="6">
        <f t="shared" si="25"/>
        <v>-2500</v>
      </c>
      <c r="L64" s="6">
        <f t="shared" si="25"/>
        <v>-2500</v>
      </c>
      <c r="M64" s="6">
        <f t="shared" si="25"/>
        <v>-2500</v>
      </c>
      <c r="N64" s="6">
        <f t="shared" si="25"/>
        <v>-2500</v>
      </c>
      <c r="P64" s="9"/>
    </row>
    <row r="65" spans="2:16" x14ac:dyDescent="0.2">
      <c r="B65" s="24" t="s">
        <v>60</v>
      </c>
      <c r="C65" s="25">
        <f t="shared" ref="C65:N65" si="26">+C49+C52+C59+C62+C63+C64</f>
        <v>-286176.40476190473</v>
      </c>
      <c r="D65" s="25">
        <f t="shared" si="26"/>
        <v>-390249.59307359305</v>
      </c>
      <c r="E65" s="25">
        <f t="shared" si="26"/>
        <v>-275359.25974025979</v>
      </c>
      <c r="F65" s="25">
        <f t="shared" si="26"/>
        <v>-316219.83116883115</v>
      </c>
      <c r="G65" s="25">
        <f t="shared" si="26"/>
        <v>-227833.09307359307</v>
      </c>
      <c r="H65" s="25">
        <f t="shared" si="26"/>
        <v>-234303.42640692639</v>
      </c>
      <c r="I65" s="25">
        <f t="shared" si="26"/>
        <v>-328726.49783549784</v>
      </c>
      <c r="J65" s="25">
        <f t="shared" si="26"/>
        <v>-231019.42640692639</v>
      </c>
      <c r="K65" s="25">
        <f t="shared" si="26"/>
        <v>-208469.92640692639</v>
      </c>
      <c r="L65" s="25">
        <f t="shared" si="26"/>
        <v>-270653.56926406926</v>
      </c>
      <c r="M65" s="25">
        <f t="shared" si="26"/>
        <v>-199962.75974025973</v>
      </c>
      <c r="N65" s="25">
        <f t="shared" si="26"/>
        <v>-296967.80735930736</v>
      </c>
      <c r="P65" s="9"/>
    </row>
    <row r="66" spans="2:16" x14ac:dyDescent="0.2">
      <c r="P66" s="9"/>
    </row>
    <row r="67" spans="2:16" x14ac:dyDescent="0.2">
      <c r="P67" s="9"/>
    </row>
    <row r="68" spans="2:16" x14ac:dyDescent="0.2">
      <c r="P68" s="9"/>
    </row>
    <row r="69" spans="2:16" x14ac:dyDescent="0.2">
      <c r="P69" s="9"/>
    </row>
    <row r="70" spans="2:16" x14ac:dyDescent="0.2">
      <c r="P70" s="9"/>
    </row>
    <row r="71" spans="2:16" x14ac:dyDescent="0.2">
      <c r="P71" s="9"/>
    </row>
    <row r="72" spans="2:16" x14ac:dyDescent="0.2">
      <c r="P72" s="33"/>
    </row>
    <row r="73" spans="2:16" x14ac:dyDescent="0.2">
      <c r="P73" s="33"/>
    </row>
    <row r="74" spans="2:16" x14ac:dyDescent="0.2">
      <c r="P74" s="9"/>
    </row>
    <row r="75" spans="2:16" x14ac:dyDescent="0.2">
      <c r="P75" s="9"/>
    </row>
    <row r="76" spans="2:16" x14ac:dyDescent="0.2">
      <c r="P76" s="33"/>
    </row>
    <row r="77" spans="2:16" x14ac:dyDescent="0.2">
      <c r="P77" s="9"/>
    </row>
    <row r="78" spans="2:16" x14ac:dyDescent="0.2">
      <c r="P78" s="9"/>
    </row>
    <row r="79" spans="2:16" x14ac:dyDescent="0.2">
      <c r="P79" s="9"/>
    </row>
    <row r="80" spans="2:16" x14ac:dyDescent="0.2">
      <c r="P80" s="9"/>
    </row>
    <row r="81" spans="16:16" x14ac:dyDescent="0.2">
      <c r="P81" s="9"/>
    </row>
    <row r="82" spans="16:16" x14ac:dyDescent="0.2">
      <c r="P82" s="9"/>
    </row>
    <row r="83" spans="16:16" x14ac:dyDescent="0.2">
      <c r="P83" s="33"/>
    </row>
    <row r="84" spans="16:16" x14ac:dyDescent="0.2">
      <c r="P84" s="9"/>
    </row>
    <row r="85" spans="16:16" x14ac:dyDescent="0.2">
      <c r="P85" s="9"/>
    </row>
    <row r="86" spans="16:16" x14ac:dyDescent="0.2">
      <c r="P86" s="9"/>
    </row>
    <row r="87" spans="16:16" x14ac:dyDescent="0.2">
      <c r="P87" s="9"/>
    </row>
    <row r="88" spans="16:16" x14ac:dyDescent="0.2">
      <c r="P88" s="9"/>
    </row>
    <row r="89" spans="16:16" x14ac:dyDescent="0.2">
      <c r="P89" s="33"/>
    </row>
    <row r="90" spans="16:16" x14ac:dyDescent="0.2">
      <c r="P90" s="9"/>
    </row>
    <row r="91" spans="16:16" x14ac:dyDescent="0.2">
      <c r="P91" s="9"/>
    </row>
    <row r="92" spans="16:16" x14ac:dyDescent="0.2">
      <c r="P92" s="33"/>
    </row>
    <row r="93" spans="16:16" x14ac:dyDescent="0.2">
      <c r="P93" s="33"/>
    </row>
    <row r="94" spans="16:16" x14ac:dyDescent="0.2">
      <c r="P94" s="33"/>
    </row>
  </sheetData>
  <mergeCells count="1">
    <mergeCell ref="T10:T12"/>
  </mergeCells>
  <conditionalFormatting sqref="P94">
    <cfRule type="cellIs" dxfId="3" priority="1" stopIfTrue="1" operator="less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A9FCF-D2EB-47CC-9E38-CC4BCC1E4DA7}">
  <dimension ref="A1:R47"/>
  <sheetViews>
    <sheetView topLeftCell="A13" workbookViewId="0">
      <selection activeCell="T17" sqref="T17"/>
    </sheetView>
  </sheetViews>
  <sheetFormatPr defaultRowHeight="15" x14ac:dyDescent="0.25"/>
  <cols>
    <col min="3" max="3" width="22.7109375" customWidth="1"/>
    <col min="5" max="5" width="9.42578125" customWidth="1"/>
  </cols>
  <sheetData>
    <row r="1" spans="1:17" x14ac:dyDescent="0.25">
      <c r="A1" s="1" t="s">
        <v>89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x14ac:dyDescent="0.25">
      <c r="A3" s="2"/>
      <c r="B3" s="21" t="s">
        <v>55</v>
      </c>
      <c r="C3" s="21"/>
      <c r="D3" s="19" t="s">
        <v>3</v>
      </c>
      <c r="E3" s="19" t="s">
        <v>4</v>
      </c>
      <c r="F3" s="19" t="s">
        <v>5</v>
      </c>
      <c r="G3" s="19" t="s">
        <v>6</v>
      </c>
      <c r="H3" s="19" t="s">
        <v>7</v>
      </c>
      <c r="I3" s="19" t="s">
        <v>8</v>
      </c>
      <c r="J3" s="19" t="s">
        <v>9</v>
      </c>
      <c r="K3" s="19" t="s">
        <v>10</v>
      </c>
      <c r="L3" s="19" t="s">
        <v>11</v>
      </c>
      <c r="M3" s="19" t="s">
        <v>12</v>
      </c>
      <c r="N3" s="19" t="s">
        <v>13</v>
      </c>
      <c r="O3" s="19" t="s">
        <v>14</v>
      </c>
      <c r="P3" s="2"/>
      <c r="Q3" s="19" t="s">
        <v>66</v>
      </c>
    </row>
    <row r="4" spans="1:17" x14ac:dyDescent="0.25">
      <c r="A4" s="8"/>
      <c r="B4" s="48" t="s">
        <v>53</v>
      </c>
      <c r="C4" s="49"/>
      <c r="D4" s="28">
        <v>45000</v>
      </c>
      <c r="E4" s="28">
        <f t="shared" ref="E4:O4" si="0">+D47</f>
        <v>-8221.4047619047342</v>
      </c>
      <c r="F4" s="28">
        <f t="shared" si="0"/>
        <v>-134729.99783549778</v>
      </c>
      <c r="G4" s="28">
        <f t="shared" si="0"/>
        <v>-133861.25757575757</v>
      </c>
      <c r="H4" s="28">
        <f t="shared" si="0"/>
        <v>-170087.08874458872</v>
      </c>
      <c r="I4" s="28">
        <f t="shared" si="0"/>
        <v>11378.818181818206</v>
      </c>
      <c r="J4" s="28">
        <f t="shared" si="0"/>
        <v>186506.39177489182</v>
      </c>
      <c r="K4" s="28">
        <f t="shared" si="0"/>
        <v>163119.89393939398</v>
      </c>
      <c r="L4" s="28">
        <f t="shared" si="0"/>
        <v>214154.46753246759</v>
      </c>
      <c r="M4" s="28">
        <f t="shared" si="0"/>
        <v>368783.5411255412</v>
      </c>
      <c r="N4" s="28">
        <f t="shared" si="0"/>
        <v>527050.97186147189</v>
      </c>
      <c r="O4" s="28">
        <f t="shared" si="0"/>
        <v>685276.21212121216</v>
      </c>
      <c r="P4" s="8"/>
      <c r="Q4" s="28">
        <f>+D4</f>
        <v>45000</v>
      </c>
    </row>
    <row r="5" spans="1:17" x14ac:dyDescent="0.25">
      <c r="A5" s="2"/>
      <c r="B5" s="2"/>
      <c r="C5" s="39" t="s">
        <v>70</v>
      </c>
      <c r="D5" s="6">
        <f>Traslación_Cobros!E21</f>
        <v>25410</v>
      </c>
      <c r="E5" s="6">
        <f>Traslación_Cobros!F21</f>
        <v>38720</v>
      </c>
      <c r="F5" s="6">
        <f>Traslación_Cobros!G21</f>
        <v>41140</v>
      </c>
      <c r="G5" s="6">
        <f>Traslación_Cobros!H21</f>
        <v>25410</v>
      </c>
      <c r="H5" s="6">
        <f>Traslación_Cobros!I21</f>
        <v>30250</v>
      </c>
      <c r="I5" s="6">
        <f>Traslación_Cobros!J21</f>
        <v>54450</v>
      </c>
      <c r="J5" s="6">
        <f>Traslación_Cobros!K21</f>
        <v>12100</v>
      </c>
      <c r="K5" s="6">
        <f>Traslación_Cobros!L21</f>
        <v>54450</v>
      </c>
      <c r="L5" s="6">
        <f>Traslación_Cobros!M21</f>
        <v>33880</v>
      </c>
      <c r="M5" s="6">
        <f>Traslación_Cobros!N21</f>
        <v>38720</v>
      </c>
      <c r="N5" s="6">
        <f>Traslación_Cobros!O21</f>
        <v>45980</v>
      </c>
      <c r="O5" s="6">
        <f>Traslación_Cobros!P21</f>
        <v>20570</v>
      </c>
      <c r="P5" s="2"/>
      <c r="Q5" s="6">
        <f>SUM(D5:O5)</f>
        <v>421080</v>
      </c>
    </row>
    <row r="6" spans="1:17" x14ac:dyDescent="0.25">
      <c r="A6" s="2"/>
      <c r="B6" s="2"/>
      <c r="C6" s="39" t="s">
        <v>72</v>
      </c>
      <c r="D6" s="6">
        <f>Traslación_Cobros!E22</f>
        <v>31460</v>
      </c>
      <c r="E6" s="6">
        <f>Traslación_Cobros!F22</f>
        <v>7260</v>
      </c>
      <c r="F6" s="6">
        <f>Traslación_Cobros!G22</f>
        <v>4840</v>
      </c>
      <c r="G6" s="6">
        <f>Traslación_Cobros!H22</f>
        <v>60500</v>
      </c>
      <c r="H6" s="6">
        <f>Traslación_Cobros!I22</f>
        <v>71390</v>
      </c>
      <c r="I6" s="6">
        <f>Traslación_Cobros!J22</f>
        <v>12100</v>
      </c>
      <c r="J6" s="6">
        <f>Traslación_Cobros!K22</f>
        <v>44770</v>
      </c>
      <c r="K6" s="6">
        <f>Traslación_Cobros!L22</f>
        <v>14520</v>
      </c>
      <c r="L6" s="6">
        <f>Traslación_Cobros!M22</f>
        <v>65340</v>
      </c>
      <c r="M6" s="6">
        <f>Traslación_Cobros!N22</f>
        <v>42350</v>
      </c>
      <c r="N6" s="6">
        <f>Traslación_Cobros!O22</f>
        <v>52030</v>
      </c>
      <c r="O6" s="6">
        <f>Traslación_Cobros!P22</f>
        <v>36300</v>
      </c>
      <c r="P6" s="2"/>
      <c r="Q6" s="6">
        <f t="shared" ref="Q6:Q15" si="1">SUM(D6:O6)</f>
        <v>442860</v>
      </c>
    </row>
    <row r="7" spans="1:17" x14ac:dyDescent="0.25">
      <c r="A7" s="2"/>
      <c r="B7" s="2"/>
      <c r="C7" s="39" t="s">
        <v>74</v>
      </c>
      <c r="D7" s="6">
        <f>Traslación_Cobros!E23</f>
        <v>38720</v>
      </c>
      <c r="E7" s="6">
        <f>Traslación_Cobros!F23</f>
        <v>24926</v>
      </c>
      <c r="F7" s="6">
        <f>Traslación_Cobros!G23</f>
        <v>44528</v>
      </c>
      <c r="G7" s="6">
        <f>Traslación_Cobros!H23</f>
        <v>47674</v>
      </c>
      <c r="H7" s="6">
        <f>Traslación_Cobros!I23</f>
        <v>53724</v>
      </c>
      <c r="I7" s="6">
        <f>Traslación_Cobros!J23</f>
        <v>37026</v>
      </c>
      <c r="J7" s="6">
        <f>Traslación_Cobros!K23</f>
        <v>59290</v>
      </c>
      <c r="K7" s="6">
        <f>Traslación_Cobros!L23</f>
        <v>18634</v>
      </c>
      <c r="L7" s="6">
        <f>Traslación_Cobros!M23</f>
        <v>45254</v>
      </c>
      <c r="M7" s="6">
        <f>Traslación_Cobros!N23</f>
        <v>27346</v>
      </c>
      <c r="N7" s="6">
        <f>Traslación_Cobros!O23</f>
        <v>23958</v>
      </c>
      <c r="O7" s="6">
        <f>Traslación_Cobros!P23</f>
        <v>48400</v>
      </c>
      <c r="P7" s="2"/>
      <c r="Q7" s="6">
        <f t="shared" si="1"/>
        <v>469480</v>
      </c>
    </row>
    <row r="8" spans="1:17" x14ac:dyDescent="0.25">
      <c r="A8" s="2"/>
      <c r="B8" s="2"/>
      <c r="C8" s="39" t="s">
        <v>76</v>
      </c>
      <c r="D8" s="6">
        <f>Traslación_Cobros!E24</f>
        <v>42350</v>
      </c>
      <c r="E8" s="6">
        <f>Traslación_Cobros!F24</f>
        <v>31460</v>
      </c>
      <c r="F8" s="6">
        <f>Traslación_Cobros!G24</f>
        <v>31460</v>
      </c>
      <c r="G8" s="6">
        <f>Traslación_Cobros!H24</f>
        <v>29040</v>
      </c>
      <c r="H8" s="6">
        <f>Traslación_Cobros!I24</f>
        <v>45375</v>
      </c>
      <c r="I8" s="6">
        <f>Traslación_Cobros!J24</f>
        <v>44165</v>
      </c>
      <c r="J8" s="6">
        <f>Traslación_Cobros!K24</f>
        <v>19965</v>
      </c>
      <c r="K8" s="6">
        <f>Traslación_Cobros!L24</f>
        <v>16335</v>
      </c>
      <c r="L8" s="6">
        <f>Traslación_Cobros!M24</f>
        <v>33275</v>
      </c>
      <c r="M8" s="6">
        <f>Traslación_Cobros!N24</f>
        <v>58080</v>
      </c>
      <c r="N8" s="6">
        <f>Traslación_Cobros!O24</f>
        <v>35090</v>
      </c>
      <c r="O8" s="6">
        <f>Traslación_Cobros!P24</f>
        <v>33275</v>
      </c>
      <c r="P8" s="2"/>
      <c r="Q8" s="6">
        <f t="shared" si="1"/>
        <v>419870</v>
      </c>
    </row>
    <row r="9" spans="1:17" x14ac:dyDescent="0.25">
      <c r="A9" s="2"/>
      <c r="B9" s="2"/>
      <c r="C9" s="39" t="s">
        <v>78</v>
      </c>
      <c r="D9" s="6">
        <f>Traslación_Cobros!E25</f>
        <v>18000</v>
      </c>
      <c r="E9" s="6">
        <f>Traslación_Cobros!F25</f>
        <v>45000</v>
      </c>
      <c r="F9" s="6">
        <f>Traslación_Cobros!G25</f>
        <v>41000</v>
      </c>
      <c r="G9" s="6">
        <f>Traslación_Cobros!H25</f>
        <v>5000</v>
      </c>
      <c r="H9" s="6">
        <f>Traslación_Cobros!I25</f>
        <v>46000</v>
      </c>
      <c r="I9" s="6">
        <f>Traslación_Cobros!J25</f>
        <v>45000</v>
      </c>
      <c r="J9" s="6">
        <f>Traslación_Cobros!K25</f>
        <v>0</v>
      </c>
      <c r="K9" s="6">
        <f>Traslación_Cobros!L25</f>
        <v>21000</v>
      </c>
      <c r="L9" s="6">
        <f>Traslación_Cobros!M25</f>
        <v>31000</v>
      </c>
      <c r="M9" s="6">
        <f>Traslación_Cobros!N25</f>
        <v>38000</v>
      </c>
      <c r="N9" s="6">
        <f>Traslación_Cobros!O25</f>
        <v>18000</v>
      </c>
      <c r="O9" s="6">
        <f>Traslación_Cobros!P25</f>
        <v>19000</v>
      </c>
      <c r="P9" s="2"/>
      <c r="Q9" s="6">
        <f t="shared" si="1"/>
        <v>327000</v>
      </c>
    </row>
    <row r="10" spans="1:17" x14ac:dyDescent="0.25">
      <c r="A10" s="2"/>
      <c r="B10" s="2"/>
      <c r="C10" s="39" t="s">
        <v>80</v>
      </c>
      <c r="D10" s="6">
        <f>Traslación_Cobros!E26</f>
        <v>11495</v>
      </c>
      <c r="E10" s="6">
        <f>Traslación_Cobros!F26</f>
        <v>16335</v>
      </c>
      <c r="F10" s="6">
        <f>Traslación_Cobros!G26</f>
        <v>30250</v>
      </c>
      <c r="G10" s="6">
        <f>Traslación_Cobros!H26</f>
        <v>34485</v>
      </c>
      <c r="H10" s="6">
        <f>Traslación_Cobros!I26</f>
        <v>43560</v>
      </c>
      <c r="I10" s="6">
        <f>Traslación_Cobros!J26</f>
        <v>50820</v>
      </c>
      <c r="J10" s="6">
        <f>Traslación_Cobros!K26</f>
        <v>33880</v>
      </c>
      <c r="K10" s="6">
        <f>Traslación_Cobros!L26</f>
        <v>33275</v>
      </c>
      <c r="L10" s="6">
        <f>Traslación_Cobros!M26</f>
        <v>59290</v>
      </c>
      <c r="M10" s="6">
        <f>Traslación_Cobros!N26</f>
        <v>51425</v>
      </c>
      <c r="N10" s="6">
        <f>Traslación_Cobros!O26</f>
        <v>36300</v>
      </c>
      <c r="O10" s="6">
        <f>Traslación_Cobros!P26</f>
        <v>29645</v>
      </c>
      <c r="P10" s="2"/>
      <c r="Q10" s="6">
        <f t="shared" si="1"/>
        <v>430760</v>
      </c>
    </row>
    <row r="11" spans="1:17" x14ac:dyDescent="0.25">
      <c r="A11" s="2"/>
      <c r="B11" s="2"/>
      <c r="C11" s="39" t="s">
        <v>82</v>
      </c>
      <c r="D11" s="6">
        <f>Traslación_Cobros!E27</f>
        <v>0</v>
      </c>
      <c r="E11" s="6">
        <f>Traslación_Cobros!F27</f>
        <v>6050</v>
      </c>
      <c r="F11" s="6">
        <f>Traslación_Cobros!G27</f>
        <v>37510</v>
      </c>
      <c r="G11" s="6">
        <f>Traslación_Cobros!H27</f>
        <v>27830</v>
      </c>
      <c r="H11" s="6">
        <f>Traslación_Cobros!I27</f>
        <v>31460</v>
      </c>
      <c r="I11" s="6">
        <f>Traslación_Cobros!J27</f>
        <v>49610</v>
      </c>
      <c r="J11" s="6">
        <f>Traslación_Cobros!K27</f>
        <v>37510</v>
      </c>
      <c r="K11" s="6">
        <f>Traslación_Cobros!L27</f>
        <v>18150</v>
      </c>
      <c r="L11" s="6">
        <f>Traslación_Cobros!M27</f>
        <v>31460</v>
      </c>
      <c r="M11" s="6">
        <f>Traslación_Cobros!N27</f>
        <v>39930</v>
      </c>
      <c r="N11" s="6">
        <f>Traslación_Cobros!O27</f>
        <v>42350</v>
      </c>
      <c r="O11" s="6">
        <f>Traslación_Cobros!P27</f>
        <v>0</v>
      </c>
      <c r="P11" s="2"/>
      <c r="Q11" s="6">
        <f t="shared" si="1"/>
        <v>321860</v>
      </c>
    </row>
    <row r="12" spans="1:17" x14ac:dyDescent="0.25">
      <c r="A12" s="2"/>
      <c r="B12" s="2"/>
      <c r="C12" s="39" t="s">
        <v>83</v>
      </c>
      <c r="D12" s="6">
        <f>Traslación_Cobros!E28</f>
        <v>53845</v>
      </c>
      <c r="E12" s="6">
        <f>Traslación_Cobros!F28</f>
        <v>38115</v>
      </c>
      <c r="F12" s="6">
        <f>Traslación_Cobros!G28</f>
        <v>7865</v>
      </c>
      <c r="G12" s="6">
        <f>Traslación_Cobros!H28</f>
        <v>2420</v>
      </c>
      <c r="H12" s="6">
        <f>Traslación_Cobros!I28</f>
        <v>11495</v>
      </c>
      <c r="I12" s="6">
        <f>Traslación_Cobros!J28</f>
        <v>26015</v>
      </c>
      <c r="J12" s="6">
        <f>Traslación_Cobros!K28</f>
        <v>40535</v>
      </c>
      <c r="K12" s="6">
        <f>Traslación_Cobros!L28</f>
        <v>23595</v>
      </c>
      <c r="L12" s="6">
        <f>Traslación_Cobros!M28</f>
        <v>15125</v>
      </c>
      <c r="M12" s="6">
        <f>Traslación_Cobros!N28</f>
        <v>33275</v>
      </c>
      <c r="N12" s="6">
        <f>Traslación_Cobros!O28</f>
        <v>51425</v>
      </c>
      <c r="O12" s="6">
        <f>Traslación_Cobros!P28</f>
        <v>35695</v>
      </c>
      <c r="P12" s="2"/>
      <c r="Q12" s="6">
        <f t="shared" si="1"/>
        <v>339405</v>
      </c>
    </row>
    <row r="13" spans="1:17" x14ac:dyDescent="0.25">
      <c r="A13" s="2"/>
      <c r="B13" s="2"/>
      <c r="C13" s="39" t="s">
        <v>85</v>
      </c>
      <c r="D13" s="6">
        <f>Traslación_Cobros!E29</f>
        <v>43560</v>
      </c>
      <c r="E13" s="6">
        <f>Traslación_Cobros!F29</f>
        <v>49610</v>
      </c>
      <c r="F13" s="6">
        <f>Traslación_Cobros!G29</f>
        <v>14520</v>
      </c>
      <c r="G13" s="6">
        <f>Traslación_Cobros!H29</f>
        <v>0</v>
      </c>
      <c r="H13" s="6">
        <f>Traslación_Cobros!I29</f>
        <v>27830</v>
      </c>
      <c r="I13" s="6">
        <f>Traslación_Cobros!J29</f>
        <v>33880</v>
      </c>
      <c r="J13" s="6">
        <f>Traslación_Cobros!K29</f>
        <v>30250</v>
      </c>
      <c r="K13" s="6">
        <f>Traslación_Cobros!L29</f>
        <v>29040</v>
      </c>
      <c r="L13" s="6">
        <f>Traslación_Cobros!M29</f>
        <v>21780</v>
      </c>
      <c r="M13" s="6">
        <f>Traslación_Cobros!N29</f>
        <v>16940</v>
      </c>
      <c r="N13" s="6">
        <f>Traslación_Cobros!O29</f>
        <v>26620</v>
      </c>
      <c r="O13" s="6">
        <f>Traslación_Cobros!P29</f>
        <v>0</v>
      </c>
      <c r="P13" s="2"/>
      <c r="Q13" s="6">
        <f t="shared" si="1"/>
        <v>294030</v>
      </c>
    </row>
    <row r="14" spans="1:17" x14ac:dyDescent="0.25">
      <c r="A14" s="2"/>
      <c r="B14" s="2"/>
      <c r="C14" s="39" t="s">
        <v>86</v>
      </c>
      <c r="D14" s="6">
        <f>Traslación_Cobros!E30</f>
        <v>0</v>
      </c>
      <c r="E14" s="6">
        <f>Traslación_Cobros!F30</f>
        <v>21780</v>
      </c>
      <c r="F14" s="6">
        <f>Traslación_Cobros!G30</f>
        <v>0</v>
      </c>
      <c r="G14" s="6">
        <f>Traslación_Cobros!H30</f>
        <v>6050</v>
      </c>
      <c r="H14" s="6">
        <f>Traslación_Cobros!I30</f>
        <v>0</v>
      </c>
      <c r="I14" s="6">
        <f>Traslación_Cobros!J30</f>
        <v>35090</v>
      </c>
      <c r="J14" s="6">
        <f>Traslación_Cobros!K30</f>
        <v>0</v>
      </c>
      <c r="K14" s="6">
        <f>Traslación_Cobros!L30</f>
        <v>20570</v>
      </c>
      <c r="L14" s="6">
        <f>Traslación_Cobros!M30</f>
        <v>0</v>
      </c>
      <c r="M14" s="6">
        <f>Traslación_Cobros!N30</f>
        <v>62920</v>
      </c>
      <c r="N14" s="6">
        <f>Traslación_Cobros!O30</f>
        <v>0</v>
      </c>
      <c r="O14" s="6">
        <f>Traslación_Cobros!P30</f>
        <v>15730</v>
      </c>
      <c r="P14" s="2"/>
      <c r="Q14" s="6">
        <f t="shared" si="1"/>
        <v>162140</v>
      </c>
    </row>
    <row r="15" spans="1:17" x14ac:dyDescent="0.25">
      <c r="A15" s="2"/>
      <c r="B15" s="2"/>
      <c r="C15" s="39" t="s">
        <v>52</v>
      </c>
      <c r="D15" s="6">
        <f>Traslación_Cobros!E31</f>
        <v>38115</v>
      </c>
      <c r="E15" s="6">
        <f>Traslación_Cobros!F31</f>
        <v>34485</v>
      </c>
      <c r="F15" s="6">
        <f>Traslación_Cobros!G31</f>
        <v>38115</v>
      </c>
      <c r="G15" s="6">
        <f>Traslación_Cobros!H31</f>
        <v>46585</v>
      </c>
      <c r="H15" s="6">
        <f>Traslación_Cobros!I31</f>
        <v>50215</v>
      </c>
      <c r="I15" s="6">
        <f>Traslación_Cobros!J31</f>
        <v>33275</v>
      </c>
      <c r="J15" s="6">
        <f>Traslación_Cobros!K31</f>
        <v>29040</v>
      </c>
      <c r="K15" s="6">
        <f>Traslación_Cobros!L31</f>
        <v>34485</v>
      </c>
      <c r="L15" s="6">
        <f>Traslación_Cobros!M31</f>
        <v>35695</v>
      </c>
      <c r="M15" s="6">
        <f>Traslación_Cobros!N31</f>
        <v>28435</v>
      </c>
      <c r="N15" s="6">
        <f>Traslación_Cobros!O31</f>
        <v>28435</v>
      </c>
      <c r="O15" s="6">
        <f>Traslación_Cobros!P31</f>
        <v>53240</v>
      </c>
      <c r="P15" s="2"/>
      <c r="Q15" s="6">
        <f t="shared" si="1"/>
        <v>450120</v>
      </c>
    </row>
    <row r="16" spans="1:17" x14ac:dyDescent="0.25">
      <c r="A16" s="2"/>
      <c r="B16" s="2"/>
      <c r="C16" s="50" t="s">
        <v>90</v>
      </c>
      <c r="D16" s="29">
        <f t="shared" ref="D16:O16" si="2">SUM(D5:D15)</f>
        <v>302955</v>
      </c>
      <c r="E16" s="29">
        <f t="shared" si="2"/>
        <v>313741</v>
      </c>
      <c r="F16" s="29">
        <f t="shared" si="2"/>
        <v>291228</v>
      </c>
      <c r="G16" s="29">
        <f t="shared" si="2"/>
        <v>284994</v>
      </c>
      <c r="H16" s="29">
        <f t="shared" si="2"/>
        <v>411299</v>
      </c>
      <c r="I16" s="29">
        <f t="shared" si="2"/>
        <v>421431</v>
      </c>
      <c r="J16" s="29">
        <f t="shared" si="2"/>
        <v>307340</v>
      </c>
      <c r="K16" s="29">
        <f t="shared" si="2"/>
        <v>284054</v>
      </c>
      <c r="L16" s="29">
        <f t="shared" si="2"/>
        <v>372099</v>
      </c>
      <c r="M16" s="29">
        <f t="shared" si="2"/>
        <v>437421</v>
      </c>
      <c r="N16" s="29">
        <f t="shared" si="2"/>
        <v>360188</v>
      </c>
      <c r="O16" s="29">
        <f t="shared" si="2"/>
        <v>291855</v>
      </c>
      <c r="P16" s="2"/>
      <c r="Q16" s="29">
        <f>SUM(Q5:Q15)</f>
        <v>4078605</v>
      </c>
    </row>
    <row r="17" spans="1:18" x14ac:dyDescent="0.25">
      <c r="A17" s="2"/>
      <c r="B17" s="2"/>
      <c r="C17" s="5" t="s">
        <v>56</v>
      </c>
      <c r="D17" s="6">
        <f>Traslación_Pagos_1!C44</f>
        <v>-49285.714285714283</v>
      </c>
      <c r="E17" s="6">
        <f>Traslación_Pagos_1!D44</f>
        <v>-49285.714285714283</v>
      </c>
      <c r="F17" s="6">
        <f>Traslación_Pagos_1!E44</f>
        <v>-49285.714285714283</v>
      </c>
      <c r="G17" s="6">
        <f>Traslación_Pagos_1!F44</f>
        <v>-49285.714285714283</v>
      </c>
      <c r="H17" s="6">
        <f>Traslación_Pagos_1!G44</f>
        <v>-49285.714285714283</v>
      </c>
      <c r="I17" s="6">
        <f>Traslación_Pagos_1!H44</f>
        <v>-49285.714285714283</v>
      </c>
      <c r="J17" s="6">
        <f>Traslación_Pagos_1!I44</f>
        <v>-49285.714285714283</v>
      </c>
      <c r="K17" s="6">
        <f>Traslación_Pagos_1!J44</f>
        <v>-49285.714285714283</v>
      </c>
      <c r="L17" s="6">
        <f>Traslación_Pagos_1!K44</f>
        <v>-49285.714285714283</v>
      </c>
      <c r="M17" s="6">
        <f>Traslación_Pagos_1!L44</f>
        <v>-49285.714285714283</v>
      </c>
      <c r="N17" s="6">
        <f>Traslación_Pagos_1!M44</f>
        <v>-49285.714285714283</v>
      </c>
      <c r="O17" s="6">
        <f>Traslación_Pagos_1!N44</f>
        <v>-49285.714285714283</v>
      </c>
      <c r="P17" s="2"/>
      <c r="Q17" s="6">
        <f>SUM(D17:O17)</f>
        <v>-591428.57142857136</v>
      </c>
    </row>
    <row r="18" spans="1:18" x14ac:dyDescent="0.25">
      <c r="A18" s="2"/>
      <c r="B18" s="2"/>
      <c r="C18" s="5" t="s">
        <v>57</v>
      </c>
      <c r="D18" s="6">
        <f>Traslación_Pagos_1!C45</f>
        <v>0</v>
      </c>
      <c r="E18" s="6">
        <f>Traslación_Pagos_1!D45</f>
        <v>0</v>
      </c>
      <c r="F18" s="6">
        <f>Traslación_Pagos_1!E45</f>
        <v>0</v>
      </c>
      <c r="G18" s="6">
        <f>Traslación_Pagos_1!F45</f>
        <v>0</v>
      </c>
      <c r="H18" s="6">
        <f>Traslación_Pagos_1!G45</f>
        <v>0</v>
      </c>
      <c r="I18" s="6">
        <f>Traslación_Pagos_1!H45</f>
        <v>0</v>
      </c>
      <c r="J18" s="6">
        <f>Traslación_Pagos_1!I45</f>
        <v>-49285.714285714283</v>
      </c>
      <c r="K18" s="6">
        <f>Traslación_Pagos_1!J45</f>
        <v>0</v>
      </c>
      <c r="L18" s="6">
        <f>Traslación_Pagos_1!K45</f>
        <v>0</v>
      </c>
      <c r="M18" s="6">
        <f>Traslación_Pagos_1!L45</f>
        <v>0</v>
      </c>
      <c r="N18" s="6">
        <f>Traslación_Pagos_1!M45</f>
        <v>0</v>
      </c>
      <c r="O18" s="6">
        <f>Traslación_Pagos_1!N45</f>
        <v>-49285.714285714283</v>
      </c>
      <c r="P18" s="2"/>
      <c r="Q18" s="6">
        <f>SUM(D18:O18)</f>
        <v>-98571.428571428565</v>
      </c>
    </row>
    <row r="19" spans="1:18" x14ac:dyDescent="0.25">
      <c r="A19" s="2"/>
      <c r="B19" s="2"/>
      <c r="C19" s="5" t="s">
        <v>58</v>
      </c>
      <c r="D19" s="6">
        <f>Traslación_Pagos_1!C46</f>
        <v>-29142.857142857141</v>
      </c>
      <c r="E19" s="6">
        <f>Traslación_Pagos_1!D46</f>
        <v>0</v>
      </c>
      <c r="F19" s="6">
        <f>Traslación_Pagos_1!E46</f>
        <v>0</v>
      </c>
      <c r="G19" s="6">
        <f>Traslación_Pagos_1!F46</f>
        <v>-40808.571428571428</v>
      </c>
      <c r="H19" s="6">
        <f>Traslación_Pagos_1!G46</f>
        <v>0</v>
      </c>
      <c r="I19" s="6">
        <f>Traslación_Pagos_1!H46</f>
        <v>0</v>
      </c>
      <c r="J19" s="6">
        <f>Traslación_Pagos_1!I46</f>
        <v>-31542.857142857141</v>
      </c>
      <c r="K19" s="6">
        <f>Traslación_Pagos_1!J46</f>
        <v>0</v>
      </c>
      <c r="L19" s="6">
        <f>Traslación_Pagos_1!K46</f>
        <v>0</v>
      </c>
      <c r="M19" s="6">
        <f>Traslación_Pagos_1!L46</f>
        <v>-23657.142857142855</v>
      </c>
      <c r="N19" s="6">
        <f>Traslación_Pagos_1!M46</f>
        <v>0</v>
      </c>
      <c r="O19" s="6">
        <f>Traslación_Pagos_1!N46</f>
        <v>0</v>
      </c>
      <c r="P19" s="2"/>
      <c r="Q19" s="6">
        <f>SUM(D19:O19)</f>
        <v>-125151.42857142857</v>
      </c>
    </row>
    <row r="20" spans="1:18" x14ac:dyDescent="0.25">
      <c r="A20" s="2"/>
      <c r="B20" s="2"/>
      <c r="C20" s="58" t="s">
        <v>17</v>
      </c>
      <c r="D20" s="59">
        <f>Traslación_Pagos_1!C47</f>
        <v>0</v>
      </c>
      <c r="E20" s="59">
        <f>Traslación_Pagos_1!D47</f>
        <v>-107639.99999999999</v>
      </c>
      <c r="F20" s="59">
        <f>Traslación_Pagos_1!E47</f>
        <v>0</v>
      </c>
      <c r="G20" s="59">
        <f>Traslación_Pagos_1!F47</f>
        <v>0</v>
      </c>
      <c r="H20" s="59">
        <f>Traslación_Pagos_1!G47</f>
        <v>0</v>
      </c>
      <c r="I20" s="59">
        <f>Traslación_Pagos_1!H47</f>
        <v>0</v>
      </c>
      <c r="J20" s="59">
        <f>Traslación_Pagos_1!I47</f>
        <v>0</v>
      </c>
      <c r="K20" s="59">
        <f>Traslación_Pagos_1!J47</f>
        <v>0</v>
      </c>
      <c r="L20" s="59">
        <f>Traslación_Pagos_1!K47</f>
        <v>0</v>
      </c>
      <c r="M20" s="59">
        <f>Traslación_Pagos_1!L47</f>
        <v>0</v>
      </c>
      <c r="N20" s="59">
        <f>Traslación_Pagos_1!M47</f>
        <v>0</v>
      </c>
      <c r="O20" s="59">
        <f>Traslación_Pagos_1!N47</f>
        <v>0</v>
      </c>
      <c r="P20" s="57"/>
      <c r="Q20" s="59">
        <f>SUM(D20:O20)</f>
        <v>-107639.99999999999</v>
      </c>
    </row>
    <row r="21" spans="1:18" x14ac:dyDescent="0.25">
      <c r="A21" s="2"/>
      <c r="B21" s="2"/>
      <c r="C21" s="5" t="s">
        <v>59</v>
      </c>
      <c r="D21" s="6">
        <f>Traslación_Pagos_1!C48</f>
        <v>-23800</v>
      </c>
      <c r="E21" s="6">
        <f>Traslación_Pagos_1!D48</f>
        <v>-32200</v>
      </c>
      <c r="F21" s="6">
        <f>Traslación_Pagos_1!E48</f>
        <v>-81020</v>
      </c>
      <c r="G21" s="6">
        <f>Traslación_Pagos_1!F48</f>
        <v>-32200</v>
      </c>
      <c r="H21" s="6">
        <f>Traslación_Pagos_1!G48</f>
        <v>-32200</v>
      </c>
      <c r="I21" s="6">
        <f>Traslación_Pagos_1!H48</f>
        <v>-32200</v>
      </c>
      <c r="J21" s="6">
        <f>Traslación_Pagos_1!I48</f>
        <v>-32200</v>
      </c>
      <c r="K21" s="6">
        <f>Traslación_Pagos_1!J48</f>
        <v>-32200</v>
      </c>
      <c r="L21" s="6">
        <f>Traslación_Pagos_1!K48</f>
        <v>-32200</v>
      </c>
      <c r="M21" s="6">
        <f>Traslación_Pagos_1!L48</f>
        <v>-32200</v>
      </c>
      <c r="N21" s="6">
        <f>Traslación_Pagos_1!M48</f>
        <v>-32200</v>
      </c>
      <c r="O21" s="6">
        <f>Traslación_Pagos_1!N48</f>
        <v>-32200</v>
      </c>
      <c r="P21" s="2"/>
      <c r="Q21" s="6">
        <f>SUM(D21:O21)</f>
        <v>-426820</v>
      </c>
    </row>
    <row r="22" spans="1:18" x14ac:dyDescent="0.25">
      <c r="A22" s="2"/>
      <c r="B22" s="2"/>
      <c r="C22" s="51" t="s">
        <v>19</v>
      </c>
      <c r="D22" s="30">
        <f t="shared" ref="D22:O22" si="3">SUM(D17:D21)</f>
        <v>-102228.57142857142</v>
      </c>
      <c r="E22" s="30">
        <f t="shared" si="3"/>
        <v>-189125.71428571426</v>
      </c>
      <c r="F22" s="30">
        <f t="shared" si="3"/>
        <v>-130305.71428571429</v>
      </c>
      <c r="G22" s="30">
        <f t="shared" si="3"/>
        <v>-122294.28571428571</v>
      </c>
      <c r="H22" s="30">
        <f t="shared" si="3"/>
        <v>-81485.71428571429</v>
      </c>
      <c r="I22" s="30">
        <f t="shared" si="3"/>
        <v>-81485.71428571429</v>
      </c>
      <c r="J22" s="30">
        <f t="shared" si="3"/>
        <v>-162314.28571428571</v>
      </c>
      <c r="K22" s="30">
        <f t="shared" si="3"/>
        <v>-81485.71428571429</v>
      </c>
      <c r="L22" s="30">
        <f t="shared" si="3"/>
        <v>-81485.71428571429</v>
      </c>
      <c r="M22" s="30">
        <f t="shared" si="3"/>
        <v>-105142.85714285713</v>
      </c>
      <c r="N22" s="30">
        <f t="shared" si="3"/>
        <v>-81485.71428571429</v>
      </c>
      <c r="O22" s="30">
        <f t="shared" si="3"/>
        <v>-130771.42857142857</v>
      </c>
      <c r="P22" s="2"/>
      <c r="Q22" s="30">
        <f>SUM(Q17:Q21)</f>
        <v>-1349611.4285714284</v>
      </c>
    </row>
    <row r="23" spans="1:18" x14ac:dyDescent="0.25">
      <c r="A23" s="2"/>
      <c r="B23" s="2"/>
      <c r="C23" s="5" t="s">
        <v>35</v>
      </c>
      <c r="D23" s="6">
        <f>Traslación_Pagos_1!C50</f>
        <v>-63323.333333333336</v>
      </c>
      <c r="E23" s="6">
        <f>Traslación_Pagos_1!D50</f>
        <v>-58886.666666666672</v>
      </c>
      <c r="F23" s="6">
        <f>Traslación_Pagos_1!E50</f>
        <v>-61306.666666666672</v>
      </c>
      <c r="G23" s="6">
        <f>Traslación_Pagos_1!F50</f>
        <v>-64331.666666666672</v>
      </c>
      <c r="H23" s="6">
        <f>Traslación_Pagos_1!G50</f>
        <v>-61710</v>
      </c>
      <c r="I23" s="6">
        <f>Traslación_Pagos_1!H50</f>
        <v>-69373.333333333328</v>
      </c>
      <c r="J23" s="6">
        <f>Traslación_Pagos_1!I50</f>
        <v>-70180</v>
      </c>
      <c r="K23" s="6">
        <f>Traslación_Pagos_1!J50</f>
        <v>-68970</v>
      </c>
      <c r="L23" s="6">
        <f>Traslación_Pagos_1!K50</f>
        <v>-52030</v>
      </c>
      <c r="M23" s="6">
        <f>Traslación_Pagos_1!L50</f>
        <v>-45173.333333333328</v>
      </c>
      <c r="N23" s="6">
        <f>Traslación_Pagos_1!M50</f>
        <v>-49206.666666666664</v>
      </c>
      <c r="O23" s="6">
        <f>Traslación_Pagos_1!N50</f>
        <v>-47190</v>
      </c>
      <c r="P23" s="2"/>
      <c r="Q23" s="6">
        <f>SUM(D23:O23)</f>
        <v>-711681.66666666674</v>
      </c>
    </row>
    <row r="24" spans="1:18" x14ac:dyDescent="0.25">
      <c r="A24" s="2"/>
      <c r="B24" s="2"/>
      <c r="C24" s="5" t="s">
        <v>36</v>
      </c>
      <c r="D24" s="6">
        <f>Traslación_Pagos_1!C51</f>
        <v>-37510</v>
      </c>
      <c r="E24" s="6">
        <f>Traslación_Pagos_1!D51</f>
        <v>-34686.666666666664</v>
      </c>
      <c r="F24" s="6">
        <f>Traslación_Pagos_1!E51</f>
        <v>-33073.333333333336</v>
      </c>
      <c r="G24" s="6">
        <f>Traslación_Pagos_1!F51</f>
        <v>-30653.333333333332</v>
      </c>
      <c r="H24" s="6">
        <f>Traslación_Pagos_1!G51</f>
        <v>-29443.333333333336</v>
      </c>
      <c r="I24" s="6">
        <f>Traslación_Pagos_1!H51</f>
        <v>-29443.333333333336</v>
      </c>
      <c r="J24" s="6">
        <f>Traslación_Pagos_1!I51</f>
        <v>-26216.666666666668</v>
      </c>
      <c r="K24" s="6">
        <f>Traslación_Pagos_1!J51</f>
        <v>-23796.666666666664</v>
      </c>
      <c r="L24" s="6">
        <f>Traslación_Pagos_1!K51</f>
        <v>-23796.666666666668</v>
      </c>
      <c r="M24" s="6">
        <f>Traslación_Pagos_1!L51</f>
        <v>-18553.333333333332</v>
      </c>
      <c r="N24" s="6">
        <f>Traslación_Pagos_1!M51</f>
        <v>-16133.333333333332</v>
      </c>
      <c r="O24" s="6">
        <f>Traslación_Pagos_1!N51</f>
        <v>-19763.333333333332</v>
      </c>
      <c r="P24" s="2"/>
      <c r="Q24" s="6">
        <f>SUM(D24:O24)</f>
        <v>-323069.99999999994</v>
      </c>
    </row>
    <row r="25" spans="1:18" x14ac:dyDescent="0.25">
      <c r="A25" s="2"/>
      <c r="B25" s="2"/>
      <c r="C25" s="51" t="s">
        <v>20</v>
      </c>
      <c r="D25" s="30">
        <f t="shared" ref="D25:O25" si="4">SUM(D23:D24)</f>
        <v>-100833.33333333334</v>
      </c>
      <c r="E25" s="30">
        <f t="shared" si="4"/>
        <v>-93573.333333333343</v>
      </c>
      <c r="F25" s="30">
        <f t="shared" si="4"/>
        <v>-94380</v>
      </c>
      <c r="G25" s="30">
        <f t="shared" si="4"/>
        <v>-94985</v>
      </c>
      <c r="H25" s="30">
        <f t="shared" si="4"/>
        <v>-91153.333333333343</v>
      </c>
      <c r="I25" s="30">
        <f t="shared" si="4"/>
        <v>-98816.666666666657</v>
      </c>
      <c r="J25" s="30">
        <f t="shared" si="4"/>
        <v>-96396.666666666672</v>
      </c>
      <c r="K25" s="30">
        <f t="shared" si="4"/>
        <v>-92766.666666666657</v>
      </c>
      <c r="L25" s="30">
        <f t="shared" si="4"/>
        <v>-75826.666666666672</v>
      </c>
      <c r="M25" s="30">
        <f t="shared" si="4"/>
        <v>-63726.666666666657</v>
      </c>
      <c r="N25" s="30">
        <f t="shared" si="4"/>
        <v>-65340</v>
      </c>
      <c r="O25" s="30">
        <f t="shared" si="4"/>
        <v>-66953.333333333328</v>
      </c>
      <c r="P25" s="2"/>
      <c r="Q25" s="30">
        <f>SUM(Q23:Q24)</f>
        <v>-1034751.6666666667</v>
      </c>
    </row>
    <row r="26" spans="1:18" x14ac:dyDescent="0.25">
      <c r="A26" s="2"/>
      <c r="B26" s="57"/>
      <c r="C26" s="58" t="s">
        <v>21</v>
      </c>
      <c r="D26" s="59">
        <f>Traslación_Pagos_1!C53</f>
        <v>-18360</v>
      </c>
      <c r="E26" s="59">
        <f>Traslación_Pagos_1!D53</f>
        <v>-18360</v>
      </c>
      <c r="F26" s="59">
        <f>Traslación_Pagos_1!E53</f>
        <v>-18360</v>
      </c>
      <c r="G26" s="59">
        <f>Traslación_Pagos_1!F53</f>
        <v>-18360</v>
      </c>
      <c r="H26" s="59">
        <f>Traslación_Pagos_1!G53</f>
        <v>-18360</v>
      </c>
      <c r="I26" s="59">
        <f>Traslación_Pagos_1!H53</f>
        <v>-18360</v>
      </c>
      <c r="J26" s="59">
        <f>Traslación_Pagos_1!I53</f>
        <v>-18360</v>
      </c>
      <c r="K26" s="59">
        <f>Traslación_Pagos_1!J53</f>
        <v>-18360</v>
      </c>
      <c r="L26" s="59">
        <f>Traslación_Pagos_1!K53</f>
        <v>-18360</v>
      </c>
      <c r="M26" s="59">
        <f>Traslación_Pagos_1!L53</f>
        <v>-18360</v>
      </c>
      <c r="N26" s="59">
        <f>Traslación_Pagos_1!M53</f>
        <v>-18360</v>
      </c>
      <c r="O26" s="59">
        <f>Traslación_Pagos_1!N53</f>
        <v>-18360</v>
      </c>
      <c r="P26" s="57"/>
      <c r="Q26" s="59">
        <f t="shared" ref="Q26:Q31" si="5">SUM(D26:O26)</f>
        <v>-220320</v>
      </c>
      <c r="R26" s="60"/>
    </row>
    <row r="27" spans="1:18" x14ac:dyDescent="0.25">
      <c r="A27" s="2"/>
      <c r="B27" s="2"/>
      <c r="C27" s="5" t="s">
        <v>22</v>
      </c>
      <c r="D27" s="6">
        <f>Traslación_Pagos_1!C54</f>
        <v>-4080</v>
      </c>
      <c r="E27" s="6">
        <f>Traslación_Pagos_1!D54</f>
        <v>-16320</v>
      </c>
      <c r="F27" s="6">
        <f>Traslación_Pagos_1!E54</f>
        <v>-4080</v>
      </c>
      <c r="G27" s="6">
        <f>Traslación_Pagos_1!F54</f>
        <v>-4080</v>
      </c>
      <c r="H27" s="6">
        <f>Traslación_Pagos_1!G54</f>
        <v>-6120</v>
      </c>
      <c r="I27" s="6">
        <f>Traslación_Pagos_1!H54</f>
        <v>-4080</v>
      </c>
      <c r="J27" s="6">
        <f>Traslación_Pagos_1!I54</f>
        <v>-4080</v>
      </c>
      <c r="K27" s="6">
        <f>Traslación_Pagos_1!J54</f>
        <v>-6120</v>
      </c>
      <c r="L27" s="6">
        <f>Traslación_Pagos_1!K54</f>
        <v>-4080</v>
      </c>
      <c r="M27" s="6">
        <f>Traslación_Pagos_1!L54</f>
        <v>-4080</v>
      </c>
      <c r="N27" s="6">
        <f>Traslación_Pagos_1!M54</f>
        <v>-6120</v>
      </c>
      <c r="O27" s="6">
        <f>Traslación_Pagos_1!N54</f>
        <v>-4080</v>
      </c>
      <c r="P27" s="2"/>
      <c r="Q27" s="6">
        <f t="shared" si="5"/>
        <v>-67320</v>
      </c>
    </row>
    <row r="28" spans="1:18" x14ac:dyDescent="0.25">
      <c r="A28" s="2"/>
      <c r="B28" s="2"/>
      <c r="C28" s="5" t="s">
        <v>23</v>
      </c>
      <c r="D28" s="6">
        <f>Traslación_Pagos_1!C55</f>
        <v>-13854.5</v>
      </c>
      <c r="E28" s="6">
        <f>Traslación_Pagos_1!D55</f>
        <v>-15246</v>
      </c>
      <c r="F28" s="6">
        <f>Traslación_Pagos_1!E55</f>
        <v>-15609</v>
      </c>
      <c r="G28" s="6">
        <f>Traslación_Pagos_1!F55</f>
        <v>-18876</v>
      </c>
      <c r="H28" s="6">
        <f>Traslación_Pagos_1!G55</f>
        <v>-18089.5</v>
      </c>
      <c r="I28" s="6">
        <f>Traslación_Pagos_1!H55</f>
        <v>-18936.5</v>
      </c>
      <c r="J28" s="6">
        <f>Traslación_Pagos_1!I55</f>
        <v>-14278</v>
      </c>
      <c r="K28" s="6">
        <f>Traslación_Pagos_1!J55</f>
        <v>-19662.5</v>
      </c>
      <c r="L28" s="6">
        <f>Traslación_Pagos_1!K55</f>
        <v>-16093</v>
      </c>
      <c r="M28" s="6">
        <f>Traslación_Pagos_1!L55</f>
        <v>-21719.5</v>
      </c>
      <c r="N28" s="6">
        <f>Traslación_Pagos_1!M55</f>
        <v>-16032.5</v>
      </c>
      <c r="O28" s="6">
        <f>Traslación_Pagos_1!N55</f>
        <v>-19178.5</v>
      </c>
      <c r="P28" s="2"/>
      <c r="Q28" s="6">
        <f t="shared" si="5"/>
        <v>-207575.5</v>
      </c>
    </row>
    <row r="29" spans="1:18" x14ac:dyDescent="0.25">
      <c r="A29" s="2"/>
      <c r="B29" s="2"/>
      <c r="C29" s="5" t="s">
        <v>24</v>
      </c>
      <c r="D29" s="6">
        <f>Traslación_Pagos_1!C56</f>
        <v>0</v>
      </c>
      <c r="E29" s="6">
        <f>Traslación_Pagos_1!D56</f>
        <v>-45000</v>
      </c>
      <c r="F29" s="6">
        <f>Traslación_Pagos_1!E56</f>
        <v>0</v>
      </c>
      <c r="G29" s="6">
        <f>Traslación_Pagos_1!F56</f>
        <v>0</v>
      </c>
      <c r="H29" s="6">
        <f>Traslación_Pagos_1!G56</f>
        <v>0</v>
      </c>
      <c r="I29" s="6">
        <f>Traslación_Pagos_1!H56</f>
        <v>0</v>
      </c>
      <c r="J29" s="6">
        <f>Traslación_Pagos_1!I56</f>
        <v>0</v>
      </c>
      <c r="K29" s="6">
        <f>Traslación_Pagos_1!J56</f>
        <v>0</v>
      </c>
      <c r="L29" s="6">
        <f>Traslación_Pagos_1!K56</f>
        <v>0</v>
      </c>
      <c r="M29" s="6">
        <f>Traslación_Pagos_1!L56</f>
        <v>0</v>
      </c>
      <c r="N29" s="6">
        <f>Traslación_Pagos_1!M56</f>
        <v>0</v>
      </c>
      <c r="O29" s="6">
        <f>Traslación_Pagos_1!N56</f>
        <v>0</v>
      </c>
      <c r="P29" s="2"/>
      <c r="Q29" s="6">
        <f t="shared" si="5"/>
        <v>-45000</v>
      </c>
    </row>
    <row r="30" spans="1:18" x14ac:dyDescent="0.25">
      <c r="A30" s="2"/>
      <c r="B30" s="2"/>
      <c r="C30" s="5" t="s">
        <v>25</v>
      </c>
      <c r="D30" s="6">
        <f>Traslación_Pagos_1!C57</f>
        <v>-9075</v>
      </c>
      <c r="E30" s="6">
        <f>Traslación_Pagos_1!D57</f>
        <v>-3025</v>
      </c>
      <c r="F30" s="6">
        <f>Traslación_Pagos_1!E57</f>
        <v>-3025</v>
      </c>
      <c r="G30" s="6">
        <f>Traslación_Pagos_1!F57</f>
        <v>-3025</v>
      </c>
      <c r="H30" s="6">
        <f>Traslación_Pagos_1!G57</f>
        <v>-3025</v>
      </c>
      <c r="I30" s="6">
        <f>Traslación_Pagos_1!H57</f>
        <v>-3025</v>
      </c>
      <c r="J30" s="6">
        <f>Traslación_Pagos_1!I57</f>
        <v>-3025</v>
      </c>
      <c r="K30" s="6">
        <f>Traslación_Pagos_1!J57</f>
        <v>-3025</v>
      </c>
      <c r="L30" s="6">
        <f>Traslación_Pagos_1!K57</f>
        <v>-3025</v>
      </c>
      <c r="M30" s="6">
        <f>Traslación_Pagos_1!L57</f>
        <v>-3025</v>
      </c>
      <c r="N30" s="6">
        <f>Traslación_Pagos_1!M57</f>
        <v>-3025</v>
      </c>
      <c r="O30" s="6">
        <f>Traslación_Pagos_1!N57</f>
        <v>-3025</v>
      </c>
      <c r="P30" s="2"/>
      <c r="Q30" s="6">
        <f t="shared" si="5"/>
        <v>-42350</v>
      </c>
    </row>
    <row r="31" spans="1:18" x14ac:dyDescent="0.25">
      <c r="A31" s="2"/>
      <c r="B31" s="2"/>
      <c r="C31" s="5" t="s">
        <v>26</v>
      </c>
      <c r="D31" s="6">
        <f>Traslación_Pagos_1!C58</f>
        <v>-5445</v>
      </c>
      <c r="E31" s="6">
        <f>Traslación_Pagos_1!D58</f>
        <v>-5445</v>
      </c>
      <c r="F31" s="6">
        <f>Traslación_Pagos_1!E58</f>
        <v>-5445</v>
      </c>
      <c r="G31" s="6">
        <f>Traslación_Pagos_1!F58</f>
        <v>-5445</v>
      </c>
      <c r="H31" s="6">
        <f>Traslación_Pagos_1!G58</f>
        <v>-5445</v>
      </c>
      <c r="I31" s="6">
        <f>Traslación_Pagos_1!H58</f>
        <v>-5445</v>
      </c>
      <c r="J31" s="6">
        <f>Traslación_Pagos_1!I58</f>
        <v>-5445</v>
      </c>
      <c r="K31" s="6">
        <f>Traslación_Pagos_1!J58</f>
        <v>-5445</v>
      </c>
      <c r="L31" s="6">
        <f>Traslación_Pagos_1!K58</f>
        <v>-5445</v>
      </c>
      <c r="M31" s="6">
        <f>Traslación_Pagos_1!L58</f>
        <v>-5445</v>
      </c>
      <c r="N31" s="6">
        <f>Traslación_Pagos_1!M58</f>
        <v>-5445</v>
      </c>
      <c r="O31" s="6">
        <f>Traslación_Pagos_1!N58</f>
        <v>-5445</v>
      </c>
      <c r="P31" s="2"/>
      <c r="Q31" s="6">
        <f t="shared" si="5"/>
        <v>-65340</v>
      </c>
    </row>
    <row r="32" spans="1:18" x14ac:dyDescent="0.25">
      <c r="A32" s="2"/>
      <c r="B32" s="2"/>
      <c r="C32" s="51" t="s">
        <v>27</v>
      </c>
      <c r="D32" s="30">
        <f t="shared" ref="D32:O32" si="6">SUM(D26:D31)</f>
        <v>-50814.5</v>
      </c>
      <c r="E32" s="30">
        <f t="shared" si="6"/>
        <v>-103396</v>
      </c>
      <c r="F32" s="30">
        <f t="shared" si="6"/>
        <v>-46519</v>
      </c>
      <c r="G32" s="30">
        <f t="shared" si="6"/>
        <v>-49786</v>
      </c>
      <c r="H32" s="30">
        <f t="shared" si="6"/>
        <v>-51039.5</v>
      </c>
      <c r="I32" s="30">
        <f t="shared" si="6"/>
        <v>-49846.5</v>
      </c>
      <c r="J32" s="30">
        <f t="shared" si="6"/>
        <v>-45188</v>
      </c>
      <c r="K32" s="30">
        <f t="shared" si="6"/>
        <v>-52612.5</v>
      </c>
      <c r="L32" s="30">
        <f t="shared" si="6"/>
        <v>-47003</v>
      </c>
      <c r="M32" s="30">
        <f t="shared" si="6"/>
        <v>-52629.5</v>
      </c>
      <c r="N32" s="30">
        <f t="shared" si="6"/>
        <v>-48982.5</v>
      </c>
      <c r="O32" s="30">
        <f t="shared" si="6"/>
        <v>-50088.5</v>
      </c>
      <c r="P32" s="2"/>
      <c r="Q32" s="30">
        <f>SUM(Q26:Q31)</f>
        <v>-647905.5</v>
      </c>
    </row>
    <row r="33" spans="1:17" x14ac:dyDescent="0.25">
      <c r="A33" s="2"/>
      <c r="B33" s="2"/>
      <c r="C33" s="5" t="s">
        <v>28</v>
      </c>
      <c r="D33" s="6">
        <f>Traslación_Pagos_1!C60</f>
        <v>0</v>
      </c>
      <c r="E33" s="6">
        <f>Traslación_Pagos_1!D60</f>
        <v>0</v>
      </c>
      <c r="F33" s="6">
        <f>Traslación_Pagos_1!E60</f>
        <v>0</v>
      </c>
      <c r="G33" s="6">
        <f>Traslación_Pagos_1!F60</f>
        <v>-45000</v>
      </c>
      <c r="H33" s="6">
        <f>Traslación_Pagos_1!G60</f>
        <v>0</v>
      </c>
      <c r="I33" s="6">
        <f>Traslación_Pagos_1!H60</f>
        <v>0</v>
      </c>
      <c r="J33" s="6">
        <f>Traslación_Pagos_1!I60</f>
        <v>-20673</v>
      </c>
      <c r="K33" s="6">
        <f>Traslación_Pagos_1!J60</f>
        <v>0</v>
      </c>
      <c r="L33" s="6">
        <f>Traslación_Pagos_1!K60</f>
        <v>0</v>
      </c>
      <c r="M33" s="6">
        <f>Traslación_Pagos_1!L60</f>
        <v>-45000</v>
      </c>
      <c r="N33" s="6">
        <f>Traslación_Pagos_1!M60</f>
        <v>0</v>
      </c>
      <c r="O33" s="6">
        <f>Traslación_Pagos_1!N60</f>
        <v>-45000</v>
      </c>
      <c r="P33" s="2"/>
      <c r="Q33" s="6">
        <f>SUM(D33:O33)</f>
        <v>-155673</v>
      </c>
    </row>
    <row r="34" spans="1:17" x14ac:dyDescent="0.25">
      <c r="A34" s="2"/>
      <c r="B34" s="2"/>
      <c r="C34" s="5" t="s">
        <v>29</v>
      </c>
      <c r="D34" s="6">
        <f>Traslación_Pagos_1!C61</f>
        <v>-28800</v>
      </c>
      <c r="E34" s="6">
        <f>Traslación_Pagos_1!D61</f>
        <v>-654.5454545454545</v>
      </c>
      <c r="F34" s="6">
        <f>Traslación_Pagos_1!E61</f>
        <v>-654.5454545454545</v>
      </c>
      <c r="G34" s="6">
        <f>Traslación_Pagos_1!F61</f>
        <v>-654.5454545454545</v>
      </c>
      <c r="H34" s="6">
        <f>Traslación_Pagos_1!G61</f>
        <v>-654.5454545454545</v>
      </c>
      <c r="I34" s="6">
        <f>Traslación_Pagos_1!H61</f>
        <v>-654.5454545454545</v>
      </c>
      <c r="J34" s="6">
        <f>Traslación_Pagos_1!I61</f>
        <v>-654.5454545454545</v>
      </c>
      <c r="K34" s="6">
        <f>Traslación_Pagos_1!J61</f>
        <v>-654.5454545454545</v>
      </c>
      <c r="L34" s="6">
        <f>Traslación_Pagos_1!K61</f>
        <v>-654.5454545454545</v>
      </c>
      <c r="M34" s="6">
        <f>Traslación_Pagos_1!L61</f>
        <v>-654.5454545454545</v>
      </c>
      <c r="N34" s="6">
        <f>Traslación_Pagos_1!M61</f>
        <v>-654.5454545454545</v>
      </c>
      <c r="O34" s="6">
        <f>Traslación_Pagos_1!N61</f>
        <v>-654.5454545454545</v>
      </c>
      <c r="P34" s="2"/>
      <c r="Q34" s="6">
        <f>SUM(D34:O34)</f>
        <v>-36000.000000000015</v>
      </c>
    </row>
    <row r="35" spans="1:17" x14ac:dyDescent="0.25">
      <c r="A35" s="2"/>
      <c r="B35" s="2"/>
      <c r="C35" s="51" t="s">
        <v>30</v>
      </c>
      <c r="D35" s="30">
        <f t="shared" ref="D35:O35" si="7">SUM(D33:D34)</f>
        <v>-28800</v>
      </c>
      <c r="E35" s="30">
        <f t="shared" si="7"/>
        <v>-654.5454545454545</v>
      </c>
      <c r="F35" s="30">
        <f t="shared" si="7"/>
        <v>-654.5454545454545</v>
      </c>
      <c r="G35" s="30">
        <f t="shared" si="7"/>
        <v>-45654.545454545456</v>
      </c>
      <c r="H35" s="30">
        <f t="shared" si="7"/>
        <v>-654.5454545454545</v>
      </c>
      <c r="I35" s="30">
        <f t="shared" si="7"/>
        <v>-654.5454545454545</v>
      </c>
      <c r="J35" s="30">
        <f t="shared" si="7"/>
        <v>-21327.545454545456</v>
      </c>
      <c r="K35" s="30">
        <f t="shared" si="7"/>
        <v>-654.5454545454545</v>
      </c>
      <c r="L35" s="30">
        <f t="shared" si="7"/>
        <v>-654.5454545454545</v>
      </c>
      <c r="M35" s="30">
        <f t="shared" si="7"/>
        <v>-45654.545454545456</v>
      </c>
      <c r="N35" s="30">
        <f t="shared" si="7"/>
        <v>-654.5454545454545</v>
      </c>
      <c r="O35" s="30">
        <f t="shared" si="7"/>
        <v>-45654.545454545456</v>
      </c>
      <c r="P35" s="2"/>
      <c r="Q35" s="30">
        <f>SUM(Q33:Q34)</f>
        <v>-191673</v>
      </c>
    </row>
    <row r="36" spans="1:17" x14ac:dyDescent="0.25">
      <c r="A36" s="2"/>
      <c r="B36" s="2"/>
      <c r="C36" s="5" t="s">
        <v>31</v>
      </c>
      <c r="D36" s="6">
        <f>Traslación_Pagos_1!C63</f>
        <v>-1000</v>
      </c>
      <c r="E36" s="6">
        <f>Traslación_Pagos_1!D63</f>
        <v>-1000</v>
      </c>
      <c r="F36" s="6">
        <f>Traslación_Pagos_1!E63</f>
        <v>-1000</v>
      </c>
      <c r="G36" s="6">
        <f>Traslación_Pagos_1!F63</f>
        <v>-1000</v>
      </c>
      <c r="H36" s="6">
        <f>Traslación_Pagos_1!G63</f>
        <v>-1000</v>
      </c>
      <c r="I36" s="6">
        <f>Traslación_Pagos_1!H63</f>
        <v>-1000</v>
      </c>
      <c r="J36" s="6">
        <f>Traslación_Pagos_1!I63</f>
        <v>-1000</v>
      </c>
      <c r="K36" s="6">
        <f>Traslación_Pagos_1!J63</f>
        <v>-1000</v>
      </c>
      <c r="L36" s="6">
        <f>Traslación_Pagos_1!K63</f>
        <v>-1000</v>
      </c>
      <c r="M36" s="6">
        <f>Traslación_Pagos_1!L63</f>
        <v>-1000</v>
      </c>
      <c r="N36" s="6">
        <f>Traslación_Pagos_1!M63</f>
        <v>-1000</v>
      </c>
      <c r="O36" s="6">
        <f>Traslación_Pagos_1!N63</f>
        <v>-1000</v>
      </c>
      <c r="P36" s="2"/>
      <c r="Q36" s="6">
        <f>SUM(D36:O36)</f>
        <v>-12000</v>
      </c>
    </row>
    <row r="37" spans="1:17" x14ac:dyDescent="0.25">
      <c r="A37" s="2"/>
      <c r="B37" s="2"/>
      <c r="C37" s="5" t="s">
        <v>32</v>
      </c>
      <c r="D37" s="6">
        <f>Traslación_Pagos_1!C64</f>
        <v>-2500</v>
      </c>
      <c r="E37" s="6">
        <f>Traslación_Pagos_1!D64</f>
        <v>-2500</v>
      </c>
      <c r="F37" s="6">
        <f>Traslación_Pagos_1!E64</f>
        <v>-2500</v>
      </c>
      <c r="G37" s="6">
        <f>Traslación_Pagos_1!F64</f>
        <v>-2500</v>
      </c>
      <c r="H37" s="6">
        <f>Traslación_Pagos_1!G64</f>
        <v>-2500</v>
      </c>
      <c r="I37" s="6">
        <f>Traslación_Pagos_1!H64</f>
        <v>-2500</v>
      </c>
      <c r="J37" s="6">
        <f>Traslación_Pagos_1!I64</f>
        <v>-2500</v>
      </c>
      <c r="K37" s="6">
        <f>Traslación_Pagos_1!J64</f>
        <v>-2500</v>
      </c>
      <c r="L37" s="6">
        <f>Traslación_Pagos_1!K64</f>
        <v>-2500</v>
      </c>
      <c r="M37" s="6">
        <f>Traslación_Pagos_1!L64</f>
        <v>-2500</v>
      </c>
      <c r="N37" s="6">
        <f>Traslación_Pagos_1!M64</f>
        <v>-2500</v>
      </c>
      <c r="O37" s="6">
        <f>Traslación_Pagos_1!N64</f>
        <v>-2500</v>
      </c>
      <c r="P37" s="2"/>
      <c r="Q37" s="6">
        <f>SUM(D37:O37)</f>
        <v>-30000</v>
      </c>
    </row>
    <row r="38" spans="1:17" x14ac:dyDescent="0.25">
      <c r="A38" s="2"/>
      <c r="B38" s="2"/>
      <c r="C38" s="24" t="s">
        <v>91</v>
      </c>
      <c r="D38" s="25">
        <f t="shared" ref="D38:O38" si="8">+D22+D25+D32+D35+D36+D37</f>
        <v>-286176.40476190473</v>
      </c>
      <c r="E38" s="25">
        <f t="shared" si="8"/>
        <v>-390249.59307359305</v>
      </c>
      <c r="F38" s="25">
        <f t="shared" si="8"/>
        <v>-275359.25974025979</v>
      </c>
      <c r="G38" s="25">
        <f t="shared" si="8"/>
        <v>-316219.83116883115</v>
      </c>
      <c r="H38" s="25">
        <f t="shared" si="8"/>
        <v>-227833.09307359307</v>
      </c>
      <c r="I38" s="25">
        <f t="shared" si="8"/>
        <v>-234303.42640692639</v>
      </c>
      <c r="J38" s="25">
        <f t="shared" si="8"/>
        <v>-328726.49783549784</v>
      </c>
      <c r="K38" s="25">
        <f t="shared" si="8"/>
        <v>-231019.42640692639</v>
      </c>
      <c r="L38" s="25">
        <f t="shared" si="8"/>
        <v>-208469.92640692639</v>
      </c>
      <c r="M38" s="25">
        <f t="shared" si="8"/>
        <v>-270653.56926406926</v>
      </c>
      <c r="N38" s="25">
        <f t="shared" si="8"/>
        <v>-199962.75974025973</v>
      </c>
      <c r="O38" s="25">
        <f t="shared" si="8"/>
        <v>-296967.80735930736</v>
      </c>
      <c r="P38" s="2"/>
      <c r="Q38" s="25">
        <f>+Q22+Q25+Q32+Q35+Q36+Q37</f>
        <v>-3265941.5952380951</v>
      </c>
    </row>
    <row r="39" spans="1:17" x14ac:dyDescent="0.25">
      <c r="A39" s="2"/>
      <c r="B39" s="52" t="s">
        <v>92</v>
      </c>
      <c r="C39" s="52"/>
      <c r="D39" s="20">
        <f t="shared" ref="D39:O39" si="9">+D16+D38</f>
        <v>16778.595238095266</v>
      </c>
      <c r="E39" s="20">
        <f t="shared" si="9"/>
        <v>-76508.593073593045</v>
      </c>
      <c r="F39" s="20">
        <f t="shared" si="9"/>
        <v>15868.740259740211</v>
      </c>
      <c r="G39" s="20">
        <f t="shared" si="9"/>
        <v>-31225.831168831151</v>
      </c>
      <c r="H39" s="20">
        <f t="shared" si="9"/>
        <v>183465.90692640693</v>
      </c>
      <c r="I39" s="20">
        <f t="shared" si="9"/>
        <v>187127.57359307361</v>
      </c>
      <c r="J39" s="20">
        <f t="shared" si="9"/>
        <v>-21386.497835497838</v>
      </c>
      <c r="K39" s="20">
        <f t="shared" si="9"/>
        <v>53034.573593073612</v>
      </c>
      <c r="L39" s="20">
        <f t="shared" si="9"/>
        <v>163629.07359307361</v>
      </c>
      <c r="M39" s="20">
        <f t="shared" si="9"/>
        <v>166767.43073593074</v>
      </c>
      <c r="N39" s="20">
        <f t="shared" si="9"/>
        <v>160225.24025974027</v>
      </c>
      <c r="O39" s="20">
        <f t="shared" si="9"/>
        <v>-5112.8073593073641</v>
      </c>
      <c r="P39" s="2"/>
      <c r="Q39" s="20">
        <f>+Q16+Q38</f>
        <v>812663.40476190485</v>
      </c>
    </row>
    <row r="40" spans="1:17" x14ac:dyDescent="0.25">
      <c r="A40" s="2"/>
      <c r="B40" s="2"/>
      <c r="C40" s="5" t="s">
        <v>93</v>
      </c>
      <c r="D40" s="6">
        <f>Traslación_Pagos_1!E34</f>
        <v>-70000</v>
      </c>
      <c r="E40" s="6">
        <f>Traslación_Pagos_1!F34</f>
        <v>-50000</v>
      </c>
      <c r="F40" s="6">
        <f>Traslación_Pagos_1!G34</f>
        <v>-15000</v>
      </c>
      <c r="G40" s="6">
        <f>Traslación_Pagos_1!H34</f>
        <v>-5000</v>
      </c>
      <c r="H40" s="6">
        <f>Traslación_Pagos_1!I34</f>
        <v>-2000</v>
      </c>
      <c r="I40" s="6">
        <f>Traslación_Pagos_1!J34</f>
        <v>-12000</v>
      </c>
      <c r="J40" s="6">
        <f>Traslación_Pagos_1!K34</f>
        <v>-2000</v>
      </c>
      <c r="K40" s="6">
        <f>Traslación_Pagos_1!L34</f>
        <v>-2000</v>
      </c>
      <c r="L40" s="6">
        <f>Traslación_Pagos_1!M34</f>
        <v>-9000</v>
      </c>
      <c r="M40" s="6">
        <f>Traslación_Pagos_1!N34</f>
        <v>-8500</v>
      </c>
      <c r="N40" s="6">
        <f>Traslación_Pagos_1!O34</f>
        <v>-2000</v>
      </c>
      <c r="O40" s="6">
        <f>Traslación_Pagos_1!P34</f>
        <v>-2000</v>
      </c>
      <c r="P40" s="2"/>
      <c r="Q40" s="6">
        <f>SUM(D40:O40)</f>
        <v>-179500</v>
      </c>
    </row>
    <row r="41" spans="1:17" x14ac:dyDescent="0.25">
      <c r="A41" s="2"/>
      <c r="B41" s="2"/>
      <c r="C41" s="5" t="s">
        <v>94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2"/>
      <c r="Q41" s="6">
        <f>SUM(D41:O41)</f>
        <v>0</v>
      </c>
    </row>
    <row r="42" spans="1:17" x14ac:dyDescent="0.25">
      <c r="A42" s="2"/>
      <c r="B42" s="2"/>
      <c r="C42" s="53" t="s">
        <v>95</v>
      </c>
      <c r="D42" s="31">
        <f t="shared" ref="D42:O42" si="10">SUM(D40:D41)</f>
        <v>-70000</v>
      </c>
      <c r="E42" s="31">
        <f t="shared" si="10"/>
        <v>-50000</v>
      </c>
      <c r="F42" s="31">
        <f t="shared" si="10"/>
        <v>-15000</v>
      </c>
      <c r="G42" s="31">
        <f t="shared" si="10"/>
        <v>-5000</v>
      </c>
      <c r="H42" s="31">
        <f t="shared" si="10"/>
        <v>-2000</v>
      </c>
      <c r="I42" s="31">
        <f t="shared" si="10"/>
        <v>-12000</v>
      </c>
      <c r="J42" s="31">
        <f t="shared" si="10"/>
        <v>-2000</v>
      </c>
      <c r="K42" s="31">
        <f t="shared" si="10"/>
        <v>-2000</v>
      </c>
      <c r="L42" s="31">
        <f t="shared" si="10"/>
        <v>-9000</v>
      </c>
      <c r="M42" s="31">
        <f t="shared" si="10"/>
        <v>-8500</v>
      </c>
      <c r="N42" s="31">
        <f t="shared" si="10"/>
        <v>-2000</v>
      </c>
      <c r="O42" s="31">
        <f t="shared" si="10"/>
        <v>-2000</v>
      </c>
      <c r="P42" s="2"/>
      <c r="Q42" s="31">
        <f>SUM(Q40:Q41)</f>
        <v>-179500</v>
      </c>
    </row>
    <row r="43" spans="1:17" x14ac:dyDescent="0.25">
      <c r="A43" s="2"/>
      <c r="B43" s="2"/>
      <c r="C43" s="54" t="s">
        <v>96</v>
      </c>
      <c r="D43" s="55"/>
      <c r="E43" s="55"/>
      <c r="F43" s="55"/>
      <c r="G43" s="55"/>
      <c r="H43" s="55">
        <v>0</v>
      </c>
      <c r="I43" s="55"/>
      <c r="J43" s="55">
        <v>-200000</v>
      </c>
      <c r="K43" s="55"/>
      <c r="L43" s="55"/>
      <c r="M43" s="55">
        <v>0</v>
      </c>
      <c r="N43" s="55"/>
      <c r="O43" s="55">
        <v>0</v>
      </c>
      <c r="P43" s="2"/>
      <c r="Q43" s="55">
        <f>SUM(D43:O43)</f>
        <v>-200000</v>
      </c>
    </row>
    <row r="44" spans="1:17" x14ac:dyDescent="0.25">
      <c r="A44" s="2"/>
      <c r="B44" s="2"/>
      <c r="C44" s="5" t="s">
        <v>97</v>
      </c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2"/>
      <c r="Q44" s="6">
        <f>SUM(D44:O44)</f>
        <v>0</v>
      </c>
    </row>
    <row r="45" spans="1:17" x14ac:dyDescent="0.25">
      <c r="A45" s="2"/>
      <c r="B45" s="2"/>
      <c r="C45" s="53" t="s">
        <v>98</v>
      </c>
      <c r="D45" s="31">
        <f t="shared" ref="D45:O45" si="11">SUM(D43:D44)</f>
        <v>0</v>
      </c>
      <c r="E45" s="31">
        <f t="shared" si="11"/>
        <v>0</v>
      </c>
      <c r="F45" s="31">
        <f t="shared" si="11"/>
        <v>0</v>
      </c>
      <c r="G45" s="31">
        <f t="shared" si="11"/>
        <v>0</v>
      </c>
      <c r="H45" s="31">
        <f t="shared" si="11"/>
        <v>0</v>
      </c>
      <c r="I45" s="31">
        <f t="shared" si="11"/>
        <v>0</v>
      </c>
      <c r="J45" s="31">
        <f t="shared" si="11"/>
        <v>-200000</v>
      </c>
      <c r="K45" s="31">
        <f t="shared" si="11"/>
        <v>0</v>
      </c>
      <c r="L45" s="31">
        <f t="shared" si="11"/>
        <v>0</v>
      </c>
      <c r="M45" s="31">
        <f t="shared" si="11"/>
        <v>0</v>
      </c>
      <c r="N45" s="31">
        <f t="shared" si="11"/>
        <v>0</v>
      </c>
      <c r="O45" s="31">
        <f t="shared" si="11"/>
        <v>0</v>
      </c>
      <c r="P45" s="2"/>
      <c r="Q45" s="31">
        <f>SUM(Q43:Q44)</f>
        <v>-200000</v>
      </c>
    </row>
    <row r="46" spans="1:17" x14ac:dyDescent="0.25">
      <c r="A46" s="2"/>
      <c r="B46" s="52" t="s">
        <v>99</v>
      </c>
      <c r="C46" s="52"/>
      <c r="D46" s="20">
        <f>+D42</f>
        <v>-70000</v>
      </c>
      <c r="E46" s="20">
        <f t="shared" ref="E46:O46" si="12">+E42</f>
        <v>-50000</v>
      </c>
      <c r="F46" s="20">
        <f t="shared" si="12"/>
        <v>-15000</v>
      </c>
      <c r="G46" s="20">
        <f t="shared" si="12"/>
        <v>-5000</v>
      </c>
      <c r="H46" s="20">
        <f t="shared" si="12"/>
        <v>-2000</v>
      </c>
      <c r="I46" s="20">
        <f t="shared" si="12"/>
        <v>-12000</v>
      </c>
      <c r="J46" s="20">
        <f t="shared" si="12"/>
        <v>-2000</v>
      </c>
      <c r="K46" s="20">
        <f t="shared" si="12"/>
        <v>-2000</v>
      </c>
      <c r="L46" s="20">
        <f t="shared" si="12"/>
        <v>-9000</v>
      </c>
      <c r="M46" s="20">
        <f t="shared" si="12"/>
        <v>-8500</v>
      </c>
      <c r="N46" s="20">
        <f t="shared" si="12"/>
        <v>-2000</v>
      </c>
      <c r="O46" s="20">
        <f t="shared" si="12"/>
        <v>-2000</v>
      </c>
      <c r="P46" s="2"/>
      <c r="Q46" s="20">
        <f>+Q42+Q45</f>
        <v>-379500</v>
      </c>
    </row>
    <row r="47" spans="1:17" x14ac:dyDescent="0.25">
      <c r="A47" s="8"/>
      <c r="B47" s="48" t="s">
        <v>54</v>
      </c>
      <c r="C47" s="49"/>
      <c r="D47" s="28">
        <f>+D4+D39+D46</f>
        <v>-8221.4047619047342</v>
      </c>
      <c r="E47" s="28">
        <f>+E4+E39+E46</f>
        <v>-134729.99783549778</v>
      </c>
      <c r="F47" s="28">
        <f>+F4+F39+F46</f>
        <v>-133861.25757575757</v>
      </c>
      <c r="G47" s="28">
        <f>+G4+G39+G46</f>
        <v>-170087.08874458872</v>
      </c>
      <c r="H47" s="28">
        <f>+H4+H39+H46</f>
        <v>11378.818181818206</v>
      </c>
      <c r="I47" s="28">
        <f>+I4+I39+I46</f>
        <v>186506.39177489182</v>
      </c>
      <c r="J47" s="28">
        <f>+J4+J39+J46</f>
        <v>163119.89393939398</v>
      </c>
      <c r="K47" s="28">
        <f>+K4+K39+K46</f>
        <v>214154.46753246759</v>
      </c>
      <c r="L47" s="28">
        <f>+L4+L39+L46</f>
        <v>368783.5411255412</v>
      </c>
      <c r="M47" s="28">
        <f>+M4+M39+M46</f>
        <v>527050.97186147189</v>
      </c>
      <c r="N47" s="28">
        <f>+N4+N39+N46</f>
        <v>685276.21212121216</v>
      </c>
      <c r="O47" s="28">
        <f>+O4+O39+O46</f>
        <v>678163.40476190485</v>
      </c>
      <c r="P47" s="8"/>
      <c r="Q47" s="28">
        <f>+Q4+Q39+Q46</f>
        <v>478163.40476190485</v>
      </c>
    </row>
  </sheetData>
  <conditionalFormatting sqref="A47:Q47">
    <cfRule type="cellIs" dxfId="2" priority="1" stopIfTrue="1" operator="lessThan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4F841-C921-4451-9A79-15BD038A0362}">
  <dimension ref="A1:T94"/>
  <sheetViews>
    <sheetView topLeftCell="A41" workbookViewId="0">
      <selection activeCell="T65" sqref="T65"/>
    </sheetView>
  </sheetViews>
  <sheetFormatPr defaultColWidth="11.42578125" defaultRowHeight="15" outlineLevelCol="1" x14ac:dyDescent="0.2"/>
  <cols>
    <col min="1" max="1" width="3.5703125" style="2" customWidth="1"/>
    <col min="2" max="2" width="38.42578125" style="2" customWidth="1" outlineLevel="1"/>
    <col min="3" max="14" width="8" style="2" customWidth="1" outlineLevel="1"/>
    <col min="15" max="15" width="9.140625" style="2" customWidth="1" outlineLevel="1"/>
    <col min="16" max="16" width="11" style="2" customWidth="1" outlineLevel="1"/>
    <col min="17" max="17" width="1.7109375" style="2" customWidth="1" outlineLevel="1"/>
    <col min="18" max="18" width="9.42578125" style="2" bestFit="1" customWidth="1"/>
    <col min="19" max="19" width="1" style="2" customWidth="1"/>
    <col min="20" max="20" width="90.28515625" style="2" customWidth="1"/>
    <col min="21" max="16384" width="11.42578125" style="2"/>
  </cols>
  <sheetData>
    <row r="1" spans="1:20" ht="12.75" x14ac:dyDescent="0.2">
      <c r="A1" s="1" t="s">
        <v>0</v>
      </c>
    </row>
    <row r="2" spans="1:20" ht="12.75" x14ac:dyDescent="0.2">
      <c r="A2" s="1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4" spans="1:20" ht="12.75" x14ac:dyDescent="0.2">
      <c r="B4" s="3" t="s">
        <v>47</v>
      </c>
      <c r="C4" s="4" t="s">
        <v>1</v>
      </c>
      <c r="D4" s="4" t="s">
        <v>2</v>
      </c>
      <c r="E4" s="4" t="s">
        <v>3</v>
      </c>
      <c r="F4" s="4" t="s">
        <v>4</v>
      </c>
      <c r="G4" s="4" t="s">
        <v>5</v>
      </c>
      <c r="H4" s="4" t="s">
        <v>6</v>
      </c>
      <c r="I4" s="4" t="s">
        <v>7</v>
      </c>
      <c r="J4" s="4" t="s">
        <v>8</v>
      </c>
      <c r="K4" s="4" t="s">
        <v>9</v>
      </c>
      <c r="L4" s="4" t="s">
        <v>10</v>
      </c>
      <c r="M4" s="4" t="s">
        <v>11</v>
      </c>
      <c r="N4" s="4" t="s">
        <v>12</v>
      </c>
      <c r="O4" s="4" t="s">
        <v>13</v>
      </c>
      <c r="P4" s="4" t="s">
        <v>14</v>
      </c>
      <c r="R4" s="4" t="s">
        <v>34</v>
      </c>
    </row>
    <row r="5" spans="1:20" ht="12.75" x14ac:dyDescent="0.2">
      <c r="B5" s="10" t="s">
        <v>15</v>
      </c>
      <c r="C5" s="11">
        <v>383000</v>
      </c>
      <c r="D5" s="11">
        <v>229000</v>
      </c>
      <c r="E5" s="11">
        <v>252000</v>
      </c>
      <c r="F5" s="11">
        <v>258000</v>
      </c>
      <c r="G5" s="11">
        <v>312000</v>
      </c>
      <c r="H5" s="11">
        <v>299000</v>
      </c>
      <c r="I5" s="11">
        <v>313000</v>
      </c>
      <c r="J5" s="11">
        <v>236000</v>
      </c>
      <c r="K5" s="11">
        <v>325000</v>
      </c>
      <c r="L5" s="11">
        <v>266000</v>
      </c>
      <c r="M5" s="11">
        <v>359000</v>
      </c>
      <c r="N5" s="11">
        <v>265000</v>
      </c>
      <c r="O5" s="11">
        <v>317000</v>
      </c>
      <c r="P5" s="11">
        <v>282000</v>
      </c>
      <c r="R5" s="11">
        <f>+SUM(E5:P5)</f>
        <v>3484000</v>
      </c>
    </row>
    <row r="6" spans="1:20" ht="12.75" x14ac:dyDescent="0.2">
      <c r="B6" s="5" t="s">
        <v>16</v>
      </c>
      <c r="C6" s="6">
        <v>-42500</v>
      </c>
      <c r="D6" s="6">
        <v>-42500</v>
      </c>
      <c r="E6" s="6">
        <v>-57500</v>
      </c>
      <c r="F6" s="6">
        <v>-57500</v>
      </c>
      <c r="G6" s="6">
        <v>-57500</v>
      </c>
      <c r="H6" s="6">
        <v>-57500</v>
      </c>
      <c r="I6" s="6">
        <v>-57500</v>
      </c>
      <c r="J6" s="6">
        <v>-57500</v>
      </c>
      <c r="K6" s="6">
        <v>-57500</v>
      </c>
      <c r="L6" s="6">
        <v>-57500</v>
      </c>
      <c r="M6" s="6">
        <v>-57500</v>
      </c>
      <c r="N6" s="6">
        <v>-57500</v>
      </c>
      <c r="O6" s="6">
        <v>-57500</v>
      </c>
      <c r="P6" s="6">
        <v>-57500</v>
      </c>
      <c r="R6" s="6">
        <f t="shared" ref="R6:R25" si="0">+SUM(E6:P6)</f>
        <v>-690000</v>
      </c>
      <c r="T6" s="2" t="s">
        <v>38</v>
      </c>
    </row>
    <row r="7" spans="1:20" ht="12.75" x14ac:dyDescent="0.2">
      <c r="B7" s="5" t="s">
        <v>17</v>
      </c>
      <c r="C7" s="6">
        <f>+C6*0.2</f>
        <v>-8500</v>
      </c>
      <c r="D7" s="6">
        <f>+D6*0.2</f>
        <v>-8500</v>
      </c>
      <c r="E7" s="6">
        <f t="shared" ref="E7:P7" si="1">+E6*0.2</f>
        <v>-11500</v>
      </c>
      <c r="F7" s="6">
        <f t="shared" si="1"/>
        <v>-11500</v>
      </c>
      <c r="G7" s="6">
        <f t="shared" si="1"/>
        <v>-11500</v>
      </c>
      <c r="H7" s="6">
        <f t="shared" si="1"/>
        <v>-11500</v>
      </c>
      <c r="I7" s="6">
        <f t="shared" si="1"/>
        <v>-11500</v>
      </c>
      <c r="J7" s="6">
        <f t="shared" si="1"/>
        <v>-11500</v>
      </c>
      <c r="K7" s="6">
        <f t="shared" si="1"/>
        <v>-11500</v>
      </c>
      <c r="L7" s="6">
        <f t="shared" si="1"/>
        <v>-11500</v>
      </c>
      <c r="M7" s="6">
        <f t="shared" si="1"/>
        <v>-11500</v>
      </c>
      <c r="N7" s="6">
        <f t="shared" si="1"/>
        <v>-11500</v>
      </c>
      <c r="O7" s="6">
        <f t="shared" si="1"/>
        <v>-11500</v>
      </c>
      <c r="P7" s="6">
        <f t="shared" si="1"/>
        <v>-11500</v>
      </c>
      <c r="R7" s="6">
        <f t="shared" si="0"/>
        <v>-138000</v>
      </c>
      <c r="T7" s="2" t="s">
        <v>101</v>
      </c>
    </row>
    <row r="8" spans="1:20" ht="12.75" x14ac:dyDescent="0.2">
      <c r="B8" s="5" t="s">
        <v>18</v>
      </c>
      <c r="C8" s="6">
        <f>+(C7+C6*0.3)</f>
        <v>-21250</v>
      </c>
      <c r="D8" s="6">
        <f>+(D7+D6*0.3)</f>
        <v>-21250</v>
      </c>
      <c r="E8" s="6">
        <f t="shared" ref="E8:P8" si="2">+(E7+E6*0.3)</f>
        <v>-28750</v>
      </c>
      <c r="F8" s="6">
        <f t="shared" si="2"/>
        <v>-28750</v>
      </c>
      <c r="G8" s="6">
        <f t="shared" si="2"/>
        <v>-28750</v>
      </c>
      <c r="H8" s="6">
        <f t="shared" si="2"/>
        <v>-28750</v>
      </c>
      <c r="I8" s="6">
        <f t="shared" si="2"/>
        <v>-28750</v>
      </c>
      <c r="J8" s="6">
        <f t="shared" si="2"/>
        <v>-28750</v>
      </c>
      <c r="K8" s="6">
        <f t="shared" si="2"/>
        <v>-28750</v>
      </c>
      <c r="L8" s="6">
        <f t="shared" si="2"/>
        <v>-28750</v>
      </c>
      <c r="M8" s="6">
        <f t="shared" si="2"/>
        <v>-28750</v>
      </c>
      <c r="N8" s="6">
        <f t="shared" si="2"/>
        <v>-28750</v>
      </c>
      <c r="O8" s="6">
        <f t="shared" si="2"/>
        <v>-28750</v>
      </c>
      <c r="P8" s="6">
        <f t="shared" si="2"/>
        <v>-28750</v>
      </c>
      <c r="R8" s="6">
        <f t="shared" si="0"/>
        <v>-345000</v>
      </c>
    </row>
    <row r="9" spans="1:20" s="8" customFormat="1" ht="12.75" x14ac:dyDescent="0.2">
      <c r="B9" s="13" t="s">
        <v>19</v>
      </c>
      <c r="C9" s="14">
        <f t="shared" ref="C9:P9" si="3">SUM(C6:C8)</f>
        <v>-72250</v>
      </c>
      <c r="D9" s="14">
        <f t="shared" si="3"/>
        <v>-72250</v>
      </c>
      <c r="E9" s="14">
        <f t="shared" si="3"/>
        <v>-97750</v>
      </c>
      <c r="F9" s="14">
        <f t="shared" si="3"/>
        <v>-97750</v>
      </c>
      <c r="G9" s="14">
        <f t="shared" si="3"/>
        <v>-97750</v>
      </c>
      <c r="H9" s="14">
        <f t="shared" si="3"/>
        <v>-97750</v>
      </c>
      <c r="I9" s="14">
        <f t="shared" si="3"/>
        <v>-97750</v>
      </c>
      <c r="J9" s="14">
        <f t="shared" si="3"/>
        <v>-97750</v>
      </c>
      <c r="K9" s="14">
        <f t="shared" si="3"/>
        <v>-97750</v>
      </c>
      <c r="L9" s="14">
        <f t="shared" si="3"/>
        <v>-97750</v>
      </c>
      <c r="M9" s="14">
        <f t="shared" si="3"/>
        <v>-97750</v>
      </c>
      <c r="N9" s="14">
        <f t="shared" si="3"/>
        <v>-97750</v>
      </c>
      <c r="O9" s="14">
        <f t="shared" si="3"/>
        <v>-97750</v>
      </c>
      <c r="P9" s="14">
        <f t="shared" si="3"/>
        <v>-97750</v>
      </c>
      <c r="R9" s="14">
        <f t="shared" si="0"/>
        <v>-1173000</v>
      </c>
    </row>
    <row r="10" spans="1:20" s="8" customFormat="1" ht="12.75" customHeight="1" x14ac:dyDescent="0.2">
      <c r="B10" s="5" t="s">
        <v>35</v>
      </c>
      <c r="C10" s="6">
        <v>-54000</v>
      </c>
      <c r="D10" s="6">
        <v>-49000</v>
      </c>
      <c r="E10" s="6">
        <v>-48000</v>
      </c>
      <c r="F10" s="6">
        <v>-56000</v>
      </c>
      <c r="G10" s="6">
        <v>-47500</v>
      </c>
      <c r="H10" s="6">
        <v>-58000</v>
      </c>
      <c r="I10" s="6">
        <v>-56000</v>
      </c>
      <c r="J10" s="6">
        <v>-62000</v>
      </c>
      <c r="K10" s="6">
        <v>-47000</v>
      </c>
      <c r="L10" s="6">
        <v>-35000</v>
      </c>
      <c r="M10" s="6">
        <v>-42000</v>
      </c>
      <c r="N10" s="6">
        <v>-38000</v>
      </c>
      <c r="O10" s="6">
        <v>-41000</v>
      </c>
      <c r="P10" s="6">
        <v>-47000</v>
      </c>
      <c r="R10" s="6">
        <f t="shared" si="0"/>
        <v>-577500</v>
      </c>
      <c r="T10" s="56" t="s">
        <v>51</v>
      </c>
    </row>
    <row r="11" spans="1:20" s="8" customFormat="1" ht="12.75" x14ac:dyDescent="0.2">
      <c r="B11" s="5" t="s">
        <v>36</v>
      </c>
      <c r="C11" s="6">
        <v>-32000</v>
      </c>
      <c r="D11" s="6">
        <v>-29000</v>
      </c>
      <c r="E11" s="6">
        <v>-28000</v>
      </c>
      <c r="F11" s="6">
        <v>-26000</v>
      </c>
      <c r="G11" s="6">
        <v>-24000</v>
      </c>
      <c r="H11" s="6">
        <v>-25000</v>
      </c>
      <c r="I11" s="6">
        <v>-23000</v>
      </c>
      <c r="J11" s="6">
        <v>-19000</v>
      </c>
      <c r="K11" s="6">
        <v>-21000</v>
      </c>
      <c r="L11" s="6">
        <v>-17000</v>
      </c>
      <c r="M11" s="6">
        <v>-12000</v>
      </c>
      <c r="N11" s="6">
        <v>-16000</v>
      </c>
      <c r="O11" s="6">
        <v>-17000</v>
      </c>
      <c r="P11" s="6">
        <v>-19000</v>
      </c>
      <c r="R11" s="6">
        <f t="shared" si="0"/>
        <v>-247000</v>
      </c>
      <c r="T11" s="56"/>
    </row>
    <row r="12" spans="1:20" ht="12.75" x14ac:dyDescent="0.2">
      <c r="B12" s="13" t="s">
        <v>20</v>
      </c>
      <c r="C12" s="14">
        <f t="shared" ref="C12:P12" si="4">SUM(C10:C11)</f>
        <v>-86000</v>
      </c>
      <c r="D12" s="14">
        <f t="shared" si="4"/>
        <v>-78000</v>
      </c>
      <c r="E12" s="14">
        <f t="shared" si="4"/>
        <v>-76000</v>
      </c>
      <c r="F12" s="14">
        <f t="shared" si="4"/>
        <v>-82000</v>
      </c>
      <c r="G12" s="14">
        <f t="shared" si="4"/>
        <v>-71500</v>
      </c>
      <c r="H12" s="14">
        <f t="shared" si="4"/>
        <v>-83000</v>
      </c>
      <c r="I12" s="14">
        <f t="shared" si="4"/>
        <v>-79000</v>
      </c>
      <c r="J12" s="14">
        <f t="shared" si="4"/>
        <v>-81000</v>
      </c>
      <c r="K12" s="14">
        <f t="shared" si="4"/>
        <v>-68000</v>
      </c>
      <c r="L12" s="14">
        <f t="shared" si="4"/>
        <v>-52000</v>
      </c>
      <c r="M12" s="14">
        <f t="shared" si="4"/>
        <v>-54000</v>
      </c>
      <c r="N12" s="14">
        <f t="shared" si="4"/>
        <v>-54000</v>
      </c>
      <c r="O12" s="14">
        <f t="shared" si="4"/>
        <v>-58000</v>
      </c>
      <c r="P12" s="14">
        <f t="shared" si="4"/>
        <v>-66000</v>
      </c>
      <c r="R12" s="14">
        <f t="shared" si="0"/>
        <v>-824500</v>
      </c>
      <c r="T12" s="56"/>
    </row>
    <row r="13" spans="1:20" ht="12.75" x14ac:dyDescent="0.2">
      <c r="B13" s="5" t="s">
        <v>21</v>
      </c>
      <c r="C13" s="6">
        <v>-16500</v>
      </c>
      <c r="D13" s="6">
        <v>-16500</v>
      </c>
      <c r="E13" s="6">
        <v>-18000</v>
      </c>
      <c r="F13" s="6">
        <v>-18000</v>
      </c>
      <c r="G13" s="6">
        <v>-18000</v>
      </c>
      <c r="H13" s="6">
        <v>-18000</v>
      </c>
      <c r="I13" s="6">
        <v>-18000</v>
      </c>
      <c r="J13" s="6">
        <v>-18000</v>
      </c>
      <c r="K13" s="6">
        <v>-18000</v>
      </c>
      <c r="L13" s="6">
        <v>-18000</v>
      </c>
      <c r="M13" s="6">
        <v>-18000</v>
      </c>
      <c r="N13" s="6">
        <v>-18000</v>
      </c>
      <c r="O13" s="6">
        <v>-18000</v>
      </c>
      <c r="P13" s="6">
        <v>-18000</v>
      </c>
      <c r="R13" s="6">
        <f t="shared" si="0"/>
        <v>-216000</v>
      </c>
      <c r="T13" s="2" t="s">
        <v>100</v>
      </c>
    </row>
    <row r="14" spans="1:20" ht="12.75" x14ac:dyDescent="0.2">
      <c r="B14" s="5" t="s">
        <v>22</v>
      </c>
      <c r="C14" s="6">
        <v>-4000</v>
      </c>
      <c r="D14" s="6">
        <v>-4000</v>
      </c>
      <c r="E14" s="6">
        <v>-16000</v>
      </c>
      <c r="F14" s="6">
        <v>-4000</v>
      </c>
      <c r="G14" s="6">
        <v>-4000</v>
      </c>
      <c r="H14" s="6">
        <v>-6000</v>
      </c>
      <c r="I14" s="6">
        <v>-4000</v>
      </c>
      <c r="J14" s="6">
        <v>-4000</v>
      </c>
      <c r="K14" s="6">
        <v>-6000</v>
      </c>
      <c r="L14" s="6">
        <v>-4000</v>
      </c>
      <c r="M14" s="6">
        <v>-4000</v>
      </c>
      <c r="N14" s="6">
        <v>-6000</v>
      </c>
      <c r="O14" s="6">
        <v>-4000</v>
      </c>
      <c r="P14" s="6">
        <v>-4000</v>
      </c>
      <c r="R14" s="6">
        <f t="shared" si="0"/>
        <v>-66000</v>
      </c>
      <c r="T14" s="2" t="s">
        <v>42</v>
      </c>
    </row>
    <row r="15" spans="1:20" ht="12.75" x14ac:dyDescent="0.2">
      <c r="B15" s="5" t="s">
        <v>23</v>
      </c>
      <c r="C15" s="6">
        <v>-19150</v>
      </c>
      <c r="D15" s="6">
        <v>-11450</v>
      </c>
      <c r="E15" s="6">
        <v>-12600</v>
      </c>
      <c r="F15" s="6">
        <v>-12900</v>
      </c>
      <c r="G15" s="6">
        <v>-15600</v>
      </c>
      <c r="H15" s="6">
        <v>-14950</v>
      </c>
      <c r="I15" s="6">
        <v>-15650</v>
      </c>
      <c r="J15" s="6">
        <v>-11800</v>
      </c>
      <c r="K15" s="6">
        <v>-16250</v>
      </c>
      <c r="L15" s="6">
        <v>-13300</v>
      </c>
      <c r="M15" s="6">
        <v>-17950</v>
      </c>
      <c r="N15" s="6">
        <v>-13250</v>
      </c>
      <c r="O15" s="6">
        <v>-15850</v>
      </c>
      <c r="P15" s="6">
        <v>-14100</v>
      </c>
      <c r="R15" s="6">
        <f t="shared" si="0"/>
        <v>-174200</v>
      </c>
      <c r="T15" s="2" t="s">
        <v>42</v>
      </c>
    </row>
    <row r="16" spans="1:20" ht="12.75" x14ac:dyDescent="0.2">
      <c r="B16" s="5" t="s">
        <v>24</v>
      </c>
      <c r="C16" s="6">
        <v>-3750</v>
      </c>
      <c r="D16" s="6">
        <v>-3750</v>
      </c>
      <c r="E16" s="6">
        <v>-3750</v>
      </c>
      <c r="F16" s="6">
        <v>-3750</v>
      </c>
      <c r="G16" s="6">
        <v>-3750</v>
      </c>
      <c r="H16" s="6">
        <v>-3750</v>
      </c>
      <c r="I16" s="6">
        <v>-3750</v>
      </c>
      <c r="J16" s="6">
        <v>-3750</v>
      </c>
      <c r="K16" s="6">
        <v>-3750</v>
      </c>
      <c r="L16" s="6">
        <v>-3750</v>
      </c>
      <c r="M16" s="6">
        <v>-3750</v>
      </c>
      <c r="N16" s="6">
        <v>-3750</v>
      </c>
      <c r="O16" s="6">
        <v>-3750</v>
      </c>
      <c r="P16" s="6">
        <v>-3750</v>
      </c>
      <c r="R16" s="6">
        <f t="shared" si="0"/>
        <v>-45000</v>
      </c>
      <c r="T16" s="2" t="s">
        <v>41</v>
      </c>
    </row>
    <row r="17" spans="2:20" ht="12.75" x14ac:dyDescent="0.2">
      <c r="B17" s="5" t="s">
        <v>25</v>
      </c>
      <c r="C17" s="6">
        <v>-2500</v>
      </c>
      <c r="D17" s="6">
        <v>-7500</v>
      </c>
      <c r="E17" s="6">
        <v>-2500</v>
      </c>
      <c r="F17" s="6">
        <v>-2500</v>
      </c>
      <c r="G17" s="6">
        <v>-2500</v>
      </c>
      <c r="H17" s="6">
        <v>-2500</v>
      </c>
      <c r="I17" s="6">
        <v>-2500</v>
      </c>
      <c r="J17" s="6">
        <v>-2500</v>
      </c>
      <c r="K17" s="6">
        <v>-2500</v>
      </c>
      <c r="L17" s="6">
        <v>-2500</v>
      </c>
      <c r="M17" s="6">
        <v>-2500</v>
      </c>
      <c r="N17" s="6">
        <v>-2500</v>
      </c>
      <c r="O17" s="6">
        <v>-2500</v>
      </c>
      <c r="P17" s="6">
        <v>-7500</v>
      </c>
      <c r="R17" s="6">
        <f t="shared" si="0"/>
        <v>-35000</v>
      </c>
      <c r="T17" s="2" t="s">
        <v>42</v>
      </c>
    </row>
    <row r="18" spans="2:20" ht="12.75" x14ac:dyDescent="0.2">
      <c r="B18" s="5" t="s">
        <v>26</v>
      </c>
      <c r="C18" s="6">
        <v>-4500</v>
      </c>
      <c r="D18" s="6">
        <v>-4500</v>
      </c>
      <c r="E18" s="6">
        <v>-4500</v>
      </c>
      <c r="F18" s="6">
        <v>-4500</v>
      </c>
      <c r="G18" s="6">
        <v>-4500</v>
      </c>
      <c r="H18" s="6">
        <v>-4500</v>
      </c>
      <c r="I18" s="6">
        <v>-4500</v>
      </c>
      <c r="J18" s="6">
        <v>-4500</v>
      </c>
      <c r="K18" s="6">
        <v>-4500</v>
      </c>
      <c r="L18" s="6">
        <v>-4500</v>
      </c>
      <c r="M18" s="6">
        <v>-4500</v>
      </c>
      <c r="N18" s="6">
        <v>-4500</v>
      </c>
      <c r="O18" s="6">
        <v>-4500</v>
      </c>
      <c r="P18" s="6">
        <v>-4500</v>
      </c>
      <c r="R18" s="6">
        <f t="shared" si="0"/>
        <v>-54000</v>
      </c>
      <c r="T18" s="2" t="s">
        <v>43</v>
      </c>
    </row>
    <row r="19" spans="2:20" ht="12.75" x14ac:dyDescent="0.2">
      <c r="B19" s="13" t="s">
        <v>27</v>
      </c>
      <c r="C19" s="14">
        <f t="shared" ref="C19:P19" si="5">SUM(C13:C18)</f>
        <v>-50400</v>
      </c>
      <c r="D19" s="14">
        <f t="shared" si="5"/>
        <v>-47700</v>
      </c>
      <c r="E19" s="14">
        <f t="shared" si="5"/>
        <v>-57350</v>
      </c>
      <c r="F19" s="14">
        <f t="shared" si="5"/>
        <v>-45650</v>
      </c>
      <c r="G19" s="14">
        <f t="shared" si="5"/>
        <v>-48350</v>
      </c>
      <c r="H19" s="14">
        <f t="shared" si="5"/>
        <v>-49700</v>
      </c>
      <c r="I19" s="14">
        <f t="shared" si="5"/>
        <v>-48400</v>
      </c>
      <c r="J19" s="14">
        <f t="shared" si="5"/>
        <v>-44550</v>
      </c>
      <c r="K19" s="14">
        <f t="shared" si="5"/>
        <v>-51000</v>
      </c>
      <c r="L19" s="14">
        <f t="shared" si="5"/>
        <v>-46050</v>
      </c>
      <c r="M19" s="14">
        <f t="shared" si="5"/>
        <v>-50700</v>
      </c>
      <c r="N19" s="14">
        <f t="shared" si="5"/>
        <v>-48000</v>
      </c>
      <c r="O19" s="14">
        <f t="shared" si="5"/>
        <v>-48600</v>
      </c>
      <c r="P19" s="14">
        <f t="shared" si="5"/>
        <v>-51850</v>
      </c>
      <c r="R19" s="14">
        <f t="shared" si="0"/>
        <v>-590200</v>
      </c>
    </row>
    <row r="20" spans="2:20" ht="12.75" x14ac:dyDescent="0.2">
      <c r="B20" s="5" t="s">
        <v>28</v>
      </c>
      <c r="C20" s="6">
        <v>-35248.5</v>
      </c>
      <c r="D20" s="6">
        <v>-5155.5</v>
      </c>
      <c r="E20" s="6">
        <v>-3024</v>
      </c>
      <c r="F20" s="6">
        <v>-5481</v>
      </c>
      <c r="G20" s="6">
        <v>-18459</v>
      </c>
      <c r="H20" s="6">
        <v>-13030.5</v>
      </c>
      <c r="I20" s="6">
        <v>-17083.5</v>
      </c>
      <c r="J20" s="6">
        <v>-1302</v>
      </c>
      <c r="K20" s="6">
        <v>-21367.5</v>
      </c>
      <c r="L20" s="6">
        <v>-9177</v>
      </c>
      <c r="M20" s="6">
        <v>-30040.5</v>
      </c>
      <c r="N20" s="6">
        <v>-7507.5</v>
      </c>
      <c r="O20" s="6">
        <v>-18091.5</v>
      </c>
      <c r="P20" s="6">
        <v>-11109</v>
      </c>
      <c r="R20" s="6">
        <f t="shared" si="0"/>
        <v>-155673</v>
      </c>
      <c r="T20" s="2" t="s">
        <v>45</v>
      </c>
    </row>
    <row r="21" spans="2:20" ht="12.75" x14ac:dyDescent="0.2">
      <c r="B21" s="5" t="s">
        <v>29</v>
      </c>
      <c r="C21" s="6">
        <v>-3000</v>
      </c>
      <c r="D21" s="6">
        <v>-3000</v>
      </c>
      <c r="E21" s="6">
        <v>-3000</v>
      </c>
      <c r="F21" s="6">
        <v>-3000</v>
      </c>
      <c r="G21" s="6">
        <v>-3000</v>
      </c>
      <c r="H21" s="6">
        <v>-3000</v>
      </c>
      <c r="I21" s="6">
        <v>-3000</v>
      </c>
      <c r="J21" s="6">
        <v>-3000</v>
      </c>
      <c r="K21" s="6">
        <v>-3000</v>
      </c>
      <c r="L21" s="6">
        <v>-3000</v>
      </c>
      <c r="M21" s="6">
        <v>-3000</v>
      </c>
      <c r="N21" s="6">
        <v>-3000</v>
      </c>
      <c r="O21" s="6">
        <v>-3000</v>
      </c>
      <c r="P21" s="6">
        <v>-3000</v>
      </c>
      <c r="R21" s="6">
        <f t="shared" si="0"/>
        <v>-36000</v>
      </c>
      <c r="T21" s="2" t="s">
        <v>44</v>
      </c>
    </row>
    <row r="22" spans="2:20" ht="12.75" x14ac:dyDescent="0.2">
      <c r="B22" s="13" t="s">
        <v>30</v>
      </c>
      <c r="C22" s="14">
        <f t="shared" ref="C22:P22" si="6">SUM(C20:C21)</f>
        <v>-38248.5</v>
      </c>
      <c r="D22" s="14">
        <f t="shared" si="6"/>
        <v>-8155.5</v>
      </c>
      <c r="E22" s="14">
        <f t="shared" si="6"/>
        <v>-6024</v>
      </c>
      <c r="F22" s="14">
        <f t="shared" si="6"/>
        <v>-8481</v>
      </c>
      <c r="G22" s="14">
        <f t="shared" si="6"/>
        <v>-21459</v>
      </c>
      <c r="H22" s="14">
        <f t="shared" si="6"/>
        <v>-16030.5</v>
      </c>
      <c r="I22" s="14">
        <f t="shared" si="6"/>
        <v>-20083.5</v>
      </c>
      <c r="J22" s="14">
        <f t="shared" si="6"/>
        <v>-4302</v>
      </c>
      <c r="K22" s="14">
        <f t="shared" si="6"/>
        <v>-24367.5</v>
      </c>
      <c r="L22" s="14">
        <f t="shared" si="6"/>
        <v>-12177</v>
      </c>
      <c r="M22" s="14">
        <f t="shared" si="6"/>
        <v>-33040.5</v>
      </c>
      <c r="N22" s="14">
        <f t="shared" si="6"/>
        <v>-10507.5</v>
      </c>
      <c r="O22" s="14">
        <f t="shared" si="6"/>
        <v>-21091.5</v>
      </c>
      <c r="P22" s="14">
        <f t="shared" si="6"/>
        <v>-14109</v>
      </c>
      <c r="R22" s="14">
        <f t="shared" si="0"/>
        <v>-191673</v>
      </c>
    </row>
    <row r="23" spans="2:20" ht="12.75" x14ac:dyDescent="0.2">
      <c r="B23" s="5" t="s">
        <v>31</v>
      </c>
      <c r="C23" s="6">
        <v>-1000</v>
      </c>
      <c r="D23" s="6">
        <v>-1000</v>
      </c>
      <c r="E23" s="6">
        <v>-1000</v>
      </c>
      <c r="F23" s="6">
        <v>-1000</v>
      </c>
      <c r="G23" s="6">
        <v>-1000</v>
      </c>
      <c r="H23" s="6">
        <v>-1000</v>
      </c>
      <c r="I23" s="6">
        <v>-1000</v>
      </c>
      <c r="J23" s="6">
        <v>-1000</v>
      </c>
      <c r="K23" s="6">
        <v>-1000</v>
      </c>
      <c r="L23" s="6">
        <v>-1000</v>
      </c>
      <c r="M23" s="6">
        <v>-1000</v>
      </c>
      <c r="N23" s="6">
        <v>-1000</v>
      </c>
      <c r="O23" s="6">
        <v>-1000</v>
      </c>
      <c r="P23" s="6">
        <v>-1000</v>
      </c>
      <c r="R23" s="6">
        <f t="shared" si="0"/>
        <v>-12000</v>
      </c>
    </row>
    <row r="24" spans="2:20" ht="12.75" x14ac:dyDescent="0.2">
      <c r="B24" s="5" t="s">
        <v>32</v>
      </c>
      <c r="C24" s="6">
        <v>-2500</v>
      </c>
      <c r="D24" s="6">
        <v>-2500</v>
      </c>
      <c r="E24" s="6">
        <v>-2500</v>
      </c>
      <c r="F24" s="6">
        <v>-2500</v>
      </c>
      <c r="G24" s="6">
        <v>-2500</v>
      </c>
      <c r="H24" s="6">
        <v>-2500</v>
      </c>
      <c r="I24" s="6">
        <v>-2500</v>
      </c>
      <c r="J24" s="6">
        <v>-2500</v>
      </c>
      <c r="K24" s="6">
        <v>-2500</v>
      </c>
      <c r="L24" s="6">
        <v>-2500</v>
      </c>
      <c r="M24" s="6">
        <v>-2500</v>
      </c>
      <c r="N24" s="6">
        <v>-2500</v>
      </c>
      <c r="O24" s="6">
        <v>-2500</v>
      </c>
      <c r="P24" s="6">
        <v>-2500</v>
      </c>
      <c r="R24" s="6">
        <f t="shared" si="0"/>
        <v>-30000</v>
      </c>
    </row>
    <row r="25" spans="2:20" ht="12.75" x14ac:dyDescent="0.2">
      <c r="B25" s="15" t="s">
        <v>33</v>
      </c>
      <c r="C25" s="16">
        <f t="shared" ref="C25:P25" si="7">+C9+C12+C19+C22+C23+C24</f>
        <v>-250398.5</v>
      </c>
      <c r="D25" s="16">
        <f t="shared" si="7"/>
        <v>-209605.5</v>
      </c>
      <c r="E25" s="16">
        <f t="shared" si="7"/>
        <v>-240624</v>
      </c>
      <c r="F25" s="16">
        <f t="shared" si="7"/>
        <v>-237381</v>
      </c>
      <c r="G25" s="16">
        <f t="shared" si="7"/>
        <v>-242559</v>
      </c>
      <c r="H25" s="16">
        <f t="shared" si="7"/>
        <v>-249980.5</v>
      </c>
      <c r="I25" s="16">
        <f t="shared" si="7"/>
        <v>-248733.5</v>
      </c>
      <c r="J25" s="16">
        <f t="shared" si="7"/>
        <v>-231102</v>
      </c>
      <c r="K25" s="16">
        <f t="shared" si="7"/>
        <v>-244617.5</v>
      </c>
      <c r="L25" s="16">
        <f t="shared" si="7"/>
        <v>-211477</v>
      </c>
      <c r="M25" s="16">
        <f t="shared" si="7"/>
        <v>-238990.5</v>
      </c>
      <c r="N25" s="16">
        <f t="shared" si="7"/>
        <v>-213757.5</v>
      </c>
      <c r="O25" s="16">
        <f t="shared" si="7"/>
        <v>-228941.5</v>
      </c>
      <c r="P25" s="16">
        <f t="shared" si="7"/>
        <v>-233209</v>
      </c>
      <c r="R25" s="16">
        <f t="shared" si="0"/>
        <v>-2821373</v>
      </c>
    </row>
    <row r="27" spans="2:20" ht="12.75" x14ac:dyDescent="0.2">
      <c r="B27" s="17" t="s">
        <v>37</v>
      </c>
      <c r="C27" s="18">
        <f>+C5+C25</f>
        <v>132601.5</v>
      </c>
      <c r="D27" s="18">
        <f t="shared" ref="D27:P27" si="8">+D5+D25</f>
        <v>19394.5</v>
      </c>
      <c r="E27" s="18">
        <f t="shared" si="8"/>
        <v>11376</v>
      </c>
      <c r="F27" s="18">
        <f t="shared" si="8"/>
        <v>20619</v>
      </c>
      <c r="G27" s="18">
        <f t="shared" si="8"/>
        <v>69441</v>
      </c>
      <c r="H27" s="18">
        <f t="shared" si="8"/>
        <v>49019.5</v>
      </c>
      <c r="I27" s="18">
        <f t="shared" si="8"/>
        <v>64266.5</v>
      </c>
      <c r="J27" s="18">
        <f t="shared" si="8"/>
        <v>4898</v>
      </c>
      <c r="K27" s="18">
        <f t="shared" si="8"/>
        <v>80382.5</v>
      </c>
      <c r="L27" s="18">
        <f t="shared" si="8"/>
        <v>54523</v>
      </c>
      <c r="M27" s="18">
        <f t="shared" si="8"/>
        <v>120009.5</v>
      </c>
      <c r="N27" s="18">
        <f t="shared" si="8"/>
        <v>51242.5</v>
      </c>
      <c r="O27" s="18">
        <f t="shared" si="8"/>
        <v>88058.5</v>
      </c>
      <c r="P27" s="18">
        <f t="shared" si="8"/>
        <v>48791</v>
      </c>
      <c r="R27" s="18">
        <f t="shared" ref="R27" si="9">+SUM(E27:P27)</f>
        <v>662627</v>
      </c>
    </row>
    <row r="28" spans="2:20" ht="12.75" x14ac:dyDescent="0.2">
      <c r="R28" s="7"/>
    </row>
    <row r="29" spans="2:20" ht="12.75" x14ac:dyDescent="0.2"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</row>
    <row r="30" spans="2:20" ht="12.75" x14ac:dyDescent="0.2">
      <c r="B30" s="8" t="s">
        <v>46</v>
      </c>
    </row>
    <row r="31" spans="2:20" ht="12.75" x14ac:dyDescent="0.2">
      <c r="B31" s="2" t="s">
        <v>48</v>
      </c>
    </row>
    <row r="33" spans="2:18" ht="12.75" x14ac:dyDescent="0.2">
      <c r="B33" s="2" t="s">
        <v>49</v>
      </c>
    </row>
    <row r="34" spans="2:18" ht="12.75" x14ac:dyDescent="0.2">
      <c r="B34" s="5" t="s">
        <v>50</v>
      </c>
      <c r="C34" s="6"/>
      <c r="D34" s="6"/>
      <c r="E34" s="6">
        <v>-70000</v>
      </c>
      <c r="F34" s="6">
        <v>-50000</v>
      </c>
      <c r="G34" s="6">
        <v>-15000</v>
      </c>
      <c r="H34" s="6">
        <v>-5000</v>
      </c>
      <c r="I34" s="6">
        <v>-2000</v>
      </c>
      <c r="J34" s="6">
        <v>-12000</v>
      </c>
      <c r="K34" s="6">
        <v>-2000</v>
      </c>
      <c r="L34" s="6">
        <v>-2000</v>
      </c>
      <c r="M34" s="6">
        <v>-9000</v>
      </c>
      <c r="N34" s="6">
        <v>-8500</v>
      </c>
      <c r="O34" s="6">
        <v>-2000</v>
      </c>
      <c r="P34" s="6">
        <v>-2000</v>
      </c>
      <c r="R34" s="6">
        <f t="shared" ref="R34" si="10">+SUM(E34:P34)</f>
        <v>-179500</v>
      </c>
    </row>
    <row r="35" spans="2:18" ht="12.75" x14ac:dyDescent="0.2"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</row>
    <row r="36" spans="2:18" ht="12.75" x14ac:dyDescent="0.2">
      <c r="B36" s="2" t="s">
        <v>61</v>
      </c>
      <c r="C36" s="26">
        <v>0.21</v>
      </c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2:18" ht="12.75" x14ac:dyDescent="0.2">
      <c r="B37" s="2" t="s">
        <v>62</v>
      </c>
      <c r="C37" s="26">
        <v>0.06</v>
      </c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</row>
    <row r="38" spans="2:18" ht="12.75" x14ac:dyDescent="0.2">
      <c r="B38" s="2" t="s">
        <v>63</v>
      </c>
      <c r="C38" s="26">
        <v>0.33</v>
      </c>
      <c r="E38" s="9"/>
      <c r="F38" s="9"/>
      <c r="G38" s="9"/>
      <c r="H38" s="9"/>
      <c r="I38" s="9"/>
      <c r="J38" s="9"/>
      <c r="K38" s="9"/>
      <c r="L38" s="9"/>
      <c r="M38" s="9"/>
      <c r="N38" s="9"/>
      <c r="O38" s="12"/>
    </row>
    <row r="39" spans="2:18" ht="12.75" x14ac:dyDescent="0.2">
      <c r="B39" s="2" t="s">
        <v>64</v>
      </c>
      <c r="C39" s="26">
        <v>0.16</v>
      </c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2:18" x14ac:dyDescent="0.2">
      <c r="B40" s="2" t="s">
        <v>65</v>
      </c>
      <c r="C40" s="26">
        <v>0.19</v>
      </c>
    </row>
    <row r="43" spans="2:18" ht="12.75" x14ac:dyDescent="0.2">
      <c r="B43" s="21" t="s">
        <v>55</v>
      </c>
      <c r="C43" s="19" t="s">
        <v>3</v>
      </c>
      <c r="D43" s="19" t="s">
        <v>4</v>
      </c>
      <c r="E43" s="19" t="s">
        <v>5</v>
      </c>
      <c r="F43" s="19" t="s">
        <v>6</v>
      </c>
      <c r="G43" s="19" t="s">
        <v>7</v>
      </c>
      <c r="H43" s="19" t="s">
        <v>8</v>
      </c>
      <c r="I43" s="19" t="s">
        <v>9</v>
      </c>
      <c r="J43" s="19" t="s">
        <v>10</v>
      </c>
      <c r="K43" s="19" t="s">
        <v>11</v>
      </c>
      <c r="L43" s="19" t="s">
        <v>12</v>
      </c>
      <c r="M43" s="19" t="s">
        <v>13</v>
      </c>
      <c r="N43" s="19" t="s">
        <v>14</v>
      </c>
      <c r="O43" s="8"/>
      <c r="P43" s="32"/>
    </row>
    <row r="44" spans="2:18" ht="12.75" x14ac:dyDescent="0.2">
      <c r="B44" s="5" t="s">
        <v>56</v>
      </c>
      <c r="C44" s="6">
        <f>$R$6/14</f>
        <v>-49285.714285714283</v>
      </c>
      <c r="D44" s="6">
        <f t="shared" ref="D44:M44" si="11">$R$6/14</f>
        <v>-49285.714285714283</v>
      </c>
      <c r="E44" s="6">
        <f t="shared" si="11"/>
        <v>-49285.714285714283</v>
      </c>
      <c r="F44" s="6">
        <f t="shared" si="11"/>
        <v>-49285.714285714283</v>
      </c>
      <c r="G44" s="6">
        <f t="shared" si="11"/>
        <v>-49285.714285714283</v>
      </c>
      <c r="H44" s="6">
        <f t="shared" si="11"/>
        <v>-49285.714285714283</v>
      </c>
      <c r="I44" s="6">
        <f>$R$6/14</f>
        <v>-49285.714285714283</v>
      </c>
      <c r="J44" s="6">
        <f t="shared" si="11"/>
        <v>-49285.714285714283</v>
      </c>
      <c r="K44" s="6">
        <f t="shared" si="11"/>
        <v>-49285.714285714283</v>
      </c>
      <c r="L44" s="6">
        <f t="shared" si="11"/>
        <v>-49285.714285714283</v>
      </c>
      <c r="M44" s="6">
        <f t="shared" si="11"/>
        <v>-49285.714285714283</v>
      </c>
      <c r="N44" s="6">
        <f>$R$6/14</f>
        <v>-49285.714285714283</v>
      </c>
      <c r="O44" s="27"/>
      <c r="P44" s="33"/>
    </row>
    <row r="45" spans="2:18" ht="12.75" x14ac:dyDescent="0.2">
      <c r="B45" s="5" t="s">
        <v>57</v>
      </c>
      <c r="C45" s="6"/>
      <c r="D45" s="6"/>
      <c r="E45" s="6"/>
      <c r="F45" s="6"/>
      <c r="G45" s="6"/>
      <c r="H45" s="6"/>
      <c r="I45" s="6">
        <f>+I44</f>
        <v>-49285.714285714283</v>
      </c>
      <c r="J45" s="6"/>
      <c r="K45" s="6"/>
      <c r="L45" s="6"/>
      <c r="M45" s="6"/>
      <c r="N45" s="6">
        <f>+N44</f>
        <v>-49285.714285714283</v>
      </c>
      <c r="O45" s="27"/>
      <c r="P45" s="9"/>
    </row>
    <row r="46" spans="2:18" ht="12.75" x14ac:dyDescent="0.2">
      <c r="B46" s="5" t="s">
        <v>58</v>
      </c>
      <c r="C46" s="6">
        <f>D6*12/14*2*C39*2+C6*12/14*C39</f>
        <v>-29142.857142857141</v>
      </c>
      <c r="D46" s="6"/>
      <c r="E46" s="6"/>
      <c r="F46" s="6">
        <f>+E6*12/14*C39+F6*12/14*C39+D47/(1-C37-C39)*C39+G6*12/14*C37</f>
        <v>-18728.571428571428</v>
      </c>
      <c r="G46" s="6"/>
      <c r="H46" s="6"/>
      <c r="I46" s="6">
        <f>H6*12/14*C39+I6*12/14*C39+J6*12/14*2*C39</f>
        <v>-31542.857142857141</v>
      </c>
      <c r="J46" s="6"/>
      <c r="K46" s="6"/>
      <c r="L46" s="6">
        <f>K6*12/14*C39+L6*12/14*C39+M6*12/14*C39</f>
        <v>-23657.142857142855</v>
      </c>
      <c r="M46" s="6"/>
      <c r="N46" s="6"/>
      <c r="O46" s="27"/>
      <c r="P46" s="9"/>
    </row>
    <row r="47" spans="2:18" ht="12.75" x14ac:dyDescent="0.2">
      <c r="B47" s="5" t="s">
        <v>17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>
        <f>$R$7*(1-$C$37-$C$39)</f>
        <v>-107639.99999999999</v>
      </c>
      <c r="O47" s="27"/>
      <c r="P47" s="9"/>
    </row>
    <row r="48" spans="2:18" ht="12.75" x14ac:dyDescent="0.2">
      <c r="B48" s="5" t="s">
        <v>59</v>
      </c>
      <c r="C48" s="6">
        <f>D6*$C$37+D8</f>
        <v>-23800</v>
      </c>
      <c r="D48" s="6">
        <f>E6*$C$37+E8</f>
        <v>-32200</v>
      </c>
      <c r="E48" s="6">
        <f>F6*C39+F13+D47/(1-C37-C39)*39%</f>
        <v>-27200</v>
      </c>
      <c r="F48" s="6">
        <f>G6*$C$37+G8</f>
        <v>-32200</v>
      </c>
      <c r="G48" s="6">
        <f>H6*$C$37+H8</f>
        <v>-32200</v>
      </c>
      <c r="H48" s="6">
        <f>I6*$C$37+I8</f>
        <v>-32200</v>
      </c>
      <c r="I48" s="6">
        <f>J6*$C$37+J8</f>
        <v>-32200</v>
      </c>
      <c r="J48" s="6">
        <f>K6*$C$37+K8</f>
        <v>-32200</v>
      </c>
      <c r="K48" s="6">
        <f>L6*$C$37+L8</f>
        <v>-32200</v>
      </c>
      <c r="L48" s="6">
        <f>M6*$C$37+M8</f>
        <v>-32200</v>
      </c>
      <c r="M48" s="6">
        <f>N6*$C$37+N8</f>
        <v>-32200</v>
      </c>
      <c r="N48" s="6">
        <f>O6*$C$37+O8</f>
        <v>-32200</v>
      </c>
      <c r="O48" s="27"/>
      <c r="P48" s="9"/>
    </row>
    <row r="49" spans="2:16" ht="12.75" x14ac:dyDescent="0.2">
      <c r="B49" s="22" t="s">
        <v>19</v>
      </c>
      <c r="C49" s="23">
        <f t="shared" ref="C49:N49" si="12">SUM(C44:C48)</f>
        <v>-102228.57142857142</v>
      </c>
      <c r="D49" s="23">
        <f t="shared" si="12"/>
        <v>-81485.71428571429</v>
      </c>
      <c r="E49" s="23">
        <f t="shared" si="12"/>
        <v>-76485.71428571429</v>
      </c>
      <c r="F49" s="23">
        <f t="shared" si="12"/>
        <v>-100214.28571428571</v>
      </c>
      <c r="G49" s="23">
        <f t="shared" si="12"/>
        <v>-81485.71428571429</v>
      </c>
      <c r="H49" s="23">
        <f t="shared" si="12"/>
        <v>-81485.71428571429</v>
      </c>
      <c r="I49" s="23">
        <f t="shared" si="12"/>
        <v>-162314.28571428571</v>
      </c>
      <c r="J49" s="23">
        <f t="shared" si="12"/>
        <v>-81485.71428571429</v>
      </c>
      <c r="K49" s="23">
        <f t="shared" si="12"/>
        <v>-81485.71428571429</v>
      </c>
      <c r="L49" s="23">
        <f t="shared" si="12"/>
        <v>-105142.85714285713</v>
      </c>
      <c r="M49" s="23">
        <f t="shared" si="12"/>
        <v>-81485.71428571429</v>
      </c>
      <c r="N49" s="23">
        <f t="shared" si="12"/>
        <v>-238411.42857142855</v>
      </c>
      <c r="O49" s="27"/>
      <c r="P49" s="34"/>
    </row>
    <row r="50" spans="2:16" ht="12.75" x14ac:dyDescent="0.2">
      <c r="B50" s="5" t="s">
        <v>35</v>
      </c>
      <c r="C50" s="6">
        <f>((D10*1/3)+(C10*2/3))*(1+$C$36)</f>
        <v>-63323.333333333336</v>
      </c>
      <c r="D50" s="6">
        <f>((E10*1/3)+(D10*2/3))*(1+$C$36)</f>
        <v>-58886.666666666672</v>
      </c>
      <c r="E50" s="6">
        <f>((F10*1/3)+(E10*2/3))*(1+$C$36)</f>
        <v>-61306.666666666672</v>
      </c>
      <c r="F50" s="6">
        <f>((G10*1/3)+(F10*2/3))*(1+$C$36)</f>
        <v>-64331.666666666672</v>
      </c>
      <c r="G50" s="6">
        <f>((H10*1/3)+(G10*2/3))*(1+$C$36)</f>
        <v>-61710</v>
      </c>
      <c r="H50" s="6">
        <f>((I10*1/3)+(H10*2/3))*(1+$C$36)</f>
        <v>-69373.333333333328</v>
      </c>
      <c r="I50" s="6">
        <f>((J10*1/3)+(I10*2/3))*(1+$C$36)</f>
        <v>-70180</v>
      </c>
      <c r="J50" s="6">
        <f>((K10*1/3)+(J10*2/3))*(1+$C$36)</f>
        <v>-68970</v>
      </c>
      <c r="K50" s="6">
        <f>((L10*1/3)+(K10*2/3))*(1+$C$36)</f>
        <v>-52030</v>
      </c>
      <c r="L50" s="6">
        <f>((M10*1/3)+(L10*2/3))*(1+$C$36)</f>
        <v>-45173.333333333328</v>
      </c>
      <c r="M50" s="6">
        <f>((N10*1/3)+(M10*2/3))*(1+$C$36)</f>
        <v>-49206.666666666664</v>
      </c>
      <c r="N50" s="6">
        <f>((O10*1/3)+(N10*2/3))*(1+$C$36)</f>
        <v>-47190</v>
      </c>
      <c r="O50" s="27"/>
      <c r="P50" s="9"/>
    </row>
    <row r="51" spans="2:16" ht="12.75" x14ac:dyDescent="0.2">
      <c r="B51" s="5" t="s">
        <v>36</v>
      </c>
      <c r="C51" s="6">
        <f>((D11*1/3)+(C11*2/3))*(1+$C$36)</f>
        <v>-37510</v>
      </c>
      <c r="D51" s="6">
        <f>((E11*1/3)+(D11*2/3))*(1+$C$36)</f>
        <v>-34686.666666666664</v>
      </c>
      <c r="E51" s="6">
        <f>((F11*1/3)+(E11*2/3))*(1+$C$36)</f>
        <v>-33073.333333333336</v>
      </c>
      <c r="F51" s="6">
        <f>((G11*1/3)+(F11*2/3))*(1+$C$36)</f>
        <v>-30653.333333333332</v>
      </c>
      <c r="G51" s="6">
        <f>((H11*1/3)+(G11*2/3))*(1+$C$36)</f>
        <v>-29443.333333333336</v>
      </c>
      <c r="H51" s="6">
        <f>((I11*1/3)+(H11*2/3))*(1+$C$36)</f>
        <v>-29443.333333333336</v>
      </c>
      <c r="I51" s="6">
        <f>((J11*1/3)+(I11*2/3))*(1+$C$36)</f>
        <v>-26216.666666666668</v>
      </c>
      <c r="J51" s="6">
        <f>((K11*1/3)+(J11*2/3))*(1+$C$36)</f>
        <v>-23796.666666666664</v>
      </c>
      <c r="K51" s="6">
        <f>((L11*1/3)+(K11*2/3))*(1+$C$36)</f>
        <v>-23796.666666666668</v>
      </c>
      <c r="L51" s="6">
        <f>((M11*1/3)+(L11*2/3))*(1+$C$36)</f>
        <v>-18553.333333333332</v>
      </c>
      <c r="M51" s="6">
        <f>((N11*1/3)+(M11*2/3))*(1+$C$36)</f>
        <v>-16133.333333333332</v>
      </c>
      <c r="N51" s="6">
        <f>((O11*1/3)+(N11*2/3))*(1+$C$36)</f>
        <v>-19763.333333333332</v>
      </c>
      <c r="O51" s="27"/>
      <c r="P51" s="9"/>
    </row>
    <row r="52" spans="2:16" ht="12.75" x14ac:dyDescent="0.2">
      <c r="B52" s="22" t="s">
        <v>20</v>
      </c>
      <c r="C52" s="23">
        <f t="shared" ref="C52:N52" si="13">SUM(C50:C51)</f>
        <v>-100833.33333333334</v>
      </c>
      <c r="D52" s="23">
        <f t="shared" si="13"/>
        <v>-93573.333333333343</v>
      </c>
      <c r="E52" s="23">
        <f t="shared" si="13"/>
        <v>-94380</v>
      </c>
      <c r="F52" s="23">
        <f t="shared" si="13"/>
        <v>-94985</v>
      </c>
      <c r="G52" s="23">
        <f t="shared" si="13"/>
        <v>-91153.333333333343</v>
      </c>
      <c r="H52" s="23">
        <f t="shared" si="13"/>
        <v>-98816.666666666657</v>
      </c>
      <c r="I52" s="23">
        <f t="shared" si="13"/>
        <v>-96396.666666666672</v>
      </c>
      <c r="J52" s="23">
        <f t="shared" si="13"/>
        <v>-92766.666666666657</v>
      </c>
      <c r="K52" s="23">
        <f t="shared" si="13"/>
        <v>-75826.666666666672</v>
      </c>
      <c r="L52" s="23">
        <f t="shared" si="13"/>
        <v>-63726.666666666657</v>
      </c>
      <c r="M52" s="23">
        <f t="shared" si="13"/>
        <v>-65340</v>
      </c>
      <c r="N52" s="23">
        <f t="shared" si="13"/>
        <v>-66953.333333333328</v>
      </c>
      <c r="P52" s="9"/>
    </row>
    <row r="53" spans="2:16" ht="12.75" x14ac:dyDescent="0.2">
      <c r="B53" s="5" t="s">
        <v>21</v>
      </c>
      <c r="C53" s="6"/>
      <c r="D53" s="6"/>
      <c r="E53" s="6"/>
      <c r="F53" s="6"/>
      <c r="G53" s="6"/>
      <c r="H53" s="6">
        <f>($R$13/2)*(1+$C$36-$C$40)</f>
        <v>-110160</v>
      </c>
      <c r="I53" s="6"/>
      <c r="J53" s="6"/>
      <c r="K53" s="6"/>
      <c r="L53" s="6"/>
      <c r="M53" s="6"/>
      <c r="N53" s="6">
        <f>($R$13/2)*(1+$C$36-$C$40)</f>
        <v>-110160</v>
      </c>
      <c r="P53" s="9"/>
    </row>
    <row r="54" spans="2:16" ht="12.75" x14ac:dyDescent="0.2">
      <c r="B54" s="5" t="s">
        <v>22</v>
      </c>
      <c r="C54" s="6">
        <f>D14*(1+$C$36-$C$40)</f>
        <v>-4080</v>
      </c>
      <c r="D54" s="6">
        <f>E14*(1+$C$36-$C$40)</f>
        <v>-16320</v>
      </c>
      <c r="E54" s="6">
        <f>F14*(1+$C$36-$C$40)</f>
        <v>-4080</v>
      </c>
      <c r="F54" s="6">
        <f>G14*(1+$C$36-$C$40)</f>
        <v>-4080</v>
      </c>
      <c r="G54" s="6">
        <f>H14*(1+$C$36-$C$40)</f>
        <v>-6120</v>
      </c>
      <c r="H54" s="6">
        <f>I14*(1+$C$36-$C$40)</f>
        <v>-4080</v>
      </c>
      <c r="I54" s="6">
        <f>J14*(1+$C$36-$C$40)</f>
        <v>-4080</v>
      </c>
      <c r="J54" s="6">
        <f>K14*(1+$C$36-$C$40)</f>
        <v>-6120</v>
      </c>
      <c r="K54" s="6">
        <f>L14*(1+$C$36-$C$40)</f>
        <v>-4080</v>
      </c>
      <c r="L54" s="6">
        <f>M14*(1+$C$36-$C$40)</f>
        <v>-4080</v>
      </c>
      <c r="M54" s="6">
        <f>N14*(1+$C$36-$C$40)</f>
        <v>-6120</v>
      </c>
      <c r="N54" s="6">
        <f>O14*(1+$C$36-$C$40)</f>
        <v>-4080</v>
      </c>
      <c r="P54" s="9"/>
    </row>
    <row r="55" spans="2:16" ht="12.75" x14ac:dyDescent="0.2">
      <c r="B55" s="5" t="s">
        <v>23</v>
      </c>
      <c r="C55" s="6">
        <f>D15*(1+$C$36)</f>
        <v>-13854.5</v>
      </c>
      <c r="D55" s="6">
        <f>E15*(1+$C$36)</f>
        <v>-15246</v>
      </c>
      <c r="E55" s="6">
        <f>F15*(1+$C$36)</f>
        <v>-15609</v>
      </c>
      <c r="F55" s="6">
        <f>G15*(1+$C$36)</f>
        <v>-18876</v>
      </c>
      <c r="G55" s="6">
        <f>H15*(1+$C$36)</f>
        <v>-18089.5</v>
      </c>
      <c r="H55" s="6">
        <f>I15*(1+$C$36)</f>
        <v>-18936.5</v>
      </c>
      <c r="I55" s="6">
        <f>J15*(1+$C$36)</f>
        <v>-14278</v>
      </c>
      <c r="J55" s="6">
        <f>K15*(1+$C$36)</f>
        <v>-19662.5</v>
      </c>
      <c r="K55" s="6">
        <f>L15*(1+$C$36)</f>
        <v>-16093</v>
      </c>
      <c r="L55" s="6">
        <f>M15*(1+$C$36)</f>
        <v>-21719.5</v>
      </c>
      <c r="M55" s="6">
        <f>N15*(1+$C$36)</f>
        <v>-16032.5</v>
      </c>
      <c r="N55" s="6">
        <f>O15*(1+$C$36)</f>
        <v>-19178.5</v>
      </c>
      <c r="P55" s="9"/>
    </row>
    <row r="56" spans="2:16" ht="12.75" x14ac:dyDescent="0.2">
      <c r="B56" s="5" t="s">
        <v>24</v>
      </c>
      <c r="C56" s="6"/>
      <c r="D56" s="6">
        <f>R16</f>
        <v>-45000</v>
      </c>
      <c r="E56" s="6"/>
      <c r="F56" s="6"/>
      <c r="G56" s="6"/>
      <c r="H56" s="6"/>
      <c r="I56" s="6"/>
      <c r="J56" s="6"/>
      <c r="K56" s="6"/>
      <c r="L56" s="6"/>
      <c r="M56" s="6"/>
      <c r="N56" s="6"/>
      <c r="P56" s="9"/>
    </row>
    <row r="57" spans="2:16" ht="12.75" x14ac:dyDescent="0.2">
      <c r="B57" s="5" t="s">
        <v>25</v>
      </c>
      <c r="C57" s="6">
        <f>D17*(1+$C$36)</f>
        <v>-9075</v>
      </c>
      <c r="D57" s="6">
        <f>E17*(1+$C$36)</f>
        <v>-3025</v>
      </c>
      <c r="E57" s="6">
        <f>F17*(1+$C$36)</f>
        <v>-3025</v>
      </c>
      <c r="F57" s="6">
        <f>G17*(1+$C$36)</f>
        <v>-3025</v>
      </c>
      <c r="G57" s="6">
        <f>H17*(1+$C$36)</f>
        <v>-3025</v>
      </c>
      <c r="H57" s="6">
        <f>I17*(1+$C$36)</f>
        <v>-3025</v>
      </c>
      <c r="I57" s="6">
        <f>J17*(1+$C$36)</f>
        <v>-3025</v>
      </c>
      <c r="J57" s="6">
        <f>K17*(1+$C$36)</f>
        <v>-3025</v>
      </c>
      <c r="K57" s="6">
        <f>L17*(1+$C$36)</f>
        <v>-3025</v>
      </c>
      <c r="L57" s="6">
        <f>M17*(1+$C$36)</f>
        <v>-3025</v>
      </c>
      <c r="M57" s="6">
        <f>N17*(1+$C$36)</f>
        <v>-3025</v>
      </c>
      <c r="N57" s="6">
        <f>O17*(1+$C$36)</f>
        <v>-3025</v>
      </c>
      <c r="P57" s="9"/>
    </row>
    <row r="58" spans="2:16" ht="12.75" x14ac:dyDescent="0.2">
      <c r="B58" s="5" t="s">
        <v>26</v>
      </c>
      <c r="C58" s="6">
        <f>E18*(1+$C$36)</f>
        <v>-5445</v>
      </c>
      <c r="D58" s="6">
        <f>F18*(1+$C$36)</f>
        <v>-5445</v>
      </c>
      <c r="E58" s="6">
        <f>G18*(1+$C$36)</f>
        <v>-5445</v>
      </c>
      <c r="F58" s="6">
        <f>H18*(1+$C$36)</f>
        <v>-5445</v>
      </c>
      <c r="G58" s="6">
        <f>I18*(1+$C$36)</f>
        <v>-5445</v>
      </c>
      <c r="H58" s="6">
        <f>J18*(1+$C$36)</f>
        <v>-5445</v>
      </c>
      <c r="I58" s="6">
        <f>K18*(1+$C$36)</f>
        <v>-5445</v>
      </c>
      <c r="J58" s="6">
        <f>L18*(1+$C$36)</f>
        <v>-5445</v>
      </c>
      <c r="K58" s="6">
        <f>M18*(1+$C$36)</f>
        <v>-5445</v>
      </c>
      <c r="L58" s="6">
        <f>N18*(1+$C$36)</f>
        <v>-5445</v>
      </c>
      <c r="M58" s="6">
        <f>O18*(1+$C$36)</f>
        <v>-5445</v>
      </c>
      <c r="N58" s="6">
        <f>P18*(1+$C$36)</f>
        <v>-5445</v>
      </c>
      <c r="P58" s="9"/>
    </row>
    <row r="59" spans="2:16" ht="12.75" x14ac:dyDescent="0.2">
      <c r="B59" s="22" t="s">
        <v>27</v>
      </c>
      <c r="C59" s="23">
        <f t="shared" ref="C59:N59" si="14">SUM(C53:C58)</f>
        <v>-32454.5</v>
      </c>
      <c r="D59" s="23">
        <f t="shared" si="14"/>
        <v>-85036</v>
      </c>
      <c r="E59" s="23">
        <f t="shared" si="14"/>
        <v>-28159</v>
      </c>
      <c r="F59" s="23">
        <f t="shared" si="14"/>
        <v>-31426</v>
      </c>
      <c r="G59" s="23">
        <f t="shared" si="14"/>
        <v>-32679.5</v>
      </c>
      <c r="H59" s="23">
        <f t="shared" si="14"/>
        <v>-141646.5</v>
      </c>
      <c r="I59" s="23">
        <f t="shared" si="14"/>
        <v>-26828</v>
      </c>
      <c r="J59" s="23">
        <f t="shared" si="14"/>
        <v>-34252.5</v>
      </c>
      <c r="K59" s="23">
        <f t="shared" si="14"/>
        <v>-28643</v>
      </c>
      <c r="L59" s="23">
        <f t="shared" si="14"/>
        <v>-34269.5</v>
      </c>
      <c r="M59" s="23">
        <f t="shared" si="14"/>
        <v>-30622.5</v>
      </c>
      <c r="N59" s="23">
        <f t="shared" si="14"/>
        <v>-141888.5</v>
      </c>
      <c r="P59" s="9"/>
    </row>
    <row r="60" spans="2:16" ht="12.75" x14ac:dyDescent="0.2">
      <c r="B60" s="5" t="s">
        <v>28</v>
      </c>
      <c r="C60" s="6"/>
      <c r="D60" s="6"/>
      <c r="E60" s="6"/>
      <c r="F60" s="6">
        <f>-45000</f>
        <v>-45000</v>
      </c>
      <c r="G60" s="6"/>
      <c r="H60" s="6"/>
      <c r="I60" s="6">
        <f>R20-(F60+L60+N60)</f>
        <v>-20673</v>
      </c>
      <c r="J60" s="6"/>
      <c r="K60" s="6"/>
      <c r="L60" s="6">
        <f>-45000</f>
        <v>-45000</v>
      </c>
      <c r="M60" s="6"/>
      <c r="N60" s="6">
        <f>-45000</f>
        <v>-45000</v>
      </c>
      <c r="P60" s="9"/>
    </row>
    <row r="61" spans="2:16" ht="12.75" x14ac:dyDescent="0.2">
      <c r="B61" s="5" t="s">
        <v>29</v>
      </c>
      <c r="C61" s="6">
        <f>R21*80%</f>
        <v>-28800</v>
      </c>
      <c r="D61" s="6">
        <f>($R$21*20%)/11</f>
        <v>-654.5454545454545</v>
      </c>
      <c r="E61" s="6">
        <f>($R$21*20%)/11</f>
        <v>-654.5454545454545</v>
      </c>
      <c r="F61" s="6">
        <f t="shared" ref="F61:N61" si="15">($R$21*20%)/11</f>
        <v>-654.5454545454545</v>
      </c>
      <c r="G61" s="6">
        <f t="shared" si="15"/>
        <v>-654.5454545454545</v>
      </c>
      <c r="H61" s="6">
        <f t="shared" si="15"/>
        <v>-654.5454545454545</v>
      </c>
      <c r="I61" s="6">
        <f t="shared" si="15"/>
        <v>-654.5454545454545</v>
      </c>
      <c r="J61" s="6">
        <f t="shared" si="15"/>
        <v>-654.5454545454545</v>
      </c>
      <c r="K61" s="6">
        <f t="shared" si="15"/>
        <v>-654.5454545454545</v>
      </c>
      <c r="L61" s="6">
        <f t="shared" si="15"/>
        <v>-654.5454545454545</v>
      </c>
      <c r="M61" s="6">
        <f t="shared" si="15"/>
        <v>-654.5454545454545</v>
      </c>
      <c r="N61" s="6">
        <f t="shared" si="15"/>
        <v>-654.5454545454545</v>
      </c>
      <c r="P61" s="9"/>
    </row>
    <row r="62" spans="2:16" ht="12.75" x14ac:dyDescent="0.2">
      <c r="B62" s="22" t="s">
        <v>30</v>
      </c>
      <c r="C62" s="23">
        <f t="shared" ref="C62:N62" si="16">SUM(C60:C61)</f>
        <v>-28800</v>
      </c>
      <c r="D62" s="23">
        <f t="shared" si="16"/>
        <v>-654.5454545454545</v>
      </c>
      <c r="E62" s="23">
        <f t="shared" si="16"/>
        <v>-654.5454545454545</v>
      </c>
      <c r="F62" s="23">
        <f t="shared" si="16"/>
        <v>-45654.545454545456</v>
      </c>
      <c r="G62" s="23">
        <f t="shared" si="16"/>
        <v>-654.5454545454545</v>
      </c>
      <c r="H62" s="23">
        <f t="shared" si="16"/>
        <v>-654.5454545454545</v>
      </c>
      <c r="I62" s="23">
        <f t="shared" si="16"/>
        <v>-21327.545454545456</v>
      </c>
      <c r="J62" s="23">
        <f t="shared" si="16"/>
        <v>-654.5454545454545</v>
      </c>
      <c r="K62" s="23">
        <f t="shared" si="16"/>
        <v>-654.5454545454545</v>
      </c>
      <c r="L62" s="23">
        <f t="shared" si="16"/>
        <v>-45654.545454545456</v>
      </c>
      <c r="M62" s="23">
        <f t="shared" si="16"/>
        <v>-654.5454545454545</v>
      </c>
      <c r="N62" s="23">
        <f t="shared" si="16"/>
        <v>-45654.545454545456</v>
      </c>
      <c r="P62" s="9"/>
    </row>
    <row r="63" spans="2:16" ht="12.75" x14ac:dyDescent="0.2">
      <c r="B63" s="5" t="s">
        <v>31</v>
      </c>
      <c r="C63" s="6">
        <f>E23</f>
        <v>-1000</v>
      </c>
      <c r="D63" s="6">
        <f t="shared" ref="D63:N64" si="17">F23</f>
        <v>-1000</v>
      </c>
      <c r="E63" s="6">
        <f t="shared" si="17"/>
        <v>-1000</v>
      </c>
      <c r="F63" s="6">
        <f t="shared" si="17"/>
        <v>-1000</v>
      </c>
      <c r="G63" s="6">
        <f t="shared" si="17"/>
        <v>-1000</v>
      </c>
      <c r="H63" s="6">
        <f t="shared" si="17"/>
        <v>-1000</v>
      </c>
      <c r="I63" s="6">
        <f t="shared" si="17"/>
        <v>-1000</v>
      </c>
      <c r="J63" s="6">
        <f t="shared" si="17"/>
        <v>-1000</v>
      </c>
      <c r="K63" s="6">
        <f t="shared" si="17"/>
        <v>-1000</v>
      </c>
      <c r="L63" s="6">
        <f t="shared" si="17"/>
        <v>-1000</v>
      </c>
      <c r="M63" s="6">
        <f t="shared" si="17"/>
        <v>-1000</v>
      </c>
      <c r="N63" s="6">
        <f t="shared" si="17"/>
        <v>-1000</v>
      </c>
      <c r="P63" s="9"/>
    </row>
    <row r="64" spans="2:16" ht="12.75" x14ac:dyDescent="0.2">
      <c r="B64" s="5" t="s">
        <v>32</v>
      </c>
      <c r="C64" s="6">
        <f>E24</f>
        <v>-2500</v>
      </c>
      <c r="D64" s="6">
        <f t="shared" si="17"/>
        <v>-2500</v>
      </c>
      <c r="E64" s="6">
        <f t="shared" si="17"/>
        <v>-2500</v>
      </c>
      <c r="F64" s="6">
        <f t="shared" si="17"/>
        <v>-2500</v>
      </c>
      <c r="G64" s="6">
        <f t="shared" si="17"/>
        <v>-2500</v>
      </c>
      <c r="H64" s="6">
        <f t="shared" si="17"/>
        <v>-2500</v>
      </c>
      <c r="I64" s="6">
        <f t="shared" si="17"/>
        <v>-2500</v>
      </c>
      <c r="J64" s="6">
        <f t="shared" si="17"/>
        <v>-2500</v>
      </c>
      <c r="K64" s="6">
        <f t="shared" si="17"/>
        <v>-2500</v>
      </c>
      <c r="L64" s="6">
        <f t="shared" si="17"/>
        <v>-2500</v>
      </c>
      <c r="M64" s="6">
        <f t="shared" si="17"/>
        <v>-2500</v>
      </c>
      <c r="N64" s="6">
        <f t="shared" si="17"/>
        <v>-2500</v>
      </c>
      <c r="P64" s="9"/>
    </row>
    <row r="65" spans="2:16" ht="12.75" x14ac:dyDescent="0.2">
      <c r="B65" s="24" t="s">
        <v>60</v>
      </c>
      <c r="C65" s="25">
        <f t="shared" ref="C65:N65" si="18">+C49+C52+C59+C62+C63+C64</f>
        <v>-267816.40476190473</v>
      </c>
      <c r="D65" s="25">
        <f t="shared" si="18"/>
        <v>-264249.5930735931</v>
      </c>
      <c r="E65" s="25">
        <f t="shared" si="18"/>
        <v>-203179.25974025973</v>
      </c>
      <c r="F65" s="25">
        <f t="shared" si="18"/>
        <v>-275779.83116883115</v>
      </c>
      <c r="G65" s="25">
        <f t="shared" si="18"/>
        <v>-209473.09307359307</v>
      </c>
      <c r="H65" s="25">
        <f t="shared" si="18"/>
        <v>-326103.42640692642</v>
      </c>
      <c r="I65" s="25">
        <f t="shared" si="18"/>
        <v>-310366.49783549784</v>
      </c>
      <c r="J65" s="25">
        <f t="shared" si="18"/>
        <v>-212659.42640692639</v>
      </c>
      <c r="K65" s="25">
        <f t="shared" si="18"/>
        <v>-190109.92640692639</v>
      </c>
      <c r="L65" s="25">
        <f t="shared" si="18"/>
        <v>-252293.56926406926</v>
      </c>
      <c r="M65" s="25">
        <f t="shared" si="18"/>
        <v>-181602.75974025973</v>
      </c>
      <c r="N65" s="25">
        <f t="shared" si="18"/>
        <v>-496407.80735930736</v>
      </c>
      <c r="P65" s="9"/>
    </row>
    <row r="66" spans="2:16" ht="12.75" x14ac:dyDescent="0.2">
      <c r="P66" s="9"/>
    </row>
    <row r="67" spans="2:16" ht="12.75" x14ac:dyDescent="0.2">
      <c r="P67" s="9"/>
    </row>
    <row r="68" spans="2:16" ht="12.75" x14ac:dyDescent="0.2">
      <c r="P68" s="9"/>
    </row>
    <row r="69" spans="2:16" ht="12.75" x14ac:dyDescent="0.2">
      <c r="P69" s="9"/>
    </row>
    <row r="70" spans="2:16" ht="12.75" x14ac:dyDescent="0.2">
      <c r="P70" s="9"/>
    </row>
    <row r="71" spans="2:16" ht="12.75" x14ac:dyDescent="0.2">
      <c r="P71" s="9"/>
    </row>
    <row r="72" spans="2:16" ht="12.75" x14ac:dyDescent="0.2">
      <c r="P72" s="33"/>
    </row>
    <row r="73" spans="2:16" ht="12.75" x14ac:dyDescent="0.2">
      <c r="P73" s="33"/>
    </row>
    <row r="74" spans="2:16" ht="12.75" x14ac:dyDescent="0.2">
      <c r="P74" s="9"/>
    </row>
    <row r="75" spans="2:16" ht="12.75" x14ac:dyDescent="0.2">
      <c r="P75" s="9"/>
    </row>
    <row r="76" spans="2:16" ht="12.75" x14ac:dyDescent="0.2">
      <c r="P76" s="33"/>
    </row>
    <row r="77" spans="2:16" ht="12.75" x14ac:dyDescent="0.2">
      <c r="P77" s="9"/>
    </row>
    <row r="78" spans="2:16" ht="12.75" x14ac:dyDescent="0.2">
      <c r="P78" s="9"/>
    </row>
    <row r="79" spans="2:16" ht="12.75" x14ac:dyDescent="0.2">
      <c r="P79" s="9"/>
    </row>
    <row r="80" spans="2:16" ht="12.75" x14ac:dyDescent="0.2">
      <c r="P80" s="9"/>
    </row>
    <row r="81" spans="16:16" ht="12.75" x14ac:dyDescent="0.2">
      <c r="P81" s="9"/>
    </row>
    <row r="82" spans="16:16" ht="12.75" x14ac:dyDescent="0.2">
      <c r="P82" s="9"/>
    </row>
    <row r="83" spans="16:16" ht="12.75" x14ac:dyDescent="0.2">
      <c r="P83" s="33"/>
    </row>
    <row r="84" spans="16:16" ht="12.75" x14ac:dyDescent="0.2">
      <c r="P84" s="9"/>
    </row>
    <row r="85" spans="16:16" ht="12.75" x14ac:dyDescent="0.2">
      <c r="P85" s="9"/>
    </row>
    <row r="86" spans="16:16" ht="12.75" x14ac:dyDescent="0.2">
      <c r="P86" s="9"/>
    </row>
    <row r="87" spans="16:16" ht="12.75" x14ac:dyDescent="0.2">
      <c r="P87" s="9"/>
    </row>
    <row r="88" spans="16:16" ht="12.75" x14ac:dyDescent="0.2">
      <c r="P88" s="9"/>
    </row>
    <row r="89" spans="16:16" ht="12.75" x14ac:dyDescent="0.2">
      <c r="P89" s="33"/>
    </row>
    <row r="90" spans="16:16" ht="12.75" x14ac:dyDescent="0.2">
      <c r="P90" s="9"/>
    </row>
    <row r="91" spans="16:16" ht="12.75" x14ac:dyDescent="0.2">
      <c r="P91" s="9"/>
    </row>
    <row r="92" spans="16:16" ht="12.75" x14ac:dyDescent="0.2">
      <c r="P92" s="33"/>
    </row>
    <row r="93" spans="16:16" ht="12.75" x14ac:dyDescent="0.2">
      <c r="P93" s="33"/>
    </row>
    <row r="94" spans="16:16" ht="12.75" x14ac:dyDescent="0.2">
      <c r="P94" s="33"/>
    </row>
  </sheetData>
  <mergeCells count="1">
    <mergeCell ref="T10:T12"/>
  </mergeCells>
  <conditionalFormatting sqref="P94">
    <cfRule type="cellIs" dxfId="1" priority="1" stopIfTrue="1" operator="lessThan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C342E-96BC-4BB7-93BE-5CED78182309}">
  <dimension ref="A1:Q47"/>
  <sheetViews>
    <sheetView workbookViewId="0">
      <selection activeCell="U23" sqref="U23"/>
    </sheetView>
  </sheetViews>
  <sheetFormatPr defaultRowHeight="15" x14ac:dyDescent="0.25"/>
  <cols>
    <col min="3" max="3" width="22.7109375" customWidth="1"/>
    <col min="5" max="5" width="9.42578125" customWidth="1"/>
  </cols>
  <sheetData>
    <row r="1" spans="1:17" x14ac:dyDescent="0.25">
      <c r="A1" s="1" t="s">
        <v>89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x14ac:dyDescent="0.25">
      <c r="A3" s="2"/>
      <c r="B3" s="21" t="s">
        <v>55</v>
      </c>
      <c r="C3" s="21"/>
      <c r="D3" s="19" t="s">
        <v>3</v>
      </c>
      <c r="E3" s="19" t="s">
        <v>4</v>
      </c>
      <c r="F3" s="19" t="s">
        <v>5</v>
      </c>
      <c r="G3" s="19" t="s">
        <v>6</v>
      </c>
      <c r="H3" s="19" t="s">
        <v>7</v>
      </c>
      <c r="I3" s="19" t="s">
        <v>8</v>
      </c>
      <c r="J3" s="19" t="s">
        <v>9</v>
      </c>
      <c r="K3" s="19" t="s">
        <v>10</v>
      </c>
      <c r="L3" s="19" t="s">
        <v>11</v>
      </c>
      <c r="M3" s="19" t="s">
        <v>12</v>
      </c>
      <c r="N3" s="19" t="s">
        <v>13</v>
      </c>
      <c r="O3" s="19" t="s">
        <v>14</v>
      </c>
      <c r="P3" s="2"/>
      <c r="Q3" s="19" t="s">
        <v>66</v>
      </c>
    </row>
    <row r="4" spans="1:17" x14ac:dyDescent="0.25">
      <c r="A4" s="8"/>
      <c r="B4" s="48" t="s">
        <v>53</v>
      </c>
      <c r="C4" s="49"/>
      <c r="D4" s="28">
        <v>45000</v>
      </c>
      <c r="E4" s="28">
        <f t="shared" ref="E4:O4" si="0">+D47</f>
        <v>10138.595238095266</v>
      </c>
      <c r="F4" s="28">
        <f t="shared" si="0"/>
        <v>9630.0021645021625</v>
      </c>
      <c r="G4" s="28">
        <f t="shared" si="0"/>
        <v>28858.742424242431</v>
      </c>
      <c r="H4" s="28">
        <f t="shared" si="0"/>
        <v>10992.91125541128</v>
      </c>
      <c r="I4" s="28">
        <f t="shared" si="0"/>
        <v>210818.81818181821</v>
      </c>
      <c r="J4" s="28">
        <f t="shared" si="0"/>
        <v>294146.39177489176</v>
      </c>
      <c r="K4" s="28">
        <f t="shared" si="0"/>
        <v>289119.89393939392</v>
      </c>
      <c r="L4" s="28">
        <f t="shared" si="0"/>
        <v>358514.46753246756</v>
      </c>
      <c r="M4" s="28">
        <f t="shared" si="0"/>
        <v>531503.5411255412</v>
      </c>
      <c r="N4" s="28">
        <f t="shared" si="0"/>
        <v>708130.97186147189</v>
      </c>
      <c r="O4" s="28">
        <f t="shared" si="0"/>
        <v>884716.21212121216</v>
      </c>
      <c r="P4" s="8"/>
      <c r="Q4" s="28">
        <f>+D4</f>
        <v>45000</v>
      </c>
    </row>
    <row r="5" spans="1:17" x14ac:dyDescent="0.25">
      <c r="A5" s="2"/>
      <c r="B5" s="2"/>
      <c r="C5" s="39" t="s">
        <v>70</v>
      </c>
      <c r="D5" s="6">
        <f>Traslación_Cobros!E21</f>
        <v>25410</v>
      </c>
      <c r="E5" s="6">
        <f>Traslación_Cobros!F21</f>
        <v>38720</v>
      </c>
      <c r="F5" s="6">
        <f>Traslación_Cobros!G21</f>
        <v>41140</v>
      </c>
      <c r="G5" s="6">
        <f>Traslación_Cobros!H21</f>
        <v>25410</v>
      </c>
      <c r="H5" s="6">
        <f>Traslación_Cobros!I21</f>
        <v>30250</v>
      </c>
      <c r="I5" s="6">
        <f>Traslación_Cobros!J21</f>
        <v>54450</v>
      </c>
      <c r="J5" s="6">
        <f>Traslación_Cobros!K21</f>
        <v>12100</v>
      </c>
      <c r="K5" s="6">
        <f>Traslación_Cobros!L21</f>
        <v>54450</v>
      </c>
      <c r="L5" s="6">
        <f>Traslación_Cobros!M21</f>
        <v>33880</v>
      </c>
      <c r="M5" s="6">
        <f>Traslación_Cobros!N21</f>
        <v>38720</v>
      </c>
      <c r="N5" s="6">
        <f>Traslación_Cobros!O21</f>
        <v>45980</v>
      </c>
      <c r="O5" s="6">
        <f>Traslación_Cobros!P21</f>
        <v>20570</v>
      </c>
      <c r="P5" s="2"/>
      <c r="Q5" s="6">
        <f>SUM(D5:O5)</f>
        <v>421080</v>
      </c>
    </row>
    <row r="6" spans="1:17" x14ac:dyDescent="0.25">
      <c r="A6" s="2"/>
      <c r="B6" s="2"/>
      <c r="C6" s="39" t="s">
        <v>72</v>
      </c>
      <c r="D6" s="6">
        <f>Traslación_Cobros!E22</f>
        <v>31460</v>
      </c>
      <c r="E6" s="6">
        <f>Traslación_Cobros!F22</f>
        <v>7260</v>
      </c>
      <c r="F6" s="6">
        <f>Traslación_Cobros!G22</f>
        <v>4840</v>
      </c>
      <c r="G6" s="6">
        <f>Traslación_Cobros!H22</f>
        <v>60500</v>
      </c>
      <c r="H6" s="6">
        <f>Traslación_Cobros!I22</f>
        <v>71390</v>
      </c>
      <c r="I6" s="6">
        <f>Traslación_Cobros!J22</f>
        <v>12100</v>
      </c>
      <c r="J6" s="6">
        <f>Traslación_Cobros!K22</f>
        <v>44770</v>
      </c>
      <c r="K6" s="6">
        <f>Traslación_Cobros!L22</f>
        <v>14520</v>
      </c>
      <c r="L6" s="6">
        <f>Traslación_Cobros!M22</f>
        <v>65340</v>
      </c>
      <c r="M6" s="6">
        <f>Traslación_Cobros!N22</f>
        <v>42350</v>
      </c>
      <c r="N6" s="6">
        <f>Traslación_Cobros!O22</f>
        <v>52030</v>
      </c>
      <c r="O6" s="6">
        <f>Traslación_Cobros!P22</f>
        <v>36300</v>
      </c>
      <c r="P6" s="2"/>
      <c r="Q6" s="6">
        <f t="shared" ref="Q6:Q15" si="1">SUM(D6:O6)</f>
        <v>442860</v>
      </c>
    </row>
    <row r="7" spans="1:17" x14ac:dyDescent="0.25">
      <c r="A7" s="2"/>
      <c r="B7" s="2"/>
      <c r="C7" s="39" t="s">
        <v>74</v>
      </c>
      <c r="D7" s="6">
        <f>Traslación_Cobros!E23</f>
        <v>38720</v>
      </c>
      <c r="E7" s="6">
        <f>Traslación_Cobros!F23</f>
        <v>24926</v>
      </c>
      <c r="F7" s="6">
        <f>Traslación_Cobros!G23</f>
        <v>44528</v>
      </c>
      <c r="G7" s="6">
        <f>Traslación_Cobros!H23</f>
        <v>47674</v>
      </c>
      <c r="H7" s="6">
        <f>Traslación_Cobros!I23</f>
        <v>53724</v>
      </c>
      <c r="I7" s="6">
        <f>Traslación_Cobros!J23</f>
        <v>37026</v>
      </c>
      <c r="J7" s="6">
        <f>Traslación_Cobros!K23</f>
        <v>59290</v>
      </c>
      <c r="K7" s="6">
        <f>Traslación_Cobros!L23</f>
        <v>18634</v>
      </c>
      <c r="L7" s="6">
        <f>Traslación_Cobros!M23</f>
        <v>45254</v>
      </c>
      <c r="M7" s="6">
        <f>Traslación_Cobros!N23</f>
        <v>27346</v>
      </c>
      <c r="N7" s="6">
        <f>Traslación_Cobros!O23</f>
        <v>23958</v>
      </c>
      <c r="O7" s="6">
        <f>Traslación_Cobros!P23</f>
        <v>48400</v>
      </c>
      <c r="P7" s="2"/>
      <c r="Q7" s="6">
        <f t="shared" si="1"/>
        <v>469480</v>
      </c>
    </row>
    <row r="8" spans="1:17" x14ac:dyDescent="0.25">
      <c r="A8" s="2"/>
      <c r="B8" s="2"/>
      <c r="C8" s="39" t="s">
        <v>76</v>
      </c>
      <c r="D8" s="6">
        <f>Traslación_Cobros!E24</f>
        <v>42350</v>
      </c>
      <c r="E8" s="6">
        <f>Traslación_Cobros!F24</f>
        <v>31460</v>
      </c>
      <c r="F8" s="6">
        <f>Traslación_Cobros!G24</f>
        <v>31460</v>
      </c>
      <c r="G8" s="6">
        <f>Traslación_Cobros!H24</f>
        <v>29040</v>
      </c>
      <c r="H8" s="6">
        <f>Traslación_Cobros!I24</f>
        <v>45375</v>
      </c>
      <c r="I8" s="6">
        <f>Traslación_Cobros!J24</f>
        <v>44165</v>
      </c>
      <c r="J8" s="6">
        <f>Traslación_Cobros!K24</f>
        <v>19965</v>
      </c>
      <c r="K8" s="6">
        <f>Traslación_Cobros!L24</f>
        <v>16335</v>
      </c>
      <c r="L8" s="6">
        <f>Traslación_Cobros!M24</f>
        <v>33275</v>
      </c>
      <c r="M8" s="6">
        <f>Traslación_Cobros!N24</f>
        <v>58080</v>
      </c>
      <c r="N8" s="6">
        <f>Traslación_Cobros!O24</f>
        <v>35090</v>
      </c>
      <c r="O8" s="6">
        <f>Traslación_Cobros!P24</f>
        <v>33275</v>
      </c>
      <c r="P8" s="2"/>
      <c r="Q8" s="6">
        <f t="shared" si="1"/>
        <v>419870</v>
      </c>
    </row>
    <row r="9" spans="1:17" x14ac:dyDescent="0.25">
      <c r="A9" s="2"/>
      <c r="B9" s="2"/>
      <c r="C9" s="39" t="s">
        <v>78</v>
      </c>
      <c r="D9" s="6">
        <f>Traslación_Cobros!E25</f>
        <v>18000</v>
      </c>
      <c r="E9" s="6">
        <f>Traslación_Cobros!F25</f>
        <v>45000</v>
      </c>
      <c r="F9" s="6">
        <f>Traslación_Cobros!G25</f>
        <v>41000</v>
      </c>
      <c r="G9" s="6">
        <f>Traslación_Cobros!H25</f>
        <v>5000</v>
      </c>
      <c r="H9" s="6">
        <f>Traslación_Cobros!I25</f>
        <v>46000</v>
      </c>
      <c r="I9" s="6">
        <f>Traslación_Cobros!J25</f>
        <v>45000</v>
      </c>
      <c r="J9" s="6">
        <f>Traslación_Cobros!K25</f>
        <v>0</v>
      </c>
      <c r="K9" s="6">
        <f>Traslación_Cobros!L25</f>
        <v>21000</v>
      </c>
      <c r="L9" s="6">
        <f>Traslación_Cobros!M25</f>
        <v>31000</v>
      </c>
      <c r="M9" s="6">
        <f>Traslación_Cobros!N25</f>
        <v>38000</v>
      </c>
      <c r="N9" s="6">
        <f>Traslación_Cobros!O25</f>
        <v>18000</v>
      </c>
      <c r="O9" s="6">
        <f>Traslación_Cobros!P25</f>
        <v>19000</v>
      </c>
      <c r="P9" s="2"/>
      <c r="Q9" s="6">
        <f t="shared" si="1"/>
        <v>327000</v>
      </c>
    </row>
    <row r="10" spans="1:17" x14ac:dyDescent="0.25">
      <c r="A10" s="2"/>
      <c r="B10" s="2"/>
      <c r="C10" s="39" t="s">
        <v>80</v>
      </c>
      <c r="D10" s="6">
        <f>Traslación_Cobros!E26</f>
        <v>11495</v>
      </c>
      <c r="E10" s="6">
        <f>Traslación_Cobros!F26</f>
        <v>16335</v>
      </c>
      <c r="F10" s="6">
        <f>Traslación_Cobros!G26</f>
        <v>30250</v>
      </c>
      <c r="G10" s="6">
        <f>Traslación_Cobros!H26</f>
        <v>34485</v>
      </c>
      <c r="H10" s="6">
        <f>Traslación_Cobros!I26</f>
        <v>43560</v>
      </c>
      <c r="I10" s="6">
        <f>Traslación_Cobros!J26</f>
        <v>50820</v>
      </c>
      <c r="J10" s="6">
        <f>Traslación_Cobros!K26</f>
        <v>33880</v>
      </c>
      <c r="K10" s="6">
        <f>Traslación_Cobros!L26</f>
        <v>33275</v>
      </c>
      <c r="L10" s="6">
        <f>Traslación_Cobros!M26</f>
        <v>59290</v>
      </c>
      <c r="M10" s="6">
        <f>Traslación_Cobros!N26</f>
        <v>51425</v>
      </c>
      <c r="N10" s="6">
        <f>Traslación_Cobros!O26</f>
        <v>36300</v>
      </c>
      <c r="O10" s="6">
        <f>Traslación_Cobros!P26</f>
        <v>29645</v>
      </c>
      <c r="P10" s="2"/>
      <c r="Q10" s="6">
        <f t="shared" si="1"/>
        <v>430760</v>
      </c>
    </row>
    <row r="11" spans="1:17" x14ac:dyDescent="0.25">
      <c r="A11" s="2"/>
      <c r="B11" s="2"/>
      <c r="C11" s="39" t="s">
        <v>82</v>
      </c>
      <c r="D11" s="6">
        <f>Traslación_Cobros!E27</f>
        <v>0</v>
      </c>
      <c r="E11" s="6">
        <f>Traslación_Cobros!F27</f>
        <v>6050</v>
      </c>
      <c r="F11" s="6">
        <f>Traslación_Cobros!G27</f>
        <v>37510</v>
      </c>
      <c r="G11" s="6">
        <f>Traslación_Cobros!H27</f>
        <v>27830</v>
      </c>
      <c r="H11" s="6">
        <f>Traslación_Cobros!I27</f>
        <v>31460</v>
      </c>
      <c r="I11" s="6">
        <f>Traslación_Cobros!J27</f>
        <v>49610</v>
      </c>
      <c r="J11" s="6">
        <f>Traslación_Cobros!K27</f>
        <v>37510</v>
      </c>
      <c r="K11" s="6">
        <f>Traslación_Cobros!L27</f>
        <v>18150</v>
      </c>
      <c r="L11" s="6">
        <f>Traslación_Cobros!M27</f>
        <v>31460</v>
      </c>
      <c r="M11" s="6">
        <f>Traslación_Cobros!N27</f>
        <v>39930</v>
      </c>
      <c r="N11" s="6">
        <f>Traslación_Cobros!O27</f>
        <v>42350</v>
      </c>
      <c r="O11" s="6">
        <f>Traslación_Cobros!P27</f>
        <v>0</v>
      </c>
      <c r="P11" s="2"/>
      <c r="Q11" s="6">
        <f t="shared" si="1"/>
        <v>321860</v>
      </c>
    </row>
    <row r="12" spans="1:17" x14ac:dyDescent="0.25">
      <c r="A12" s="2"/>
      <c r="B12" s="2"/>
      <c r="C12" s="39" t="s">
        <v>83</v>
      </c>
      <c r="D12" s="6">
        <f>Traslación_Cobros!E28</f>
        <v>53845</v>
      </c>
      <c r="E12" s="6">
        <f>Traslación_Cobros!F28</f>
        <v>38115</v>
      </c>
      <c r="F12" s="6">
        <f>Traslación_Cobros!G28</f>
        <v>7865</v>
      </c>
      <c r="G12" s="6">
        <f>Traslación_Cobros!H28</f>
        <v>2420</v>
      </c>
      <c r="H12" s="6">
        <f>Traslación_Cobros!I28</f>
        <v>11495</v>
      </c>
      <c r="I12" s="6">
        <f>Traslación_Cobros!J28</f>
        <v>26015</v>
      </c>
      <c r="J12" s="6">
        <f>Traslación_Cobros!K28</f>
        <v>40535</v>
      </c>
      <c r="K12" s="6">
        <f>Traslación_Cobros!L28</f>
        <v>23595</v>
      </c>
      <c r="L12" s="6">
        <f>Traslación_Cobros!M28</f>
        <v>15125</v>
      </c>
      <c r="M12" s="6">
        <f>Traslación_Cobros!N28</f>
        <v>33275</v>
      </c>
      <c r="N12" s="6">
        <f>Traslación_Cobros!O28</f>
        <v>51425</v>
      </c>
      <c r="O12" s="6">
        <f>Traslación_Cobros!P28</f>
        <v>35695</v>
      </c>
      <c r="P12" s="2"/>
      <c r="Q12" s="6">
        <f t="shared" si="1"/>
        <v>339405</v>
      </c>
    </row>
    <row r="13" spans="1:17" x14ac:dyDescent="0.25">
      <c r="A13" s="2"/>
      <c r="B13" s="2"/>
      <c r="C13" s="39" t="s">
        <v>85</v>
      </c>
      <c r="D13" s="6">
        <f>Traslación_Cobros!E29</f>
        <v>43560</v>
      </c>
      <c r="E13" s="6">
        <f>Traslación_Cobros!F29</f>
        <v>49610</v>
      </c>
      <c r="F13" s="6">
        <f>Traslación_Cobros!G29</f>
        <v>14520</v>
      </c>
      <c r="G13" s="6">
        <f>Traslación_Cobros!H29</f>
        <v>0</v>
      </c>
      <c r="H13" s="6">
        <f>Traslación_Cobros!I29</f>
        <v>27830</v>
      </c>
      <c r="I13" s="6">
        <f>Traslación_Cobros!J29</f>
        <v>33880</v>
      </c>
      <c r="J13" s="6">
        <f>Traslación_Cobros!K29</f>
        <v>30250</v>
      </c>
      <c r="K13" s="6">
        <f>Traslación_Cobros!L29</f>
        <v>29040</v>
      </c>
      <c r="L13" s="6">
        <f>Traslación_Cobros!M29</f>
        <v>21780</v>
      </c>
      <c r="M13" s="6">
        <f>Traslación_Cobros!N29</f>
        <v>16940</v>
      </c>
      <c r="N13" s="6">
        <f>Traslación_Cobros!O29</f>
        <v>26620</v>
      </c>
      <c r="O13" s="6">
        <f>Traslación_Cobros!P29</f>
        <v>0</v>
      </c>
      <c r="P13" s="2"/>
      <c r="Q13" s="6">
        <f t="shared" si="1"/>
        <v>294030</v>
      </c>
    </row>
    <row r="14" spans="1:17" x14ac:dyDescent="0.25">
      <c r="A14" s="2"/>
      <c r="B14" s="2"/>
      <c r="C14" s="39" t="s">
        <v>86</v>
      </c>
      <c r="D14" s="6">
        <f>Traslación_Cobros!E30</f>
        <v>0</v>
      </c>
      <c r="E14" s="6">
        <f>Traslación_Cobros!F30</f>
        <v>21780</v>
      </c>
      <c r="F14" s="6">
        <f>Traslación_Cobros!G30</f>
        <v>0</v>
      </c>
      <c r="G14" s="6">
        <f>Traslación_Cobros!H30</f>
        <v>6050</v>
      </c>
      <c r="H14" s="6">
        <f>Traslación_Cobros!I30</f>
        <v>0</v>
      </c>
      <c r="I14" s="6">
        <f>Traslación_Cobros!J30</f>
        <v>35090</v>
      </c>
      <c r="J14" s="6">
        <f>Traslación_Cobros!K30</f>
        <v>0</v>
      </c>
      <c r="K14" s="6">
        <f>Traslación_Cobros!L30</f>
        <v>20570</v>
      </c>
      <c r="L14" s="6">
        <f>Traslación_Cobros!M30</f>
        <v>0</v>
      </c>
      <c r="M14" s="6">
        <f>Traslación_Cobros!N30</f>
        <v>62920</v>
      </c>
      <c r="N14" s="6">
        <f>Traslación_Cobros!O30</f>
        <v>0</v>
      </c>
      <c r="O14" s="6">
        <f>Traslación_Cobros!P30</f>
        <v>15730</v>
      </c>
      <c r="P14" s="2"/>
      <c r="Q14" s="6">
        <f t="shared" si="1"/>
        <v>162140</v>
      </c>
    </row>
    <row r="15" spans="1:17" x14ac:dyDescent="0.25">
      <c r="A15" s="2"/>
      <c r="B15" s="2"/>
      <c r="C15" s="39" t="s">
        <v>52</v>
      </c>
      <c r="D15" s="6">
        <f>Traslación_Cobros!E31</f>
        <v>38115</v>
      </c>
      <c r="E15" s="6">
        <f>Traslación_Cobros!F31</f>
        <v>34485</v>
      </c>
      <c r="F15" s="6">
        <f>Traslación_Cobros!G31</f>
        <v>38115</v>
      </c>
      <c r="G15" s="6">
        <f>Traslación_Cobros!H31</f>
        <v>46585</v>
      </c>
      <c r="H15" s="6">
        <f>Traslación_Cobros!I31</f>
        <v>50215</v>
      </c>
      <c r="I15" s="6">
        <f>Traslación_Cobros!J31</f>
        <v>33275</v>
      </c>
      <c r="J15" s="6">
        <f>Traslación_Cobros!K31</f>
        <v>29040</v>
      </c>
      <c r="K15" s="6">
        <f>Traslación_Cobros!L31</f>
        <v>34485</v>
      </c>
      <c r="L15" s="6">
        <f>Traslación_Cobros!M31</f>
        <v>35695</v>
      </c>
      <c r="M15" s="6">
        <f>Traslación_Cobros!N31</f>
        <v>28435</v>
      </c>
      <c r="N15" s="6">
        <f>Traslación_Cobros!O31</f>
        <v>28435</v>
      </c>
      <c r="O15" s="6">
        <f>Traslación_Cobros!P31</f>
        <v>53240</v>
      </c>
      <c r="P15" s="2"/>
      <c r="Q15" s="6">
        <f t="shared" si="1"/>
        <v>450120</v>
      </c>
    </row>
    <row r="16" spans="1:17" x14ac:dyDescent="0.25">
      <c r="A16" s="2"/>
      <c r="B16" s="2"/>
      <c r="C16" s="50" t="s">
        <v>90</v>
      </c>
      <c r="D16" s="29">
        <f t="shared" ref="D16:O16" si="2">SUM(D5:D15)</f>
        <v>302955</v>
      </c>
      <c r="E16" s="29">
        <f t="shared" si="2"/>
        <v>313741</v>
      </c>
      <c r="F16" s="29">
        <f t="shared" si="2"/>
        <v>291228</v>
      </c>
      <c r="G16" s="29">
        <f t="shared" si="2"/>
        <v>284994</v>
      </c>
      <c r="H16" s="29">
        <f t="shared" si="2"/>
        <v>411299</v>
      </c>
      <c r="I16" s="29">
        <f t="shared" si="2"/>
        <v>421431</v>
      </c>
      <c r="J16" s="29">
        <f t="shared" si="2"/>
        <v>307340</v>
      </c>
      <c r="K16" s="29">
        <f t="shared" si="2"/>
        <v>284054</v>
      </c>
      <c r="L16" s="29">
        <f t="shared" si="2"/>
        <v>372099</v>
      </c>
      <c r="M16" s="29">
        <f t="shared" si="2"/>
        <v>437421</v>
      </c>
      <c r="N16" s="29">
        <f t="shared" si="2"/>
        <v>360188</v>
      </c>
      <c r="O16" s="29">
        <f t="shared" si="2"/>
        <v>291855</v>
      </c>
      <c r="P16" s="2"/>
      <c r="Q16" s="29">
        <f>SUM(Q5:Q15)</f>
        <v>4078605</v>
      </c>
    </row>
    <row r="17" spans="1:17" x14ac:dyDescent="0.25">
      <c r="A17" s="2"/>
      <c r="B17" s="2"/>
      <c r="C17" s="5" t="s">
        <v>56</v>
      </c>
      <c r="D17" s="6">
        <f>Traslación_Pagos_1!C44</f>
        <v>-49285.714285714283</v>
      </c>
      <c r="E17" s="6">
        <f>Traslación_Pagos_1!D44</f>
        <v>-49285.714285714283</v>
      </c>
      <c r="F17" s="6">
        <f>Traslación_Pagos_1!E44</f>
        <v>-49285.714285714283</v>
      </c>
      <c r="G17" s="6">
        <f>Traslación_Pagos_1!F44</f>
        <v>-49285.714285714283</v>
      </c>
      <c r="H17" s="6">
        <f>Traslación_Pagos_1!G44</f>
        <v>-49285.714285714283</v>
      </c>
      <c r="I17" s="6">
        <f>Traslación_Pagos_1!H44</f>
        <v>-49285.714285714283</v>
      </c>
      <c r="J17" s="6">
        <f>Traslación_Pagos_1!I44</f>
        <v>-49285.714285714283</v>
      </c>
      <c r="K17" s="6">
        <f>Traslación_Pagos_1!J44</f>
        <v>-49285.714285714283</v>
      </c>
      <c r="L17" s="6">
        <f>Traslación_Pagos_1!K44</f>
        <v>-49285.714285714283</v>
      </c>
      <c r="M17" s="6">
        <f>Traslación_Pagos_1!L44</f>
        <v>-49285.714285714283</v>
      </c>
      <c r="N17" s="6">
        <f>Traslación_Pagos_1!M44</f>
        <v>-49285.714285714283</v>
      </c>
      <c r="O17" s="6">
        <f>Traslación_Pagos_1!N44</f>
        <v>-49285.714285714283</v>
      </c>
      <c r="P17" s="2"/>
      <c r="Q17" s="6">
        <f>SUM(D17:O17)</f>
        <v>-591428.57142857136</v>
      </c>
    </row>
    <row r="18" spans="1:17" x14ac:dyDescent="0.25">
      <c r="A18" s="2"/>
      <c r="B18" s="2"/>
      <c r="C18" s="5" t="s">
        <v>57</v>
      </c>
      <c r="D18" s="6">
        <f>Traslación_Pagos_1!C45</f>
        <v>0</v>
      </c>
      <c r="E18" s="6">
        <f>Traslación_Pagos_1!D45</f>
        <v>0</v>
      </c>
      <c r="F18" s="6">
        <f>Traslación_Pagos_1!E45</f>
        <v>0</v>
      </c>
      <c r="G18" s="6">
        <f>Traslación_Pagos_1!F45</f>
        <v>0</v>
      </c>
      <c r="H18" s="6">
        <f>Traslación_Pagos_1!G45</f>
        <v>0</v>
      </c>
      <c r="I18" s="6">
        <f>Traslación_Pagos_1!H45</f>
        <v>0</v>
      </c>
      <c r="J18" s="6">
        <f>Traslación_Pagos_1!I45</f>
        <v>-49285.714285714283</v>
      </c>
      <c r="K18" s="6">
        <f>Traslación_Pagos_1!J45</f>
        <v>0</v>
      </c>
      <c r="L18" s="6">
        <f>Traslación_Pagos_1!K45</f>
        <v>0</v>
      </c>
      <c r="M18" s="6">
        <f>Traslación_Pagos_1!L45</f>
        <v>0</v>
      </c>
      <c r="N18" s="6">
        <f>Traslación_Pagos_1!M45</f>
        <v>0</v>
      </c>
      <c r="O18" s="6">
        <f>Traslación_Pagos_1!N45</f>
        <v>-49285.714285714283</v>
      </c>
      <c r="P18" s="2"/>
      <c r="Q18" s="6">
        <f>SUM(D18:O18)</f>
        <v>-98571.428571428565</v>
      </c>
    </row>
    <row r="19" spans="1:17" x14ac:dyDescent="0.25">
      <c r="A19" s="2"/>
      <c r="B19" s="2"/>
      <c r="C19" s="5" t="s">
        <v>58</v>
      </c>
      <c r="D19" s="6">
        <f>Traslación_Pagos_1!C46</f>
        <v>-29142.857142857141</v>
      </c>
      <c r="E19" s="6">
        <f>Traslación_Pagos_1!D46</f>
        <v>0</v>
      </c>
      <c r="F19" s="6">
        <f>Traslación_Pagos_1!E46</f>
        <v>0</v>
      </c>
      <c r="G19" s="6">
        <f>Traslación_Pagos_1!F46</f>
        <v>-40808.571428571428</v>
      </c>
      <c r="H19" s="6">
        <f>Traslación_Pagos_1!G46</f>
        <v>0</v>
      </c>
      <c r="I19" s="6">
        <f>Traslación_Pagos_1!H46</f>
        <v>0</v>
      </c>
      <c r="J19" s="6">
        <f>Traslación_Pagos_1!I46</f>
        <v>-31542.857142857141</v>
      </c>
      <c r="K19" s="6">
        <f>Traslación_Pagos_1!J46</f>
        <v>0</v>
      </c>
      <c r="L19" s="6">
        <f>Traslación_Pagos_1!K46</f>
        <v>0</v>
      </c>
      <c r="M19" s="6">
        <f>Traslación_Pagos_1!L46</f>
        <v>-23657.142857142855</v>
      </c>
      <c r="N19" s="6">
        <f>Traslación_Pagos_1!M46</f>
        <v>0</v>
      </c>
      <c r="O19" s="6">
        <f>Traslación_Pagos_1!N46</f>
        <v>0</v>
      </c>
      <c r="P19" s="2"/>
      <c r="Q19" s="6">
        <f>SUM(D19:O19)</f>
        <v>-125151.42857142857</v>
      </c>
    </row>
    <row r="20" spans="1:17" x14ac:dyDescent="0.25">
      <c r="A20" s="2"/>
      <c r="B20" s="2"/>
      <c r="C20" s="54" t="s">
        <v>17</v>
      </c>
      <c r="D20" s="55">
        <f>Traslación_Pagos_2!C47</f>
        <v>0</v>
      </c>
      <c r="E20" s="55">
        <f>Traslación_Pagos_2!D47</f>
        <v>0</v>
      </c>
      <c r="F20" s="55">
        <f>Traslación_Pagos_2!E47</f>
        <v>0</v>
      </c>
      <c r="G20" s="55">
        <f>Traslación_Pagos_2!F47</f>
        <v>0</v>
      </c>
      <c r="H20" s="55">
        <f>Traslación_Pagos_2!G47</f>
        <v>0</v>
      </c>
      <c r="I20" s="55">
        <f>Traslación_Pagos_2!H47</f>
        <v>0</v>
      </c>
      <c r="J20" s="55">
        <f>Traslación_Pagos_2!I47</f>
        <v>0</v>
      </c>
      <c r="K20" s="55">
        <f>Traslación_Pagos_2!J47</f>
        <v>0</v>
      </c>
      <c r="L20" s="55">
        <f>Traslación_Pagos_2!K47</f>
        <v>0</v>
      </c>
      <c r="M20" s="55">
        <f>Traslación_Pagos_2!L47</f>
        <v>0</v>
      </c>
      <c r="N20" s="55">
        <f>Traslación_Pagos_2!M47</f>
        <v>0</v>
      </c>
      <c r="O20" s="55">
        <f>Traslación_Pagos_2!N47</f>
        <v>-107639.99999999999</v>
      </c>
      <c r="P20" s="2"/>
      <c r="Q20" s="55">
        <f>SUM(D20:O20)</f>
        <v>-107639.99999999999</v>
      </c>
    </row>
    <row r="21" spans="1:17" x14ac:dyDescent="0.25">
      <c r="A21" s="2"/>
      <c r="B21" s="2"/>
      <c r="C21" s="5" t="s">
        <v>59</v>
      </c>
      <c r="D21" s="6">
        <f>Traslación_Pagos_1!C48</f>
        <v>-23800</v>
      </c>
      <c r="E21" s="6">
        <f>Traslación_Pagos_1!D48</f>
        <v>-32200</v>
      </c>
      <c r="F21" s="6">
        <f>Traslación_Pagos_1!E48</f>
        <v>-81020</v>
      </c>
      <c r="G21" s="6">
        <f>Traslación_Pagos_1!F48</f>
        <v>-32200</v>
      </c>
      <c r="H21" s="6">
        <f>Traslación_Pagos_1!G48</f>
        <v>-32200</v>
      </c>
      <c r="I21" s="6">
        <f>Traslación_Pagos_1!H48</f>
        <v>-32200</v>
      </c>
      <c r="J21" s="6">
        <f>Traslación_Pagos_1!I48</f>
        <v>-32200</v>
      </c>
      <c r="K21" s="6">
        <f>Traslación_Pagos_1!J48</f>
        <v>-32200</v>
      </c>
      <c r="L21" s="6">
        <f>Traslación_Pagos_1!K48</f>
        <v>-32200</v>
      </c>
      <c r="M21" s="6">
        <f>Traslación_Pagos_1!L48</f>
        <v>-32200</v>
      </c>
      <c r="N21" s="6">
        <f>Traslación_Pagos_1!M48</f>
        <v>-32200</v>
      </c>
      <c r="O21" s="6">
        <f>Traslación_Pagos_1!N48</f>
        <v>-32200</v>
      </c>
      <c r="P21" s="2"/>
      <c r="Q21" s="6">
        <f>SUM(D21:O21)</f>
        <v>-426820</v>
      </c>
    </row>
    <row r="22" spans="1:17" x14ac:dyDescent="0.25">
      <c r="A22" s="2"/>
      <c r="B22" s="2"/>
      <c r="C22" s="51" t="s">
        <v>19</v>
      </c>
      <c r="D22" s="30">
        <f t="shared" ref="D22:O22" si="3">SUM(D17:D21)</f>
        <v>-102228.57142857142</v>
      </c>
      <c r="E22" s="30">
        <f t="shared" si="3"/>
        <v>-81485.71428571429</v>
      </c>
      <c r="F22" s="30">
        <f t="shared" si="3"/>
        <v>-130305.71428571429</v>
      </c>
      <c r="G22" s="30">
        <f t="shared" si="3"/>
        <v>-122294.28571428571</v>
      </c>
      <c r="H22" s="30">
        <f t="shared" si="3"/>
        <v>-81485.71428571429</v>
      </c>
      <c r="I22" s="30">
        <f t="shared" si="3"/>
        <v>-81485.71428571429</v>
      </c>
      <c r="J22" s="30">
        <f t="shared" si="3"/>
        <v>-162314.28571428571</v>
      </c>
      <c r="K22" s="30">
        <f t="shared" si="3"/>
        <v>-81485.71428571429</v>
      </c>
      <c r="L22" s="30">
        <f t="shared" si="3"/>
        <v>-81485.71428571429</v>
      </c>
      <c r="M22" s="30">
        <f t="shared" si="3"/>
        <v>-105142.85714285713</v>
      </c>
      <c r="N22" s="30">
        <f t="shared" si="3"/>
        <v>-81485.71428571429</v>
      </c>
      <c r="O22" s="30">
        <f t="shared" si="3"/>
        <v>-238411.42857142855</v>
      </c>
      <c r="P22" s="2"/>
      <c r="Q22" s="30">
        <f>SUM(Q17:Q21)</f>
        <v>-1349611.4285714284</v>
      </c>
    </row>
    <row r="23" spans="1:17" x14ac:dyDescent="0.25">
      <c r="A23" s="2"/>
      <c r="B23" s="2"/>
      <c r="C23" s="5" t="s">
        <v>35</v>
      </c>
      <c r="D23" s="6">
        <f>Traslación_Pagos_1!C50</f>
        <v>-63323.333333333336</v>
      </c>
      <c r="E23" s="6">
        <f>Traslación_Pagos_1!D50</f>
        <v>-58886.666666666672</v>
      </c>
      <c r="F23" s="6">
        <f>Traslación_Pagos_1!E50</f>
        <v>-61306.666666666672</v>
      </c>
      <c r="G23" s="6">
        <f>Traslación_Pagos_1!F50</f>
        <v>-64331.666666666672</v>
      </c>
      <c r="H23" s="6">
        <f>Traslación_Pagos_1!G50</f>
        <v>-61710</v>
      </c>
      <c r="I23" s="6">
        <f>Traslación_Pagos_1!H50</f>
        <v>-69373.333333333328</v>
      </c>
      <c r="J23" s="6">
        <f>Traslación_Pagos_1!I50</f>
        <v>-70180</v>
      </c>
      <c r="K23" s="6">
        <f>Traslación_Pagos_1!J50</f>
        <v>-68970</v>
      </c>
      <c r="L23" s="6">
        <f>Traslación_Pagos_1!K50</f>
        <v>-52030</v>
      </c>
      <c r="M23" s="6">
        <f>Traslación_Pagos_1!L50</f>
        <v>-45173.333333333328</v>
      </c>
      <c r="N23" s="6">
        <f>Traslación_Pagos_1!M50</f>
        <v>-49206.666666666664</v>
      </c>
      <c r="O23" s="6">
        <f>Traslación_Pagos_1!N50</f>
        <v>-47190</v>
      </c>
      <c r="P23" s="2"/>
      <c r="Q23" s="6">
        <f>SUM(D23:O23)</f>
        <v>-711681.66666666674</v>
      </c>
    </row>
    <row r="24" spans="1:17" x14ac:dyDescent="0.25">
      <c r="A24" s="2"/>
      <c r="B24" s="2"/>
      <c r="C24" s="5" t="s">
        <v>36</v>
      </c>
      <c r="D24" s="6">
        <f>Traslación_Pagos_1!C51</f>
        <v>-37510</v>
      </c>
      <c r="E24" s="6">
        <f>Traslación_Pagos_1!D51</f>
        <v>-34686.666666666664</v>
      </c>
      <c r="F24" s="6">
        <f>Traslación_Pagos_1!E51</f>
        <v>-33073.333333333336</v>
      </c>
      <c r="G24" s="6">
        <f>Traslación_Pagos_1!F51</f>
        <v>-30653.333333333332</v>
      </c>
      <c r="H24" s="6">
        <f>Traslación_Pagos_1!G51</f>
        <v>-29443.333333333336</v>
      </c>
      <c r="I24" s="6">
        <f>Traslación_Pagos_1!H51</f>
        <v>-29443.333333333336</v>
      </c>
      <c r="J24" s="6">
        <f>Traslación_Pagos_1!I51</f>
        <v>-26216.666666666668</v>
      </c>
      <c r="K24" s="6">
        <f>Traslación_Pagos_1!J51</f>
        <v>-23796.666666666664</v>
      </c>
      <c r="L24" s="6">
        <f>Traslación_Pagos_1!K51</f>
        <v>-23796.666666666668</v>
      </c>
      <c r="M24" s="6">
        <f>Traslación_Pagos_1!L51</f>
        <v>-18553.333333333332</v>
      </c>
      <c r="N24" s="6">
        <f>Traslación_Pagos_1!M51</f>
        <v>-16133.333333333332</v>
      </c>
      <c r="O24" s="6">
        <f>Traslación_Pagos_1!N51</f>
        <v>-19763.333333333332</v>
      </c>
      <c r="P24" s="2"/>
      <c r="Q24" s="6">
        <f>SUM(D24:O24)</f>
        <v>-323069.99999999994</v>
      </c>
    </row>
    <row r="25" spans="1:17" x14ac:dyDescent="0.25">
      <c r="A25" s="2"/>
      <c r="B25" s="2"/>
      <c r="C25" s="51" t="s">
        <v>20</v>
      </c>
      <c r="D25" s="30">
        <f t="shared" ref="D25:O25" si="4">SUM(D23:D24)</f>
        <v>-100833.33333333334</v>
      </c>
      <c r="E25" s="30">
        <f t="shared" si="4"/>
        <v>-93573.333333333343</v>
      </c>
      <c r="F25" s="30">
        <f t="shared" si="4"/>
        <v>-94380</v>
      </c>
      <c r="G25" s="30">
        <f t="shared" si="4"/>
        <v>-94985</v>
      </c>
      <c r="H25" s="30">
        <f t="shared" si="4"/>
        <v>-91153.333333333343</v>
      </c>
      <c r="I25" s="30">
        <f t="shared" si="4"/>
        <v>-98816.666666666657</v>
      </c>
      <c r="J25" s="30">
        <f t="shared" si="4"/>
        <v>-96396.666666666672</v>
      </c>
      <c r="K25" s="30">
        <f t="shared" si="4"/>
        <v>-92766.666666666657</v>
      </c>
      <c r="L25" s="30">
        <f t="shared" si="4"/>
        <v>-75826.666666666672</v>
      </c>
      <c r="M25" s="30">
        <f t="shared" si="4"/>
        <v>-63726.666666666657</v>
      </c>
      <c r="N25" s="30">
        <f t="shared" si="4"/>
        <v>-65340</v>
      </c>
      <c r="O25" s="30">
        <f t="shared" si="4"/>
        <v>-66953.333333333328</v>
      </c>
      <c r="P25" s="2"/>
      <c r="Q25" s="30">
        <f>SUM(Q23:Q24)</f>
        <v>-1034751.6666666667</v>
      </c>
    </row>
    <row r="26" spans="1:17" x14ac:dyDescent="0.25">
      <c r="A26" s="2"/>
      <c r="B26" s="2"/>
      <c r="C26" s="54" t="s">
        <v>21</v>
      </c>
      <c r="D26" s="55">
        <f>Traslación_Pagos_2!C53</f>
        <v>0</v>
      </c>
      <c r="E26" s="55">
        <f>Traslación_Pagos_2!D53</f>
        <v>0</v>
      </c>
      <c r="F26" s="55">
        <f>Traslación_Pagos_2!E53</f>
        <v>0</v>
      </c>
      <c r="G26" s="55">
        <f>Traslación_Pagos_2!F53</f>
        <v>0</v>
      </c>
      <c r="H26" s="55">
        <f>Traslación_Pagos_2!G53</f>
        <v>0</v>
      </c>
      <c r="I26" s="55">
        <f>Traslación_Pagos_2!H53</f>
        <v>-110160</v>
      </c>
      <c r="J26" s="55">
        <f>Traslación_Pagos_2!I53</f>
        <v>0</v>
      </c>
      <c r="K26" s="55">
        <f>Traslación_Pagos_2!J53</f>
        <v>0</v>
      </c>
      <c r="L26" s="55">
        <f>Traslación_Pagos_2!K53</f>
        <v>0</v>
      </c>
      <c r="M26" s="55">
        <f>Traslación_Pagos_2!L53</f>
        <v>0</v>
      </c>
      <c r="N26" s="55">
        <f>Traslación_Pagos_2!M53</f>
        <v>0</v>
      </c>
      <c r="O26" s="55">
        <f>Traslación_Pagos_2!N53</f>
        <v>-110160</v>
      </c>
      <c r="P26" s="2"/>
      <c r="Q26" s="55">
        <f t="shared" ref="Q26:Q31" si="5">SUM(D26:O26)</f>
        <v>-220320</v>
      </c>
    </row>
    <row r="27" spans="1:17" x14ac:dyDescent="0.25">
      <c r="A27" s="2"/>
      <c r="B27" s="2"/>
      <c r="C27" s="5" t="s">
        <v>22</v>
      </c>
      <c r="D27" s="6">
        <f>Traslación_Pagos_1!C54</f>
        <v>-4080</v>
      </c>
      <c r="E27" s="6">
        <f>Traslación_Pagos_1!D54</f>
        <v>-16320</v>
      </c>
      <c r="F27" s="6">
        <f>Traslación_Pagos_1!E54</f>
        <v>-4080</v>
      </c>
      <c r="G27" s="6">
        <f>Traslación_Pagos_1!F54</f>
        <v>-4080</v>
      </c>
      <c r="H27" s="6">
        <f>Traslación_Pagos_1!G54</f>
        <v>-6120</v>
      </c>
      <c r="I27" s="6">
        <f>Traslación_Pagos_1!H54</f>
        <v>-4080</v>
      </c>
      <c r="J27" s="6">
        <f>Traslación_Pagos_1!I54</f>
        <v>-4080</v>
      </c>
      <c r="K27" s="6">
        <f>Traslación_Pagos_1!J54</f>
        <v>-6120</v>
      </c>
      <c r="L27" s="6">
        <f>Traslación_Pagos_1!K54</f>
        <v>-4080</v>
      </c>
      <c r="M27" s="6">
        <f>Traslación_Pagos_1!L54</f>
        <v>-4080</v>
      </c>
      <c r="N27" s="6">
        <f>Traslación_Pagos_1!M54</f>
        <v>-6120</v>
      </c>
      <c r="O27" s="6">
        <f>Traslación_Pagos_1!N54</f>
        <v>-4080</v>
      </c>
      <c r="P27" s="2"/>
      <c r="Q27" s="6">
        <f t="shared" si="5"/>
        <v>-67320</v>
      </c>
    </row>
    <row r="28" spans="1:17" x14ac:dyDescent="0.25">
      <c r="A28" s="2"/>
      <c r="B28" s="2"/>
      <c r="C28" s="5" t="s">
        <v>23</v>
      </c>
      <c r="D28" s="6">
        <f>Traslación_Pagos_1!C55</f>
        <v>-13854.5</v>
      </c>
      <c r="E28" s="6">
        <f>Traslación_Pagos_1!D55</f>
        <v>-15246</v>
      </c>
      <c r="F28" s="6">
        <f>Traslación_Pagos_1!E55</f>
        <v>-15609</v>
      </c>
      <c r="G28" s="6">
        <f>Traslación_Pagos_1!F55</f>
        <v>-18876</v>
      </c>
      <c r="H28" s="6">
        <f>Traslación_Pagos_1!G55</f>
        <v>-18089.5</v>
      </c>
      <c r="I28" s="6">
        <f>Traslación_Pagos_1!H55</f>
        <v>-18936.5</v>
      </c>
      <c r="J28" s="6">
        <f>Traslación_Pagos_1!I55</f>
        <v>-14278</v>
      </c>
      <c r="K28" s="6">
        <f>Traslación_Pagos_1!J55</f>
        <v>-19662.5</v>
      </c>
      <c r="L28" s="6">
        <f>Traslación_Pagos_1!K55</f>
        <v>-16093</v>
      </c>
      <c r="M28" s="6">
        <f>Traslación_Pagos_1!L55</f>
        <v>-21719.5</v>
      </c>
      <c r="N28" s="6">
        <f>Traslación_Pagos_1!M55</f>
        <v>-16032.5</v>
      </c>
      <c r="O28" s="6">
        <f>Traslación_Pagos_1!N55</f>
        <v>-19178.5</v>
      </c>
      <c r="P28" s="2"/>
      <c r="Q28" s="6">
        <f t="shared" si="5"/>
        <v>-207575.5</v>
      </c>
    </row>
    <row r="29" spans="1:17" x14ac:dyDescent="0.25">
      <c r="A29" s="2"/>
      <c r="B29" s="2"/>
      <c r="C29" s="5" t="s">
        <v>24</v>
      </c>
      <c r="D29" s="6">
        <f>Traslación_Pagos_1!C56</f>
        <v>0</v>
      </c>
      <c r="E29" s="6">
        <f>Traslación_Pagos_1!D56</f>
        <v>-45000</v>
      </c>
      <c r="F29" s="6">
        <f>Traslación_Pagos_1!E56</f>
        <v>0</v>
      </c>
      <c r="G29" s="6">
        <f>Traslación_Pagos_1!F56</f>
        <v>0</v>
      </c>
      <c r="H29" s="6">
        <f>Traslación_Pagos_1!G56</f>
        <v>0</v>
      </c>
      <c r="I29" s="6">
        <f>Traslación_Pagos_1!H56</f>
        <v>0</v>
      </c>
      <c r="J29" s="6">
        <f>Traslación_Pagos_1!I56</f>
        <v>0</v>
      </c>
      <c r="K29" s="6">
        <f>Traslación_Pagos_1!J56</f>
        <v>0</v>
      </c>
      <c r="L29" s="6">
        <f>Traslación_Pagos_1!K56</f>
        <v>0</v>
      </c>
      <c r="M29" s="6">
        <f>Traslación_Pagos_1!L56</f>
        <v>0</v>
      </c>
      <c r="N29" s="6">
        <f>Traslación_Pagos_1!M56</f>
        <v>0</v>
      </c>
      <c r="O29" s="6">
        <f>Traslación_Pagos_1!N56</f>
        <v>0</v>
      </c>
      <c r="P29" s="2"/>
      <c r="Q29" s="6">
        <f t="shared" si="5"/>
        <v>-45000</v>
      </c>
    </row>
    <row r="30" spans="1:17" x14ac:dyDescent="0.25">
      <c r="A30" s="2"/>
      <c r="B30" s="2"/>
      <c r="C30" s="5" t="s">
        <v>25</v>
      </c>
      <c r="D30" s="6">
        <f>Traslación_Pagos_1!C57</f>
        <v>-9075</v>
      </c>
      <c r="E30" s="6">
        <f>Traslación_Pagos_1!D57</f>
        <v>-3025</v>
      </c>
      <c r="F30" s="6">
        <f>Traslación_Pagos_1!E57</f>
        <v>-3025</v>
      </c>
      <c r="G30" s="6">
        <f>Traslación_Pagos_1!F57</f>
        <v>-3025</v>
      </c>
      <c r="H30" s="6">
        <f>Traslación_Pagos_1!G57</f>
        <v>-3025</v>
      </c>
      <c r="I30" s="6">
        <f>Traslación_Pagos_1!H57</f>
        <v>-3025</v>
      </c>
      <c r="J30" s="6">
        <f>Traslación_Pagos_1!I57</f>
        <v>-3025</v>
      </c>
      <c r="K30" s="6">
        <f>Traslación_Pagos_1!J57</f>
        <v>-3025</v>
      </c>
      <c r="L30" s="6">
        <f>Traslación_Pagos_1!K57</f>
        <v>-3025</v>
      </c>
      <c r="M30" s="6">
        <f>Traslación_Pagos_1!L57</f>
        <v>-3025</v>
      </c>
      <c r="N30" s="6">
        <f>Traslación_Pagos_1!M57</f>
        <v>-3025</v>
      </c>
      <c r="O30" s="6">
        <f>Traslación_Pagos_1!N57</f>
        <v>-3025</v>
      </c>
      <c r="P30" s="2"/>
      <c r="Q30" s="6">
        <f t="shared" si="5"/>
        <v>-42350</v>
      </c>
    </row>
    <row r="31" spans="1:17" x14ac:dyDescent="0.25">
      <c r="A31" s="2"/>
      <c r="B31" s="2"/>
      <c r="C31" s="5" t="s">
        <v>26</v>
      </c>
      <c r="D31" s="6">
        <f>Traslación_Pagos_1!C58</f>
        <v>-5445</v>
      </c>
      <c r="E31" s="6">
        <f>Traslación_Pagos_1!D58</f>
        <v>-5445</v>
      </c>
      <c r="F31" s="6">
        <f>Traslación_Pagos_1!E58</f>
        <v>-5445</v>
      </c>
      <c r="G31" s="6">
        <f>Traslación_Pagos_1!F58</f>
        <v>-5445</v>
      </c>
      <c r="H31" s="6">
        <f>Traslación_Pagos_1!G58</f>
        <v>-5445</v>
      </c>
      <c r="I31" s="6">
        <f>Traslación_Pagos_1!H58</f>
        <v>-5445</v>
      </c>
      <c r="J31" s="6">
        <f>Traslación_Pagos_1!I58</f>
        <v>-5445</v>
      </c>
      <c r="K31" s="6">
        <f>Traslación_Pagos_1!J58</f>
        <v>-5445</v>
      </c>
      <c r="L31" s="6">
        <f>Traslación_Pagos_1!K58</f>
        <v>-5445</v>
      </c>
      <c r="M31" s="6">
        <f>Traslación_Pagos_1!L58</f>
        <v>-5445</v>
      </c>
      <c r="N31" s="6">
        <f>Traslación_Pagos_1!M58</f>
        <v>-5445</v>
      </c>
      <c r="O31" s="6">
        <f>Traslación_Pagos_1!N58</f>
        <v>-5445</v>
      </c>
      <c r="P31" s="2"/>
      <c r="Q31" s="6">
        <f t="shared" si="5"/>
        <v>-65340</v>
      </c>
    </row>
    <row r="32" spans="1:17" x14ac:dyDescent="0.25">
      <c r="A32" s="2"/>
      <c r="B32" s="2"/>
      <c r="C32" s="51" t="s">
        <v>27</v>
      </c>
      <c r="D32" s="30">
        <f t="shared" ref="D32:O32" si="6">SUM(D26:D31)</f>
        <v>-32454.5</v>
      </c>
      <c r="E32" s="30">
        <f t="shared" si="6"/>
        <v>-85036</v>
      </c>
      <c r="F32" s="30">
        <f t="shared" si="6"/>
        <v>-28159</v>
      </c>
      <c r="G32" s="30">
        <f t="shared" si="6"/>
        <v>-31426</v>
      </c>
      <c r="H32" s="30">
        <f t="shared" si="6"/>
        <v>-32679.5</v>
      </c>
      <c r="I32" s="30">
        <f t="shared" si="6"/>
        <v>-141646.5</v>
      </c>
      <c r="J32" s="30">
        <f t="shared" si="6"/>
        <v>-26828</v>
      </c>
      <c r="K32" s="30">
        <f t="shared" si="6"/>
        <v>-34252.5</v>
      </c>
      <c r="L32" s="30">
        <f t="shared" si="6"/>
        <v>-28643</v>
      </c>
      <c r="M32" s="30">
        <f t="shared" si="6"/>
        <v>-34269.5</v>
      </c>
      <c r="N32" s="30">
        <f t="shared" si="6"/>
        <v>-30622.5</v>
      </c>
      <c r="O32" s="30">
        <f t="shared" si="6"/>
        <v>-141888.5</v>
      </c>
      <c r="P32" s="2"/>
      <c r="Q32" s="30">
        <f>SUM(Q26:Q31)</f>
        <v>-647905.5</v>
      </c>
    </row>
    <row r="33" spans="1:17" x14ac:dyDescent="0.25">
      <c r="A33" s="2"/>
      <c r="B33" s="2"/>
      <c r="C33" s="5" t="s">
        <v>28</v>
      </c>
      <c r="D33" s="6">
        <f>Traslación_Pagos_1!C60</f>
        <v>0</v>
      </c>
      <c r="E33" s="6">
        <f>Traslación_Pagos_1!D60</f>
        <v>0</v>
      </c>
      <c r="F33" s="6">
        <f>Traslación_Pagos_1!E60</f>
        <v>0</v>
      </c>
      <c r="G33" s="6">
        <f>Traslación_Pagos_1!F60</f>
        <v>-45000</v>
      </c>
      <c r="H33" s="6">
        <f>Traslación_Pagos_1!G60</f>
        <v>0</v>
      </c>
      <c r="I33" s="6">
        <f>Traslación_Pagos_1!H60</f>
        <v>0</v>
      </c>
      <c r="J33" s="6">
        <f>Traslación_Pagos_1!I60</f>
        <v>-20673</v>
      </c>
      <c r="K33" s="6">
        <f>Traslación_Pagos_1!J60</f>
        <v>0</v>
      </c>
      <c r="L33" s="6">
        <f>Traslación_Pagos_1!K60</f>
        <v>0</v>
      </c>
      <c r="M33" s="6">
        <f>Traslación_Pagos_1!L60</f>
        <v>-45000</v>
      </c>
      <c r="N33" s="6">
        <f>Traslación_Pagos_1!M60</f>
        <v>0</v>
      </c>
      <c r="O33" s="6">
        <f>Traslación_Pagos_1!N60</f>
        <v>-45000</v>
      </c>
      <c r="P33" s="2"/>
      <c r="Q33" s="6">
        <f>SUM(D33:O33)</f>
        <v>-155673</v>
      </c>
    </row>
    <row r="34" spans="1:17" x14ac:dyDescent="0.25">
      <c r="A34" s="2"/>
      <c r="B34" s="2"/>
      <c r="C34" s="5" t="s">
        <v>29</v>
      </c>
      <c r="D34" s="6">
        <f>Traslación_Pagos_1!C61</f>
        <v>-28800</v>
      </c>
      <c r="E34" s="6">
        <f>Traslación_Pagos_1!D61</f>
        <v>-654.5454545454545</v>
      </c>
      <c r="F34" s="6">
        <f>Traslación_Pagos_1!E61</f>
        <v>-654.5454545454545</v>
      </c>
      <c r="G34" s="6">
        <f>Traslación_Pagos_1!F61</f>
        <v>-654.5454545454545</v>
      </c>
      <c r="H34" s="6">
        <f>Traslación_Pagos_1!G61</f>
        <v>-654.5454545454545</v>
      </c>
      <c r="I34" s="6">
        <f>Traslación_Pagos_1!H61</f>
        <v>-654.5454545454545</v>
      </c>
      <c r="J34" s="6">
        <f>Traslación_Pagos_1!I61</f>
        <v>-654.5454545454545</v>
      </c>
      <c r="K34" s="6">
        <f>Traslación_Pagos_1!J61</f>
        <v>-654.5454545454545</v>
      </c>
      <c r="L34" s="6">
        <f>Traslación_Pagos_1!K61</f>
        <v>-654.5454545454545</v>
      </c>
      <c r="M34" s="6">
        <f>Traslación_Pagos_1!L61</f>
        <v>-654.5454545454545</v>
      </c>
      <c r="N34" s="6">
        <f>Traslación_Pagos_1!M61</f>
        <v>-654.5454545454545</v>
      </c>
      <c r="O34" s="6">
        <f>Traslación_Pagos_1!N61</f>
        <v>-654.5454545454545</v>
      </c>
      <c r="P34" s="2"/>
      <c r="Q34" s="6">
        <f>SUM(D34:O34)</f>
        <v>-36000.000000000015</v>
      </c>
    </row>
    <row r="35" spans="1:17" x14ac:dyDescent="0.25">
      <c r="A35" s="2"/>
      <c r="B35" s="2"/>
      <c r="C35" s="51" t="s">
        <v>30</v>
      </c>
      <c r="D35" s="30">
        <f t="shared" ref="D35:O35" si="7">SUM(D33:D34)</f>
        <v>-28800</v>
      </c>
      <c r="E35" s="30">
        <f t="shared" si="7"/>
        <v>-654.5454545454545</v>
      </c>
      <c r="F35" s="30">
        <f t="shared" si="7"/>
        <v>-654.5454545454545</v>
      </c>
      <c r="G35" s="30">
        <f t="shared" si="7"/>
        <v>-45654.545454545456</v>
      </c>
      <c r="H35" s="30">
        <f t="shared" si="7"/>
        <v>-654.5454545454545</v>
      </c>
      <c r="I35" s="30">
        <f t="shared" si="7"/>
        <v>-654.5454545454545</v>
      </c>
      <c r="J35" s="30">
        <f t="shared" si="7"/>
        <v>-21327.545454545456</v>
      </c>
      <c r="K35" s="30">
        <f t="shared" si="7"/>
        <v>-654.5454545454545</v>
      </c>
      <c r="L35" s="30">
        <f t="shared" si="7"/>
        <v>-654.5454545454545</v>
      </c>
      <c r="M35" s="30">
        <f t="shared" si="7"/>
        <v>-45654.545454545456</v>
      </c>
      <c r="N35" s="30">
        <f t="shared" si="7"/>
        <v>-654.5454545454545</v>
      </c>
      <c r="O35" s="30">
        <f t="shared" si="7"/>
        <v>-45654.545454545456</v>
      </c>
      <c r="P35" s="2"/>
      <c r="Q35" s="30">
        <f>SUM(Q33:Q34)</f>
        <v>-191673</v>
      </c>
    </row>
    <row r="36" spans="1:17" x14ac:dyDescent="0.25">
      <c r="A36" s="2"/>
      <c r="B36" s="2"/>
      <c r="C36" s="5" t="s">
        <v>31</v>
      </c>
      <c r="D36" s="6">
        <f>Traslación_Pagos_1!C63</f>
        <v>-1000</v>
      </c>
      <c r="E36" s="6">
        <f>Traslación_Pagos_1!D63</f>
        <v>-1000</v>
      </c>
      <c r="F36" s="6">
        <f>Traslación_Pagos_1!E63</f>
        <v>-1000</v>
      </c>
      <c r="G36" s="6">
        <f>Traslación_Pagos_1!F63</f>
        <v>-1000</v>
      </c>
      <c r="H36" s="6">
        <f>Traslación_Pagos_1!G63</f>
        <v>-1000</v>
      </c>
      <c r="I36" s="6">
        <f>Traslación_Pagos_1!H63</f>
        <v>-1000</v>
      </c>
      <c r="J36" s="6">
        <f>Traslación_Pagos_1!I63</f>
        <v>-1000</v>
      </c>
      <c r="K36" s="6">
        <f>Traslación_Pagos_1!J63</f>
        <v>-1000</v>
      </c>
      <c r="L36" s="6">
        <f>Traslación_Pagos_1!K63</f>
        <v>-1000</v>
      </c>
      <c r="M36" s="6">
        <f>Traslación_Pagos_1!L63</f>
        <v>-1000</v>
      </c>
      <c r="N36" s="6">
        <f>Traslación_Pagos_1!M63</f>
        <v>-1000</v>
      </c>
      <c r="O36" s="6">
        <f>Traslación_Pagos_1!N63</f>
        <v>-1000</v>
      </c>
      <c r="P36" s="2"/>
      <c r="Q36" s="6">
        <f>SUM(D36:O36)</f>
        <v>-12000</v>
      </c>
    </row>
    <row r="37" spans="1:17" x14ac:dyDescent="0.25">
      <c r="A37" s="2"/>
      <c r="B37" s="2"/>
      <c r="C37" s="5" t="s">
        <v>32</v>
      </c>
      <c r="D37" s="6">
        <f>Traslación_Pagos_1!C64</f>
        <v>-2500</v>
      </c>
      <c r="E37" s="6">
        <f>Traslación_Pagos_1!D64</f>
        <v>-2500</v>
      </c>
      <c r="F37" s="6">
        <f>Traslación_Pagos_1!E64</f>
        <v>-2500</v>
      </c>
      <c r="G37" s="6">
        <f>Traslación_Pagos_1!F64</f>
        <v>-2500</v>
      </c>
      <c r="H37" s="6">
        <f>Traslación_Pagos_1!G64</f>
        <v>-2500</v>
      </c>
      <c r="I37" s="6">
        <f>Traslación_Pagos_1!H64</f>
        <v>-2500</v>
      </c>
      <c r="J37" s="6">
        <f>Traslación_Pagos_1!I64</f>
        <v>-2500</v>
      </c>
      <c r="K37" s="6">
        <f>Traslación_Pagos_1!J64</f>
        <v>-2500</v>
      </c>
      <c r="L37" s="6">
        <f>Traslación_Pagos_1!K64</f>
        <v>-2500</v>
      </c>
      <c r="M37" s="6">
        <f>Traslación_Pagos_1!L64</f>
        <v>-2500</v>
      </c>
      <c r="N37" s="6">
        <f>Traslación_Pagos_1!M64</f>
        <v>-2500</v>
      </c>
      <c r="O37" s="6">
        <f>Traslación_Pagos_1!N64</f>
        <v>-2500</v>
      </c>
      <c r="P37" s="2"/>
      <c r="Q37" s="6">
        <f>SUM(D37:O37)</f>
        <v>-30000</v>
      </c>
    </row>
    <row r="38" spans="1:17" x14ac:dyDescent="0.25">
      <c r="A38" s="2"/>
      <c r="B38" s="2"/>
      <c r="C38" s="24" t="s">
        <v>91</v>
      </c>
      <c r="D38" s="25">
        <f t="shared" ref="D38:O38" si="8">+D22+D25+D32+D35+D36+D37</f>
        <v>-267816.40476190473</v>
      </c>
      <c r="E38" s="25">
        <f t="shared" si="8"/>
        <v>-264249.5930735931</v>
      </c>
      <c r="F38" s="25">
        <f t="shared" si="8"/>
        <v>-256999.25974025973</v>
      </c>
      <c r="G38" s="25">
        <f t="shared" si="8"/>
        <v>-297859.83116883115</v>
      </c>
      <c r="H38" s="25">
        <f t="shared" si="8"/>
        <v>-209473.09307359307</v>
      </c>
      <c r="I38" s="25">
        <f t="shared" si="8"/>
        <v>-326103.42640692642</v>
      </c>
      <c r="J38" s="25">
        <f t="shared" si="8"/>
        <v>-310366.49783549784</v>
      </c>
      <c r="K38" s="25">
        <f t="shared" si="8"/>
        <v>-212659.42640692639</v>
      </c>
      <c r="L38" s="25">
        <f t="shared" si="8"/>
        <v>-190109.92640692639</v>
      </c>
      <c r="M38" s="25">
        <f t="shared" si="8"/>
        <v>-252293.56926406926</v>
      </c>
      <c r="N38" s="25">
        <f t="shared" si="8"/>
        <v>-181602.75974025973</v>
      </c>
      <c r="O38" s="25">
        <f t="shared" si="8"/>
        <v>-496407.80735930736</v>
      </c>
      <c r="P38" s="2"/>
      <c r="Q38" s="25">
        <f>+Q22+Q25+Q32+Q35+Q36+Q37</f>
        <v>-3265941.5952380951</v>
      </c>
    </row>
    <row r="39" spans="1:17" x14ac:dyDescent="0.25">
      <c r="A39" s="2"/>
      <c r="B39" s="52" t="s">
        <v>92</v>
      </c>
      <c r="C39" s="52"/>
      <c r="D39" s="20">
        <f t="shared" ref="D39:O39" si="9">+D16+D38</f>
        <v>35138.595238095266</v>
      </c>
      <c r="E39" s="20">
        <f t="shared" si="9"/>
        <v>49491.406926406897</v>
      </c>
      <c r="F39" s="20">
        <f t="shared" si="9"/>
        <v>34228.740259740269</v>
      </c>
      <c r="G39" s="20">
        <f t="shared" si="9"/>
        <v>-12865.831168831151</v>
      </c>
      <c r="H39" s="20">
        <f t="shared" si="9"/>
        <v>201825.90692640693</v>
      </c>
      <c r="I39" s="20">
        <f t="shared" si="9"/>
        <v>95327.573593073583</v>
      </c>
      <c r="J39" s="20">
        <f t="shared" si="9"/>
        <v>-3026.4978354978375</v>
      </c>
      <c r="K39" s="20">
        <f t="shared" si="9"/>
        <v>71394.573593073612</v>
      </c>
      <c r="L39" s="20">
        <f t="shared" si="9"/>
        <v>181989.07359307361</v>
      </c>
      <c r="M39" s="20">
        <f t="shared" si="9"/>
        <v>185127.43073593074</v>
      </c>
      <c r="N39" s="20">
        <f t="shared" si="9"/>
        <v>178585.24025974027</v>
      </c>
      <c r="O39" s="20">
        <f t="shared" si="9"/>
        <v>-204552.80735930736</v>
      </c>
      <c r="P39" s="2"/>
      <c r="Q39" s="20">
        <f>+Q16+Q38</f>
        <v>812663.40476190485</v>
      </c>
    </row>
    <row r="40" spans="1:17" x14ac:dyDescent="0.25">
      <c r="A40" s="2"/>
      <c r="B40" s="2"/>
      <c r="C40" s="5" t="s">
        <v>93</v>
      </c>
      <c r="D40" s="6">
        <f>Traslación_Pagos_2!E34</f>
        <v>-70000</v>
      </c>
      <c r="E40" s="6">
        <f>Traslación_Pagos_2!F34</f>
        <v>-50000</v>
      </c>
      <c r="F40" s="6">
        <f>Traslación_Pagos_2!G34</f>
        <v>-15000</v>
      </c>
      <c r="G40" s="6">
        <f>Traslación_Pagos_2!H34</f>
        <v>-5000</v>
      </c>
      <c r="H40" s="6">
        <f>Traslación_Pagos_2!I34</f>
        <v>-2000</v>
      </c>
      <c r="I40" s="6">
        <f>Traslación_Pagos_2!J34</f>
        <v>-12000</v>
      </c>
      <c r="J40" s="6">
        <f>Traslación_Pagos_2!K34</f>
        <v>-2000</v>
      </c>
      <c r="K40" s="6">
        <f>Traslación_Pagos_2!L34</f>
        <v>-2000</v>
      </c>
      <c r="L40" s="6">
        <f>Traslación_Pagos_2!M34</f>
        <v>-9000</v>
      </c>
      <c r="M40" s="6">
        <f>Traslación_Pagos_2!N34</f>
        <v>-8500</v>
      </c>
      <c r="N40" s="6">
        <f>Traslación_Pagos_2!O34</f>
        <v>-2000</v>
      </c>
      <c r="O40" s="6">
        <f>Traslación_Pagos_2!P34</f>
        <v>-2000</v>
      </c>
      <c r="P40" s="2"/>
      <c r="Q40" s="6">
        <f>SUM(D40:O40)</f>
        <v>-179500</v>
      </c>
    </row>
    <row r="41" spans="1:17" x14ac:dyDescent="0.25">
      <c r="A41" s="2"/>
      <c r="B41" s="2"/>
      <c r="C41" s="5" t="s">
        <v>94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2"/>
      <c r="Q41" s="6">
        <f>SUM(D41:O41)</f>
        <v>0</v>
      </c>
    </row>
    <row r="42" spans="1:17" x14ac:dyDescent="0.25">
      <c r="A42" s="2"/>
      <c r="B42" s="2"/>
      <c r="C42" s="53" t="s">
        <v>95</v>
      </c>
      <c r="D42" s="31">
        <f t="shared" ref="D42:O42" si="10">SUM(D40:D41)</f>
        <v>-70000</v>
      </c>
      <c r="E42" s="31">
        <f t="shared" si="10"/>
        <v>-50000</v>
      </c>
      <c r="F42" s="31">
        <f t="shared" si="10"/>
        <v>-15000</v>
      </c>
      <c r="G42" s="31">
        <f t="shared" si="10"/>
        <v>-5000</v>
      </c>
      <c r="H42" s="31">
        <f t="shared" si="10"/>
        <v>-2000</v>
      </c>
      <c r="I42" s="31">
        <f t="shared" si="10"/>
        <v>-12000</v>
      </c>
      <c r="J42" s="31">
        <f t="shared" si="10"/>
        <v>-2000</v>
      </c>
      <c r="K42" s="31">
        <f t="shared" si="10"/>
        <v>-2000</v>
      </c>
      <c r="L42" s="31">
        <f t="shared" si="10"/>
        <v>-9000</v>
      </c>
      <c r="M42" s="31">
        <f t="shared" si="10"/>
        <v>-8500</v>
      </c>
      <c r="N42" s="31">
        <f t="shared" si="10"/>
        <v>-2000</v>
      </c>
      <c r="O42" s="31">
        <f t="shared" si="10"/>
        <v>-2000</v>
      </c>
      <c r="P42" s="2"/>
      <c r="Q42" s="31">
        <f>SUM(Q40:Q41)</f>
        <v>-179500</v>
      </c>
    </row>
    <row r="43" spans="1:17" x14ac:dyDescent="0.25">
      <c r="A43" s="2"/>
      <c r="B43" s="2"/>
      <c r="C43" s="54" t="s">
        <v>96</v>
      </c>
      <c r="D43" s="55"/>
      <c r="E43" s="55"/>
      <c r="F43" s="55"/>
      <c r="G43" s="55"/>
      <c r="H43" s="55"/>
      <c r="I43" s="55">
        <v>-200000</v>
      </c>
      <c r="J43" s="55"/>
      <c r="K43" s="55"/>
      <c r="L43" s="55"/>
      <c r="M43" s="55">
        <v>0</v>
      </c>
      <c r="N43" s="55"/>
      <c r="O43" s="55">
        <v>0</v>
      </c>
      <c r="P43" s="2"/>
      <c r="Q43" s="55">
        <f>SUM(D43:O43)</f>
        <v>-200000</v>
      </c>
    </row>
    <row r="44" spans="1:17" x14ac:dyDescent="0.25">
      <c r="A44" s="2"/>
      <c r="B44" s="2"/>
      <c r="C44" s="5" t="s">
        <v>97</v>
      </c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2"/>
      <c r="Q44" s="6">
        <f>SUM(D44:O44)</f>
        <v>0</v>
      </c>
    </row>
    <row r="45" spans="1:17" x14ac:dyDescent="0.25">
      <c r="A45" s="2"/>
      <c r="B45" s="2"/>
      <c r="C45" s="53" t="s">
        <v>98</v>
      </c>
      <c r="D45" s="31">
        <f t="shared" ref="D45:O45" si="11">SUM(D43:D44)</f>
        <v>0</v>
      </c>
      <c r="E45" s="31">
        <f t="shared" si="11"/>
        <v>0</v>
      </c>
      <c r="F45" s="31">
        <f t="shared" si="11"/>
        <v>0</v>
      </c>
      <c r="G45" s="31">
        <f t="shared" si="11"/>
        <v>0</v>
      </c>
      <c r="H45" s="31">
        <f t="shared" si="11"/>
        <v>0</v>
      </c>
      <c r="I45" s="31">
        <f t="shared" si="11"/>
        <v>-200000</v>
      </c>
      <c r="J45" s="31">
        <f t="shared" si="11"/>
        <v>0</v>
      </c>
      <c r="K45" s="31">
        <f t="shared" si="11"/>
        <v>0</v>
      </c>
      <c r="L45" s="31">
        <f t="shared" si="11"/>
        <v>0</v>
      </c>
      <c r="M45" s="31">
        <f t="shared" si="11"/>
        <v>0</v>
      </c>
      <c r="N45" s="31">
        <f t="shared" si="11"/>
        <v>0</v>
      </c>
      <c r="O45" s="31">
        <f t="shared" si="11"/>
        <v>0</v>
      </c>
      <c r="P45" s="2"/>
      <c r="Q45" s="31">
        <f>SUM(Q43:Q44)</f>
        <v>-200000</v>
      </c>
    </row>
    <row r="46" spans="1:17" x14ac:dyDescent="0.25">
      <c r="A46" s="2"/>
      <c r="B46" s="52" t="s">
        <v>99</v>
      </c>
      <c r="C46" s="52"/>
      <c r="D46" s="20">
        <f>+D42</f>
        <v>-70000</v>
      </c>
      <c r="E46" s="20">
        <f t="shared" ref="E46:O46" si="12">+E42</f>
        <v>-50000</v>
      </c>
      <c r="F46" s="20">
        <f t="shared" si="12"/>
        <v>-15000</v>
      </c>
      <c r="G46" s="20">
        <f t="shared" si="12"/>
        <v>-5000</v>
      </c>
      <c r="H46" s="20">
        <f t="shared" si="12"/>
        <v>-2000</v>
      </c>
      <c r="I46" s="20">
        <f t="shared" si="12"/>
        <v>-12000</v>
      </c>
      <c r="J46" s="20">
        <f t="shared" si="12"/>
        <v>-2000</v>
      </c>
      <c r="K46" s="20">
        <f t="shared" si="12"/>
        <v>-2000</v>
      </c>
      <c r="L46" s="20">
        <f t="shared" si="12"/>
        <v>-9000</v>
      </c>
      <c r="M46" s="20">
        <f t="shared" si="12"/>
        <v>-8500</v>
      </c>
      <c r="N46" s="20">
        <f t="shared" si="12"/>
        <v>-2000</v>
      </c>
      <c r="O46" s="20">
        <f t="shared" si="12"/>
        <v>-2000</v>
      </c>
      <c r="P46" s="2"/>
      <c r="Q46" s="20">
        <f>+Q42+Q45</f>
        <v>-379500</v>
      </c>
    </row>
    <row r="47" spans="1:17" x14ac:dyDescent="0.25">
      <c r="A47" s="8"/>
      <c r="B47" s="48" t="s">
        <v>54</v>
      </c>
      <c r="C47" s="49"/>
      <c r="D47" s="28">
        <f>+D4+D39+D46</f>
        <v>10138.595238095266</v>
      </c>
      <c r="E47" s="28">
        <f>+E4+E39+E46</f>
        <v>9630.0021645021625</v>
      </c>
      <c r="F47" s="28">
        <f>+F4+F39+F46</f>
        <v>28858.742424242431</v>
      </c>
      <c r="G47" s="28">
        <f>+G4+G39+G46</f>
        <v>10992.91125541128</v>
      </c>
      <c r="H47" s="28">
        <f>+H4+H39+H46</f>
        <v>210818.81818181821</v>
      </c>
      <c r="I47" s="28">
        <f>+I4+I39+I46</f>
        <v>294146.39177489176</v>
      </c>
      <c r="J47" s="28">
        <f>+J4+J39+J46</f>
        <v>289119.89393939392</v>
      </c>
      <c r="K47" s="28">
        <f>+K4+K39+K46</f>
        <v>358514.46753246756</v>
      </c>
      <c r="L47" s="28">
        <f>+L4+L39+L46</f>
        <v>531503.5411255412</v>
      </c>
      <c r="M47" s="28">
        <f>+M4+M39+M46</f>
        <v>708130.97186147189</v>
      </c>
      <c r="N47" s="28">
        <f>+N4+N39+N46</f>
        <v>884716.21212121216</v>
      </c>
      <c r="O47" s="28">
        <f>+O4+O39+O46</f>
        <v>678163.40476190485</v>
      </c>
      <c r="P47" s="8"/>
      <c r="Q47" s="28">
        <f>+Q4+Q39+Q46</f>
        <v>478163.40476190485</v>
      </c>
    </row>
  </sheetData>
  <conditionalFormatting sqref="A47:Q47">
    <cfRule type="cellIs" dxfId="0" priority="1" stopIfTrue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6</vt:i4>
      </vt:variant>
    </vt:vector>
  </HeadingPairs>
  <TitlesOfParts>
    <vt:vector size="6" baseType="lpstr">
      <vt:lpstr>Cuenta de Resultados</vt:lpstr>
      <vt:lpstr>Traslación_Cobros</vt:lpstr>
      <vt:lpstr>Traslación_Pagos_1</vt:lpstr>
      <vt:lpstr>Presupuesto_Tesoreria_1</vt:lpstr>
      <vt:lpstr>Traslación_Pagos_2</vt:lpstr>
      <vt:lpstr>Presupuesto_Tesoreria_2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Aleix</dc:creator>
  <cp:lastModifiedBy>oriol Calblay</cp:lastModifiedBy>
  <cp:lastPrinted>2021-08-17T15:37:14Z</cp:lastPrinted>
  <dcterms:created xsi:type="dcterms:W3CDTF">2021-08-17T15:09:30Z</dcterms:created>
  <dcterms:modified xsi:type="dcterms:W3CDTF">2024-06-26T17:46:15Z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ab904b49-3f4d-4965-871f-2e2fd7247f94_Enabled">
    <vt:lpwstr>True</vt:lpwstr>
  </property>
  <property fmtid="{D5CDD505-2E9C-101B-9397-08002B2CF9AE}" pid="5" name="MSIP_Label_ab904b49-3f4d-4965-871f-2e2fd7247f94_SiteId">
    <vt:lpwstr>05088b6e-1d96-4f6b-8918-48957eca4f00</vt:lpwstr>
  </property>
  <property fmtid="{D5CDD505-2E9C-101B-9397-08002B2CF9AE}" pid="6" name="MSIP_Label_ab904b49-3f4d-4965-871f-2e2fd7247f94_Owner">
    <vt:lpwstr>aleix.vives@cellnextelecom.com</vt:lpwstr>
  </property>
  <property fmtid="{D5CDD505-2E9C-101B-9397-08002B2CF9AE}" pid="7" name="MSIP_Label_ab904b49-3f4d-4965-871f-2e2fd7247f94_SetDate">
    <vt:lpwstr>2021-09-28T15:00:07.9083214Z</vt:lpwstr>
  </property>
  <property fmtid="{D5CDD505-2E9C-101B-9397-08002B2CF9AE}" pid="8" name="MSIP_Label_ab904b49-3f4d-4965-871f-2e2fd7247f94_Name">
    <vt:lpwstr>Internal</vt:lpwstr>
  </property>
  <property fmtid="{D5CDD505-2E9C-101B-9397-08002B2CF9AE}" pid="9" name="MSIP_Label_ab904b49-3f4d-4965-871f-2e2fd7247f94_Application">
    <vt:lpwstr>Microsoft Azure Information Protection</vt:lpwstr>
  </property>
  <property fmtid="{D5CDD505-2E9C-101B-9397-08002B2CF9AE}" pid="10" name="MSIP_Label_ab904b49-3f4d-4965-871f-2e2fd7247f94_ActionId">
    <vt:lpwstr>3053ac61-15c4-4bc7-bd86-9ccfaab08288</vt:lpwstr>
  </property>
  <property fmtid="{D5CDD505-2E9C-101B-9397-08002B2CF9AE}" pid="11" name="MSIP_Label_ab904b49-3f4d-4965-871f-2e2fd7247f94_Extended_MSFT_Method">
    <vt:lpwstr>Automatic</vt:lpwstr>
  </property>
  <property fmtid="{D5CDD505-2E9C-101B-9397-08002B2CF9AE}" pid="12" name="Sensitivity">
    <vt:lpwstr>Internal</vt:lpwstr>
  </property>
</Properties>
</file>