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4/INCERTIDUMBRE EN  LA EMPRESA/"/>
    </mc:Choice>
  </mc:AlternateContent>
  <xr:revisionPtr revIDLastSave="0" documentId="8_{B5FD3218-30B5-4A97-BD5C-EC579C37EB17}" xr6:coauthVersionLast="47" xr6:coauthVersionMax="47" xr10:uidLastSave="{00000000-0000-0000-0000-000000000000}"/>
  <bookViews>
    <workbookView xWindow="-120" yWindow="-120" windowWidth="29040" windowHeight="15720" xr2:uid="{F6610955-258F-48F2-A763-EAD148CA9254}"/>
  </bookViews>
  <sheets>
    <sheet name="Matriz Principal" sheetId="1" r:id="rId1"/>
    <sheet name="Mapa" sheetId="2" r:id="rId2"/>
    <sheet name="hoja de trabajo" sheetId="3" r:id="rId3"/>
  </sheets>
  <externalReferences>
    <externalReference r:id="rId4"/>
  </externalReferences>
  <definedNames>
    <definedName name="_xlnm._FilterDatabase" localSheetId="0" hidden="1">'Matriz Principal'!$A$1:$C$21</definedName>
    <definedName name="CONSECUENCIAS">[1]Listas!$M$4:$M$15</definedName>
    <definedName name="Documentado">[1]Listas!$K$4:$K$5</definedName>
    <definedName name="Evidencia_del_Contol">[1]Listas!$I$4:$I$5</definedName>
    <definedName name="FACTOR_DE_RIESGO">[1]Listas!$O$4:$O$8</definedName>
    <definedName name="Forma_de_ejecución">[1]Listas!$E$4:$E$6</definedName>
    <definedName name="Frecuencia">[1]Listas!$G$4:$G$12</definedName>
    <definedName name="MACROPROCESO">[1]Listas!$N$4:$N$15</definedName>
    <definedName name="Tipo_de_Control">[1]Listas!$C$4:$C$6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M4" i="1" s="1"/>
  <c r="L5" i="1"/>
  <c r="L6" i="1"/>
  <c r="L7" i="1"/>
  <c r="M7" i="1" s="1"/>
  <c r="L8" i="1"/>
  <c r="L9" i="1"/>
  <c r="L10" i="1"/>
  <c r="M10" i="1" s="1"/>
  <c r="L11" i="1"/>
  <c r="L12" i="1"/>
  <c r="M12" i="1" s="1"/>
  <c r="L13" i="1"/>
  <c r="L14" i="1"/>
  <c r="L15" i="1"/>
  <c r="M15" i="1" s="1"/>
  <c r="L16" i="1"/>
  <c r="L17" i="1"/>
  <c r="L18" i="1"/>
  <c r="M18" i="1" s="1"/>
  <c r="L19" i="1"/>
  <c r="L20" i="1"/>
  <c r="M20" i="1" s="1"/>
  <c r="L21" i="1"/>
  <c r="L2" i="1"/>
  <c r="M3" i="1"/>
  <c r="M5" i="1"/>
  <c r="M6" i="1"/>
  <c r="M8" i="1"/>
  <c r="M9" i="1"/>
  <c r="M11" i="1"/>
  <c r="M13" i="1"/>
  <c r="M14" i="1"/>
  <c r="M16" i="1"/>
  <c r="M17" i="1"/>
  <c r="M19" i="1"/>
  <c r="M21" i="1"/>
  <c r="N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H4" i="2" l="1"/>
  <c r="E4" i="2"/>
  <c r="M2" i="1"/>
  <c r="N20" i="1"/>
  <c r="O20" i="1" s="1"/>
  <c r="N18" i="1"/>
  <c r="O18" i="1" s="1"/>
  <c r="N16" i="1"/>
  <c r="O16" i="1" s="1"/>
  <c r="N14" i="1"/>
  <c r="O14" i="1" s="1"/>
  <c r="N12" i="1"/>
  <c r="O12" i="1" s="1"/>
  <c r="N10" i="1"/>
  <c r="O10" i="1" s="1"/>
  <c r="N8" i="1"/>
  <c r="O8" i="1" s="1"/>
  <c r="N6" i="1"/>
  <c r="O6" i="1" s="1"/>
  <c r="N4" i="1"/>
  <c r="O4" i="1" s="1"/>
  <c r="N3" i="1"/>
  <c r="O3" i="1" s="1"/>
  <c r="N21" i="1"/>
  <c r="O21" i="1" s="1"/>
  <c r="N19" i="1"/>
  <c r="O19" i="1" s="1"/>
  <c r="N17" i="1"/>
  <c r="O17" i="1" s="1"/>
  <c r="N15" i="1"/>
  <c r="O15" i="1" s="1"/>
  <c r="N13" i="1"/>
  <c r="O13" i="1" s="1"/>
  <c r="N11" i="1"/>
  <c r="O11" i="1" s="1"/>
  <c r="N9" i="1"/>
  <c r="O9" i="1" s="1"/>
  <c r="N7" i="1"/>
  <c r="O7" i="1" s="1"/>
  <c r="N5" i="1"/>
  <c r="O5" i="1" s="1"/>
  <c r="O2" i="1"/>
  <c r="H6" i="2" l="1"/>
  <c r="E7" i="2"/>
  <c r="E5" i="2"/>
  <c r="E6" i="2"/>
  <c r="H7" i="2"/>
  <c r="G5" i="2"/>
  <c r="E8" i="2"/>
  <c r="G4" i="2"/>
  <c r="F8" i="2"/>
  <c r="H8" i="2"/>
  <c r="D4" i="2"/>
  <c r="G6" i="2"/>
  <c r="G7" i="2"/>
  <c r="G8" i="2"/>
  <c r="D5" i="2"/>
  <c r="D6" i="2"/>
  <c r="D7" i="2"/>
  <c r="D8" i="2"/>
  <c r="F4" i="2"/>
  <c r="H5" i="2"/>
  <c r="F5" i="2"/>
  <c r="F6" i="2"/>
  <c r="F7" i="2"/>
  <c r="L6" i="2" l="1"/>
  <c r="O6" i="2"/>
  <c r="L4" i="2"/>
  <c r="N6" i="2"/>
  <c r="M8" i="2"/>
  <c r="N5" i="2"/>
  <c r="L8" i="2"/>
  <c r="M4" i="2"/>
  <c r="N4" i="2"/>
  <c r="N8" i="2"/>
  <c r="O5" i="2"/>
  <c r="L5" i="2"/>
  <c r="P4" i="2"/>
  <c r="O8" i="2"/>
  <c r="O7" i="2"/>
  <c r="M6" i="2"/>
  <c r="L7" i="2"/>
  <c r="M7" i="2"/>
  <c r="P6" i="2"/>
  <c r="M5" i="2"/>
  <c r="P7" i="2"/>
  <c r="O4" i="2"/>
  <c r="P8" i="2"/>
  <c r="P5" i="2"/>
  <c r="N7" i="2"/>
</calcChain>
</file>

<file path=xl/sharedStrings.xml><?xml version="1.0" encoding="utf-8"?>
<sst xmlns="http://schemas.openxmlformats.org/spreadsheetml/2006/main" count="181" uniqueCount="96">
  <si>
    <t>Inherent Risk Profile</t>
  </si>
  <si>
    <t>Residual Risk Profile</t>
  </si>
  <si>
    <t>Frequency</t>
  </si>
  <si>
    <t>Inherent Risk</t>
  </si>
  <si>
    <t>Residual Risk</t>
  </si>
  <si>
    <t>Probability</t>
  </si>
  <si>
    <t>5. Very frequent
100%</t>
  </si>
  <si>
    <t>4. Probable
80%</t>
  </si>
  <si>
    <t xml:space="preserve">3. May occur
60% </t>
  </si>
  <si>
    <t>2. Eventually
40%</t>
  </si>
  <si>
    <t>1. Rarely
20%</t>
  </si>
  <si>
    <t>1. Insignificant
20%</t>
  </si>
  <si>
    <t>2. Minor
40%</t>
  </si>
  <si>
    <t>3. Moderate
60%</t>
  </si>
  <si>
    <t>4.  Major
80%</t>
  </si>
  <si>
    <t>5.High Impact
100%</t>
  </si>
  <si>
    <t>Impact</t>
  </si>
  <si>
    <t>Extreme</t>
  </si>
  <si>
    <t>High</t>
  </si>
  <si>
    <t>Moderate</t>
  </si>
  <si>
    <t>Low</t>
  </si>
  <si>
    <t>Result</t>
  </si>
  <si>
    <t>RISK</t>
  </si>
  <si>
    <t>CAUSE</t>
  </si>
  <si>
    <t>RISK FACTOR</t>
  </si>
  <si>
    <t>CONSEQUENCE</t>
  </si>
  <si>
    <t>PROBABILITY</t>
  </si>
  <si>
    <t>ocultar</t>
  </si>
  <si>
    <t>Rep</t>
  </si>
  <si>
    <t>Legal</t>
  </si>
  <si>
    <t>Eco</t>
  </si>
  <si>
    <t>Oper</t>
  </si>
  <si>
    <t>IMPACT</t>
  </si>
  <si>
    <t>RESULT</t>
  </si>
  <si>
    <t>PROCESS</t>
  </si>
  <si>
    <r>
      <t>-</t>
    </r>
    <r>
      <rPr>
        <b/>
        <sz val="9"/>
        <color rgb="FF000000"/>
        <rFont val="Times New Roman"/>
        <family val="1"/>
      </rPr>
      <t xml:space="preserve">         </t>
    </r>
    <r>
      <rPr>
        <b/>
        <sz val="9"/>
        <color rgb="FF000000"/>
        <rFont val="ProximaNova-Regular"/>
      </rPr>
      <t>Desaceleración a largo plazo en los fundamentos/técnicos/sentimiento de los diferentes nichos de mercado donde se realizan inversiones.</t>
    </r>
  </si>
  <si>
    <r>
      <t>-</t>
    </r>
    <r>
      <rPr>
        <b/>
        <sz val="9"/>
        <color rgb="FF000000"/>
        <rFont val="Times New Roman"/>
        <family val="1"/>
      </rPr>
      <t xml:space="preserve">         </t>
    </r>
    <r>
      <rPr>
        <b/>
        <sz val="9"/>
        <color rgb="FF000000"/>
        <rFont val="ProximaNova-Regular"/>
      </rPr>
      <t>Los problemas de capacidad del mercado y el aumento de la competencia limitan el crecimiento</t>
    </r>
  </si>
  <si>
    <r>
      <t>-</t>
    </r>
    <r>
      <rPr>
        <b/>
        <sz val="9"/>
        <color rgb="FF000000"/>
        <rFont val="Times New Roman"/>
        <family val="1"/>
      </rPr>
      <t xml:space="preserve">         </t>
    </r>
    <r>
      <rPr>
        <b/>
        <sz val="9"/>
        <color rgb="FF000000"/>
        <rFont val="ProximaNova-Regular"/>
      </rPr>
      <t>Cambio climático, sostenibilidad y sus implicaciones para particulares, empresas e inversores</t>
    </r>
  </si>
  <si>
    <r>
      <t>-</t>
    </r>
    <r>
      <rPr>
        <b/>
        <sz val="9"/>
        <color rgb="FF000000"/>
        <rFont val="Times New Roman"/>
        <family val="1"/>
      </rPr>
      <t xml:space="preserve">         </t>
    </r>
    <r>
      <rPr>
        <b/>
        <sz val="9"/>
        <color rgb="FF000000"/>
        <rFont val="ProximaNova-Regular"/>
      </rPr>
      <t>Riesgo reputacional de los medios tradicionales, digitales y sociales.</t>
    </r>
  </si>
  <si>
    <r>
      <t>-</t>
    </r>
    <r>
      <rPr>
        <b/>
        <sz val="9"/>
        <color rgb="FF000000"/>
        <rFont val="Times New Roman"/>
        <family val="1"/>
      </rPr>
      <t xml:space="preserve">         </t>
    </r>
    <r>
      <rPr>
        <b/>
        <sz val="9"/>
        <color rgb="FF000000"/>
        <rFont val="ProximaNova-Regular"/>
      </rPr>
      <t>Fraude interno perpetrado contra entidades, fondos o inversiones de la Compañía.</t>
    </r>
  </si>
  <si>
    <r>
      <t>-</t>
    </r>
    <r>
      <rPr>
        <b/>
        <sz val="9"/>
        <color rgb="FF000000"/>
        <rFont val="Times New Roman"/>
        <family val="1"/>
      </rPr>
      <t xml:space="preserve">         </t>
    </r>
    <r>
      <rPr>
        <b/>
        <sz val="9"/>
        <color rgb="FF000000"/>
        <rFont val="ProximaNova-Regular"/>
      </rPr>
      <t>Fraude externo e incumplimiento de contrato perpetrado contra la Compañía</t>
    </r>
  </si>
  <si>
    <r>
      <t>-</t>
    </r>
    <r>
      <rPr>
        <b/>
        <sz val="9"/>
        <color rgb="FF000000"/>
        <rFont val="Times New Roman"/>
        <family val="1"/>
      </rPr>
      <t xml:space="preserve">         </t>
    </r>
    <r>
      <rPr>
        <b/>
        <sz val="9"/>
        <color rgb="FF000000"/>
        <rFont val="ProximaNova-Regular"/>
      </rPr>
      <t>Caída en el desempeño a largo plazo de las compañías donde se realizan las inversiones.</t>
    </r>
  </si>
  <si>
    <r>
      <t>-</t>
    </r>
    <r>
      <rPr>
        <b/>
        <sz val="9"/>
        <color rgb="FF000000"/>
        <rFont val="Times New Roman"/>
        <family val="1"/>
      </rPr>
      <t xml:space="preserve">         </t>
    </r>
    <r>
      <rPr>
        <b/>
        <sz val="9"/>
        <color rgb="FF000000"/>
        <rFont val="ProximaNova-Regular"/>
      </rPr>
      <t>Supervisión inadecuada del cliente, incluida la alineación de intereses.</t>
    </r>
  </si>
  <si>
    <r>
      <t>-</t>
    </r>
    <r>
      <rPr>
        <b/>
        <sz val="9"/>
        <color rgb="FF000000"/>
        <rFont val="Times New Roman"/>
        <family val="1"/>
      </rPr>
      <t xml:space="preserve">         </t>
    </r>
    <r>
      <rPr>
        <b/>
        <sz val="9"/>
        <color rgb="FF000000"/>
        <rFont val="ProximaNova-Regular"/>
      </rPr>
      <t>Nivel de recursos, que incluye la pérdida de personal clave o la incapacidad de atraer personal y/u otros requisitos de salud y seguridad.</t>
    </r>
  </si>
  <si>
    <r>
      <t>-</t>
    </r>
    <r>
      <rPr>
        <b/>
        <sz val="9"/>
        <color rgb="FF000000"/>
        <rFont val="Times New Roman"/>
        <family val="1"/>
      </rPr>
      <t xml:space="preserve">         </t>
    </r>
    <r>
      <rPr>
        <b/>
        <sz val="9"/>
        <color rgb="FF000000"/>
        <rFont val="ProximaNova-Regular"/>
      </rPr>
      <t>Fallas en la seguridad de la información, incluidas protecciones y medidas adecuadas en relación con ataques cibernéticos y de ransomware</t>
    </r>
  </si>
  <si>
    <r>
      <t>-</t>
    </r>
    <r>
      <rPr>
        <b/>
        <sz val="9"/>
        <color rgb="FF000000"/>
        <rFont val="Times New Roman"/>
        <family val="1"/>
      </rPr>
      <t xml:space="preserve">         </t>
    </r>
    <r>
      <rPr>
        <b/>
        <sz val="9"/>
        <color rgb="FF000000"/>
        <rFont val="ProximaNova-Regular"/>
      </rPr>
      <t>Inadecuada planificación de la continuidad del negocio (BCP) que cubre personas, edificios y sistemas.</t>
    </r>
  </si>
  <si>
    <r>
      <t>-</t>
    </r>
    <r>
      <rPr>
        <b/>
        <sz val="9"/>
        <color rgb="FF000000"/>
        <rFont val="Times New Roman"/>
        <family val="1"/>
      </rPr>
      <t xml:space="preserve">         </t>
    </r>
    <r>
      <rPr>
        <b/>
        <sz val="9"/>
        <color rgb="FF000000"/>
        <rFont val="ProximaNova-Regular"/>
      </rPr>
      <t>Acción legal por o contra la Compañía por parte de partes externas y/o empleados</t>
    </r>
  </si>
  <si>
    <r>
      <t>-</t>
    </r>
    <r>
      <rPr>
        <b/>
        <sz val="9"/>
        <color rgb="FF000000"/>
        <rFont val="Times New Roman"/>
        <family val="1"/>
      </rPr>
      <t xml:space="preserve">         </t>
    </r>
    <r>
      <rPr>
        <b/>
        <sz val="9"/>
        <color rgb="FF000000"/>
        <rFont val="ProximaNova-Regular"/>
      </rPr>
      <t>Inadecuada atención a las actividades de las compañías con impacto considerable sobre las variables de impacto ambiental en las regiones donde se desarrolla su actividad.</t>
    </r>
  </si>
  <si>
    <r>
      <t>-</t>
    </r>
    <r>
      <rPr>
        <b/>
        <sz val="9"/>
        <color rgb="FF000000"/>
        <rFont val="Times New Roman"/>
        <family val="1"/>
      </rPr>
      <t xml:space="preserve">         </t>
    </r>
    <r>
      <rPr>
        <b/>
        <sz val="9"/>
        <color rgb="FF000000"/>
        <rFont val="ProximaNova-Regular"/>
      </rPr>
      <t>Cambios en las corrientes gubernamentales a cargo de las políticas estatales que promuevan leyes desfavorables a los sectores donde se mantienen las inversiones.</t>
    </r>
  </si>
  <si>
    <r>
      <t>-</t>
    </r>
    <r>
      <rPr>
        <b/>
        <sz val="9"/>
        <color rgb="FF000000"/>
        <rFont val="Times New Roman"/>
        <family val="1"/>
      </rPr>
      <t xml:space="preserve">         </t>
    </r>
    <r>
      <rPr>
        <b/>
        <sz val="9"/>
        <color rgb="FF000000"/>
        <rFont val="ProximaNova-Regular"/>
      </rPr>
      <t>Falta de comprensión y cumplimiento de los requisitos regulatorios globales y locales, así como conflictos de intereses y trato justo a los clientes.</t>
    </r>
  </si>
  <si>
    <r>
      <t>-</t>
    </r>
    <r>
      <rPr>
        <b/>
        <sz val="9"/>
        <color rgb="FF000000"/>
        <rFont val="Times New Roman"/>
        <family val="1"/>
      </rPr>
      <t xml:space="preserve">         </t>
    </r>
    <r>
      <rPr>
        <b/>
        <sz val="9"/>
        <color rgb="FF000000"/>
        <rFont val="ProximaNova-Regular"/>
      </rPr>
      <t>Delitos financieros que incluyen lavado de dinero, soborno y corrupción que conducen a publicidad de alto nivel o sanciones regulatorias.</t>
    </r>
  </si>
  <si>
    <r>
      <t>-</t>
    </r>
    <r>
      <rPr>
        <b/>
        <sz val="9"/>
        <color rgb="FF000000"/>
        <rFont val="Times New Roman"/>
        <family val="1"/>
      </rPr>
      <t xml:space="preserve">         </t>
    </r>
    <r>
      <rPr>
        <b/>
        <sz val="9"/>
        <color rgb="FF000000"/>
        <rFont val="ProximaNova-Regular"/>
      </rPr>
      <t>Prácticas contables inapropiadas dan lugar a sanciones, multas u otras sanciones.</t>
    </r>
  </si>
  <si>
    <r>
      <t>-</t>
    </r>
    <r>
      <rPr>
        <b/>
        <sz val="9"/>
        <color rgb="FF000000"/>
        <rFont val="Times New Roman"/>
        <family val="1"/>
      </rPr>
      <t xml:space="preserve">         </t>
    </r>
    <r>
      <rPr>
        <b/>
        <sz val="9"/>
        <color rgb="FF000000"/>
        <rFont val="ProximaNova-Regular"/>
      </rPr>
      <t>Inadecuada supervisión y/o asesoramiento fiscal</t>
    </r>
  </si>
  <si>
    <t>Portfolio Management</t>
  </si>
  <si>
    <t>Fund Raising</t>
  </si>
  <si>
    <t>ESG</t>
  </si>
  <si>
    <t>Operations</t>
  </si>
  <si>
    <t>Human Resources</t>
  </si>
  <si>
    <t>Legal &amp; Compliance</t>
  </si>
  <si>
    <t>Investing</t>
  </si>
  <si>
    <r>
      <t>-</t>
    </r>
    <r>
      <rPr>
        <b/>
        <sz val="9"/>
        <color rgb="FF000000"/>
        <rFont val="Times New Roman"/>
        <family val="1"/>
      </rPr>
      <t xml:space="preserve">         </t>
    </r>
    <r>
      <rPr>
        <b/>
        <sz val="9"/>
        <color rgb="FF000000"/>
        <rFont val="ProximaNova-Regular"/>
      </rPr>
      <t>Proyecciones financieras, cobertura de flujos de caja futuros y riesgos del balance, incluidas exposiciones al crédito y al capital inicial.</t>
    </r>
  </si>
  <si>
    <r>
      <t>-</t>
    </r>
    <r>
      <rPr>
        <b/>
        <sz val="9"/>
        <color rgb="FF000000"/>
        <rFont val="Times New Roman"/>
        <family val="1"/>
      </rPr>
      <t xml:space="preserve">         </t>
    </r>
    <r>
      <rPr>
        <b/>
        <sz val="9"/>
        <color rgb="FF000000"/>
        <rFont val="ProximaNova-Regular"/>
      </rPr>
      <t>Provisión adecuada de solvencia y liquidez (incluido el capital regulatorio).</t>
    </r>
  </si>
  <si>
    <t>Finance</t>
  </si>
  <si>
    <t>Los administradores realizan inversiones que infringen las pautas de inversión, los estatutos regulatorios y las políticas de cumplimiento y riesgo del grupo.</t>
  </si>
  <si>
    <t>Omisiones en la identificación de oportunidades, fortalezas, amenazas y debilidades</t>
  </si>
  <si>
    <t>Humano</t>
  </si>
  <si>
    <t>Omisión del análisis de los antecedentes y leyes aplicables para el período definido en el plan estratégico</t>
  </si>
  <si>
    <t>Acción legal por o contra la Compañía y/o sus fondos por parte de partes externas y/o empleados</t>
  </si>
  <si>
    <t>Externo</t>
  </si>
  <si>
    <t>Fallas en la implementación y actualización de cambios regulatorios.</t>
  </si>
  <si>
    <t>La empresa se utiliza para promover el lavado de dinero y/u otros delitos financieros.</t>
  </si>
  <si>
    <t>Procesos</t>
  </si>
  <si>
    <t>Fallas en los servicios tecnológicos de redes y comunicaciones prestados por la matriz</t>
  </si>
  <si>
    <t>Controles inadecuados en torno a la seguridad de la información que resultan en pérdida de datos, pérdida financiera y/o uso inadecuado de la información.</t>
  </si>
  <si>
    <t>Errores u omisiones en la parametrización de límites en sistemas de monitorización</t>
  </si>
  <si>
    <t>Las proyecciones financieras inexactas afectan negativamente la toma de decisiones</t>
  </si>
  <si>
    <t>Supervisión inadecuada de los asuntos y obligaciones fiscales</t>
  </si>
  <si>
    <t>Investor Relations</t>
  </si>
  <si>
    <t>La reputación de la empresa se ve afectada por la prensa negativa, los informes inexactos y/o el posible abuso de fuentes tanto tradicionales como digitales.</t>
  </si>
  <si>
    <t>La desaceleración a largo plazo de los fundamentos/aumento del riesgo geopolítico conduce a un período prolongado de salida neta de fondos, desempeño adverso y/o pérdida de confianza de los inversores.</t>
  </si>
  <si>
    <t>Este es el riesgo de no comprender y planificar el impacto potencial para el negocio que el sentimiento de los inversores/empresas, el cambio climático y las regulaciones de sostenibilidad pueden tener en las preferencias de productos y en los precios de los activos subyacentes que pueden verse afectados por la transición a una economía con emisiones bajas de carbono.</t>
  </si>
  <si>
    <t>El riesgo de que un administrador de fondos o cualquier persona en las áreas de apoyo del Grupo cometa un acto de fraude contra el grupo o uno de sus Fondos.</t>
  </si>
  <si>
    <t>El riesgo de que un proveedor de servicios o un tercero cometa un acto de fraude contra el grupo o uno de sus Fondos</t>
  </si>
  <si>
    <t>El riesgo de que la estrategia y el modelo de negocio del Grupo no evolucionen para reflejar el sentimiento de los inversores y los cambios de la industria que incluyen el riesgo ESG y de cambio climático.</t>
  </si>
  <si>
    <t>Inadecuados canales de comunicación y reporte para alinear las expectativas de los clientes potenciales.</t>
  </si>
  <si>
    <t>Falta de capacidad para generar planes de continuidad del negocio y planes de carrera atractivos para los profesionales.</t>
  </si>
  <si>
    <t>El riesgo de que la empresa no tenga una supervisión adecuada de sus asuntos y obligaciones fiscales globales.</t>
  </si>
  <si>
    <t>Proceso</t>
  </si>
  <si>
    <t>Reputational &amp; economic</t>
  </si>
  <si>
    <t>Operational &amp; economic</t>
  </si>
  <si>
    <t>Operational, legal &amp; economic</t>
  </si>
  <si>
    <t>Legal, reputational &amp; economic</t>
  </si>
  <si>
    <t>Reputational, economic &amp; operational</t>
  </si>
  <si>
    <t>Legal &amp; Economic</t>
  </si>
  <si>
    <t>Operational</t>
  </si>
  <si>
    <t>Economic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</si>
</sst>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rgb="FF000000"/>
      <name val="ProximaNova-Regular"/>
    </font>
    <font>
      <b/>
      <sz val="9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3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3"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4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9" fontId="0" fillId="0" borderId="1" xfId="1" applyFont="1" applyBorder="1"/>
    <xf numFmtId="0" fontId="0" fillId="0" borderId="1" xfId="0" applyBorder="1"/>
    <xf numFmtId="9" fontId="0" fillId="0" borderId="0" xfId="1" applyFont="1"/>
    <xf numFmtId="41" fontId="0" fillId="0" borderId="0" xfId="2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0" xfId="0" applyNumberFormat="1"/>
    <xf numFmtId="9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left" vertical="center" textRotation="90" wrapText="1"/>
      <protection locked="0"/>
    </xf>
    <xf numFmtId="0" fontId="9" fillId="0" borderId="1" xfId="0" applyFont="1" applyBorder="1" applyAlignment="1" applyProtection="1">
      <alignment horizontal="center" vertical="center" textRotation="90" wrapText="1"/>
      <protection locked="0"/>
    </xf>
    <xf numFmtId="0" fontId="9" fillId="0" borderId="1" xfId="0" applyFont="1" applyBorder="1" applyAlignment="1" applyProtection="1">
      <alignment horizontal="center" vertical="center" wrapText="1"/>
      <protection hidden="1"/>
    </xf>
    <xf numFmtId="9" fontId="9" fillId="0" borderId="1" xfId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vertical="top"/>
    </xf>
    <xf numFmtId="0" fontId="10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9" fillId="0" borderId="1" xfId="0" applyFont="1" applyBorder="1" applyAlignment="1" applyProtection="1">
      <alignment horizontal="center" vertical="top" wrapText="1"/>
      <protection locked="0"/>
    </xf>
    <xf numFmtId="9" fontId="5" fillId="0" borderId="0" xfId="1" applyFont="1" applyAlignment="1">
      <alignment vertical="top"/>
    </xf>
    <xf numFmtId="0" fontId="0" fillId="0" borderId="0" xfId="0" quotePrefix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textRotation="90"/>
    </xf>
  </cellXfs>
  <cellStyles count="3">
    <cellStyle name="Comma [0] 2" xfId="2" xr:uid="{4B552DC7-1500-4BE0-8079-314FF9713309}"/>
    <cellStyle name="Normal" xfId="0" builtinId="0"/>
    <cellStyle name="Percentatge" xfId="1" builtinId="5"/>
  </cellStyles>
  <dxfs count="24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5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5" tint="-0.24994659260841701"/>
      </font>
    </dxf>
    <dxf>
      <font>
        <color rgb="FFC00000"/>
      </font>
    </dxf>
    <dxf>
      <font>
        <color theme="5" tint="-0.24994659260841701"/>
      </font>
    </dxf>
    <dxf>
      <font>
        <color rgb="FF66FF33"/>
      </font>
    </dxf>
    <dxf>
      <font>
        <color rgb="FFFCF600"/>
      </font>
    </dxf>
    <dxf>
      <font>
        <color auto="1"/>
      </font>
      <fill>
        <patternFill>
          <bgColor rgb="FF00FF00"/>
        </patternFill>
      </fill>
    </dxf>
    <dxf>
      <font>
        <color auto="1"/>
      </font>
      <fill>
        <patternFill>
          <fgColor auto="1"/>
          <bgColor rgb="FFFFFF00"/>
        </patternFill>
      </fill>
    </dxf>
    <dxf>
      <font>
        <color auto="1"/>
      </font>
      <fill>
        <patternFill>
          <fgColor auto="1"/>
          <bgColor rgb="FFE26B0A"/>
        </patternFill>
      </fill>
    </dxf>
    <dxf>
      <font>
        <color auto="1"/>
      </font>
      <fill>
        <patternFill>
          <fgColor auto="1"/>
          <bgColor rgb="FFFF0000"/>
        </patternFill>
      </fill>
    </dxf>
    <dxf>
      <font>
        <color theme="0"/>
      </font>
      <fill>
        <patternFill>
          <bgColor theme="0"/>
        </patternFill>
      </fill>
    </dxf>
    <dxf>
      <font>
        <color auto="1"/>
      </font>
      <fill>
        <patternFill>
          <bgColor rgb="FF00FFFF"/>
        </patternFill>
      </fill>
    </dxf>
    <dxf>
      <font>
        <color theme="1"/>
      </font>
      <fill>
        <patternFill>
          <bgColor rgb="FF00EA0B"/>
        </patternFill>
      </fill>
    </dxf>
    <dxf>
      <fill>
        <patternFill>
          <bgColor rgb="FFFCF6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CF600"/>
        </patternFill>
      </fill>
    </dxf>
    <dxf>
      <fill>
        <patternFill>
          <bgColor rgb="FF00EA0B"/>
        </patternFill>
      </fill>
    </dxf>
    <dxf>
      <fill>
        <patternFill>
          <bgColor rgb="FFE26B0A"/>
        </patternFill>
      </fill>
    </dxf>
    <dxf>
      <fill>
        <patternFill>
          <bgColor rgb="FF00FFFF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imeneze\Documents\Compliance\Revisoria%20Fiscal%20Dec%202023\SARO\Appendix%202%20-%20Matriz%20Real%20V17%20ENG.xlsm" TargetMode="External"/><Relationship Id="rId1" Type="http://schemas.openxmlformats.org/officeDocument/2006/relationships/externalLinkPath" Target="file:///C:\Users\jimeneze\Documents\Compliance\Revisoria%20Fiscal%20Dec%202023\SARO\Appendix%202%20-%20Matriz%20Real%20V17%20ENG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g"/>
      <sheetName val="Matrix"/>
      <sheetName val="Risk Profile"/>
      <sheetName val="Methodology"/>
      <sheetName val="UK GPRM"/>
      <sheetName val="EM"/>
      <sheetName val="Listas"/>
    </sheetNames>
    <sheetDataSet>
      <sheetData sheetId="0"/>
      <sheetData sheetId="1">
        <row r="6">
          <cell r="AP6" t="str">
            <v>23</v>
          </cell>
        </row>
        <row r="9">
          <cell r="AP9" t="str">
            <v>32</v>
          </cell>
        </row>
        <row r="16">
          <cell r="AP16" t="str">
            <v>22</v>
          </cell>
        </row>
        <row r="24">
          <cell r="AP24" t="str">
            <v>23</v>
          </cell>
        </row>
        <row r="33">
          <cell r="AP33" t="str">
            <v>22</v>
          </cell>
        </row>
        <row r="37">
          <cell r="AP37" t="str">
            <v>12</v>
          </cell>
        </row>
        <row r="39">
          <cell r="AP39" t="str">
            <v>22</v>
          </cell>
        </row>
        <row r="43">
          <cell r="AP43" t="str">
            <v>32</v>
          </cell>
        </row>
        <row r="47">
          <cell r="AP47" t="str">
            <v>23</v>
          </cell>
        </row>
        <row r="54">
          <cell r="AP54" t="str">
            <v>22</v>
          </cell>
        </row>
        <row r="56">
          <cell r="AP56" t="str">
            <v>22</v>
          </cell>
        </row>
        <row r="64">
          <cell r="AP64" t="str">
            <v>23</v>
          </cell>
        </row>
        <row r="73">
          <cell r="AP73" t="str">
            <v>23</v>
          </cell>
        </row>
        <row r="82">
          <cell r="AP82" t="str">
            <v>12</v>
          </cell>
        </row>
        <row r="88">
          <cell r="AP88" t="str">
            <v>22</v>
          </cell>
        </row>
        <row r="94">
          <cell r="AP94" t="str">
            <v>22</v>
          </cell>
        </row>
        <row r="97">
          <cell r="AP97" t="str">
            <v>22</v>
          </cell>
        </row>
        <row r="103">
          <cell r="AP103" t="str">
            <v>22</v>
          </cell>
        </row>
        <row r="107">
          <cell r="AP107" t="str">
            <v>22</v>
          </cell>
        </row>
        <row r="113">
          <cell r="AP113" t="str">
            <v>22</v>
          </cell>
        </row>
        <row r="116">
          <cell r="AP116" t="str">
            <v>22</v>
          </cell>
        </row>
        <row r="118">
          <cell r="AP118" t="str">
            <v>23</v>
          </cell>
        </row>
        <row r="121">
          <cell r="AP121" t="str">
            <v>12</v>
          </cell>
        </row>
        <row r="124">
          <cell r="AP124" t="str">
            <v>23</v>
          </cell>
        </row>
        <row r="135">
          <cell r="AP135" t="str">
            <v>12</v>
          </cell>
        </row>
        <row r="141">
          <cell r="AP141" t="str">
            <v>22</v>
          </cell>
        </row>
        <row r="142">
          <cell r="AP142" t="str">
            <v>22</v>
          </cell>
        </row>
        <row r="143">
          <cell r="AP143" t="str">
            <v>22</v>
          </cell>
        </row>
        <row r="147">
          <cell r="AP147" t="str">
            <v>22</v>
          </cell>
        </row>
        <row r="148">
          <cell r="AP148" t="str">
            <v>22</v>
          </cell>
        </row>
      </sheetData>
      <sheetData sheetId="2"/>
      <sheetData sheetId="3"/>
      <sheetData sheetId="4"/>
      <sheetData sheetId="5"/>
      <sheetData sheetId="6">
        <row r="4">
          <cell r="C4" t="str">
            <v>Preventive</v>
          </cell>
          <cell r="E4" t="str">
            <v>Automatic</v>
          </cell>
          <cell r="G4" t="str">
            <v>Daily</v>
          </cell>
          <cell r="I4" t="str">
            <v>Yes support</v>
          </cell>
          <cell r="K4" t="str">
            <v>Yes</v>
          </cell>
          <cell r="M4" t="str">
            <v>Economic</v>
          </cell>
          <cell r="N4" t="str">
            <v>STRATEGIC PLANNING</v>
          </cell>
          <cell r="O4" t="str">
            <v>Processes</v>
          </cell>
        </row>
        <row r="5">
          <cell r="C5" t="str">
            <v>Detective</v>
          </cell>
          <cell r="E5" t="str">
            <v>Semiautomatic</v>
          </cell>
          <cell r="G5" t="str">
            <v>Weekly</v>
          </cell>
          <cell r="I5" t="str">
            <v>No support</v>
          </cell>
          <cell r="K5" t="str">
            <v>No</v>
          </cell>
          <cell r="M5" t="str">
            <v>Legal</v>
          </cell>
          <cell r="N5" t="str">
            <v>RISK MANAGEMENT SYSTEM</v>
          </cell>
          <cell r="O5" t="str">
            <v>Infrastructure</v>
          </cell>
        </row>
        <row r="6">
          <cell r="C6" t="str">
            <v>Corrective</v>
          </cell>
          <cell r="E6" t="str">
            <v>Manual</v>
          </cell>
          <cell r="G6" t="str">
            <v>Biweekly</v>
          </cell>
          <cell r="M6" t="str">
            <v>Reputational</v>
          </cell>
          <cell r="N6" t="str">
            <v>COMPLIANCE</v>
          </cell>
          <cell r="O6" t="str">
            <v>Technology</v>
          </cell>
        </row>
        <row r="7">
          <cell r="G7" t="str">
            <v>Monthly</v>
          </cell>
          <cell r="M7" t="str">
            <v>Legal &amp; Reputational</v>
          </cell>
          <cell r="N7" t="str">
            <v>ADVISORY AND INVESTMENT MANAGEMENT</v>
          </cell>
          <cell r="O7" t="str">
            <v>Human Resource</v>
          </cell>
        </row>
        <row r="8">
          <cell r="G8" t="str">
            <v>Bimonthly</v>
          </cell>
          <cell r="M8" t="str">
            <v>Legal &amp; Economic</v>
          </cell>
          <cell r="N8" t="str">
            <v>PORTFOLIO MANAGEMENT</v>
          </cell>
          <cell r="O8" t="str">
            <v>External</v>
          </cell>
        </row>
        <row r="9">
          <cell r="G9" t="str">
            <v>Quarterly</v>
          </cell>
          <cell r="M9" t="str">
            <v>Reputational &amp; economic</v>
          </cell>
          <cell r="N9" t="str">
            <v>ADMINISTRATIVE MANAGEMENT AND HUMAN TALENT</v>
          </cell>
        </row>
        <row r="10">
          <cell r="G10" t="str">
            <v>Biannual</v>
          </cell>
          <cell r="M10" t="str">
            <v>Legal, reputational &amp; economic</v>
          </cell>
          <cell r="N10" t="str">
            <v>LEGAL MANAGEMENT</v>
          </cell>
        </row>
        <row r="11">
          <cell r="G11" t="str">
            <v>Annual</v>
          </cell>
          <cell r="M11" t="str">
            <v>Operational</v>
          </cell>
          <cell r="N11" t="str">
            <v>FINANCIAL MANAGEMENT</v>
          </cell>
        </row>
        <row r="12">
          <cell r="G12" t="str">
            <v>When required</v>
          </cell>
          <cell r="M12" t="str">
            <v>Operational &amp; economic</v>
          </cell>
          <cell r="N12" t="str">
            <v>TECHNOLOGY MANAGEMENT</v>
          </cell>
        </row>
        <row r="13">
          <cell r="M13" t="str">
            <v>Operational, legal &amp; economic</v>
          </cell>
          <cell r="N13" t="str">
            <v>FINANCIAL CONSUMER ATTENTION</v>
          </cell>
        </row>
        <row r="14">
          <cell r="M14" t="str">
            <v>Reputational, economic &amp; operational</v>
          </cell>
          <cell r="N14" t="str">
            <v>INTERNAL AUDIT</v>
          </cell>
        </row>
        <row r="15">
          <cell r="N15" t="str">
            <v>BUSINESS CONTINUITY PLAN</v>
          </cell>
        </row>
      </sheetData>
    </sheetDataSet>
  </externalBook>
</externalLink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27863-A317-40B1-A14B-3E8C26BFDE82}">
  <sheetPr>
    <tabColor rgb="FF92D050"/>
  </sheetPr>
  <dimension ref="A1:O21"/>
  <sheetViews>
    <sheetView tabSelected="1" topLeftCell="C1" zoomScale="85" zoomScaleNormal="85" workbookViewId="0">
      <pane ySplit="1" topLeftCell="A13" activePane="bottomLeft" state="frozen"/>
      <selection pane="bottomLeft" activeCell="M2" sqref="M2:M21"/>
    </sheetView>
  </sheetViews>
  <sheetFormatPr defaultRowHeight="12" x14ac:dyDescent="0.2"/>
  <cols>
    <col min="1" max="1" width="20.28515625" style="23" customWidth="1"/>
    <col min="2" max="2" width="75.85546875" style="25" customWidth="1"/>
    <col min="3" max="3" width="32.28515625" style="2" customWidth="1"/>
    <col min="4" max="4" width="18.5703125" style="23" customWidth="1"/>
    <col min="5" max="5" width="21.7109375" style="1" customWidth="1"/>
    <col min="6" max="6" width="15.5703125" style="1" customWidth="1"/>
    <col min="7" max="16384" width="9.140625" style="1"/>
  </cols>
  <sheetData>
    <row r="1" spans="1:15" s="2" customFormat="1" ht="31.5" x14ac:dyDescent="0.2">
      <c r="A1" s="26" t="s">
        <v>34</v>
      </c>
      <c r="B1" s="26" t="s">
        <v>22</v>
      </c>
      <c r="C1" s="18" t="s">
        <v>23</v>
      </c>
      <c r="D1" s="26" t="s">
        <v>24</v>
      </c>
      <c r="E1" s="18" t="s">
        <v>25</v>
      </c>
      <c r="F1" s="18" t="s">
        <v>26</v>
      </c>
      <c r="G1" s="22" t="s">
        <v>27</v>
      </c>
      <c r="H1" s="19" t="s">
        <v>28</v>
      </c>
      <c r="I1" s="20" t="s">
        <v>29</v>
      </c>
      <c r="J1" s="20" t="s">
        <v>30</v>
      </c>
      <c r="K1" s="20" t="s">
        <v>31</v>
      </c>
      <c r="L1" s="18" t="s">
        <v>32</v>
      </c>
      <c r="M1" s="22" t="s">
        <v>27</v>
      </c>
      <c r="N1" s="22" t="s">
        <v>27</v>
      </c>
      <c r="O1" s="21" t="s">
        <v>33</v>
      </c>
    </row>
    <row r="2" spans="1:15" s="23" customFormat="1" ht="60" x14ac:dyDescent="0.25">
      <c r="A2" s="23" t="s">
        <v>53</v>
      </c>
      <c r="B2" s="24" t="s">
        <v>35</v>
      </c>
      <c r="C2" s="25" t="s">
        <v>63</v>
      </c>
      <c r="D2" s="23" t="s">
        <v>65</v>
      </c>
      <c r="E2" s="23" t="s">
        <v>88</v>
      </c>
      <c r="F2" s="23">
        <v>2</v>
      </c>
      <c r="G2" s="27">
        <f>VLOOKUP($F$2,'hoja de trabajo'!$A$1:$B$5,2,FALSE)</f>
        <v>0.4</v>
      </c>
      <c r="H2" s="23">
        <v>4</v>
      </c>
      <c r="I2" s="23">
        <v>2</v>
      </c>
      <c r="J2" s="23">
        <v>5</v>
      </c>
      <c r="K2" s="23">
        <v>2</v>
      </c>
      <c r="L2" s="23">
        <f>ROUND(AVERAGE(H2:K2),0)</f>
        <v>3</v>
      </c>
      <c r="M2" s="27">
        <f>VLOOKUP($L2,'hoja de trabajo'!$A$1:$B$5,2,FALSE)</f>
        <v>0.6</v>
      </c>
      <c r="N2" s="23" t="str">
        <f>+CONCATENATE(F2,L2)</f>
        <v>23</v>
      </c>
      <c r="O2" s="23" t="str">
        <f>+VLOOKUP(N2,'hoja de trabajo'!$F$2:$G$26,2,0)</f>
        <v>Moderate</v>
      </c>
    </row>
    <row r="3" spans="1:15" ht="36" x14ac:dyDescent="0.2">
      <c r="A3" s="23" t="s">
        <v>54</v>
      </c>
      <c r="B3" s="24" t="s">
        <v>36</v>
      </c>
      <c r="C3" s="2" t="s">
        <v>64</v>
      </c>
      <c r="D3" s="23" t="s">
        <v>65</v>
      </c>
      <c r="E3" s="23" t="s">
        <v>95</v>
      </c>
      <c r="F3" s="1">
        <v>2</v>
      </c>
      <c r="G3" s="27">
        <f>VLOOKUP($F$2,'hoja de trabajo'!$A$1:$B$5,2,FALSE)</f>
        <v>0.4</v>
      </c>
      <c r="H3" s="23">
        <v>2</v>
      </c>
      <c r="I3" s="23">
        <v>2</v>
      </c>
      <c r="J3" s="23">
        <v>5</v>
      </c>
      <c r="K3" s="23">
        <v>2</v>
      </c>
      <c r="L3" s="23">
        <f t="shared" ref="L3:L21" si="0">ROUND(AVERAGE(H3:K3),0)</f>
        <v>3</v>
      </c>
      <c r="M3" s="27">
        <f>VLOOKUP($L3,'hoja de trabajo'!$A$1:$B$5,2,FALSE)</f>
        <v>0.6</v>
      </c>
      <c r="N3" s="23" t="str">
        <f t="shared" ref="N3:N21" si="1">+CONCATENATE(F3,L3)</f>
        <v>23</v>
      </c>
      <c r="O3" s="23" t="str">
        <f>+VLOOKUP(N3,'hoja de trabajo'!$F$2:$G$26,2,0)</f>
        <v>Moderate</v>
      </c>
    </row>
    <row r="4" spans="1:15" ht="132" x14ac:dyDescent="0.2">
      <c r="A4" s="23" t="s">
        <v>55</v>
      </c>
      <c r="B4" s="24" t="s">
        <v>37</v>
      </c>
      <c r="C4" s="2" t="s">
        <v>80</v>
      </c>
      <c r="D4" s="23" t="s">
        <v>87</v>
      </c>
      <c r="E4" s="23" t="s">
        <v>92</v>
      </c>
      <c r="F4" s="1">
        <v>3</v>
      </c>
      <c r="G4" s="27">
        <f>VLOOKUP($F$2,'hoja de trabajo'!$A$1:$B$5,2,FALSE)</f>
        <v>0.4</v>
      </c>
      <c r="H4" s="23">
        <v>3</v>
      </c>
      <c r="I4" s="23">
        <v>2</v>
      </c>
      <c r="J4" s="23">
        <v>4</v>
      </c>
      <c r="K4" s="23">
        <v>2</v>
      </c>
      <c r="L4" s="23">
        <f t="shared" si="0"/>
        <v>3</v>
      </c>
      <c r="M4" s="27">
        <f>VLOOKUP($L4,'hoja de trabajo'!$A$1:$B$5,2,FALSE)</f>
        <v>0.6</v>
      </c>
      <c r="N4" s="23" t="str">
        <f t="shared" si="1"/>
        <v>33</v>
      </c>
      <c r="O4" s="23" t="str">
        <f>+VLOOKUP(N4,'hoja de trabajo'!$F$2:$G$26,2,0)</f>
        <v>High</v>
      </c>
    </row>
    <row r="5" spans="1:15" ht="60" x14ac:dyDescent="0.2">
      <c r="A5" s="23" t="s">
        <v>54</v>
      </c>
      <c r="B5" s="24" t="s">
        <v>38</v>
      </c>
      <c r="C5" s="2" t="s">
        <v>78</v>
      </c>
      <c r="D5" s="23" t="s">
        <v>68</v>
      </c>
      <c r="E5" s="23" t="s">
        <v>88</v>
      </c>
      <c r="F5" s="1">
        <v>2</v>
      </c>
      <c r="G5" s="27">
        <f>VLOOKUP($F$2,'hoja de trabajo'!$A$1:$B$5,2,FALSE)</f>
        <v>0.4</v>
      </c>
      <c r="H5" s="23">
        <v>4</v>
      </c>
      <c r="I5" s="23">
        <v>3</v>
      </c>
      <c r="J5" s="23">
        <v>2</v>
      </c>
      <c r="K5" s="23">
        <v>2</v>
      </c>
      <c r="L5" s="23">
        <f t="shared" si="0"/>
        <v>3</v>
      </c>
      <c r="M5" s="27">
        <f>VLOOKUP($L5,'hoja de trabajo'!$A$1:$B$5,2,FALSE)</f>
        <v>0.6</v>
      </c>
      <c r="N5" s="23" t="str">
        <f t="shared" si="1"/>
        <v>23</v>
      </c>
      <c r="O5" s="23" t="str">
        <f>+VLOOKUP(N5,'hoja de trabajo'!$F$2:$G$26,2,0)</f>
        <v>Moderate</v>
      </c>
    </row>
    <row r="6" spans="1:15" ht="60" x14ac:dyDescent="0.2">
      <c r="A6" s="23" t="s">
        <v>56</v>
      </c>
      <c r="B6" s="24" t="s">
        <v>39</v>
      </c>
      <c r="C6" s="2" t="s">
        <v>81</v>
      </c>
      <c r="D6" s="23" t="s">
        <v>65</v>
      </c>
      <c r="E6" s="23" t="s">
        <v>95</v>
      </c>
      <c r="F6" s="1">
        <v>3</v>
      </c>
      <c r="G6" s="27">
        <f>VLOOKUP($F$2,'hoja de trabajo'!$A$1:$B$5,2,FALSE)</f>
        <v>0.4</v>
      </c>
      <c r="H6" s="23">
        <v>2</v>
      </c>
      <c r="I6" s="23">
        <v>2</v>
      </c>
      <c r="J6" s="23">
        <v>5</v>
      </c>
      <c r="K6" s="23">
        <v>3</v>
      </c>
      <c r="L6" s="23">
        <f t="shared" si="0"/>
        <v>3</v>
      </c>
      <c r="M6" s="27">
        <f>VLOOKUP($L6,'hoja de trabajo'!$A$1:$B$5,2,FALSE)</f>
        <v>0.6</v>
      </c>
      <c r="N6" s="23" t="str">
        <f t="shared" si="1"/>
        <v>33</v>
      </c>
      <c r="O6" s="23" t="str">
        <f>+VLOOKUP(N6,'hoja de trabajo'!$F$2:$G$26,2,0)</f>
        <v>High</v>
      </c>
    </row>
    <row r="7" spans="1:15" ht="48" x14ac:dyDescent="0.2">
      <c r="A7" s="23" t="s">
        <v>56</v>
      </c>
      <c r="B7" s="24" t="s">
        <v>40</v>
      </c>
      <c r="C7" s="2" t="s">
        <v>82</v>
      </c>
      <c r="D7" s="23" t="s">
        <v>68</v>
      </c>
      <c r="E7" s="23" t="s">
        <v>95</v>
      </c>
      <c r="F7" s="1">
        <v>3</v>
      </c>
      <c r="G7" s="27">
        <f>VLOOKUP($F$2,'hoja de trabajo'!$A$1:$B$5,2,FALSE)</f>
        <v>0.4</v>
      </c>
      <c r="H7" s="23">
        <v>2</v>
      </c>
      <c r="I7" s="23">
        <v>2</v>
      </c>
      <c r="J7" s="23">
        <v>5</v>
      </c>
      <c r="K7" s="23">
        <v>3</v>
      </c>
      <c r="L7" s="23">
        <f t="shared" si="0"/>
        <v>3</v>
      </c>
      <c r="M7" s="27">
        <f>VLOOKUP($L7,'hoja de trabajo'!$A$1:$B$5,2,FALSE)</f>
        <v>0.6</v>
      </c>
      <c r="N7" s="23" t="str">
        <f t="shared" si="1"/>
        <v>33</v>
      </c>
      <c r="O7" s="23" t="str">
        <f>+VLOOKUP(N7,'hoja de trabajo'!$F$2:$G$26,2,0)</f>
        <v>High</v>
      </c>
    </row>
    <row r="8" spans="1:15" ht="72" x14ac:dyDescent="0.2">
      <c r="A8" s="23" t="s">
        <v>53</v>
      </c>
      <c r="B8" s="24" t="s">
        <v>41</v>
      </c>
      <c r="C8" s="25" t="s">
        <v>79</v>
      </c>
      <c r="D8" s="23" t="s">
        <v>68</v>
      </c>
      <c r="E8" s="23" t="s">
        <v>88</v>
      </c>
      <c r="F8" s="1">
        <v>3</v>
      </c>
      <c r="G8" s="27">
        <f>VLOOKUP($F$2,'hoja de trabajo'!$A$1:$B$5,2,FALSE)</f>
        <v>0.4</v>
      </c>
      <c r="H8" s="23">
        <v>4</v>
      </c>
      <c r="I8" s="23">
        <v>2</v>
      </c>
      <c r="J8" s="23">
        <v>5</v>
      </c>
      <c r="K8" s="23">
        <v>2</v>
      </c>
      <c r="L8" s="23">
        <f t="shared" si="0"/>
        <v>3</v>
      </c>
      <c r="M8" s="27">
        <f>VLOOKUP($L8,'hoja de trabajo'!$A$1:$B$5,2,FALSE)</f>
        <v>0.6</v>
      </c>
      <c r="N8" s="23" t="str">
        <f t="shared" si="1"/>
        <v>33</v>
      </c>
      <c r="O8" s="23" t="str">
        <f>+VLOOKUP(N8,'hoja de trabajo'!$F$2:$G$26,2,0)</f>
        <v>High</v>
      </c>
    </row>
    <row r="9" spans="1:15" ht="36" x14ac:dyDescent="0.2">
      <c r="A9" s="23" t="s">
        <v>77</v>
      </c>
      <c r="B9" s="24" t="s">
        <v>42</v>
      </c>
      <c r="C9" s="2" t="s">
        <v>84</v>
      </c>
      <c r="D9" s="23" t="s">
        <v>87</v>
      </c>
      <c r="E9" s="23" t="s">
        <v>88</v>
      </c>
      <c r="F9" s="1">
        <v>2</v>
      </c>
      <c r="G9" s="27">
        <f>VLOOKUP($F$2,'hoja de trabajo'!$A$1:$B$5,2,FALSE)</f>
        <v>0.4</v>
      </c>
      <c r="H9" s="23">
        <v>3</v>
      </c>
      <c r="I9" s="23">
        <v>2</v>
      </c>
      <c r="J9" s="23">
        <v>4</v>
      </c>
      <c r="K9" s="23">
        <v>2</v>
      </c>
      <c r="L9" s="23">
        <f t="shared" si="0"/>
        <v>3</v>
      </c>
      <c r="M9" s="27">
        <f>VLOOKUP($L9,'hoja de trabajo'!$A$1:$B$5,2,FALSE)</f>
        <v>0.6</v>
      </c>
      <c r="N9" s="23" t="str">
        <f t="shared" si="1"/>
        <v>23</v>
      </c>
      <c r="O9" s="23" t="str">
        <f>+VLOOKUP(N9,'hoja de trabajo'!$F$2:$G$26,2,0)</f>
        <v>Moderate</v>
      </c>
    </row>
    <row r="10" spans="1:15" ht="48" x14ac:dyDescent="0.2">
      <c r="A10" s="23" t="s">
        <v>57</v>
      </c>
      <c r="B10" s="24" t="s">
        <v>43</v>
      </c>
      <c r="C10" s="2" t="s">
        <v>85</v>
      </c>
      <c r="D10" s="23" t="s">
        <v>87</v>
      </c>
      <c r="E10" s="23" t="s">
        <v>89</v>
      </c>
      <c r="F10" s="1">
        <v>2</v>
      </c>
      <c r="G10" s="27">
        <f>VLOOKUP($F$2,'hoja de trabajo'!$A$1:$B$5,2,FALSE)</f>
        <v>0.4</v>
      </c>
      <c r="H10" s="23">
        <v>2</v>
      </c>
      <c r="I10" s="23">
        <v>2</v>
      </c>
      <c r="J10" s="23">
        <v>5</v>
      </c>
      <c r="K10" s="23">
        <v>4</v>
      </c>
      <c r="L10" s="23">
        <f t="shared" si="0"/>
        <v>3</v>
      </c>
      <c r="M10" s="27">
        <f>VLOOKUP($L10,'hoja de trabajo'!$A$1:$B$5,2,FALSE)</f>
        <v>0.6</v>
      </c>
      <c r="N10" s="23" t="str">
        <f t="shared" si="1"/>
        <v>23</v>
      </c>
      <c r="O10" s="23" t="str">
        <f>+VLOOKUP(N10,'hoja de trabajo'!$F$2:$G$26,2,0)</f>
        <v>Moderate</v>
      </c>
    </row>
    <row r="11" spans="1:15" ht="60" x14ac:dyDescent="0.2">
      <c r="A11" s="23" t="s">
        <v>56</v>
      </c>
      <c r="B11" s="24" t="s">
        <v>44</v>
      </c>
      <c r="C11" s="2" t="s">
        <v>73</v>
      </c>
      <c r="D11" s="23" t="s">
        <v>87</v>
      </c>
      <c r="E11" s="23" t="s">
        <v>89</v>
      </c>
      <c r="F11" s="1">
        <v>2</v>
      </c>
      <c r="G11" s="27">
        <f>VLOOKUP($F$2,'hoja de trabajo'!$A$1:$B$5,2,FALSE)</f>
        <v>0.4</v>
      </c>
      <c r="H11" s="23">
        <v>2</v>
      </c>
      <c r="I11" s="23">
        <v>2</v>
      </c>
      <c r="J11" s="23">
        <v>5</v>
      </c>
      <c r="K11" s="23">
        <v>4</v>
      </c>
      <c r="L11" s="23">
        <f t="shared" si="0"/>
        <v>3</v>
      </c>
      <c r="M11" s="27">
        <f>VLOOKUP($L11,'hoja de trabajo'!$A$1:$B$5,2,FALSE)</f>
        <v>0.6</v>
      </c>
      <c r="N11" s="23" t="str">
        <f t="shared" si="1"/>
        <v>23</v>
      </c>
      <c r="O11" s="23" t="str">
        <f>+VLOOKUP(N11,'hoja de trabajo'!$F$2:$G$26,2,0)</f>
        <v>Moderate</v>
      </c>
    </row>
    <row r="12" spans="1:15" ht="36" x14ac:dyDescent="0.2">
      <c r="A12" s="23" t="s">
        <v>56</v>
      </c>
      <c r="B12" s="24" t="s">
        <v>45</v>
      </c>
      <c r="C12" s="2" t="s">
        <v>72</v>
      </c>
      <c r="D12" s="23" t="s">
        <v>87</v>
      </c>
      <c r="E12" s="23" t="s">
        <v>94</v>
      </c>
      <c r="F12" s="1">
        <v>2</v>
      </c>
      <c r="G12" s="27">
        <f>VLOOKUP($F$2,'hoja de trabajo'!$A$1:$B$5,2,FALSE)</f>
        <v>0.4</v>
      </c>
      <c r="H12" s="23">
        <v>2</v>
      </c>
      <c r="I12" s="23">
        <v>2</v>
      </c>
      <c r="J12" s="23">
        <v>5</v>
      </c>
      <c r="K12" s="23">
        <v>4</v>
      </c>
      <c r="L12" s="23">
        <f t="shared" si="0"/>
        <v>3</v>
      </c>
      <c r="M12" s="27">
        <f>VLOOKUP($L12,'hoja de trabajo'!$A$1:$B$5,2,FALSE)</f>
        <v>0.6</v>
      </c>
      <c r="N12" s="23" t="str">
        <f t="shared" si="1"/>
        <v>23</v>
      </c>
      <c r="O12" s="23" t="str">
        <f>+VLOOKUP(N12,'hoja de trabajo'!$F$2:$G$26,2,0)</f>
        <v>Moderate</v>
      </c>
    </row>
    <row r="13" spans="1:15" ht="36" x14ac:dyDescent="0.2">
      <c r="A13" s="23" t="s">
        <v>58</v>
      </c>
      <c r="B13" s="24" t="s">
        <v>46</v>
      </c>
      <c r="C13" s="2" t="s">
        <v>67</v>
      </c>
      <c r="D13" s="23" t="s">
        <v>68</v>
      </c>
      <c r="E13" s="23" t="s">
        <v>91</v>
      </c>
      <c r="F13" s="1">
        <v>1</v>
      </c>
      <c r="G13" s="27">
        <f>VLOOKUP($F$2,'hoja de trabajo'!$A$1:$B$5,2,FALSE)</f>
        <v>0.4</v>
      </c>
      <c r="H13" s="23">
        <v>1</v>
      </c>
      <c r="I13" s="23">
        <v>4</v>
      </c>
      <c r="J13" s="23">
        <v>3</v>
      </c>
      <c r="K13" s="23">
        <v>2</v>
      </c>
      <c r="L13" s="23">
        <f t="shared" si="0"/>
        <v>3</v>
      </c>
      <c r="M13" s="27">
        <f>VLOOKUP($L13,'hoja de trabajo'!$A$1:$B$5,2,FALSE)</f>
        <v>0.6</v>
      </c>
      <c r="N13" s="23" t="str">
        <f t="shared" si="1"/>
        <v>13</v>
      </c>
      <c r="O13" s="23" t="str">
        <f>+VLOOKUP(N13,'hoja de trabajo'!$F$2:$G$26,2,0)</f>
        <v>Moderate</v>
      </c>
    </row>
    <row r="14" spans="1:15" ht="72" x14ac:dyDescent="0.2">
      <c r="A14" s="23" t="s">
        <v>55</v>
      </c>
      <c r="B14" s="24" t="s">
        <v>47</v>
      </c>
      <c r="C14" s="2" t="s">
        <v>83</v>
      </c>
      <c r="D14" s="23" t="s">
        <v>87</v>
      </c>
      <c r="E14" s="23" t="s">
        <v>88</v>
      </c>
      <c r="F14" s="1">
        <v>2</v>
      </c>
      <c r="G14" s="27">
        <f>VLOOKUP($F$2,'hoja de trabajo'!$A$1:$B$5,2,FALSE)</f>
        <v>0.4</v>
      </c>
      <c r="H14" s="23">
        <v>4</v>
      </c>
      <c r="I14" s="23">
        <v>2</v>
      </c>
      <c r="J14" s="23">
        <v>4</v>
      </c>
      <c r="K14" s="23">
        <v>2</v>
      </c>
      <c r="L14" s="23">
        <f t="shared" si="0"/>
        <v>3</v>
      </c>
      <c r="M14" s="27">
        <f>VLOOKUP($L14,'hoja de trabajo'!$A$1:$B$5,2,FALSE)</f>
        <v>0.6</v>
      </c>
      <c r="N14" s="23" t="str">
        <f t="shared" si="1"/>
        <v>23</v>
      </c>
      <c r="O14" s="23" t="str">
        <f>+VLOOKUP(N14,'hoja de trabajo'!$F$2:$G$26,2,0)</f>
        <v>Moderate</v>
      </c>
    </row>
    <row r="15" spans="1:15" ht="48" x14ac:dyDescent="0.2">
      <c r="A15" s="23" t="s">
        <v>59</v>
      </c>
      <c r="B15" s="24" t="s">
        <v>48</v>
      </c>
      <c r="C15" s="25" t="s">
        <v>66</v>
      </c>
      <c r="D15" s="23" t="s">
        <v>68</v>
      </c>
      <c r="E15" s="23" t="s">
        <v>95</v>
      </c>
      <c r="F15" s="1">
        <v>4</v>
      </c>
      <c r="G15" s="27">
        <f>VLOOKUP($F$2,'hoja de trabajo'!$A$1:$B$5,2,FALSE)</f>
        <v>0.4</v>
      </c>
      <c r="H15" s="23">
        <v>1</v>
      </c>
      <c r="I15" s="23">
        <v>1</v>
      </c>
      <c r="J15" s="23">
        <v>5</v>
      </c>
      <c r="K15" s="23">
        <v>1</v>
      </c>
      <c r="L15" s="23">
        <f t="shared" si="0"/>
        <v>2</v>
      </c>
      <c r="M15" s="27">
        <f>VLOOKUP($L15,'hoja de trabajo'!$A$1:$B$5,2,FALSE)</f>
        <v>0.4</v>
      </c>
      <c r="N15" s="23" t="str">
        <f t="shared" si="1"/>
        <v>42</v>
      </c>
      <c r="O15" s="23" t="str">
        <f>+VLOOKUP(N15,'hoja de trabajo'!$F$2:$G$26,2,0)</f>
        <v>Moderate</v>
      </c>
    </row>
    <row r="16" spans="1:15" ht="24" x14ac:dyDescent="0.2">
      <c r="A16" s="23" t="s">
        <v>58</v>
      </c>
      <c r="B16" s="24" t="s">
        <v>49</v>
      </c>
      <c r="C16" s="2" t="s">
        <v>69</v>
      </c>
      <c r="D16" s="23" t="s">
        <v>71</v>
      </c>
      <c r="E16" s="23" t="s">
        <v>93</v>
      </c>
      <c r="F16" s="1">
        <v>3</v>
      </c>
      <c r="G16" s="27">
        <f>VLOOKUP($F$2,'hoja de trabajo'!$A$1:$B$5,2,FALSE)</f>
        <v>0.4</v>
      </c>
      <c r="H16" s="23">
        <v>2</v>
      </c>
      <c r="I16" s="23">
        <v>4</v>
      </c>
      <c r="J16" s="23">
        <v>5</v>
      </c>
      <c r="K16" s="23">
        <v>2</v>
      </c>
      <c r="L16" s="23">
        <f t="shared" si="0"/>
        <v>3</v>
      </c>
      <c r="M16" s="27">
        <f>VLOOKUP($L16,'hoja de trabajo'!$A$1:$B$5,2,FALSE)</f>
        <v>0.6</v>
      </c>
      <c r="N16" s="23" t="str">
        <f t="shared" si="1"/>
        <v>33</v>
      </c>
      <c r="O16" s="23" t="str">
        <f>+VLOOKUP(N16,'hoja de trabajo'!$F$2:$G$26,2,0)</f>
        <v>High</v>
      </c>
    </row>
    <row r="17" spans="1:15" ht="36" x14ac:dyDescent="0.2">
      <c r="A17" s="23" t="s">
        <v>58</v>
      </c>
      <c r="B17" s="24" t="s">
        <v>50</v>
      </c>
      <c r="C17" s="2" t="s">
        <v>70</v>
      </c>
      <c r="D17" s="23" t="s">
        <v>68</v>
      </c>
      <c r="E17" s="23" t="s">
        <v>91</v>
      </c>
      <c r="F17" s="1">
        <v>3</v>
      </c>
      <c r="G17" s="27">
        <f>VLOOKUP($F$2,'hoja de trabajo'!$A$1:$B$5,2,FALSE)</f>
        <v>0.4</v>
      </c>
      <c r="H17" s="23">
        <v>4</v>
      </c>
      <c r="I17" s="23">
        <v>4</v>
      </c>
      <c r="J17" s="23">
        <v>5</v>
      </c>
      <c r="K17" s="23">
        <v>1</v>
      </c>
      <c r="L17" s="23">
        <f t="shared" si="0"/>
        <v>4</v>
      </c>
      <c r="M17" s="27">
        <f>VLOOKUP($L17,'hoja de trabajo'!$A$1:$B$5,2,FALSE)</f>
        <v>0.8</v>
      </c>
      <c r="N17" s="23" t="str">
        <f t="shared" si="1"/>
        <v>34</v>
      </c>
      <c r="O17" s="23" t="str">
        <f>+VLOOKUP(N17,'hoja de trabajo'!$F$2:$G$26,2,0)</f>
        <v>Extreme</v>
      </c>
    </row>
    <row r="18" spans="1:15" ht="48" x14ac:dyDescent="0.2">
      <c r="A18" s="23" t="s">
        <v>62</v>
      </c>
      <c r="B18" s="24" t="s">
        <v>51</v>
      </c>
      <c r="C18" s="2" t="s">
        <v>86</v>
      </c>
      <c r="D18" s="23" t="s">
        <v>71</v>
      </c>
      <c r="E18" s="23" t="s">
        <v>90</v>
      </c>
      <c r="F18" s="1">
        <v>2</v>
      </c>
      <c r="G18" s="27">
        <f>VLOOKUP($F$2,'hoja de trabajo'!$A$1:$B$5,2,FALSE)</f>
        <v>0.4</v>
      </c>
      <c r="H18" s="23">
        <v>1</v>
      </c>
      <c r="I18" s="23">
        <v>2</v>
      </c>
      <c r="J18" s="23">
        <v>4</v>
      </c>
      <c r="K18" s="23">
        <v>4</v>
      </c>
      <c r="L18" s="23">
        <f t="shared" si="0"/>
        <v>3</v>
      </c>
      <c r="M18" s="27">
        <f>VLOOKUP($L18,'hoja de trabajo'!$A$1:$B$5,2,FALSE)</f>
        <v>0.6</v>
      </c>
      <c r="N18" s="23" t="str">
        <f t="shared" si="1"/>
        <v>23</v>
      </c>
      <c r="O18" s="23" t="str">
        <f>+VLOOKUP(N18,'hoja de trabajo'!$F$2:$G$26,2,0)</f>
        <v>Moderate</v>
      </c>
    </row>
    <row r="19" spans="1:15" ht="24" x14ac:dyDescent="0.2">
      <c r="A19" s="23" t="s">
        <v>62</v>
      </c>
      <c r="B19" s="24" t="s">
        <v>52</v>
      </c>
      <c r="C19" s="2" t="s">
        <v>76</v>
      </c>
      <c r="D19" s="23" t="s">
        <v>71</v>
      </c>
      <c r="E19" s="23" t="s">
        <v>93</v>
      </c>
      <c r="F19" s="1">
        <v>2</v>
      </c>
      <c r="G19" s="27">
        <f>VLOOKUP($F$2,'hoja de trabajo'!$A$1:$B$5,2,FALSE)</f>
        <v>0.4</v>
      </c>
      <c r="H19" s="23">
        <v>1</v>
      </c>
      <c r="I19" s="23">
        <v>2</v>
      </c>
      <c r="J19" s="23">
        <v>4</v>
      </c>
      <c r="K19" s="23">
        <v>2</v>
      </c>
      <c r="L19" s="23">
        <f t="shared" si="0"/>
        <v>2</v>
      </c>
      <c r="M19" s="27">
        <f>VLOOKUP($L19,'hoja de trabajo'!$A$1:$B$5,2,FALSE)</f>
        <v>0.4</v>
      </c>
      <c r="N19" s="23" t="str">
        <f t="shared" si="1"/>
        <v>22</v>
      </c>
      <c r="O19" s="23" t="str">
        <f>+VLOOKUP(N19,'hoja de trabajo'!$F$2:$G$26,2,0)</f>
        <v>Low</v>
      </c>
    </row>
    <row r="20" spans="1:15" ht="36" x14ac:dyDescent="0.2">
      <c r="A20" s="23" t="s">
        <v>62</v>
      </c>
      <c r="B20" s="24" t="s">
        <v>60</v>
      </c>
      <c r="C20" s="2" t="s">
        <v>75</v>
      </c>
      <c r="D20" s="23" t="s">
        <v>65</v>
      </c>
      <c r="E20" s="23" t="s">
        <v>95</v>
      </c>
      <c r="F20" s="1">
        <v>3</v>
      </c>
      <c r="G20" s="27">
        <f>VLOOKUP($F$2,'hoja de trabajo'!$A$1:$B$5,2,FALSE)</f>
        <v>0.4</v>
      </c>
      <c r="H20" s="23">
        <v>1</v>
      </c>
      <c r="I20" s="23">
        <v>2</v>
      </c>
      <c r="J20" s="23">
        <v>5</v>
      </c>
      <c r="K20" s="23">
        <v>3</v>
      </c>
      <c r="L20" s="23">
        <f t="shared" si="0"/>
        <v>3</v>
      </c>
      <c r="M20" s="27">
        <f>VLOOKUP($L20,'hoja de trabajo'!$A$1:$B$5,2,FALSE)</f>
        <v>0.6</v>
      </c>
      <c r="N20" s="23" t="str">
        <f t="shared" si="1"/>
        <v>33</v>
      </c>
      <c r="O20" s="23" t="str">
        <f>+VLOOKUP(N20,'hoja de trabajo'!$F$2:$G$26,2,0)</f>
        <v>High</v>
      </c>
    </row>
    <row r="21" spans="1:15" ht="36" x14ac:dyDescent="0.2">
      <c r="A21" s="23" t="s">
        <v>62</v>
      </c>
      <c r="B21" s="24" t="s">
        <v>61</v>
      </c>
      <c r="C21" s="2" t="s">
        <v>74</v>
      </c>
      <c r="D21" s="23" t="s">
        <v>65</v>
      </c>
      <c r="E21" s="23" t="s">
        <v>93</v>
      </c>
      <c r="F21" s="1">
        <v>2</v>
      </c>
      <c r="G21" s="27">
        <f>VLOOKUP($F$2,'hoja de trabajo'!$A$1:$B$5,2,FALSE)</f>
        <v>0.4</v>
      </c>
      <c r="H21" s="23">
        <v>1</v>
      </c>
      <c r="I21" s="23">
        <v>3</v>
      </c>
      <c r="J21" s="23">
        <v>5</v>
      </c>
      <c r="K21" s="23">
        <v>2</v>
      </c>
      <c r="L21" s="23">
        <f t="shared" si="0"/>
        <v>3</v>
      </c>
      <c r="M21" s="27">
        <f>VLOOKUP($L21,'hoja de trabajo'!$A$1:$B$5,2,FALSE)</f>
        <v>0.6</v>
      </c>
      <c r="N21" s="23" t="str">
        <f t="shared" si="1"/>
        <v>23</v>
      </c>
      <c r="O21" s="23" t="str">
        <f>+VLOOKUP(N21,'hoja de trabajo'!$F$2:$G$26,2,0)</f>
        <v>Moderate</v>
      </c>
    </row>
  </sheetData>
  <autoFilter ref="A1:C21" xr:uid="{67C27863-A317-40B1-A14B-3E8C26BFDE82}"/>
  <dataConsolidate/>
  <conditionalFormatting sqref="F1">
    <cfRule type="containsText" dxfId="23" priority="1" operator="containsText" text="5">
      <formula>NOT(ISERROR(SEARCH("5",F1)))</formula>
    </cfRule>
    <cfRule type="containsText" dxfId="22" priority="2" operator="containsText" text="1">
      <formula>NOT(ISERROR(SEARCH("1",F1)))</formula>
    </cfRule>
    <cfRule type="containsText" dxfId="21" priority="3" operator="containsText" text="4">
      <formula>NOT(ISERROR(SEARCH("4",F1)))</formula>
    </cfRule>
    <cfRule type="containsText" dxfId="20" priority="4" operator="containsText" text="2">
      <formula>NOT(ISERROR(SEARCH("2",F1)))</formula>
    </cfRule>
    <cfRule type="containsText" dxfId="19" priority="5" operator="containsText" text="3">
      <formula>NOT(ISERROR(SEARCH("3",F1)))</formula>
    </cfRule>
  </conditionalFormatting>
  <conditionalFormatting sqref="F1:G1 L1:O1">
    <cfRule type="cellIs" dxfId="18" priority="10" operator="equal">
      <formula>5</formula>
    </cfRule>
    <cfRule type="cellIs" dxfId="17" priority="11" operator="equal">
      <formula>4</formula>
    </cfRule>
    <cfRule type="cellIs" dxfId="16" priority="12" operator="equal">
      <formula>3</formula>
    </cfRule>
    <cfRule type="cellIs" dxfId="15" priority="13" operator="equal">
      <formula>2</formula>
    </cfRule>
    <cfRule type="cellIs" dxfId="14" priority="14" operator="equal">
      <formula>1</formula>
    </cfRule>
  </conditionalFormatting>
  <conditionalFormatting sqref="G1 L1:O1">
    <cfRule type="containsErrors" dxfId="13" priority="15">
      <formula>ISERROR(G1)</formula>
    </cfRule>
  </conditionalFormatting>
  <conditionalFormatting sqref="O1">
    <cfRule type="cellIs" dxfId="12" priority="6" operator="equal">
      <formula>"Extreme"</formula>
    </cfRule>
    <cfRule type="cellIs" dxfId="11" priority="7" operator="equal">
      <formula>"High"</formula>
    </cfRule>
    <cfRule type="cellIs" dxfId="10" priority="8" operator="equal">
      <formula>"Moderate"</formula>
    </cfRule>
    <cfRule type="cellIs" dxfId="9" priority="9" operator="equal">
      <formula>"Low"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F362A0A-43D0-4F20-92A1-988981F585B0}">
          <x14:formula1>
            <xm:f>'hoja de trabajo'!$I$1:$I$8</xm:f>
          </x14:formula1>
          <xm:sqref>E2:E21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A7140-B068-448C-9AD8-284EAE1447D9}">
  <sheetPr codeName="Hoja3">
    <tabColor rgb="FF00B0F0"/>
  </sheetPr>
  <dimension ref="B2:U10"/>
  <sheetViews>
    <sheetView showGridLines="0" zoomScale="85" zoomScaleNormal="85" workbookViewId="0"/>
  </sheetViews>
  <sheetFormatPr defaultColWidth="11.42578125" defaultRowHeight="15" outlineLevelCol="1" x14ac:dyDescent="0.25"/>
  <cols>
    <col min="2" max="2" width="4.42578125" customWidth="1"/>
    <col min="3" max="3" width="16.5703125" customWidth="1"/>
    <col min="4" max="4" width="18.7109375" customWidth="1"/>
    <col min="5" max="5" width="13.85546875" customWidth="1"/>
    <col min="6" max="6" width="16.85546875" customWidth="1"/>
    <col min="7" max="7" width="13.85546875" customWidth="1"/>
    <col min="8" max="8" width="17.140625" customWidth="1"/>
    <col min="10" max="10" width="3.7109375" hidden="1" customWidth="1"/>
    <col min="11" max="11" width="19.140625" hidden="1" customWidth="1"/>
    <col min="12" max="12" width="18" hidden="1" customWidth="1"/>
    <col min="13" max="13" width="13.85546875" hidden="1" customWidth="1"/>
    <col min="14" max="14" width="15.7109375" hidden="1" customWidth="1"/>
    <col min="15" max="15" width="13.85546875" hidden="1" customWidth="1"/>
    <col min="16" max="16" width="17.85546875" hidden="1" customWidth="1"/>
    <col min="17" max="17" width="0" hidden="1" customWidth="1"/>
    <col min="18" max="18" width="15" hidden="1" customWidth="1"/>
    <col min="19" max="19" width="12" hidden="1" customWidth="1" outlineLevel="1"/>
    <col min="20" max="20" width="28.5703125" hidden="1" customWidth="1" outlineLevel="1"/>
    <col min="21" max="21" width="11.42578125" customWidth="1" collapsed="1"/>
    <col min="22" max="22" width="40.5703125" customWidth="1"/>
    <col min="24" max="24" width="26.85546875" bestFit="1" customWidth="1"/>
  </cols>
  <sheetData>
    <row r="2" spans="2:16" ht="21" x14ac:dyDescent="0.35">
      <c r="D2" s="30" t="s">
        <v>0</v>
      </c>
      <c r="E2" s="30"/>
      <c r="F2" s="30"/>
      <c r="G2" s="30"/>
      <c r="H2" s="30"/>
      <c r="I2" s="28"/>
      <c r="L2" s="30" t="s">
        <v>1</v>
      </c>
      <c r="M2" s="30"/>
      <c r="N2" s="30"/>
      <c r="O2" s="30"/>
      <c r="P2" s="30"/>
    </row>
    <row r="3" spans="2:16" ht="18" customHeight="1" x14ac:dyDescent="0.25">
      <c r="C3" s="3" t="s">
        <v>2</v>
      </c>
      <c r="D3" s="31" t="s">
        <v>3</v>
      </c>
      <c r="E3" s="31"/>
      <c r="F3" s="31"/>
      <c r="G3" s="31"/>
      <c r="H3" s="31"/>
      <c r="K3" s="3" t="s">
        <v>2</v>
      </c>
      <c r="L3" s="31" t="s">
        <v>4</v>
      </c>
      <c r="M3" s="31"/>
      <c r="N3" s="31"/>
      <c r="O3" s="31"/>
      <c r="P3" s="31"/>
    </row>
    <row r="4" spans="2:16" ht="49.5" customHeight="1" x14ac:dyDescent="0.25">
      <c r="B4" s="32" t="s">
        <v>5</v>
      </c>
      <c r="C4" s="4" t="s">
        <v>6</v>
      </c>
      <c r="D4" s="5">
        <f>(COUNTIF('Matriz Principal'!$N$2:$N$21,51))</f>
        <v>0</v>
      </c>
      <c r="E4" s="5">
        <f>+COUNTIF('Matriz Principal'!$N2:$N$21,52)</f>
        <v>0</v>
      </c>
      <c r="F4" s="6">
        <f>+COUNTIF('Matriz Principal'!$N2:$N$21,53)</f>
        <v>0</v>
      </c>
      <c r="G4" s="6">
        <f>+COUNTIF('Matriz Principal'!$N2:$N$21,54)</f>
        <v>0</v>
      </c>
      <c r="H4" s="6">
        <f>+COUNTIF('Matriz Principal'!$N2:$N$21,55)</f>
        <v>0</v>
      </c>
      <c r="J4" s="32" t="s">
        <v>5</v>
      </c>
      <c r="K4" s="4" t="s">
        <v>6</v>
      </c>
      <c r="L4" s="5">
        <f>+COUNTIF([1]Matrix!$AP$6:$AP$5858,51)</f>
        <v>0</v>
      </c>
      <c r="M4" s="5">
        <f>+COUNTIF([1]Matrix!$AP$6:$AP$5858,52)</f>
        <v>0</v>
      </c>
      <c r="N4" s="6">
        <f>+COUNTIF([1]Matrix!$AP$6:$AP$5858,53)</f>
        <v>0</v>
      </c>
      <c r="O4" s="6">
        <f>+COUNTIF([1]Matrix!$AP$6:$AP$5858,54)</f>
        <v>0</v>
      </c>
      <c r="P4" s="6">
        <f>+COUNTIF([1]Matrix!$AP$6:$AP$5858,55)</f>
        <v>0</v>
      </c>
    </row>
    <row r="5" spans="2:16" ht="49.5" customHeight="1" x14ac:dyDescent="0.25">
      <c r="B5" s="32"/>
      <c r="C5" s="4" t="s">
        <v>7</v>
      </c>
      <c r="D5" s="7">
        <f>+COUNTIF('Matriz Principal'!$N2:$N$21,41)</f>
        <v>0</v>
      </c>
      <c r="E5" s="5">
        <f>+COUNTIF('Matriz Principal'!$N2:$N$21,42)</f>
        <v>1</v>
      </c>
      <c r="F5" s="5">
        <f>+COUNTIF('Matriz Principal'!$N2:$N$21,43)</f>
        <v>0</v>
      </c>
      <c r="G5" s="6">
        <f>+COUNTIF('Matriz Principal'!$N2:$N$21,44)</f>
        <v>0</v>
      </c>
      <c r="H5" s="6">
        <f>+COUNTIF('Matriz Principal'!$N2:$N$21,45)</f>
        <v>0</v>
      </c>
      <c r="J5" s="32"/>
      <c r="K5" s="4" t="s">
        <v>7</v>
      </c>
      <c r="L5" s="7">
        <f>+COUNTIF([1]Matrix!$AP$6:$AP$5858,41)</f>
        <v>0</v>
      </c>
      <c r="M5" s="5">
        <f>+COUNTIF([1]Matrix!$AP$6:$AP$5858,42)</f>
        <v>0</v>
      </c>
      <c r="N5" s="5">
        <f>+COUNTIF([1]Matrix!$AP$6:$AP$5858,43)</f>
        <v>0</v>
      </c>
      <c r="O5" s="6">
        <f>+COUNTIF([1]Matrix!$AP$6:$AP$5858,44)</f>
        <v>0</v>
      </c>
      <c r="P5" s="6">
        <f>+COUNTIF([1]Matrix!$AP$6:$AP$5858,45)</f>
        <v>0</v>
      </c>
    </row>
    <row r="6" spans="2:16" ht="47.25" customHeight="1" x14ac:dyDescent="0.25">
      <c r="B6" s="32"/>
      <c r="C6" s="4" t="s">
        <v>8</v>
      </c>
      <c r="D6" s="8">
        <f>+COUNTIF('Matriz Principal'!$N2:$N$21,31)</f>
        <v>0</v>
      </c>
      <c r="E6" s="7">
        <f>+COUNTIF('Matriz Principal'!$N2:$N$21,32)</f>
        <v>0</v>
      </c>
      <c r="F6" s="5">
        <f>+COUNTIF('Matriz Principal'!$N2:$N$21,33)</f>
        <v>6</v>
      </c>
      <c r="G6" s="6">
        <f>+COUNTIF('Matriz Principal'!$N2:$N$21,34)</f>
        <v>1</v>
      </c>
      <c r="H6" s="6">
        <f>+COUNTIF('Matriz Principal'!$N2:$N$21,35)</f>
        <v>0</v>
      </c>
      <c r="J6" s="32"/>
      <c r="K6" s="4" t="s">
        <v>8</v>
      </c>
      <c r="L6" s="8">
        <f>+COUNTIF([1]Matrix!$AP$6:$AP$5858,31)</f>
        <v>0</v>
      </c>
      <c r="M6" s="7">
        <f>+COUNTIF([1]Matrix!$AP$6:$AP$5858,32)</f>
        <v>2</v>
      </c>
      <c r="N6" s="5">
        <f>+COUNTIF([1]Matrix!$AP$6:$AP$5858,33)</f>
        <v>0</v>
      </c>
      <c r="O6" s="6">
        <f>+COUNTIF([1]Matrix!$AP$6:$AP$5858,34)</f>
        <v>0</v>
      </c>
      <c r="P6" s="6">
        <f>+COUNTIF([1]Matrix!$AP$6:$AP$5858,35)</f>
        <v>0</v>
      </c>
    </row>
    <row r="7" spans="2:16" ht="65.25" customHeight="1" x14ac:dyDescent="0.25">
      <c r="B7" s="32"/>
      <c r="C7" s="4" t="s">
        <v>9</v>
      </c>
      <c r="D7" s="8">
        <f>+COUNTIF('Matriz Principal'!$N2:$N$21,21)</f>
        <v>0</v>
      </c>
      <c r="E7" s="8">
        <f>+COUNTIF('Matriz Principal'!$N2:$N$21,22)</f>
        <v>1</v>
      </c>
      <c r="F7" s="7">
        <f>+COUNTIF('Matriz Principal'!$N2:$N$21,23)</f>
        <v>10</v>
      </c>
      <c r="G7" s="5">
        <f>+COUNTIF('Matriz Principal'!$N2:$N$21,24)</f>
        <v>0</v>
      </c>
      <c r="H7" s="6">
        <f>+COUNTIF('Matriz Principal'!$N2:$N$21,25)</f>
        <v>0</v>
      </c>
      <c r="J7" s="32"/>
      <c r="K7" s="4" t="s">
        <v>9</v>
      </c>
      <c r="L7" s="8">
        <f>+COUNTIF([1]Matrix!$AP$6:$AP$5858,21)</f>
        <v>0</v>
      </c>
      <c r="M7" s="8">
        <f>+COUNTIF([1]Matrix!$AP$6:$AP$5858,22)</f>
        <v>17</v>
      </c>
      <c r="N7" s="7">
        <f>+COUNTIF([1]Matrix!$AP$6:$AP$5858,23)</f>
        <v>7</v>
      </c>
      <c r="O7" s="5">
        <f>+COUNTIF([1]Matrix!$AP$6:$AP$5858,24)</f>
        <v>0</v>
      </c>
      <c r="P7" s="6">
        <f>+COUNTIF([1]Matrix!$AP$6:$AP$5858,25)</f>
        <v>0</v>
      </c>
    </row>
    <row r="8" spans="2:16" ht="54" customHeight="1" x14ac:dyDescent="0.25">
      <c r="B8" s="32"/>
      <c r="C8" s="4" t="s">
        <v>10</v>
      </c>
      <c r="D8" s="8">
        <f>+COUNTIF('Matriz Principal'!$N2:$N$21,11)</f>
        <v>0</v>
      </c>
      <c r="E8" s="8">
        <f>+COUNTIF('Matriz Principal'!$N2:$N$21,12)</f>
        <v>0</v>
      </c>
      <c r="F8" s="7">
        <f>+COUNTIF('Matriz Principal'!$N2:$N$21,13)</f>
        <v>1</v>
      </c>
      <c r="G8" s="5">
        <f>+COUNTIF('Matriz Principal'!$N2:$N$21,14)</f>
        <v>0</v>
      </c>
      <c r="H8" s="5">
        <f>+COUNTIF('Matriz Principal'!$N2:$N$21,15)</f>
        <v>0</v>
      </c>
      <c r="J8" s="32"/>
      <c r="K8" s="4" t="s">
        <v>10</v>
      </c>
      <c r="L8" s="8">
        <f>+COUNTIF([1]Matrix!$AP$6:$AP$5858,11)</f>
        <v>0</v>
      </c>
      <c r="M8" s="8">
        <f>+COUNTIF([1]Matrix!$AP$6:$AP$5858,12)</f>
        <v>4</v>
      </c>
      <c r="N8" s="7">
        <f>+COUNTIF([1]Matrix!$AP$6:$AP$5858,13)</f>
        <v>0</v>
      </c>
      <c r="O8" s="5">
        <f>+COUNTIF([1]Matrix!$AP$6:$AP$5858,14)</f>
        <v>0</v>
      </c>
      <c r="P8" s="5">
        <f>+COUNTIF([1]Matrix!$AP$6:$AP$5858,15)</f>
        <v>0</v>
      </c>
    </row>
    <row r="9" spans="2:16" ht="30" x14ac:dyDescent="0.25">
      <c r="D9" s="9" t="s">
        <v>11</v>
      </c>
      <c r="E9" s="9" t="s">
        <v>12</v>
      </c>
      <c r="F9" s="9" t="s">
        <v>13</v>
      </c>
      <c r="G9" s="9" t="s">
        <v>14</v>
      </c>
      <c r="H9" s="9" t="s">
        <v>15</v>
      </c>
      <c r="L9" s="9" t="s">
        <v>11</v>
      </c>
      <c r="M9" s="9" t="s">
        <v>12</v>
      </c>
      <c r="N9" s="9" t="s">
        <v>13</v>
      </c>
      <c r="O9" s="9" t="s">
        <v>14</v>
      </c>
      <c r="P9" s="9" t="s">
        <v>15</v>
      </c>
    </row>
    <row r="10" spans="2:16" x14ac:dyDescent="0.25">
      <c r="D10" s="29" t="s">
        <v>16</v>
      </c>
      <c r="E10" s="29"/>
      <c r="F10" s="29"/>
      <c r="G10" s="29"/>
      <c r="H10" s="29"/>
      <c r="L10" s="29" t="s">
        <v>16</v>
      </c>
      <c r="M10" s="29"/>
      <c r="N10" s="29"/>
      <c r="O10" s="29"/>
      <c r="P10" s="29"/>
    </row>
  </sheetData>
  <mergeCells count="8">
    <mergeCell ref="B4:B8"/>
    <mergeCell ref="J4:J8"/>
    <mergeCell ref="D10:H10"/>
    <mergeCell ref="L10:P10"/>
    <mergeCell ref="D2:H2"/>
    <mergeCell ref="L2:P2"/>
    <mergeCell ref="D3:H3"/>
    <mergeCell ref="L3:P3"/>
  </mergeCells>
  <conditionalFormatting sqref="D5 L5 E6 M6 F7:F8 N7:N8">
    <cfRule type="beginsWith" dxfId="8" priority="2" operator="beginsWith" text="0">
      <formula>LEFT(D5,LEN("0"))="0"</formula>
    </cfRule>
  </conditionalFormatting>
  <conditionalFormatting sqref="D6 L6 D7:E8 L7:M8">
    <cfRule type="beginsWith" dxfId="7" priority="1" operator="beginsWith" text="0">
      <formula>LEFT(D6,LEN("0"))="0"</formula>
    </cfRule>
  </conditionalFormatting>
  <conditionalFormatting sqref="D4:H8">
    <cfRule type="beginsWith" dxfId="6" priority="5" operator="beginsWith" text="0">
      <formula>LEFT(D4,LEN("0"))="0"</formula>
    </cfRule>
  </conditionalFormatting>
  <conditionalFormatting sqref="F4:H4 N4 O4:O6 P4:P7 G5 H5:H7">
    <cfRule type="beginsWith" dxfId="5" priority="3" operator="beginsWith" text="0">
      <formula>LEFT(F4,LEN("0"))="0"</formula>
    </cfRule>
  </conditionalFormatting>
  <conditionalFormatting sqref="L4:P8">
    <cfRule type="beginsWith" dxfId="4" priority="4" operator="beginsWith" text="0">
      <formula>LEFT(L4,LEN("0"))="0"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6F3B-258A-44BD-9CEA-95000509F9C2}">
  <sheetPr codeName="Hoja6"/>
  <dimension ref="A1:I26"/>
  <sheetViews>
    <sheetView workbookViewId="0">
      <selection activeCell="G7" sqref="G7"/>
    </sheetView>
  </sheetViews>
  <sheetFormatPr defaultColWidth="11.42578125" defaultRowHeight="15" x14ac:dyDescent="0.25"/>
  <sheetData>
    <row r="1" spans="1:9" x14ac:dyDescent="0.25">
      <c r="A1">
        <v>1</v>
      </c>
      <c r="B1" s="15">
        <v>0.2</v>
      </c>
      <c r="C1" s="12"/>
      <c r="D1" s="17" t="s">
        <v>5</v>
      </c>
      <c r="E1" s="16" t="s">
        <v>16</v>
      </c>
      <c r="F1" s="16"/>
      <c r="G1" s="16" t="s">
        <v>21</v>
      </c>
      <c r="I1" t="s">
        <v>88</v>
      </c>
    </row>
    <row r="2" spans="1:9" x14ac:dyDescent="0.25">
      <c r="A2">
        <v>2</v>
      </c>
      <c r="B2" s="15">
        <v>0.4</v>
      </c>
      <c r="C2" s="12"/>
      <c r="D2" s="11">
        <v>1</v>
      </c>
      <c r="E2" s="11">
        <v>1</v>
      </c>
      <c r="F2" s="11" t="str">
        <f t="shared" ref="F2:F26" si="0">+CONCATENATE(D2,E2)</f>
        <v>11</v>
      </c>
      <c r="G2" s="10" t="s">
        <v>20</v>
      </c>
      <c r="I2" t="s">
        <v>89</v>
      </c>
    </row>
    <row r="3" spans="1:9" x14ac:dyDescent="0.25">
      <c r="A3">
        <v>3</v>
      </c>
      <c r="B3" s="15">
        <v>0.6</v>
      </c>
      <c r="C3" s="12"/>
      <c r="D3" s="11">
        <v>1</v>
      </c>
      <c r="E3" s="11">
        <v>2</v>
      </c>
      <c r="F3" s="11" t="str">
        <f t="shared" si="0"/>
        <v>12</v>
      </c>
      <c r="G3" s="10" t="s">
        <v>20</v>
      </c>
      <c r="I3" t="s">
        <v>90</v>
      </c>
    </row>
    <row r="4" spans="1:9" x14ac:dyDescent="0.25">
      <c r="A4">
        <v>4</v>
      </c>
      <c r="B4" s="15">
        <v>0.8</v>
      </c>
      <c r="C4" s="12"/>
      <c r="D4" s="11">
        <v>1</v>
      </c>
      <c r="E4" s="11">
        <v>3</v>
      </c>
      <c r="F4" s="11" t="str">
        <f t="shared" si="0"/>
        <v>13</v>
      </c>
      <c r="G4" s="10" t="s">
        <v>19</v>
      </c>
      <c r="I4" t="s">
        <v>91</v>
      </c>
    </row>
    <row r="5" spans="1:9" x14ac:dyDescent="0.25">
      <c r="A5">
        <v>5</v>
      </c>
      <c r="B5" s="15">
        <v>1</v>
      </c>
      <c r="C5" s="12"/>
      <c r="D5" s="11">
        <v>1</v>
      </c>
      <c r="E5" s="11">
        <v>4</v>
      </c>
      <c r="F5" s="11" t="str">
        <f t="shared" si="0"/>
        <v>14</v>
      </c>
      <c r="G5" s="10" t="s">
        <v>18</v>
      </c>
      <c r="I5" t="s">
        <v>92</v>
      </c>
    </row>
    <row r="6" spans="1:9" x14ac:dyDescent="0.25">
      <c r="C6" s="12"/>
      <c r="D6" s="11">
        <v>1</v>
      </c>
      <c r="E6" s="11">
        <v>5</v>
      </c>
      <c r="F6" s="11" t="str">
        <f t="shared" si="0"/>
        <v>15</v>
      </c>
      <c r="G6" s="10" t="s">
        <v>18</v>
      </c>
      <c r="I6" t="s">
        <v>93</v>
      </c>
    </row>
    <row r="7" spans="1:9" x14ac:dyDescent="0.25">
      <c r="A7" s="14"/>
      <c r="C7" s="12"/>
      <c r="D7" s="11">
        <v>2</v>
      </c>
      <c r="E7" s="11">
        <v>1</v>
      </c>
      <c r="F7" s="11" t="str">
        <f t="shared" si="0"/>
        <v>21</v>
      </c>
      <c r="G7" s="10" t="s">
        <v>20</v>
      </c>
      <c r="I7" t="s">
        <v>94</v>
      </c>
    </row>
    <row r="8" spans="1:9" x14ac:dyDescent="0.25">
      <c r="A8" s="13"/>
      <c r="C8" s="12"/>
      <c r="D8" s="11">
        <v>2</v>
      </c>
      <c r="E8" s="11">
        <v>2</v>
      </c>
      <c r="F8" s="11" t="str">
        <f t="shared" si="0"/>
        <v>22</v>
      </c>
      <c r="G8" s="10" t="s">
        <v>20</v>
      </c>
      <c r="I8" t="s">
        <v>95</v>
      </c>
    </row>
    <row r="9" spans="1:9" x14ac:dyDescent="0.25">
      <c r="A9" s="13"/>
      <c r="C9" s="12"/>
      <c r="D9" s="11">
        <v>2</v>
      </c>
      <c r="E9" s="11">
        <v>3</v>
      </c>
      <c r="F9" s="11" t="str">
        <f t="shared" si="0"/>
        <v>23</v>
      </c>
      <c r="G9" s="10" t="s">
        <v>19</v>
      </c>
    </row>
    <row r="10" spans="1:9" x14ac:dyDescent="0.25">
      <c r="A10" s="13"/>
      <c r="C10" s="12"/>
      <c r="D10" s="11">
        <v>2</v>
      </c>
      <c r="E10" s="11">
        <v>4</v>
      </c>
      <c r="F10" s="11" t="str">
        <f t="shared" si="0"/>
        <v>24</v>
      </c>
      <c r="G10" s="10" t="s">
        <v>18</v>
      </c>
    </row>
    <row r="11" spans="1:9" x14ac:dyDescent="0.25">
      <c r="A11" s="13"/>
      <c r="C11" s="12"/>
      <c r="D11" s="11">
        <v>2</v>
      </c>
      <c r="E11" s="11">
        <v>5</v>
      </c>
      <c r="F11" s="11" t="str">
        <f t="shared" si="0"/>
        <v>25</v>
      </c>
      <c r="G11" s="10" t="s">
        <v>17</v>
      </c>
    </row>
    <row r="12" spans="1:9" x14ac:dyDescent="0.25">
      <c r="A12" s="13"/>
      <c r="C12" s="12"/>
      <c r="D12" s="11">
        <v>3</v>
      </c>
      <c r="E12" s="11">
        <v>1</v>
      </c>
      <c r="F12" s="11" t="str">
        <f t="shared" si="0"/>
        <v>31</v>
      </c>
      <c r="G12" s="10" t="s">
        <v>20</v>
      </c>
    </row>
    <row r="13" spans="1:9" x14ac:dyDescent="0.25">
      <c r="A13" s="12"/>
      <c r="C13" s="12"/>
      <c r="D13" s="11">
        <v>3</v>
      </c>
      <c r="E13" s="11">
        <v>2</v>
      </c>
      <c r="F13" s="11" t="str">
        <f t="shared" si="0"/>
        <v>32</v>
      </c>
      <c r="G13" s="10" t="s">
        <v>19</v>
      </c>
    </row>
    <row r="14" spans="1:9" x14ac:dyDescent="0.25">
      <c r="C14" s="12"/>
      <c r="D14" s="11">
        <v>3</v>
      </c>
      <c r="E14" s="11">
        <v>3</v>
      </c>
      <c r="F14" s="11" t="str">
        <f t="shared" si="0"/>
        <v>33</v>
      </c>
      <c r="G14" s="10" t="s">
        <v>18</v>
      </c>
    </row>
    <row r="15" spans="1:9" x14ac:dyDescent="0.25">
      <c r="C15" s="12"/>
      <c r="D15" s="11">
        <v>3</v>
      </c>
      <c r="E15" s="11">
        <v>4</v>
      </c>
      <c r="F15" s="11" t="str">
        <f t="shared" si="0"/>
        <v>34</v>
      </c>
      <c r="G15" s="10" t="s">
        <v>17</v>
      </c>
    </row>
    <row r="16" spans="1:9" x14ac:dyDescent="0.25">
      <c r="C16" s="12"/>
      <c r="D16" s="11">
        <v>3</v>
      </c>
      <c r="E16" s="11">
        <v>5</v>
      </c>
      <c r="F16" s="11" t="str">
        <f t="shared" si="0"/>
        <v>35</v>
      </c>
      <c r="G16" s="10" t="s">
        <v>17</v>
      </c>
    </row>
    <row r="17" spans="3:7" x14ac:dyDescent="0.25">
      <c r="C17" s="12"/>
      <c r="D17" s="11">
        <v>4</v>
      </c>
      <c r="E17" s="11">
        <v>1</v>
      </c>
      <c r="F17" s="11" t="str">
        <f t="shared" si="0"/>
        <v>41</v>
      </c>
      <c r="G17" s="10" t="s">
        <v>20</v>
      </c>
    </row>
    <row r="18" spans="3:7" x14ac:dyDescent="0.25">
      <c r="C18" s="12"/>
      <c r="D18" s="11">
        <v>4</v>
      </c>
      <c r="E18" s="11">
        <v>2</v>
      </c>
      <c r="F18" s="11" t="str">
        <f t="shared" si="0"/>
        <v>42</v>
      </c>
      <c r="G18" s="10" t="s">
        <v>19</v>
      </c>
    </row>
    <row r="19" spans="3:7" x14ac:dyDescent="0.25">
      <c r="C19" s="12"/>
      <c r="D19" s="11">
        <v>4</v>
      </c>
      <c r="E19" s="11">
        <v>3</v>
      </c>
      <c r="F19" s="11" t="str">
        <f t="shared" si="0"/>
        <v>43</v>
      </c>
      <c r="G19" s="10" t="s">
        <v>18</v>
      </c>
    </row>
    <row r="20" spans="3:7" x14ac:dyDescent="0.25">
      <c r="C20" s="12"/>
      <c r="D20" s="11">
        <v>4</v>
      </c>
      <c r="E20" s="11">
        <v>4</v>
      </c>
      <c r="F20" s="11" t="str">
        <f t="shared" si="0"/>
        <v>44</v>
      </c>
      <c r="G20" s="10" t="s">
        <v>17</v>
      </c>
    </row>
    <row r="21" spans="3:7" x14ac:dyDescent="0.25">
      <c r="C21" s="12"/>
      <c r="D21" s="11">
        <v>4</v>
      </c>
      <c r="E21" s="11">
        <v>5</v>
      </c>
      <c r="F21" s="11" t="str">
        <f t="shared" si="0"/>
        <v>45</v>
      </c>
      <c r="G21" s="10" t="s">
        <v>17</v>
      </c>
    </row>
    <row r="22" spans="3:7" x14ac:dyDescent="0.25">
      <c r="C22" s="12"/>
      <c r="D22" s="11">
        <v>5</v>
      </c>
      <c r="E22" s="11">
        <v>1</v>
      </c>
      <c r="F22" s="11" t="str">
        <f t="shared" si="0"/>
        <v>51</v>
      </c>
      <c r="G22" s="10" t="s">
        <v>18</v>
      </c>
    </row>
    <row r="23" spans="3:7" x14ac:dyDescent="0.25">
      <c r="C23" s="12"/>
      <c r="D23" s="11">
        <v>5</v>
      </c>
      <c r="E23" s="11">
        <v>2</v>
      </c>
      <c r="F23" s="11" t="str">
        <f t="shared" si="0"/>
        <v>52</v>
      </c>
      <c r="G23" s="10" t="s">
        <v>18</v>
      </c>
    </row>
    <row r="24" spans="3:7" x14ac:dyDescent="0.25">
      <c r="C24" s="12"/>
      <c r="D24" s="11">
        <v>5</v>
      </c>
      <c r="E24" s="11">
        <v>3</v>
      </c>
      <c r="F24" s="11" t="str">
        <f t="shared" si="0"/>
        <v>53</v>
      </c>
      <c r="G24" s="10" t="s">
        <v>17</v>
      </c>
    </row>
    <row r="25" spans="3:7" x14ac:dyDescent="0.25">
      <c r="C25" s="12"/>
      <c r="D25" s="11">
        <v>5</v>
      </c>
      <c r="E25" s="11">
        <v>4</v>
      </c>
      <c r="F25" s="11" t="str">
        <f t="shared" si="0"/>
        <v>54</v>
      </c>
      <c r="G25" s="10" t="s">
        <v>17</v>
      </c>
    </row>
    <row r="26" spans="3:7" x14ac:dyDescent="0.25">
      <c r="C26" s="12"/>
      <c r="D26" s="11">
        <v>5</v>
      </c>
      <c r="E26" s="11">
        <v>5</v>
      </c>
      <c r="F26" s="11" t="str">
        <f t="shared" si="0"/>
        <v>55</v>
      </c>
      <c r="G26" s="10" t="s">
        <v>17</v>
      </c>
    </row>
  </sheetData>
  <conditionalFormatting sqref="G2:G26">
    <cfRule type="cellIs" dxfId="3" priority="1" operator="equal">
      <formula>"Extreme"</formula>
    </cfRule>
    <cfRule type="cellIs" dxfId="2" priority="2" operator="equal">
      <formula>"High"</formula>
    </cfRule>
    <cfRule type="cellIs" dxfId="1" priority="3" operator="equal">
      <formula>"Moderate"</formula>
    </cfRule>
    <cfRule type="cellIs" dxfId="0" priority="4" operator="equal">
      <formula>"Low"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3</vt:i4>
      </vt:variant>
    </vt:vector>
  </HeadingPairs>
  <TitlesOfParts>
    <vt:vector size="3" baseType="lpstr">
      <vt:lpstr>Matriz Principal</vt:lpstr>
      <vt:lpstr>Mapa</vt:lpstr>
      <vt:lpstr>hoja de trabajo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Jimenez</dc:creator>
  <cp:lastModifiedBy>Oriol puig i Carreró</cp:lastModifiedBy>
  <dcterms:created xsi:type="dcterms:W3CDTF">2024-03-09T16:27:04Z</dcterms:created>
  <dcterms:modified xsi:type="dcterms:W3CDTF">2024-03-15T18:24:44Z</dcterms:modified>
</cp:coreProperties>
</file>