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INCERTIDUMBRE EN  LA EMPRESA/"/>
    </mc:Choice>
  </mc:AlternateContent>
  <xr:revisionPtr revIDLastSave="487" documentId="8_{26A6D449-6436-47BF-9693-6415457F7F97}" xr6:coauthVersionLast="47" xr6:coauthVersionMax="47" xr10:uidLastSave="{97FBA373-971C-4B20-9EC0-B35C752B3257}"/>
  <bookViews>
    <workbookView xWindow="22932" yWindow="-60" windowWidth="23256" windowHeight="12456" xr2:uid="{A52E4B13-6DC0-4C63-9EC0-1A9AA10A17EB}"/>
  </bookViews>
  <sheets>
    <sheet name="Principal" sheetId="1" r:id="rId1"/>
    <sheet name="hoja de trabajo" sheetId="2" r:id="rId2"/>
    <sheet name="MAP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13" i="1"/>
  <c r="K14" i="1"/>
  <c r="K15" i="1"/>
  <c r="K16" i="1"/>
  <c r="K7" i="1"/>
  <c r="G5" i="3" s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3" i="2"/>
  <c r="C4" i="3" l="1"/>
  <c r="D4" i="3"/>
  <c r="E4" i="3"/>
  <c r="F4" i="3"/>
  <c r="G4" i="3"/>
  <c r="E5" i="3"/>
  <c r="F5" i="3"/>
  <c r="G8" i="3"/>
  <c r="C5" i="3"/>
  <c r="F6" i="3"/>
  <c r="D5" i="3"/>
  <c r="E7" i="3"/>
  <c r="C6" i="3"/>
  <c r="F7" i="3"/>
  <c r="D8" i="3"/>
  <c r="G6" i="3"/>
  <c r="D6" i="3"/>
  <c r="G7" i="3"/>
  <c r="C7" i="3"/>
  <c r="D7" i="3"/>
  <c r="E6" i="3"/>
  <c r="C8" i="3"/>
  <c r="E8" i="3"/>
  <c r="F8" i="3"/>
</calcChain>
</file>

<file path=xl/sharedStrings.xml><?xml version="1.0" encoding="utf-8"?>
<sst xmlns="http://schemas.openxmlformats.org/spreadsheetml/2006/main" count="99" uniqueCount="75">
  <si>
    <t>Departamento</t>
  </si>
  <si>
    <t>Falla potencial</t>
  </si>
  <si>
    <t xml:space="preserve">Efecto potencial </t>
  </si>
  <si>
    <t>Nº</t>
  </si>
  <si>
    <t>Severidad</t>
  </si>
  <si>
    <t>Causas Potenciales de las fallas</t>
  </si>
  <si>
    <t>Ocurrencia</t>
  </si>
  <si>
    <t>Compras</t>
  </si>
  <si>
    <t>Función del proceso</t>
  </si>
  <si>
    <t>Pedido de compra</t>
  </si>
  <si>
    <t>Suministro materia prima
Subida substancial de precio.</t>
  </si>
  <si>
    <t>Comercial</t>
  </si>
  <si>
    <t>Oferta comercial</t>
  </si>
  <si>
    <t>No se adecua con las 
nuevas tendencias</t>
  </si>
  <si>
    <t>Bajada de las ventas</t>
  </si>
  <si>
    <t>ampliar la gamma de produictos a ofrecer.
No tener diferente tipologia de cliente.</t>
  </si>
  <si>
    <t>Centros Externos</t>
  </si>
  <si>
    <t>Venta  menus</t>
  </si>
  <si>
    <t>No es oportuna nuestra oferta gastronomica a nuestro cliente final</t>
  </si>
  <si>
    <t>Bajada de ingresos.
Mayor % coste salarial
Menor rotación de procuto.</t>
  </si>
  <si>
    <t>Poca flexibilidad .
Baja oferta de menús
Mala ubicación del centro.</t>
  </si>
  <si>
    <t>Marqueting</t>
  </si>
  <si>
    <t>Comunicar RRSS</t>
  </si>
  <si>
    <t>Mala Ejecucion del evento.
Mala planificación.
Mala comunicación</t>
  </si>
  <si>
    <t>Recursos Humanos</t>
  </si>
  <si>
    <t>Falta personal en el sector</t>
  </si>
  <si>
    <t>Mal servicio
Exceso de hora extras</t>
  </si>
  <si>
    <t>Falta de previsión.
Falta de un plan motivacional para gente quiera venir a trabajar.
Falta Plan de carrera laboral para el futuro trabajador.</t>
  </si>
  <si>
    <t>Logistica</t>
  </si>
  <si>
    <t>Rotura de estoc</t>
  </si>
  <si>
    <t>Preparación Evento</t>
  </si>
  <si>
    <t>Falta de procesos de control</t>
  </si>
  <si>
    <t>Cocina Central</t>
  </si>
  <si>
    <t>No llegar a ucbrir los pedidos.
Mal servicio y ambiente de trabajo.</t>
  </si>
  <si>
    <t>Capcidad de planta</t>
  </si>
  <si>
    <t>Produccion producto final.</t>
  </si>
  <si>
    <t>Falta de prevision.
Mno tener controlada la cpacidad de prodcuccion.</t>
  </si>
  <si>
    <t>Mantenimiento</t>
  </si>
  <si>
    <t>Adjudicacion de maquinaria</t>
  </si>
  <si>
    <t>No tener apunto la maquinaria</t>
  </si>
  <si>
    <t>Tener que ejcutar el evento con  maquinaria no apropiada</t>
  </si>
  <si>
    <t>falta de personal
Mala planificacion de las cargas de trabajo
Falta de suministro de materiales.</t>
  </si>
  <si>
    <t>Logística</t>
  </si>
  <si>
    <t>Transporte de mercaderias</t>
  </si>
  <si>
    <t>Perdida / Accidente del trasnporte</t>
  </si>
  <si>
    <t xml:space="preserve">Producir con urgencia
Retraso en el evneto
sobrecoste
</t>
  </si>
  <si>
    <t>Falta de mantenimineto del transporte
Mala practesis del transportista
Previsión de ruta
Mala suerte.</t>
  </si>
  <si>
    <t>Financiero</t>
  </si>
  <si>
    <t>Pago de Préstamos</t>
  </si>
  <si>
    <t>subida tpo de intereses</t>
  </si>
  <si>
    <t>Mayor coste</t>
  </si>
  <si>
    <t>Realización tabla de costes.
Previsión de subida.
No tener seguro sobre subida tipo interes.</t>
  </si>
  <si>
    <t>No se puede producir. 
Falta de genereo en el evento.</t>
  </si>
  <si>
    <t>No tener segundos  proveedores
Tener materias substitutivas</t>
  </si>
  <si>
    <t>Mala imagen en un Evento de gran repercusión</t>
  </si>
  <si>
    <t>Baja reputación.
Perdida de clientes potenciales
Afectaciones a las otras lineas  de negocio</t>
  </si>
  <si>
    <t>Falta de materiales / maquinaria / mobiliario en los eventos</t>
  </si>
  <si>
    <t>Bajo</t>
  </si>
  <si>
    <t>Moderado</t>
  </si>
  <si>
    <t>Impacto</t>
  </si>
  <si>
    <t>Alto</t>
  </si>
  <si>
    <t>Muy alto</t>
  </si>
  <si>
    <t>5 - Muy frecuente</t>
  </si>
  <si>
    <t>4 -Probable</t>
  </si>
  <si>
    <t>3- Raramente</t>
  </si>
  <si>
    <t>2- Ocasionalmente</t>
  </si>
  <si>
    <t>1- Casi nunca</t>
  </si>
  <si>
    <t>Probabilidad</t>
  </si>
  <si>
    <t xml:space="preserve">
1-Insignificante
</t>
  </si>
  <si>
    <t>2- Menor</t>
  </si>
  <si>
    <t>3- Moderado</t>
  </si>
  <si>
    <t>4- Alto</t>
  </si>
  <si>
    <t>5- Extremo</t>
  </si>
  <si>
    <t>valor matriu</t>
  </si>
  <si>
    <t>Contratación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</si>
</sst>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9" fontId="0" fillId="0" borderId="0" xfId="0" applyNumberFormat="1"/>
    <xf numFmtId="0" fontId="4" fillId="0" borderId="0" xfId="0" applyFont="1"/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 textRotation="255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8" fillId="6" borderId="1" xfId="0" applyFont="1" applyFill="1" applyBorder="1"/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0800-00A7-463E-B052-79CFC99050E6}">
  <dimension ref="C6:K16"/>
  <sheetViews>
    <sheetView showGridLines="0" tabSelected="1" topLeftCell="A13" workbookViewId="0">
      <selection activeCell="L13" sqref="L1:L1048576"/>
    </sheetView>
  </sheetViews>
  <sheetFormatPr defaultRowHeight="15" x14ac:dyDescent="0.25"/>
  <cols>
    <col min="1" max="2" width="9.140625" style="2"/>
    <col min="3" max="3" width="4" style="2" customWidth="1"/>
    <col min="4" max="4" width="22.7109375" style="2" customWidth="1"/>
    <col min="5" max="7" width="25.7109375" style="2" customWidth="1"/>
    <col min="8" max="8" width="9.5703125" style="1" customWidth="1"/>
    <col min="9" max="9" width="30.7109375" style="2" customWidth="1"/>
    <col min="10" max="10" width="13" style="1" customWidth="1"/>
    <col min="11" max="11" width="16" style="2" customWidth="1"/>
    <col min="12" max="16384" width="9.140625" style="2"/>
  </cols>
  <sheetData>
    <row r="6" spans="3:11" x14ac:dyDescent="0.25">
      <c r="C6" s="7" t="s">
        <v>3</v>
      </c>
      <c r="D6" s="7" t="s">
        <v>0</v>
      </c>
      <c r="E6" s="7" t="s">
        <v>8</v>
      </c>
      <c r="F6" s="7" t="s">
        <v>1</v>
      </c>
      <c r="G6" s="7" t="s">
        <v>2</v>
      </c>
      <c r="H6" s="7" t="s">
        <v>4</v>
      </c>
      <c r="I6" s="7" t="s">
        <v>5</v>
      </c>
      <c r="J6" s="7" t="s">
        <v>6</v>
      </c>
      <c r="K6" s="7" t="s">
        <v>73</v>
      </c>
    </row>
    <row r="7" spans="3:11" ht="45" x14ac:dyDescent="0.25">
      <c r="C7" s="6">
        <v>1</v>
      </c>
      <c r="D7" s="3" t="s">
        <v>7</v>
      </c>
      <c r="E7" s="3" t="s">
        <v>9</v>
      </c>
      <c r="F7" s="4" t="s">
        <v>10</v>
      </c>
      <c r="G7" s="4" t="s">
        <v>52</v>
      </c>
      <c r="H7" s="5">
        <v>4</v>
      </c>
      <c r="I7" s="4" t="s">
        <v>53</v>
      </c>
      <c r="J7" s="5">
        <v>1</v>
      </c>
      <c r="K7" s="24" t="str">
        <f>+CONCATENATE(J7,H7)</f>
        <v>14</v>
      </c>
    </row>
    <row r="8" spans="3:11" ht="60" x14ac:dyDescent="0.25">
      <c r="C8" s="6">
        <v>2</v>
      </c>
      <c r="D8" s="3" t="s">
        <v>11</v>
      </c>
      <c r="E8" s="3" t="s">
        <v>12</v>
      </c>
      <c r="F8" s="4" t="s">
        <v>13</v>
      </c>
      <c r="G8" s="3" t="s">
        <v>14</v>
      </c>
      <c r="H8" s="5">
        <v>4</v>
      </c>
      <c r="I8" s="4" t="s">
        <v>15</v>
      </c>
      <c r="J8" s="5">
        <v>2</v>
      </c>
      <c r="K8" s="24" t="str">
        <f t="shared" ref="K8:K16" si="0">+CONCATENATE(J8,H8)</f>
        <v>24</v>
      </c>
    </row>
    <row r="9" spans="3:11" ht="60" x14ac:dyDescent="0.25">
      <c r="C9" s="6">
        <v>3</v>
      </c>
      <c r="D9" s="3" t="s">
        <v>16</v>
      </c>
      <c r="E9" s="3" t="s">
        <v>17</v>
      </c>
      <c r="F9" s="4" t="s">
        <v>18</v>
      </c>
      <c r="G9" s="4" t="s">
        <v>19</v>
      </c>
      <c r="H9" s="5">
        <v>3</v>
      </c>
      <c r="I9" s="4" t="s">
        <v>20</v>
      </c>
      <c r="J9" s="5">
        <v>3</v>
      </c>
      <c r="K9" s="24" t="str">
        <f t="shared" si="0"/>
        <v>33</v>
      </c>
    </row>
    <row r="10" spans="3:11" ht="75" x14ac:dyDescent="0.25">
      <c r="C10" s="6">
        <v>4</v>
      </c>
      <c r="D10" s="3" t="s">
        <v>21</v>
      </c>
      <c r="E10" s="3" t="s">
        <v>22</v>
      </c>
      <c r="F10" s="4" t="s">
        <v>54</v>
      </c>
      <c r="G10" s="4" t="s">
        <v>55</v>
      </c>
      <c r="H10" s="5">
        <v>3</v>
      </c>
      <c r="I10" s="4" t="s">
        <v>23</v>
      </c>
      <c r="J10" s="5">
        <v>1</v>
      </c>
      <c r="K10" s="25" t="str">
        <f t="shared" si="0"/>
        <v>13</v>
      </c>
    </row>
    <row r="11" spans="3:11" ht="90" x14ac:dyDescent="0.25">
      <c r="C11" s="6">
        <v>5</v>
      </c>
      <c r="D11" s="3" t="s">
        <v>24</v>
      </c>
      <c r="E11" s="3" t="s">
        <v>74</v>
      </c>
      <c r="F11" s="4" t="s">
        <v>25</v>
      </c>
      <c r="G11" s="4" t="s">
        <v>26</v>
      </c>
      <c r="H11" s="5">
        <v>3</v>
      </c>
      <c r="I11" s="4" t="s">
        <v>27</v>
      </c>
      <c r="J11" s="5">
        <v>5</v>
      </c>
      <c r="K11" s="27" t="str">
        <f t="shared" si="0"/>
        <v>53</v>
      </c>
    </row>
    <row r="12" spans="3:11" ht="45" x14ac:dyDescent="0.25">
      <c r="C12" s="6">
        <v>6</v>
      </c>
      <c r="D12" s="3" t="s">
        <v>28</v>
      </c>
      <c r="E12" s="3" t="s">
        <v>30</v>
      </c>
      <c r="F12" s="3" t="s">
        <v>29</v>
      </c>
      <c r="G12" s="4" t="s">
        <v>56</v>
      </c>
      <c r="H12" s="5">
        <v>2</v>
      </c>
      <c r="I12" s="4" t="s">
        <v>31</v>
      </c>
      <c r="J12" s="5">
        <v>3</v>
      </c>
      <c r="K12" s="25" t="str">
        <f t="shared" si="0"/>
        <v>32</v>
      </c>
    </row>
    <row r="13" spans="3:11" ht="60" x14ac:dyDescent="0.25">
      <c r="C13" s="6">
        <v>7</v>
      </c>
      <c r="D13" s="3" t="s">
        <v>32</v>
      </c>
      <c r="E13" s="3" t="s">
        <v>35</v>
      </c>
      <c r="F13" s="3" t="s">
        <v>34</v>
      </c>
      <c r="G13" s="4" t="s">
        <v>33</v>
      </c>
      <c r="H13" s="5">
        <v>4</v>
      </c>
      <c r="I13" s="4" t="s">
        <v>36</v>
      </c>
      <c r="J13" s="5">
        <v>1</v>
      </c>
      <c r="K13" s="24" t="str">
        <f t="shared" si="0"/>
        <v>14</v>
      </c>
    </row>
    <row r="14" spans="3:11" ht="75" x14ac:dyDescent="0.25">
      <c r="C14" s="6">
        <v>8</v>
      </c>
      <c r="D14" s="3" t="s">
        <v>37</v>
      </c>
      <c r="E14" s="3" t="s">
        <v>38</v>
      </c>
      <c r="F14" s="3" t="s">
        <v>39</v>
      </c>
      <c r="G14" s="4" t="s">
        <v>40</v>
      </c>
      <c r="H14" s="5">
        <v>2</v>
      </c>
      <c r="I14" s="4" t="s">
        <v>41</v>
      </c>
      <c r="J14" s="5">
        <v>5</v>
      </c>
      <c r="K14" s="24" t="str">
        <f t="shared" si="0"/>
        <v>52</v>
      </c>
    </row>
    <row r="15" spans="3:11" ht="75" x14ac:dyDescent="0.25">
      <c r="C15" s="6">
        <v>9</v>
      </c>
      <c r="D15" s="3" t="s">
        <v>42</v>
      </c>
      <c r="E15" s="3" t="s">
        <v>43</v>
      </c>
      <c r="F15" s="3" t="s">
        <v>44</v>
      </c>
      <c r="G15" s="4" t="s">
        <v>45</v>
      </c>
      <c r="H15" s="5">
        <v>5</v>
      </c>
      <c r="I15" s="4" t="s">
        <v>46</v>
      </c>
      <c r="J15" s="5">
        <v>1</v>
      </c>
      <c r="K15" s="24" t="str">
        <f t="shared" si="0"/>
        <v>15</v>
      </c>
    </row>
    <row r="16" spans="3:11" ht="60" x14ac:dyDescent="0.25">
      <c r="C16" s="6">
        <v>10</v>
      </c>
      <c r="D16" s="3" t="s">
        <v>47</v>
      </c>
      <c r="E16" s="3" t="s">
        <v>48</v>
      </c>
      <c r="F16" s="3" t="s">
        <v>49</v>
      </c>
      <c r="G16" s="3" t="s">
        <v>50</v>
      </c>
      <c r="H16" s="5">
        <v>1</v>
      </c>
      <c r="I16" s="4" t="s">
        <v>51</v>
      </c>
      <c r="J16" s="5">
        <v>2</v>
      </c>
      <c r="K16" s="26" t="str">
        <f t="shared" si="0"/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50F60-9789-47EC-961E-E4288CA370A1}">
  <dimension ref="B2:K27"/>
  <sheetViews>
    <sheetView workbookViewId="0">
      <selection activeCell="E18" sqref="E18"/>
    </sheetView>
  </sheetViews>
  <sheetFormatPr defaultRowHeight="15" x14ac:dyDescent="0.25"/>
  <cols>
    <col min="5" max="5" width="14.5703125" customWidth="1"/>
    <col min="6" max="6" width="15" customWidth="1"/>
    <col min="8" max="8" width="13.140625" customWidth="1"/>
  </cols>
  <sheetData>
    <row r="2" spans="2:11" x14ac:dyDescent="0.25">
      <c r="B2">
        <v>1</v>
      </c>
      <c r="C2" s="8">
        <v>0.1</v>
      </c>
      <c r="E2" s="15" t="s">
        <v>6</v>
      </c>
      <c r="F2" s="15" t="s">
        <v>4</v>
      </c>
      <c r="G2" s="15"/>
      <c r="H2" s="15" t="s">
        <v>59</v>
      </c>
      <c r="K2" s="9"/>
    </row>
    <row r="3" spans="2:11" x14ac:dyDescent="0.25">
      <c r="B3">
        <v>2</v>
      </c>
      <c r="C3" s="8">
        <v>0.2</v>
      </c>
      <c r="E3" s="10">
        <v>1</v>
      </c>
      <c r="F3" s="10">
        <v>1</v>
      </c>
      <c r="G3" s="10" t="str">
        <f t="shared" ref="G3:G27" si="0">+CONCATENATE(E3,F3)</f>
        <v>11</v>
      </c>
      <c r="H3" s="11" t="s">
        <v>57</v>
      </c>
    </row>
    <row r="4" spans="2:11" x14ac:dyDescent="0.25">
      <c r="B4">
        <v>3</v>
      </c>
      <c r="C4" s="8">
        <v>0.3</v>
      </c>
      <c r="E4" s="10">
        <v>1</v>
      </c>
      <c r="F4" s="10">
        <v>2</v>
      </c>
      <c r="G4" s="10" t="str">
        <f t="shared" si="0"/>
        <v>12</v>
      </c>
      <c r="H4" s="11" t="s">
        <v>57</v>
      </c>
    </row>
    <row r="5" spans="2:11" x14ac:dyDescent="0.25">
      <c r="B5">
        <v>4</v>
      </c>
      <c r="C5" s="8">
        <v>0.4</v>
      </c>
      <c r="E5" s="10">
        <v>1</v>
      </c>
      <c r="F5" s="10">
        <v>3</v>
      </c>
      <c r="G5" s="10" t="str">
        <f t="shared" si="0"/>
        <v>13</v>
      </c>
      <c r="H5" s="12" t="s">
        <v>58</v>
      </c>
    </row>
    <row r="6" spans="2:11" x14ac:dyDescent="0.25">
      <c r="B6">
        <v>5</v>
      </c>
      <c r="C6" s="8">
        <v>0.5</v>
      </c>
      <c r="E6" s="10">
        <v>1</v>
      </c>
      <c r="F6" s="10">
        <v>4</v>
      </c>
      <c r="G6" s="10" t="str">
        <f t="shared" si="0"/>
        <v>14</v>
      </c>
      <c r="H6" s="13" t="s">
        <v>60</v>
      </c>
    </row>
    <row r="7" spans="2:11" x14ac:dyDescent="0.25">
      <c r="B7">
        <v>6</v>
      </c>
      <c r="C7" s="8">
        <v>0.6</v>
      </c>
      <c r="E7" s="10">
        <v>1</v>
      </c>
      <c r="F7" s="10">
        <v>5</v>
      </c>
      <c r="G7" s="10" t="str">
        <f t="shared" si="0"/>
        <v>15</v>
      </c>
      <c r="H7" s="13" t="s">
        <v>60</v>
      </c>
    </row>
    <row r="8" spans="2:11" x14ac:dyDescent="0.25">
      <c r="B8">
        <v>7</v>
      </c>
      <c r="C8" s="8">
        <v>0.7</v>
      </c>
      <c r="E8" s="10">
        <v>2</v>
      </c>
      <c r="F8" s="10">
        <v>1</v>
      </c>
      <c r="G8" s="10" t="str">
        <f t="shared" si="0"/>
        <v>21</v>
      </c>
      <c r="H8" s="11" t="s">
        <v>57</v>
      </c>
    </row>
    <row r="9" spans="2:11" x14ac:dyDescent="0.25">
      <c r="B9">
        <v>8</v>
      </c>
      <c r="C9" s="8">
        <v>0.8</v>
      </c>
      <c r="E9" s="10">
        <v>2</v>
      </c>
      <c r="F9" s="10">
        <v>2</v>
      </c>
      <c r="G9" s="10" t="str">
        <f t="shared" si="0"/>
        <v>22</v>
      </c>
      <c r="H9" s="12" t="s">
        <v>58</v>
      </c>
    </row>
    <row r="10" spans="2:11" x14ac:dyDescent="0.25">
      <c r="B10">
        <v>9</v>
      </c>
      <c r="C10" s="8">
        <v>0.9</v>
      </c>
      <c r="E10" s="10">
        <v>2</v>
      </c>
      <c r="F10" s="10">
        <v>3</v>
      </c>
      <c r="G10" s="10" t="str">
        <f t="shared" si="0"/>
        <v>23</v>
      </c>
      <c r="H10" s="12" t="s">
        <v>58</v>
      </c>
    </row>
    <row r="11" spans="2:11" x14ac:dyDescent="0.25">
      <c r="B11">
        <v>10</v>
      </c>
      <c r="C11" s="8">
        <v>1</v>
      </c>
      <c r="E11" s="10">
        <v>2</v>
      </c>
      <c r="F11" s="10">
        <v>4</v>
      </c>
      <c r="G11" s="10" t="str">
        <f t="shared" si="0"/>
        <v>24</v>
      </c>
      <c r="H11" s="13" t="s">
        <v>60</v>
      </c>
    </row>
    <row r="12" spans="2:11" x14ac:dyDescent="0.25">
      <c r="E12" s="10">
        <v>2</v>
      </c>
      <c r="F12" s="10">
        <v>5</v>
      </c>
      <c r="G12" s="10" t="str">
        <f t="shared" si="0"/>
        <v>25</v>
      </c>
      <c r="H12" s="14" t="s">
        <v>61</v>
      </c>
    </row>
    <row r="13" spans="2:11" x14ac:dyDescent="0.25">
      <c r="E13" s="10">
        <v>3</v>
      </c>
      <c r="F13" s="10">
        <v>1</v>
      </c>
      <c r="G13" s="10" t="str">
        <f t="shared" si="0"/>
        <v>31</v>
      </c>
      <c r="H13" s="11" t="s">
        <v>57</v>
      </c>
    </row>
    <row r="14" spans="2:11" x14ac:dyDescent="0.25">
      <c r="E14" s="10">
        <v>3</v>
      </c>
      <c r="F14" s="10">
        <v>2</v>
      </c>
      <c r="G14" s="10" t="str">
        <f t="shared" si="0"/>
        <v>32</v>
      </c>
      <c r="H14" s="12" t="s">
        <v>58</v>
      </c>
    </row>
    <row r="15" spans="2:11" x14ac:dyDescent="0.25">
      <c r="E15" s="10">
        <v>3</v>
      </c>
      <c r="F15" s="10">
        <v>3</v>
      </c>
      <c r="G15" s="10" t="str">
        <f t="shared" si="0"/>
        <v>33</v>
      </c>
      <c r="H15" s="13" t="s">
        <v>60</v>
      </c>
    </row>
    <row r="16" spans="2:11" x14ac:dyDescent="0.25">
      <c r="E16" s="10">
        <v>3</v>
      </c>
      <c r="F16" s="10">
        <v>4</v>
      </c>
      <c r="G16" s="10" t="str">
        <f t="shared" si="0"/>
        <v>34</v>
      </c>
      <c r="H16" s="14" t="s">
        <v>61</v>
      </c>
    </row>
    <row r="17" spans="5:8" x14ac:dyDescent="0.25">
      <c r="E17" s="10">
        <v>3</v>
      </c>
      <c r="F17" s="10">
        <v>5</v>
      </c>
      <c r="G17" s="10" t="str">
        <f t="shared" si="0"/>
        <v>35</v>
      </c>
      <c r="H17" s="14" t="s">
        <v>61</v>
      </c>
    </row>
    <row r="18" spans="5:8" x14ac:dyDescent="0.25">
      <c r="E18" s="10">
        <v>4</v>
      </c>
      <c r="F18" s="10">
        <v>1</v>
      </c>
      <c r="G18" s="10" t="str">
        <f t="shared" si="0"/>
        <v>41</v>
      </c>
      <c r="H18" s="12" t="s">
        <v>58</v>
      </c>
    </row>
    <row r="19" spans="5:8" x14ac:dyDescent="0.25">
      <c r="E19" s="10">
        <v>4</v>
      </c>
      <c r="F19" s="10">
        <v>2</v>
      </c>
      <c r="G19" s="10" t="str">
        <f t="shared" si="0"/>
        <v>42</v>
      </c>
      <c r="H19" s="12" t="s">
        <v>58</v>
      </c>
    </row>
    <row r="20" spans="5:8" x14ac:dyDescent="0.25">
      <c r="E20" s="10">
        <v>4</v>
      </c>
      <c r="F20" s="10">
        <v>3</v>
      </c>
      <c r="G20" s="10" t="str">
        <f t="shared" si="0"/>
        <v>43</v>
      </c>
      <c r="H20" s="13" t="s">
        <v>60</v>
      </c>
    </row>
    <row r="21" spans="5:8" x14ac:dyDescent="0.25">
      <c r="E21" s="10">
        <v>4</v>
      </c>
      <c r="F21" s="10">
        <v>4</v>
      </c>
      <c r="G21" s="10" t="str">
        <f t="shared" si="0"/>
        <v>44</v>
      </c>
      <c r="H21" s="14" t="s">
        <v>61</v>
      </c>
    </row>
    <row r="22" spans="5:8" x14ac:dyDescent="0.25">
      <c r="E22" s="10">
        <v>4</v>
      </c>
      <c r="F22" s="10">
        <v>5</v>
      </c>
      <c r="G22" s="10" t="str">
        <f t="shared" si="0"/>
        <v>45</v>
      </c>
      <c r="H22" s="14" t="s">
        <v>61</v>
      </c>
    </row>
    <row r="23" spans="5:8" x14ac:dyDescent="0.25">
      <c r="E23" s="10">
        <v>5</v>
      </c>
      <c r="F23" s="10">
        <v>1</v>
      </c>
      <c r="G23" s="10" t="str">
        <f t="shared" si="0"/>
        <v>51</v>
      </c>
      <c r="H23" s="12" t="s">
        <v>58</v>
      </c>
    </row>
    <row r="24" spans="5:8" x14ac:dyDescent="0.25">
      <c r="E24" s="10">
        <v>5</v>
      </c>
      <c r="F24" s="10">
        <v>2</v>
      </c>
      <c r="G24" s="10" t="str">
        <f t="shared" si="0"/>
        <v>52</v>
      </c>
      <c r="H24" s="13" t="s">
        <v>60</v>
      </c>
    </row>
    <row r="25" spans="5:8" x14ac:dyDescent="0.25">
      <c r="E25" s="10">
        <v>5</v>
      </c>
      <c r="F25" s="10">
        <v>3</v>
      </c>
      <c r="G25" s="10" t="str">
        <f t="shared" si="0"/>
        <v>53</v>
      </c>
      <c r="H25" s="14" t="s">
        <v>61</v>
      </c>
    </row>
    <row r="26" spans="5:8" x14ac:dyDescent="0.25">
      <c r="E26" s="10">
        <v>5</v>
      </c>
      <c r="F26" s="10">
        <v>4</v>
      </c>
      <c r="G26" s="10" t="str">
        <f t="shared" si="0"/>
        <v>54</v>
      </c>
      <c r="H26" s="14" t="s">
        <v>61</v>
      </c>
    </row>
    <row r="27" spans="5:8" x14ac:dyDescent="0.25">
      <c r="E27" s="10">
        <v>5</v>
      </c>
      <c r="F27" s="10">
        <v>5</v>
      </c>
      <c r="G27" s="10" t="str">
        <f t="shared" si="0"/>
        <v>55</v>
      </c>
      <c r="H27" s="14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D9A9-BD08-499C-9CCE-18B5A33F09C2}">
  <dimension ref="A4:G16"/>
  <sheetViews>
    <sheetView showGridLines="0" workbookViewId="0">
      <selection activeCell="C7" sqref="C7"/>
    </sheetView>
  </sheetViews>
  <sheetFormatPr defaultRowHeight="15" x14ac:dyDescent="0.25"/>
  <cols>
    <col min="2" max="2" width="23.7109375" customWidth="1"/>
    <col min="3" max="7" width="15.7109375" customWidth="1"/>
  </cols>
  <sheetData>
    <row r="4" spans="1:7" ht="35.1" customHeight="1" x14ac:dyDescent="0.25">
      <c r="A4" s="16" t="s">
        <v>67</v>
      </c>
      <c r="B4" s="28" t="s">
        <v>62</v>
      </c>
      <c r="C4" s="21">
        <f>COUNTIF(Principal!$K$7:$K$16,51)</f>
        <v>0</v>
      </c>
      <c r="D4" s="24">
        <f>COUNTIF(Principal!$K$7:$K$16,52)</f>
        <v>1</v>
      </c>
      <c r="E4" s="27">
        <f>COUNTIF(Principal!$K$7:$K$16,53)</f>
        <v>1</v>
      </c>
      <c r="F4" s="22">
        <f>COUNTIF(Principal!$K$7:$K$16,54)</f>
        <v>0</v>
      </c>
      <c r="G4" s="22">
        <f>COUNTIF(Principal!$K$7:$K$16,55)</f>
        <v>0</v>
      </c>
    </row>
    <row r="5" spans="1:7" ht="35.1" customHeight="1" x14ac:dyDescent="0.25">
      <c r="A5" s="16"/>
      <c r="B5" s="28" t="s">
        <v>63</v>
      </c>
      <c r="C5" s="21">
        <f>COUNTIF(Principal!$K$7:$K$16,41)</f>
        <v>0</v>
      </c>
      <c r="D5" s="21">
        <f>COUNTIF(Principal!$K$7:$K$16,42)</f>
        <v>0</v>
      </c>
      <c r="E5" s="23">
        <f>COUNTIF(Principal!$K$7:$K$16,43)</f>
        <v>0</v>
      </c>
      <c r="F5" s="22">
        <f>COUNTIF(Principal!$K$7:$K$16,44)</f>
        <v>0</v>
      </c>
      <c r="G5" s="22">
        <f>COUNTIF(Principal!$K$7:$K$16,45)</f>
        <v>0</v>
      </c>
    </row>
    <row r="6" spans="1:7" ht="35.1" customHeight="1" x14ac:dyDescent="0.25">
      <c r="A6" s="16"/>
      <c r="B6" s="28" t="s">
        <v>64</v>
      </c>
      <c r="C6" s="19">
        <f>COUNTIF(Principal!$K$7:$K$16,31)</f>
        <v>0</v>
      </c>
      <c r="D6" s="25">
        <f>COUNTIF(Principal!$K$7:$K$16,32)</f>
        <v>1</v>
      </c>
      <c r="E6" s="24">
        <f>COUNTIF(Principal!$K$7:$K$16,33)</f>
        <v>1</v>
      </c>
      <c r="F6" s="22">
        <f>COUNTIF(Principal!$K$7:$K$16,34)</f>
        <v>0</v>
      </c>
      <c r="G6" s="22">
        <f>COUNTIF(Principal!$K$7:$K$16,35)</f>
        <v>0</v>
      </c>
    </row>
    <row r="7" spans="1:7" ht="35.1" customHeight="1" x14ac:dyDescent="0.25">
      <c r="A7" s="16"/>
      <c r="B7" s="28" t="s">
        <v>65</v>
      </c>
      <c r="C7" s="26">
        <f>COUNTIF(Principal!$K$7:$K$16,21)</f>
        <v>1</v>
      </c>
      <c r="D7" s="21">
        <f>COUNTIF(Principal!$K$7:$K$16,22)</f>
        <v>0</v>
      </c>
      <c r="E7" s="21">
        <f>COUNTIF(Principal!$K$7:$K$16,22)</f>
        <v>0</v>
      </c>
      <c r="F7" s="24">
        <f>COUNTIF(Principal!$K$7:$K$16,24)</f>
        <v>1</v>
      </c>
      <c r="G7" s="22">
        <f>COUNTIF(Principal!$K$7:$K$16,25)</f>
        <v>0</v>
      </c>
    </row>
    <row r="8" spans="1:7" ht="35.1" customHeight="1" x14ac:dyDescent="0.25">
      <c r="A8" s="16"/>
      <c r="B8" s="28" t="s">
        <v>66</v>
      </c>
      <c r="C8" s="20">
        <f>COUNTIF(Principal!$K$7:$K$16,11)</f>
        <v>0</v>
      </c>
      <c r="D8" s="20">
        <f>COUNTIF(Principal!$K$7:$K$16,12)</f>
        <v>0</v>
      </c>
      <c r="E8" s="25">
        <f>COUNTIF(Principal!$K$7:$K$16,13)</f>
        <v>1</v>
      </c>
      <c r="F8" s="24">
        <f>COUNTIF(Principal!$K$7:$K$16,14)</f>
        <v>2</v>
      </c>
      <c r="G8" s="24">
        <f>COUNTIF(Principal!$K$7:$K$16,15)</f>
        <v>1</v>
      </c>
    </row>
    <row r="9" spans="1:7" x14ac:dyDescent="0.25">
      <c r="C9" s="29" t="s">
        <v>68</v>
      </c>
      <c r="D9" s="30" t="s">
        <v>69</v>
      </c>
      <c r="E9" s="30" t="s">
        <v>70</v>
      </c>
      <c r="F9" s="30" t="s">
        <v>71</v>
      </c>
      <c r="G9" s="30" t="s">
        <v>72</v>
      </c>
    </row>
    <row r="10" spans="1:7" x14ac:dyDescent="0.25">
      <c r="C10" s="30"/>
      <c r="D10" s="30"/>
      <c r="E10" s="30"/>
      <c r="F10" s="30"/>
      <c r="G10" s="30"/>
    </row>
    <row r="11" spans="1:7" x14ac:dyDescent="0.25">
      <c r="C11" s="18" t="s">
        <v>59</v>
      </c>
      <c r="D11" s="18"/>
      <c r="E11" s="18"/>
      <c r="F11" s="18"/>
      <c r="G11" s="18"/>
    </row>
    <row r="15" spans="1:7" x14ac:dyDescent="0.25">
      <c r="C15" s="17"/>
    </row>
    <row r="16" spans="1:7" x14ac:dyDescent="0.25">
      <c r="C16" s="17"/>
    </row>
  </sheetData>
  <mergeCells count="7">
    <mergeCell ref="D9:D10"/>
    <mergeCell ref="E9:E10"/>
    <mergeCell ref="F9:F10"/>
    <mergeCell ref="G9:G10"/>
    <mergeCell ref="C11:G11"/>
    <mergeCell ref="A4:A8"/>
    <mergeCell ref="C9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3</vt:i4>
      </vt:variant>
    </vt:vector>
  </HeadingPairs>
  <TitlesOfParts>
    <vt:vector size="3" baseType="lpstr">
      <vt:lpstr>Principal</vt:lpstr>
      <vt:lpstr>hoja de trabajo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puig i Carreró</dc:creator>
  <cp:lastModifiedBy>Oriol puig i Carreró</cp:lastModifiedBy>
  <dcterms:created xsi:type="dcterms:W3CDTF">2024-03-12T18:57:25Z</dcterms:created>
  <dcterms:modified xsi:type="dcterms:W3CDTF">2024-03-27T17:42:40Z</dcterms:modified>
</cp:coreProperties>
</file>