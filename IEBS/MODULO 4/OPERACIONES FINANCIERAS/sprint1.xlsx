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e6c7bcb4eb356115/Escritorio/IEBS/MODULO 4/OPERACIONES FINANCIERAS/"/>
    </mc:Choice>
  </mc:AlternateContent>
  <xr:revisionPtr revIDLastSave="378" documentId="8_{AC0D8A6B-3233-4BAE-B39F-8F7B17D4E1CA}" xr6:coauthVersionLast="47" xr6:coauthVersionMax="47" xr10:uidLastSave="{0BA07885-66A5-433C-B005-9653A572B1FE}"/>
  <bookViews>
    <workbookView xWindow="-120" yWindow="-120" windowWidth="29040" windowHeight="15720" xr2:uid="{3291AFC7-0AD9-46E5-9948-736CE7F8516C}"/>
  </bookViews>
  <sheets>
    <sheet name="Factoring vs Descuento Efec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 l="1"/>
  <c r="D25" i="1"/>
  <c r="I21" i="1"/>
  <c r="H25" i="1"/>
  <c r="I26" i="1"/>
  <c r="E9" i="1"/>
  <c r="C9" i="1"/>
  <c r="E6" i="1"/>
  <c r="E2" i="1"/>
  <c r="E13" i="1" s="1"/>
  <c r="C2" i="1"/>
  <c r="C13" i="1" s="1"/>
  <c r="C25" i="1"/>
  <c r="C22" i="1"/>
  <c r="H22" i="1"/>
  <c r="C26" i="1" l="1"/>
  <c r="D21" i="1" s="1"/>
  <c r="H28" i="1" s="1"/>
  <c r="H26" i="1"/>
  <c r="H29" i="1" l="1"/>
</calcChain>
</file>

<file path=xl/sharedStrings.xml><?xml version="1.0" encoding="utf-8"?>
<sst xmlns="http://schemas.openxmlformats.org/spreadsheetml/2006/main" count="67" uniqueCount="62">
  <si>
    <t>Importe de la letra a descontar</t>
  </si>
  <si>
    <t>Gastos asociados</t>
  </si>
  <si>
    <t>Intereses</t>
  </si>
  <si>
    <t>Total de la factura</t>
  </si>
  <si>
    <t>Intereses:</t>
  </si>
  <si>
    <t>Tipo de interes mensual</t>
  </si>
  <si>
    <t>Total intereses</t>
  </si>
  <si>
    <t>Importe recibido</t>
  </si>
  <si>
    <t>Comisión del 2%</t>
  </si>
  <si>
    <t>Comisión 0,5%</t>
  </si>
  <si>
    <t>Factorizar la factura a cobrar que tiene pendiente de una empresa pública incluida dentro de sus cuentas a cobrar por importe de 100.000 euros el 20 de julio. Para esta operación, el banco le ha indicado al Director Financiero que podría realizar un factoring sin recurso con una comisión del 2% y un interés nominal del 3%, que se aplicará hasta el momento del vencimiento de la factura (31 de agosto).</t>
  </si>
  <si>
    <t>Total de dias</t>
  </si>
  <si>
    <t>Asume el riesgo la empresa</t>
  </si>
  <si>
    <t>En principio hay mas seguridad de cobrar al ser un organismo publico</t>
  </si>
  <si>
    <t>Activo no corriente</t>
  </si>
  <si>
    <t>Inmovilizado</t>
  </si>
  <si>
    <t>Inversiones financieras</t>
  </si>
  <si>
    <t>Activo corriente</t>
  </si>
  <si>
    <t>Existencias</t>
  </si>
  <si>
    <t>Cuentas a cobrar</t>
  </si>
  <si>
    <t>Tesoreria</t>
  </si>
  <si>
    <t>Total Activo</t>
  </si>
  <si>
    <t>Patrimonio Neto</t>
  </si>
  <si>
    <t>Capital social</t>
  </si>
  <si>
    <t>Reservas</t>
  </si>
  <si>
    <t>Pasivo no corriente</t>
  </si>
  <si>
    <t>Préstamos a largo plazo</t>
  </si>
  <si>
    <t>Pasivo corriente</t>
  </si>
  <si>
    <t>Préstamos a corto plazo</t>
  </si>
  <si>
    <t>Proveedores</t>
  </si>
  <si>
    <t>Impuestos</t>
  </si>
  <si>
    <t>Toptal Patrimonio Neto y Pasivo</t>
  </si>
  <si>
    <t xml:space="preserve">Ambas son financiaciones a cp. </t>
  </si>
  <si>
    <t>La entidad fianciera asume el riesgo</t>
  </si>
  <si>
    <t>No hay que hacer la gestion de cobro.</t>
  </si>
  <si>
    <t>Diferencia</t>
  </si>
  <si>
    <t xml:space="preserve">2.- </t>
  </si>
  <si>
    <t>Analiza e indica razonadamente cuál crees que es la mejor alternativa de financiación a corto plazo para OFF</t>
  </si>
  <si>
    <t>Sobre un efecto comercial no vencido</t>
  </si>
  <si>
    <t>% sobre recibido</t>
  </si>
  <si>
    <r>
      <t>Descontar los efectos que tiene en su poder por importe de 250.000 euros y vencimiento el 30 de noviembre (</t>
    </r>
    <r>
      <rPr>
        <b/>
        <sz val="13"/>
        <color rgb="FF333333"/>
        <rFont val="Arial"/>
        <family val="2"/>
      </rPr>
      <t>aclarada fecha</t>
    </r>
    <r>
      <rPr>
        <sz val="13"/>
        <color rgb="FF333333"/>
        <rFont val="Arial"/>
        <family val="2"/>
      </rPr>
      <t>). Para estas operaciones, la empresa mantiene una línea de descuento de efectos con una comisión del 0,5% (</t>
    </r>
    <r>
      <rPr>
        <b/>
        <sz val="13"/>
        <color rgb="FF333333"/>
        <rFont val="Arial"/>
        <family val="2"/>
      </rPr>
      <t>modificado</t>
    </r>
    <r>
      <rPr>
        <sz val="13"/>
        <color rgb="FF333333"/>
        <rFont val="Arial"/>
        <family val="2"/>
      </rPr>
      <t>).
El descuento de efectos no tiene costes adicionales a la comisión y a los intereses. Además, para el cálculo de los intereses se utilizará un tipo del 1% y el periodo de descuento será desde el 20 de julio hasta el vencimiento de la factura (añadido).</t>
    </r>
  </si>
  <si>
    <t>Calcula los costes que ocasionan las dos alternativas para la empresa e indica los pros y los contras de cada una de ellas. </t>
  </si>
  <si>
    <t>1.-</t>
  </si>
  <si>
    <t>PROS</t>
  </si>
  <si>
    <t>CONTRA</t>
  </si>
  <si>
    <t>Menor Coste</t>
  </si>
  <si>
    <t>POR TODAS ESTAS RAZONES ESCOJERIAMOS LA OPCIÓN DEL FACTORING</t>
  </si>
  <si>
    <t>Mayor rapidez</t>
  </si>
  <si>
    <t>Posiblemente mayor burocrácia</t>
  </si>
  <si>
    <t>Periodo</t>
  </si>
  <si>
    <t>total de dias</t>
  </si>
  <si>
    <t>Podriamos tener costes adicionales por el retraso
 del cobro</t>
  </si>
  <si>
    <t>Mayor coste</t>
  </si>
  <si>
    <t>Descuento Efectos</t>
  </si>
  <si>
    <t xml:space="preserve">Factoring </t>
  </si>
  <si>
    <t>Las operaciones de factoring sin recurso tienen por norma general un coste mayor que el descuento ya que no mantenemos el riesgo ni la gestion del cobro.</t>
  </si>
  <si>
    <t xml:space="preserve">Al ser un factoring sin recurso, es prefereible para la empresa, que corre menos riegos. Si  la operación le sale un poco mas cara, 176,39€ pero es un valor insignifcante sobre los 100.000€. </t>
  </si>
  <si>
    <t>Con la opción de Factoringel mismo dia de la firma finaliza queda liquidada por parte de la empresa y es el banco quien asume el riesgo sin influirnos a nosotros en nada si no lo puede cobrar), de la otra forma serian 133 días con el peligro de prolongarse si no se cobrase dichos pagareses.</t>
  </si>
  <si>
    <t>En un supuesto impago con el descuento comercial deberiamos hacernos cargo del total de la letra.</t>
  </si>
  <si>
    <t>Factoring es sobre una factura pendiente de cobrar, de un servicio ya pasado.</t>
  </si>
  <si>
    <t>EL Descuento de efectos es sobre un efecto comercial aun no vencido.</t>
  </si>
  <si>
    <t>Tenemos préstamos a corto plazo y proveedores por el valor 1,5M, no queremos correr riesgo de ver ampliar con un impago o contratiempo.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</si>
</sst>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ont>
    <font>
      <b/>
      <sz val="10"/>
      <color theme="1"/>
      <name val="Arial"/>
    </font>
    <font>
      <sz val="13"/>
      <color rgb="FF333333"/>
      <name val="Arial"/>
      <family val="2"/>
    </font>
    <font>
      <b/>
      <sz val="13"/>
      <color rgb="FF333333"/>
      <name val="Arial"/>
      <family val="2"/>
    </font>
    <font>
      <b/>
      <sz val="10"/>
      <color theme="1"/>
      <name val="Arial"/>
      <family val="2"/>
    </font>
    <font>
      <b/>
      <sz val="12"/>
      <color rgb="FF333333"/>
      <name val="Calibri"/>
      <family val="2"/>
      <scheme val="minor"/>
    </font>
    <font>
      <b/>
      <sz val="12"/>
      <color theme="1"/>
      <name val="Calibri"/>
      <family val="2"/>
      <scheme val="minor"/>
    </font>
  </fonts>
  <fills count="2">
    <fill>
      <patternFill patternType="none"/>
    </fill>
    <fill>
      <patternFill patternType="gray125"/>
    </fill>
  </fills>
  <borders count="2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3" fillId="0" borderId="0" xfId="0" applyFont="1"/>
    <xf numFmtId="4" fontId="3" fillId="0" borderId="0" xfId="0" applyNumberFormat="1" applyFont="1"/>
    <xf numFmtId="10" fontId="0" fillId="0" borderId="0" xfId="2" applyNumberFormat="1" applyFont="1"/>
    <xf numFmtId="4" fontId="4" fillId="0" borderId="1" xfId="0" applyNumberFormat="1" applyFont="1" applyBorder="1"/>
    <xf numFmtId="4" fontId="4" fillId="0" borderId="0" xfId="0" applyNumberFormat="1" applyFont="1"/>
    <xf numFmtId="10" fontId="3" fillId="0" borderId="0" xfId="0" applyNumberFormat="1" applyFont="1"/>
    <xf numFmtId="0" fontId="5" fillId="0" borderId="0" xfId="0" applyFont="1" applyAlignment="1">
      <alignment horizontal="left" vertical="center" wrapText="1"/>
    </xf>
    <xf numFmtId="0" fontId="0" fillId="0" borderId="10" xfId="0" applyBorder="1"/>
    <xf numFmtId="43" fontId="0" fillId="0" borderId="10" xfId="1" applyFont="1" applyBorder="1"/>
    <xf numFmtId="0" fontId="2" fillId="0" borderId="10" xfId="0" applyFont="1" applyBorder="1"/>
    <xf numFmtId="43" fontId="2" fillId="0" borderId="10" xfId="1" applyFont="1" applyBorder="1"/>
    <xf numFmtId="0" fontId="7" fillId="0" borderId="0" xfId="0" applyFont="1"/>
    <xf numFmtId="0" fontId="4" fillId="0" borderId="10" xfId="0" applyFont="1" applyBorder="1"/>
    <xf numFmtId="4" fontId="4" fillId="0" borderId="10" xfId="0" applyNumberFormat="1" applyFont="1" applyBorder="1"/>
    <xf numFmtId="0" fontId="2" fillId="0" borderId="0" xfId="0" applyFont="1"/>
    <xf numFmtId="43" fontId="2" fillId="0" borderId="0" xfId="1" applyFont="1" applyBorder="1"/>
    <xf numFmtId="0" fontId="9" fillId="0" borderId="0" xfId="0" applyFont="1"/>
    <xf numFmtId="0" fontId="9" fillId="0" borderId="0" xfId="0" applyFont="1" applyAlignment="1">
      <alignment horizontal="right"/>
    </xf>
    <xf numFmtId="4" fontId="2" fillId="0" borderId="10" xfId="0" applyNumberFormat="1" applyFont="1" applyBorder="1"/>
    <xf numFmtId="0" fontId="5" fillId="0" borderId="0" xfId="0" applyFont="1" applyAlignment="1">
      <alignment vertical="center" wrapText="1"/>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0" fillId="0" borderId="0" xfId="0" applyAlignment="1">
      <alignment horizontal="left"/>
    </xf>
    <xf numFmtId="0" fontId="2" fillId="0" borderId="13" xfId="0" applyFont="1" applyBorder="1" applyAlignment="1">
      <alignment horizontal="center"/>
    </xf>
    <xf numFmtId="0" fontId="2" fillId="0" borderId="14" xfId="0" applyFont="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1" xfId="0" applyBorder="1" applyAlignment="1">
      <alignment horizontal="left"/>
    </xf>
    <xf numFmtId="0" fontId="0" fillId="0" borderId="21" xfId="0" applyBorder="1" applyAlignment="1">
      <alignment horizontal="left"/>
    </xf>
    <xf numFmtId="0" fontId="2" fillId="0" borderId="12" xfId="0" applyFont="1" applyBorder="1" applyAlignment="1">
      <alignment horizontal="center"/>
    </xf>
    <xf numFmtId="0" fontId="0" fillId="0" borderId="0" xfId="0"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2"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4" xfId="0" applyFont="1" applyBorder="1" applyAlignment="1">
      <alignment horizontal="left" vertical="center" wrapText="1" indent="1"/>
    </xf>
    <xf numFmtId="0" fontId="5" fillId="0" borderId="5" xfId="0" applyFont="1" applyBorder="1" applyAlignment="1">
      <alignment horizontal="left" vertical="center" wrapText="1" indent="1"/>
    </xf>
    <xf numFmtId="0" fontId="5" fillId="0" borderId="0" xfId="0" applyFont="1" applyAlignment="1">
      <alignment horizontal="left" vertical="center" wrapText="1" indent="1"/>
    </xf>
    <xf numFmtId="0" fontId="5" fillId="0" borderId="6" xfId="0" applyFont="1" applyBorder="1" applyAlignment="1">
      <alignment horizontal="left" vertical="center" wrapText="1" indent="1"/>
    </xf>
    <xf numFmtId="0" fontId="5" fillId="0" borderId="7" xfId="0" applyFont="1" applyBorder="1" applyAlignment="1">
      <alignment horizontal="left" vertical="center" wrapText="1" indent="1"/>
    </xf>
    <xf numFmtId="0" fontId="5" fillId="0" borderId="8" xfId="0" applyFont="1" applyBorder="1" applyAlignment="1">
      <alignment horizontal="left" vertical="center" wrapText="1" indent="1"/>
    </xf>
    <xf numFmtId="0" fontId="5" fillId="0" borderId="9" xfId="0" applyFont="1" applyBorder="1" applyAlignment="1">
      <alignment horizontal="left" vertical="center" wrapText="1" indent="1"/>
    </xf>
    <xf numFmtId="0" fontId="8" fillId="0" borderId="0" xfId="0" applyFont="1" applyAlignment="1">
      <alignment horizontal="center" vertical="center" wrapText="1"/>
    </xf>
    <xf numFmtId="0" fontId="8" fillId="0" borderId="0" xfId="0" applyFont="1" applyAlignment="1">
      <alignment horizontal="center"/>
    </xf>
    <xf numFmtId="16" fontId="0" fillId="0" borderId="0" xfId="0" applyNumberFormat="1"/>
    <xf numFmtId="4" fontId="0" fillId="0" borderId="0" xfId="0" applyNumberFormat="1"/>
    <xf numFmtId="4" fontId="0" fillId="0" borderId="10" xfId="0" applyNumberFormat="1" applyFont="1" applyBorder="1"/>
    <xf numFmtId="0" fontId="0" fillId="0" borderId="0" xfId="0" applyAlignment="1">
      <alignment horizontal="left" wrapText="1"/>
    </xf>
    <xf numFmtId="0" fontId="9" fillId="0" borderId="0" xfId="0" applyFont="1" applyAlignment="1"/>
  </cellXfs>
  <cellStyles count="3">
    <cellStyle name="Coma" xfId="1" builtinId="3"/>
    <cellStyle name="Normal" xfId="0" builtinId="0"/>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AE59-7B9E-4C26-B7E7-5C0F5D9B057C}">
  <dimension ref="A2:N46"/>
  <sheetViews>
    <sheetView showGridLines="0" tabSelected="1" topLeftCell="A18" workbookViewId="0">
      <selection activeCell="A18" sqref="A18:J48"/>
    </sheetView>
  </sheetViews>
  <sheetFormatPr defaultRowHeight="15" x14ac:dyDescent="0.25"/>
  <cols>
    <col min="1" max="1" width="5" customWidth="1"/>
    <col min="2" max="2" width="32.85546875" customWidth="1"/>
    <col min="3" max="3" width="11.5703125" customWidth="1"/>
    <col min="4" max="4" width="18.7109375" customWidth="1"/>
    <col min="5" max="5" width="13.85546875" customWidth="1"/>
    <col min="6" max="6" width="16.5703125" customWidth="1"/>
    <col min="7" max="7" width="37.140625" customWidth="1"/>
    <col min="8" max="8" width="26.140625" customWidth="1"/>
    <col min="9" max="9" width="24.5703125" customWidth="1"/>
  </cols>
  <sheetData>
    <row r="2" spans="2:14" x14ac:dyDescent="0.25">
      <c r="B2" s="10" t="s">
        <v>14</v>
      </c>
      <c r="C2" s="11">
        <f>SUM(C3:C4)</f>
        <v>7650000</v>
      </c>
      <c r="D2" s="10" t="s">
        <v>22</v>
      </c>
      <c r="E2" s="11">
        <f>SUM(E3:E4)</f>
        <v>1470000</v>
      </c>
    </row>
    <row r="3" spans="2:14" x14ac:dyDescent="0.25">
      <c r="B3" s="8" t="s">
        <v>15</v>
      </c>
      <c r="C3" s="9">
        <v>6650000</v>
      </c>
      <c r="D3" s="8" t="s">
        <v>23</v>
      </c>
      <c r="E3" s="9">
        <v>3000</v>
      </c>
    </row>
    <row r="4" spans="2:14" x14ac:dyDescent="0.25">
      <c r="B4" s="8" t="s">
        <v>16</v>
      </c>
      <c r="C4" s="9">
        <v>1000000</v>
      </c>
      <c r="D4" s="8" t="s">
        <v>24</v>
      </c>
      <c r="E4" s="9">
        <v>1467000</v>
      </c>
    </row>
    <row r="5" spans="2:14" x14ac:dyDescent="0.25">
      <c r="B5" s="8"/>
      <c r="C5" s="9"/>
      <c r="D5" s="8"/>
      <c r="E5" s="9"/>
    </row>
    <row r="6" spans="2:14" x14ac:dyDescent="0.25">
      <c r="B6" s="8"/>
      <c r="C6" s="9"/>
      <c r="D6" s="10" t="s">
        <v>25</v>
      </c>
      <c r="E6" s="11">
        <f>E7</f>
        <v>5400000</v>
      </c>
    </row>
    <row r="7" spans="2:14" x14ac:dyDescent="0.25">
      <c r="B7" s="8"/>
      <c r="C7" s="9"/>
      <c r="D7" s="8" t="s">
        <v>26</v>
      </c>
      <c r="E7" s="9">
        <v>5400000</v>
      </c>
    </row>
    <row r="8" spans="2:14" x14ac:dyDescent="0.25">
      <c r="B8" s="8"/>
      <c r="C8" s="9"/>
      <c r="D8" s="8"/>
      <c r="E8" s="9"/>
    </row>
    <row r="9" spans="2:14" x14ac:dyDescent="0.25">
      <c r="B9" s="10" t="s">
        <v>17</v>
      </c>
      <c r="C9" s="11">
        <f>SUM(C10:C12)</f>
        <v>885000</v>
      </c>
      <c r="D9" s="10" t="s">
        <v>27</v>
      </c>
      <c r="E9" s="11">
        <f>SUM(E10:E12)</f>
        <v>1665000</v>
      </c>
    </row>
    <row r="10" spans="2:14" x14ac:dyDescent="0.25">
      <c r="B10" s="8" t="s">
        <v>18</v>
      </c>
      <c r="C10" s="9">
        <v>135000</v>
      </c>
      <c r="D10" s="8" t="s">
        <v>28</v>
      </c>
      <c r="E10" s="9">
        <v>1200000</v>
      </c>
    </row>
    <row r="11" spans="2:14" x14ac:dyDescent="0.25">
      <c r="B11" s="8" t="s">
        <v>19</v>
      </c>
      <c r="C11" s="9">
        <v>700000</v>
      </c>
      <c r="D11" s="8" t="s">
        <v>29</v>
      </c>
      <c r="E11" s="9">
        <v>340000</v>
      </c>
    </row>
    <row r="12" spans="2:14" x14ac:dyDescent="0.25">
      <c r="B12" s="8" t="s">
        <v>20</v>
      </c>
      <c r="C12" s="9">
        <v>50000</v>
      </c>
      <c r="D12" s="8" t="s">
        <v>30</v>
      </c>
      <c r="E12" s="9">
        <v>125000</v>
      </c>
    </row>
    <row r="13" spans="2:14" x14ac:dyDescent="0.25">
      <c r="B13" s="10" t="s">
        <v>21</v>
      </c>
      <c r="C13" s="11">
        <f>C2+C9</f>
        <v>8535000</v>
      </c>
      <c r="D13" s="10" t="s">
        <v>31</v>
      </c>
      <c r="E13" s="11">
        <f>E2+E6+E9</f>
        <v>8535000</v>
      </c>
    </row>
    <row r="14" spans="2:14" ht="15.75" thickBot="1" x14ac:dyDescent="0.3">
      <c r="B14" s="15"/>
      <c r="C14" s="16"/>
      <c r="D14" s="15"/>
      <c r="E14" s="16"/>
    </row>
    <row r="15" spans="2:14" ht="20.25" customHeight="1" x14ac:dyDescent="0.25">
      <c r="B15" s="37" t="s">
        <v>40</v>
      </c>
      <c r="C15" s="38"/>
      <c r="D15" s="38"/>
      <c r="E15" s="39"/>
      <c r="G15" s="46" t="s">
        <v>10</v>
      </c>
      <c r="H15" s="47"/>
      <c r="I15" s="47"/>
      <c r="J15" s="48"/>
      <c r="K15" s="20"/>
      <c r="L15" s="20"/>
      <c r="M15" s="20"/>
      <c r="N15" s="20"/>
    </row>
    <row r="16" spans="2:14" ht="45" customHeight="1" x14ac:dyDescent="0.25">
      <c r="B16" s="40"/>
      <c r="C16" s="41"/>
      <c r="D16" s="41"/>
      <c r="E16" s="42"/>
      <c r="G16" s="49"/>
      <c r="H16" s="50"/>
      <c r="I16" s="50"/>
      <c r="J16" s="51"/>
      <c r="K16" s="20"/>
      <c r="L16" s="20"/>
      <c r="M16" s="20"/>
      <c r="N16" s="20"/>
    </row>
    <row r="17" spans="1:14" ht="80.25" customHeight="1" thickBot="1" x14ac:dyDescent="0.3">
      <c r="B17" s="43"/>
      <c r="C17" s="44"/>
      <c r="D17" s="44"/>
      <c r="E17" s="45"/>
      <c r="G17" s="52"/>
      <c r="H17" s="53"/>
      <c r="I17" s="53"/>
      <c r="J17" s="54"/>
      <c r="K17" s="20"/>
      <c r="L17" s="20"/>
      <c r="M17" s="20"/>
      <c r="N17" s="20"/>
    </row>
    <row r="18" spans="1:14" ht="12" customHeight="1" x14ac:dyDescent="0.25">
      <c r="A18" s="33"/>
      <c r="B18" s="33"/>
      <c r="C18" s="33"/>
      <c r="D18" s="33"/>
      <c r="E18" s="33"/>
      <c r="F18" s="33"/>
      <c r="G18" s="33"/>
      <c r="H18" s="33"/>
      <c r="I18" s="33"/>
      <c r="J18" s="33"/>
      <c r="K18" s="20"/>
      <c r="L18" s="20"/>
      <c r="M18" s="20"/>
      <c r="N18" s="20"/>
    </row>
    <row r="19" spans="1:14" ht="16.5" customHeight="1" x14ac:dyDescent="0.25">
      <c r="A19" s="18" t="s">
        <v>42</v>
      </c>
      <c r="B19" s="55" t="s">
        <v>41</v>
      </c>
      <c r="C19" s="55"/>
      <c r="D19" s="55"/>
      <c r="E19" s="55"/>
      <c r="F19" s="55"/>
      <c r="G19" s="55"/>
      <c r="H19" s="55"/>
      <c r="I19" s="55"/>
      <c r="J19" s="55"/>
      <c r="K19" s="7"/>
      <c r="L19" s="7"/>
      <c r="M19" s="7"/>
      <c r="N19" s="7"/>
    </row>
    <row r="20" spans="1:14" ht="10.5" customHeight="1" x14ac:dyDescent="0.25">
      <c r="A20" s="61"/>
      <c r="B20" s="61" t="s">
        <v>53</v>
      </c>
      <c r="C20" s="61"/>
      <c r="D20" s="61"/>
      <c r="E20" s="61"/>
      <c r="F20" s="61"/>
      <c r="G20" s="61" t="s">
        <v>54</v>
      </c>
      <c r="H20" s="61"/>
      <c r="I20" s="61"/>
      <c r="J20" s="61"/>
      <c r="K20" s="7"/>
      <c r="L20" s="7"/>
      <c r="M20" s="7"/>
      <c r="N20" s="7"/>
    </row>
    <row r="21" spans="1:14" x14ac:dyDescent="0.25">
      <c r="B21" s="1" t="s">
        <v>0</v>
      </c>
      <c r="C21" s="2">
        <v>250000</v>
      </c>
      <c r="D21" s="19">
        <f>C21-C26</f>
        <v>2173.611111111124</v>
      </c>
      <c r="G21" s="1" t="s">
        <v>3</v>
      </c>
      <c r="H21" s="2">
        <v>100000</v>
      </c>
      <c r="I21" s="58">
        <f>H21-H26</f>
        <v>2350</v>
      </c>
    </row>
    <row r="22" spans="1:14" x14ac:dyDescent="0.25">
      <c r="B22" s="1" t="s">
        <v>9</v>
      </c>
      <c r="C22" s="2">
        <f>0.5%*C21</f>
        <v>1250</v>
      </c>
      <c r="G22" s="1" t="s">
        <v>8</v>
      </c>
      <c r="H22" s="5">
        <f>H21*0.02</f>
        <v>2000</v>
      </c>
    </row>
    <row r="23" spans="1:14" x14ac:dyDescent="0.25">
      <c r="B23" s="1" t="s">
        <v>1</v>
      </c>
      <c r="C23" s="2">
        <v>0</v>
      </c>
      <c r="D23" s="59" t="s">
        <v>49</v>
      </c>
      <c r="E23" s="57">
        <v>45493</v>
      </c>
      <c r="G23" s="1" t="s">
        <v>4</v>
      </c>
    </row>
    <row r="24" spans="1:14" x14ac:dyDescent="0.25">
      <c r="B24" s="1" t="s">
        <v>2</v>
      </c>
      <c r="C24" s="2">
        <f>C21*1%*(D25/360)</f>
        <v>923.6111111111112</v>
      </c>
      <c r="D24" s="3" t="s">
        <v>50</v>
      </c>
      <c r="E24" s="57">
        <v>45626</v>
      </c>
      <c r="G24" s="1" t="s">
        <v>5</v>
      </c>
      <c r="H24" s="6">
        <v>0.03</v>
      </c>
      <c r="I24" s="19" t="s">
        <v>49</v>
      </c>
      <c r="J24" s="57">
        <v>45493</v>
      </c>
    </row>
    <row r="25" spans="1:14" x14ac:dyDescent="0.25">
      <c r="B25" t="s">
        <v>11</v>
      </c>
      <c r="C25">
        <f>11+31+30+30+31</f>
        <v>133</v>
      </c>
      <c r="D25">
        <f>E24-E23</f>
        <v>133</v>
      </c>
      <c r="G25" s="1" t="s">
        <v>6</v>
      </c>
      <c r="H25" s="5">
        <f>H21*H24*(I26/360)</f>
        <v>350</v>
      </c>
      <c r="I25" s="3" t="s">
        <v>50</v>
      </c>
      <c r="J25" s="57">
        <v>45535</v>
      </c>
    </row>
    <row r="26" spans="1:14" x14ac:dyDescent="0.25">
      <c r="B26" s="13" t="s">
        <v>7</v>
      </c>
      <c r="C26" s="4">
        <f>C21-C22-C23-C24</f>
        <v>247826.38888888888</v>
      </c>
      <c r="G26" s="13" t="s">
        <v>7</v>
      </c>
      <c r="H26" s="14">
        <f>H21-H22-H25</f>
        <v>97650</v>
      </c>
      <c r="I26">
        <f>J25-J24</f>
        <v>42</v>
      </c>
    </row>
    <row r="28" spans="1:14" x14ac:dyDescent="0.25">
      <c r="E28" s="15"/>
      <c r="G28" s="12" t="s">
        <v>35</v>
      </c>
      <c r="H28" s="5">
        <f>I21-D21</f>
        <v>176.38888888887595</v>
      </c>
    </row>
    <row r="29" spans="1:14" x14ac:dyDescent="0.25">
      <c r="G29" s="12" t="s">
        <v>39</v>
      </c>
      <c r="H29" s="3">
        <f>H28/H26</f>
        <v>1.8063378278430717E-3</v>
      </c>
    </row>
    <row r="30" spans="1:14" x14ac:dyDescent="0.25">
      <c r="B30" s="21" t="s">
        <v>43</v>
      </c>
      <c r="C30" s="25" t="s">
        <v>44</v>
      </c>
      <c r="D30" s="25"/>
      <c r="E30" s="26"/>
      <c r="F30" s="15"/>
      <c r="G30" s="21" t="s">
        <v>43</v>
      </c>
      <c r="H30" s="22"/>
      <c r="I30" s="23" t="s">
        <v>44</v>
      </c>
    </row>
    <row r="31" spans="1:14" x14ac:dyDescent="0.25">
      <c r="B31" t="s">
        <v>45</v>
      </c>
      <c r="C31" s="35" t="s">
        <v>12</v>
      </c>
      <c r="D31" s="35"/>
      <c r="E31" s="35"/>
      <c r="G31" t="s">
        <v>33</v>
      </c>
      <c r="I31" s="24" t="s">
        <v>52</v>
      </c>
      <c r="J31" s="24"/>
    </row>
    <row r="32" spans="1:14" ht="30.75" customHeight="1" x14ac:dyDescent="0.25">
      <c r="B32" t="s">
        <v>47</v>
      </c>
      <c r="C32" s="60" t="s">
        <v>51</v>
      </c>
      <c r="D32" s="24"/>
      <c r="E32" s="24"/>
      <c r="G32" s="24" t="s">
        <v>13</v>
      </c>
      <c r="H32" s="24"/>
      <c r="I32" s="24" t="s">
        <v>48</v>
      </c>
      <c r="J32" s="24"/>
    </row>
    <row r="33" spans="1:10" x14ac:dyDescent="0.25">
      <c r="C33" s="24" t="s">
        <v>38</v>
      </c>
      <c r="D33" s="24"/>
      <c r="E33" s="24"/>
      <c r="G33" t="s">
        <v>34</v>
      </c>
    </row>
    <row r="36" spans="1:10" s="17" customFormat="1" ht="15.75" x14ac:dyDescent="0.25">
      <c r="A36" s="18" t="s">
        <v>36</v>
      </c>
      <c r="B36" s="56" t="s">
        <v>37</v>
      </c>
      <c r="C36" s="56"/>
      <c r="D36" s="56"/>
      <c r="E36" s="56"/>
      <c r="F36" s="56"/>
      <c r="G36" s="56"/>
      <c r="H36" s="56"/>
      <c r="I36" s="56"/>
      <c r="J36" s="56"/>
    </row>
    <row r="37" spans="1:10" x14ac:dyDescent="0.25">
      <c r="B37" s="33"/>
      <c r="C37" s="33"/>
      <c r="D37" s="33"/>
      <c r="E37" s="33"/>
      <c r="F37" s="33"/>
      <c r="G37" s="33"/>
      <c r="H37" s="33"/>
      <c r="I37" s="33"/>
    </row>
    <row r="38" spans="1:10" x14ac:dyDescent="0.25">
      <c r="B38" s="34" t="s">
        <v>32</v>
      </c>
      <c r="C38" s="35"/>
      <c r="D38" s="35"/>
      <c r="E38" s="35"/>
      <c r="F38" s="35"/>
      <c r="G38" s="35"/>
      <c r="H38" s="35"/>
      <c r="I38" s="36"/>
    </row>
    <row r="39" spans="1:10" x14ac:dyDescent="0.25">
      <c r="B39" s="27" t="s">
        <v>55</v>
      </c>
      <c r="C39" s="24"/>
      <c r="D39" s="24"/>
      <c r="E39" s="24"/>
      <c r="F39" s="24"/>
      <c r="G39" s="24"/>
      <c r="H39" s="24"/>
      <c r="I39" s="28"/>
    </row>
    <row r="40" spans="1:10" x14ac:dyDescent="0.25">
      <c r="B40" s="27" t="s">
        <v>56</v>
      </c>
      <c r="C40" s="24"/>
      <c r="D40" s="24"/>
      <c r="E40" s="24"/>
      <c r="F40" s="24"/>
      <c r="G40" s="24"/>
      <c r="H40" s="24"/>
      <c r="I40" s="28"/>
    </row>
    <row r="41" spans="1:10" x14ac:dyDescent="0.25">
      <c r="B41" s="27" t="s">
        <v>57</v>
      </c>
      <c r="C41" s="24"/>
      <c r="D41" s="24"/>
      <c r="E41" s="24"/>
      <c r="F41" s="24"/>
      <c r="G41" s="24"/>
      <c r="H41" s="24"/>
      <c r="I41" s="28"/>
    </row>
    <row r="42" spans="1:10" x14ac:dyDescent="0.25">
      <c r="B42" s="27" t="s">
        <v>58</v>
      </c>
      <c r="C42" s="24"/>
      <c r="D42" s="24"/>
      <c r="E42" s="24"/>
      <c r="F42" s="24"/>
      <c r="G42" s="24"/>
      <c r="H42" s="24"/>
      <c r="I42" s="28"/>
    </row>
    <row r="43" spans="1:10" x14ac:dyDescent="0.25">
      <c r="B43" s="27" t="s">
        <v>59</v>
      </c>
      <c r="C43" s="24"/>
      <c r="D43" s="24"/>
      <c r="E43" s="24"/>
      <c r="F43" s="24"/>
      <c r="G43" s="24"/>
      <c r="H43" s="24"/>
      <c r="I43" s="28"/>
    </row>
    <row r="44" spans="1:10" x14ac:dyDescent="0.25">
      <c r="B44" s="27" t="s">
        <v>60</v>
      </c>
      <c r="C44" s="24"/>
      <c r="D44" s="24"/>
      <c r="E44" s="24"/>
      <c r="F44" s="24"/>
      <c r="G44" s="24"/>
      <c r="H44" s="24"/>
      <c r="I44" s="28"/>
    </row>
    <row r="45" spans="1:10" x14ac:dyDescent="0.25">
      <c r="B45" s="29" t="s">
        <v>61</v>
      </c>
      <c r="C45" s="30"/>
      <c r="D45" s="30"/>
      <c r="E45" s="30"/>
      <c r="F45" s="30"/>
      <c r="G45" s="30"/>
      <c r="H45" s="30"/>
      <c r="I45" s="31"/>
    </row>
    <row r="46" spans="1:10" x14ac:dyDescent="0.25">
      <c r="B46" s="32" t="s">
        <v>46</v>
      </c>
      <c r="C46" s="25"/>
      <c r="D46" s="25"/>
      <c r="E46" s="25"/>
      <c r="F46" s="25"/>
      <c r="G46" s="25"/>
      <c r="H46" s="25"/>
      <c r="I46" s="26"/>
    </row>
  </sheetData>
  <mergeCells count="22">
    <mergeCell ref="B15:E17"/>
    <mergeCell ref="G15:J17"/>
    <mergeCell ref="B19:J19"/>
    <mergeCell ref="B36:J36"/>
    <mergeCell ref="A18:J18"/>
    <mergeCell ref="G32:H32"/>
    <mergeCell ref="C31:E31"/>
    <mergeCell ref="C32:E32"/>
    <mergeCell ref="C33:E33"/>
    <mergeCell ref="C30:E30"/>
    <mergeCell ref="B45:I45"/>
    <mergeCell ref="B46:I46"/>
    <mergeCell ref="B37:I37"/>
    <mergeCell ref="B38:I38"/>
    <mergeCell ref="B39:I39"/>
    <mergeCell ref="B41:I41"/>
    <mergeCell ref="B40:I40"/>
    <mergeCell ref="B42:I42"/>
    <mergeCell ref="I32:J32"/>
    <mergeCell ref="I31:J31"/>
    <mergeCell ref="B43:I43"/>
    <mergeCell ref="B44:I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Factoring vs Descuento Efectos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Oriol puig i Carreró</dc:creator>
  <cp:lastModifiedBy>Oriol puig i Carreró</cp:lastModifiedBy>
  <dcterms:created xsi:type="dcterms:W3CDTF">2024-03-05T17:47:54Z</dcterms:created>
  <dcterms:modified xsi:type="dcterms:W3CDTF">2024-03-27T07:13:52Z</dcterms:modified>
</cp:coreProperties>
</file>