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4/OPERACIONES FINANCIERAS/"/>
    </mc:Choice>
  </mc:AlternateContent>
  <xr:revisionPtr revIDLastSave="0" documentId="8_{B13F599C-81F4-4B3A-AAF6-967D5275E03D}" xr6:coauthVersionLast="47" xr6:coauthVersionMax="47" xr10:uidLastSave="{00000000-0000-0000-0000-000000000000}"/>
  <bookViews>
    <workbookView xWindow="22932" yWindow="-60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" l="1"/>
  <c r="B42" i="1" s="1"/>
  <c r="B32" i="1" l="1"/>
  <c r="B38" i="1"/>
</calcChain>
</file>

<file path=xl/sharedStrings.xml><?xml version="1.0" encoding="utf-8"?>
<sst xmlns="http://schemas.openxmlformats.org/spreadsheetml/2006/main" count="17" uniqueCount="16">
  <si>
    <t>Calcular cuanto valdría 200 unidades monetarias dos meses después de que se entreguen.</t>
  </si>
  <si>
    <t>El tipo de interes nominal anual será del 3%:</t>
  </si>
  <si>
    <t>n =</t>
  </si>
  <si>
    <t>Número de periodos (n)</t>
  </si>
  <si>
    <t>meses</t>
  </si>
  <si>
    <t>r =</t>
  </si>
  <si>
    <t>Tipo de interes</t>
  </si>
  <si>
    <t>anual</t>
  </si>
  <si>
    <t>tipo mensualizado</t>
  </si>
  <si>
    <t>C0 =</t>
  </si>
  <si>
    <t>Capital inicial</t>
  </si>
  <si>
    <t>Cn =</t>
  </si>
  <si>
    <t>Cuanto valdrían al final de 6 meses:</t>
  </si>
  <si>
    <t>Capitalización compuesta</t>
  </si>
  <si>
    <t>C6 =</t>
  </si>
  <si>
    <t>Capitalización 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</si>
</sst>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10" fontId="1" fillId="0" borderId="0" xfId="0" applyNumberFormat="1" applyFont="1" applyAlignment="1">
      <alignment horizontal="right"/>
    </xf>
    <xf numFmtId="0" fontId="3" fillId="0" borderId="1" xfId="0" applyFont="1" applyBorder="1"/>
    <xf numFmtId="0" fontId="1" fillId="0" borderId="2" xfId="0" applyFont="1" applyBorder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734175" cy="35814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2:F42"/>
  <sheetViews>
    <sheetView tabSelected="1" topLeftCell="A20" workbookViewId="0">
      <selection activeCell="B42" sqref="B42"/>
    </sheetView>
  </sheetViews>
  <sheetFormatPr defaultColWidth="14.42578125" defaultRowHeight="15.75" customHeight="1" x14ac:dyDescent="0.2"/>
  <cols>
    <col min="2" max="2" width="42.42578125" customWidth="1"/>
  </cols>
  <sheetData>
    <row r="22" spans="1:6" x14ac:dyDescent="0.2">
      <c r="B22" s="1" t="s">
        <v>0</v>
      </c>
      <c r="C22" s="1"/>
      <c r="D22" s="1"/>
      <c r="E22" s="1"/>
      <c r="F22" s="2"/>
    </row>
    <row r="23" spans="1:6" x14ac:dyDescent="0.2">
      <c r="B23" s="3" t="s">
        <v>1</v>
      </c>
      <c r="C23" s="2"/>
      <c r="D23" s="2"/>
      <c r="E23" s="2"/>
      <c r="F23" s="2"/>
    </row>
    <row r="24" spans="1:6" x14ac:dyDescent="0.2">
      <c r="B24" s="2"/>
      <c r="C24" s="2"/>
      <c r="D24" s="2"/>
      <c r="E24" s="2"/>
      <c r="F24" s="2"/>
    </row>
    <row r="25" spans="1:6" x14ac:dyDescent="0.2">
      <c r="B25" s="2"/>
      <c r="C25" s="2"/>
      <c r="D25" s="2"/>
      <c r="E25" s="2"/>
      <c r="F25" s="2"/>
    </row>
    <row r="26" spans="1:6" x14ac:dyDescent="0.2">
      <c r="A26" s="2" t="s">
        <v>2</v>
      </c>
      <c r="B26" s="2" t="s">
        <v>3</v>
      </c>
      <c r="C26" s="4">
        <v>2</v>
      </c>
      <c r="D26" s="2" t="s">
        <v>4</v>
      </c>
      <c r="E26" s="2"/>
      <c r="F26" s="2"/>
    </row>
    <row r="27" spans="1:6" x14ac:dyDescent="0.2">
      <c r="A27" s="2" t="s">
        <v>5</v>
      </c>
      <c r="B27" s="2" t="s">
        <v>6</v>
      </c>
      <c r="C27" s="5">
        <v>0.03</v>
      </c>
      <c r="D27" s="2" t="s">
        <v>7</v>
      </c>
      <c r="E27" s="6">
        <f>C27/12</f>
        <v>2.5000000000000001E-3</v>
      </c>
      <c r="F27" s="1" t="s">
        <v>8</v>
      </c>
    </row>
    <row r="29" spans="1:6" x14ac:dyDescent="0.2">
      <c r="A29" s="2" t="s">
        <v>9</v>
      </c>
      <c r="B29" s="2" t="s">
        <v>10</v>
      </c>
      <c r="C29" s="2">
        <v>200</v>
      </c>
    </row>
    <row r="32" spans="1:6" x14ac:dyDescent="0.2">
      <c r="A32" s="7" t="s">
        <v>11</v>
      </c>
      <c r="B32" s="7">
        <f>C29*(1+E27)^C26</f>
        <v>201.00124999999997</v>
      </c>
    </row>
    <row r="34" spans="1:2" x14ac:dyDescent="0.2">
      <c r="B34" s="2" t="s">
        <v>12</v>
      </c>
    </row>
    <row r="36" spans="1:2" x14ac:dyDescent="0.2">
      <c r="B36" s="8" t="s">
        <v>13</v>
      </c>
    </row>
    <row r="38" spans="1:2" x14ac:dyDescent="0.2">
      <c r="A38" s="2" t="s">
        <v>14</v>
      </c>
      <c r="B38" s="9">
        <f>C29*(1+E27)^6</f>
        <v>203.01881261730466</v>
      </c>
    </row>
    <row r="40" spans="1:2" x14ac:dyDescent="0.2">
      <c r="B40" s="8" t="s">
        <v>15</v>
      </c>
    </row>
    <row r="42" spans="1:2" x14ac:dyDescent="0.2">
      <c r="A42" s="2" t="s">
        <v>14</v>
      </c>
      <c r="B42" s="2">
        <f>C29*E27*6+200</f>
        <v>203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puig i Carreró</cp:lastModifiedBy>
  <dcterms:created xsi:type="dcterms:W3CDTF">2024-03-03T11:58:17Z</dcterms:created>
  <dcterms:modified xsi:type="dcterms:W3CDTF">2024-03-03T11:58:17Z</dcterms:modified>
</cp:coreProperties>
</file>