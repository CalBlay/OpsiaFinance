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1" documentId="8_{4A73C7C6-2E1E-4263-8D24-E4984B97DBD1}" xr6:coauthVersionLast="47" xr6:coauthVersionMax="47" xr10:uidLastSave="{F7828088-832A-4800-A66E-E4FD1CD08719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C34" i="1"/>
  <c r="C36" i="1" s="1"/>
  <c r="C38" i="1" s="1"/>
  <c r="C33" i="1"/>
  <c r="C28" i="1"/>
  <c r="C23" i="1"/>
  <c r="C27" i="1" s="1"/>
  <c r="C29" i="1" s="1"/>
</calcChain>
</file>

<file path=xl/sharedStrings.xml><?xml version="1.0" encoding="utf-8"?>
<sst xmlns="http://schemas.openxmlformats.org/spreadsheetml/2006/main" count="32" uniqueCount="28">
  <si>
    <t xml:space="preserve">Una empresa ha adquirido una opción de venta (put) sobre 100 acciones de </t>
  </si>
  <si>
    <t>una empresa cotizada por valor de 95 euros con un vencimiento de 2 meses.</t>
  </si>
  <si>
    <t>Actualmente la acción cotiza a 83 euros por acción y el precio de la opción</t>
  </si>
  <si>
    <t>se sitúa en 6 euros.</t>
  </si>
  <si>
    <t>Se pide:</t>
  </si>
  <si>
    <t>a) Calcular los costes y el beneficio/pérdida de la operación si tras dos meses,</t>
  </si>
  <si>
    <t>la acción vale 103 euros.</t>
  </si>
  <si>
    <t>b) Calcular los costes y el beneficio/pérdida de la operación si tras dos meses,</t>
  </si>
  <si>
    <t>la acción vale 87 euros.</t>
  </si>
  <si>
    <t>Número de acciones</t>
  </si>
  <si>
    <t>Precio venta pactado</t>
  </si>
  <si>
    <t>Cotización actual</t>
  </si>
  <si>
    <t>Prima</t>
  </si>
  <si>
    <t>a)</t>
  </si>
  <si>
    <t>Si la acción se sitúa en 103 euros:</t>
  </si>
  <si>
    <t>Precio de venta de las acciones</t>
  </si>
  <si>
    <t>NO EJERCERA la opción</t>
  </si>
  <si>
    <t>Ingreso monetario final</t>
  </si>
  <si>
    <t>euros</t>
  </si>
  <si>
    <t>Ingreso sin derivado</t>
  </si>
  <si>
    <t>Resultado</t>
  </si>
  <si>
    <t>Pérdida</t>
  </si>
  <si>
    <t>b)</t>
  </si>
  <si>
    <t>Si la acción se sitúa en87 euros</t>
  </si>
  <si>
    <t>Precio de venta</t>
  </si>
  <si>
    <t>Ingreso monetario</t>
  </si>
  <si>
    <t>Beneficio</t>
  </si>
  <si>
    <t>sin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</si>
</sst>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38"/>
  <sheetViews>
    <sheetView tabSelected="1" topLeftCell="A8" workbookViewId="0">
      <selection activeCell="F26" sqref="F26"/>
    </sheetView>
  </sheetViews>
  <sheetFormatPr defaultColWidth="14.42578125" defaultRowHeight="15.75" customHeight="1" x14ac:dyDescent="0.2"/>
  <cols>
    <col min="2" max="2" width="18.85546875" customWidth="1"/>
  </cols>
  <sheetData>
    <row r="2" spans="2:3" x14ac:dyDescent="0.2">
      <c r="B2" s="1" t="s">
        <v>0</v>
      </c>
    </row>
    <row r="3" spans="2:3" x14ac:dyDescent="0.2">
      <c r="B3" s="1" t="s">
        <v>1</v>
      </c>
    </row>
    <row r="5" spans="2:3" x14ac:dyDescent="0.2">
      <c r="B5" s="1" t="s">
        <v>2</v>
      </c>
    </row>
    <row r="6" spans="2:3" x14ac:dyDescent="0.2">
      <c r="B6" s="1" t="s">
        <v>3</v>
      </c>
    </row>
    <row r="8" spans="2:3" x14ac:dyDescent="0.2">
      <c r="B8" s="1" t="s">
        <v>4</v>
      </c>
    </row>
    <row r="10" spans="2:3" x14ac:dyDescent="0.2">
      <c r="B10" s="1" t="s">
        <v>5</v>
      </c>
    </row>
    <row r="11" spans="2:3" x14ac:dyDescent="0.2">
      <c r="B11" s="1" t="s">
        <v>6</v>
      </c>
    </row>
    <row r="13" spans="2:3" x14ac:dyDescent="0.2">
      <c r="B13" s="1" t="s">
        <v>7</v>
      </c>
    </row>
    <row r="14" spans="2:3" x14ac:dyDescent="0.2">
      <c r="B14" s="1" t="s">
        <v>8</v>
      </c>
    </row>
    <row r="16" spans="2:3" x14ac:dyDescent="0.2">
      <c r="B16" s="1" t="s">
        <v>9</v>
      </c>
      <c r="C16" s="1">
        <v>100</v>
      </c>
    </row>
    <row r="17" spans="1:5" x14ac:dyDescent="0.2">
      <c r="B17" s="1" t="s">
        <v>10</v>
      </c>
      <c r="C17" s="1">
        <v>95</v>
      </c>
    </row>
    <row r="18" spans="1:5" x14ac:dyDescent="0.2">
      <c r="B18" s="1" t="s">
        <v>11</v>
      </c>
      <c r="C18" s="1">
        <v>83</v>
      </c>
    </row>
    <row r="19" spans="1:5" x14ac:dyDescent="0.2">
      <c r="B19" s="1" t="s">
        <v>12</v>
      </c>
      <c r="C19" s="1">
        <v>6</v>
      </c>
    </row>
    <row r="21" spans="1:5" x14ac:dyDescent="0.2">
      <c r="A21" s="1" t="s">
        <v>13</v>
      </c>
      <c r="B21" s="1" t="s">
        <v>14</v>
      </c>
    </row>
    <row r="23" spans="1:5" x14ac:dyDescent="0.2">
      <c r="B23" s="1" t="s">
        <v>12</v>
      </c>
      <c r="C23" s="1">
        <f>C19</f>
        <v>6</v>
      </c>
    </row>
    <row r="25" spans="1:5" x14ac:dyDescent="0.2">
      <c r="B25" s="1" t="s">
        <v>15</v>
      </c>
      <c r="C25" s="1">
        <v>103</v>
      </c>
      <c r="D25" s="1" t="s">
        <v>16</v>
      </c>
    </row>
    <row r="27" spans="1:5" x14ac:dyDescent="0.2">
      <c r="B27" s="1" t="s">
        <v>17</v>
      </c>
      <c r="C27" s="2">
        <f>C16*C25-100*C23</f>
        <v>9700</v>
      </c>
      <c r="D27" s="1" t="s">
        <v>18</v>
      </c>
    </row>
    <row r="28" spans="1:5" x14ac:dyDescent="0.2">
      <c r="B28" s="1" t="s">
        <v>19</v>
      </c>
      <c r="C28" s="2">
        <f>C16*103</f>
        <v>10300</v>
      </c>
      <c r="E28" t="s">
        <v>27</v>
      </c>
    </row>
    <row r="29" spans="1:5" x14ac:dyDescent="0.2">
      <c r="B29" s="3" t="s">
        <v>20</v>
      </c>
      <c r="C29" s="4">
        <f>C27-C28</f>
        <v>-600</v>
      </c>
      <c r="D29" s="5" t="s">
        <v>21</v>
      </c>
    </row>
    <row r="31" spans="1:5" x14ac:dyDescent="0.2">
      <c r="A31" s="1" t="s">
        <v>22</v>
      </c>
      <c r="B31" s="1" t="s">
        <v>23</v>
      </c>
    </row>
    <row r="33" spans="2:4" x14ac:dyDescent="0.2">
      <c r="B33" s="1" t="s">
        <v>12</v>
      </c>
      <c r="C33" s="1">
        <f>C19</f>
        <v>6</v>
      </c>
    </row>
    <row r="34" spans="2:4" x14ac:dyDescent="0.2">
      <c r="B34" s="1" t="s">
        <v>24</v>
      </c>
      <c r="C34" s="1">
        <f>C17</f>
        <v>95</v>
      </c>
    </row>
    <row r="36" spans="2:4" x14ac:dyDescent="0.2">
      <c r="B36" s="1" t="s">
        <v>25</v>
      </c>
      <c r="C36" s="2">
        <f>(C16*C34)-(C16*C33)</f>
        <v>8900</v>
      </c>
    </row>
    <row r="37" spans="2:4" x14ac:dyDescent="0.2">
      <c r="B37" s="1" t="s">
        <v>19</v>
      </c>
      <c r="C37" s="2">
        <f>C16*87</f>
        <v>8700</v>
      </c>
    </row>
    <row r="38" spans="2:4" x14ac:dyDescent="0.2">
      <c r="B38" s="3" t="s">
        <v>20</v>
      </c>
      <c r="C38" s="4">
        <f>C36-C37</f>
        <v>200</v>
      </c>
      <c r="D3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2024-03-18T18:08:55Z</dcterms:created>
  <dcterms:modified xsi:type="dcterms:W3CDTF">2024-03-18T18:13:34Z</dcterms:modified>
</cp:coreProperties>
</file>