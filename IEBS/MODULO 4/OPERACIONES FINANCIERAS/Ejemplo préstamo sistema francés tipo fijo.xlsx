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4/OPERACIONES FINANCIERAS/"/>
    </mc:Choice>
  </mc:AlternateContent>
  <xr:revisionPtr revIDLastSave="3" documentId="8_{C63D5E40-E66C-412E-B002-A5C1914D0DED}" xr6:coauthVersionLast="47" xr6:coauthVersionMax="47" xr10:uidLastSave="{04D6DA9F-AA5B-4500-9905-A6947B916463}"/>
  <bookViews>
    <workbookView xWindow="22932" yWindow="-60" windowWidth="23256" windowHeight="12456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8" i="1" l="1"/>
  <c r="C298" i="1"/>
  <c r="E58" i="1"/>
  <c r="F57" i="1"/>
  <c r="C50" i="1"/>
  <c r="C53" i="1" s="1"/>
  <c r="C58" i="1" s="1"/>
  <c r="D58" i="1" l="1"/>
  <c r="C59" i="1"/>
  <c r="C60" i="1" l="1"/>
  <c r="G58" i="1"/>
  <c r="F58" i="1"/>
  <c r="E59" i="1" l="1"/>
  <c r="C61" i="1"/>
  <c r="C62" i="1" l="1"/>
  <c r="D59" i="1"/>
  <c r="F59" i="1" l="1"/>
  <c r="G59" i="1"/>
  <c r="C63" i="1"/>
  <c r="C64" i="1" l="1"/>
  <c r="E60" i="1"/>
  <c r="D60" i="1" l="1"/>
  <c r="C65" i="1"/>
  <c r="G60" i="1" l="1"/>
  <c r="F60" i="1"/>
  <c r="C66" i="1"/>
  <c r="C67" i="1" l="1"/>
  <c r="E61" i="1"/>
  <c r="D61" i="1" l="1"/>
  <c r="C68" i="1"/>
  <c r="C69" i="1" l="1"/>
  <c r="F61" i="1"/>
  <c r="G61" i="1"/>
  <c r="E62" i="1" l="1"/>
  <c r="D62" i="1" s="1"/>
  <c r="G62" i="1" s="1"/>
  <c r="C70" i="1"/>
  <c r="F62" i="1" l="1"/>
  <c r="C71" i="1"/>
  <c r="C72" i="1" l="1"/>
  <c r="E63" i="1"/>
  <c r="D63" i="1" s="1"/>
  <c r="G63" i="1" s="1"/>
  <c r="F63" i="1" l="1"/>
  <c r="C73" i="1"/>
  <c r="C74" i="1" l="1"/>
  <c r="E64" i="1"/>
  <c r="D64" i="1" s="1"/>
  <c r="G64" i="1" s="1"/>
  <c r="F64" i="1" l="1"/>
  <c r="C75" i="1"/>
  <c r="E65" i="1" l="1"/>
  <c r="D65" i="1" s="1"/>
  <c r="G65" i="1" s="1"/>
  <c r="C76" i="1"/>
  <c r="C77" i="1" l="1"/>
  <c r="F65" i="1"/>
  <c r="E66" i="1" l="1"/>
  <c r="D66" i="1" s="1"/>
  <c r="G66" i="1" s="1"/>
  <c r="C78" i="1"/>
  <c r="C79" i="1" l="1"/>
  <c r="F66" i="1"/>
  <c r="E67" i="1" l="1"/>
  <c r="D67" i="1" s="1"/>
  <c r="G67" i="1" s="1"/>
  <c r="C80" i="1"/>
  <c r="C81" i="1" l="1"/>
  <c r="F67" i="1"/>
  <c r="E68" i="1" l="1"/>
  <c r="D68" i="1" s="1"/>
  <c r="G68" i="1" s="1"/>
  <c r="C82" i="1"/>
  <c r="C83" i="1" l="1"/>
  <c r="F68" i="1"/>
  <c r="E69" i="1" l="1"/>
  <c r="D69" i="1" s="1"/>
  <c r="G69" i="1" s="1"/>
  <c r="F69" i="1"/>
  <c r="C84" i="1"/>
  <c r="C85" i="1" l="1"/>
  <c r="E70" i="1"/>
  <c r="D70" i="1" s="1"/>
  <c r="G70" i="1" s="1"/>
  <c r="F70" i="1" l="1"/>
  <c r="C86" i="1"/>
  <c r="C87" i="1" l="1"/>
  <c r="E71" i="1"/>
  <c r="D71" i="1" s="1"/>
  <c r="G71" i="1" s="1"/>
  <c r="F71" i="1" l="1"/>
  <c r="C88" i="1"/>
  <c r="C89" i="1" l="1"/>
  <c r="E72" i="1"/>
  <c r="D72" i="1" s="1"/>
  <c r="G72" i="1" s="1"/>
  <c r="F72" i="1" l="1"/>
  <c r="C90" i="1"/>
  <c r="C91" i="1" l="1"/>
  <c r="E73" i="1"/>
  <c r="D73" i="1" s="1"/>
  <c r="G73" i="1" s="1"/>
  <c r="F73" i="1" l="1"/>
  <c r="C92" i="1"/>
  <c r="C93" i="1" l="1"/>
  <c r="E74" i="1"/>
  <c r="D74" i="1" s="1"/>
  <c r="G74" i="1" s="1"/>
  <c r="F74" i="1" l="1"/>
  <c r="C94" i="1"/>
  <c r="C95" i="1" l="1"/>
  <c r="E75" i="1"/>
  <c r="D75" i="1" s="1"/>
  <c r="G75" i="1" s="1"/>
  <c r="F75" i="1" l="1"/>
  <c r="C96" i="1"/>
  <c r="C97" i="1" l="1"/>
  <c r="E76" i="1"/>
  <c r="D76" i="1" s="1"/>
  <c r="G76" i="1" s="1"/>
  <c r="F76" i="1" l="1"/>
  <c r="C98" i="1"/>
  <c r="E77" i="1" l="1"/>
  <c r="D77" i="1" s="1"/>
  <c r="G77" i="1" s="1"/>
  <c r="F77" i="1"/>
  <c r="C99" i="1"/>
  <c r="C100" i="1" l="1"/>
  <c r="E78" i="1"/>
  <c r="D78" i="1" s="1"/>
  <c r="F78" i="1" s="1"/>
  <c r="E79" i="1" l="1"/>
  <c r="D79" i="1" s="1"/>
  <c r="F79" i="1"/>
  <c r="G78" i="1"/>
  <c r="G79" i="1" s="1"/>
  <c r="C101" i="1"/>
  <c r="C102" i="1" l="1"/>
  <c r="E80" i="1"/>
  <c r="D80" i="1" s="1"/>
  <c r="F80" i="1" s="1"/>
  <c r="E81" i="1" l="1"/>
  <c r="D81" i="1" s="1"/>
  <c r="F81" i="1" s="1"/>
  <c r="G80" i="1"/>
  <c r="G81" i="1" s="1"/>
  <c r="C103" i="1"/>
  <c r="E82" i="1" l="1"/>
  <c r="D82" i="1" s="1"/>
  <c r="F82" i="1"/>
  <c r="C104" i="1"/>
  <c r="G82" i="1"/>
  <c r="E83" i="1" l="1"/>
  <c r="D83" i="1" s="1"/>
  <c r="F83" i="1" s="1"/>
  <c r="C105" i="1"/>
  <c r="E84" i="1" l="1"/>
  <c r="D84" i="1" s="1"/>
  <c r="F84" i="1" s="1"/>
  <c r="C106" i="1"/>
  <c r="G83" i="1"/>
  <c r="G84" i="1" s="1"/>
  <c r="E85" i="1" l="1"/>
  <c r="D85" i="1" s="1"/>
  <c r="F85" i="1"/>
  <c r="C107" i="1"/>
  <c r="G85" i="1"/>
  <c r="C108" i="1" l="1"/>
  <c r="E86" i="1"/>
  <c r="D86" i="1" s="1"/>
  <c r="G86" i="1" s="1"/>
  <c r="F86" i="1" l="1"/>
  <c r="C109" i="1"/>
  <c r="C110" i="1" l="1"/>
  <c r="E87" i="1"/>
  <c r="D87" i="1" s="1"/>
  <c r="G87" i="1" s="1"/>
  <c r="F87" i="1" l="1"/>
  <c r="C111" i="1"/>
  <c r="C112" i="1" l="1"/>
  <c r="E88" i="1"/>
  <c r="D88" i="1" s="1"/>
  <c r="G88" i="1" s="1"/>
  <c r="F88" i="1" l="1"/>
  <c r="C113" i="1"/>
  <c r="C114" i="1" l="1"/>
  <c r="E89" i="1"/>
  <c r="D89" i="1" s="1"/>
  <c r="G89" i="1" s="1"/>
  <c r="F89" i="1" l="1"/>
  <c r="C115" i="1"/>
  <c r="C116" i="1" l="1"/>
  <c r="E90" i="1"/>
  <c r="D90" i="1" s="1"/>
  <c r="G90" i="1" s="1"/>
  <c r="F90" i="1" l="1"/>
  <c r="C117" i="1"/>
  <c r="C118" i="1" l="1"/>
  <c r="E91" i="1"/>
  <c r="D91" i="1" s="1"/>
  <c r="G91" i="1" s="1"/>
  <c r="C119" i="1" l="1"/>
  <c r="F91" i="1"/>
  <c r="E92" i="1" l="1"/>
  <c r="D92" i="1" s="1"/>
  <c r="G92" i="1" s="1"/>
  <c r="C120" i="1"/>
  <c r="C121" i="1" l="1"/>
  <c r="F92" i="1"/>
  <c r="C122" i="1" l="1"/>
  <c r="E93" i="1"/>
  <c r="D93" i="1" s="1"/>
  <c r="G93" i="1" s="1"/>
  <c r="F93" i="1"/>
  <c r="G94" i="1" l="1"/>
  <c r="E94" i="1"/>
  <c r="D94" i="1" s="1"/>
  <c r="F94" i="1" s="1"/>
  <c r="C123" i="1"/>
  <c r="E95" i="1" l="1"/>
  <c r="D95" i="1" s="1"/>
  <c r="F95" i="1" s="1"/>
  <c r="C124" i="1"/>
  <c r="F96" i="1" l="1"/>
  <c r="E96" i="1"/>
  <c r="D96" i="1" s="1"/>
  <c r="C125" i="1"/>
  <c r="G95" i="1"/>
  <c r="G96" i="1" s="1"/>
  <c r="C126" i="1" l="1"/>
  <c r="E97" i="1"/>
  <c r="D97" i="1" s="1"/>
  <c r="G97" i="1" s="1"/>
  <c r="F97" i="1" l="1"/>
  <c r="C127" i="1"/>
  <c r="C128" i="1" l="1"/>
  <c r="E98" i="1"/>
  <c r="D98" i="1" s="1"/>
  <c r="G98" i="1" s="1"/>
  <c r="F98" i="1"/>
  <c r="F99" i="1" l="1"/>
  <c r="E99" i="1"/>
  <c r="D99" i="1" s="1"/>
  <c r="G99" i="1" s="1"/>
  <c r="C129" i="1"/>
  <c r="C130" i="1" l="1"/>
  <c r="E100" i="1"/>
  <c r="D100" i="1" s="1"/>
  <c r="G100" i="1" s="1"/>
  <c r="F100" i="1" l="1"/>
  <c r="C131" i="1"/>
  <c r="C132" i="1" l="1"/>
  <c r="E101" i="1"/>
  <c r="D101" i="1" s="1"/>
  <c r="G101" i="1" s="1"/>
  <c r="F101" i="1"/>
  <c r="G102" i="1" l="1"/>
  <c r="E102" i="1"/>
  <c r="D102" i="1" s="1"/>
  <c r="F102" i="1" s="1"/>
  <c r="C133" i="1"/>
  <c r="E103" i="1" l="1"/>
  <c r="D103" i="1" s="1"/>
  <c r="F103" i="1" s="1"/>
  <c r="C134" i="1"/>
  <c r="F104" i="1" l="1"/>
  <c r="E104" i="1"/>
  <c r="D104" i="1" s="1"/>
  <c r="G103" i="1"/>
  <c r="C135" i="1"/>
  <c r="F105" i="1" l="1"/>
  <c r="E105" i="1"/>
  <c r="D105" i="1" s="1"/>
  <c r="C136" i="1"/>
  <c r="G104" i="1"/>
  <c r="E106" i="1" l="1"/>
  <c r="D106" i="1" s="1"/>
  <c r="F106" i="1" s="1"/>
  <c r="G105" i="1"/>
  <c r="C137" i="1"/>
  <c r="F107" i="1" l="1"/>
  <c r="E107" i="1"/>
  <c r="D107" i="1" s="1"/>
  <c r="C138" i="1"/>
  <c r="G106" i="1"/>
  <c r="G107" i="1" l="1"/>
  <c r="G108" i="1" s="1"/>
  <c r="C139" i="1"/>
  <c r="E108" i="1"/>
  <c r="D108" i="1" s="1"/>
  <c r="F108" i="1" s="1"/>
  <c r="E109" i="1" l="1"/>
  <c r="D109" i="1" s="1"/>
  <c r="G109" i="1" s="1"/>
  <c r="C140" i="1"/>
  <c r="F109" i="1" l="1"/>
  <c r="C141" i="1"/>
  <c r="C142" i="1" l="1"/>
  <c r="E110" i="1"/>
  <c r="D110" i="1" s="1"/>
  <c r="G110" i="1" s="1"/>
  <c r="F110" i="1" l="1"/>
  <c r="C143" i="1"/>
  <c r="F111" i="1" l="1"/>
  <c r="E111" i="1"/>
  <c r="D111" i="1" s="1"/>
  <c r="G111" i="1" s="1"/>
  <c r="C144" i="1"/>
  <c r="C145" i="1" l="1"/>
  <c r="E112" i="1"/>
  <c r="D112" i="1" s="1"/>
  <c r="F112" i="1" s="1"/>
  <c r="E113" i="1" l="1"/>
  <c r="D113" i="1" s="1"/>
  <c r="F113" i="1" s="1"/>
  <c r="G112" i="1"/>
  <c r="G113" i="1" s="1"/>
  <c r="C146" i="1"/>
  <c r="E114" i="1" l="1"/>
  <c r="D114" i="1" s="1"/>
  <c r="F114" i="1" s="1"/>
  <c r="C147" i="1"/>
  <c r="F115" i="1" l="1"/>
  <c r="E115" i="1"/>
  <c r="D115" i="1" s="1"/>
  <c r="G114" i="1"/>
  <c r="G115" i="1" s="1"/>
  <c r="C148" i="1"/>
  <c r="E116" i="1" l="1"/>
  <c r="D116" i="1" s="1"/>
  <c r="F116" i="1" s="1"/>
  <c r="C149" i="1"/>
  <c r="E117" i="1" l="1"/>
  <c r="D117" i="1" s="1"/>
  <c r="F117" i="1" s="1"/>
  <c r="G116" i="1"/>
  <c r="C150" i="1"/>
  <c r="E118" i="1" l="1"/>
  <c r="D118" i="1" s="1"/>
  <c r="F118" i="1" s="1"/>
  <c r="G117" i="1"/>
  <c r="G118" i="1" s="1"/>
  <c r="C151" i="1"/>
  <c r="E119" i="1" l="1"/>
  <c r="D119" i="1" s="1"/>
  <c r="F119" i="1" s="1"/>
  <c r="C152" i="1"/>
  <c r="E120" i="1" l="1"/>
  <c r="D120" i="1" s="1"/>
  <c r="F120" i="1" s="1"/>
  <c r="C153" i="1"/>
  <c r="G119" i="1"/>
  <c r="E121" i="1" l="1"/>
  <c r="D121" i="1" s="1"/>
  <c r="F121" i="1" s="1"/>
  <c r="G120" i="1"/>
  <c r="C154" i="1"/>
  <c r="E122" i="1" l="1"/>
  <c r="D122" i="1" s="1"/>
  <c r="F122" i="1" s="1"/>
  <c r="G121" i="1"/>
  <c r="C155" i="1"/>
  <c r="E123" i="1" l="1"/>
  <c r="D123" i="1" s="1"/>
  <c r="F123" i="1" s="1"/>
  <c r="C156" i="1"/>
  <c r="G122" i="1"/>
  <c r="G123" i="1" s="1"/>
  <c r="E124" i="1" l="1"/>
  <c r="D124" i="1" s="1"/>
  <c r="F124" i="1" s="1"/>
  <c r="C157" i="1"/>
  <c r="E125" i="1" l="1"/>
  <c r="D125" i="1" s="1"/>
  <c r="F125" i="1" s="1"/>
  <c r="C158" i="1"/>
  <c r="G124" i="1"/>
  <c r="E126" i="1" l="1"/>
  <c r="D126" i="1" s="1"/>
  <c r="F126" i="1" s="1"/>
  <c r="G125" i="1"/>
  <c r="C159" i="1"/>
  <c r="E127" i="1" l="1"/>
  <c r="D127" i="1" s="1"/>
  <c r="F127" i="1" s="1"/>
  <c r="C160" i="1"/>
  <c r="G126" i="1"/>
  <c r="G127" i="1" s="1"/>
  <c r="E128" i="1" l="1"/>
  <c r="D128" i="1" s="1"/>
  <c r="F128" i="1" s="1"/>
  <c r="C161" i="1"/>
  <c r="E129" i="1" l="1"/>
  <c r="D129" i="1" s="1"/>
  <c r="F129" i="1" s="1"/>
  <c r="G128" i="1"/>
  <c r="C162" i="1"/>
  <c r="E130" i="1" l="1"/>
  <c r="D130" i="1" s="1"/>
  <c r="F130" i="1" s="1"/>
  <c r="G129" i="1"/>
  <c r="G130" i="1" s="1"/>
  <c r="C163" i="1"/>
  <c r="E131" i="1" l="1"/>
  <c r="D131" i="1" s="1"/>
  <c r="F131" i="1"/>
  <c r="G131" i="1"/>
  <c r="C164" i="1"/>
  <c r="C165" i="1" l="1"/>
  <c r="E132" i="1"/>
  <c r="D132" i="1" s="1"/>
  <c r="F132" i="1"/>
  <c r="G132" i="1"/>
  <c r="C166" i="1" l="1"/>
  <c r="E133" i="1"/>
  <c r="D133" i="1" s="1"/>
  <c r="G133" i="1" s="1"/>
  <c r="F133" i="1"/>
  <c r="E134" i="1" l="1"/>
  <c r="D134" i="1" s="1"/>
  <c r="G134" i="1" s="1"/>
  <c r="C167" i="1"/>
  <c r="C168" i="1" l="1"/>
  <c r="F134" i="1"/>
  <c r="E135" i="1" l="1"/>
  <c r="D135" i="1" s="1"/>
  <c r="G135" i="1" s="1"/>
  <c r="C169" i="1"/>
  <c r="C170" i="1" l="1"/>
  <c r="F135" i="1"/>
  <c r="E136" i="1" l="1"/>
  <c r="D136" i="1" s="1"/>
  <c r="G136" i="1" s="1"/>
  <c r="C171" i="1"/>
  <c r="C172" i="1" l="1"/>
  <c r="F136" i="1"/>
  <c r="E137" i="1" l="1"/>
  <c r="D137" i="1" s="1"/>
  <c r="G137" i="1" s="1"/>
  <c r="C173" i="1"/>
  <c r="F137" i="1" l="1"/>
  <c r="C174" i="1"/>
  <c r="C175" i="1" l="1"/>
  <c r="E138" i="1"/>
  <c r="D138" i="1" s="1"/>
  <c r="G138" i="1" s="1"/>
  <c r="F138" i="1" l="1"/>
  <c r="C176" i="1"/>
  <c r="C177" i="1" l="1"/>
  <c r="E139" i="1"/>
  <c r="D139" i="1" s="1"/>
  <c r="G139" i="1" s="1"/>
  <c r="F139" i="1" l="1"/>
  <c r="C178" i="1"/>
  <c r="C179" i="1" l="1"/>
  <c r="E140" i="1"/>
  <c r="D140" i="1" s="1"/>
  <c r="G140" i="1" s="1"/>
  <c r="F140" i="1" l="1"/>
  <c r="C180" i="1"/>
  <c r="C181" i="1" l="1"/>
  <c r="E141" i="1"/>
  <c r="D141" i="1" s="1"/>
  <c r="G141" i="1" s="1"/>
  <c r="F141" i="1" l="1"/>
  <c r="C182" i="1"/>
  <c r="C183" i="1" l="1"/>
  <c r="E142" i="1"/>
  <c r="D142" i="1" s="1"/>
  <c r="G142" i="1" s="1"/>
  <c r="F142" i="1" l="1"/>
  <c r="C184" i="1"/>
  <c r="C185" i="1" l="1"/>
  <c r="E143" i="1"/>
  <c r="D143" i="1" s="1"/>
  <c r="G143" i="1" s="1"/>
  <c r="F143" i="1" l="1"/>
  <c r="C186" i="1"/>
  <c r="C187" i="1" l="1"/>
  <c r="E144" i="1"/>
  <c r="D144" i="1" s="1"/>
  <c r="G144" i="1" s="1"/>
  <c r="F144" i="1"/>
  <c r="E145" i="1" l="1"/>
  <c r="D145" i="1" s="1"/>
  <c r="F145" i="1" s="1"/>
  <c r="G145" i="1"/>
  <c r="C188" i="1"/>
  <c r="E146" i="1" l="1"/>
  <c r="D146" i="1" s="1"/>
  <c r="G146" i="1" s="1"/>
  <c r="C189" i="1"/>
  <c r="F146" i="1" l="1"/>
  <c r="C190" i="1"/>
  <c r="E147" i="1" l="1"/>
  <c r="D147" i="1" s="1"/>
  <c r="G147" i="1" s="1"/>
  <c r="C191" i="1"/>
  <c r="C192" i="1" l="1"/>
  <c r="F147" i="1"/>
  <c r="E148" i="1" l="1"/>
  <c r="D148" i="1" s="1"/>
  <c r="G148" i="1" s="1"/>
  <c r="C193" i="1"/>
  <c r="C194" i="1" l="1"/>
  <c r="F148" i="1"/>
  <c r="C195" i="1" l="1"/>
  <c r="E149" i="1"/>
  <c r="D149" i="1" s="1"/>
  <c r="G149" i="1" s="1"/>
  <c r="F149" i="1" l="1"/>
  <c r="C196" i="1"/>
  <c r="E150" i="1" l="1"/>
  <c r="D150" i="1" s="1"/>
  <c r="G150" i="1" s="1"/>
  <c r="C197" i="1"/>
  <c r="F150" i="1" l="1"/>
  <c r="C198" i="1"/>
  <c r="C199" i="1" l="1"/>
  <c r="E151" i="1"/>
  <c r="D151" i="1" s="1"/>
  <c r="G151" i="1" s="1"/>
  <c r="F151" i="1" l="1"/>
  <c r="C200" i="1"/>
  <c r="C201" i="1" l="1"/>
  <c r="E152" i="1"/>
  <c r="D152" i="1" s="1"/>
  <c r="G152" i="1" s="1"/>
  <c r="F152" i="1" l="1"/>
  <c r="C202" i="1"/>
  <c r="C203" i="1" l="1"/>
  <c r="E153" i="1"/>
  <c r="D153" i="1" s="1"/>
  <c r="G153" i="1" s="1"/>
  <c r="F153" i="1" l="1"/>
  <c r="C204" i="1"/>
  <c r="C205" i="1" l="1"/>
  <c r="E154" i="1"/>
  <c r="D154" i="1" s="1"/>
  <c r="G154" i="1" s="1"/>
  <c r="F154" i="1" l="1"/>
  <c r="C206" i="1"/>
  <c r="C207" i="1" l="1"/>
  <c r="E155" i="1"/>
  <c r="D155" i="1" s="1"/>
  <c r="G155" i="1" s="1"/>
  <c r="F155" i="1"/>
  <c r="E156" i="1" l="1"/>
  <c r="D156" i="1" s="1"/>
  <c r="F156" i="1" s="1"/>
  <c r="C208" i="1"/>
  <c r="E157" i="1" l="1"/>
  <c r="D157" i="1" s="1"/>
  <c r="F157" i="1" s="1"/>
  <c r="G156" i="1"/>
  <c r="C209" i="1"/>
  <c r="F158" i="1" l="1"/>
  <c r="E158" i="1"/>
  <c r="D158" i="1" s="1"/>
  <c r="C210" i="1"/>
  <c r="G157" i="1"/>
  <c r="G158" i="1" s="1"/>
  <c r="G159" i="1" l="1"/>
  <c r="C211" i="1"/>
  <c r="E159" i="1"/>
  <c r="D159" i="1" s="1"/>
  <c r="F159" i="1" s="1"/>
  <c r="E160" i="1" l="1"/>
  <c r="D160" i="1" s="1"/>
  <c r="F160" i="1" s="1"/>
  <c r="C212" i="1"/>
  <c r="G160" i="1"/>
  <c r="F161" i="1" l="1"/>
  <c r="E161" i="1"/>
  <c r="D161" i="1" s="1"/>
  <c r="G161" i="1"/>
  <c r="C213" i="1"/>
  <c r="C214" i="1" l="1"/>
  <c r="E162" i="1"/>
  <c r="D162" i="1" s="1"/>
  <c r="G162" i="1" s="1"/>
  <c r="F162" i="1"/>
  <c r="E163" i="1" l="1"/>
  <c r="D163" i="1" s="1"/>
  <c r="G163" i="1" s="1"/>
  <c r="C215" i="1"/>
  <c r="C216" i="1" l="1"/>
  <c r="F163" i="1"/>
  <c r="E164" i="1" l="1"/>
  <c r="D164" i="1" s="1"/>
  <c r="G164" i="1" s="1"/>
  <c r="C217" i="1"/>
  <c r="C218" i="1" l="1"/>
  <c r="F164" i="1"/>
  <c r="E165" i="1" l="1"/>
  <c r="D165" i="1" s="1"/>
  <c r="G165" i="1" s="1"/>
  <c r="C219" i="1"/>
  <c r="C220" i="1" l="1"/>
  <c r="F165" i="1"/>
  <c r="E166" i="1" l="1"/>
  <c r="D166" i="1" s="1"/>
  <c r="G166" i="1" s="1"/>
  <c r="C221" i="1"/>
  <c r="C222" i="1" l="1"/>
  <c r="F166" i="1"/>
  <c r="C223" i="1" l="1"/>
  <c r="E167" i="1"/>
  <c r="D167" i="1" s="1"/>
  <c r="G167" i="1" s="1"/>
  <c r="F167" i="1" l="1"/>
  <c r="C224" i="1"/>
  <c r="C225" i="1" l="1"/>
  <c r="E168" i="1"/>
  <c r="D168" i="1" s="1"/>
  <c r="G168" i="1" s="1"/>
  <c r="F168" i="1" l="1"/>
  <c r="C226" i="1"/>
  <c r="C227" i="1" l="1"/>
  <c r="E169" i="1"/>
  <c r="D169" i="1" s="1"/>
  <c r="G169" i="1" s="1"/>
  <c r="F169" i="1" l="1"/>
  <c r="C228" i="1"/>
  <c r="E170" i="1" l="1"/>
  <c r="D170" i="1" s="1"/>
  <c r="G170" i="1" s="1"/>
  <c r="C229" i="1"/>
  <c r="C230" i="1" l="1"/>
  <c r="F170" i="1"/>
  <c r="F171" i="1" l="1"/>
  <c r="E171" i="1"/>
  <c r="D171" i="1" s="1"/>
  <c r="G171" i="1" s="1"/>
  <c r="C231" i="1"/>
  <c r="C232" i="1" l="1"/>
  <c r="E172" i="1"/>
  <c r="D172" i="1" s="1"/>
  <c r="G172" i="1" s="1"/>
  <c r="F172" i="1"/>
  <c r="E173" i="1" l="1"/>
  <c r="D173" i="1" s="1"/>
  <c r="G173" i="1" s="1"/>
  <c r="C233" i="1"/>
  <c r="C234" i="1" l="1"/>
  <c r="F173" i="1"/>
  <c r="E174" i="1" l="1"/>
  <c r="D174" i="1" s="1"/>
  <c r="G174" i="1" s="1"/>
  <c r="C235" i="1"/>
  <c r="C236" i="1" l="1"/>
  <c r="F174" i="1"/>
  <c r="E175" i="1" l="1"/>
  <c r="D175" i="1" s="1"/>
  <c r="G175" i="1" s="1"/>
  <c r="C237" i="1"/>
  <c r="C238" i="1" l="1"/>
  <c r="F175" i="1"/>
  <c r="E176" i="1" l="1"/>
  <c r="D176" i="1" s="1"/>
  <c r="G176" i="1" s="1"/>
  <c r="C239" i="1"/>
  <c r="F176" i="1" l="1"/>
  <c r="C240" i="1"/>
  <c r="C241" i="1" l="1"/>
  <c r="E177" i="1"/>
  <c r="D177" i="1" s="1"/>
  <c r="G177" i="1" s="1"/>
  <c r="F177" i="1" l="1"/>
  <c r="C242" i="1"/>
  <c r="E178" i="1" l="1"/>
  <c r="D178" i="1" s="1"/>
  <c r="G178" i="1" s="1"/>
  <c r="F178" i="1"/>
  <c r="C243" i="1"/>
  <c r="C244" i="1" l="1"/>
  <c r="E179" i="1"/>
  <c r="D179" i="1" s="1"/>
  <c r="F179" i="1" s="1"/>
  <c r="G179" i="1"/>
  <c r="E180" i="1" l="1"/>
  <c r="D180" i="1" s="1"/>
  <c r="F180" i="1" s="1"/>
  <c r="C245" i="1"/>
  <c r="E181" i="1" l="1"/>
  <c r="D181" i="1" s="1"/>
  <c r="F181" i="1" s="1"/>
  <c r="G180" i="1"/>
  <c r="C246" i="1"/>
  <c r="E182" i="1" l="1"/>
  <c r="D182" i="1" s="1"/>
  <c r="F182" i="1" s="1"/>
  <c r="G181" i="1"/>
  <c r="G182" i="1" s="1"/>
  <c r="C247" i="1"/>
  <c r="E183" i="1" l="1"/>
  <c r="D183" i="1" s="1"/>
  <c r="G183" i="1" s="1"/>
  <c r="C248" i="1"/>
  <c r="F183" i="1" l="1"/>
  <c r="C249" i="1"/>
  <c r="E184" i="1" l="1"/>
  <c r="D184" i="1" s="1"/>
  <c r="G184" i="1" s="1"/>
  <c r="C250" i="1"/>
  <c r="C251" i="1" l="1"/>
  <c r="F184" i="1"/>
  <c r="E185" i="1" l="1"/>
  <c r="D185" i="1" s="1"/>
  <c r="G185" i="1" s="1"/>
  <c r="C252" i="1"/>
  <c r="C253" i="1" l="1"/>
  <c r="F185" i="1"/>
  <c r="C254" i="1" l="1"/>
  <c r="E186" i="1"/>
  <c r="D186" i="1" s="1"/>
  <c r="G186" i="1" s="1"/>
  <c r="C255" i="1" l="1"/>
  <c r="F186" i="1"/>
  <c r="E187" i="1" l="1"/>
  <c r="D187" i="1" s="1"/>
  <c r="G187" i="1" s="1"/>
  <c r="C256" i="1"/>
  <c r="C257" i="1" l="1"/>
  <c r="F187" i="1"/>
  <c r="F188" i="1" l="1"/>
  <c r="E188" i="1"/>
  <c r="D188" i="1" s="1"/>
  <c r="G188" i="1" s="1"/>
  <c r="C258" i="1"/>
  <c r="C259" i="1" l="1"/>
  <c r="E189" i="1"/>
  <c r="D189" i="1" s="1"/>
  <c r="G189" i="1" s="1"/>
  <c r="C260" i="1" l="1"/>
  <c r="F189" i="1"/>
  <c r="E190" i="1" l="1"/>
  <c r="D190" i="1" s="1"/>
  <c r="G190" i="1" s="1"/>
  <c r="C261" i="1"/>
  <c r="C262" i="1" l="1"/>
  <c r="F190" i="1"/>
  <c r="F191" i="1" l="1"/>
  <c r="E191" i="1"/>
  <c r="D191" i="1" s="1"/>
  <c r="G191" i="1" s="1"/>
  <c r="C263" i="1"/>
  <c r="C264" i="1" l="1"/>
  <c r="E192" i="1"/>
  <c r="D192" i="1" s="1"/>
  <c r="F192" i="1" s="1"/>
  <c r="E193" i="1" l="1"/>
  <c r="D193" i="1" s="1"/>
  <c r="F193" i="1" s="1"/>
  <c r="C265" i="1"/>
  <c r="G192" i="1"/>
  <c r="E194" i="1" l="1"/>
  <c r="D194" i="1" s="1"/>
  <c r="F194" i="1"/>
  <c r="G193" i="1"/>
  <c r="G194" i="1" s="1"/>
  <c r="C266" i="1"/>
  <c r="C267" i="1" l="1"/>
  <c r="E195" i="1"/>
  <c r="D195" i="1" s="1"/>
  <c r="G195" i="1" s="1"/>
  <c r="F195" i="1"/>
  <c r="E196" i="1" l="1"/>
  <c r="D196" i="1" s="1"/>
  <c r="G196" i="1" s="1"/>
  <c r="C268" i="1"/>
  <c r="F196" i="1" l="1"/>
  <c r="C269" i="1"/>
  <c r="C270" i="1" l="1"/>
  <c r="E197" i="1"/>
  <c r="D197" i="1" s="1"/>
  <c r="G197" i="1" s="1"/>
  <c r="C271" i="1" l="1"/>
  <c r="F197" i="1"/>
  <c r="E198" i="1" l="1"/>
  <c r="D198" i="1" s="1"/>
  <c r="G198" i="1" s="1"/>
  <c r="C272" i="1"/>
  <c r="C273" i="1" l="1"/>
  <c r="F198" i="1"/>
  <c r="E199" i="1" l="1"/>
  <c r="D199" i="1" s="1"/>
  <c r="G199" i="1" s="1"/>
  <c r="C274" i="1"/>
  <c r="C275" i="1" l="1"/>
  <c r="F199" i="1"/>
  <c r="E200" i="1" l="1"/>
  <c r="D200" i="1" s="1"/>
  <c r="G200" i="1" s="1"/>
  <c r="C276" i="1"/>
  <c r="C277" i="1" l="1"/>
  <c r="F200" i="1"/>
  <c r="C278" i="1" l="1"/>
  <c r="E201" i="1"/>
  <c r="D201" i="1" s="1"/>
  <c r="G201" i="1" s="1"/>
  <c r="F201" i="1" l="1"/>
  <c r="C279" i="1"/>
  <c r="C280" i="1" l="1"/>
  <c r="E202" i="1"/>
  <c r="D202" i="1" s="1"/>
  <c r="G202" i="1" s="1"/>
  <c r="F202" i="1"/>
  <c r="E203" i="1" l="1"/>
  <c r="D203" i="1" s="1"/>
  <c r="F203" i="1" s="1"/>
  <c r="C281" i="1"/>
  <c r="E204" i="1" l="1"/>
  <c r="D204" i="1" s="1"/>
  <c r="F204" i="1" s="1"/>
  <c r="C282" i="1"/>
  <c r="G203" i="1"/>
  <c r="E205" i="1" l="1"/>
  <c r="D205" i="1" s="1"/>
  <c r="F205" i="1" s="1"/>
  <c r="G204" i="1"/>
  <c r="C283" i="1"/>
  <c r="E206" i="1" l="1"/>
  <c r="D206" i="1" s="1"/>
  <c r="F206" i="1" s="1"/>
  <c r="G205" i="1"/>
  <c r="C284" i="1"/>
  <c r="E207" i="1" l="1"/>
  <c r="D207" i="1" s="1"/>
  <c r="F207" i="1" s="1"/>
  <c r="C285" i="1"/>
  <c r="G206" i="1"/>
  <c r="G207" i="1" s="1"/>
  <c r="E208" i="1" l="1"/>
  <c r="D208" i="1" s="1"/>
  <c r="G208" i="1" s="1"/>
  <c r="C286" i="1"/>
  <c r="F208" i="1" l="1"/>
  <c r="C287" i="1"/>
  <c r="C288" i="1" l="1"/>
  <c r="E209" i="1"/>
  <c r="D209" i="1" s="1"/>
  <c r="G209" i="1" s="1"/>
  <c r="F209" i="1" l="1"/>
  <c r="C289" i="1"/>
  <c r="C290" i="1" l="1"/>
  <c r="E210" i="1"/>
  <c r="D210" i="1" s="1"/>
  <c r="G210" i="1" s="1"/>
  <c r="F210" i="1" l="1"/>
  <c r="C291" i="1"/>
  <c r="C292" i="1" l="1"/>
  <c r="E211" i="1"/>
  <c r="D211" i="1" s="1"/>
  <c r="G211" i="1" s="1"/>
  <c r="F211" i="1" l="1"/>
  <c r="C293" i="1"/>
  <c r="C294" i="1" l="1"/>
  <c r="E212" i="1"/>
  <c r="D212" i="1" s="1"/>
  <c r="G212" i="1" s="1"/>
  <c r="C295" i="1" l="1"/>
  <c r="F212" i="1"/>
  <c r="E213" i="1" l="1"/>
  <c r="D213" i="1" s="1"/>
  <c r="G213" i="1" s="1"/>
  <c r="C296" i="1"/>
  <c r="C297" i="1" l="1"/>
  <c r="F213" i="1"/>
  <c r="E214" i="1" l="1"/>
  <c r="D214" i="1" s="1"/>
  <c r="G214" i="1" s="1"/>
  <c r="F214" i="1" l="1"/>
  <c r="E215" i="1" l="1"/>
  <c r="D215" i="1" s="1"/>
  <c r="G215" i="1" s="1"/>
  <c r="F215" i="1" l="1"/>
  <c r="E216" i="1" l="1"/>
  <c r="D216" i="1" s="1"/>
  <c r="G216" i="1" s="1"/>
  <c r="F216" i="1" l="1"/>
  <c r="E217" i="1" l="1"/>
  <c r="D217" i="1" s="1"/>
  <c r="G217" i="1" s="1"/>
  <c r="F217" i="1" l="1"/>
  <c r="E218" i="1" l="1"/>
  <c r="D218" i="1" s="1"/>
  <c r="G218" i="1" s="1"/>
  <c r="F218" i="1" l="1"/>
  <c r="E219" i="1" l="1"/>
  <c r="D219" i="1" s="1"/>
  <c r="G219" i="1" s="1"/>
  <c r="F219" i="1" l="1"/>
  <c r="E220" i="1" l="1"/>
  <c r="D220" i="1" s="1"/>
  <c r="G220" i="1" s="1"/>
  <c r="F220" i="1" l="1"/>
  <c r="E221" i="1" l="1"/>
  <c r="D221" i="1" s="1"/>
  <c r="G221" i="1" s="1"/>
  <c r="F221" i="1" l="1"/>
  <c r="E222" i="1" l="1"/>
  <c r="D222" i="1" s="1"/>
  <c r="G222" i="1" s="1"/>
  <c r="F222" i="1"/>
  <c r="E223" i="1" l="1"/>
  <c r="D223" i="1" s="1"/>
  <c r="F223" i="1" s="1"/>
  <c r="E224" i="1" l="1"/>
  <c r="D224" i="1" s="1"/>
  <c r="F224" i="1" s="1"/>
  <c r="G223" i="1"/>
  <c r="E225" i="1" l="1"/>
  <c r="D225" i="1" s="1"/>
  <c r="F225" i="1" s="1"/>
  <c r="G224" i="1"/>
  <c r="E226" i="1" l="1"/>
  <c r="D226" i="1" s="1"/>
  <c r="F226" i="1" s="1"/>
  <c r="G225" i="1"/>
  <c r="G226" i="1" s="1"/>
  <c r="E227" i="1" l="1"/>
  <c r="D227" i="1" s="1"/>
  <c r="F227" i="1" s="1"/>
  <c r="E228" i="1" l="1"/>
  <c r="D228" i="1" s="1"/>
  <c r="F228" i="1"/>
  <c r="G227" i="1"/>
  <c r="G228" i="1" s="1"/>
  <c r="E229" i="1" l="1"/>
  <c r="D229" i="1" s="1"/>
  <c r="G229" i="1" s="1"/>
  <c r="F229" i="1" l="1"/>
  <c r="E230" i="1" l="1"/>
  <c r="D230" i="1" s="1"/>
  <c r="G230" i="1" s="1"/>
  <c r="F230" i="1" l="1"/>
  <c r="E231" i="1" l="1"/>
  <c r="D231" i="1" s="1"/>
  <c r="G231" i="1" s="1"/>
  <c r="F231" i="1" l="1"/>
  <c r="E232" i="1" l="1"/>
  <c r="D232" i="1" s="1"/>
  <c r="G232" i="1" s="1"/>
  <c r="F232" i="1" l="1"/>
  <c r="E233" i="1" l="1"/>
  <c r="D233" i="1" s="1"/>
  <c r="G233" i="1" s="1"/>
  <c r="F233" i="1" l="1"/>
  <c r="E234" i="1" l="1"/>
  <c r="D234" i="1" s="1"/>
  <c r="G234" i="1" s="1"/>
  <c r="F234" i="1"/>
  <c r="E235" i="1" l="1"/>
  <c r="D235" i="1" s="1"/>
  <c r="F235" i="1" s="1"/>
  <c r="E236" i="1" l="1"/>
  <c r="D236" i="1" s="1"/>
  <c r="F236" i="1" s="1"/>
  <c r="G235" i="1"/>
  <c r="E237" i="1" l="1"/>
  <c r="D237" i="1" s="1"/>
  <c r="F237" i="1" s="1"/>
  <c r="G236" i="1"/>
  <c r="E238" i="1" l="1"/>
  <c r="D238" i="1" s="1"/>
  <c r="F238" i="1" s="1"/>
  <c r="G237" i="1"/>
  <c r="E239" i="1" l="1"/>
  <c r="D239" i="1" s="1"/>
  <c r="F239" i="1" s="1"/>
  <c r="G238" i="1"/>
  <c r="E240" i="1" l="1"/>
  <c r="D240" i="1" s="1"/>
  <c r="F240" i="1"/>
  <c r="G239" i="1"/>
  <c r="G240" i="1" s="1"/>
  <c r="E241" i="1" l="1"/>
  <c r="D241" i="1" s="1"/>
  <c r="F241" i="1" s="1"/>
  <c r="E242" i="1" l="1"/>
  <c r="D242" i="1" s="1"/>
  <c r="F242" i="1"/>
  <c r="G241" i="1"/>
  <c r="E243" i="1" l="1"/>
  <c r="D243" i="1" s="1"/>
  <c r="F243" i="1" s="1"/>
  <c r="G242" i="1"/>
  <c r="E244" i="1" l="1"/>
  <c r="D244" i="1" s="1"/>
  <c r="F244" i="1" s="1"/>
  <c r="G243" i="1"/>
  <c r="E245" i="1" l="1"/>
  <c r="D245" i="1" s="1"/>
  <c r="F245" i="1" s="1"/>
  <c r="G244" i="1"/>
  <c r="E246" i="1" l="1"/>
  <c r="D246" i="1" s="1"/>
  <c r="F246" i="1" s="1"/>
  <c r="G245" i="1"/>
  <c r="G246" i="1" s="1"/>
  <c r="E247" i="1" l="1"/>
  <c r="D247" i="1" s="1"/>
  <c r="F247" i="1" s="1"/>
  <c r="G247" i="1"/>
  <c r="E248" i="1" l="1"/>
  <c r="D248" i="1" s="1"/>
  <c r="F248" i="1" s="1"/>
  <c r="E249" i="1" l="1"/>
  <c r="D249" i="1" s="1"/>
  <c r="F249" i="1" s="1"/>
  <c r="G248" i="1"/>
  <c r="G249" i="1" s="1"/>
  <c r="E250" i="1" l="1"/>
  <c r="D250" i="1" s="1"/>
  <c r="F250" i="1" s="1"/>
  <c r="E251" i="1" l="1"/>
  <c r="D251" i="1" s="1"/>
  <c r="F251" i="1"/>
  <c r="G250" i="1"/>
  <c r="G251" i="1" s="1"/>
  <c r="E252" i="1" l="1"/>
  <c r="D252" i="1" s="1"/>
  <c r="G252" i="1" s="1"/>
  <c r="F252" i="1" l="1"/>
  <c r="E253" i="1" l="1"/>
  <c r="D253" i="1" s="1"/>
  <c r="G253" i="1" s="1"/>
  <c r="F253" i="1" l="1"/>
  <c r="E254" i="1" l="1"/>
  <c r="D254" i="1" s="1"/>
  <c r="G254" i="1" s="1"/>
  <c r="F254" i="1" l="1"/>
  <c r="E255" i="1" l="1"/>
  <c r="D255" i="1" s="1"/>
  <c r="G255" i="1" s="1"/>
  <c r="F255" i="1" l="1"/>
  <c r="E256" i="1" l="1"/>
  <c r="D256" i="1" s="1"/>
  <c r="G256" i="1" s="1"/>
  <c r="F256" i="1" l="1"/>
  <c r="E257" i="1" l="1"/>
  <c r="D257" i="1" s="1"/>
  <c r="G257" i="1" s="1"/>
  <c r="F257" i="1" l="1"/>
  <c r="E258" i="1" l="1"/>
  <c r="D258" i="1" s="1"/>
  <c r="G258" i="1" s="1"/>
  <c r="F258" i="1" l="1"/>
  <c r="E259" i="1" l="1"/>
  <c r="D259" i="1" s="1"/>
  <c r="G259" i="1" s="1"/>
  <c r="F259" i="1" l="1"/>
  <c r="E260" i="1" l="1"/>
  <c r="D260" i="1" s="1"/>
  <c r="G260" i="1" s="1"/>
  <c r="F260" i="1" l="1"/>
  <c r="F261" i="1" l="1"/>
  <c r="E261" i="1"/>
  <c r="D261" i="1" s="1"/>
  <c r="G261" i="1" s="1"/>
  <c r="E262" i="1" l="1"/>
  <c r="D262" i="1" s="1"/>
  <c r="F262" i="1" s="1"/>
  <c r="E263" i="1" l="1"/>
  <c r="D263" i="1" s="1"/>
  <c r="F263" i="1" s="1"/>
  <c r="G262" i="1"/>
  <c r="E264" i="1" l="1"/>
  <c r="D264" i="1" s="1"/>
  <c r="F264" i="1" s="1"/>
  <c r="G263" i="1"/>
  <c r="G264" i="1" s="1"/>
  <c r="E265" i="1" l="1"/>
  <c r="D265" i="1" s="1"/>
  <c r="F265" i="1" s="1"/>
  <c r="E266" i="1" l="1"/>
  <c r="D266" i="1" s="1"/>
  <c r="F266" i="1" s="1"/>
  <c r="G265" i="1"/>
  <c r="G266" i="1" s="1"/>
  <c r="E267" i="1" l="1"/>
  <c r="D267" i="1" s="1"/>
  <c r="F267" i="1" s="1"/>
  <c r="E268" i="1" l="1"/>
  <c r="D268" i="1" s="1"/>
  <c r="F268" i="1"/>
  <c r="G267" i="1"/>
  <c r="G268" i="1" s="1"/>
  <c r="E269" i="1" l="1"/>
  <c r="D269" i="1" s="1"/>
  <c r="G269" i="1" s="1"/>
  <c r="F269" i="1" l="1"/>
  <c r="E270" i="1" l="1"/>
  <c r="D270" i="1" s="1"/>
  <c r="G270" i="1" s="1"/>
  <c r="F270" i="1" l="1"/>
  <c r="E271" i="1" l="1"/>
  <c r="D271" i="1" s="1"/>
  <c r="G271" i="1" s="1"/>
  <c r="F271" i="1" l="1"/>
  <c r="E272" i="1" l="1"/>
  <c r="D272" i="1" s="1"/>
  <c r="G272" i="1" s="1"/>
  <c r="F272" i="1" l="1"/>
  <c r="E273" i="1" l="1"/>
  <c r="D273" i="1" s="1"/>
  <c r="G273" i="1" s="1"/>
  <c r="F273" i="1" l="1"/>
  <c r="E274" i="1" l="1"/>
  <c r="D274" i="1" s="1"/>
  <c r="G274" i="1" s="1"/>
  <c r="F274" i="1" l="1"/>
  <c r="E275" i="1" l="1"/>
  <c r="D275" i="1" s="1"/>
  <c r="G275" i="1" s="1"/>
  <c r="F275" i="1" l="1"/>
  <c r="E276" i="1" l="1"/>
  <c r="D276" i="1" s="1"/>
  <c r="G276" i="1" s="1"/>
  <c r="F276" i="1" l="1"/>
  <c r="F277" i="1" l="1"/>
  <c r="E277" i="1"/>
  <c r="D277" i="1" s="1"/>
  <c r="G277" i="1" s="1"/>
  <c r="E278" i="1" l="1"/>
  <c r="D278" i="1" s="1"/>
  <c r="G278" i="1" s="1"/>
  <c r="F278" i="1"/>
  <c r="E279" i="1" l="1"/>
  <c r="D279" i="1" s="1"/>
  <c r="G279" i="1" s="1"/>
  <c r="F279" i="1" l="1"/>
  <c r="E280" i="1" l="1"/>
  <c r="D280" i="1" s="1"/>
  <c r="G280" i="1" s="1"/>
  <c r="F280" i="1" l="1"/>
  <c r="E281" i="1" l="1"/>
  <c r="D281" i="1" s="1"/>
  <c r="G281" i="1" s="1"/>
  <c r="F281" i="1" l="1"/>
  <c r="E282" i="1" l="1"/>
  <c r="D282" i="1" s="1"/>
  <c r="G282" i="1" s="1"/>
  <c r="F282" i="1" l="1"/>
  <c r="E283" i="1" l="1"/>
  <c r="D283" i="1" s="1"/>
  <c r="G283" i="1" s="1"/>
  <c r="F283" i="1"/>
  <c r="E284" i="1" l="1"/>
  <c r="D284" i="1" s="1"/>
  <c r="F284" i="1" s="1"/>
  <c r="G284" i="1"/>
  <c r="E285" i="1" l="1"/>
  <c r="D285" i="1" s="1"/>
  <c r="F285" i="1" s="1"/>
  <c r="G285" i="1"/>
  <c r="E286" i="1" l="1"/>
  <c r="D286" i="1" s="1"/>
  <c r="F286" i="1" s="1"/>
  <c r="E287" i="1" l="1"/>
  <c r="D287" i="1" s="1"/>
  <c r="F287" i="1" s="1"/>
  <c r="G286" i="1"/>
  <c r="E288" i="1" l="1"/>
  <c r="D288" i="1" s="1"/>
  <c r="F288" i="1" s="1"/>
  <c r="G287" i="1"/>
  <c r="F289" i="1" l="1"/>
  <c r="E289" i="1"/>
  <c r="D289" i="1" s="1"/>
  <c r="G288" i="1"/>
  <c r="G289" i="1" s="1"/>
  <c r="G290" i="1" l="1"/>
  <c r="E290" i="1"/>
  <c r="D290" i="1" s="1"/>
  <c r="F290" i="1"/>
  <c r="E291" i="1" l="1"/>
  <c r="D291" i="1" s="1"/>
  <c r="F291" i="1" s="1"/>
  <c r="F292" i="1" l="1"/>
  <c r="E292" i="1"/>
  <c r="D292" i="1" s="1"/>
  <c r="G291" i="1"/>
  <c r="G292" i="1" s="1"/>
  <c r="E293" i="1" l="1"/>
  <c r="D293" i="1" s="1"/>
  <c r="F293" i="1" s="1"/>
  <c r="E294" i="1" l="1"/>
  <c r="D294" i="1" s="1"/>
  <c r="F294" i="1" s="1"/>
  <c r="G293" i="1"/>
  <c r="F295" i="1" l="1"/>
  <c r="E295" i="1"/>
  <c r="D295" i="1" s="1"/>
  <c r="G294" i="1"/>
  <c r="G295" i="1" s="1"/>
  <c r="G296" i="1" l="1"/>
  <c r="E296" i="1"/>
  <c r="D296" i="1" s="1"/>
  <c r="F296" i="1" s="1"/>
  <c r="E297" i="1" l="1"/>
  <c r="E298" i="1" l="1"/>
  <c r="D297" i="1"/>
  <c r="F297" i="1" l="1"/>
  <c r="G297" i="1"/>
</calcChain>
</file>

<file path=xl/sharedStrings.xml><?xml version="1.0" encoding="utf-8"?>
<sst xmlns="http://schemas.openxmlformats.org/spreadsheetml/2006/main" count="19" uniqueCount="18">
  <si>
    <t>La empresa Fran, S.A. tiene previsto cambiar la situación de sus instalaciones para lo que está</t>
  </si>
  <si>
    <t>analizando la posibilidad de adquirir una nave en un polígono industrial cercano. Para ello,</t>
  </si>
  <si>
    <t>esta buscando la forma de financiar el coste de la misma que se estima en 1,5 millones de euros.</t>
  </si>
  <si>
    <t>Un banco le ha ofrecido un préstamo con sistema de amortización francés y un tipo de interés nominal</t>
  </si>
  <si>
    <t>del 2,2% fijo durante los 20 años de duración del préstamo. Las cuotas a pagar de este préstamo</t>
  </si>
  <si>
    <t>serán mensuales.</t>
  </si>
  <si>
    <t>Se pide calcular el cuadro de amortización del préstamo, así como calcular los intereses.</t>
  </si>
  <si>
    <t>Cuantía inicial (C0)</t>
  </si>
  <si>
    <t>Interes anuales</t>
  </si>
  <si>
    <t>Número de cuotas</t>
  </si>
  <si>
    <t>mensuales</t>
  </si>
  <si>
    <t>Cuota a pagar</t>
  </si>
  <si>
    <t>Nº de cuotas</t>
  </si>
  <si>
    <t>Fecha</t>
  </si>
  <si>
    <t>Cuota de amortización</t>
  </si>
  <si>
    <t>Cuota de interes</t>
  </si>
  <si>
    <t>Capital vivo</t>
  </si>
  <si>
    <t>Capital amortizado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</si>
</sst>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d/m"/>
  </numFmts>
  <fonts count="5" x14ac:knownFonts="1">
    <font>
      <sz val="10"/>
      <color rgb="FF000000"/>
      <name val="Arial"/>
    </font>
    <font>
      <sz val="11"/>
      <color rgb="FF000000"/>
      <name val="Calibri"/>
    </font>
    <font>
      <sz val="10"/>
      <color theme="1"/>
      <name val="Arial"/>
    </font>
    <font>
      <b/>
      <sz val="10"/>
      <color theme="1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4" fontId="2" fillId="0" borderId="0" xfId="0" applyNumberFormat="1" applyFont="1"/>
    <xf numFmtId="10" fontId="2" fillId="0" borderId="0" xfId="0" applyNumberFormat="1" applyFont="1"/>
    <xf numFmtId="0" fontId="3" fillId="0" borderId="0" xfId="0" applyFont="1"/>
    <xf numFmtId="4" fontId="3" fillId="0" borderId="0" xfId="0" applyNumberFormat="1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/>
    <xf numFmtId="164" fontId="2" fillId="0" borderId="2" xfId="0" applyNumberFormat="1" applyFont="1" applyBorder="1"/>
    <xf numFmtId="4" fontId="2" fillId="0" borderId="2" xfId="0" applyNumberFormat="1" applyFont="1" applyBorder="1"/>
    <xf numFmtId="4" fontId="2" fillId="0" borderId="3" xfId="0" applyNumberFormat="1" applyFont="1" applyBorder="1"/>
    <xf numFmtId="165" fontId="2" fillId="0" borderId="0" xfId="0" applyNumberFormat="1" applyFont="1"/>
    <xf numFmtId="4" fontId="3" fillId="0" borderId="4" xfId="0" applyNumberFormat="1" applyFont="1" applyBorder="1"/>
    <xf numFmtId="164" fontId="2" fillId="0" borderId="0" xfId="0" applyNumberFormat="1" applyFont="1"/>
    <xf numFmtId="0" fontId="1" fillId="0" borderId="0" xfId="0" applyFont="1"/>
    <xf numFmtId="0" fontId="0" fillId="0" borderId="0" xfId="0"/>
    <xf numFmtId="9" fontId="2" fillId="0" borderId="5" xfId="1" applyFont="1" applyFill="1" applyBorder="1"/>
  </cellXfs>
  <cellStyles count="2">
    <cellStyle name="Normal" xfId="0" builtinId="0"/>
    <cellStyle name="Percentat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4600575" cy="2971800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6438900" cy="35242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8:I308"/>
  <sheetViews>
    <sheetView tabSelected="1" workbookViewId="0">
      <selection activeCell="G298" sqref="G298"/>
    </sheetView>
  </sheetViews>
  <sheetFormatPr defaultColWidth="14.42578125" defaultRowHeight="15.75" customHeight="1" x14ac:dyDescent="0.2"/>
  <cols>
    <col min="2" max="2" width="18.85546875" customWidth="1"/>
    <col min="4" max="4" width="21.28515625" customWidth="1"/>
    <col min="5" max="5" width="16.7109375" customWidth="1"/>
    <col min="7" max="7" width="17.140625" customWidth="1"/>
  </cols>
  <sheetData>
    <row r="38" spans="2:9" ht="15.75" customHeight="1" x14ac:dyDescent="0.25">
      <c r="B38" s="17" t="s">
        <v>0</v>
      </c>
      <c r="C38" s="18"/>
      <c r="D38" s="18"/>
      <c r="E38" s="18"/>
      <c r="F38" s="18"/>
      <c r="G38" s="18"/>
      <c r="H38" s="18"/>
      <c r="I38" s="18"/>
    </row>
    <row r="39" spans="2:9" ht="15.75" customHeight="1" x14ac:dyDescent="0.25">
      <c r="B39" s="17" t="s">
        <v>1</v>
      </c>
      <c r="C39" s="18"/>
      <c r="D39" s="18"/>
      <c r="E39" s="18"/>
      <c r="F39" s="18"/>
      <c r="G39" s="18"/>
      <c r="H39" s="18"/>
      <c r="I39" s="18"/>
    </row>
    <row r="40" spans="2:9" ht="15.75" customHeight="1" x14ac:dyDescent="0.25">
      <c r="B40" s="17" t="s">
        <v>2</v>
      </c>
      <c r="C40" s="18"/>
      <c r="D40" s="18"/>
      <c r="E40" s="18"/>
      <c r="F40" s="18"/>
      <c r="G40" s="18"/>
      <c r="H40" s="18"/>
      <c r="I40" s="18"/>
    </row>
    <row r="41" spans="2:9" ht="15.75" customHeight="1" x14ac:dyDescent="0.25">
      <c r="B41" s="1"/>
      <c r="C41" s="1"/>
      <c r="D41" s="1"/>
      <c r="E41" s="1"/>
      <c r="F41" s="1"/>
      <c r="G41" s="1"/>
      <c r="H41" s="1"/>
      <c r="I41" s="1"/>
    </row>
    <row r="42" spans="2:9" ht="15.75" customHeight="1" x14ac:dyDescent="0.25">
      <c r="B42" s="17" t="s">
        <v>3</v>
      </c>
      <c r="C42" s="18"/>
      <c r="D42" s="18"/>
      <c r="E42" s="18"/>
      <c r="F42" s="18"/>
      <c r="G42" s="18"/>
      <c r="H42" s="18"/>
      <c r="I42" s="18"/>
    </row>
    <row r="43" spans="2:9" ht="15.75" customHeight="1" x14ac:dyDescent="0.25">
      <c r="B43" s="1" t="s">
        <v>4</v>
      </c>
      <c r="C43" s="1"/>
      <c r="D43" s="1"/>
      <c r="E43" s="1"/>
      <c r="F43" s="1"/>
      <c r="G43" s="1"/>
      <c r="H43" s="1"/>
      <c r="I43" s="1"/>
    </row>
    <row r="44" spans="2:9" ht="15.75" customHeight="1" x14ac:dyDescent="0.25">
      <c r="B44" s="1" t="s">
        <v>5</v>
      </c>
      <c r="C44" s="1"/>
      <c r="D44" s="1"/>
      <c r="E44" s="1"/>
      <c r="F44" s="1"/>
      <c r="G44" s="1"/>
      <c r="H44" s="1"/>
      <c r="I44" s="1"/>
    </row>
    <row r="45" spans="2:9" ht="15.75" customHeight="1" x14ac:dyDescent="0.25">
      <c r="B45" s="1"/>
      <c r="C45" s="1"/>
      <c r="D45" s="1"/>
      <c r="E45" s="1"/>
      <c r="F45" s="1"/>
      <c r="G45" s="1"/>
      <c r="H45" s="1"/>
      <c r="I45" s="1"/>
    </row>
    <row r="46" spans="2:9" ht="15.75" customHeight="1" x14ac:dyDescent="0.25">
      <c r="B46" s="17" t="s">
        <v>6</v>
      </c>
      <c r="C46" s="18"/>
      <c r="D46" s="18"/>
      <c r="E46" s="18"/>
      <c r="F46" s="18"/>
      <c r="G46" s="18"/>
      <c r="H46" s="18"/>
      <c r="I46" s="1"/>
    </row>
    <row r="48" spans="2:9" x14ac:dyDescent="0.2">
      <c r="B48" s="2" t="s">
        <v>7</v>
      </c>
      <c r="C48" s="3">
        <v>1500000</v>
      </c>
    </row>
    <row r="49" spans="1:9" x14ac:dyDescent="0.2">
      <c r="B49" s="2" t="s">
        <v>8</v>
      </c>
      <c r="C49" s="4">
        <v>2.1999999999999999E-2</v>
      </c>
    </row>
    <row r="50" spans="1:9" x14ac:dyDescent="0.2">
      <c r="B50" s="2" t="s">
        <v>9</v>
      </c>
      <c r="C50" s="2">
        <f>20*12</f>
        <v>240</v>
      </c>
      <c r="D50" s="2" t="s">
        <v>10</v>
      </c>
    </row>
    <row r="53" spans="1:9" x14ac:dyDescent="0.2">
      <c r="B53" s="5" t="s">
        <v>11</v>
      </c>
      <c r="C53" s="6">
        <f>C48*((C49/12)/(1-(1+(C49/12))^-C50))</f>
        <v>7731.1454562502995</v>
      </c>
    </row>
    <row r="56" spans="1:9" x14ac:dyDescent="0.2">
      <c r="A56" s="7" t="s">
        <v>12</v>
      </c>
      <c r="B56" s="7" t="s">
        <v>13</v>
      </c>
      <c r="C56" s="8" t="s">
        <v>11</v>
      </c>
      <c r="D56" s="8" t="s">
        <v>14</v>
      </c>
      <c r="E56" s="8" t="s">
        <v>15</v>
      </c>
      <c r="F56" s="8" t="s">
        <v>16</v>
      </c>
      <c r="G56" s="9" t="s">
        <v>17</v>
      </c>
    </row>
    <row r="57" spans="1:9" x14ac:dyDescent="0.2">
      <c r="A57" s="10"/>
      <c r="B57" s="11">
        <v>44440</v>
      </c>
      <c r="C57" s="12"/>
      <c r="D57" s="12"/>
      <c r="E57" s="12"/>
      <c r="F57" s="12">
        <f>C48</f>
        <v>1500000</v>
      </c>
      <c r="G57" s="13"/>
    </row>
    <row r="58" spans="1:9" x14ac:dyDescent="0.2">
      <c r="A58" s="10">
        <v>1</v>
      </c>
      <c r="B58" s="11">
        <v>44470</v>
      </c>
      <c r="C58" s="12">
        <f>C53</f>
        <v>7731.1454562502995</v>
      </c>
      <c r="D58" s="12">
        <f t="shared" ref="D58:D297" si="0">C58-E58</f>
        <v>4981.1454562502995</v>
      </c>
      <c r="E58" s="12">
        <f t="shared" ref="E58:E297" si="1">F57*($C$49/12)</f>
        <v>2750</v>
      </c>
      <c r="F58" s="12">
        <f t="shared" ref="F58:F297" si="2">F57-D58</f>
        <v>1495018.8545437497</v>
      </c>
      <c r="G58" s="13">
        <f t="shared" ref="G58:G297" si="3">G57+D58</f>
        <v>4981.1454562502995</v>
      </c>
      <c r="I58" s="4"/>
    </row>
    <row r="59" spans="1:9" x14ac:dyDescent="0.2">
      <c r="A59" s="10">
        <v>2</v>
      </c>
      <c r="B59" s="11">
        <v>44501</v>
      </c>
      <c r="C59" s="12">
        <f t="shared" ref="C59:C297" si="4">C58</f>
        <v>7731.1454562502995</v>
      </c>
      <c r="D59" s="12">
        <f t="shared" si="0"/>
        <v>4990.2775562534252</v>
      </c>
      <c r="E59" s="12">
        <f t="shared" si="1"/>
        <v>2740.8678999968743</v>
      </c>
      <c r="F59" s="12">
        <f t="shared" si="2"/>
        <v>1490028.5769874963</v>
      </c>
      <c r="G59" s="13">
        <f t="shared" si="3"/>
        <v>9971.4230125037247</v>
      </c>
    </row>
    <row r="60" spans="1:9" x14ac:dyDescent="0.2">
      <c r="A60" s="10">
        <v>3</v>
      </c>
      <c r="B60" s="11">
        <v>44531</v>
      </c>
      <c r="C60" s="12">
        <f t="shared" si="4"/>
        <v>7731.1454562502995</v>
      </c>
      <c r="D60" s="12">
        <f t="shared" si="0"/>
        <v>4999.4263984398895</v>
      </c>
      <c r="E60" s="12">
        <f t="shared" si="1"/>
        <v>2731.71905781041</v>
      </c>
      <c r="F60" s="12">
        <f t="shared" si="2"/>
        <v>1485029.1505890565</v>
      </c>
      <c r="G60" s="13">
        <f t="shared" si="3"/>
        <v>14970.849410943614</v>
      </c>
    </row>
    <row r="61" spans="1:9" x14ac:dyDescent="0.2">
      <c r="A61" s="10">
        <v>4</v>
      </c>
      <c r="B61" s="11">
        <v>44562</v>
      </c>
      <c r="C61" s="12">
        <f t="shared" si="4"/>
        <v>7731.1454562502995</v>
      </c>
      <c r="D61" s="12">
        <f t="shared" si="0"/>
        <v>5008.5920135036959</v>
      </c>
      <c r="E61" s="12">
        <f t="shared" si="1"/>
        <v>2722.5534427466037</v>
      </c>
      <c r="F61" s="12">
        <f t="shared" si="2"/>
        <v>1480020.5585755529</v>
      </c>
      <c r="G61" s="13">
        <f t="shared" si="3"/>
        <v>19979.441424447308</v>
      </c>
    </row>
    <row r="62" spans="1:9" x14ac:dyDescent="0.2">
      <c r="A62" s="10">
        <v>5</v>
      </c>
      <c r="B62" s="11">
        <v>44593</v>
      </c>
      <c r="C62" s="12">
        <f t="shared" si="4"/>
        <v>7731.1454562502995</v>
      </c>
      <c r="D62" s="12">
        <f t="shared" si="0"/>
        <v>5017.7744321951195</v>
      </c>
      <c r="E62" s="12">
        <f t="shared" si="1"/>
        <v>2713.3710240551804</v>
      </c>
      <c r="F62" s="12">
        <f t="shared" si="2"/>
        <v>1475002.7841433578</v>
      </c>
      <c r="G62" s="13">
        <f t="shared" si="3"/>
        <v>24997.215856642426</v>
      </c>
    </row>
    <row r="63" spans="1:9" x14ac:dyDescent="0.2">
      <c r="A63" s="10">
        <v>6</v>
      </c>
      <c r="B63" s="11">
        <v>44621</v>
      </c>
      <c r="C63" s="12">
        <f t="shared" si="4"/>
        <v>7731.1454562502995</v>
      </c>
      <c r="D63" s="12">
        <f t="shared" si="0"/>
        <v>5026.9736853208105</v>
      </c>
      <c r="E63" s="12">
        <f t="shared" si="1"/>
        <v>2704.1717709294894</v>
      </c>
      <c r="F63" s="12">
        <f t="shared" si="2"/>
        <v>1469975.8104580371</v>
      </c>
      <c r="G63" s="13">
        <f t="shared" si="3"/>
        <v>30024.189541963235</v>
      </c>
    </row>
    <row r="64" spans="1:9" x14ac:dyDescent="0.2">
      <c r="A64" s="10">
        <v>7</v>
      </c>
      <c r="B64" s="11">
        <v>44652</v>
      </c>
      <c r="C64" s="12">
        <f t="shared" si="4"/>
        <v>7731.1454562502995</v>
      </c>
      <c r="D64" s="12">
        <f t="shared" si="0"/>
        <v>5036.1898037438987</v>
      </c>
      <c r="E64" s="12">
        <f t="shared" si="1"/>
        <v>2694.9556525064013</v>
      </c>
      <c r="F64" s="12">
        <f t="shared" si="2"/>
        <v>1464939.6206542931</v>
      </c>
      <c r="G64" s="13">
        <f t="shared" si="3"/>
        <v>35060.37934570713</v>
      </c>
    </row>
    <row r="65" spans="1:7" x14ac:dyDescent="0.2">
      <c r="A65" s="10">
        <v>8</v>
      </c>
      <c r="B65" s="11">
        <v>44682</v>
      </c>
      <c r="C65" s="12">
        <f t="shared" si="4"/>
        <v>7731.1454562502995</v>
      </c>
      <c r="D65" s="12">
        <f t="shared" si="0"/>
        <v>5045.4228183840951</v>
      </c>
      <c r="E65" s="12">
        <f t="shared" si="1"/>
        <v>2685.722637866204</v>
      </c>
      <c r="F65" s="12">
        <f t="shared" si="2"/>
        <v>1459894.197835909</v>
      </c>
      <c r="G65" s="13">
        <f t="shared" si="3"/>
        <v>40105.802164091227</v>
      </c>
    </row>
    <row r="66" spans="1:7" x14ac:dyDescent="0.2">
      <c r="A66" s="10">
        <v>9</v>
      </c>
      <c r="B66" s="11">
        <v>44713</v>
      </c>
      <c r="C66" s="12">
        <f t="shared" si="4"/>
        <v>7731.1454562502995</v>
      </c>
      <c r="D66" s="12">
        <f t="shared" si="0"/>
        <v>5054.6727602177998</v>
      </c>
      <c r="E66" s="12">
        <f t="shared" si="1"/>
        <v>2676.4726960324997</v>
      </c>
      <c r="F66" s="12">
        <f t="shared" si="2"/>
        <v>1454839.5250756913</v>
      </c>
      <c r="G66" s="13">
        <f t="shared" si="3"/>
        <v>45160.474924309026</v>
      </c>
    </row>
    <row r="67" spans="1:7" x14ac:dyDescent="0.2">
      <c r="A67" s="10">
        <v>10</v>
      </c>
      <c r="B67" s="11">
        <v>44743</v>
      </c>
      <c r="C67" s="12">
        <f t="shared" si="4"/>
        <v>7731.1454562502995</v>
      </c>
      <c r="D67" s="12">
        <f t="shared" si="0"/>
        <v>5063.939660278199</v>
      </c>
      <c r="E67" s="12">
        <f t="shared" si="1"/>
        <v>2667.2057959721005</v>
      </c>
      <c r="F67" s="12">
        <f t="shared" si="2"/>
        <v>1449775.5854154131</v>
      </c>
      <c r="G67" s="13">
        <f t="shared" si="3"/>
        <v>50224.414584587226</v>
      </c>
    </row>
    <row r="68" spans="1:7" x14ac:dyDescent="0.2">
      <c r="A68" s="10">
        <v>11</v>
      </c>
      <c r="B68" s="11">
        <v>44774</v>
      </c>
      <c r="C68" s="12">
        <f t="shared" si="4"/>
        <v>7731.1454562502995</v>
      </c>
      <c r="D68" s="12">
        <f t="shared" si="0"/>
        <v>5073.2235496553749</v>
      </c>
      <c r="E68" s="12">
        <f t="shared" si="1"/>
        <v>2657.9219065949242</v>
      </c>
      <c r="F68" s="12">
        <f t="shared" si="2"/>
        <v>1444702.3618657577</v>
      </c>
      <c r="G68" s="13">
        <f t="shared" si="3"/>
        <v>55297.638134242603</v>
      </c>
    </row>
    <row r="69" spans="1:7" x14ac:dyDescent="0.2">
      <c r="A69" s="10">
        <v>12</v>
      </c>
      <c r="B69" s="11">
        <v>44805</v>
      </c>
      <c r="C69" s="12">
        <f t="shared" si="4"/>
        <v>7731.1454562502995</v>
      </c>
      <c r="D69" s="12">
        <f t="shared" si="0"/>
        <v>5082.5244594964106</v>
      </c>
      <c r="E69" s="12">
        <f t="shared" si="1"/>
        <v>2648.6209967538889</v>
      </c>
      <c r="F69" s="12">
        <f t="shared" si="2"/>
        <v>1439619.8374062614</v>
      </c>
      <c r="G69" s="13">
        <f t="shared" si="3"/>
        <v>60380.162593739013</v>
      </c>
    </row>
    <row r="70" spans="1:7" x14ac:dyDescent="0.2">
      <c r="A70" s="10">
        <v>13</v>
      </c>
      <c r="B70" s="11">
        <v>44835</v>
      </c>
      <c r="C70" s="12">
        <f t="shared" si="4"/>
        <v>7731.1454562502995</v>
      </c>
      <c r="D70" s="12">
        <f t="shared" si="0"/>
        <v>5091.8424210054873</v>
      </c>
      <c r="E70" s="12">
        <f t="shared" si="1"/>
        <v>2639.3030352448122</v>
      </c>
      <c r="F70" s="12">
        <f t="shared" si="2"/>
        <v>1434527.9949852559</v>
      </c>
      <c r="G70" s="13">
        <f t="shared" si="3"/>
        <v>65472.0050147445</v>
      </c>
    </row>
    <row r="71" spans="1:7" x14ac:dyDescent="0.2">
      <c r="A71" s="10">
        <v>14</v>
      </c>
      <c r="B71" s="11">
        <v>44866</v>
      </c>
      <c r="C71" s="12">
        <f t="shared" si="4"/>
        <v>7731.1454562502995</v>
      </c>
      <c r="D71" s="12">
        <f t="shared" si="0"/>
        <v>5101.1774654439978</v>
      </c>
      <c r="E71" s="12">
        <f t="shared" si="1"/>
        <v>2629.9679908063022</v>
      </c>
      <c r="F71" s="12">
        <f t="shared" si="2"/>
        <v>1429426.8175198119</v>
      </c>
      <c r="G71" s="13">
        <f t="shared" si="3"/>
        <v>70573.182480188494</v>
      </c>
    </row>
    <row r="72" spans="1:7" x14ac:dyDescent="0.2">
      <c r="A72" s="10">
        <v>15</v>
      </c>
      <c r="B72" s="11">
        <v>44896</v>
      </c>
      <c r="C72" s="12">
        <f t="shared" si="4"/>
        <v>7731.1454562502995</v>
      </c>
      <c r="D72" s="12">
        <f t="shared" si="0"/>
        <v>5110.5296241306442</v>
      </c>
      <c r="E72" s="12">
        <f t="shared" si="1"/>
        <v>2620.6158321196554</v>
      </c>
      <c r="F72" s="12">
        <f t="shared" si="2"/>
        <v>1424316.2878956813</v>
      </c>
      <c r="G72" s="13">
        <f t="shared" si="3"/>
        <v>75683.712104319144</v>
      </c>
    </row>
    <row r="73" spans="1:7" x14ac:dyDescent="0.2">
      <c r="A73" s="10">
        <v>16</v>
      </c>
      <c r="B73" s="11">
        <v>44927</v>
      </c>
      <c r="C73" s="12">
        <f t="shared" si="4"/>
        <v>7731.1454562502995</v>
      </c>
      <c r="D73" s="12">
        <f t="shared" si="0"/>
        <v>5119.8989284415511</v>
      </c>
      <c r="E73" s="12">
        <f t="shared" si="1"/>
        <v>2611.2465278087489</v>
      </c>
      <c r="F73" s="12">
        <f t="shared" si="2"/>
        <v>1419196.3889672398</v>
      </c>
      <c r="G73" s="13">
        <f t="shared" si="3"/>
        <v>80803.611032760702</v>
      </c>
    </row>
    <row r="74" spans="1:7" x14ac:dyDescent="0.2">
      <c r="A74" s="10">
        <v>17</v>
      </c>
      <c r="B74" s="11">
        <v>44958</v>
      </c>
      <c r="C74" s="12">
        <f t="shared" si="4"/>
        <v>7731.1454562502995</v>
      </c>
      <c r="D74" s="12">
        <f t="shared" si="0"/>
        <v>5129.2854098103599</v>
      </c>
      <c r="E74" s="12">
        <f t="shared" si="1"/>
        <v>2601.8600464399397</v>
      </c>
      <c r="F74" s="12">
        <f t="shared" si="2"/>
        <v>1414067.1035574295</v>
      </c>
      <c r="G74" s="13">
        <f t="shared" si="3"/>
        <v>85932.896442571058</v>
      </c>
    </row>
    <row r="75" spans="1:7" x14ac:dyDescent="0.2">
      <c r="A75" s="10">
        <v>18</v>
      </c>
      <c r="B75" s="11">
        <v>44986</v>
      </c>
      <c r="C75" s="12">
        <f t="shared" si="4"/>
        <v>7731.1454562502995</v>
      </c>
      <c r="D75" s="12">
        <f t="shared" si="0"/>
        <v>5138.6890997283454</v>
      </c>
      <c r="E75" s="12">
        <f t="shared" si="1"/>
        <v>2592.4563565219541</v>
      </c>
      <c r="F75" s="12">
        <f t="shared" si="2"/>
        <v>1408928.4144577011</v>
      </c>
      <c r="G75" s="13">
        <f t="shared" si="3"/>
        <v>91071.585542299406</v>
      </c>
    </row>
    <row r="76" spans="1:7" x14ac:dyDescent="0.2">
      <c r="A76" s="10">
        <v>19</v>
      </c>
      <c r="B76" s="11">
        <v>45017</v>
      </c>
      <c r="C76" s="12">
        <f t="shared" si="4"/>
        <v>7731.1454562502995</v>
      </c>
      <c r="D76" s="12">
        <f t="shared" si="0"/>
        <v>5148.1100297445137</v>
      </c>
      <c r="E76" s="12">
        <f t="shared" si="1"/>
        <v>2583.0354265057854</v>
      </c>
      <c r="F76" s="12">
        <f t="shared" si="2"/>
        <v>1403780.3044279567</v>
      </c>
      <c r="G76" s="13">
        <f t="shared" si="3"/>
        <v>96219.695572043915</v>
      </c>
    </row>
    <row r="77" spans="1:7" x14ac:dyDescent="0.2">
      <c r="A77" s="10">
        <v>20</v>
      </c>
      <c r="B77" s="11">
        <v>45047</v>
      </c>
      <c r="C77" s="12">
        <f t="shared" si="4"/>
        <v>7731.1454562502995</v>
      </c>
      <c r="D77" s="12">
        <f t="shared" si="0"/>
        <v>5157.5482314657129</v>
      </c>
      <c r="E77" s="12">
        <f t="shared" si="1"/>
        <v>2573.5972247845871</v>
      </c>
      <c r="F77" s="12">
        <f t="shared" si="2"/>
        <v>1398622.756196491</v>
      </c>
      <c r="G77" s="13">
        <f t="shared" si="3"/>
        <v>101377.24380350963</v>
      </c>
    </row>
    <row r="78" spans="1:7" x14ac:dyDescent="0.2">
      <c r="A78" s="10">
        <v>21</v>
      </c>
      <c r="B78" s="11">
        <v>45078</v>
      </c>
      <c r="C78" s="12">
        <f t="shared" si="4"/>
        <v>7731.1454562502995</v>
      </c>
      <c r="D78" s="12">
        <f t="shared" si="0"/>
        <v>5167.0037365567332</v>
      </c>
      <c r="E78" s="12">
        <f t="shared" si="1"/>
        <v>2564.1417196935668</v>
      </c>
      <c r="F78" s="12">
        <f t="shared" si="2"/>
        <v>1393455.7524599342</v>
      </c>
      <c r="G78" s="13">
        <f t="shared" si="3"/>
        <v>106544.24754006637</v>
      </c>
    </row>
    <row r="79" spans="1:7" x14ac:dyDescent="0.2">
      <c r="A79" s="10">
        <v>22</v>
      </c>
      <c r="B79" s="11">
        <v>45108</v>
      </c>
      <c r="C79" s="12">
        <f t="shared" si="4"/>
        <v>7731.1454562502995</v>
      </c>
      <c r="D79" s="12">
        <f t="shared" si="0"/>
        <v>5176.4765767404206</v>
      </c>
      <c r="E79" s="12">
        <f t="shared" si="1"/>
        <v>2554.6688795098794</v>
      </c>
      <c r="F79" s="12">
        <f t="shared" si="2"/>
        <v>1388279.2758831938</v>
      </c>
      <c r="G79" s="13">
        <f t="shared" si="3"/>
        <v>111720.72411680678</v>
      </c>
    </row>
    <row r="80" spans="1:7" x14ac:dyDescent="0.2">
      <c r="A80" s="10">
        <v>23</v>
      </c>
      <c r="B80" s="11">
        <v>45139</v>
      </c>
      <c r="C80" s="12">
        <f t="shared" si="4"/>
        <v>7731.1454562502995</v>
      </c>
      <c r="D80" s="12">
        <f t="shared" si="0"/>
        <v>5185.9667837977777</v>
      </c>
      <c r="E80" s="12">
        <f t="shared" si="1"/>
        <v>2545.1786724525218</v>
      </c>
      <c r="F80" s="12">
        <f t="shared" si="2"/>
        <v>1383093.309099396</v>
      </c>
      <c r="G80" s="13">
        <f t="shared" si="3"/>
        <v>116906.69090060456</v>
      </c>
    </row>
    <row r="81" spans="1:7" x14ac:dyDescent="0.2">
      <c r="A81" s="10">
        <v>24</v>
      </c>
      <c r="B81" s="11">
        <v>45170</v>
      </c>
      <c r="C81" s="12">
        <f t="shared" si="4"/>
        <v>7731.1454562502995</v>
      </c>
      <c r="D81" s="12">
        <f t="shared" si="0"/>
        <v>5195.4743895680731</v>
      </c>
      <c r="E81" s="12">
        <f t="shared" si="1"/>
        <v>2535.671066682226</v>
      </c>
      <c r="F81" s="12">
        <f t="shared" si="2"/>
        <v>1377897.834709828</v>
      </c>
      <c r="G81" s="13">
        <f t="shared" si="3"/>
        <v>122102.16529017263</v>
      </c>
    </row>
    <row r="82" spans="1:7" x14ac:dyDescent="0.2">
      <c r="A82" s="10">
        <v>25</v>
      </c>
      <c r="B82" s="11">
        <v>45200</v>
      </c>
      <c r="C82" s="12">
        <f t="shared" si="4"/>
        <v>7731.1454562502995</v>
      </c>
      <c r="D82" s="12">
        <f t="shared" si="0"/>
        <v>5204.9994259489486</v>
      </c>
      <c r="E82" s="12">
        <f t="shared" si="1"/>
        <v>2526.1460303013514</v>
      </c>
      <c r="F82" s="12">
        <f t="shared" si="2"/>
        <v>1372692.835283879</v>
      </c>
      <c r="G82" s="13">
        <f t="shared" si="3"/>
        <v>127307.16471612158</v>
      </c>
    </row>
    <row r="83" spans="1:7" x14ac:dyDescent="0.2">
      <c r="A83" s="10">
        <v>26</v>
      </c>
      <c r="B83" s="11">
        <v>45231</v>
      </c>
      <c r="C83" s="12">
        <f t="shared" si="4"/>
        <v>7731.1454562502995</v>
      </c>
      <c r="D83" s="12">
        <f t="shared" si="0"/>
        <v>5214.5419248965209</v>
      </c>
      <c r="E83" s="12">
        <f t="shared" si="1"/>
        <v>2516.6035313537782</v>
      </c>
      <c r="F83" s="12">
        <f t="shared" si="2"/>
        <v>1367478.2933589825</v>
      </c>
      <c r="G83" s="13">
        <f t="shared" si="3"/>
        <v>132521.7066410181</v>
      </c>
    </row>
    <row r="84" spans="1:7" x14ac:dyDescent="0.2">
      <c r="A84" s="10">
        <v>27</v>
      </c>
      <c r="B84" s="11">
        <v>45261</v>
      </c>
      <c r="C84" s="12">
        <f t="shared" si="4"/>
        <v>7731.1454562502995</v>
      </c>
      <c r="D84" s="12">
        <f t="shared" si="0"/>
        <v>5224.1019184254983</v>
      </c>
      <c r="E84" s="12">
        <f t="shared" si="1"/>
        <v>2507.0435378248012</v>
      </c>
      <c r="F84" s="12">
        <f t="shared" si="2"/>
        <v>1362254.1914405571</v>
      </c>
      <c r="G84" s="13">
        <f t="shared" si="3"/>
        <v>137745.8085594436</v>
      </c>
    </row>
    <row r="85" spans="1:7" x14ac:dyDescent="0.2">
      <c r="A85" s="10">
        <v>28</v>
      </c>
      <c r="B85" s="11">
        <v>45292</v>
      </c>
      <c r="C85" s="12">
        <f t="shared" si="4"/>
        <v>7731.1454562502995</v>
      </c>
      <c r="D85" s="12">
        <f t="shared" si="0"/>
        <v>5233.6794386092788</v>
      </c>
      <c r="E85" s="12">
        <f t="shared" si="1"/>
        <v>2497.4660176410212</v>
      </c>
      <c r="F85" s="12">
        <f t="shared" si="2"/>
        <v>1357020.512001948</v>
      </c>
      <c r="G85" s="13">
        <f t="shared" si="3"/>
        <v>142979.48799805288</v>
      </c>
    </row>
    <row r="86" spans="1:7" x14ac:dyDescent="0.2">
      <c r="A86" s="10">
        <v>29</v>
      </c>
      <c r="B86" s="11">
        <v>45323</v>
      </c>
      <c r="C86" s="12">
        <f t="shared" si="4"/>
        <v>7731.1454562502995</v>
      </c>
      <c r="D86" s="12">
        <f t="shared" si="0"/>
        <v>5243.274517580061</v>
      </c>
      <c r="E86" s="12">
        <f t="shared" si="1"/>
        <v>2487.870938670238</v>
      </c>
      <c r="F86" s="12">
        <f t="shared" si="2"/>
        <v>1351777.2374843678</v>
      </c>
      <c r="G86" s="13">
        <f t="shared" si="3"/>
        <v>148222.76251563293</v>
      </c>
    </row>
    <row r="87" spans="1:7" x14ac:dyDescent="0.2">
      <c r="A87" s="10">
        <v>30</v>
      </c>
      <c r="B87" s="11">
        <v>45352</v>
      </c>
      <c r="C87" s="12">
        <f t="shared" si="4"/>
        <v>7731.1454562502995</v>
      </c>
      <c r="D87" s="12">
        <f t="shared" si="0"/>
        <v>5252.8871875289587</v>
      </c>
      <c r="E87" s="12">
        <f t="shared" si="1"/>
        <v>2478.2582687213408</v>
      </c>
      <c r="F87" s="12">
        <f t="shared" si="2"/>
        <v>1346524.3502968389</v>
      </c>
      <c r="G87" s="13">
        <f t="shared" si="3"/>
        <v>153475.64970316188</v>
      </c>
    </row>
    <row r="88" spans="1:7" x14ac:dyDescent="0.2">
      <c r="A88" s="10">
        <v>31</v>
      </c>
      <c r="B88" s="11">
        <v>45383</v>
      </c>
      <c r="C88" s="12">
        <f t="shared" si="4"/>
        <v>7731.1454562502995</v>
      </c>
      <c r="D88" s="12">
        <f t="shared" si="0"/>
        <v>5262.5174807060948</v>
      </c>
      <c r="E88" s="12">
        <f t="shared" si="1"/>
        <v>2468.6279755442047</v>
      </c>
      <c r="F88" s="12">
        <f t="shared" si="2"/>
        <v>1341261.8328161328</v>
      </c>
      <c r="G88" s="13">
        <f t="shared" si="3"/>
        <v>158738.16718386798</v>
      </c>
    </row>
    <row r="89" spans="1:7" x14ac:dyDescent="0.2">
      <c r="A89" s="10">
        <v>32</v>
      </c>
      <c r="B89" s="11">
        <v>45413</v>
      </c>
      <c r="C89" s="12">
        <f t="shared" si="4"/>
        <v>7731.1454562502995</v>
      </c>
      <c r="D89" s="12">
        <f t="shared" si="0"/>
        <v>5272.1654294207228</v>
      </c>
      <c r="E89" s="12">
        <f t="shared" si="1"/>
        <v>2458.9800268295767</v>
      </c>
      <c r="F89" s="12">
        <f t="shared" si="2"/>
        <v>1335989.667386712</v>
      </c>
      <c r="G89" s="13">
        <f t="shared" si="3"/>
        <v>164010.33261328869</v>
      </c>
    </row>
    <row r="90" spans="1:7" x14ac:dyDescent="0.2">
      <c r="A90" s="10">
        <v>33</v>
      </c>
      <c r="B90" s="11">
        <v>45444</v>
      </c>
      <c r="C90" s="12">
        <f t="shared" si="4"/>
        <v>7731.1454562502995</v>
      </c>
      <c r="D90" s="12">
        <f t="shared" si="0"/>
        <v>5281.8310660413281</v>
      </c>
      <c r="E90" s="12">
        <f t="shared" si="1"/>
        <v>2449.3143902089719</v>
      </c>
      <c r="F90" s="12">
        <f t="shared" si="2"/>
        <v>1330707.8363206708</v>
      </c>
      <c r="G90" s="13">
        <f t="shared" si="3"/>
        <v>169292.16367933003</v>
      </c>
    </row>
    <row r="91" spans="1:7" x14ac:dyDescent="0.2">
      <c r="A91" s="10">
        <v>34</v>
      </c>
      <c r="B91" s="11">
        <v>45474</v>
      </c>
      <c r="C91" s="12">
        <f t="shared" si="4"/>
        <v>7731.1454562502995</v>
      </c>
      <c r="D91" s="12">
        <f t="shared" si="0"/>
        <v>5291.5144229957368</v>
      </c>
      <c r="E91" s="12">
        <f t="shared" si="1"/>
        <v>2439.6310332545631</v>
      </c>
      <c r="F91" s="12">
        <f t="shared" si="2"/>
        <v>1325416.3218976751</v>
      </c>
      <c r="G91" s="13">
        <f t="shared" si="3"/>
        <v>174583.67810232576</v>
      </c>
    </row>
    <row r="92" spans="1:7" x14ac:dyDescent="0.2">
      <c r="A92" s="10">
        <v>35</v>
      </c>
      <c r="B92" s="11">
        <v>45505</v>
      </c>
      <c r="C92" s="12">
        <f t="shared" si="4"/>
        <v>7731.1454562502995</v>
      </c>
      <c r="D92" s="12">
        <f t="shared" si="0"/>
        <v>5301.215532771228</v>
      </c>
      <c r="E92" s="12">
        <f t="shared" si="1"/>
        <v>2429.929923479071</v>
      </c>
      <c r="F92" s="12">
        <f t="shared" si="2"/>
        <v>1320115.1063649037</v>
      </c>
      <c r="G92" s="13">
        <f t="shared" si="3"/>
        <v>179884.89363509699</v>
      </c>
    </row>
    <row r="93" spans="1:7" x14ac:dyDescent="0.2">
      <c r="A93" s="10">
        <v>36</v>
      </c>
      <c r="B93" s="11">
        <v>45536</v>
      </c>
      <c r="C93" s="12">
        <f t="shared" si="4"/>
        <v>7731.1454562502995</v>
      </c>
      <c r="D93" s="12">
        <f t="shared" si="0"/>
        <v>5310.9344279146426</v>
      </c>
      <c r="E93" s="12">
        <f t="shared" si="1"/>
        <v>2420.2110283356569</v>
      </c>
      <c r="F93" s="12">
        <f t="shared" si="2"/>
        <v>1314804.1719369891</v>
      </c>
      <c r="G93" s="13">
        <f t="shared" si="3"/>
        <v>185195.82806301164</v>
      </c>
    </row>
    <row r="94" spans="1:7" x14ac:dyDescent="0.2">
      <c r="A94" s="10">
        <v>37</v>
      </c>
      <c r="B94" s="11">
        <v>45566</v>
      </c>
      <c r="C94" s="12">
        <f t="shared" si="4"/>
        <v>7731.1454562502995</v>
      </c>
      <c r="D94" s="12">
        <f t="shared" si="0"/>
        <v>5320.671141032486</v>
      </c>
      <c r="E94" s="12">
        <f t="shared" si="1"/>
        <v>2410.4743152178135</v>
      </c>
      <c r="F94" s="12">
        <f t="shared" si="2"/>
        <v>1309483.5007959565</v>
      </c>
      <c r="G94" s="13">
        <f t="shared" si="3"/>
        <v>190516.49920404411</v>
      </c>
    </row>
    <row r="95" spans="1:7" x14ac:dyDescent="0.2">
      <c r="A95" s="10">
        <v>38</v>
      </c>
      <c r="B95" s="11">
        <v>45597</v>
      </c>
      <c r="C95" s="12">
        <f t="shared" si="4"/>
        <v>7731.1454562502995</v>
      </c>
      <c r="D95" s="12">
        <f t="shared" si="0"/>
        <v>5330.425704791046</v>
      </c>
      <c r="E95" s="12">
        <f t="shared" si="1"/>
        <v>2400.7197514592535</v>
      </c>
      <c r="F95" s="12">
        <f t="shared" si="2"/>
        <v>1304153.0750911655</v>
      </c>
      <c r="G95" s="13">
        <f t="shared" si="3"/>
        <v>195846.92490883515</v>
      </c>
    </row>
    <row r="96" spans="1:7" x14ac:dyDescent="0.2">
      <c r="A96" s="10">
        <v>39</v>
      </c>
      <c r="B96" s="11">
        <v>45627</v>
      </c>
      <c r="C96" s="12">
        <f t="shared" si="4"/>
        <v>7731.1454562502995</v>
      </c>
      <c r="D96" s="12">
        <f t="shared" si="0"/>
        <v>5340.1981519164965</v>
      </c>
      <c r="E96" s="12">
        <f t="shared" si="1"/>
        <v>2390.9473043338035</v>
      </c>
      <c r="F96" s="12">
        <f t="shared" si="2"/>
        <v>1298812.876939249</v>
      </c>
      <c r="G96" s="13">
        <f t="shared" si="3"/>
        <v>201187.12306075165</v>
      </c>
    </row>
    <row r="97" spans="1:7" x14ac:dyDescent="0.2">
      <c r="A97" s="10">
        <v>40</v>
      </c>
      <c r="B97" s="11">
        <v>45658</v>
      </c>
      <c r="C97" s="12">
        <f t="shared" si="4"/>
        <v>7731.1454562502995</v>
      </c>
      <c r="D97" s="12">
        <f t="shared" si="0"/>
        <v>5349.9885151950093</v>
      </c>
      <c r="E97" s="12">
        <f t="shared" si="1"/>
        <v>2381.1569410552897</v>
      </c>
      <c r="F97" s="12">
        <f t="shared" si="2"/>
        <v>1293462.888424054</v>
      </c>
      <c r="G97" s="13">
        <f t="shared" si="3"/>
        <v>206537.11157594665</v>
      </c>
    </row>
    <row r="98" spans="1:7" x14ac:dyDescent="0.2">
      <c r="A98" s="10">
        <v>41</v>
      </c>
      <c r="B98" s="11">
        <v>45689</v>
      </c>
      <c r="C98" s="12">
        <f t="shared" si="4"/>
        <v>7731.1454562502995</v>
      </c>
      <c r="D98" s="12">
        <f t="shared" si="0"/>
        <v>5359.7968274728673</v>
      </c>
      <c r="E98" s="12">
        <f t="shared" si="1"/>
        <v>2371.3486287774322</v>
      </c>
      <c r="F98" s="12">
        <f t="shared" si="2"/>
        <v>1288103.091596581</v>
      </c>
      <c r="G98" s="13">
        <f t="shared" si="3"/>
        <v>211896.90840341951</v>
      </c>
    </row>
    <row r="99" spans="1:7" x14ac:dyDescent="0.2">
      <c r="A99" s="10">
        <v>42</v>
      </c>
      <c r="B99" s="11">
        <v>45717</v>
      </c>
      <c r="C99" s="12">
        <f t="shared" si="4"/>
        <v>7731.1454562502995</v>
      </c>
      <c r="D99" s="12">
        <f t="shared" si="0"/>
        <v>5369.6231216565675</v>
      </c>
      <c r="E99" s="12">
        <f t="shared" si="1"/>
        <v>2361.522334593732</v>
      </c>
      <c r="F99" s="12">
        <f t="shared" si="2"/>
        <v>1282733.4684749246</v>
      </c>
      <c r="G99" s="13">
        <f t="shared" si="3"/>
        <v>217266.53152507608</v>
      </c>
    </row>
    <row r="100" spans="1:7" x14ac:dyDescent="0.2">
      <c r="A100" s="10">
        <v>43</v>
      </c>
      <c r="B100" s="11">
        <v>45748</v>
      </c>
      <c r="C100" s="12">
        <f t="shared" si="4"/>
        <v>7731.1454562502995</v>
      </c>
      <c r="D100" s="12">
        <f t="shared" si="0"/>
        <v>5379.467430712938</v>
      </c>
      <c r="E100" s="12">
        <f t="shared" si="1"/>
        <v>2351.6780255373615</v>
      </c>
      <c r="F100" s="12">
        <f t="shared" si="2"/>
        <v>1277354.0010442117</v>
      </c>
      <c r="G100" s="13">
        <f t="shared" si="3"/>
        <v>222645.99895578902</v>
      </c>
    </row>
    <row r="101" spans="1:7" x14ac:dyDescent="0.2">
      <c r="A101" s="10">
        <v>44</v>
      </c>
      <c r="B101" s="11">
        <v>45778</v>
      </c>
      <c r="C101" s="12">
        <f t="shared" si="4"/>
        <v>7731.1454562502995</v>
      </c>
      <c r="D101" s="12">
        <f t="shared" si="0"/>
        <v>5389.329787669245</v>
      </c>
      <c r="E101" s="12">
        <f t="shared" si="1"/>
        <v>2341.8156685810545</v>
      </c>
      <c r="F101" s="12">
        <f t="shared" si="2"/>
        <v>1271964.6712565424</v>
      </c>
      <c r="G101" s="13">
        <f t="shared" si="3"/>
        <v>228035.32874345826</v>
      </c>
    </row>
    <row r="102" spans="1:7" x14ac:dyDescent="0.2">
      <c r="A102" s="10">
        <v>45</v>
      </c>
      <c r="B102" s="11">
        <v>45809</v>
      </c>
      <c r="C102" s="12">
        <f t="shared" si="4"/>
        <v>7731.1454562502995</v>
      </c>
      <c r="D102" s="12">
        <f t="shared" si="0"/>
        <v>5399.2102256133057</v>
      </c>
      <c r="E102" s="12">
        <f t="shared" si="1"/>
        <v>2331.9352306369942</v>
      </c>
      <c r="F102" s="12">
        <f t="shared" si="2"/>
        <v>1266565.4610309291</v>
      </c>
      <c r="G102" s="13">
        <f t="shared" si="3"/>
        <v>233434.53896907155</v>
      </c>
    </row>
    <row r="103" spans="1:7" x14ac:dyDescent="0.2">
      <c r="A103" s="10">
        <v>46</v>
      </c>
      <c r="B103" s="11">
        <v>45839</v>
      </c>
      <c r="C103" s="12">
        <f t="shared" si="4"/>
        <v>7731.1454562502995</v>
      </c>
      <c r="D103" s="12">
        <f t="shared" si="0"/>
        <v>5409.1087776935965</v>
      </c>
      <c r="E103" s="12">
        <f t="shared" si="1"/>
        <v>2322.0366785567035</v>
      </c>
      <c r="F103" s="12">
        <f t="shared" si="2"/>
        <v>1261156.3522532354</v>
      </c>
      <c r="G103" s="13">
        <f t="shared" si="3"/>
        <v>238843.64774676514</v>
      </c>
    </row>
    <row r="104" spans="1:7" x14ac:dyDescent="0.2">
      <c r="A104" s="10">
        <v>47</v>
      </c>
      <c r="B104" s="11">
        <v>45870</v>
      </c>
      <c r="C104" s="12">
        <f t="shared" si="4"/>
        <v>7731.1454562502995</v>
      </c>
      <c r="D104" s="12">
        <f t="shared" si="0"/>
        <v>5419.0254771193686</v>
      </c>
      <c r="E104" s="12">
        <f t="shared" si="1"/>
        <v>2312.1199791309314</v>
      </c>
      <c r="F104" s="12">
        <f t="shared" si="2"/>
        <v>1255737.3267761162</v>
      </c>
      <c r="G104" s="13">
        <f t="shared" si="3"/>
        <v>244262.67322388451</v>
      </c>
    </row>
    <row r="105" spans="1:7" x14ac:dyDescent="0.2">
      <c r="A105" s="10">
        <v>48</v>
      </c>
      <c r="B105" s="11">
        <v>45901</v>
      </c>
      <c r="C105" s="12">
        <f t="shared" si="4"/>
        <v>7731.1454562502995</v>
      </c>
      <c r="D105" s="12">
        <f t="shared" si="0"/>
        <v>5428.9603571607531</v>
      </c>
      <c r="E105" s="12">
        <f t="shared" si="1"/>
        <v>2302.1850990895464</v>
      </c>
      <c r="F105" s="12">
        <f t="shared" si="2"/>
        <v>1250308.3664189554</v>
      </c>
      <c r="G105" s="13">
        <f t="shared" si="3"/>
        <v>249691.63358104526</v>
      </c>
    </row>
    <row r="106" spans="1:7" x14ac:dyDescent="0.2">
      <c r="A106" s="10">
        <v>49</v>
      </c>
      <c r="B106" s="11">
        <v>45931</v>
      </c>
      <c r="C106" s="12">
        <f t="shared" si="4"/>
        <v>7731.1454562502995</v>
      </c>
      <c r="D106" s="12">
        <f t="shared" si="0"/>
        <v>5438.913451148881</v>
      </c>
      <c r="E106" s="12">
        <f t="shared" si="1"/>
        <v>2292.2320051014181</v>
      </c>
      <c r="F106" s="12">
        <f t="shared" si="2"/>
        <v>1244869.4529678065</v>
      </c>
      <c r="G106" s="13">
        <f t="shared" si="3"/>
        <v>255130.54703219415</v>
      </c>
    </row>
    <row r="107" spans="1:7" x14ac:dyDescent="0.2">
      <c r="A107" s="10">
        <v>50</v>
      </c>
      <c r="B107" s="11">
        <v>45962</v>
      </c>
      <c r="C107" s="12">
        <f t="shared" si="4"/>
        <v>7731.1454562502995</v>
      </c>
      <c r="D107" s="12">
        <f t="shared" si="0"/>
        <v>5448.8847924759875</v>
      </c>
      <c r="E107" s="12">
        <f t="shared" si="1"/>
        <v>2282.260663774312</v>
      </c>
      <c r="F107" s="12">
        <f t="shared" si="2"/>
        <v>1239420.5681753305</v>
      </c>
      <c r="G107" s="13">
        <f t="shared" si="3"/>
        <v>260579.43182467014</v>
      </c>
    </row>
    <row r="108" spans="1:7" x14ac:dyDescent="0.2">
      <c r="A108" s="10">
        <v>51</v>
      </c>
      <c r="B108" s="11">
        <v>45992</v>
      </c>
      <c r="C108" s="12">
        <f t="shared" si="4"/>
        <v>7731.1454562502995</v>
      </c>
      <c r="D108" s="12">
        <f t="shared" si="0"/>
        <v>5458.874414595527</v>
      </c>
      <c r="E108" s="12">
        <f t="shared" si="1"/>
        <v>2272.2710416547725</v>
      </c>
      <c r="F108" s="12">
        <f t="shared" si="2"/>
        <v>1233961.693760735</v>
      </c>
      <c r="G108" s="13">
        <f t="shared" si="3"/>
        <v>266038.30623926566</v>
      </c>
    </row>
    <row r="109" spans="1:7" x14ac:dyDescent="0.2">
      <c r="A109" s="10">
        <v>52</v>
      </c>
      <c r="B109" s="11">
        <v>46023</v>
      </c>
      <c r="C109" s="12">
        <f t="shared" si="4"/>
        <v>7731.1454562502995</v>
      </c>
      <c r="D109" s="12">
        <f t="shared" si="0"/>
        <v>5468.8823510222855</v>
      </c>
      <c r="E109" s="12">
        <f t="shared" si="1"/>
        <v>2262.263105228014</v>
      </c>
      <c r="F109" s="12">
        <f t="shared" si="2"/>
        <v>1228492.8114097128</v>
      </c>
      <c r="G109" s="13">
        <f t="shared" si="3"/>
        <v>271507.18859028793</v>
      </c>
    </row>
    <row r="110" spans="1:7" x14ac:dyDescent="0.2">
      <c r="A110" s="10">
        <v>53</v>
      </c>
      <c r="B110" s="11">
        <v>46054</v>
      </c>
      <c r="C110" s="12">
        <f t="shared" si="4"/>
        <v>7731.1454562502995</v>
      </c>
      <c r="D110" s="12">
        <f t="shared" si="0"/>
        <v>5478.9086353324928</v>
      </c>
      <c r="E110" s="12">
        <f t="shared" si="1"/>
        <v>2252.2368209178067</v>
      </c>
      <c r="F110" s="12">
        <f t="shared" si="2"/>
        <v>1223013.9027743803</v>
      </c>
      <c r="G110" s="13">
        <f t="shared" si="3"/>
        <v>276986.09722562041</v>
      </c>
    </row>
    <row r="111" spans="1:7" x14ac:dyDescent="0.2">
      <c r="A111" s="10">
        <v>54</v>
      </c>
      <c r="B111" s="11">
        <v>46082</v>
      </c>
      <c r="C111" s="12">
        <f t="shared" si="4"/>
        <v>7731.1454562502995</v>
      </c>
      <c r="D111" s="12">
        <f t="shared" si="0"/>
        <v>5488.953301163936</v>
      </c>
      <c r="E111" s="12">
        <f t="shared" si="1"/>
        <v>2242.192155086364</v>
      </c>
      <c r="F111" s="12">
        <f t="shared" si="2"/>
        <v>1217524.9494732164</v>
      </c>
      <c r="G111" s="13">
        <f t="shared" si="3"/>
        <v>282475.05052678433</v>
      </c>
    </row>
    <row r="112" spans="1:7" x14ac:dyDescent="0.2">
      <c r="A112" s="10">
        <v>55</v>
      </c>
      <c r="B112" s="11">
        <v>46113</v>
      </c>
      <c r="C112" s="12">
        <f t="shared" si="4"/>
        <v>7731.1454562502995</v>
      </c>
      <c r="D112" s="12">
        <f t="shared" si="0"/>
        <v>5499.0163822160694</v>
      </c>
      <c r="E112" s="12">
        <f t="shared" si="1"/>
        <v>2232.1290740342301</v>
      </c>
      <c r="F112" s="12">
        <f t="shared" si="2"/>
        <v>1212025.9330910004</v>
      </c>
      <c r="G112" s="13">
        <f t="shared" si="3"/>
        <v>287974.06690900039</v>
      </c>
    </row>
    <row r="113" spans="1:7" x14ac:dyDescent="0.2">
      <c r="A113" s="10">
        <v>56</v>
      </c>
      <c r="B113" s="11">
        <v>46143</v>
      </c>
      <c r="C113" s="12">
        <f t="shared" si="4"/>
        <v>7731.1454562502995</v>
      </c>
      <c r="D113" s="12">
        <f t="shared" si="0"/>
        <v>5509.0979122501321</v>
      </c>
      <c r="E113" s="12">
        <f t="shared" si="1"/>
        <v>2222.0475440001674</v>
      </c>
      <c r="F113" s="12">
        <f t="shared" si="2"/>
        <v>1206516.8351787503</v>
      </c>
      <c r="G113" s="13">
        <f t="shared" si="3"/>
        <v>293483.16482125054</v>
      </c>
    </row>
    <row r="114" spans="1:7" x14ac:dyDescent="0.2">
      <c r="A114" s="10">
        <v>57</v>
      </c>
      <c r="B114" s="11">
        <v>46174</v>
      </c>
      <c r="C114" s="12">
        <f t="shared" si="4"/>
        <v>7731.1454562502995</v>
      </c>
      <c r="D114" s="12">
        <f t="shared" si="0"/>
        <v>5519.1979250892573</v>
      </c>
      <c r="E114" s="12">
        <f t="shared" si="1"/>
        <v>2211.9475311610422</v>
      </c>
      <c r="F114" s="12">
        <f t="shared" si="2"/>
        <v>1200997.6372536612</v>
      </c>
      <c r="G114" s="13">
        <f t="shared" si="3"/>
        <v>299002.36274633982</v>
      </c>
    </row>
    <row r="115" spans="1:7" x14ac:dyDescent="0.2">
      <c r="A115" s="10">
        <v>58</v>
      </c>
      <c r="B115" s="11">
        <v>46204</v>
      </c>
      <c r="C115" s="12">
        <f t="shared" si="4"/>
        <v>7731.1454562502995</v>
      </c>
      <c r="D115" s="12">
        <f t="shared" si="0"/>
        <v>5529.3164546185872</v>
      </c>
      <c r="E115" s="12">
        <f t="shared" si="1"/>
        <v>2201.8290016317119</v>
      </c>
      <c r="F115" s="12">
        <f t="shared" si="2"/>
        <v>1195468.3207990425</v>
      </c>
      <c r="G115" s="13">
        <f t="shared" si="3"/>
        <v>304531.6792009584</v>
      </c>
    </row>
    <row r="116" spans="1:7" x14ac:dyDescent="0.2">
      <c r="A116" s="10">
        <v>59</v>
      </c>
      <c r="B116" s="11">
        <v>46235</v>
      </c>
      <c r="C116" s="12">
        <f t="shared" si="4"/>
        <v>7731.1454562502995</v>
      </c>
      <c r="D116" s="12">
        <f t="shared" si="0"/>
        <v>5539.4535347853889</v>
      </c>
      <c r="E116" s="12">
        <f t="shared" si="1"/>
        <v>2191.691921464911</v>
      </c>
      <c r="F116" s="12">
        <f t="shared" si="2"/>
        <v>1189928.867264257</v>
      </c>
      <c r="G116" s="13">
        <f t="shared" si="3"/>
        <v>310071.13273574377</v>
      </c>
    </row>
    <row r="117" spans="1:7" x14ac:dyDescent="0.2">
      <c r="A117" s="10">
        <v>60</v>
      </c>
      <c r="B117" s="11">
        <v>46266</v>
      </c>
      <c r="C117" s="12">
        <f t="shared" si="4"/>
        <v>7731.1454562502995</v>
      </c>
      <c r="D117" s="12">
        <f t="shared" si="0"/>
        <v>5549.609199599161</v>
      </c>
      <c r="E117" s="12">
        <f t="shared" si="1"/>
        <v>2181.536256651138</v>
      </c>
      <c r="F117" s="12">
        <f t="shared" si="2"/>
        <v>1184379.2580646579</v>
      </c>
      <c r="G117" s="13">
        <f t="shared" si="3"/>
        <v>315620.74193534296</v>
      </c>
    </row>
    <row r="118" spans="1:7" x14ac:dyDescent="0.2">
      <c r="A118" s="10">
        <v>61</v>
      </c>
      <c r="B118" s="11">
        <v>46296</v>
      </c>
      <c r="C118" s="12">
        <f t="shared" si="4"/>
        <v>7731.1454562502995</v>
      </c>
      <c r="D118" s="12">
        <f t="shared" si="0"/>
        <v>5559.7834831317596</v>
      </c>
      <c r="E118" s="12">
        <f t="shared" si="1"/>
        <v>2171.3619731185395</v>
      </c>
      <c r="F118" s="12">
        <f t="shared" si="2"/>
        <v>1178819.4745815261</v>
      </c>
      <c r="G118" s="13">
        <f t="shared" si="3"/>
        <v>321180.52541847469</v>
      </c>
    </row>
    <row r="119" spans="1:7" x14ac:dyDescent="0.2">
      <c r="A119" s="10">
        <v>62</v>
      </c>
      <c r="B119" s="11">
        <v>46327</v>
      </c>
      <c r="C119" s="12">
        <f t="shared" si="4"/>
        <v>7731.1454562502995</v>
      </c>
      <c r="D119" s="12">
        <f t="shared" si="0"/>
        <v>5569.9764195175012</v>
      </c>
      <c r="E119" s="12">
        <f t="shared" si="1"/>
        <v>2161.1690367327978</v>
      </c>
      <c r="F119" s="12">
        <f t="shared" si="2"/>
        <v>1173249.4981620086</v>
      </c>
      <c r="G119" s="13">
        <f t="shared" si="3"/>
        <v>326750.50183799217</v>
      </c>
    </row>
    <row r="120" spans="1:7" x14ac:dyDescent="0.2">
      <c r="A120" s="10">
        <v>63</v>
      </c>
      <c r="B120" s="11">
        <v>46357</v>
      </c>
      <c r="C120" s="12">
        <f t="shared" si="4"/>
        <v>7731.1454562502995</v>
      </c>
      <c r="D120" s="12">
        <f t="shared" si="0"/>
        <v>5580.1880429532839</v>
      </c>
      <c r="E120" s="12">
        <f t="shared" si="1"/>
        <v>2150.9574132970156</v>
      </c>
      <c r="F120" s="12">
        <f t="shared" si="2"/>
        <v>1167669.3101190552</v>
      </c>
      <c r="G120" s="13">
        <f t="shared" si="3"/>
        <v>332330.68988094543</v>
      </c>
    </row>
    <row r="121" spans="1:7" x14ac:dyDescent="0.2">
      <c r="A121" s="10">
        <v>64</v>
      </c>
      <c r="B121" s="11">
        <v>46388</v>
      </c>
      <c r="C121" s="12">
        <f t="shared" si="4"/>
        <v>7731.1454562502995</v>
      </c>
      <c r="D121" s="12">
        <f t="shared" si="0"/>
        <v>5590.4183876986981</v>
      </c>
      <c r="E121" s="12">
        <f t="shared" si="1"/>
        <v>2140.7270685516014</v>
      </c>
      <c r="F121" s="12">
        <f t="shared" si="2"/>
        <v>1162078.8917313565</v>
      </c>
      <c r="G121" s="13">
        <f t="shared" si="3"/>
        <v>337921.10826864414</v>
      </c>
    </row>
    <row r="122" spans="1:7" x14ac:dyDescent="0.2">
      <c r="A122" s="10">
        <v>65</v>
      </c>
      <c r="B122" s="11">
        <v>46419</v>
      </c>
      <c r="C122" s="12">
        <f t="shared" si="4"/>
        <v>7731.1454562502995</v>
      </c>
      <c r="D122" s="12">
        <f t="shared" si="0"/>
        <v>5600.6674880761457</v>
      </c>
      <c r="E122" s="12">
        <f t="shared" si="1"/>
        <v>2130.4779681741534</v>
      </c>
      <c r="F122" s="12">
        <f t="shared" si="2"/>
        <v>1156478.2242432802</v>
      </c>
      <c r="G122" s="13">
        <f t="shared" si="3"/>
        <v>343521.77575672028</v>
      </c>
    </row>
    <row r="123" spans="1:7" x14ac:dyDescent="0.2">
      <c r="A123" s="10">
        <v>66</v>
      </c>
      <c r="B123" s="11">
        <v>46447</v>
      </c>
      <c r="C123" s="12">
        <f t="shared" si="4"/>
        <v>7731.1454562502995</v>
      </c>
      <c r="D123" s="12">
        <f t="shared" si="0"/>
        <v>5610.9353784709529</v>
      </c>
      <c r="E123" s="12">
        <f t="shared" si="1"/>
        <v>2120.2100777793471</v>
      </c>
      <c r="F123" s="12">
        <f t="shared" si="2"/>
        <v>1150867.2888648093</v>
      </c>
      <c r="G123" s="13">
        <f t="shared" si="3"/>
        <v>349132.71113519126</v>
      </c>
    </row>
    <row r="124" spans="1:7" x14ac:dyDescent="0.2">
      <c r="A124" s="10">
        <v>67</v>
      </c>
      <c r="B124" s="11">
        <v>46478</v>
      </c>
      <c r="C124" s="12">
        <f t="shared" si="4"/>
        <v>7731.1454562502995</v>
      </c>
      <c r="D124" s="12">
        <f t="shared" si="0"/>
        <v>5621.222093331482</v>
      </c>
      <c r="E124" s="12">
        <f t="shared" si="1"/>
        <v>2109.923362918817</v>
      </c>
      <c r="F124" s="12">
        <f t="shared" si="2"/>
        <v>1145246.0667714779</v>
      </c>
      <c r="G124" s="13">
        <f t="shared" si="3"/>
        <v>354753.93322852277</v>
      </c>
    </row>
    <row r="125" spans="1:7" x14ac:dyDescent="0.2">
      <c r="A125" s="10">
        <v>68</v>
      </c>
      <c r="B125" s="11">
        <v>46508</v>
      </c>
      <c r="C125" s="12">
        <f t="shared" si="4"/>
        <v>7731.1454562502995</v>
      </c>
      <c r="D125" s="12">
        <f t="shared" si="0"/>
        <v>5631.5276671692573</v>
      </c>
      <c r="E125" s="12">
        <f t="shared" si="1"/>
        <v>2099.6177890810427</v>
      </c>
      <c r="F125" s="12">
        <f t="shared" si="2"/>
        <v>1139614.5391043087</v>
      </c>
      <c r="G125" s="13">
        <f t="shared" si="3"/>
        <v>360385.46089569206</v>
      </c>
    </row>
    <row r="126" spans="1:7" x14ac:dyDescent="0.2">
      <c r="A126" s="10">
        <v>69</v>
      </c>
      <c r="B126" s="11">
        <v>46539</v>
      </c>
      <c r="C126" s="12">
        <f t="shared" si="4"/>
        <v>7731.1454562502995</v>
      </c>
      <c r="D126" s="12">
        <f t="shared" si="0"/>
        <v>5641.8521345590671</v>
      </c>
      <c r="E126" s="12">
        <f t="shared" si="1"/>
        <v>2089.2933216912324</v>
      </c>
      <c r="F126" s="12">
        <f t="shared" si="2"/>
        <v>1133972.6869697496</v>
      </c>
      <c r="G126" s="13">
        <f t="shared" si="3"/>
        <v>366027.31303025113</v>
      </c>
    </row>
    <row r="127" spans="1:7" x14ac:dyDescent="0.2">
      <c r="A127" s="10">
        <v>70</v>
      </c>
      <c r="B127" s="11">
        <v>46569</v>
      </c>
      <c r="C127" s="12">
        <f t="shared" si="4"/>
        <v>7731.1454562502995</v>
      </c>
      <c r="D127" s="12">
        <f t="shared" si="0"/>
        <v>5652.1955301390917</v>
      </c>
      <c r="E127" s="12">
        <f t="shared" si="1"/>
        <v>2078.9499261112078</v>
      </c>
      <c r="F127" s="12">
        <f t="shared" si="2"/>
        <v>1128320.4914396105</v>
      </c>
      <c r="G127" s="13">
        <f t="shared" si="3"/>
        <v>371679.50856039021</v>
      </c>
    </row>
    <row r="128" spans="1:7" x14ac:dyDescent="0.2">
      <c r="A128" s="10">
        <v>71</v>
      </c>
      <c r="B128" s="11">
        <v>46600</v>
      </c>
      <c r="C128" s="12">
        <f t="shared" si="4"/>
        <v>7731.1454562502995</v>
      </c>
      <c r="D128" s="12">
        <f t="shared" si="0"/>
        <v>5662.5578886110143</v>
      </c>
      <c r="E128" s="12">
        <f t="shared" si="1"/>
        <v>2068.5875676392857</v>
      </c>
      <c r="F128" s="12">
        <f t="shared" si="2"/>
        <v>1122657.9335509995</v>
      </c>
      <c r="G128" s="13">
        <f t="shared" si="3"/>
        <v>377342.0664490012</v>
      </c>
    </row>
    <row r="129" spans="1:7" x14ac:dyDescent="0.2">
      <c r="A129" s="10">
        <v>72</v>
      </c>
      <c r="B129" s="11">
        <v>46631</v>
      </c>
      <c r="C129" s="12">
        <f t="shared" si="4"/>
        <v>7731.1454562502995</v>
      </c>
      <c r="D129" s="12">
        <f t="shared" si="0"/>
        <v>5672.9392447401333</v>
      </c>
      <c r="E129" s="12">
        <f t="shared" si="1"/>
        <v>2058.2062115101658</v>
      </c>
      <c r="F129" s="12">
        <f t="shared" si="2"/>
        <v>1116984.9943062593</v>
      </c>
      <c r="G129" s="13">
        <f t="shared" si="3"/>
        <v>383015.00569374132</v>
      </c>
    </row>
    <row r="130" spans="1:7" x14ac:dyDescent="0.2">
      <c r="A130" s="10">
        <v>73</v>
      </c>
      <c r="B130" s="11">
        <v>46661</v>
      </c>
      <c r="C130" s="12">
        <f t="shared" si="4"/>
        <v>7731.1454562502995</v>
      </c>
      <c r="D130" s="12">
        <f t="shared" si="0"/>
        <v>5683.3396333554911</v>
      </c>
      <c r="E130" s="12">
        <f t="shared" si="1"/>
        <v>2047.8058228948087</v>
      </c>
      <c r="F130" s="12">
        <f t="shared" si="2"/>
        <v>1111301.6546729039</v>
      </c>
      <c r="G130" s="13">
        <f t="shared" si="3"/>
        <v>388698.34532709682</v>
      </c>
    </row>
    <row r="131" spans="1:7" x14ac:dyDescent="0.2">
      <c r="A131" s="10">
        <v>74</v>
      </c>
      <c r="B131" s="11">
        <v>46692</v>
      </c>
      <c r="C131" s="12">
        <f t="shared" si="4"/>
        <v>7731.1454562502995</v>
      </c>
      <c r="D131" s="12">
        <f t="shared" si="0"/>
        <v>5693.7590893499755</v>
      </c>
      <c r="E131" s="12">
        <f t="shared" si="1"/>
        <v>2037.3863669003238</v>
      </c>
      <c r="F131" s="12">
        <f t="shared" si="2"/>
        <v>1105607.8955835539</v>
      </c>
      <c r="G131" s="13">
        <f t="shared" si="3"/>
        <v>394392.10441644682</v>
      </c>
    </row>
    <row r="132" spans="1:7" x14ac:dyDescent="0.2">
      <c r="A132" s="10">
        <v>75</v>
      </c>
      <c r="B132" s="11">
        <v>46722</v>
      </c>
      <c r="C132" s="12">
        <f t="shared" si="4"/>
        <v>7731.1454562502995</v>
      </c>
      <c r="D132" s="12">
        <f t="shared" si="0"/>
        <v>5704.1976476804502</v>
      </c>
      <c r="E132" s="12">
        <f t="shared" si="1"/>
        <v>2026.9478085698488</v>
      </c>
      <c r="F132" s="12">
        <f t="shared" si="2"/>
        <v>1099903.6979358734</v>
      </c>
      <c r="G132" s="13">
        <f t="shared" si="3"/>
        <v>400096.30206412729</v>
      </c>
    </row>
    <row r="133" spans="1:7" x14ac:dyDescent="0.2">
      <c r="A133" s="10">
        <v>76</v>
      </c>
      <c r="B133" s="11">
        <v>46753</v>
      </c>
      <c r="C133" s="12">
        <f t="shared" si="4"/>
        <v>7731.1454562502995</v>
      </c>
      <c r="D133" s="12">
        <f t="shared" si="0"/>
        <v>5714.6553433678655</v>
      </c>
      <c r="E133" s="12">
        <f t="shared" si="1"/>
        <v>2016.4901128824345</v>
      </c>
      <c r="F133" s="12">
        <f t="shared" si="2"/>
        <v>1094189.0425925055</v>
      </c>
      <c r="G133" s="13">
        <f t="shared" si="3"/>
        <v>405810.95740749518</v>
      </c>
    </row>
    <row r="134" spans="1:7" x14ac:dyDescent="0.2">
      <c r="A134" s="10">
        <v>77</v>
      </c>
      <c r="B134" s="11">
        <v>46784</v>
      </c>
      <c r="C134" s="12">
        <f t="shared" si="4"/>
        <v>7731.1454562502995</v>
      </c>
      <c r="D134" s="12">
        <f t="shared" si="0"/>
        <v>5725.1322114973727</v>
      </c>
      <c r="E134" s="12">
        <f t="shared" si="1"/>
        <v>2006.0132447529265</v>
      </c>
      <c r="F134" s="12">
        <f t="shared" si="2"/>
        <v>1088463.9103810082</v>
      </c>
      <c r="G134" s="13">
        <f t="shared" si="3"/>
        <v>411536.08961899253</v>
      </c>
    </row>
    <row r="135" spans="1:7" x14ac:dyDescent="0.2">
      <c r="A135" s="10">
        <v>78</v>
      </c>
      <c r="B135" s="11">
        <v>46813</v>
      </c>
      <c r="C135" s="12">
        <f t="shared" si="4"/>
        <v>7731.1454562502995</v>
      </c>
      <c r="D135" s="12">
        <f t="shared" si="0"/>
        <v>5735.6282872184511</v>
      </c>
      <c r="E135" s="12">
        <f t="shared" si="1"/>
        <v>1995.5171690318482</v>
      </c>
      <c r="F135" s="12">
        <f t="shared" si="2"/>
        <v>1082728.2820937897</v>
      </c>
      <c r="G135" s="13">
        <f t="shared" si="3"/>
        <v>417271.71790621098</v>
      </c>
    </row>
    <row r="136" spans="1:7" x14ac:dyDescent="0.2">
      <c r="A136" s="10">
        <v>79</v>
      </c>
      <c r="B136" s="11">
        <v>46844</v>
      </c>
      <c r="C136" s="12">
        <f t="shared" si="4"/>
        <v>7731.1454562502995</v>
      </c>
      <c r="D136" s="12">
        <f t="shared" si="0"/>
        <v>5746.1436057450182</v>
      </c>
      <c r="E136" s="12">
        <f t="shared" si="1"/>
        <v>1985.001850505281</v>
      </c>
      <c r="F136" s="12">
        <f t="shared" si="2"/>
        <v>1076982.1384880447</v>
      </c>
      <c r="G136" s="13">
        <f t="shared" si="3"/>
        <v>423017.86151195597</v>
      </c>
    </row>
    <row r="137" spans="1:7" x14ac:dyDescent="0.2">
      <c r="A137" s="10">
        <v>80</v>
      </c>
      <c r="B137" s="11">
        <v>46874</v>
      </c>
      <c r="C137" s="12">
        <f t="shared" si="4"/>
        <v>7731.1454562502995</v>
      </c>
      <c r="D137" s="12">
        <f t="shared" si="0"/>
        <v>5756.6782023555506</v>
      </c>
      <c r="E137" s="12">
        <f t="shared" si="1"/>
        <v>1974.4672538947486</v>
      </c>
      <c r="F137" s="12">
        <f t="shared" si="2"/>
        <v>1071225.4602856892</v>
      </c>
      <c r="G137" s="13">
        <f t="shared" si="3"/>
        <v>428774.53971431154</v>
      </c>
    </row>
    <row r="138" spans="1:7" x14ac:dyDescent="0.2">
      <c r="A138" s="10">
        <v>81</v>
      </c>
      <c r="B138" s="11">
        <v>46905</v>
      </c>
      <c r="C138" s="12">
        <f t="shared" si="4"/>
        <v>7731.1454562502995</v>
      </c>
      <c r="D138" s="12">
        <f t="shared" si="0"/>
        <v>5767.2321123932024</v>
      </c>
      <c r="E138" s="12">
        <f t="shared" si="1"/>
        <v>1963.9133438570968</v>
      </c>
      <c r="F138" s="12">
        <f t="shared" si="2"/>
        <v>1065458.228173296</v>
      </c>
      <c r="G138" s="13">
        <f t="shared" si="3"/>
        <v>434541.77182670473</v>
      </c>
    </row>
    <row r="139" spans="1:7" x14ac:dyDescent="0.2">
      <c r="A139" s="10">
        <v>82</v>
      </c>
      <c r="B139" s="11">
        <v>46935</v>
      </c>
      <c r="C139" s="12">
        <f t="shared" si="4"/>
        <v>7731.1454562502995</v>
      </c>
      <c r="D139" s="12">
        <f t="shared" si="0"/>
        <v>5777.8053712659239</v>
      </c>
      <c r="E139" s="12">
        <f t="shared" si="1"/>
        <v>1953.3400849843758</v>
      </c>
      <c r="F139" s="12">
        <f t="shared" si="2"/>
        <v>1059680.4228020301</v>
      </c>
      <c r="G139" s="13">
        <f t="shared" si="3"/>
        <v>440319.57719797065</v>
      </c>
    </row>
    <row r="140" spans="1:7" x14ac:dyDescent="0.2">
      <c r="A140" s="10">
        <v>83</v>
      </c>
      <c r="B140" s="11">
        <v>46966</v>
      </c>
      <c r="C140" s="12">
        <f t="shared" si="4"/>
        <v>7731.1454562502995</v>
      </c>
      <c r="D140" s="12">
        <f t="shared" si="0"/>
        <v>5788.3980144465777</v>
      </c>
      <c r="E140" s="12">
        <f t="shared" si="1"/>
        <v>1942.7474418037218</v>
      </c>
      <c r="F140" s="12">
        <f t="shared" si="2"/>
        <v>1053892.0247875836</v>
      </c>
      <c r="G140" s="13">
        <f t="shared" si="3"/>
        <v>446107.97521241725</v>
      </c>
    </row>
    <row r="141" spans="1:7" x14ac:dyDescent="0.2">
      <c r="A141" s="10">
        <v>84</v>
      </c>
      <c r="B141" s="11">
        <v>46997</v>
      </c>
      <c r="C141" s="12">
        <f t="shared" si="4"/>
        <v>7731.1454562502995</v>
      </c>
      <c r="D141" s="12">
        <f t="shared" si="0"/>
        <v>5799.0100774730627</v>
      </c>
      <c r="E141" s="12">
        <f t="shared" si="1"/>
        <v>1932.1353787772366</v>
      </c>
      <c r="F141" s="12">
        <f t="shared" si="2"/>
        <v>1048093.0147101106</v>
      </c>
      <c r="G141" s="13">
        <f t="shared" si="3"/>
        <v>451906.98528989032</v>
      </c>
    </row>
    <row r="142" spans="1:7" x14ac:dyDescent="0.2">
      <c r="A142" s="10">
        <v>85</v>
      </c>
      <c r="B142" s="11">
        <v>47027</v>
      </c>
      <c r="C142" s="12">
        <f t="shared" si="4"/>
        <v>7731.1454562502995</v>
      </c>
      <c r="D142" s="12">
        <f t="shared" si="0"/>
        <v>5809.6415959484302</v>
      </c>
      <c r="E142" s="12">
        <f t="shared" si="1"/>
        <v>1921.5038603018695</v>
      </c>
      <c r="F142" s="12">
        <f t="shared" si="2"/>
        <v>1042283.3731141621</v>
      </c>
      <c r="G142" s="13">
        <f t="shared" si="3"/>
        <v>457716.62688583875</v>
      </c>
    </row>
    <row r="143" spans="1:7" x14ac:dyDescent="0.2">
      <c r="A143" s="10">
        <v>86</v>
      </c>
      <c r="B143" s="11">
        <v>47058</v>
      </c>
      <c r="C143" s="12">
        <f t="shared" si="4"/>
        <v>7731.1454562502995</v>
      </c>
      <c r="D143" s="12">
        <f t="shared" si="0"/>
        <v>5820.2926055410026</v>
      </c>
      <c r="E143" s="12">
        <f t="shared" si="1"/>
        <v>1910.8528507092972</v>
      </c>
      <c r="F143" s="12">
        <f t="shared" si="2"/>
        <v>1036463.0805086212</v>
      </c>
      <c r="G143" s="13">
        <f t="shared" si="3"/>
        <v>463536.91949137975</v>
      </c>
    </row>
    <row r="144" spans="1:7" x14ac:dyDescent="0.2">
      <c r="A144" s="10">
        <v>87</v>
      </c>
      <c r="B144" s="11">
        <v>47088</v>
      </c>
      <c r="C144" s="12">
        <f t="shared" si="4"/>
        <v>7731.1454562502995</v>
      </c>
      <c r="D144" s="12">
        <f t="shared" si="0"/>
        <v>5830.9631419844936</v>
      </c>
      <c r="E144" s="12">
        <f t="shared" si="1"/>
        <v>1900.1823142658054</v>
      </c>
      <c r="F144" s="12">
        <f t="shared" si="2"/>
        <v>1030632.1173666366</v>
      </c>
      <c r="G144" s="13">
        <f t="shared" si="3"/>
        <v>469367.88263336424</v>
      </c>
    </row>
    <row r="145" spans="1:7" x14ac:dyDescent="0.2">
      <c r="A145" s="10">
        <v>88</v>
      </c>
      <c r="B145" s="11">
        <v>47119</v>
      </c>
      <c r="C145" s="12">
        <f t="shared" si="4"/>
        <v>7731.1454562502995</v>
      </c>
      <c r="D145" s="12">
        <f t="shared" si="0"/>
        <v>5841.6532410781329</v>
      </c>
      <c r="E145" s="12">
        <f t="shared" si="1"/>
        <v>1889.4922151721671</v>
      </c>
      <c r="F145" s="12">
        <f t="shared" si="2"/>
        <v>1024790.4641255585</v>
      </c>
      <c r="G145" s="13">
        <f t="shared" si="3"/>
        <v>475209.53587444237</v>
      </c>
    </row>
    <row r="146" spans="1:7" x14ac:dyDescent="0.2">
      <c r="A146" s="10">
        <v>89</v>
      </c>
      <c r="B146" s="11">
        <v>47150</v>
      </c>
      <c r="C146" s="12">
        <f t="shared" si="4"/>
        <v>7731.1454562502995</v>
      </c>
      <c r="D146" s="12">
        <f t="shared" si="0"/>
        <v>5852.362938686776</v>
      </c>
      <c r="E146" s="12">
        <f t="shared" si="1"/>
        <v>1878.7825175635239</v>
      </c>
      <c r="F146" s="12">
        <f t="shared" si="2"/>
        <v>1018938.1011868718</v>
      </c>
      <c r="G146" s="13">
        <f t="shared" si="3"/>
        <v>481061.89881312917</v>
      </c>
    </row>
    <row r="147" spans="1:7" x14ac:dyDescent="0.2">
      <c r="A147" s="10">
        <v>90</v>
      </c>
      <c r="B147" s="11">
        <v>47178</v>
      </c>
      <c r="C147" s="12">
        <f t="shared" si="4"/>
        <v>7731.1454562502995</v>
      </c>
      <c r="D147" s="12">
        <f t="shared" si="0"/>
        <v>5863.0922707410346</v>
      </c>
      <c r="E147" s="12">
        <f t="shared" si="1"/>
        <v>1868.0531855092649</v>
      </c>
      <c r="F147" s="12">
        <f t="shared" si="2"/>
        <v>1013075.0089161308</v>
      </c>
      <c r="G147" s="13">
        <f t="shared" si="3"/>
        <v>486924.99108387018</v>
      </c>
    </row>
    <row r="148" spans="1:7" x14ac:dyDescent="0.2">
      <c r="A148" s="10">
        <v>91</v>
      </c>
      <c r="B148" s="11">
        <v>47209</v>
      </c>
      <c r="C148" s="12">
        <f t="shared" si="4"/>
        <v>7731.1454562502995</v>
      </c>
      <c r="D148" s="12">
        <f t="shared" si="0"/>
        <v>5873.8412732373927</v>
      </c>
      <c r="E148" s="12">
        <f t="shared" si="1"/>
        <v>1857.3041830129064</v>
      </c>
      <c r="F148" s="12">
        <f t="shared" si="2"/>
        <v>1007201.1676428934</v>
      </c>
      <c r="G148" s="13">
        <f t="shared" si="3"/>
        <v>492798.83235710755</v>
      </c>
    </row>
    <row r="149" spans="1:7" x14ac:dyDescent="0.2">
      <c r="A149" s="10">
        <v>92</v>
      </c>
      <c r="B149" s="11">
        <v>47239</v>
      </c>
      <c r="C149" s="12">
        <f t="shared" si="4"/>
        <v>7731.1454562502995</v>
      </c>
      <c r="D149" s="12">
        <f t="shared" si="0"/>
        <v>5884.6099822383285</v>
      </c>
      <c r="E149" s="12">
        <f t="shared" si="1"/>
        <v>1846.5354740119712</v>
      </c>
      <c r="F149" s="12">
        <f t="shared" si="2"/>
        <v>1001316.557660655</v>
      </c>
      <c r="G149" s="13">
        <f t="shared" si="3"/>
        <v>498683.44233934587</v>
      </c>
    </row>
    <row r="150" spans="1:7" x14ac:dyDescent="0.2">
      <c r="A150" s="10">
        <v>93</v>
      </c>
      <c r="B150" s="11">
        <v>47270</v>
      </c>
      <c r="C150" s="12">
        <f t="shared" si="4"/>
        <v>7731.1454562502995</v>
      </c>
      <c r="D150" s="12">
        <f t="shared" si="0"/>
        <v>5895.3984338724322</v>
      </c>
      <c r="E150" s="12">
        <f t="shared" si="1"/>
        <v>1835.7470223778676</v>
      </c>
      <c r="F150" s="12">
        <f t="shared" si="2"/>
        <v>995421.15922678262</v>
      </c>
      <c r="G150" s="13">
        <f t="shared" si="3"/>
        <v>504578.84077321831</v>
      </c>
    </row>
    <row r="151" spans="1:7" x14ac:dyDescent="0.2">
      <c r="A151" s="10">
        <v>94</v>
      </c>
      <c r="B151" s="11">
        <v>47300</v>
      </c>
      <c r="C151" s="12">
        <f t="shared" si="4"/>
        <v>7731.1454562502995</v>
      </c>
      <c r="D151" s="12">
        <f t="shared" si="0"/>
        <v>5906.2066643345315</v>
      </c>
      <c r="E151" s="12">
        <f t="shared" si="1"/>
        <v>1824.9387919157682</v>
      </c>
      <c r="F151" s="12">
        <f t="shared" si="2"/>
        <v>989514.9525624481</v>
      </c>
      <c r="G151" s="13">
        <f t="shared" si="3"/>
        <v>510485.04743755283</v>
      </c>
    </row>
    <row r="152" spans="1:7" x14ac:dyDescent="0.2">
      <c r="A152" s="10">
        <v>95</v>
      </c>
      <c r="B152" s="11">
        <v>47331</v>
      </c>
      <c r="C152" s="12">
        <f t="shared" si="4"/>
        <v>7731.1454562502995</v>
      </c>
      <c r="D152" s="12">
        <f t="shared" si="0"/>
        <v>5917.034709885811</v>
      </c>
      <c r="E152" s="12">
        <f t="shared" si="1"/>
        <v>1814.1107463644883</v>
      </c>
      <c r="F152" s="12">
        <f t="shared" si="2"/>
        <v>983597.91785256227</v>
      </c>
      <c r="G152" s="13">
        <f t="shared" si="3"/>
        <v>516402.08214743866</v>
      </c>
    </row>
    <row r="153" spans="1:7" x14ac:dyDescent="0.2">
      <c r="A153" s="10">
        <v>96</v>
      </c>
      <c r="B153" s="11">
        <v>47362</v>
      </c>
      <c r="C153" s="12">
        <f t="shared" si="4"/>
        <v>7731.1454562502995</v>
      </c>
      <c r="D153" s="12">
        <f t="shared" si="0"/>
        <v>5927.8826068539356</v>
      </c>
      <c r="E153" s="12">
        <f t="shared" si="1"/>
        <v>1803.2628493963641</v>
      </c>
      <c r="F153" s="12">
        <f t="shared" si="2"/>
        <v>977670.03524570831</v>
      </c>
      <c r="G153" s="13">
        <f t="shared" si="3"/>
        <v>522329.96475429263</v>
      </c>
    </row>
    <row r="154" spans="1:7" x14ac:dyDescent="0.2">
      <c r="A154" s="10">
        <v>97</v>
      </c>
      <c r="B154" s="11">
        <v>47392</v>
      </c>
      <c r="C154" s="12">
        <f t="shared" si="4"/>
        <v>7731.1454562502995</v>
      </c>
      <c r="D154" s="12">
        <f t="shared" si="0"/>
        <v>5938.750391633168</v>
      </c>
      <c r="E154" s="12">
        <f t="shared" si="1"/>
        <v>1792.3950646171318</v>
      </c>
      <c r="F154" s="12">
        <f t="shared" si="2"/>
        <v>971731.28485407517</v>
      </c>
      <c r="G154" s="13">
        <f t="shared" si="3"/>
        <v>528268.71514592576</v>
      </c>
    </row>
    <row r="155" spans="1:7" x14ac:dyDescent="0.2">
      <c r="A155" s="10">
        <v>98</v>
      </c>
      <c r="B155" s="11">
        <v>47423</v>
      </c>
      <c r="C155" s="12">
        <f t="shared" si="4"/>
        <v>7731.1454562502995</v>
      </c>
      <c r="D155" s="12">
        <f t="shared" si="0"/>
        <v>5949.6381006844949</v>
      </c>
      <c r="E155" s="12">
        <f t="shared" si="1"/>
        <v>1781.5073555658043</v>
      </c>
      <c r="F155" s="12">
        <f t="shared" si="2"/>
        <v>965781.64675339067</v>
      </c>
      <c r="G155" s="13">
        <f t="shared" si="3"/>
        <v>534218.35324661026</v>
      </c>
    </row>
    <row r="156" spans="1:7" x14ac:dyDescent="0.2">
      <c r="A156" s="10">
        <v>99</v>
      </c>
      <c r="B156" s="11">
        <v>47453</v>
      </c>
      <c r="C156" s="12">
        <f t="shared" si="4"/>
        <v>7731.1454562502995</v>
      </c>
      <c r="D156" s="12">
        <f t="shared" si="0"/>
        <v>5960.5457705357503</v>
      </c>
      <c r="E156" s="12">
        <f t="shared" si="1"/>
        <v>1770.5996857145494</v>
      </c>
      <c r="F156" s="12">
        <f t="shared" si="2"/>
        <v>959821.10098285496</v>
      </c>
      <c r="G156" s="13">
        <f t="shared" si="3"/>
        <v>540178.89901714597</v>
      </c>
    </row>
    <row r="157" spans="1:7" x14ac:dyDescent="0.2">
      <c r="A157" s="10">
        <v>100</v>
      </c>
      <c r="B157" s="11">
        <v>47484</v>
      </c>
      <c r="C157" s="12">
        <f t="shared" si="4"/>
        <v>7731.1454562502995</v>
      </c>
      <c r="D157" s="12">
        <f t="shared" si="0"/>
        <v>5971.4734377817322</v>
      </c>
      <c r="E157" s="12">
        <f t="shared" si="1"/>
        <v>1759.6720184685673</v>
      </c>
      <c r="F157" s="12">
        <f t="shared" si="2"/>
        <v>953849.62754507328</v>
      </c>
      <c r="G157" s="13">
        <f t="shared" si="3"/>
        <v>546150.37245492765</v>
      </c>
    </row>
    <row r="158" spans="1:7" x14ac:dyDescent="0.2">
      <c r="A158" s="10">
        <v>101</v>
      </c>
      <c r="B158" s="11">
        <v>47515</v>
      </c>
      <c r="C158" s="12">
        <f t="shared" si="4"/>
        <v>7731.1454562502995</v>
      </c>
      <c r="D158" s="12">
        <f t="shared" si="0"/>
        <v>5982.421139084332</v>
      </c>
      <c r="E158" s="12">
        <f t="shared" si="1"/>
        <v>1748.7243171659677</v>
      </c>
      <c r="F158" s="12">
        <f t="shared" si="2"/>
        <v>947867.20640598889</v>
      </c>
      <c r="G158" s="13">
        <f t="shared" si="3"/>
        <v>552132.79359401204</v>
      </c>
    </row>
    <row r="159" spans="1:7" x14ac:dyDescent="0.2">
      <c r="A159" s="10">
        <v>102</v>
      </c>
      <c r="B159" s="11">
        <v>47543</v>
      </c>
      <c r="C159" s="12">
        <f t="shared" si="4"/>
        <v>7731.1454562502995</v>
      </c>
      <c r="D159" s="12">
        <f t="shared" si="0"/>
        <v>5993.388911172653</v>
      </c>
      <c r="E159" s="12">
        <f t="shared" si="1"/>
        <v>1737.7565450776463</v>
      </c>
      <c r="F159" s="12">
        <f t="shared" si="2"/>
        <v>941873.81749481626</v>
      </c>
      <c r="G159" s="13">
        <f t="shared" si="3"/>
        <v>558126.18250518467</v>
      </c>
    </row>
    <row r="160" spans="1:7" x14ac:dyDescent="0.2">
      <c r="A160" s="10">
        <v>103</v>
      </c>
      <c r="B160" s="11">
        <v>47574</v>
      </c>
      <c r="C160" s="12">
        <f t="shared" si="4"/>
        <v>7731.1454562502995</v>
      </c>
      <c r="D160" s="12">
        <f t="shared" si="0"/>
        <v>6004.3767908431364</v>
      </c>
      <c r="E160" s="12">
        <f t="shared" si="1"/>
        <v>1726.7686654071631</v>
      </c>
      <c r="F160" s="12">
        <f t="shared" si="2"/>
        <v>935869.44070397317</v>
      </c>
      <c r="G160" s="13">
        <f t="shared" si="3"/>
        <v>564130.55929602776</v>
      </c>
    </row>
    <row r="161" spans="1:7" x14ac:dyDescent="0.2">
      <c r="A161" s="10">
        <v>104</v>
      </c>
      <c r="B161" s="11">
        <v>47604</v>
      </c>
      <c r="C161" s="12">
        <f t="shared" si="4"/>
        <v>7731.1454562502995</v>
      </c>
      <c r="D161" s="12">
        <f t="shared" si="0"/>
        <v>6015.3848149596815</v>
      </c>
      <c r="E161" s="12">
        <f t="shared" si="1"/>
        <v>1715.7606412906175</v>
      </c>
      <c r="F161" s="12">
        <f t="shared" si="2"/>
        <v>929854.05588901346</v>
      </c>
      <c r="G161" s="13">
        <f t="shared" si="3"/>
        <v>570145.94411098748</v>
      </c>
    </row>
    <row r="162" spans="1:7" x14ac:dyDescent="0.2">
      <c r="A162" s="10">
        <v>105</v>
      </c>
      <c r="B162" s="11">
        <v>47635</v>
      </c>
      <c r="C162" s="12">
        <f t="shared" si="4"/>
        <v>7731.1454562502995</v>
      </c>
      <c r="D162" s="12">
        <f t="shared" si="0"/>
        <v>6026.4130204537751</v>
      </c>
      <c r="E162" s="12">
        <f t="shared" si="1"/>
        <v>1704.7324357965247</v>
      </c>
      <c r="F162" s="12">
        <f t="shared" si="2"/>
        <v>923827.64286855969</v>
      </c>
      <c r="G162" s="13">
        <f t="shared" si="3"/>
        <v>576172.35713144124</v>
      </c>
    </row>
    <row r="163" spans="1:7" x14ac:dyDescent="0.2">
      <c r="A163" s="10">
        <v>106</v>
      </c>
      <c r="B163" s="11">
        <v>47665</v>
      </c>
      <c r="C163" s="12">
        <f t="shared" si="4"/>
        <v>7731.1454562502995</v>
      </c>
      <c r="D163" s="12">
        <f t="shared" si="0"/>
        <v>6037.4614443246064</v>
      </c>
      <c r="E163" s="12">
        <f t="shared" si="1"/>
        <v>1693.6840119256926</v>
      </c>
      <c r="F163" s="12">
        <f t="shared" si="2"/>
        <v>917790.18142423511</v>
      </c>
      <c r="G163" s="13">
        <f t="shared" si="3"/>
        <v>582209.81857576582</v>
      </c>
    </row>
    <row r="164" spans="1:7" x14ac:dyDescent="0.2">
      <c r="A164" s="10">
        <v>107</v>
      </c>
      <c r="B164" s="11">
        <v>47696</v>
      </c>
      <c r="C164" s="12">
        <f t="shared" si="4"/>
        <v>7731.1454562502995</v>
      </c>
      <c r="D164" s="12">
        <f t="shared" si="0"/>
        <v>6048.5301236392015</v>
      </c>
      <c r="E164" s="12">
        <f t="shared" si="1"/>
        <v>1682.6153326110978</v>
      </c>
      <c r="F164" s="12">
        <f t="shared" si="2"/>
        <v>911741.65130059596</v>
      </c>
      <c r="G164" s="13">
        <f t="shared" si="3"/>
        <v>588258.34869940497</v>
      </c>
    </row>
    <row r="165" spans="1:7" x14ac:dyDescent="0.2">
      <c r="A165" s="10">
        <v>108</v>
      </c>
      <c r="B165" s="11">
        <v>47727</v>
      </c>
      <c r="C165" s="12">
        <f t="shared" si="4"/>
        <v>7731.1454562502995</v>
      </c>
      <c r="D165" s="12">
        <f t="shared" si="0"/>
        <v>6059.6190955325401</v>
      </c>
      <c r="E165" s="12">
        <f t="shared" si="1"/>
        <v>1671.5263607177592</v>
      </c>
      <c r="F165" s="12">
        <f t="shared" si="2"/>
        <v>905682.03220506338</v>
      </c>
      <c r="G165" s="13">
        <f t="shared" si="3"/>
        <v>594317.96779493755</v>
      </c>
    </row>
    <row r="166" spans="1:7" x14ac:dyDescent="0.2">
      <c r="A166" s="10">
        <v>109</v>
      </c>
      <c r="B166" s="11">
        <v>47757</v>
      </c>
      <c r="C166" s="12">
        <f t="shared" si="4"/>
        <v>7731.1454562502995</v>
      </c>
      <c r="D166" s="12">
        <f t="shared" si="0"/>
        <v>6070.7283972076839</v>
      </c>
      <c r="E166" s="12">
        <f t="shared" si="1"/>
        <v>1660.4170590426161</v>
      </c>
      <c r="F166" s="12">
        <f t="shared" si="2"/>
        <v>899611.3038078557</v>
      </c>
      <c r="G166" s="13">
        <f t="shared" si="3"/>
        <v>600388.69619214523</v>
      </c>
    </row>
    <row r="167" spans="1:7" x14ac:dyDescent="0.2">
      <c r="A167" s="10">
        <v>110</v>
      </c>
      <c r="B167" s="11">
        <v>47788</v>
      </c>
      <c r="C167" s="12">
        <f t="shared" si="4"/>
        <v>7731.1454562502995</v>
      </c>
      <c r="D167" s="12">
        <f t="shared" si="0"/>
        <v>6081.8580659358977</v>
      </c>
      <c r="E167" s="12">
        <f t="shared" si="1"/>
        <v>1649.287390314402</v>
      </c>
      <c r="F167" s="12">
        <f t="shared" si="2"/>
        <v>893529.4457419198</v>
      </c>
      <c r="G167" s="13">
        <f t="shared" si="3"/>
        <v>606470.55425808113</v>
      </c>
    </row>
    <row r="168" spans="1:7" x14ac:dyDescent="0.2">
      <c r="A168" s="10">
        <v>111</v>
      </c>
      <c r="B168" s="11">
        <v>47818</v>
      </c>
      <c r="C168" s="12">
        <f t="shared" si="4"/>
        <v>7731.1454562502995</v>
      </c>
      <c r="D168" s="12">
        <f t="shared" si="0"/>
        <v>6093.0081390567802</v>
      </c>
      <c r="E168" s="12">
        <f t="shared" si="1"/>
        <v>1638.1373171935195</v>
      </c>
      <c r="F168" s="12">
        <f t="shared" si="2"/>
        <v>887436.43760286306</v>
      </c>
      <c r="G168" s="13">
        <f t="shared" si="3"/>
        <v>612563.56239713787</v>
      </c>
    </row>
    <row r="169" spans="1:7" x14ac:dyDescent="0.2">
      <c r="A169" s="10">
        <v>112</v>
      </c>
      <c r="B169" s="11">
        <v>47849</v>
      </c>
      <c r="C169" s="12">
        <f t="shared" si="4"/>
        <v>7731.1454562502995</v>
      </c>
      <c r="D169" s="12">
        <f t="shared" si="0"/>
        <v>6104.1786539783843</v>
      </c>
      <c r="E169" s="12">
        <f t="shared" si="1"/>
        <v>1626.9668022719156</v>
      </c>
      <c r="F169" s="12">
        <f t="shared" si="2"/>
        <v>881332.25894888467</v>
      </c>
      <c r="G169" s="13">
        <f t="shared" si="3"/>
        <v>618667.74105111626</v>
      </c>
    </row>
    <row r="170" spans="1:7" x14ac:dyDescent="0.2">
      <c r="A170" s="10">
        <v>113</v>
      </c>
      <c r="B170" s="11">
        <v>47880</v>
      </c>
      <c r="C170" s="12">
        <f t="shared" si="4"/>
        <v>7731.1454562502995</v>
      </c>
      <c r="D170" s="12">
        <f t="shared" si="0"/>
        <v>6115.3696481773441</v>
      </c>
      <c r="E170" s="12">
        <f t="shared" si="1"/>
        <v>1615.7758080729552</v>
      </c>
      <c r="F170" s="12">
        <f t="shared" si="2"/>
        <v>875216.88930070738</v>
      </c>
      <c r="G170" s="13">
        <f t="shared" si="3"/>
        <v>624783.11069929355</v>
      </c>
    </row>
    <row r="171" spans="1:7" x14ac:dyDescent="0.2">
      <c r="A171" s="10">
        <v>114</v>
      </c>
      <c r="B171" s="11">
        <v>47908</v>
      </c>
      <c r="C171" s="12">
        <f t="shared" si="4"/>
        <v>7731.1454562502995</v>
      </c>
      <c r="D171" s="12">
        <f t="shared" si="0"/>
        <v>6126.5811591990023</v>
      </c>
      <c r="E171" s="12">
        <f t="shared" si="1"/>
        <v>1604.5642970512968</v>
      </c>
      <c r="F171" s="12">
        <f t="shared" si="2"/>
        <v>869090.30814150837</v>
      </c>
      <c r="G171" s="13">
        <f t="shared" si="3"/>
        <v>630909.69185849256</v>
      </c>
    </row>
    <row r="172" spans="1:7" x14ac:dyDescent="0.2">
      <c r="A172" s="10">
        <v>115</v>
      </c>
      <c r="B172" s="11">
        <v>47939</v>
      </c>
      <c r="C172" s="12">
        <f t="shared" si="4"/>
        <v>7731.1454562502995</v>
      </c>
      <c r="D172" s="12">
        <f t="shared" si="0"/>
        <v>6137.8132246575342</v>
      </c>
      <c r="E172" s="12">
        <f t="shared" si="1"/>
        <v>1593.3322315927653</v>
      </c>
      <c r="F172" s="12">
        <f t="shared" si="2"/>
        <v>862952.49491685082</v>
      </c>
      <c r="G172" s="13">
        <f t="shared" si="3"/>
        <v>637047.50508315011</v>
      </c>
    </row>
    <row r="173" spans="1:7" x14ac:dyDescent="0.2">
      <c r="A173" s="10">
        <v>116</v>
      </c>
      <c r="B173" s="11">
        <v>47969</v>
      </c>
      <c r="C173" s="12">
        <f t="shared" si="4"/>
        <v>7731.1454562502995</v>
      </c>
      <c r="D173" s="12">
        <f t="shared" si="0"/>
        <v>6149.0658822360729</v>
      </c>
      <c r="E173" s="12">
        <f t="shared" si="1"/>
        <v>1582.0795740142264</v>
      </c>
      <c r="F173" s="12">
        <f t="shared" si="2"/>
        <v>856803.4290346147</v>
      </c>
      <c r="G173" s="13">
        <f t="shared" si="3"/>
        <v>643196.57096538623</v>
      </c>
    </row>
    <row r="174" spans="1:7" x14ac:dyDescent="0.2">
      <c r="A174" s="10">
        <v>117</v>
      </c>
      <c r="B174" s="11">
        <v>48000</v>
      </c>
      <c r="C174" s="12">
        <f t="shared" si="4"/>
        <v>7731.1454562502995</v>
      </c>
      <c r="D174" s="12">
        <f t="shared" si="0"/>
        <v>6160.3391696868393</v>
      </c>
      <c r="E174" s="12">
        <f t="shared" si="1"/>
        <v>1570.8062865634602</v>
      </c>
      <c r="F174" s="12">
        <f t="shared" si="2"/>
        <v>850643.08986492781</v>
      </c>
      <c r="G174" s="13">
        <f t="shared" si="3"/>
        <v>649356.91013507312</v>
      </c>
    </row>
    <row r="175" spans="1:7" x14ac:dyDescent="0.2">
      <c r="A175" s="10">
        <v>118</v>
      </c>
      <c r="B175" s="11">
        <v>48030</v>
      </c>
      <c r="C175" s="12">
        <f t="shared" si="4"/>
        <v>7731.1454562502995</v>
      </c>
      <c r="D175" s="12">
        <f t="shared" si="0"/>
        <v>6171.6331248312654</v>
      </c>
      <c r="E175" s="12">
        <f t="shared" si="1"/>
        <v>1559.5123314190344</v>
      </c>
      <c r="F175" s="12">
        <f t="shared" si="2"/>
        <v>844471.45674009656</v>
      </c>
      <c r="G175" s="13">
        <f t="shared" si="3"/>
        <v>655528.54325990437</v>
      </c>
    </row>
    <row r="176" spans="1:7" x14ac:dyDescent="0.2">
      <c r="A176" s="10">
        <v>119</v>
      </c>
      <c r="B176" s="11">
        <v>48061</v>
      </c>
      <c r="C176" s="12">
        <f t="shared" si="4"/>
        <v>7731.1454562502995</v>
      </c>
      <c r="D176" s="12">
        <f t="shared" si="0"/>
        <v>6182.9477855601226</v>
      </c>
      <c r="E176" s="12">
        <f t="shared" si="1"/>
        <v>1548.1976706901769</v>
      </c>
      <c r="F176" s="12">
        <f t="shared" si="2"/>
        <v>838288.5089545364</v>
      </c>
      <c r="G176" s="13">
        <f t="shared" si="3"/>
        <v>661711.49104546453</v>
      </c>
    </row>
    <row r="177" spans="1:7" x14ac:dyDescent="0.2">
      <c r="A177" s="10">
        <v>120</v>
      </c>
      <c r="B177" s="11">
        <v>48092</v>
      </c>
      <c r="C177" s="12">
        <f t="shared" si="4"/>
        <v>7731.1454562502995</v>
      </c>
      <c r="D177" s="12">
        <f t="shared" si="0"/>
        <v>6194.2831898336499</v>
      </c>
      <c r="E177" s="12">
        <f t="shared" si="1"/>
        <v>1536.8622664166501</v>
      </c>
      <c r="F177" s="12">
        <f t="shared" si="2"/>
        <v>832094.22576470277</v>
      </c>
      <c r="G177" s="13">
        <f t="shared" si="3"/>
        <v>667905.77423529816</v>
      </c>
    </row>
    <row r="178" spans="1:7" x14ac:dyDescent="0.2">
      <c r="A178" s="10">
        <v>121</v>
      </c>
      <c r="B178" s="11">
        <v>48122</v>
      </c>
      <c r="C178" s="12">
        <f t="shared" si="4"/>
        <v>7731.1454562502995</v>
      </c>
      <c r="D178" s="12">
        <f t="shared" si="0"/>
        <v>6205.6393756816778</v>
      </c>
      <c r="E178" s="12">
        <f t="shared" si="1"/>
        <v>1525.5060805686217</v>
      </c>
      <c r="F178" s="12">
        <f t="shared" si="2"/>
        <v>825888.58638902113</v>
      </c>
      <c r="G178" s="13">
        <f t="shared" si="3"/>
        <v>674111.4136109798</v>
      </c>
    </row>
    <row r="179" spans="1:7" x14ac:dyDescent="0.2">
      <c r="A179" s="10">
        <v>122</v>
      </c>
      <c r="B179" s="11">
        <v>48153</v>
      </c>
      <c r="C179" s="12">
        <f t="shared" si="4"/>
        <v>7731.1454562502995</v>
      </c>
      <c r="D179" s="12">
        <f t="shared" si="0"/>
        <v>6217.0163812037608</v>
      </c>
      <c r="E179" s="12">
        <f t="shared" si="1"/>
        <v>1514.1290750465387</v>
      </c>
      <c r="F179" s="12">
        <f t="shared" si="2"/>
        <v>819671.57000781735</v>
      </c>
      <c r="G179" s="13">
        <f t="shared" si="3"/>
        <v>680328.42999218358</v>
      </c>
    </row>
    <row r="180" spans="1:7" x14ac:dyDescent="0.2">
      <c r="A180" s="10">
        <v>123</v>
      </c>
      <c r="B180" s="11">
        <v>48183</v>
      </c>
      <c r="C180" s="12">
        <f t="shared" si="4"/>
        <v>7731.1454562502995</v>
      </c>
      <c r="D180" s="12">
        <f t="shared" si="0"/>
        <v>6228.4142445693014</v>
      </c>
      <c r="E180" s="12">
        <f t="shared" si="1"/>
        <v>1502.7312116809985</v>
      </c>
      <c r="F180" s="12">
        <f t="shared" si="2"/>
        <v>813443.1557632481</v>
      </c>
      <c r="G180" s="13">
        <f t="shared" si="3"/>
        <v>686556.84423675283</v>
      </c>
    </row>
    <row r="181" spans="1:7" x14ac:dyDescent="0.2">
      <c r="A181" s="10">
        <v>124</v>
      </c>
      <c r="B181" s="11">
        <v>48214</v>
      </c>
      <c r="C181" s="12">
        <f t="shared" si="4"/>
        <v>7731.1454562502995</v>
      </c>
      <c r="D181" s="12">
        <f t="shared" si="0"/>
        <v>6239.8330040176779</v>
      </c>
      <c r="E181" s="12">
        <f t="shared" si="1"/>
        <v>1491.3124522326216</v>
      </c>
      <c r="F181" s="12">
        <f t="shared" si="2"/>
        <v>807203.32275923039</v>
      </c>
      <c r="G181" s="13">
        <f t="shared" si="3"/>
        <v>692796.67724077054</v>
      </c>
    </row>
    <row r="182" spans="1:7" x14ac:dyDescent="0.2">
      <c r="A182" s="10">
        <v>125</v>
      </c>
      <c r="B182" s="11">
        <v>48245</v>
      </c>
      <c r="C182" s="12">
        <f t="shared" si="4"/>
        <v>7731.1454562502995</v>
      </c>
      <c r="D182" s="12">
        <f t="shared" si="0"/>
        <v>6251.2726978583769</v>
      </c>
      <c r="E182" s="12">
        <f t="shared" si="1"/>
        <v>1479.8727583919224</v>
      </c>
      <c r="F182" s="12">
        <f t="shared" si="2"/>
        <v>800952.05006137199</v>
      </c>
      <c r="G182" s="13">
        <f t="shared" si="3"/>
        <v>699047.94993862894</v>
      </c>
    </row>
    <row r="183" spans="1:7" x14ac:dyDescent="0.2">
      <c r="A183" s="10">
        <v>126</v>
      </c>
      <c r="B183" s="11">
        <v>48274</v>
      </c>
      <c r="C183" s="12">
        <f t="shared" si="4"/>
        <v>7731.1454562502995</v>
      </c>
      <c r="D183" s="12">
        <f t="shared" si="0"/>
        <v>6262.733364471118</v>
      </c>
      <c r="E183" s="12">
        <f t="shared" si="1"/>
        <v>1468.412091779182</v>
      </c>
      <c r="F183" s="12">
        <f t="shared" si="2"/>
        <v>794689.31669690087</v>
      </c>
      <c r="G183" s="13">
        <f t="shared" si="3"/>
        <v>705310.68330310006</v>
      </c>
    </row>
    <row r="184" spans="1:7" x14ac:dyDescent="0.2">
      <c r="A184" s="10">
        <v>127</v>
      </c>
      <c r="B184" s="11">
        <v>48305</v>
      </c>
      <c r="C184" s="12">
        <f t="shared" si="4"/>
        <v>7731.1454562502995</v>
      </c>
      <c r="D184" s="12">
        <f t="shared" si="0"/>
        <v>6274.2150423059811</v>
      </c>
      <c r="E184" s="12">
        <f t="shared" si="1"/>
        <v>1456.9304139443182</v>
      </c>
      <c r="F184" s="12">
        <f t="shared" si="2"/>
        <v>788415.10165459488</v>
      </c>
      <c r="G184" s="13">
        <f t="shared" si="3"/>
        <v>711584.89834540605</v>
      </c>
    </row>
    <row r="185" spans="1:7" x14ac:dyDescent="0.2">
      <c r="A185" s="10">
        <v>128</v>
      </c>
      <c r="B185" s="11">
        <v>48335</v>
      </c>
      <c r="C185" s="12">
        <f t="shared" si="4"/>
        <v>7731.1454562502995</v>
      </c>
      <c r="D185" s="12">
        <f t="shared" si="0"/>
        <v>6285.7177698835421</v>
      </c>
      <c r="E185" s="12">
        <f t="shared" si="1"/>
        <v>1445.4276863667571</v>
      </c>
      <c r="F185" s="12">
        <f t="shared" si="2"/>
        <v>782129.38388471131</v>
      </c>
      <c r="G185" s="13">
        <f t="shared" si="3"/>
        <v>717870.61611528962</v>
      </c>
    </row>
    <row r="186" spans="1:7" x14ac:dyDescent="0.2">
      <c r="A186" s="10">
        <v>129</v>
      </c>
      <c r="B186" s="11">
        <v>48366</v>
      </c>
      <c r="C186" s="12">
        <f t="shared" si="4"/>
        <v>7731.1454562502995</v>
      </c>
      <c r="D186" s="12">
        <f t="shared" si="0"/>
        <v>6297.2415857949954</v>
      </c>
      <c r="E186" s="12">
        <f t="shared" si="1"/>
        <v>1433.9038704553041</v>
      </c>
      <c r="F186" s="12">
        <f t="shared" si="2"/>
        <v>775832.14229891635</v>
      </c>
      <c r="G186" s="13">
        <f t="shared" si="3"/>
        <v>724167.85770108458</v>
      </c>
    </row>
    <row r="187" spans="1:7" x14ac:dyDescent="0.2">
      <c r="A187" s="10">
        <v>130</v>
      </c>
      <c r="B187" s="11">
        <v>48396</v>
      </c>
      <c r="C187" s="12">
        <f t="shared" si="4"/>
        <v>7731.1454562502995</v>
      </c>
      <c r="D187" s="12">
        <f t="shared" si="0"/>
        <v>6308.786528702286</v>
      </c>
      <c r="E187" s="12">
        <f t="shared" si="1"/>
        <v>1422.3589275480133</v>
      </c>
      <c r="F187" s="12">
        <f t="shared" si="2"/>
        <v>769523.35577021411</v>
      </c>
      <c r="G187" s="13">
        <f t="shared" si="3"/>
        <v>730476.64422978682</v>
      </c>
    </row>
    <row r="188" spans="1:7" x14ac:dyDescent="0.2">
      <c r="A188" s="10">
        <v>131</v>
      </c>
      <c r="B188" s="11">
        <v>48427</v>
      </c>
      <c r="C188" s="12">
        <f t="shared" si="4"/>
        <v>7731.1454562502995</v>
      </c>
      <c r="D188" s="12">
        <f t="shared" si="0"/>
        <v>6320.3526373382401</v>
      </c>
      <c r="E188" s="12">
        <f t="shared" si="1"/>
        <v>1410.7928189120591</v>
      </c>
      <c r="F188" s="12">
        <f t="shared" si="2"/>
        <v>763203.00313287589</v>
      </c>
      <c r="G188" s="13">
        <f t="shared" si="3"/>
        <v>736796.99686712504</v>
      </c>
    </row>
    <row r="189" spans="1:7" x14ac:dyDescent="0.2">
      <c r="A189" s="10">
        <v>132</v>
      </c>
      <c r="B189" s="11">
        <v>48458</v>
      </c>
      <c r="C189" s="12">
        <f t="shared" si="4"/>
        <v>7731.1454562502995</v>
      </c>
      <c r="D189" s="12">
        <f t="shared" si="0"/>
        <v>6331.939950506694</v>
      </c>
      <c r="E189" s="12">
        <f t="shared" si="1"/>
        <v>1399.2055057436057</v>
      </c>
      <c r="F189" s="12">
        <f t="shared" si="2"/>
        <v>756871.06318236922</v>
      </c>
      <c r="G189" s="13">
        <f t="shared" si="3"/>
        <v>743128.93681763171</v>
      </c>
    </row>
    <row r="190" spans="1:7" x14ac:dyDescent="0.2">
      <c r="A190" s="10">
        <v>133</v>
      </c>
      <c r="B190" s="11">
        <v>48488</v>
      </c>
      <c r="C190" s="12">
        <f t="shared" si="4"/>
        <v>7731.1454562502995</v>
      </c>
      <c r="D190" s="12">
        <f t="shared" si="0"/>
        <v>6343.5485070826226</v>
      </c>
      <c r="E190" s="12">
        <f t="shared" si="1"/>
        <v>1387.5969491676769</v>
      </c>
      <c r="F190" s="12">
        <f t="shared" si="2"/>
        <v>750527.5146752866</v>
      </c>
      <c r="G190" s="13">
        <f t="shared" si="3"/>
        <v>749472.48532471433</v>
      </c>
    </row>
    <row r="191" spans="1:7" x14ac:dyDescent="0.2">
      <c r="A191" s="10">
        <v>134</v>
      </c>
      <c r="B191" s="11">
        <v>48519</v>
      </c>
      <c r="C191" s="12">
        <f t="shared" si="4"/>
        <v>7731.1454562502995</v>
      </c>
      <c r="D191" s="12">
        <f t="shared" si="0"/>
        <v>6355.1783460122742</v>
      </c>
      <c r="E191" s="12">
        <f t="shared" si="1"/>
        <v>1375.9671102380255</v>
      </c>
      <c r="F191" s="12">
        <f t="shared" si="2"/>
        <v>744172.33632927435</v>
      </c>
      <c r="G191" s="13">
        <f t="shared" si="3"/>
        <v>755827.66367072659</v>
      </c>
    </row>
    <row r="192" spans="1:7" x14ac:dyDescent="0.2">
      <c r="A192" s="10">
        <v>135</v>
      </c>
      <c r="B192" s="11">
        <v>48549</v>
      </c>
      <c r="C192" s="12">
        <f t="shared" si="4"/>
        <v>7731.1454562502995</v>
      </c>
      <c r="D192" s="12">
        <f t="shared" si="0"/>
        <v>6366.8295063132964</v>
      </c>
      <c r="E192" s="12">
        <f t="shared" si="1"/>
        <v>1364.3159499370029</v>
      </c>
      <c r="F192" s="12">
        <f t="shared" si="2"/>
        <v>737805.50682296103</v>
      </c>
      <c r="G192" s="13">
        <f t="shared" si="3"/>
        <v>762194.4931770399</v>
      </c>
    </row>
    <row r="193" spans="1:7" x14ac:dyDescent="0.2">
      <c r="A193" s="10">
        <v>136</v>
      </c>
      <c r="B193" s="11">
        <v>48580</v>
      </c>
      <c r="C193" s="12">
        <f t="shared" si="4"/>
        <v>7731.1454562502995</v>
      </c>
      <c r="D193" s="12">
        <f t="shared" si="0"/>
        <v>6378.502027074871</v>
      </c>
      <c r="E193" s="12">
        <f t="shared" si="1"/>
        <v>1352.6434291754285</v>
      </c>
      <c r="F193" s="12">
        <f t="shared" si="2"/>
        <v>731427.00479588611</v>
      </c>
      <c r="G193" s="13">
        <f t="shared" si="3"/>
        <v>768572.99520411482</v>
      </c>
    </row>
    <row r="194" spans="1:7" x14ac:dyDescent="0.2">
      <c r="A194" s="10">
        <v>137</v>
      </c>
      <c r="B194" s="11">
        <v>48611</v>
      </c>
      <c r="C194" s="12">
        <f t="shared" si="4"/>
        <v>7731.1454562502995</v>
      </c>
      <c r="D194" s="12">
        <f t="shared" si="0"/>
        <v>6390.1959474578416</v>
      </c>
      <c r="E194" s="12">
        <f t="shared" si="1"/>
        <v>1340.9495087924579</v>
      </c>
      <c r="F194" s="12">
        <f t="shared" si="2"/>
        <v>725036.80884842831</v>
      </c>
      <c r="G194" s="13">
        <f t="shared" si="3"/>
        <v>774963.19115157262</v>
      </c>
    </row>
    <row r="195" spans="1:7" x14ac:dyDescent="0.2">
      <c r="A195" s="10">
        <v>138</v>
      </c>
      <c r="B195" s="11">
        <v>48639</v>
      </c>
      <c r="C195" s="12">
        <f t="shared" si="4"/>
        <v>7731.1454562502995</v>
      </c>
      <c r="D195" s="12">
        <f t="shared" si="0"/>
        <v>6401.9113066948476</v>
      </c>
      <c r="E195" s="12">
        <f t="shared" si="1"/>
        <v>1329.2341495554519</v>
      </c>
      <c r="F195" s="12">
        <f t="shared" si="2"/>
        <v>718634.89754173346</v>
      </c>
      <c r="G195" s="13">
        <f t="shared" si="3"/>
        <v>781365.10245826747</v>
      </c>
    </row>
    <row r="196" spans="1:7" x14ac:dyDescent="0.2">
      <c r="A196" s="10">
        <v>139</v>
      </c>
      <c r="B196" s="11">
        <v>48670</v>
      </c>
      <c r="C196" s="12">
        <f t="shared" si="4"/>
        <v>7731.1454562502995</v>
      </c>
      <c r="D196" s="12">
        <f t="shared" si="0"/>
        <v>6413.6481440904554</v>
      </c>
      <c r="E196" s="12">
        <f t="shared" si="1"/>
        <v>1317.4973121598446</v>
      </c>
      <c r="F196" s="12">
        <f t="shared" si="2"/>
        <v>712221.24939764303</v>
      </c>
      <c r="G196" s="13">
        <f t="shared" si="3"/>
        <v>787778.7506023579</v>
      </c>
    </row>
    <row r="197" spans="1:7" x14ac:dyDescent="0.2">
      <c r="A197" s="10">
        <v>140</v>
      </c>
      <c r="B197" s="11">
        <v>48700</v>
      </c>
      <c r="C197" s="12">
        <f t="shared" si="4"/>
        <v>7731.1454562502995</v>
      </c>
      <c r="D197" s="12">
        <f t="shared" si="0"/>
        <v>6425.4064990212873</v>
      </c>
      <c r="E197" s="12">
        <f t="shared" si="1"/>
        <v>1305.7389572290122</v>
      </c>
      <c r="F197" s="12">
        <f t="shared" si="2"/>
        <v>705795.84289862169</v>
      </c>
      <c r="G197" s="13">
        <f t="shared" si="3"/>
        <v>794204.15710137924</v>
      </c>
    </row>
    <row r="198" spans="1:7" x14ac:dyDescent="0.2">
      <c r="A198" s="10">
        <v>141</v>
      </c>
      <c r="B198" s="11">
        <v>48731</v>
      </c>
      <c r="C198" s="12">
        <f t="shared" si="4"/>
        <v>7731.1454562502995</v>
      </c>
      <c r="D198" s="12">
        <f t="shared" si="0"/>
        <v>6437.1864109361595</v>
      </c>
      <c r="E198" s="12">
        <f t="shared" si="1"/>
        <v>1293.9590453141398</v>
      </c>
      <c r="F198" s="12">
        <f t="shared" si="2"/>
        <v>699358.65648768551</v>
      </c>
      <c r="G198" s="13">
        <f t="shared" si="3"/>
        <v>800641.34351231542</v>
      </c>
    </row>
    <row r="199" spans="1:7" x14ac:dyDescent="0.2">
      <c r="A199" s="10">
        <v>142</v>
      </c>
      <c r="B199" s="11">
        <v>48761</v>
      </c>
      <c r="C199" s="12">
        <f t="shared" si="4"/>
        <v>7731.1454562502995</v>
      </c>
      <c r="D199" s="12">
        <f t="shared" si="0"/>
        <v>6448.9879193562092</v>
      </c>
      <c r="E199" s="12">
        <f t="shared" si="1"/>
        <v>1282.1575368940901</v>
      </c>
      <c r="F199" s="12">
        <f t="shared" si="2"/>
        <v>692909.6685683293</v>
      </c>
      <c r="G199" s="13">
        <f t="shared" si="3"/>
        <v>807090.33143167163</v>
      </c>
    </row>
    <row r="200" spans="1:7" x14ac:dyDescent="0.2">
      <c r="A200" s="10">
        <v>143</v>
      </c>
      <c r="B200" s="11">
        <v>48792</v>
      </c>
      <c r="C200" s="12">
        <f t="shared" si="4"/>
        <v>7731.1454562502995</v>
      </c>
      <c r="D200" s="12">
        <f t="shared" si="0"/>
        <v>6460.8110638750295</v>
      </c>
      <c r="E200" s="12">
        <f t="shared" si="1"/>
        <v>1270.3343923752705</v>
      </c>
      <c r="F200" s="12">
        <f t="shared" si="2"/>
        <v>686448.85750445432</v>
      </c>
      <c r="G200" s="13">
        <f t="shared" si="3"/>
        <v>813551.14249554661</v>
      </c>
    </row>
    <row r="201" spans="1:7" x14ac:dyDescent="0.2">
      <c r="A201" s="10">
        <v>144</v>
      </c>
      <c r="B201" s="11">
        <v>48823</v>
      </c>
      <c r="C201" s="12">
        <f t="shared" si="4"/>
        <v>7731.1454562502995</v>
      </c>
      <c r="D201" s="12">
        <f t="shared" si="0"/>
        <v>6472.6558841587994</v>
      </c>
      <c r="E201" s="12">
        <f t="shared" si="1"/>
        <v>1258.4895720914997</v>
      </c>
      <c r="F201" s="12">
        <f t="shared" si="2"/>
        <v>679976.20162029553</v>
      </c>
      <c r="G201" s="13">
        <f t="shared" si="3"/>
        <v>820023.7983797054</v>
      </c>
    </row>
    <row r="202" spans="1:7" x14ac:dyDescent="0.2">
      <c r="A202" s="10">
        <v>145</v>
      </c>
      <c r="B202" s="11">
        <v>48853</v>
      </c>
      <c r="C202" s="12">
        <f t="shared" si="4"/>
        <v>7731.1454562502995</v>
      </c>
      <c r="D202" s="12">
        <f t="shared" si="0"/>
        <v>6484.5224199464246</v>
      </c>
      <c r="E202" s="12">
        <f t="shared" si="1"/>
        <v>1246.6230363038751</v>
      </c>
      <c r="F202" s="12">
        <f t="shared" si="2"/>
        <v>673491.67920034914</v>
      </c>
      <c r="G202" s="13">
        <f t="shared" si="3"/>
        <v>826508.32079965179</v>
      </c>
    </row>
    <row r="203" spans="1:7" x14ac:dyDescent="0.2">
      <c r="A203" s="10">
        <v>146</v>
      </c>
      <c r="B203" s="11">
        <v>48884</v>
      </c>
      <c r="C203" s="12">
        <f t="shared" si="4"/>
        <v>7731.1454562502995</v>
      </c>
      <c r="D203" s="12">
        <f t="shared" si="0"/>
        <v>6496.4107110496598</v>
      </c>
      <c r="E203" s="12">
        <f t="shared" si="1"/>
        <v>1234.73474520064</v>
      </c>
      <c r="F203" s="12">
        <f t="shared" si="2"/>
        <v>666995.26848929946</v>
      </c>
      <c r="G203" s="13">
        <f t="shared" si="3"/>
        <v>833004.73151070147</v>
      </c>
    </row>
    <row r="204" spans="1:7" x14ac:dyDescent="0.2">
      <c r="A204" s="10">
        <v>147</v>
      </c>
      <c r="B204" s="11">
        <v>48914</v>
      </c>
      <c r="C204" s="12">
        <f t="shared" si="4"/>
        <v>7731.1454562502995</v>
      </c>
      <c r="D204" s="12">
        <f t="shared" si="0"/>
        <v>6508.3207973532508</v>
      </c>
      <c r="E204" s="12">
        <f t="shared" si="1"/>
        <v>1222.8246588970489</v>
      </c>
      <c r="F204" s="12">
        <f t="shared" si="2"/>
        <v>660486.94769194617</v>
      </c>
      <c r="G204" s="13">
        <f t="shared" si="3"/>
        <v>839513.05230805476</v>
      </c>
    </row>
    <row r="205" spans="1:7" x14ac:dyDescent="0.2">
      <c r="A205" s="10">
        <v>148</v>
      </c>
      <c r="B205" s="11">
        <v>48945</v>
      </c>
      <c r="C205" s="12">
        <f t="shared" si="4"/>
        <v>7731.1454562502995</v>
      </c>
      <c r="D205" s="12">
        <f t="shared" si="0"/>
        <v>6520.2527188150652</v>
      </c>
      <c r="E205" s="12">
        <f t="shared" si="1"/>
        <v>1210.8927374352347</v>
      </c>
      <c r="F205" s="12">
        <f t="shared" si="2"/>
        <v>653966.69497313106</v>
      </c>
      <c r="G205" s="13">
        <f t="shared" si="3"/>
        <v>846033.30502686987</v>
      </c>
    </row>
    <row r="206" spans="1:7" x14ac:dyDescent="0.2">
      <c r="A206" s="10">
        <v>149</v>
      </c>
      <c r="B206" s="11">
        <v>48976</v>
      </c>
      <c r="C206" s="12">
        <f t="shared" si="4"/>
        <v>7731.1454562502995</v>
      </c>
      <c r="D206" s="12">
        <f t="shared" si="0"/>
        <v>6532.2065154662259</v>
      </c>
      <c r="E206" s="12">
        <f t="shared" si="1"/>
        <v>1198.9389407840736</v>
      </c>
      <c r="F206" s="12">
        <f t="shared" si="2"/>
        <v>647434.48845766485</v>
      </c>
      <c r="G206" s="13">
        <f t="shared" si="3"/>
        <v>852565.51154233608</v>
      </c>
    </row>
    <row r="207" spans="1:7" x14ac:dyDescent="0.2">
      <c r="A207" s="10">
        <v>150</v>
      </c>
      <c r="B207" s="11">
        <v>49004</v>
      </c>
      <c r="C207" s="12">
        <f t="shared" si="4"/>
        <v>7731.1454562502995</v>
      </c>
      <c r="D207" s="12">
        <f t="shared" si="0"/>
        <v>6544.1822274112474</v>
      </c>
      <c r="E207" s="12">
        <f t="shared" si="1"/>
        <v>1186.9632288390521</v>
      </c>
      <c r="F207" s="12">
        <f t="shared" si="2"/>
        <v>640890.30623025366</v>
      </c>
      <c r="G207" s="13">
        <f t="shared" si="3"/>
        <v>859109.69376974727</v>
      </c>
    </row>
    <row r="208" spans="1:7" x14ac:dyDescent="0.2">
      <c r="A208" s="10">
        <v>151</v>
      </c>
      <c r="B208" s="11">
        <v>49035</v>
      </c>
      <c r="C208" s="12">
        <f t="shared" si="4"/>
        <v>7731.1454562502995</v>
      </c>
      <c r="D208" s="12">
        <f t="shared" si="0"/>
        <v>6556.1798948281676</v>
      </c>
      <c r="E208" s="12">
        <f t="shared" si="1"/>
        <v>1174.9655614221317</v>
      </c>
      <c r="F208" s="12">
        <f t="shared" si="2"/>
        <v>634334.12633542554</v>
      </c>
      <c r="G208" s="13">
        <f t="shared" si="3"/>
        <v>865665.8736645754</v>
      </c>
    </row>
    <row r="209" spans="1:7" x14ac:dyDescent="0.2">
      <c r="A209" s="10">
        <v>152</v>
      </c>
      <c r="B209" s="11">
        <v>49065</v>
      </c>
      <c r="C209" s="12">
        <f t="shared" si="4"/>
        <v>7731.1454562502995</v>
      </c>
      <c r="D209" s="12">
        <f t="shared" si="0"/>
        <v>6568.1995579686863</v>
      </c>
      <c r="E209" s="12">
        <f t="shared" si="1"/>
        <v>1162.9458982816134</v>
      </c>
      <c r="F209" s="12">
        <f t="shared" si="2"/>
        <v>627765.92677745689</v>
      </c>
      <c r="G209" s="13">
        <f t="shared" si="3"/>
        <v>872234.07322254404</v>
      </c>
    </row>
    <row r="210" spans="1:7" x14ac:dyDescent="0.2">
      <c r="A210" s="10">
        <v>153</v>
      </c>
      <c r="B210" s="11">
        <v>49096</v>
      </c>
      <c r="C210" s="12">
        <f t="shared" si="4"/>
        <v>7731.1454562502995</v>
      </c>
      <c r="D210" s="12">
        <f t="shared" si="0"/>
        <v>6580.2412571582954</v>
      </c>
      <c r="E210" s="12">
        <f t="shared" si="1"/>
        <v>1150.9041990920043</v>
      </c>
      <c r="F210" s="12">
        <f t="shared" si="2"/>
        <v>621185.68552029855</v>
      </c>
      <c r="G210" s="13">
        <f t="shared" si="3"/>
        <v>878814.31447970239</v>
      </c>
    </row>
    <row r="211" spans="1:7" x14ac:dyDescent="0.2">
      <c r="A211" s="10">
        <v>154</v>
      </c>
      <c r="B211" s="11">
        <v>49126</v>
      </c>
      <c r="C211" s="12">
        <f t="shared" si="4"/>
        <v>7731.1454562502995</v>
      </c>
      <c r="D211" s="12">
        <f t="shared" si="0"/>
        <v>6592.3050327964193</v>
      </c>
      <c r="E211" s="12">
        <f t="shared" si="1"/>
        <v>1138.8404234538807</v>
      </c>
      <c r="F211" s="12">
        <f t="shared" si="2"/>
        <v>614593.38048750209</v>
      </c>
      <c r="G211" s="13">
        <f t="shared" si="3"/>
        <v>885406.61951249884</v>
      </c>
    </row>
    <row r="212" spans="1:7" x14ac:dyDescent="0.2">
      <c r="A212" s="10">
        <v>155</v>
      </c>
      <c r="B212" s="11">
        <v>49157</v>
      </c>
      <c r="C212" s="12">
        <f t="shared" si="4"/>
        <v>7731.1454562502995</v>
      </c>
      <c r="D212" s="12">
        <f t="shared" si="0"/>
        <v>6604.3909253565453</v>
      </c>
      <c r="E212" s="12">
        <f t="shared" si="1"/>
        <v>1126.7545308937538</v>
      </c>
      <c r="F212" s="12">
        <f t="shared" si="2"/>
        <v>607988.98956214555</v>
      </c>
      <c r="G212" s="13">
        <f t="shared" si="3"/>
        <v>892011.01043785538</v>
      </c>
    </row>
    <row r="213" spans="1:7" x14ac:dyDescent="0.2">
      <c r="A213" s="10">
        <v>156</v>
      </c>
      <c r="B213" s="11">
        <v>49188</v>
      </c>
      <c r="C213" s="12">
        <f t="shared" si="4"/>
        <v>7731.1454562502995</v>
      </c>
      <c r="D213" s="12">
        <f t="shared" si="0"/>
        <v>6616.4989753863665</v>
      </c>
      <c r="E213" s="12">
        <f t="shared" si="1"/>
        <v>1114.6464808639334</v>
      </c>
      <c r="F213" s="12">
        <f t="shared" si="2"/>
        <v>601372.49058675917</v>
      </c>
      <c r="G213" s="13">
        <f t="shared" si="3"/>
        <v>898627.50941324176</v>
      </c>
    </row>
    <row r="214" spans="1:7" x14ac:dyDescent="0.2">
      <c r="A214" s="10">
        <v>157</v>
      </c>
      <c r="B214" s="11">
        <v>49218</v>
      </c>
      <c r="C214" s="12">
        <f t="shared" si="4"/>
        <v>7731.1454562502995</v>
      </c>
      <c r="D214" s="12">
        <f t="shared" si="0"/>
        <v>6628.6292235079072</v>
      </c>
      <c r="E214" s="12">
        <f t="shared" si="1"/>
        <v>1102.5162327423918</v>
      </c>
      <c r="F214" s="12">
        <f t="shared" si="2"/>
        <v>594743.86136325123</v>
      </c>
      <c r="G214" s="13">
        <f t="shared" si="3"/>
        <v>905256.1386367497</v>
      </c>
    </row>
    <row r="215" spans="1:7" x14ac:dyDescent="0.2">
      <c r="A215" s="10">
        <v>158</v>
      </c>
      <c r="B215" s="11">
        <v>49249</v>
      </c>
      <c r="C215" s="12">
        <f t="shared" si="4"/>
        <v>7731.1454562502995</v>
      </c>
      <c r="D215" s="12">
        <f t="shared" si="0"/>
        <v>6640.781710417672</v>
      </c>
      <c r="E215" s="12">
        <f t="shared" si="1"/>
        <v>1090.3637458326273</v>
      </c>
      <c r="F215" s="12">
        <f t="shared" si="2"/>
        <v>588103.07965283352</v>
      </c>
      <c r="G215" s="13">
        <f t="shared" si="3"/>
        <v>911896.92034716741</v>
      </c>
    </row>
    <row r="216" spans="1:7" x14ac:dyDescent="0.2">
      <c r="A216" s="10">
        <v>159</v>
      </c>
      <c r="B216" s="11">
        <v>49279</v>
      </c>
      <c r="C216" s="12">
        <f t="shared" si="4"/>
        <v>7731.1454562502995</v>
      </c>
      <c r="D216" s="12">
        <f t="shared" si="0"/>
        <v>6652.9564768867713</v>
      </c>
      <c r="E216" s="12">
        <f t="shared" si="1"/>
        <v>1078.188979363528</v>
      </c>
      <c r="F216" s="12">
        <f t="shared" si="2"/>
        <v>581450.12317594676</v>
      </c>
      <c r="G216" s="13">
        <f t="shared" si="3"/>
        <v>918549.87682405417</v>
      </c>
    </row>
    <row r="217" spans="1:7" x14ac:dyDescent="0.2">
      <c r="A217" s="10">
        <v>160</v>
      </c>
      <c r="B217" s="11">
        <v>49310</v>
      </c>
      <c r="C217" s="12">
        <f t="shared" si="4"/>
        <v>7731.1454562502995</v>
      </c>
      <c r="D217" s="12">
        <f t="shared" si="0"/>
        <v>6665.1535637610641</v>
      </c>
      <c r="E217" s="12">
        <f t="shared" si="1"/>
        <v>1065.9918924892356</v>
      </c>
      <c r="F217" s="12">
        <f t="shared" si="2"/>
        <v>574784.96961218573</v>
      </c>
      <c r="G217" s="13">
        <f t="shared" si="3"/>
        <v>925215.0303878152</v>
      </c>
    </row>
    <row r="218" spans="1:7" x14ac:dyDescent="0.2">
      <c r="A218" s="10">
        <v>161</v>
      </c>
      <c r="B218" s="11">
        <v>49341</v>
      </c>
      <c r="C218" s="12">
        <f t="shared" si="4"/>
        <v>7731.1454562502995</v>
      </c>
      <c r="D218" s="12">
        <f t="shared" si="0"/>
        <v>6677.3730119612919</v>
      </c>
      <c r="E218" s="12">
        <f t="shared" si="1"/>
        <v>1053.7724442890071</v>
      </c>
      <c r="F218" s="12">
        <f t="shared" si="2"/>
        <v>568107.59660022438</v>
      </c>
      <c r="G218" s="13">
        <f t="shared" si="3"/>
        <v>931892.40339977655</v>
      </c>
    </row>
    <row r="219" spans="1:7" x14ac:dyDescent="0.2">
      <c r="A219" s="10">
        <v>162</v>
      </c>
      <c r="B219" s="11">
        <v>49369</v>
      </c>
      <c r="C219" s="12">
        <f t="shared" si="4"/>
        <v>7731.1454562502995</v>
      </c>
      <c r="D219" s="12">
        <f t="shared" si="0"/>
        <v>6689.6148624832213</v>
      </c>
      <c r="E219" s="12">
        <f t="shared" si="1"/>
        <v>1041.530593767078</v>
      </c>
      <c r="F219" s="12">
        <f t="shared" si="2"/>
        <v>561417.98173774115</v>
      </c>
      <c r="G219" s="13">
        <f t="shared" si="3"/>
        <v>938582.01826225978</v>
      </c>
    </row>
    <row r="220" spans="1:7" x14ac:dyDescent="0.2">
      <c r="A220" s="10">
        <v>163</v>
      </c>
      <c r="B220" s="11">
        <v>49400</v>
      </c>
      <c r="C220" s="12">
        <f t="shared" si="4"/>
        <v>7731.1454562502995</v>
      </c>
      <c r="D220" s="12">
        <f t="shared" si="0"/>
        <v>6701.8791563977738</v>
      </c>
      <c r="E220" s="12">
        <f t="shared" si="1"/>
        <v>1029.2662998525254</v>
      </c>
      <c r="F220" s="12">
        <f t="shared" si="2"/>
        <v>554716.10258134338</v>
      </c>
      <c r="G220" s="13">
        <f t="shared" si="3"/>
        <v>945283.89741865755</v>
      </c>
    </row>
    <row r="221" spans="1:7" x14ac:dyDescent="0.2">
      <c r="A221" s="10">
        <v>164</v>
      </c>
      <c r="B221" s="11">
        <v>49430</v>
      </c>
      <c r="C221" s="12">
        <f t="shared" si="4"/>
        <v>7731.1454562502995</v>
      </c>
      <c r="D221" s="12">
        <f t="shared" si="0"/>
        <v>6714.1659348511703</v>
      </c>
      <c r="E221" s="12">
        <f t="shared" si="1"/>
        <v>1016.9795213991296</v>
      </c>
      <c r="F221" s="12">
        <f t="shared" si="2"/>
        <v>548001.93664649222</v>
      </c>
      <c r="G221" s="13">
        <f t="shared" si="3"/>
        <v>951998.06335350871</v>
      </c>
    </row>
    <row r="222" spans="1:7" x14ac:dyDescent="0.2">
      <c r="A222" s="10">
        <v>165</v>
      </c>
      <c r="B222" s="11">
        <v>49461</v>
      </c>
      <c r="C222" s="12">
        <f t="shared" si="4"/>
        <v>7731.1454562502995</v>
      </c>
      <c r="D222" s="12">
        <f t="shared" si="0"/>
        <v>6726.4752390650638</v>
      </c>
      <c r="E222" s="12">
        <f t="shared" si="1"/>
        <v>1004.6702171852357</v>
      </c>
      <c r="F222" s="12">
        <f t="shared" si="2"/>
        <v>541275.46140742721</v>
      </c>
      <c r="G222" s="13">
        <f t="shared" si="3"/>
        <v>958724.53859257372</v>
      </c>
    </row>
    <row r="223" spans="1:7" x14ac:dyDescent="0.2">
      <c r="A223" s="10">
        <v>166</v>
      </c>
      <c r="B223" s="11">
        <v>49491</v>
      </c>
      <c r="C223" s="12">
        <f t="shared" si="4"/>
        <v>7731.1454562502995</v>
      </c>
      <c r="D223" s="12">
        <f t="shared" si="0"/>
        <v>6738.8071103366829</v>
      </c>
      <c r="E223" s="12">
        <f t="shared" si="1"/>
        <v>992.33834591361654</v>
      </c>
      <c r="F223" s="12">
        <f t="shared" si="2"/>
        <v>534536.65429709048</v>
      </c>
      <c r="G223" s="13">
        <f t="shared" si="3"/>
        <v>965463.34570291045</v>
      </c>
    </row>
    <row r="224" spans="1:7" x14ac:dyDescent="0.2">
      <c r="A224" s="10">
        <v>167</v>
      </c>
      <c r="B224" s="11">
        <v>49522</v>
      </c>
      <c r="C224" s="12">
        <f t="shared" si="4"/>
        <v>7731.1454562502995</v>
      </c>
      <c r="D224" s="12">
        <f t="shared" si="0"/>
        <v>6751.161590038967</v>
      </c>
      <c r="E224" s="12">
        <f t="shared" si="1"/>
        <v>979.9838662113325</v>
      </c>
      <c r="F224" s="12">
        <f t="shared" si="2"/>
        <v>527785.49270705157</v>
      </c>
      <c r="G224" s="13">
        <f t="shared" si="3"/>
        <v>972214.50729294936</v>
      </c>
    </row>
    <row r="225" spans="1:7" x14ac:dyDescent="0.2">
      <c r="A225" s="10">
        <v>168</v>
      </c>
      <c r="B225" s="11">
        <v>49553</v>
      </c>
      <c r="C225" s="12">
        <f t="shared" si="4"/>
        <v>7731.1454562502995</v>
      </c>
      <c r="D225" s="12">
        <f t="shared" si="0"/>
        <v>6763.5387196207048</v>
      </c>
      <c r="E225" s="12">
        <f t="shared" si="1"/>
        <v>967.60673662959448</v>
      </c>
      <c r="F225" s="12">
        <f t="shared" si="2"/>
        <v>521021.95398743084</v>
      </c>
      <c r="G225" s="13">
        <f t="shared" si="3"/>
        <v>978978.04601257003</v>
      </c>
    </row>
    <row r="226" spans="1:7" x14ac:dyDescent="0.2">
      <c r="A226" s="10">
        <v>169</v>
      </c>
      <c r="B226" s="11">
        <v>49583</v>
      </c>
      <c r="C226" s="12">
        <f t="shared" si="4"/>
        <v>7731.1454562502995</v>
      </c>
      <c r="D226" s="12">
        <f t="shared" si="0"/>
        <v>6775.9385406066758</v>
      </c>
      <c r="E226" s="12">
        <f t="shared" si="1"/>
        <v>955.20691564362323</v>
      </c>
      <c r="F226" s="12">
        <f t="shared" si="2"/>
        <v>514246.01544682414</v>
      </c>
      <c r="G226" s="13">
        <f t="shared" si="3"/>
        <v>985753.98455317668</v>
      </c>
    </row>
    <row r="227" spans="1:7" x14ac:dyDescent="0.2">
      <c r="A227" s="10">
        <v>170</v>
      </c>
      <c r="B227" s="11">
        <v>49614</v>
      </c>
      <c r="C227" s="12">
        <f t="shared" si="4"/>
        <v>7731.1454562502995</v>
      </c>
      <c r="D227" s="12">
        <f t="shared" si="0"/>
        <v>6788.3610945977889</v>
      </c>
      <c r="E227" s="12">
        <f t="shared" si="1"/>
        <v>942.78436165251094</v>
      </c>
      <c r="F227" s="12">
        <f t="shared" si="2"/>
        <v>507457.65435222635</v>
      </c>
      <c r="G227" s="13">
        <f t="shared" si="3"/>
        <v>992542.34564777452</v>
      </c>
    </row>
    <row r="228" spans="1:7" x14ac:dyDescent="0.2">
      <c r="A228" s="10">
        <v>171</v>
      </c>
      <c r="B228" s="11">
        <v>49644</v>
      </c>
      <c r="C228" s="12">
        <f t="shared" si="4"/>
        <v>7731.1454562502995</v>
      </c>
      <c r="D228" s="12">
        <f t="shared" si="0"/>
        <v>6800.8064232712177</v>
      </c>
      <c r="E228" s="12">
        <f t="shared" si="1"/>
        <v>930.33903297908159</v>
      </c>
      <c r="F228" s="12">
        <f t="shared" si="2"/>
        <v>500656.84792895516</v>
      </c>
      <c r="G228" s="13">
        <f t="shared" si="3"/>
        <v>999343.15207104571</v>
      </c>
    </row>
    <row r="229" spans="1:7" x14ac:dyDescent="0.2">
      <c r="A229" s="10">
        <v>172</v>
      </c>
      <c r="B229" s="11">
        <v>49675</v>
      </c>
      <c r="C229" s="12">
        <f t="shared" si="4"/>
        <v>7731.1454562502995</v>
      </c>
      <c r="D229" s="12">
        <f t="shared" si="0"/>
        <v>6813.2745683805488</v>
      </c>
      <c r="E229" s="12">
        <f t="shared" si="1"/>
        <v>917.87088786975107</v>
      </c>
      <c r="F229" s="12">
        <f t="shared" si="2"/>
        <v>493843.57336057461</v>
      </c>
      <c r="G229" s="13">
        <f t="shared" si="3"/>
        <v>1006156.4266394263</v>
      </c>
    </row>
    <row r="230" spans="1:7" x14ac:dyDescent="0.2">
      <c r="A230" s="10">
        <v>173</v>
      </c>
      <c r="B230" s="11">
        <v>49706</v>
      </c>
      <c r="C230" s="12">
        <f t="shared" si="4"/>
        <v>7731.1454562502995</v>
      </c>
      <c r="D230" s="12">
        <f t="shared" si="0"/>
        <v>6825.7655717559128</v>
      </c>
      <c r="E230" s="12">
        <f t="shared" si="1"/>
        <v>905.37988449438672</v>
      </c>
      <c r="F230" s="12">
        <f t="shared" si="2"/>
        <v>487017.80778881867</v>
      </c>
      <c r="G230" s="13">
        <f t="shared" si="3"/>
        <v>1012982.1922111822</v>
      </c>
    </row>
    <row r="231" spans="1:7" x14ac:dyDescent="0.2">
      <c r="A231" s="10">
        <v>174</v>
      </c>
      <c r="B231" s="11">
        <v>49735</v>
      </c>
      <c r="C231" s="12">
        <f t="shared" si="4"/>
        <v>7731.1454562502995</v>
      </c>
      <c r="D231" s="12">
        <f t="shared" si="0"/>
        <v>6838.2794753041317</v>
      </c>
      <c r="E231" s="12">
        <f t="shared" si="1"/>
        <v>892.8659809461675</v>
      </c>
      <c r="F231" s="12">
        <f t="shared" si="2"/>
        <v>480179.52831351454</v>
      </c>
      <c r="G231" s="13">
        <f t="shared" si="3"/>
        <v>1019820.4716864864</v>
      </c>
    </row>
    <row r="232" spans="1:7" x14ac:dyDescent="0.2">
      <c r="A232" s="10">
        <v>175</v>
      </c>
      <c r="B232" s="11">
        <v>49766</v>
      </c>
      <c r="C232" s="12">
        <f t="shared" si="4"/>
        <v>7731.1454562502995</v>
      </c>
      <c r="D232" s="12">
        <f t="shared" si="0"/>
        <v>6850.816321008856</v>
      </c>
      <c r="E232" s="12">
        <f t="shared" si="1"/>
        <v>880.32913524144328</v>
      </c>
      <c r="F232" s="12">
        <f t="shared" si="2"/>
        <v>473328.7119925057</v>
      </c>
      <c r="G232" s="13">
        <f t="shared" si="3"/>
        <v>1026671.2880074952</v>
      </c>
    </row>
    <row r="233" spans="1:7" x14ac:dyDescent="0.2">
      <c r="A233" s="10">
        <v>176</v>
      </c>
      <c r="B233" s="11">
        <v>49796</v>
      </c>
      <c r="C233" s="12">
        <f t="shared" si="4"/>
        <v>7731.1454562502995</v>
      </c>
      <c r="D233" s="12">
        <f t="shared" si="0"/>
        <v>6863.376150930706</v>
      </c>
      <c r="E233" s="12">
        <f t="shared" si="1"/>
        <v>867.76930531959374</v>
      </c>
      <c r="F233" s="12">
        <f t="shared" si="2"/>
        <v>466465.335841575</v>
      </c>
      <c r="G233" s="13">
        <f t="shared" si="3"/>
        <v>1033534.6641584259</v>
      </c>
    </row>
    <row r="234" spans="1:7" x14ac:dyDescent="0.2">
      <c r="A234" s="10">
        <v>177</v>
      </c>
      <c r="B234" s="11">
        <v>49827</v>
      </c>
      <c r="C234" s="12">
        <f t="shared" si="4"/>
        <v>7731.1454562502995</v>
      </c>
      <c r="D234" s="12">
        <f t="shared" si="0"/>
        <v>6875.9590072074116</v>
      </c>
      <c r="E234" s="12">
        <f t="shared" si="1"/>
        <v>855.18644904288749</v>
      </c>
      <c r="F234" s="12">
        <f t="shared" si="2"/>
        <v>459589.37683436758</v>
      </c>
      <c r="G234" s="13">
        <f t="shared" si="3"/>
        <v>1040410.6231656333</v>
      </c>
    </row>
    <row r="235" spans="1:7" x14ac:dyDescent="0.2">
      <c r="A235" s="10">
        <v>178</v>
      </c>
      <c r="B235" s="11">
        <v>49857</v>
      </c>
      <c r="C235" s="12">
        <f t="shared" si="4"/>
        <v>7731.1454562502995</v>
      </c>
      <c r="D235" s="12">
        <f t="shared" si="0"/>
        <v>6888.5649320539587</v>
      </c>
      <c r="E235" s="12">
        <f t="shared" si="1"/>
        <v>842.58052419634055</v>
      </c>
      <c r="F235" s="12">
        <f t="shared" si="2"/>
        <v>452700.81190231361</v>
      </c>
      <c r="G235" s="13">
        <f t="shared" si="3"/>
        <v>1047299.1880976872</v>
      </c>
    </row>
    <row r="236" spans="1:7" x14ac:dyDescent="0.2">
      <c r="A236" s="10">
        <v>179</v>
      </c>
      <c r="B236" s="11">
        <v>49888</v>
      </c>
      <c r="C236" s="12">
        <f t="shared" si="4"/>
        <v>7731.1454562502995</v>
      </c>
      <c r="D236" s="12">
        <f t="shared" si="0"/>
        <v>6901.1939677627242</v>
      </c>
      <c r="E236" s="12">
        <f t="shared" si="1"/>
        <v>829.95148848757492</v>
      </c>
      <c r="F236" s="12">
        <f t="shared" si="2"/>
        <v>445799.61793455086</v>
      </c>
      <c r="G236" s="13">
        <f t="shared" si="3"/>
        <v>1054200.3820654498</v>
      </c>
    </row>
    <row r="237" spans="1:7" x14ac:dyDescent="0.2">
      <c r="A237" s="10">
        <v>180</v>
      </c>
      <c r="B237" s="11">
        <v>49919</v>
      </c>
      <c r="C237" s="12">
        <f t="shared" si="4"/>
        <v>7731.1454562502995</v>
      </c>
      <c r="D237" s="12">
        <f t="shared" si="0"/>
        <v>6913.8461567036229</v>
      </c>
      <c r="E237" s="12">
        <f t="shared" si="1"/>
        <v>817.29929954667659</v>
      </c>
      <c r="F237" s="12">
        <f t="shared" si="2"/>
        <v>438885.77177784726</v>
      </c>
      <c r="G237" s="13">
        <f t="shared" si="3"/>
        <v>1061114.2282221534</v>
      </c>
    </row>
    <row r="238" spans="1:7" x14ac:dyDescent="0.2">
      <c r="A238" s="10">
        <v>181</v>
      </c>
      <c r="B238" s="11">
        <v>49949</v>
      </c>
      <c r="C238" s="12">
        <f t="shared" si="4"/>
        <v>7731.1454562502995</v>
      </c>
      <c r="D238" s="12">
        <f t="shared" si="0"/>
        <v>6926.5215413242458</v>
      </c>
      <c r="E238" s="12">
        <f t="shared" si="1"/>
        <v>804.62391492605332</v>
      </c>
      <c r="F238" s="12">
        <f t="shared" si="2"/>
        <v>431959.25023652299</v>
      </c>
      <c r="G238" s="13">
        <f t="shared" si="3"/>
        <v>1068040.7497634776</v>
      </c>
    </row>
    <row r="239" spans="1:7" x14ac:dyDescent="0.2">
      <c r="A239" s="10">
        <v>182</v>
      </c>
      <c r="B239" s="11">
        <v>49980</v>
      </c>
      <c r="C239" s="12">
        <f t="shared" si="4"/>
        <v>7731.1454562502995</v>
      </c>
      <c r="D239" s="12">
        <f t="shared" si="0"/>
        <v>6939.2201641500069</v>
      </c>
      <c r="E239" s="12">
        <f t="shared" si="1"/>
        <v>791.92529210029215</v>
      </c>
      <c r="F239" s="12">
        <f t="shared" si="2"/>
        <v>425020.03007237299</v>
      </c>
      <c r="G239" s="13">
        <f t="shared" si="3"/>
        <v>1074979.9699276276</v>
      </c>
    </row>
    <row r="240" spans="1:7" x14ac:dyDescent="0.2">
      <c r="A240" s="10">
        <v>183</v>
      </c>
      <c r="B240" s="11">
        <v>50010</v>
      </c>
      <c r="C240" s="12">
        <f t="shared" si="4"/>
        <v>7731.1454562502995</v>
      </c>
      <c r="D240" s="12">
        <f t="shared" si="0"/>
        <v>6951.9420677842827</v>
      </c>
      <c r="E240" s="12">
        <f t="shared" si="1"/>
        <v>779.20338846601715</v>
      </c>
      <c r="F240" s="12">
        <f t="shared" si="2"/>
        <v>418068.08800458873</v>
      </c>
      <c r="G240" s="13">
        <f t="shared" si="3"/>
        <v>1081931.9119954119</v>
      </c>
    </row>
    <row r="241" spans="1:7" x14ac:dyDescent="0.2">
      <c r="A241" s="10">
        <v>184</v>
      </c>
      <c r="B241" s="11">
        <v>50041</v>
      </c>
      <c r="C241" s="12">
        <f t="shared" si="4"/>
        <v>7731.1454562502995</v>
      </c>
      <c r="D241" s="12">
        <f t="shared" si="0"/>
        <v>6964.6872949085537</v>
      </c>
      <c r="E241" s="12">
        <f t="shared" si="1"/>
        <v>766.45816134174595</v>
      </c>
      <c r="F241" s="12">
        <f t="shared" si="2"/>
        <v>411103.40070968017</v>
      </c>
      <c r="G241" s="13">
        <f t="shared" si="3"/>
        <v>1088896.5992903204</v>
      </c>
    </row>
    <row r="242" spans="1:7" x14ac:dyDescent="0.2">
      <c r="A242" s="10">
        <v>185</v>
      </c>
      <c r="B242" s="11">
        <v>50072</v>
      </c>
      <c r="C242" s="12">
        <f t="shared" si="4"/>
        <v>7731.1454562502995</v>
      </c>
      <c r="D242" s="12">
        <f t="shared" si="0"/>
        <v>6977.4558882825522</v>
      </c>
      <c r="E242" s="12">
        <f t="shared" si="1"/>
        <v>753.68956796774694</v>
      </c>
      <c r="F242" s="12">
        <f t="shared" si="2"/>
        <v>404125.9448213976</v>
      </c>
      <c r="G242" s="13">
        <f t="shared" si="3"/>
        <v>1095874.0551786029</v>
      </c>
    </row>
    <row r="243" spans="1:7" x14ac:dyDescent="0.2">
      <c r="A243" s="10">
        <v>186</v>
      </c>
      <c r="B243" s="11">
        <v>50100</v>
      </c>
      <c r="C243" s="12">
        <f t="shared" si="4"/>
        <v>7731.1454562502995</v>
      </c>
      <c r="D243" s="12">
        <f t="shared" si="0"/>
        <v>6990.2478907444038</v>
      </c>
      <c r="E243" s="12">
        <f t="shared" si="1"/>
        <v>740.89756550589561</v>
      </c>
      <c r="F243" s="12">
        <f t="shared" si="2"/>
        <v>397135.69693065318</v>
      </c>
      <c r="G243" s="13">
        <f t="shared" si="3"/>
        <v>1102864.3030693473</v>
      </c>
    </row>
    <row r="244" spans="1:7" x14ac:dyDescent="0.2">
      <c r="A244" s="10">
        <v>187</v>
      </c>
      <c r="B244" s="11">
        <v>50131</v>
      </c>
      <c r="C244" s="12">
        <f t="shared" si="4"/>
        <v>7731.1454562502995</v>
      </c>
      <c r="D244" s="12">
        <f t="shared" si="0"/>
        <v>7003.0633452107686</v>
      </c>
      <c r="E244" s="12">
        <f t="shared" si="1"/>
        <v>728.08211103953079</v>
      </c>
      <c r="F244" s="12">
        <f t="shared" si="2"/>
        <v>390132.63358544244</v>
      </c>
      <c r="G244" s="13">
        <f t="shared" si="3"/>
        <v>1109867.3664145581</v>
      </c>
    </row>
    <row r="245" spans="1:7" x14ac:dyDescent="0.2">
      <c r="A245" s="10">
        <v>188</v>
      </c>
      <c r="B245" s="11">
        <v>50161</v>
      </c>
      <c r="C245" s="12">
        <f t="shared" si="4"/>
        <v>7731.1454562502995</v>
      </c>
      <c r="D245" s="12">
        <f t="shared" si="0"/>
        <v>7015.9022946769883</v>
      </c>
      <c r="E245" s="12">
        <f t="shared" si="1"/>
        <v>715.24316157331111</v>
      </c>
      <c r="F245" s="12">
        <f t="shared" si="2"/>
        <v>383116.73129076546</v>
      </c>
      <c r="G245" s="13">
        <f t="shared" si="3"/>
        <v>1116883.2687092351</v>
      </c>
    </row>
    <row r="246" spans="1:7" x14ac:dyDescent="0.2">
      <c r="A246" s="10">
        <v>189</v>
      </c>
      <c r="B246" s="11">
        <v>50192</v>
      </c>
      <c r="C246" s="12">
        <f t="shared" si="4"/>
        <v>7731.1454562502995</v>
      </c>
      <c r="D246" s="12">
        <f t="shared" si="0"/>
        <v>7028.7647822172294</v>
      </c>
      <c r="E246" s="12">
        <f t="shared" si="1"/>
        <v>702.38067403307002</v>
      </c>
      <c r="F246" s="12">
        <f t="shared" si="2"/>
        <v>376087.96650854824</v>
      </c>
      <c r="G246" s="13">
        <f t="shared" si="3"/>
        <v>1123912.0334914525</v>
      </c>
    </row>
    <row r="247" spans="1:7" x14ac:dyDescent="0.2">
      <c r="A247" s="10">
        <v>190</v>
      </c>
      <c r="B247" s="11">
        <v>50222</v>
      </c>
      <c r="C247" s="12">
        <f t="shared" si="4"/>
        <v>7731.1454562502995</v>
      </c>
      <c r="D247" s="12">
        <f t="shared" si="0"/>
        <v>7041.6508509846281</v>
      </c>
      <c r="E247" s="12">
        <f t="shared" si="1"/>
        <v>689.49460526567179</v>
      </c>
      <c r="F247" s="12">
        <f t="shared" si="2"/>
        <v>369046.31565756362</v>
      </c>
      <c r="G247" s="13">
        <f t="shared" si="3"/>
        <v>1130953.6843424372</v>
      </c>
    </row>
    <row r="248" spans="1:7" x14ac:dyDescent="0.2">
      <c r="A248" s="10">
        <v>191</v>
      </c>
      <c r="B248" s="11">
        <v>50253</v>
      </c>
      <c r="C248" s="12">
        <f t="shared" si="4"/>
        <v>7731.1454562502995</v>
      </c>
      <c r="D248" s="12">
        <f t="shared" si="0"/>
        <v>7054.5605442114329</v>
      </c>
      <c r="E248" s="12">
        <f t="shared" si="1"/>
        <v>676.58491203886661</v>
      </c>
      <c r="F248" s="12">
        <f t="shared" si="2"/>
        <v>361991.75511335221</v>
      </c>
      <c r="G248" s="13">
        <f t="shared" si="3"/>
        <v>1138008.2448866486</v>
      </c>
    </row>
    <row r="249" spans="1:7" x14ac:dyDescent="0.2">
      <c r="A249" s="10">
        <v>192</v>
      </c>
      <c r="B249" s="11">
        <v>50284</v>
      </c>
      <c r="C249" s="12">
        <f t="shared" si="4"/>
        <v>7731.1454562502995</v>
      </c>
      <c r="D249" s="12">
        <f t="shared" si="0"/>
        <v>7067.493905209154</v>
      </c>
      <c r="E249" s="12">
        <f t="shared" si="1"/>
        <v>663.65155104114569</v>
      </c>
      <c r="F249" s="12">
        <f t="shared" si="2"/>
        <v>354924.26120814303</v>
      </c>
      <c r="G249" s="13">
        <f t="shared" si="3"/>
        <v>1145075.7387918578</v>
      </c>
    </row>
    <row r="250" spans="1:7" x14ac:dyDescent="0.2">
      <c r="A250" s="10">
        <v>193</v>
      </c>
      <c r="B250" s="11">
        <v>50314</v>
      </c>
      <c r="C250" s="12">
        <f t="shared" si="4"/>
        <v>7731.1454562502995</v>
      </c>
      <c r="D250" s="12">
        <f t="shared" si="0"/>
        <v>7080.4509773687041</v>
      </c>
      <c r="E250" s="12">
        <f t="shared" si="1"/>
        <v>650.6944788815955</v>
      </c>
      <c r="F250" s="12">
        <f t="shared" si="2"/>
        <v>347843.81023077434</v>
      </c>
      <c r="G250" s="13">
        <f t="shared" si="3"/>
        <v>1152156.1897692266</v>
      </c>
    </row>
    <row r="251" spans="1:7" x14ac:dyDescent="0.2">
      <c r="A251" s="10">
        <v>194</v>
      </c>
      <c r="B251" s="11">
        <v>50345</v>
      </c>
      <c r="C251" s="12">
        <f t="shared" si="4"/>
        <v>7731.1454562502995</v>
      </c>
      <c r="D251" s="12">
        <f t="shared" si="0"/>
        <v>7093.4318041605466</v>
      </c>
      <c r="E251" s="12">
        <f t="shared" si="1"/>
        <v>637.71365208975294</v>
      </c>
      <c r="F251" s="12">
        <f t="shared" si="2"/>
        <v>340750.37842661381</v>
      </c>
      <c r="G251" s="13">
        <f t="shared" si="3"/>
        <v>1159249.6215733872</v>
      </c>
    </row>
    <row r="252" spans="1:7" x14ac:dyDescent="0.2">
      <c r="A252" s="10">
        <v>195</v>
      </c>
      <c r="B252" s="11">
        <v>50375</v>
      </c>
      <c r="C252" s="12">
        <f t="shared" si="4"/>
        <v>7731.1454562502995</v>
      </c>
      <c r="D252" s="12">
        <f t="shared" si="0"/>
        <v>7106.4364291348411</v>
      </c>
      <c r="E252" s="12">
        <f t="shared" si="1"/>
        <v>624.70902711545864</v>
      </c>
      <c r="F252" s="12">
        <f t="shared" si="2"/>
        <v>333643.94199747895</v>
      </c>
      <c r="G252" s="13">
        <f t="shared" si="3"/>
        <v>1166356.058002522</v>
      </c>
    </row>
    <row r="253" spans="1:7" x14ac:dyDescent="0.2">
      <c r="A253" s="10">
        <v>196</v>
      </c>
      <c r="B253" s="11">
        <v>50406</v>
      </c>
      <c r="C253" s="12">
        <f t="shared" si="4"/>
        <v>7731.1454562502995</v>
      </c>
      <c r="D253" s="12">
        <f t="shared" si="0"/>
        <v>7119.4648959215883</v>
      </c>
      <c r="E253" s="12">
        <f t="shared" si="1"/>
        <v>611.68056032871141</v>
      </c>
      <c r="F253" s="12">
        <f t="shared" si="2"/>
        <v>326524.47710155736</v>
      </c>
      <c r="G253" s="13">
        <f t="shared" si="3"/>
        <v>1173475.5228984435</v>
      </c>
    </row>
    <row r="254" spans="1:7" x14ac:dyDescent="0.2">
      <c r="A254" s="10">
        <v>197</v>
      </c>
      <c r="B254" s="11">
        <v>50437</v>
      </c>
      <c r="C254" s="12">
        <f t="shared" si="4"/>
        <v>7731.1454562502995</v>
      </c>
      <c r="D254" s="12">
        <f t="shared" si="0"/>
        <v>7132.517248230778</v>
      </c>
      <c r="E254" s="12">
        <f t="shared" si="1"/>
        <v>598.62820801952182</v>
      </c>
      <c r="F254" s="12">
        <f t="shared" si="2"/>
        <v>319391.95985332661</v>
      </c>
      <c r="G254" s="13">
        <f t="shared" si="3"/>
        <v>1180608.0401466743</v>
      </c>
    </row>
    <row r="255" spans="1:7" x14ac:dyDescent="0.2">
      <c r="A255" s="10">
        <v>198</v>
      </c>
      <c r="B255" s="11">
        <v>50465</v>
      </c>
      <c r="C255" s="12">
        <f t="shared" si="4"/>
        <v>7731.1454562502995</v>
      </c>
      <c r="D255" s="12">
        <f t="shared" si="0"/>
        <v>7145.5935298525337</v>
      </c>
      <c r="E255" s="12">
        <f t="shared" si="1"/>
        <v>585.55192639776544</v>
      </c>
      <c r="F255" s="12">
        <f t="shared" si="2"/>
        <v>312246.3663234741</v>
      </c>
      <c r="G255" s="13">
        <f t="shared" si="3"/>
        <v>1187753.6336765268</v>
      </c>
    </row>
    <row r="256" spans="1:7" x14ac:dyDescent="0.2">
      <c r="A256" s="10">
        <v>199</v>
      </c>
      <c r="B256" s="11">
        <v>50496</v>
      </c>
      <c r="C256" s="12">
        <f t="shared" si="4"/>
        <v>7731.1454562502995</v>
      </c>
      <c r="D256" s="12">
        <f t="shared" si="0"/>
        <v>7158.6937846572637</v>
      </c>
      <c r="E256" s="12">
        <f t="shared" si="1"/>
        <v>572.45167159303583</v>
      </c>
      <c r="F256" s="12">
        <f t="shared" si="2"/>
        <v>305087.67253881681</v>
      </c>
      <c r="G256" s="13">
        <f t="shared" si="3"/>
        <v>1194912.327461184</v>
      </c>
    </row>
    <row r="257" spans="1:7" x14ac:dyDescent="0.2">
      <c r="A257" s="10">
        <v>200</v>
      </c>
      <c r="B257" s="11">
        <v>50526</v>
      </c>
      <c r="C257" s="12">
        <f t="shared" si="4"/>
        <v>7731.1454562502995</v>
      </c>
      <c r="D257" s="12">
        <f t="shared" si="0"/>
        <v>7171.8180565958019</v>
      </c>
      <c r="E257" s="12">
        <f t="shared" si="1"/>
        <v>559.32739965449753</v>
      </c>
      <c r="F257" s="12">
        <f t="shared" si="2"/>
        <v>297915.85448222101</v>
      </c>
      <c r="G257" s="13">
        <f t="shared" si="3"/>
        <v>1202084.1455177797</v>
      </c>
    </row>
    <row r="258" spans="1:7" x14ac:dyDescent="0.2">
      <c r="A258" s="10">
        <v>201</v>
      </c>
      <c r="B258" s="11">
        <v>50557</v>
      </c>
      <c r="C258" s="12">
        <f t="shared" si="4"/>
        <v>7731.1454562502995</v>
      </c>
      <c r="D258" s="12">
        <f t="shared" si="0"/>
        <v>7184.9663896995608</v>
      </c>
      <c r="E258" s="12">
        <f t="shared" si="1"/>
        <v>546.17906655073853</v>
      </c>
      <c r="F258" s="12">
        <f t="shared" si="2"/>
        <v>290730.88809252146</v>
      </c>
      <c r="G258" s="13">
        <f t="shared" si="3"/>
        <v>1209269.1119074794</v>
      </c>
    </row>
    <row r="259" spans="1:7" x14ac:dyDescent="0.2">
      <c r="A259" s="10">
        <v>202</v>
      </c>
      <c r="B259" s="11">
        <v>50587</v>
      </c>
      <c r="C259" s="12">
        <f t="shared" si="4"/>
        <v>7731.1454562502995</v>
      </c>
      <c r="D259" s="12">
        <f t="shared" si="0"/>
        <v>7198.1388280806768</v>
      </c>
      <c r="E259" s="12">
        <f t="shared" si="1"/>
        <v>533.00662816962267</v>
      </c>
      <c r="F259" s="12">
        <f t="shared" si="2"/>
        <v>283532.74926444079</v>
      </c>
      <c r="G259" s="13">
        <f t="shared" si="3"/>
        <v>1216467.25073556</v>
      </c>
    </row>
    <row r="260" spans="1:7" x14ac:dyDescent="0.2">
      <c r="A260" s="10">
        <v>203</v>
      </c>
      <c r="B260" s="11">
        <v>50618</v>
      </c>
      <c r="C260" s="12">
        <f t="shared" si="4"/>
        <v>7731.1454562502995</v>
      </c>
      <c r="D260" s="12">
        <f t="shared" si="0"/>
        <v>7211.335415932158</v>
      </c>
      <c r="E260" s="12">
        <f t="shared" si="1"/>
        <v>519.81004031814143</v>
      </c>
      <c r="F260" s="12">
        <f t="shared" si="2"/>
        <v>276321.41384850862</v>
      </c>
      <c r="G260" s="13">
        <f t="shared" si="3"/>
        <v>1223678.5861514921</v>
      </c>
    </row>
    <row r="261" spans="1:7" x14ac:dyDescent="0.2">
      <c r="A261" s="10">
        <v>204</v>
      </c>
      <c r="B261" s="11">
        <v>50649</v>
      </c>
      <c r="C261" s="12">
        <f t="shared" si="4"/>
        <v>7731.1454562502995</v>
      </c>
      <c r="D261" s="12">
        <f t="shared" si="0"/>
        <v>7224.5561975280334</v>
      </c>
      <c r="E261" s="12">
        <f t="shared" si="1"/>
        <v>506.58925872226581</v>
      </c>
      <c r="F261" s="12">
        <f t="shared" si="2"/>
        <v>269096.85765098059</v>
      </c>
      <c r="G261" s="13">
        <f t="shared" si="3"/>
        <v>1230903.1423490201</v>
      </c>
    </row>
    <row r="262" spans="1:7" x14ac:dyDescent="0.2">
      <c r="A262" s="10">
        <v>205</v>
      </c>
      <c r="B262" s="11">
        <v>50679</v>
      </c>
      <c r="C262" s="12">
        <f t="shared" si="4"/>
        <v>7731.1454562502995</v>
      </c>
      <c r="D262" s="12">
        <f t="shared" si="0"/>
        <v>7237.8012172235021</v>
      </c>
      <c r="E262" s="12">
        <f t="shared" si="1"/>
        <v>493.34423902679771</v>
      </c>
      <c r="F262" s="12">
        <f t="shared" si="2"/>
        <v>261859.0564337571</v>
      </c>
      <c r="G262" s="13">
        <f t="shared" si="3"/>
        <v>1238140.9435662436</v>
      </c>
    </row>
    <row r="263" spans="1:7" x14ac:dyDescent="0.2">
      <c r="A263" s="10">
        <v>206</v>
      </c>
      <c r="B263" s="11">
        <v>50710</v>
      </c>
      <c r="C263" s="12">
        <f t="shared" si="4"/>
        <v>7731.1454562502995</v>
      </c>
      <c r="D263" s="12">
        <f t="shared" si="0"/>
        <v>7251.0705194550783</v>
      </c>
      <c r="E263" s="12">
        <f t="shared" si="1"/>
        <v>480.07493679522133</v>
      </c>
      <c r="F263" s="12">
        <f t="shared" si="2"/>
        <v>254607.98591430203</v>
      </c>
      <c r="G263" s="13">
        <f t="shared" si="3"/>
        <v>1245392.0140856986</v>
      </c>
    </row>
    <row r="264" spans="1:7" x14ac:dyDescent="0.2">
      <c r="A264" s="10">
        <v>207</v>
      </c>
      <c r="B264" s="11">
        <v>50740</v>
      </c>
      <c r="C264" s="12">
        <f t="shared" si="4"/>
        <v>7731.1454562502995</v>
      </c>
      <c r="D264" s="12">
        <f t="shared" si="0"/>
        <v>7264.3641487407458</v>
      </c>
      <c r="E264" s="12">
        <f t="shared" si="1"/>
        <v>466.7813075095537</v>
      </c>
      <c r="F264" s="12">
        <f t="shared" si="2"/>
        <v>247343.62176556129</v>
      </c>
      <c r="G264" s="13">
        <f t="shared" si="3"/>
        <v>1252656.3782344393</v>
      </c>
    </row>
    <row r="265" spans="1:7" x14ac:dyDescent="0.2">
      <c r="A265" s="10">
        <v>208</v>
      </c>
      <c r="B265" s="11">
        <v>50771</v>
      </c>
      <c r="C265" s="12">
        <f t="shared" si="4"/>
        <v>7731.1454562502995</v>
      </c>
      <c r="D265" s="12">
        <f t="shared" si="0"/>
        <v>7277.682149680104</v>
      </c>
      <c r="E265" s="12">
        <f t="shared" si="1"/>
        <v>453.4633065701957</v>
      </c>
      <c r="F265" s="12">
        <f t="shared" si="2"/>
        <v>240065.93961588119</v>
      </c>
      <c r="G265" s="13">
        <f t="shared" si="3"/>
        <v>1259934.0603841194</v>
      </c>
    </row>
    <row r="266" spans="1:7" x14ac:dyDescent="0.2">
      <c r="A266" s="10">
        <v>209</v>
      </c>
      <c r="B266" s="11">
        <v>50802</v>
      </c>
      <c r="C266" s="12">
        <f t="shared" si="4"/>
        <v>7731.1454562502995</v>
      </c>
      <c r="D266" s="12">
        <f t="shared" si="0"/>
        <v>7291.0245669545175</v>
      </c>
      <c r="E266" s="12">
        <f t="shared" si="1"/>
        <v>440.12088929578215</v>
      </c>
      <c r="F266" s="12">
        <f t="shared" si="2"/>
        <v>232774.91504892666</v>
      </c>
      <c r="G266" s="13">
        <f t="shared" si="3"/>
        <v>1267225.0849510739</v>
      </c>
    </row>
    <row r="267" spans="1:7" x14ac:dyDescent="0.2">
      <c r="A267" s="10">
        <v>210</v>
      </c>
      <c r="B267" s="11">
        <v>50830</v>
      </c>
      <c r="C267" s="12">
        <f t="shared" si="4"/>
        <v>7731.1454562502995</v>
      </c>
      <c r="D267" s="12">
        <f t="shared" si="0"/>
        <v>7304.3914453272673</v>
      </c>
      <c r="E267" s="12">
        <f t="shared" si="1"/>
        <v>426.75401092303218</v>
      </c>
      <c r="F267" s="12">
        <f t="shared" si="2"/>
        <v>225470.5236035994</v>
      </c>
      <c r="G267" s="13">
        <f t="shared" si="3"/>
        <v>1274529.4763964012</v>
      </c>
    </row>
    <row r="268" spans="1:7" x14ac:dyDescent="0.2">
      <c r="A268" s="10">
        <v>211</v>
      </c>
      <c r="B268" s="11">
        <v>50861</v>
      </c>
      <c r="C268" s="12">
        <f t="shared" si="4"/>
        <v>7731.1454562502995</v>
      </c>
      <c r="D268" s="12">
        <f t="shared" si="0"/>
        <v>7317.782829643701</v>
      </c>
      <c r="E268" s="12">
        <f t="shared" si="1"/>
        <v>413.36262660659889</v>
      </c>
      <c r="F268" s="12">
        <f t="shared" si="2"/>
        <v>218152.74077395571</v>
      </c>
      <c r="G268" s="13">
        <f t="shared" si="3"/>
        <v>1281847.2592260449</v>
      </c>
    </row>
    <row r="269" spans="1:7" x14ac:dyDescent="0.2">
      <c r="A269" s="10">
        <v>212</v>
      </c>
      <c r="B269" s="11">
        <v>50891</v>
      </c>
      <c r="C269" s="12">
        <f t="shared" si="4"/>
        <v>7731.1454562502995</v>
      </c>
      <c r="D269" s="12">
        <f t="shared" si="0"/>
        <v>7331.1987648313807</v>
      </c>
      <c r="E269" s="12">
        <f t="shared" si="1"/>
        <v>399.94669141891882</v>
      </c>
      <c r="F269" s="12">
        <f t="shared" si="2"/>
        <v>210821.54200912433</v>
      </c>
      <c r="G269" s="13">
        <f t="shared" si="3"/>
        <v>1289178.4579908762</v>
      </c>
    </row>
    <row r="270" spans="1:7" x14ac:dyDescent="0.2">
      <c r="A270" s="10">
        <v>213</v>
      </c>
      <c r="B270" s="11">
        <v>50922</v>
      </c>
      <c r="C270" s="12">
        <f t="shared" si="4"/>
        <v>7731.1454562502995</v>
      </c>
      <c r="D270" s="12">
        <f t="shared" si="0"/>
        <v>7344.6392959002387</v>
      </c>
      <c r="E270" s="12">
        <f t="shared" si="1"/>
        <v>386.50616035006124</v>
      </c>
      <c r="F270" s="12">
        <f t="shared" si="2"/>
        <v>203476.90271322409</v>
      </c>
      <c r="G270" s="13">
        <f t="shared" si="3"/>
        <v>1296523.0972867764</v>
      </c>
    </row>
    <row r="271" spans="1:7" x14ac:dyDescent="0.2">
      <c r="A271" s="10">
        <v>214</v>
      </c>
      <c r="B271" s="11">
        <v>50952</v>
      </c>
      <c r="C271" s="12">
        <f t="shared" si="4"/>
        <v>7731.1454562502995</v>
      </c>
      <c r="D271" s="12">
        <f t="shared" si="0"/>
        <v>7358.1044679427223</v>
      </c>
      <c r="E271" s="12">
        <f t="shared" si="1"/>
        <v>373.04098830757749</v>
      </c>
      <c r="F271" s="12">
        <f t="shared" si="2"/>
        <v>196118.79824528136</v>
      </c>
      <c r="G271" s="13">
        <f t="shared" si="3"/>
        <v>1303881.201754719</v>
      </c>
    </row>
    <row r="272" spans="1:7" x14ac:dyDescent="0.2">
      <c r="A272" s="10">
        <v>215</v>
      </c>
      <c r="B272" s="11">
        <v>50983</v>
      </c>
      <c r="C272" s="12">
        <f t="shared" si="4"/>
        <v>7731.1454562502995</v>
      </c>
      <c r="D272" s="12">
        <f t="shared" si="0"/>
        <v>7371.5943261339507</v>
      </c>
      <c r="E272" s="12">
        <f t="shared" si="1"/>
        <v>359.55113011634916</v>
      </c>
      <c r="F272" s="12">
        <f t="shared" si="2"/>
        <v>188747.2039191474</v>
      </c>
      <c r="G272" s="13">
        <f t="shared" si="3"/>
        <v>1311252.7960808529</v>
      </c>
    </row>
    <row r="273" spans="1:7" x14ac:dyDescent="0.2">
      <c r="A273" s="10">
        <v>216</v>
      </c>
      <c r="B273" s="11">
        <v>51014</v>
      </c>
      <c r="C273" s="12">
        <f t="shared" si="4"/>
        <v>7731.1454562502995</v>
      </c>
      <c r="D273" s="12">
        <f t="shared" si="0"/>
        <v>7385.1089157318629</v>
      </c>
      <c r="E273" s="12">
        <f t="shared" si="1"/>
        <v>346.03654051843688</v>
      </c>
      <c r="F273" s="12">
        <f t="shared" si="2"/>
        <v>181362.09500341554</v>
      </c>
      <c r="G273" s="13">
        <f t="shared" si="3"/>
        <v>1318637.9049965846</v>
      </c>
    </row>
    <row r="274" spans="1:7" x14ac:dyDescent="0.2">
      <c r="A274" s="10">
        <v>217</v>
      </c>
      <c r="B274" s="11">
        <v>51044</v>
      </c>
      <c r="C274" s="12">
        <f t="shared" si="4"/>
        <v>7731.1454562502995</v>
      </c>
      <c r="D274" s="12">
        <f t="shared" si="0"/>
        <v>7398.6482820773708</v>
      </c>
      <c r="E274" s="12">
        <f t="shared" si="1"/>
        <v>332.49717417292851</v>
      </c>
      <c r="F274" s="12">
        <f t="shared" si="2"/>
        <v>173963.44672133817</v>
      </c>
      <c r="G274" s="13">
        <f t="shared" si="3"/>
        <v>1326036.553278662</v>
      </c>
    </row>
    <row r="275" spans="1:7" x14ac:dyDescent="0.2">
      <c r="A275" s="10">
        <v>218</v>
      </c>
      <c r="B275" s="11">
        <v>51075</v>
      </c>
      <c r="C275" s="12">
        <f t="shared" si="4"/>
        <v>7731.1454562502995</v>
      </c>
      <c r="D275" s="12">
        <f t="shared" si="0"/>
        <v>7412.2124705945125</v>
      </c>
      <c r="E275" s="12">
        <f t="shared" si="1"/>
        <v>318.93298565578664</v>
      </c>
      <c r="F275" s="12">
        <f t="shared" si="2"/>
        <v>166551.23425074367</v>
      </c>
      <c r="G275" s="13">
        <f t="shared" si="3"/>
        <v>1333448.7657492566</v>
      </c>
    </row>
    <row r="276" spans="1:7" x14ac:dyDescent="0.2">
      <c r="A276" s="10">
        <v>219</v>
      </c>
      <c r="B276" s="11">
        <v>51105</v>
      </c>
      <c r="C276" s="12">
        <f t="shared" si="4"/>
        <v>7731.1454562502995</v>
      </c>
      <c r="D276" s="12">
        <f t="shared" si="0"/>
        <v>7425.801526790603</v>
      </c>
      <c r="E276" s="12">
        <f t="shared" si="1"/>
        <v>305.34392945969671</v>
      </c>
      <c r="F276" s="12">
        <f t="shared" si="2"/>
        <v>159125.43272395307</v>
      </c>
      <c r="G276" s="13">
        <f t="shared" si="3"/>
        <v>1340874.5672760473</v>
      </c>
    </row>
    <row r="277" spans="1:7" x14ac:dyDescent="0.2">
      <c r="A277" s="10">
        <v>220</v>
      </c>
      <c r="B277" s="11">
        <v>51136</v>
      </c>
      <c r="C277" s="12">
        <f t="shared" si="4"/>
        <v>7731.1454562502995</v>
      </c>
      <c r="D277" s="12">
        <f t="shared" si="0"/>
        <v>7439.4154962563853</v>
      </c>
      <c r="E277" s="12">
        <f t="shared" si="1"/>
        <v>291.72995999391395</v>
      </c>
      <c r="F277" s="12">
        <f t="shared" si="2"/>
        <v>151686.01722769669</v>
      </c>
      <c r="G277" s="13">
        <f t="shared" si="3"/>
        <v>1348313.9827723037</v>
      </c>
    </row>
    <row r="278" spans="1:7" x14ac:dyDescent="0.2">
      <c r="A278" s="10">
        <v>221</v>
      </c>
      <c r="B278" s="11">
        <v>51167</v>
      </c>
      <c r="C278" s="12">
        <f t="shared" si="4"/>
        <v>7731.1454562502995</v>
      </c>
      <c r="D278" s="12">
        <f t="shared" si="0"/>
        <v>7453.0544246661884</v>
      </c>
      <c r="E278" s="12">
        <f t="shared" si="1"/>
        <v>278.09103158411062</v>
      </c>
      <c r="F278" s="12">
        <f t="shared" si="2"/>
        <v>144232.9628030305</v>
      </c>
      <c r="G278" s="13">
        <f t="shared" si="3"/>
        <v>1355767.0371969698</v>
      </c>
    </row>
    <row r="279" spans="1:7" x14ac:dyDescent="0.2">
      <c r="A279" s="10">
        <v>222</v>
      </c>
      <c r="B279" s="11">
        <v>51196</v>
      </c>
      <c r="C279" s="12">
        <f t="shared" si="4"/>
        <v>7731.1454562502995</v>
      </c>
      <c r="D279" s="12">
        <f t="shared" si="0"/>
        <v>7466.718357778077</v>
      </c>
      <c r="E279" s="12">
        <f t="shared" si="1"/>
        <v>264.42709847222261</v>
      </c>
      <c r="F279" s="12">
        <f t="shared" si="2"/>
        <v>136766.24444525244</v>
      </c>
      <c r="G279" s="13">
        <f t="shared" si="3"/>
        <v>1363233.755554748</v>
      </c>
    </row>
    <row r="280" spans="1:7" x14ac:dyDescent="0.2">
      <c r="A280" s="10">
        <v>223</v>
      </c>
      <c r="B280" s="11">
        <v>51227</v>
      </c>
      <c r="C280" s="12">
        <f t="shared" si="4"/>
        <v>7731.1454562502995</v>
      </c>
      <c r="D280" s="12">
        <f t="shared" si="0"/>
        <v>7480.4073414340037</v>
      </c>
      <c r="E280" s="12">
        <f t="shared" si="1"/>
        <v>250.73811481629613</v>
      </c>
      <c r="F280" s="12">
        <f t="shared" si="2"/>
        <v>129285.83710381843</v>
      </c>
      <c r="G280" s="13">
        <f t="shared" si="3"/>
        <v>1370714.1628961819</v>
      </c>
    </row>
    <row r="281" spans="1:7" x14ac:dyDescent="0.2">
      <c r="A281" s="10">
        <v>224</v>
      </c>
      <c r="B281" s="11">
        <v>51257</v>
      </c>
      <c r="C281" s="12">
        <f t="shared" si="4"/>
        <v>7731.1454562502995</v>
      </c>
      <c r="D281" s="12">
        <f t="shared" si="0"/>
        <v>7494.1214215599657</v>
      </c>
      <c r="E281" s="12">
        <f t="shared" si="1"/>
        <v>237.02403469033379</v>
      </c>
      <c r="F281" s="12">
        <f t="shared" si="2"/>
        <v>121791.71568225847</v>
      </c>
      <c r="G281" s="13">
        <f t="shared" si="3"/>
        <v>1378208.2843177419</v>
      </c>
    </row>
    <row r="282" spans="1:7" x14ac:dyDescent="0.2">
      <c r="A282" s="10">
        <v>225</v>
      </c>
      <c r="B282" s="11">
        <v>51288</v>
      </c>
      <c r="C282" s="12">
        <f t="shared" si="4"/>
        <v>7731.1454562502995</v>
      </c>
      <c r="D282" s="12">
        <f t="shared" si="0"/>
        <v>7507.8606441661586</v>
      </c>
      <c r="E282" s="12">
        <f t="shared" si="1"/>
        <v>223.28481208414053</v>
      </c>
      <c r="F282" s="12">
        <f t="shared" si="2"/>
        <v>114283.85503809231</v>
      </c>
      <c r="G282" s="13">
        <f t="shared" si="3"/>
        <v>1385716.144961908</v>
      </c>
    </row>
    <row r="283" spans="1:7" x14ac:dyDescent="0.2">
      <c r="A283" s="10">
        <v>226</v>
      </c>
      <c r="B283" s="11">
        <v>51318</v>
      </c>
      <c r="C283" s="12">
        <f t="shared" si="4"/>
        <v>7731.1454562502995</v>
      </c>
      <c r="D283" s="12">
        <f t="shared" si="0"/>
        <v>7521.62505534713</v>
      </c>
      <c r="E283" s="12">
        <f t="shared" si="1"/>
        <v>209.52040090316925</v>
      </c>
      <c r="F283" s="12">
        <f t="shared" si="2"/>
        <v>106762.22998274518</v>
      </c>
      <c r="G283" s="13">
        <f t="shared" si="3"/>
        <v>1393237.7700172551</v>
      </c>
    </row>
    <row r="284" spans="1:7" x14ac:dyDescent="0.2">
      <c r="A284" s="10">
        <v>227</v>
      </c>
      <c r="B284" s="11">
        <v>51349</v>
      </c>
      <c r="C284" s="12">
        <f t="shared" si="4"/>
        <v>7731.1454562502995</v>
      </c>
      <c r="D284" s="12">
        <f t="shared" si="0"/>
        <v>7535.414701281933</v>
      </c>
      <c r="E284" s="12">
        <f t="shared" si="1"/>
        <v>195.73075496836617</v>
      </c>
      <c r="F284" s="12">
        <f t="shared" si="2"/>
        <v>99226.815281463249</v>
      </c>
      <c r="G284" s="13">
        <f t="shared" si="3"/>
        <v>1400773.1847185371</v>
      </c>
    </row>
    <row r="285" spans="1:7" x14ac:dyDescent="0.2">
      <c r="A285" s="10">
        <v>228</v>
      </c>
      <c r="B285" s="11">
        <v>51380</v>
      </c>
      <c r="C285" s="12">
        <f t="shared" si="4"/>
        <v>7731.1454562502995</v>
      </c>
      <c r="D285" s="12">
        <f t="shared" si="0"/>
        <v>7549.2296282342832</v>
      </c>
      <c r="E285" s="12">
        <f t="shared" si="1"/>
        <v>181.91582801601595</v>
      </c>
      <c r="F285" s="12">
        <f t="shared" si="2"/>
        <v>91677.585653228962</v>
      </c>
      <c r="G285" s="13">
        <f t="shared" si="3"/>
        <v>1408322.4143467713</v>
      </c>
    </row>
    <row r="286" spans="1:7" x14ac:dyDescent="0.2">
      <c r="A286" s="10">
        <v>229</v>
      </c>
      <c r="B286" s="11">
        <v>51410</v>
      </c>
      <c r="C286" s="12">
        <f t="shared" si="4"/>
        <v>7731.1454562502995</v>
      </c>
      <c r="D286" s="12">
        <f t="shared" si="0"/>
        <v>7563.0698825527134</v>
      </c>
      <c r="E286" s="12">
        <f t="shared" si="1"/>
        <v>168.07557369758644</v>
      </c>
      <c r="F286" s="12">
        <f t="shared" si="2"/>
        <v>84114.515770676255</v>
      </c>
      <c r="G286" s="13">
        <f t="shared" si="3"/>
        <v>1415885.4842293239</v>
      </c>
    </row>
    <row r="287" spans="1:7" x14ac:dyDescent="0.2">
      <c r="A287" s="10">
        <v>230</v>
      </c>
      <c r="B287" s="11">
        <v>51441</v>
      </c>
      <c r="C287" s="12">
        <f t="shared" si="4"/>
        <v>7731.1454562502995</v>
      </c>
      <c r="D287" s="12">
        <f t="shared" si="0"/>
        <v>7576.9355106707262</v>
      </c>
      <c r="E287" s="12">
        <f t="shared" si="1"/>
        <v>154.20994557957314</v>
      </c>
      <c r="F287" s="12">
        <f t="shared" si="2"/>
        <v>76537.580260005532</v>
      </c>
      <c r="G287" s="13">
        <f t="shared" si="3"/>
        <v>1423462.4197399947</v>
      </c>
    </row>
    <row r="288" spans="1:7" x14ac:dyDescent="0.2">
      <c r="A288" s="10">
        <v>231</v>
      </c>
      <c r="B288" s="11">
        <v>51471</v>
      </c>
      <c r="C288" s="12">
        <f t="shared" si="4"/>
        <v>7731.1454562502995</v>
      </c>
      <c r="D288" s="12">
        <f t="shared" si="0"/>
        <v>7590.8265591069558</v>
      </c>
      <c r="E288" s="12">
        <f t="shared" si="1"/>
        <v>140.31889714334346</v>
      </c>
      <c r="F288" s="12">
        <f t="shared" si="2"/>
        <v>68946.753700898582</v>
      </c>
      <c r="G288" s="13">
        <f t="shared" si="3"/>
        <v>1431053.2462991017</v>
      </c>
    </row>
    <row r="289" spans="1:7" x14ac:dyDescent="0.2">
      <c r="A289" s="10">
        <v>232</v>
      </c>
      <c r="B289" s="11">
        <v>51502</v>
      </c>
      <c r="C289" s="12">
        <f t="shared" si="4"/>
        <v>7731.1454562502995</v>
      </c>
      <c r="D289" s="12">
        <f t="shared" si="0"/>
        <v>7604.7430744653184</v>
      </c>
      <c r="E289" s="12">
        <f t="shared" si="1"/>
        <v>126.40238178498073</v>
      </c>
      <c r="F289" s="12">
        <f t="shared" si="2"/>
        <v>61342.010626433264</v>
      </c>
      <c r="G289" s="13">
        <f t="shared" si="3"/>
        <v>1438657.989373567</v>
      </c>
    </row>
    <row r="290" spans="1:7" x14ac:dyDescent="0.2">
      <c r="A290" s="10">
        <v>233</v>
      </c>
      <c r="B290" s="11">
        <v>51533</v>
      </c>
      <c r="C290" s="12">
        <f t="shared" si="4"/>
        <v>7731.1454562502995</v>
      </c>
      <c r="D290" s="12">
        <f t="shared" si="0"/>
        <v>7618.6851034351721</v>
      </c>
      <c r="E290" s="12">
        <f t="shared" si="1"/>
        <v>112.46035281512765</v>
      </c>
      <c r="F290" s="12">
        <f t="shared" si="2"/>
        <v>53723.325522998093</v>
      </c>
      <c r="G290" s="13">
        <f t="shared" si="3"/>
        <v>1446276.6744770021</v>
      </c>
    </row>
    <row r="291" spans="1:7" x14ac:dyDescent="0.2">
      <c r="A291" s="10">
        <v>234</v>
      </c>
      <c r="B291" s="11">
        <v>51561</v>
      </c>
      <c r="C291" s="12">
        <f t="shared" si="4"/>
        <v>7731.1454562502995</v>
      </c>
      <c r="D291" s="12">
        <f t="shared" si="0"/>
        <v>7632.6526927914692</v>
      </c>
      <c r="E291" s="12">
        <f t="shared" si="1"/>
        <v>98.492763458829842</v>
      </c>
      <c r="F291" s="12">
        <f t="shared" si="2"/>
        <v>46090.672830206626</v>
      </c>
      <c r="G291" s="13">
        <f t="shared" si="3"/>
        <v>1453909.3271697937</v>
      </c>
    </row>
    <row r="292" spans="1:7" x14ac:dyDescent="0.2">
      <c r="A292" s="10">
        <v>235</v>
      </c>
      <c r="B292" s="11">
        <v>51592</v>
      </c>
      <c r="C292" s="12">
        <f t="shared" si="4"/>
        <v>7731.1454562502995</v>
      </c>
      <c r="D292" s="12">
        <f t="shared" si="0"/>
        <v>7646.6458893949202</v>
      </c>
      <c r="E292" s="12">
        <f t="shared" si="1"/>
        <v>84.499566855378816</v>
      </c>
      <c r="F292" s="12">
        <f t="shared" si="2"/>
        <v>38444.026940811702</v>
      </c>
      <c r="G292" s="13">
        <f t="shared" si="3"/>
        <v>1461555.9730591886</v>
      </c>
    </row>
    <row r="293" spans="1:7" x14ac:dyDescent="0.2">
      <c r="A293" s="10">
        <v>236</v>
      </c>
      <c r="B293" s="11">
        <v>51622</v>
      </c>
      <c r="C293" s="12">
        <f t="shared" si="4"/>
        <v>7731.1454562502995</v>
      </c>
      <c r="D293" s="12">
        <f t="shared" si="0"/>
        <v>7660.6647401921446</v>
      </c>
      <c r="E293" s="12">
        <f t="shared" si="1"/>
        <v>70.480716058154783</v>
      </c>
      <c r="F293" s="12">
        <f t="shared" si="2"/>
        <v>30783.362200619558</v>
      </c>
      <c r="G293" s="13">
        <f t="shared" si="3"/>
        <v>1469216.6377993808</v>
      </c>
    </row>
    <row r="294" spans="1:7" x14ac:dyDescent="0.2">
      <c r="A294" s="10">
        <v>237</v>
      </c>
      <c r="B294" s="11">
        <v>51653</v>
      </c>
      <c r="C294" s="12">
        <f t="shared" si="4"/>
        <v>7731.1454562502995</v>
      </c>
      <c r="D294" s="12">
        <f t="shared" si="0"/>
        <v>7674.7092922158299</v>
      </c>
      <c r="E294" s="12">
        <f t="shared" si="1"/>
        <v>56.436164034469186</v>
      </c>
      <c r="F294" s="12">
        <f t="shared" si="2"/>
        <v>23108.652908403728</v>
      </c>
      <c r="G294" s="13">
        <f t="shared" si="3"/>
        <v>1476891.3470915966</v>
      </c>
    </row>
    <row r="295" spans="1:7" x14ac:dyDescent="0.2">
      <c r="A295" s="10">
        <v>238</v>
      </c>
      <c r="B295" s="11">
        <v>51683</v>
      </c>
      <c r="C295" s="12">
        <f t="shared" si="4"/>
        <v>7731.1454562502995</v>
      </c>
      <c r="D295" s="12">
        <f t="shared" si="0"/>
        <v>7688.7795925848923</v>
      </c>
      <c r="E295" s="12">
        <f t="shared" si="1"/>
        <v>42.365863665406835</v>
      </c>
      <c r="F295" s="12">
        <f t="shared" si="2"/>
        <v>15419.873315818837</v>
      </c>
      <c r="G295" s="13">
        <f t="shared" si="3"/>
        <v>1484580.1266841814</v>
      </c>
    </row>
    <row r="296" spans="1:7" x14ac:dyDescent="0.2">
      <c r="A296" s="10">
        <v>239</v>
      </c>
      <c r="B296" s="11">
        <v>51714</v>
      </c>
      <c r="C296" s="12">
        <f t="shared" si="4"/>
        <v>7731.1454562502995</v>
      </c>
      <c r="D296" s="12">
        <f t="shared" si="0"/>
        <v>7702.8756885046314</v>
      </c>
      <c r="E296" s="12">
        <f t="shared" si="1"/>
        <v>28.269767745667867</v>
      </c>
      <c r="F296" s="12">
        <f t="shared" si="2"/>
        <v>7716.9976273142056</v>
      </c>
      <c r="G296" s="13">
        <f t="shared" si="3"/>
        <v>1492283.0023726861</v>
      </c>
    </row>
    <row r="297" spans="1:7" x14ac:dyDescent="0.2">
      <c r="A297" s="10">
        <v>240</v>
      </c>
      <c r="B297" s="11">
        <v>51745</v>
      </c>
      <c r="C297" s="12">
        <f t="shared" si="4"/>
        <v>7731.1454562502995</v>
      </c>
      <c r="D297" s="12">
        <f t="shared" si="0"/>
        <v>7716.99762726689</v>
      </c>
      <c r="E297" s="12">
        <f t="shared" si="1"/>
        <v>14.147828983409378</v>
      </c>
      <c r="F297" s="12">
        <f t="shared" si="2"/>
        <v>4.7315552365034819E-8</v>
      </c>
      <c r="G297" s="13">
        <f t="shared" si="3"/>
        <v>1499999.999999953</v>
      </c>
    </row>
    <row r="298" spans="1:7" ht="12.75" x14ac:dyDescent="0.2">
      <c r="B298" s="14"/>
      <c r="C298" s="15">
        <f>SUM(C58:C297)</f>
        <v>1855474.9095000701</v>
      </c>
      <c r="E298" s="15">
        <f>SUM(E58:E297)</f>
        <v>355474.90950011788</v>
      </c>
      <c r="G298" s="19">
        <f>E298/G297</f>
        <v>0.23698327300008601</v>
      </c>
    </row>
    <row r="299" spans="1:7" x14ac:dyDescent="0.2">
      <c r="B299" s="16"/>
    </row>
    <row r="300" spans="1:7" x14ac:dyDescent="0.2">
      <c r="B300" s="14"/>
    </row>
    <row r="301" spans="1:7" x14ac:dyDescent="0.2">
      <c r="B301" s="16"/>
    </row>
    <row r="302" spans="1:7" x14ac:dyDescent="0.2">
      <c r="B302" s="14"/>
    </row>
    <row r="303" spans="1:7" x14ac:dyDescent="0.2">
      <c r="B303" s="16"/>
    </row>
    <row r="304" spans="1:7" x14ac:dyDescent="0.2">
      <c r="B304" s="14"/>
    </row>
    <row r="305" spans="2:2" x14ac:dyDescent="0.2">
      <c r="B305" s="16"/>
    </row>
    <row r="306" spans="2:2" x14ac:dyDescent="0.2">
      <c r="B306" s="14"/>
    </row>
    <row r="307" spans="2:2" x14ac:dyDescent="0.2">
      <c r="B307" s="16"/>
    </row>
    <row r="308" spans="2:2" x14ac:dyDescent="0.2">
      <c r="B308" s="14"/>
    </row>
  </sheetData>
  <mergeCells count="5">
    <mergeCell ref="B38:I38"/>
    <mergeCell ref="B39:I39"/>
    <mergeCell ref="B40:I40"/>
    <mergeCell ref="B42:I42"/>
    <mergeCell ref="B46:H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PORTATIL28</dc:creator>
  <cp:lastModifiedBy>Oriol puig i Carreró</cp:lastModifiedBy>
  <dcterms:created xsi:type="dcterms:W3CDTF">2024-03-11T19:28:30Z</dcterms:created>
  <dcterms:modified xsi:type="dcterms:W3CDTF">2024-03-11T19:31:12Z</dcterms:modified>
</cp:coreProperties>
</file>