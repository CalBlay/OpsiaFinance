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4/OPERACIONES FINANCIERAS/"/>
    </mc:Choice>
  </mc:AlternateContent>
  <xr:revisionPtr revIDLastSave="4" documentId="8_{97FF8262-91D4-4C80-91EA-307619C1D56B}" xr6:coauthVersionLast="47" xr6:coauthVersionMax="47" xr10:uidLastSave="{B82D1AC3-3477-4D6F-95DF-E259ED3DEE69}"/>
  <bookViews>
    <workbookView xWindow="22932" yWindow="-60" windowWidth="23256" windowHeight="12456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0" i="1" l="1"/>
  <c r="D42" i="1"/>
  <c r="C42" i="1"/>
  <c r="C41" i="1"/>
  <c r="G40" i="1"/>
  <c r="C40" i="1"/>
  <c r="G39" i="1"/>
  <c r="E39" i="1"/>
  <c r="E40" i="1" s="1"/>
  <c r="D39" i="1"/>
  <c r="C39" i="1"/>
  <c r="E38" i="1"/>
  <c r="F38" i="1" s="1"/>
  <c r="D38" i="1"/>
  <c r="C38" i="1"/>
  <c r="G38" i="1" s="1"/>
  <c r="G37" i="1"/>
  <c r="F37" i="1"/>
  <c r="D37" i="1"/>
  <c r="C37" i="1"/>
  <c r="G36" i="1"/>
  <c r="F40" i="1" l="1"/>
  <c r="E41" i="1"/>
  <c r="G41" i="1"/>
  <c r="D40" i="1"/>
  <c r="C46" i="1"/>
  <c r="C43" i="1"/>
  <c r="F39" i="1"/>
  <c r="D41" i="1" l="1"/>
  <c r="F42" i="1"/>
  <c r="C55" i="1" s="1"/>
  <c r="F41" i="1"/>
  <c r="G42" i="1"/>
  <c r="C50" i="1" s="1"/>
  <c r="C56" i="1" s="1"/>
  <c r="C57" i="1" l="1"/>
</calcChain>
</file>

<file path=xl/sharedStrings.xml><?xml version="1.0" encoding="utf-8"?>
<sst xmlns="http://schemas.openxmlformats.org/spreadsheetml/2006/main" count="28" uniqueCount="26">
  <si>
    <t>La empresa Cred, SA ha firmado un contrato de crédito con una empresa vinculada a ella por importe de 1 millón de euros con fecha 1 de</t>
  </si>
  <si>
    <t>noviembre del 202X y vencimiento en un año. Los movimientos de este crédito han sido:</t>
  </si>
  <si>
    <t>- El 10 de diciembre del 202X realiza una disposición de 150.000 euros.</t>
  </si>
  <si>
    <t>- El 28 de diciembre del 202X realiza una devolución de 50.000 euros.</t>
  </si>
  <si>
    <t>- El 17 de enero del 202X+1 realiza una disposición de 300.000 euros.</t>
  </si>
  <si>
    <t>- El 25 de abril del 202X+1 realiza una disposición de 100.000 euros.</t>
  </si>
  <si>
    <t>- El 22 de junio del 202X+1 realiza una devolución de 150.000 euros.</t>
  </si>
  <si>
    <t>- El 31 de octubre del 202X+1 devuelve la totalidad del crédito.</t>
  </si>
  <si>
    <t>Al ser una operación entre empresas vinculadas, las mismas firman que el único coste que devengará la operación serán unos intereses</t>
  </si>
  <si>
    <t>nominal del 3,5% anual.</t>
  </si>
  <si>
    <t>Se pide:</t>
  </si>
  <si>
    <t>- Calcular los intereses hasta el 25 de abril del 202X+1.</t>
  </si>
  <si>
    <t>- Calcular los intereses totales del crédito.</t>
  </si>
  <si>
    <t>- Indicar cuánto es el importe que tendrá que devolver el 31 de octubre si se sabe que los intereses generados por el crédito se liquidan</t>
  </si>
  <si>
    <t>anualmente.</t>
  </si>
  <si>
    <t>Días trasnscurridos</t>
  </si>
  <si>
    <t>Capital disponible</t>
  </si>
  <si>
    <t>Capital dispuesto</t>
  </si>
  <si>
    <t>Variación del crédito</t>
  </si>
  <si>
    <t>Intereses</t>
  </si>
  <si>
    <t>a) intereses hasta el 25 de abril</t>
  </si>
  <si>
    <t>b) Intereses totales del crédito</t>
  </si>
  <si>
    <t>c) Importe a devolver a final del crédito</t>
  </si>
  <si>
    <t>Amortizar el crédito dispuesto</t>
  </si>
  <si>
    <t>Liquidar los interes</t>
  </si>
  <si>
    <t>Importe a devolver a final del 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</si>
</sst>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5" x14ac:knownFonts="1">
    <font>
      <sz val="10"/>
      <color rgb="FF000000"/>
      <name val="Arial"/>
    </font>
    <font>
      <sz val="10"/>
      <color theme="1"/>
      <name val="Arial"/>
    </font>
    <font>
      <sz val="10"/>
      <name val="Arial"/>
    </font>
    <font>
      <b/>
      <sz val="10"/>
      <color theme="1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0" xfId="0" applyNumberFormat="1" applyFont="1"/>
    <xf numFmtId="4" fontId="1" fillId="0" borderId="0" xfId="0" applyNumberFormat="1" applyFont="1"/>
    <xf numFmtId="0" fontId="3" fillId="0" borderId="2" xfId="0" applyFont="1" applyBorder="1"/>
    <xf numFmtId="4" fontId="3" fillId="0" borderId="2" xfId="0" applyNumberFormat="1" applyFont="1" applyBorder="1"/>
    <xf numFmtId="10" fontId="1" fillId="0" borderId="0" xfId="1" applyNumberFormat="1" applyFont="1"/>
  </cellXfs>
  <cellStyles count="2">
    <cellStyle name="Normal" xfId="0" builtinId="0"/>
    <cellStyle name="Percentat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058025" cy="23336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6:G59"/>
  <sheetViews>
    <sheetView tabSelected="1" topLeftCell="A36" workbookViewId="0">
      <selection activeCell="D50" sqref="D50"/>
    </sheetView>
  </sheetViews>
  <sheetFormatPr defaultColWidth="14.42578125" defaultRowHeight="15.75" customHeight="1" x14ac:dyDescent="0.2"/>
  <cols>
    <col min="2" max="2" width="39.85546875" customWidth="1"/>
    <col min="3" max="3" width="18" customWidth="1"/>
    <col min="4" max="4" width="19.140625" customWidth="1"/>
    <col min="5" max="5" width="20.42578125" customWidth="1"/>
    <col min="6" max="6" width="18.5703125" customWidth="1"/>
  </cols>
  <sheetData>
    <row r="16" spans="2:2" x14ac:dyDescent="0.2">
      <c r="B16" s="1" t="s">
        <v>0</v>
      </c>
    </row>
    <row r="17" spans="2:2" x14ac:dyDescent="0.2">
      <c r="B17" s="1" t="s">
        <v>1</v>
      </c>
    </row>
    <row r="19" spans="2:2" x14ac:dyDescent="0.2">
      <c r="B19" s="1" t="s">
        <v>2</v>
      </c>
    </row>
    <row r="20" spans="2:2" x14ac:dyDescent="0.2">
      <c r="B20" s="1" t="s">
        <v>3</v>
      </c>
    </row>
    <row r="21" spans="2:2" x14ac:dyDescent="0.2">
      <c r="B21" s="1" t="s">
        <v>4</v>
      </c>
    </row>
    <row r="22" spans="2:2" x14ac:dyDescent="0.2">
      <c r="B22" s="1" t="s">
        <v>5</v>
      </c>
    </row>
    <row r="23" spans="2:2" x14ac:dyDescent="0.2">
      <c r="B23" s="1" t="s">
        <v>6</v>
      </c>
    </row>
    <row r="24" spans="2:2" x14ac:dyDescent="0.2">
      <c r="B24" s="1" t="s">
        <v>7</v>
      </c>
    </row>
    <row r="26" spans="2:2" x14ac:dyDescent="0.2">
      <c r="B26" s="1" t="s">
        <v>8</v>
      </c>
    </row>
    <row r="27" spans="2:2" x14ac:dyDescent="0.2">
      <c r="B27" s="2" t="s">
        <v>9</v>
      </c>
    </row>
    <row r="28" spans="2:2" x14ac:dyDescent="0.2">
      <c r="B28" s="1"/>
    </row>
    <row r="29" spans="2:2" x14ac:dyDescent="0.2">
      <c r="B29" s="1" t="s">
        <v>10</v>
      </c>
    </row>
    <row r="30" spans="2:2" x14ac:dyDescent="0.2">
      <c r="B30" s="1" t="s">
        <v>11</v>
      </c>
    </row>
    <row r="31" spans="2:2" x14ac:dyDescent="0.2">
      <c r="B31" s="1" t="s">
        <v>12</v>
      </c>
    </row>
    <row r="32" spans="2:2" x14ac:dyDescent="0.2">
      <c r="B32" s="1" t="s">
        <v>13</v>
      </c>
    </row>
    <row r="33" spans="2:7" x14ac:dyDescent="0.2">
      <c r="B33" s="1" t="s">
        <v>14</v>
      </c>
    </row>
    <row r="34" spans="2:7" x14ac:dyDescent="0.2">
      <c r="B34" s="3"/>
      <c r="C34" s="3"/>
      <c r="D34" s="3"/>
      <c r="E34" s="3"/>
      <c r="F34" s="3"/>
      <c r="G34" s="3"/>
    </row>
    <row r="35" spans="2:7" x14ac:dyDescent="0.2">
      <c r="B35" s="4"/>
      <c r="C35" s="4" t="s">
        <v>15</v>
      </c>
      <c r="D35" s="4" t="s">
        <v>16</v>
      </c>
      <c r="E35" s="4" t="s">
        <v>17</v>
      </c>
      <c r="F35" s="4" t="s">
        <v>18</v>
      </c>
      <c r="G35" s="4" t="s">
        <v>19</v>
      </c>
    </row>
    <row r="36" spans="2:7" x14ac:dyDescent="0.2">
      <c r="B36" s="5">
        <v>44501</v>
      </c>
      <c r="C36" s="1">
        <v>0</v>
      </c>
      <c r="D36" s="6">
        <v>1000000</v>
      </c>
      <c r="E36" s="6">
        <v>0</v>
      </c>
      <c r="G36" s="6">
        <f>E36*(3.5%/365+C36)</f>
        <v>0</v>
      </c>
    </row>
    <row r="37" spans="2:7" x14ac:dyDescent="0.2">
      <c r="B37" s="5">
        <v>44540</v>
      </c>
      <c r="C37" s="1">
        <f t="shared" ref="C37:C41" si="0">B37-B36</f>
        <v>39</v>
      </c>
      <c r="D37" s="6">
        <f>D36-E37</f>
        <v>850000</v>
      </c>
      <c r="E37" s="6">
        <v>150000</v>
      </c>
      <c r="F37" s="6">
        <f>E37</f>
        <v>150000</v>
      </c>
      <c r="G37" s="6">
        <f t="shared" ref="G37:G42" si="1">E36*C37*(3.5%/365)</f>
        <v>0</v>
      </c>
    </row>
    <row r="38" spans="2:7" x14ac:dyDescent="0.2">
      <c r="B38" s="5">
        <v>44558</v>
      </c>
      <c r="C38" s="1">
        <f t="shared" si="0"/>
        <v>18</v>
      </c>
      <c r="D38" s="6">
        <f>D36-E38</f>
        <v>900000</v>
      </c>
      <c r="E38" s="6">
        <f>E37-50000</f>
        <v>100000</v>
      </c>
      <c r="F38" s="6">
        <f t="shared" ref="F38:F42" si="2">E38-E37</f>
        <v>-50000</v>
      </c>
      <c r="G38" s="6">
        <f t="shared" si="1"/>
        <v>258.90410958904113</v>
      </c>
    </row>
    <row r="39" spans="2:7" x14ac:dyDescent="0.2">
      <c r="B39" s="5">
        <v>44578</v>
      </c>
      <c r="C39" s="1">
        <f t="shared" si="0"/>
        <v>20</v>
      </c>
      <c r="D39" s="6">
        <f>D36-E39</f>
        <v>600000</v>
      </c>
      <c r="E39" s="6">
        <f>E38+300000</f>
        <v>400000</v>
      </c>
      <c r="F39" s="6">
        <f t="shared" si="2"/>
        <v>300000</v>
      </c>
      <c r="G39" s="6">
        <f t="shared" si="1"/>
        <v>191.78082191780823</v>
      </c>
    </row>
    <row r="40" spans="2:7" x14ac:dyDescent="0.2">
      <c r="B40" s="5">
        <v>44676</v>
      </c>
      <c r="C40" s="1">
        <f t="shared" si="0"/>
        <v>98</v>
      </c>
      <c r="D40" s="6">
        <f>D36-E40</f>
        <v>500000</v>
      </c>
      <c r="E40" s="6">
        <f>E39+100000</f>
        <v>500000</v>
      </c>
      <c r="F40" s="6">
        <f t="shared" si="2"/>
        <v>100000</v>
      </c>
      <c r="G40" s="6">
        <f t="shared" si="1"/>
        <v>3758.9041095890416</v>
      </c>
    </row>
    <row r="41" spans="2:7" x14ac:dyDescent="0.2">
      <c r="B41" s="5">
        <v>44734</v>
      </c>
      <c r="C41" s="1">
        <f t="shared" si="0"/>
        <v>58</v>
      </c>
      <c r="D41" s="6">
        <f>D36-E41</f>
        <v>650000</v>
      </c>
      <c r="E41" s="6">
        <f>E40-150000</f>
        <v>350000</v>
      </c>
      <c r="F41" s="6">
        <f t="shared" si="2"/>
        <v>-150000</v>
      </c>
      <c r="G41" s="6">
        <f t="shared" si="1"/>
        <v>2780.8219178082195</v>
      </c>
    </row>
    <row r="42" spans="2:7" x14ac:dyDescent="0.2">
      <c r="B42" s="5">
        <v>44865</v>
      </c>
      <c r="C42" s="1">
        <f>B42-B41+1</f>
        <v>132</v>
      </c>
      <c r="D42" s="6">
        <f>D36-E42</f>
        <v>1000000</v>
      </c>
      <c r="E42" s="6">
        <v>0</v>
      </c>
      <c r="F42" s="6">
        <f t="shared" si="2"/>
        <v>-350000</v>
      </c>
      <c r="G42" s="6">
        <f t="shared" si="1"/>
        <v>4430.1369863013706</v>
      </c>
    </row>
    <row r="43" spans="2:7" x14ac:dyDescent="0.2">
      <c r="C43" s="1">
        <f>SUM(C36:C42)</f>
        <v>365</v>
      </c>
      <c r="D43" s="6"/>
      <c r="E43" s="6"/>
    </row>
    <row r="44" spans="2:7" x14ac:dyDescent="0.2">
      <c r="B44" s="1" t="s">
        <v>20</v>
      </c>
      <c r="D44" s="6"/>
      <c r="E44" s="6"/>
    </row>
    <row r="45" spans="2:7" x14ac:dyDescent="0.2">
      <c r="D45" s="6"/>
      <c r="E45" s="6"/>
    </row>
    <row r="46" spans="2:7" x14ac:dyDescent="0.2">
      <c r="B46" s="7" t="s">
        <v>19</v>
      </c>
      <c r="C46" s="8">
        <f>SUM(G36:G40)</f>
        <v>4209.5890410958909</v>
      </c>
      <c r="D46" s="6"/>
      <c r="E46" s="6"/>
    </row>
    <row r="47" spans="2:7" x14ac:dyDescent="0.2">
      <c r="D47" s="6"/>
      <c r="E47" s="6"/>
    </row>
    <row r="48" spans="2:7" x14ac:dyDescent="0.2">
      <c r="B48" s="1" t="s">
        <v>21</v>
      </c>
      <c r="D48" s="6"/>
      <c r="E48" s="6"/>
    </row>
    <row r="49" spans="2:5" x14ac:dyDescent="0.2">
      <c r="D49" s="6"/>
      <c r="E49" s="6"/>
    </row>
    <row r="50" spans="2:5" x14ac:dyDescent="0.2">
      <c r="B50" s="7" t="s">
        <v>19</v>
      </c>
      <c r="C50" s="8">
        <f>SUM(G36:G42)</f>
        <v>11420.547945205482</v>
      </c>
      <c r="D50" s="9">
        <f>+C50/1000000</f>
        <v>1.1420547945205483E-2</v>
      </c>
      <c r="E50" s="6"/>
    </row>
    <row r="51" spans="2:5" x14ac:dyDescent="0.2">
      <c r="D51" s="6"/>
      <c r="E51" s="6"/>
    </row>
    <row r="52" spans="2:5" x14ac:dyDescent="0.2">
      <c r="D52" s="6"/>
      <c r="E52" s="6"/>
    </row>
    <row r="53" spans="2:5" x14ac:dyDescent="0.2">
      <c r="B53" s="1" t="s">
        <v>22</v>
      </c>
      <c r="D53" s="6"/>
      <c r="E53" s="6"/>
    </row>
    <row r="54" spans="2:5" x14ac:dyDescent="0.2">
      <c r="D54" s="6"/>
      <c r="E54" s="6"/>
    </row>
    <row r="55" spans="2:5" x14ac:dyDescent="0.2">
      <c r="B55" s="1" t="s">
        <v>23</v>
      </c>
      <c r="C55" s="6">
        <f>-F42</f>
        <v>350000</v>
      </c>
      <c r="D55" s="6"/>
      <c r="E55" s="6"/>
    </row>
    <row r="56" spans="2:5" x14ac:dyDescent="0.2">
      <c r="B56" s="1" t="s">
        <v>24</v>
      </c>
      <c r="C56" s="6">
        <f>C50</f>
        <v>11420.547945205482</v>
      </c>
      <c r="D56" s="6"/>
      <c r="E56" s="6"/>
    </row>
    <row r="57" spans="2:5" x14ac:dyDescent="0.2">
      <c r="B57" s="7" t="s">
        <v>25</v>
      </c>
      <c r="C57" s="8">
        <f>C55+C56</f>
        <v>361420.54794520547</v>
      </c>
      <c r="D57" s="6"/>
      <c r="E57" s="6"/>
    </row>
    <row r="58" spans="2:5" x14ac:dyDescent="0.2">
      <c r="D58" s="6"/>
      <c r="E58" s="6"/>
    </row>
    <row r="59" spans="2:5" x14ac:dyDescent="0.2">
      <c r="D59" s="6"/>
      <c r="E59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PORTATIL28</dc:creator>
  <cp:lastModifiedBy>Oriol puig i Carreró</cp:lastModifiedBy>
  <dcterms:created xsi:type="dcterms:W3CDTF">2024-03-03T18:09:55Z</dcterms:created>
  <dcterms:modified xsi:type="dcterms:W3CDTF">2024-03-03T18:20:24Z</dcterms:modified>
</cp:coreProperties>
</file>