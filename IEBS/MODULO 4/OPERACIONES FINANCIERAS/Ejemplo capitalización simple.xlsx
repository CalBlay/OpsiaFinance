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50" documentId="8_{81DA22A1-8742-411C-B3AC-4BFD143934D8}" xr6:coauthVersionLast="47" xr6:coauthVersionMax="47" xr10:uidLastSave="{30696D6F-B6EC-4261-BD2C-80BBC1128708}"/>
  <bookViews>
    <workbookView xWindow="-120" yWindow="-120" windowWidth="29040" windowHeight="15720" firstSheet="2" activeTab="6" xr2:uid="{00000000-000D-0000-FFFF-FFFF00000000}"/>
  </bookViews>
  <sheets>
    <sheet name="tipos interes" sheetId="5" r:id="rId1"/>
    <sheet name="Capitalizacion simple" sheetId="1" r:id="rId2"/>
    <sheet name="Capitalización compuesta" sheetId="4" r:id="rId3"/>
    <sheet name="crédito empresa vinculada" sheetId="2" r:id="rId4"/>
    <sheet name="crédito entidad financiera" sheetId="3" r:id="rId5"/>
    <sheet name="Descuento de efectos" sheetId="6" r:id="rId6"/>
    <sheet name="Factorin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7" l="1"/>
  <c r="C31" i="7" s="1"/>
  <c r="C26" i="7"/>
  <c r="C33" i="7" s="1"/>
  <c r="C32" i="6"/>
  <c r="C30" i="6"/>
  <c r="C34" i="6" s="1"/>
  <c r="E32" i="6" s="1"/>
  <c r="E33" i="6" s="1"/>
  <c r="E4" i="5"/>
  <c r="E3" i="5"/>
  <c r="E27" i="4"/>
  <c r="B42" i="4" s="1"/>
  <c r="E30" i="7" l="1"/>
  <c r="E31" i="7" s="1"/>
  <c r="B38" i="4"/>
  <c r="B32" i="4"/>
  <c r="C48" i="3"/>
  <c r="C47" i="3"/>
  <c r="C46" i="3"/>
  <c r="C45" i="3"/>
  <c r="C44" i="3"/>
  <c r="C43" i="3"/>
  <c r="C42" i="3"/>
  <c r="C41" i="3"/>
  <c r="G40" i="3"/>
  <c r="C40" i="3"/>
  <c r="E39" i="3"/>
  <c r="E40" i="3" s="1"/>
  <c r="D39" i="3"/>
  <c r="H40" i="3" s="1"/>
  <c r="C39" i="3"/>
  <c r="H39" i="3" s="1"/>
  <c r="D40" i="3" l="1"/>
  <c r="H41" i="3" s="1"/>
  <c r="G41" i="3"/>
  <c r="E41" i="3"/>
  <c r="G39" i="3"/>
  <c r="G42" i="3" l="1"/>
  <c r="E42" i="3"/>
  <c r="D41" i="3"/>
  <c r="H42" i="3" s="1"/>
  <c r="G43" i="3" l="1"/>
  <c r="E43" i="3"/>
  <c r="D42" i="3"/>
  <c r="H43" i="3" s="1"/>
  <c r="C53" i="3"/>
  <c r="C52" i="3"/>
  <c r="C54" i="3" s="1"/>
  <c r="G44" i="3" l="1"/>
  <c r="E44" i="3"/>
  <c r="D43" i="3"/>
  <c r="H44" i="3" s="1"/>
  <c r="G45" i="3" l="1"/>
  <c r="E45" i="3"/>
  <c r="D44" i="3"/>
  <c r="H45" i="3" s="1"/>
  <c r="D45" i="3" l="1"/>
  <c r="H46" i="3" s="1"/>
  <c r="G46" i="3"/>
  <c r="E46" i="3"/>
  <c r="G47" i="3" l="1"/>
  <c r="E47" i="3"/>
  <c r="D46" i="3"/>
  <c r="H47" i="3" s="1"/>
  <c r="E48" i="3" l="1"/>
  <c r="D48" i="3" s="1"/>
  <c r="D47" i="3"/>
  <c r="H48" i="3" s="1"/>
  <c r="C61" i="3" s="1"/>
  <c r="G48" i="3"/>
  <c r="C60" i="3" s="1"/>
  <c r="C62" i="3" s="1"/>
  <c r="D42" i="2"/>
  <c r="C42" i="2"/>
  <c r="C41" i="2"/>
  <c r="C40" i="2"/>
  <c r="C39" i="2"/>
  <c r="G38" i="2"/>
  <c r="F38" i="2"/>
  <c r="E38" i="2"/>
  <c r="G39" i="2" s="1"/>
  <c r="C38" i="2"/>
  <c r="F37" i="2"/>
  <c r="D37" i="2"/>
  <c r="C37" i="2"/>
  <c r="G37" i="2" s="1"/>
  <c r="G36" i="2"/>
  <c r="C43" i="2" l="1"/>
  <c r="E39" i="2"/>
  <c r="D38" i="2"/>
  <c r="E40" i="2" l="1"/>
  <c r="G40" i="2"/>
  <c r="D39" i="2"/>
  <c r="F39" i="2"/>
  <c r="C46" i="2" l="1"/>
  <c r="D40" i="2"/>
  <c r="E41" i="2"/>
  <c r="F40" i="2"/>
  <c r="G41" i="2"/>
  <c r="E28" i="1"/>
  <c r="C39" i="1" s="1"/>
  <c r="F41" i="2" l="1"/>
  <c r="F42" i="2"/>
  <c r="C55" i="2" s="1"/>
  <c r="D41" i="2"/>
  <c r="G42" i="2"/>
  <c r="C50" i="2" s="1"/>
  <c r="C31" i="1"/>
  <c r="C35" i="1" s="1"/>
  <c r="C37" i="1" s="1"/>
  <c r="C32" i="1"/>
  <c r="C56" i="2" l="1"/>
  <c r="D50" i="2"/>
  <c r="C57" i="2"/>
</calcChain>
</file>

<file path=xl/sharedStrings.xml><?xml version="1.0" encoding="utf-8"?>
<sst xmlns="http://schemas.openxmlformats.org/spreadsheetml/2006/main" count="124" uniqueCount="101">
  <si>
    <t>Calcular cuanto valdría 200 unidades monetarias dos meses después de que se entreguen.</t>
  </si>
  <si>
    <t>El tipo de interes nominal anual será del 3%:</t>
  </si>
  <si>
    <t>Número de periodos (n)</t>
  </si>
  <si>
    <t>meses</t>
  </si>
  <si>
    <t>Tipo de interes</t>
  </si>
  <si>
    <t>anual</t>
  </si>
  <si>
    <t>tipo mensualizado</t>
  </si>
  <si>
    <t>Capital final al final del primer mes</t>
  </si>
  <si>
    <t>Capital final al final del segundo mes</t>
  </si>
  <si>
    <t>Capital final sera:</t>
  </si>
  <si>
    <t>iniciales</t>
  </si>
  <si>
    <t>Intereses calculados</t>
  </si>
  <si>
    <t>por los dos meses</t>
  </si>
  <si>
    <t>Capital final a devolver será</t>
  </si>
  <si>
    <t>Intereses totales serían:</t>
  </si>
  <si>
    <t>La empresa Cred, SA ha firmado un contrato de crédito con una empresa vinculada a ella por importe de 1 millón de euros con fecha 1 de</t>
  </si>
  <si>
    <t>noviembre del 202X y vencimiento en un año. Los movimientos de este crédito han sido:</t>
  </si>
  <si>
    <t>- El 10 de diciembre del 202X realiza una disposición de 150.000 euros.</t>
  </si>
  <si>
    <t>- El 28 de diciembre del 202X realiza una devolución de 50.000 euros.</t>
  </si>
  <si>
    <t>- El 17 de enero del 202X+1 realiza una disposición de 300.000 euros.</t>
  </si>
  <si>
    <t>- El 25 de abril del 202X+1 realiza una disposición de 100.000 euros.</t>
  </si>
  <si>
    <t>- El 22 de junio del 202X+1 realiza una devolución de 150.000 euros.</t>
  </si>
  <si>
    <t>- El 31 de octubre del 202X+1 devuelve la totalidad del crédito.</t>
  </si>
  <si>
    <t>Al ser una operación entre empresas vinculadas, las mismas firman que el único coste que devengará la operación serán unos intereses</t>
  </si>
  <si>
    <t>nominal del 3,5% anual.</t>
  </si>
  <si>
    <t>Se pide:</t>
  </si>
  <si>
    <t>- Calcular los intereses hasta el 25 de abril del 202X+1.</t>
  </si>
  <si>
    <t>- Calcular los intereses totales del crédito.</t>
  </si>
  <si>
    <t>- Indicar cuánto es el importe que tendrá que devolver el 31 de octubre si se sabe que los intereses generados por el crédito se liquidan</t>
  </si>
  <si>
    <t>anualmente.</t>
  </si>
  <si>
    <t>Días trasnscurridos</t>
  </si>
  <si>
    <t>Capital disponible</t>
  </si>
  <si>
    <t>Capital dispuesto</t>
  </si>
  <si>
    <t>Variación del crédito</t>
  </si>
  <si>
    <t>Intereses</t>
  </si>
  <si>
    <t>a) intereses hasta el 25 de abril</t>
  </si>
  <si>
    <t>b) Intereses totales del crédito</t>
  </si>
  <si>
    <t>c) Importe a devolver a final del crédito</t>
  </si>
  <si>
    <t>Amortizar el crédito dispuesto</t>
  </si>
  <si>
    <t>Liquidar los interes</t>
  </si>
  <si>
    <t>Importe a devolver a final del crédito</t>
  </si>
  <si>
    <t>La empresa Finan, SA ha firmado un contrato de crédito con un banco por importe de 600 mil euros con fecha 1 de</t>
  </si>
  <si>
    <t>abril del 202X y vencimiento en un año. Los movimientos de este crédito han sido:</t>
  </si>
  <si>
    <t>- El 19 de abril del 202X realiza una disposición de 75.000 euros.</t>
  </si>
  <si>
    <t>- El 16 de mayo del 202X realiza una disposición de 35.000 euros.</t>
  </si>
  <si>
    <t>- El 24 de junio del 202X realiza una disposición de 90.000 euros.</t>
  </si>
  <si>
    <t>- El 7 de julio del 202X realiza una devolución de 10.000 euros.</t>
  </si>
  <si>
    <t>- El 3 de septiembre del 202X realiza una disposición de 150.000 euros.</t>
  </si>
  <si>
    <t>- El 30 de septiembre del 202X realiza una devolución de 235.000 euros.</t>
  </si>
  <si>
    <t>- El 19 de octubre del 202X realiza una disposición de 63.000 euros.</t>
  </si>
  <si>
    <t>- El 16 de diciembre del 202X realiza una disposición de 32.000 euros.</t>
  </si>
  <si>
    <t>En el contrato firmado con la entidad financiera se incluye que la operación devengará un tipo de interés nominal del 2,8% y una comisión</t>
  </si>
  <si>
    <t>por el importe no dispuesto del 0,2% anual.</t>
  </si>
  <si>
    <t>- Calcular el coste del crédito hasta el 30 de junio del 202X.</t>
  </si>
  <si>
    <t>- Calcular el coste del crédito hasta el 31 de diciembre del 202X.</t>
  </si>
  <si>
    <t>Comisión</t>
  </si>
  <si>
    <t>Dias transcurridos</t>
  </si>
  <si>
    <t>Capital dispuesto/usado</t>
  </si>
  <si>
    <t>Movimientos de efectivo</t>
  </si>
  <si>
    <t>a) coste del crédito hasta el 30 de junio</t>
  </si>
  <si>
    <t>Comisiones</t>
  </si>
  <si>
    <t>Costes totales</t>
  </si>
  <si>
    <t>b) coste del crédito hasta el 31 de diciembre</t>
  </si>
  <si>
    <t>n =</t>
  </si>
  <si>
    <t>r =</t>
  </si>
  <si>
    <t>C0 =</t>
  </si>
  <si>
    <t>Capital inicial</t>
  </si>
  <si>
    <t>Cn =</t>
  </si>
  <si>
    <t>Cuanto valdrían al final de 6 meses:</t>
  </si>
  <si>
    <t>Capitalización compuesta</t>
  </si>
  <si>
    <t>C6 =</t>
  </si>
  <si>
    <t>Capitalización simple</t>
  </si>
  <si>
    <t>Tipo mensual</t>
  </si>
  <si>
    <t>Tipo de interes efectivo</t>
  </si>
  <si>
    <t>Tipo de interes nominal</t>
  </si>
  <si>
    <t>TAE</t>
  </si>
  <si>
    <t>1+i anual</t>
  </si>
  <si>
    <t xml:space="preserve"> =</t>
  </si>
  <si>
    <t>(1+i mensual)^12</t>
  </si>
  <si>
    <t>(1+i trimestral)^4</t>
  </si>
  <si>
    <t>La empresa Efect, S.A. quiere decontar una letra que tiene en su poder por importe de 6500 euros y a la que le quedan 62 días</t>
  </si>
  <si>
    <t>para su vencimiento. Para ello, dispone de una linea de descuento de efectos que le cobra una comisión del 0,4% y unos intereses nominales</t>
  </si>
  <si>
    <t>del 3%.</t>
  </si>
  <si>
    <t>Además, para llevar a cabo la operación, el cliente tiene que hacer frente a 60 euros de gastos asociados al timbrado y otros</t>
  </si>
  <si>
    <t>gastos de la operación.</t>
  </si>
  <si>
    <t>Se pide calular el importe que cobraría la empresa Efect, S.A. si descontase dicha letra:</t>
  </si>
  <si>
    <t>Importe de la letra a descontar</t>
  </si>
  <si>
    <t>Gastos asociados</t>
  </si>
  <si>
    <t>Cuantía que recibiría</t>
  </si>
  <si>
    <t>Una empresa de maquinaria le ha vendido a un organismo público ciertos productos por valor de 90.000 euros que cobrará a 90 días de fecha</t>
  </si>
  <si>
    <t xml:space="preserve">de factura. No obstante la empresa de maquinaria, necesita disponer de liquidez para lo cual decide acudir a un banco para que le de </t>
  </si>
  <si>
    <t>alguna alternativa para el anticipo de la misma.</t>
  </si>
  <si>
    <t xml:space="preserve">Ante esta situación, el banco le ofrece anticipar sus facturas mediante un contrato de factoring con recurso por el cuál le cobrará un 4% </t>
  </si>
  <si>
    <t>de comisión y unos intereses nominales del 3% anual sobre el capital cedido.</t>
  </si>
  <si>
    <t>Se pide calcular cuánto dinero recibirá la empresa de maquinaria:</t>
  </si>
  <si>
    <t>Total de la factura</t>
  </si>
  <si>
    <t>Comisión del 4%</t>
  </si>
  <si>
    <t>Intereses:</t>
  </si>
  <si>
    <t>Tipo de interes mensual</t>
  </si>
  <si>
    <t>Total intereses</t>
  </si>
  <si>
    <t>Importe recibido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</si>
</sst>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0.000%"/>
  </numFmts>
  <fonts count="6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i/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0" xfId="0" applyNumberFormat="1" applyFont="1"/>
    <xf numFmtId="4" fontId="1" fillId="0" borderId="0" xfId="0" applyNumberFormat="1" applyFont="1"/>
    <xf numFmtId="4" fontId="4" fillId="0" borderId="1" xfId="0" applyNumberFormat="1" applyFont="1" applyBorder="1"/>
    <xf numFmtId="10" fontId="1" fillId="0" borderId="0" xfId="1" applyNumberFormat="1" applyFont="1"/>
    <xf numFmtId="0" fontId="4" fillId="0" borderId="3" xfId="0" applyFont="1" applyBorder="1"/>
    <xf numFmtId="4" fontId="4" fillId="0" borderId="3" xfId="0" applyNumberFormat="1" applyFont="1" applyBorder="1"/>
    <xf numFmtId="0" fontId="1" fillId="0" borderId="1" xfId="0" applyFont="1" applyBorder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165" fontId="1" fillId="0" borderId="0" xfId="0" applyNumberFormat="1" applyFont="1"/>
    <xf numFmtId="4" fontId="0" fillId="0" borderId="0" xfId="0" applyNumberFormat="1"/>
    <xf numFmtId="10" fontId="0" fillId="0" borderId="0" xfId="1" applyNumberFormat="1" applyFont="1"/>
    <xf numFmtId="4" fontId="4" fillId="0" borderId="0" xfId="0" applyNumberFormat="1" applyFont="1"/>
    <xf numFmtId="0" fontId="4" fillId="0" borderId="0" xfId="0" applyFont="1"/>
  </cellXfs>
  <cellStyles count="2">
    <cellStyle name="Normal" xfId="0" builtinId="0"/>
    <cellStyle name="Percentat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17</xdr:row>
      <xdr:rowOff>104775</xdr:rowOff>
    </xdr:from>
    <xdr:ext cx="3352800" cy="140017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95375" y="3505200"/>
          <a:ext cx="3352800" cy="1400175"/>
          <a:chOff x="452400" y="196700"/>
          <a:chExt cx="3333925" cy="13836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698250" y="737600"/>
            <a:ext cx="2793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3501125" y="580250"/>
            <a:ext cx="0" cy="4131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2084925" y="590075"/>
            <a:ext cx="9900" cy="462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>
            <a:off x="708100" y="599900"/>
            <a:ext cx="9900" cy="5409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590075" y="196700"/>
            <a:ext cx="295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1957075" y="255700"/>
            <a:ext cx="2952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3324100" y="226200"/>
            <a:ext cx="373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</a:t>
            </a:r>
            <a:endParaRPr sz="1400"/>
          </a:p>
        </xdr:txBody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452400" y="1180150"/>
            <a:ext cx="7278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200</a:t>
            </a:r>
            <a:endParaRPr sz="1400"/>
          </a:p>
        </xdr:txBody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/>
        </xdr:nvSpPr>
        <xdr:spPr>
          <a:xfrm>
            <a:off x="3245425" y="1111300"/>
            <a:ext cx="540900" cy="4002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?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0</xdr:colOff>
      <xdr:row>1</xdr:row>
      <xdr:rowOff>0</xdr:rowOff>
    </xdr:from>
    <xdr:ext cx="6715125" cy="2571750"/>
    <xdr:pic>
      <xdr:nvPicPr>
        <xdr:cNvPr id="12" name="image1.png" title="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734175" cy="3581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8A1D95A5-7C7B-4079-B35A-EFD1D2F3AAD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6734175" cy="3581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058025" cy="2333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6AEEEDCF-62D5-4B7B-9E66-0BC33DE26D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7058025" cy="23336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648575" cy="2381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AF69B3BF-2EAE-4649-BA5A-86800A3B03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7648575" cy="23812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172325" cy="34004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C8BFF272-BFDE-4AE7-8ABD-6F65410E3F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7172325" cy="34004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477000" cy="25050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FE7BD4DB-66CF-4E97-B70A-3A55F12600A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2025" y="200025"/>
          <a:ext cx="6477000" cy="2505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201B-EBB2-4646-BF83-1C1D1EA3AB11}">
  <dimension ref="B2:E12"/>
  <sheetViews>
    <sheetView workbookViewId="0">
      <selection activeCell="E36" sqref="E36"/>
    </sheetView>
  </sheetViews>
  <sheetFormatPr defaultRowHeight="12.75" x14ac:dyDescent="0.2"/>
  <sheetData>
    <row r="2" spans="2:5" x14ac:dyDescent="0.2">
      <c r="E2" s="7" t="s">
        <v>72</v>
      </c>
    </row>
    <row r="3" spans="2:5" x14ac:dyDescent="0.2">
      <c r="B3" s="1" t="s">
        <v>73</v>
      </c>
      <c r="D3" s="3">
        <v>0.03</v>
      </c>
      <c r="E3" s="20">
        <f>(1+D3)^(1/12)-1</f>
        <v>2.4662697723036864E-3</v>
      </c>
    </row>
    <row r="4" spans="2:5" x14ac:dyDescent="0.2">
      <c r="B4" s="1" t="s">
        <v>74</v>
      </c>
      <c r="D4" s="3">
        <v>0.03</v>
      </c>
      <c r="E4" s="20">
        <f>D4/12</f>
        <v>2.5000000000000001E-3</v>
      </c>
    </row>
    <row r="5" spans="2:5" x14ac:dyDescent="0.2">
      <c r="B5" s="1" t="s">
        <v>75</v>
      </c>
    </row>
    <row r="9" spans="2:5" x14ac:dyDescent="0.2">
      <c r="B9" s="1" t="s">
        <v>76</v>
      </c>
      <c r="C9" s="1" t="s">
        <v>77</v>
      </c>
      <c r="D9" s="1" t="s">
        <v>78</v>
      </c>
    </row>
    <row r="12" spans="2:5" x14ac:dyDescent="0.2">
      <c r="B12" s="1" t="s">
        <v>76</v>
      </c>
      <c r="C12" s="1" t="s">
        <v>77</v>
      </c>
      <c r="D12" s="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6:F39"/>
  <sheetViews>
    <sheetView topLeftCell="A16" workbookViewId="0">
      <selection activeCell="B43" sqref="B43"/>
    </sheetView>
  </sheetViews>
  <sheetFormatPr defaultColWidth="14.42578125" defaultRowHeight="15.75" customHeight="1" x14ac:dyDescent="0.2"/>
  <cols>
    <col min="2" max="2" width="33.28515625" customWidth="1"/>
  </cols>
  <sheetData>
    <row r="16" spans="2:2" x14ac:dyDescent="0.2">
      <c r="B16" s="1" t="s">
        <v>0</v>
      </c>
    </row>
    <row r="17" spans="2:6" x14ac:dyDescent="0.2">
      <c r="B17" s="2" t="s">
        <v>1</v>
      </c>
    </row>
    <row r="27" spans="2:6" x14ac:dyDescent="0.2">
      <c r="B27" s="1" t="s">
        <v>2</v>
      </c>
      <c r="C27" s="1">
        <v>2</v>
      </c>
      <c r="D27" s="1" t="s">
        <v>3</v>
      </c>
    </row>
    <row r="28" spans="2:6" x14ac:dyDescent="0.2">
      <c r="B28" s="1" t="s">
        <v>4</v>
      </c>
      <c r="C28" s="3">
        <v>0.03</v>
      </c>
      <c r="D28" s="1" t="s">
        <v>5</v>
      </c>
      <c r="E28" s="4">
        <f>C28/12</f>
        <v>2.5000000000000001E-3</v>
      </c>
      <c r="F28" s="1" t="s">
        <v>6</v>
      </c>
    </row>
    <row r="31" spans="2:6" x14ac:dyDescent="0.2">
      <c r="B31" s="1" t="s">
        <v>7</v>
      </c>
      <c r="C31" s="1">
        <f>200*(1+E28)</f>
        <v>200.5</v>
      </c>
    </row>
    <row r="32" spans="2:6" x14ac:dyDescent="0.2">
      <c r="B32" s="1" t="s">
        <v>8</v>
      </c>
      <c r="C32" s="1">
        <f>200*(1+E28)</f>
        <v>200.5</v>
      </c>
    </row>
    <row r="34" spans="2:4" x14ac:dyDescent="0.2">
      <c r="B34" s="1" t="s">
        <v>9</v>
      </c>
      <c r="C34" s="1">
        <v>200</v>
      </c>
      <c r="D34" s="1" t="s">
        <v>10</v>
      </c>
    </row>
    <row r="35" spans="2:4" x14ac:dyDescent="0.2">
      <c r="B35" s="5" t="s">
        <v>11</v>
      </c>
      <c r="C35" s="5">
        <f>(C31-200)+(C32-200)</f>
        <v>1</v>
      </c>
      <c r="D35" s="1" t="s">
        <v>12</v>
      </c>
    </row>
    <row r="37" spans="2:4" x14ac:dyDescent="0.2">
      <c r="B37" s="6" t="s">
        <v>13</v>
      </c>
      <c r="C37" s="6">
        <f>C34+C35</f>
        <v>201</v>
      </c>
    </row>
    <row r="39" spans="2:4" x14ac:dyDescent="0.2">
      <c r="B39" s="5" t="s">
        <v>14</v>
      </c>
      <c r="C39" s="5">
        <f>200*E28*2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7F8C5-9A8D-4DE1-BB87-95B90CB32840}">
  <dimension ref="A22:F42"/>
  <sheetViews>
    <sheetView workbookViewId="0">
      <selection activeCell="H38" sqref="H38"/>
    </sheetView>
  </sheetViews>
  <sheetFormatPr defaultRowHeight="12.75" x14ac:dyDescent="0.2"/>
  <sheetData>
    <row r="22" spans="1:6" x14ac:dyDescent="0.2">
      <c r="B22" s="15" t="s">
        <v>0</v>
      </c>
      <c r="C22" s="15"/>
      <c r="D22" s="15"/>
      <c r="E22" s="15"/>
      <c r="F22" s="1"/>
    </row>
    <row r="23" spans="1:6" x14ac:dyDescent="0.2">
      <c r="B23" s="2" t="s">
        <v>1</v>
      </c>
      <c r="C23" s="1"/>
      <c r="D23" s="1"/>
      <c r="E23" s="1"/>
      <c r="F23" s="1"/>
    </row>
    <row r="24" spans="1:6" x14ac:dyDescent="0.2">
      <c r="B24" s="1"/>
      <c r="C24" s="1"/>
      <c r="D24" s="1"/>
      <c r="E24" s="1"/>
      <c r="F24" s="1"/>
    </row>
    <row r="25" spans="1:6" x14ac:dyDescent="0.2">
      <c r="B25" s="1"/>
      <c r="C25" s="1"/>
      <c r="D25" s="1"/>
      <c r="E25" s="1"/>
      <c r="F25" s="1"/>
    </row>
    <row r="26" spans="1:6" x14ac:dyDescent="0.2">
      <c r="A26" s="1" t="s">
        <v>63</v>
      </c>
      <c r="B26" s="1" t="s">
        <v>2</v>
      </c>
      <c r="C26" s="16">
        <v>2</v>
      </c>
      <c r="D26" s="1" t="s">
        <v>3</v>
      </c>
      <c r="E26" s="1"/>
      <c r="F26" s="1"/>
    </row>
    <row r="27" spans="1:6" x14ac:dyDescent="0.2">
      <c r="A27" s="1" t="s">
        <v>64</v>
      </c>
      <c r="B27" s="1" t="s">
        <v>4</v>
      </c>
      <c r="C27" s="17">
        <v>0.03</v>
      </c>
      <c r="D27" s="1" t="s">
        <v>5</v>
      </c>
      <c r="E27" s="18">
        <f>C27/12</f>
        <v>2.5000000000000001E-3</v>
      </c>
      <c r="F27" s="15" t="s">
        <v>6</v>
      </c>
    </row>
    <row r="29" spans="1:6" x14ac:dyDescent="0.2">
      <c r="A29" s="1" t="s">
        <v>65</v>
      </c>
      <c r="B29" s="1" t="s">
        <v>66</v>
      </c>
      <c r="C29" s="1">
        <v>200</v>
      </c>
    </row>
    <row r="32" spans="1:6" x14ac:dyDescent="0.2">
      <c r="A32" s="6" t="s">
        <v>67</v>
      </c>
      <c r="B32" s="6">
        <f>C29*(1+E27)^C26</f>
        <v>201.00124999999997</v>
      </c>
    </row>
    <row r="34" spans="1:2" x14ac:dyDescent="0.2">
      <c r="B34" s="1" t="s">
        <v>68</v>
      </c>
    </row>
    <row r="36" spans="1:2" x14ac:dyDescent="0.2">
      <c r="B36" s="19" t="s">
        <v>69</v>
      </c>
    </row>
    <row r="38" spans="1:2" x14ac:dyDescent="0.2">
      <c r="A38" s="1" t="s">
        <v>70</v>
      </c>
      <c r="B38" s="10">
        <f>C29*(1+E27)^6</f>
        <v>203.01881261730466</v>
      </c>
    </row>
    <row r="40" spans="1:2" x14ac:dyDescent="0.2">
      <c r="B40" s="19" t="s">
        <v>71</v>
      </c>
    </row>
    <row r="42" spans="1:2" x14ac:dyDescent="0.2">
      <c r="A42" s="1" t="s">
        <v>70</v>
      </c>
      <c r="B42" s="1">
        <f>C29*E27*6+200</f>
        <v>203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7C44C-EC27-4E0F-8E2E-5FE2DEEDDC8D}">
  <dimension ref="B16:G59"/>
  <sheetViews>
    <sheetView workbookViewId="0">
      <selection activeCell="K38" sqref="K38"/>
    </sheetView>
  </sheetViews>
  <sheetFormatPr defaultRowHeight="12.75" x14ac:dyDescent="0.2"/>
  <cols>
    <col min="4" max="4" width="16.140625" customWidth="1"/>
    <col min="5" max="5" width="12.28515625" customWidth="1"/>
    <col min="6" max="6" width="14.140625" customWidth="1"/>
    <col min="7" max="7" width="17" customWidth="1"/>
  </cols>
  <sheetData>
    <row r="16" spans="2:2" x14ac:dyDescent="0.2">
      <c r="B16" s="1" t="s">
        <v>15</v>
      </c>
    </row>
    <row r="17" spans="2:2" x14ac:dyDescent="0.2">
      <c r="B17" s="1" t="s">
        <v>16</v>
      </c>
    </row>
    <row r="19" spans="2:2" x14ac:dyDescent="0.2">
      <c r="B19" s="1" t="s">
        <v>17</v>
      </c>
    </row>
    <row r="20" spans="2:2" x14ac:dyDescent="0.2">
      <c r="B20" s="1" t="s">
        <v>18</v>
      </c>
    </row>
    <row r="21" spans="2:2" x14ac:dyDescent="0.2">
      <c r="B21" s="1" t="s">
        <v>19</v>
      </c>
    </row>
    <row r="22" spans="2:2" x14ac:dyDescent="0.2">
      <c r="B22" s="1" t="s">
        <v>20</v>
      </c>
    </row>
    <row r="23" spans="2:2" x14ac:dyDescent="0.2">
      <c r="B23" s="1" t="s">
        <v>21</v>
      </c>
    </row>
    <row r="24" spans="2:2" x14ac:dyDescent="0.2">
      <c r="B24" s="1" t="s">
        <v>22</v>
      </c>
    </row>
    <row r="26" spans="2:2" x14ac:dyDescent="0.2">
      <c r="B26" s="1" t="s">
        <v>23</v>
      </c>
    </row>
    <row r="27" spans="2:2" x14ac:dyDescent="0.2">
      <c r="B27" s="2" t="s">
        <v>24</v>
      </c>
    </row>
    <row r="28" spans="2:2" x14ac:dyDescent="0.2">
      <c r="B28" s="1"/>
    </row>
    <row r="29" spans="2:2" x14ac:dyDescent="0.2">
      <c r="B29" s="1" t="s">
        <v>25</v>
      </c>
    </row>
    <row r="30" spans="2:2" x14ac:dyDescent="0.2">
      <c r="B30" s="1" t="s">
        <v>26</v>
      </c>
    </row>
    <row r="31" spans="2:2" x14ac:dyDescent="0.2">
      <c r="B31" s="1" t="s">
        <v>27</v>
      </c>
    </row>
    <row r="32" spans="2:2" x14ac:dyDescent="0.2">
      <c r="B32" s="1" t="s">
        <v>28</v>
      </c>
    </row>
    <row r="33" spans="2:7" x14ac:dyDescent="0.2">
      <c r="B33" s="1" t="s">
        <v>29</v>
      </c>
    </row>
    <row r="34" spans="2:7" x14ac:dyDescent="0.2">
      <c r="B34" s="7"/>
      <c r="C34" s="7"/>
      <c r="D34" s="7"/>
      <c r="E34" s="7"/>
      <c r="F34" s="7"/>
      <c r="G34" s="7"/>
    </row>
    <row r="35" spans="2:7" x14ac:dyDescent="0.2">
      <c r="B35" s="8"/>
      <c r="C35" s="8" t="s">
        <v>30</v>
      </c>
      <c r="D35" s="8" t="s">
        <v>31</v>
      </c>
      <c r="E35" s="8" t="s">
        <v>32</v>
      </c>
      <c r="F35" s="8" t="s">
        <v>33</v>
      </c>
      <c r="G35" s="8" t="s">
        <v>34</v>
      </c>
    </row>
    <row r="36" spans="2:7" x14ac:dyDescent="0.2">
      <c r="B36" s="9">
        <v>44501</v>
      </c>
      <c r="C36" s="1">
        <v>0</v>
      </c>
      <c r="D36" s="10">
        <v>1000000</v>
      </c>
      <c r="E36" s="10">
        <v>0</v>
      </c>
      <c r="G36" s="10">
        <f>E36*(3.5%/365+C36)</f>
        <v>0</v>
      </c>
    </row>
    <row r="37" spans="2:7" x14ac:dyDescent="0.2">
      <c r="B37" s="9">
        <v>44540</v>
      </c>
      <c r="C37" s="1">
        <f t="shared" ref="C37:C41" si="0">B37-B36</f>
        <v>39</v>
      </c>
      <c r="D37" s="10">
        <f>D36-E37</f>
        <v>850000</v>
      </c>
      <c r="E37" s="10">
        <v>150000</v>
      </c>
      <c r="F37" s="10">
        <f>E37</f>
        <v>150000</v>
      </c>
      <c r="G37" s="10">
        <f t="shared" ref="G37:G42" si="1">E36*C37*(3.5%/365)</f>
        <v>0</v>
      </c>
    </row>
    <row r="38" spans="2:7" x14ac:dyDescent="0.2">
      <c r="B38" s="9">
        <v>44558</v>
      </c>
      <c r="C38" s="1">
        <f t="shared" si="0"/>
        <v>18</v>
      </c>
      <c r="D38" s="10">
        <f>D36-E38</f>
        <v>900000</v>
      </c>
      <c r="E38" s="10">
        <f>E37-50000</f>
        <v>100000</v>
      </c>
      <c r="F38" s="10">
        <f t="shared" ref="F38:F42" si="2">E38-E37</f>
        <v>-50000</v>
      </c>
      <c r="G38" s="10">
        <f t="shared" si="1"/>
        <v>258.90410958904113</v>
      </c>
    </row>
    <row r="39" spans="2:7" x14ac:dyDescent="0.2">
      <c r="B39" s="9">
        <v>44578</v>
      </c>
      <c r="C39" s="1">
        <f t="shared" si="0"/>
        <v>20</v>
      </c>
      <c r="D39" s="10">
        <f>D36-E39</f>
        <v>600000</v>
      </c>
      <c r="E39" s="10">
        <f>E38+300000</f>
        <v>400000</v>
      </c>
      <c r="F39" s="10">
        <f t="shared" si="2"/>
        <v>300000</v>
      </c>
      <c r="G39" s="10">
        <f t="shared" si="1"/>
        <v>191.78082191780823</v>
      </c>
    </row>
    <row r="40" spans="2:7" x14ac:dyDescent="0.2">
      <c r="B40" s="9">
        <v>44676</v>
      </c>
      <c r="C40" s="1">
        <f t="shared" si="0"/>
        <v>98</v>
      </c>
      <c r="D40" s="10">
        <f>D36-E40</f>
        <v>500000</v>
      </c>
      <c r="E40" s="10">
        <f>E39+100000</f>
        <v>500000</v>
      </c>
      <c r="F40" s="10">
        <f t="shared" si="2"/>
        <v>100000</v>
      </c>
      <c r="G40" s="10">
        <f t="shared" si="1"/>
        <v>3758.9041095890416</v>
      </c>
    </row>
    <row r="41" spans="2:7" x14ac:dyDescent="0.2">
      <c r="B41" s="9">
        <v>44734</v>
      </c>
      <c r="C41" s="1">
        <f t="shared" si="0"/>
        <v>58</v>
      </c>
      <c r="D41" s="10">
        <f>D36-E41</f>
        <v>650000</v>
      </c>
      <c r="E41" s="10">
        <f>E40-150000</f>
        <v>350000</v>
      </c>
      <c r="F41" s="10">
        <f t="shared" si="2"/>
        <v>-150000</v>
      </c>
      <c r="G41" s="10">
        <f t="shared" si="1"/>
        <v>2780.8219178082195</v>
      </c>
    </row>
    <row r="42" spans="2:7" x14ac:dyDescent="0.2">
      <c r="B42" s="9">
        <v>44865</v>
      </c>
      <c r="C42" s="1">
        <f>B42-B41+1</f>
        <v>132</v>
      </c>
      <c r="D42" s="10">
        <f>D36-E42</f>
        <v>1000000</v>
      </c>
      <c r="E42" s="10">
        <v>0</v>
      </c>
      <c r="F42" s="10">
        <f t="shared" si="2"/>
        <v>-350000</v>
      </c>
      <c r="G42" s="10">
        <f t="shared" si="1"/>
        <v>4430.1369863013706</v>
      </c>
    </row>
    <row r="43" spans="2:7" x14ac:dyDescent="0.2">
      <c r="C43" s="1">
        <f>SUM(C36:C42)</f>
        <v>365</v>
      </c>
      <c r="D43" s="10"/>
      <c r="E43" s="10"/>
    </row>
    <row r="44" spans="2:7" x14ac:dyDescent="0.2">
      <c r="B44" s="1" t="s">
        <v>35</v>
      </c>
      <c r="D44" s="10"/>
      <c r="E44" s="10"/>
    </row>
    <row r="45" spans="2:7" x14ac:dyDescent="0.2">
      <c r="D45" s="10"/>
      <c r="E45" s="10"/>
    </row>
    <row r="46" spans="2:7" x14ac:dyDescent="0.2">
      <c r="B46" s="6" t="s">
        <v>34</v>
      </c>
      <c r="C46" s="11">
        <f>SUM(G36:G40)</f>
        <v>4209.5890410958909</v>
      </c>
      <c r="D46" s="10"/>
      <c r="E46" s="10"/>
    </row>
    <row r="47" spans="2:7" x14ac:dyDescent="0.2">
      <c r="D47" s="10"/>
      <c r="E47" s="10"/>
    </row>
    <row r="48" spans="2:7" x14ac:dyDescent="0.2">
      <c r="B48" s="1" t="s">
        <v>36</v>
      </c>
      <c r="D48" s="10"/>
      <c r="E48" s="10"/>
    </row>
    <row r="49" spans="2:5" x14ac:dyDescent="0.2">
      <c r="D49" s="10"/>
      <c r="E49" s="10"/>
    </row>
    <row r="50" spans="2:5" x14ac:dyDescent="0.2">
      <c r="B50" s="6" t="s">
        <v>34</v>
      </c>
      <c r="C50" s="11">
        <f>SUM(G36:G42)</f>
        <v>11420.547945205482</v>
      </c>
      <c r="D50" s="12">
        <f>+C50/1000000</f>
        <v>1.1420547945205483E-2</v>
      </c>
      <c r="E50" s="10"/>
    </row>
    <row r="51" spans="2:5" x14ac:dyDescent="0.2">
      <c r="D51" s="10"/>
      <c r="E51" s="10"/>
    </row>
    <row r="52" spans="2:5" x14ac:dyDescent="0.2">
      <c r="D52" s="10"/>
      <c r="E52" s="10"/>
    </row>
    <row r="53" spans="2:5" x14ac:dyDescent="0.2">
      <c r="B53" s="1" t="s">
        <v>37</v>
      </c>
      <c r="D53" s="10"/>
      <c r="E53" s="10"/>
    </row>
    <row r="54" spans="2:5" x14ac:dyDescent="0.2">
      <c r="D54" s="10"/>
      <c r="E54" s="10"/>
    </row>
    <row r="55" spans="2:5" x14ac:dyDescent="0.2">
      <c r="B55" s="1" t="s">
        <v>38</v>
      </c>
      <c r="C55" s="10">
        <f>-F42</f>
        <v>350000</v>
      </c>
      <c r="D55" s="10"/>
      <c r="E55" s="10"/>
    </row>
    <row r="56" spans="2:5" x14ac:dyDescent="0.2">
      <c r="B56" s="1" t="s">
        <v>39</v>
      </c>
      <c r="C56" s="10">
        <f>C50</f>
        <v>11420.547945205482</v>
      </c>
      <c r="D56" s="10"/>
      <c r="E56" s="10"/>
    </row>
    <row r="57" spans="2:5" x14ac:dyDescent="0.2">
      <c r="B57" s="6" t="s">
        <v>40</v>
      </c>
      <c r="C57" s="11">
        <f>C55+C56</f>
        <v>361420.54794520547</v>
      </c>
      <c r="D57" s="10"/>
      <c r="E57" s="10"/>
    </row>
    <row r="58" spans="2:5" x14ac:dyDescent="0.2">
      <c r="D58" s="10"/>
      <c r="E58" s="10"/>
    </row>
    <row r="59" spans="2:5" x14ac:dyDescent="0.2">
      <c r="D59" s="10"/>
      <c r="E59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6EDF-3CF8-4710-830E-E69A02F671E9}">
  <dimension ref="A1:I65"/>
  <sheetViews>
    <sheetView workbookViewId="0">
      <selection activeCell="M19" sqref="M19"/>
    </sheetView>
  </sheetViews>
  <sheetFormatPr defaultRowHeight="12.75" x14ac:dyDescent="0.2"/>
  <cols>
    <col min="2" max="2" width="10.140625" customWidth="1"/>
    <col min="4" max="4" width="18" customWidth="1"/>
    <col min="5" max="5" width="14.5703125" customWidth="1"/>
    <col min="6" max="6" width="14.710937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/>
      <c r="C2" s="1"/>
      <c r="D2" s="1"/>
      <c r="E2" s="1"/>
      <c r="F2" s="1"/>
      <c r="G2" s="1"/>
      <c r="H2" s="1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x14ac:dyDescent="0.2">
      <c r="A4" s="1"/>
      <c r="B4" s="1"/>
      <c r="C4" s="1"/>
      <c r="D4" s="1"/>
      <c r="E4" s="1"/>
      <c r="F4" s="1"/>
      <c r="G4" s="1"/>
      <c r="H4" s="1"/>
      <c r="I4" s="1"/>
    </row>
    <row r="5" spans="1:9" x14ac:dyDescent="0.2">
      <c r="A5" s="1"/>
      <c r="B5" s="1"/>
      <c r="C5" s="1"/>
      <c r="D5" s="1"/>
      <c r="E5" s="1"/>
      <c r="F5" s="1"/>
      <c r="G5" s="1"/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  <c r="I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 t="s">
        <v>41</v>
      </c>
      <c r="C15" s="1"/>
      <c r="D15" s="1"/>
      <c r="E15" s="1"/>
      <c r="F15" s="1"/>
      <c r="G15" s="1"/>
      <c r="H15" s="1"/>
      <c r="I15" s="1"/>
    </row>
    <row r="16" spans="1:9" x14ac:dyDescent="0.2">
      <c r="A16" s="1"/>
      <c r="B16" s="1" t="s">
        <v>42</v>
      </c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 t="s">
        <v>43</v>
      </c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 t="s">
        <v>44</v>
      </c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 t="s">
        <v>45</v>
      </c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 t="s">
        <v>46</v>
      </c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 t="s">
        <v>47</v>
      </c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 t="s">
        <v>48</v>
      </c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 t="s">
        <v>49</v>
      </c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 t="s">
        <v>50</v>
      </c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2" t="s">
        <v>51</v>
      </c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 t="s">
        <v>52</v>
      </c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 t="s">
        <v>25</v>
      </c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 t="s">
        <v>53</v>
      </c>
      <c r="C31" s="1"/>
      <c r="D31" s="1"/>
      <c r="E31" s="1"/>
      <c r="F31" s="1"/>
      <c r="G31" s="1"/>
      <c r="H31" s="1"/>
      <c r="I31" s="1"/>
    </row>
    <row r="32" spans="1:9" x14ac:dyDescent="0.2">
      <c r="A32" s="1"/>
      <c r="B32" s="1" t="s">
        <v>54</v>
      </c>
      <c r="C32" s="1"/>
      <c r="D32" s="1"/>
      <c r="E32" s="1"/>
      <c r="F32" s="1"/>
      <c r="G32" s="1"/>
      <c r="H32" s="1"/>
      <c r="I32" s="1"/>
    </row>
    <row r="33" spans="1:9" x14ac:dyDescent="0.2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">
      <c r="A34" s="1"/>
      <c r="B34" s="1" t="s">
        <v>34</v>
      </c>
      <c r="C34" s="4">
        <v>2.8000000000000001E-2</v>
      </c>
      <c r="D34" s="1"/>
      <c r="E34" s="1"/>
      <c r="F34" s="1"/>
      <c r="G34" s="1"/>
      <c r="H34" s="1"/>
      <c r="I34" s="1"/>
    </row>
    <row r="35" spans="1:9" x14ac:dyDescent="0.2">
      <c r="A35" s="1"/>
      <c r="B35" s="1" t="s">
        <v>55</v>
      </c>
      <c r="C35" s="4">
        <v>2E-3</v>
      </c>
      <c r="D35" s="1"/>
      <c r="E35" s="1"/>
      <c r="F35" s="1"/>
      <c r="G35" s="1"/>
      <c r="H35" s="1"/>
      <c r="I35" s="1"/>
    </row>
    <row r="36" spans="1:9" x14ac:dyDescent="0.2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">
      <c r="A37" s="7"/>
      <c r="B37" s="8"/>
      <c r="C37" s="8" t="s">
        <v>56</v>
      </c>
      <c r="D37" s="8" t="s">
        <v>31</v>
      </c>
      <c r="E37" s="8" t="s">
        <v>57</v>
      </c>
      <c r="F37" s="8" t="s">
        <v>58</v>
      </c>
      <c r="G37" s="8" t="s">
        <v>34</v>
      </c>
      <c r="H37" s="8" t="s">
        <v>55</v>
      </c>
      <c r="I37" s="7"/>
    </row>
    <row r="38" spans="1:9" x14ac:dyDescent="0.2">
      <c r="A38" s="1"/>
      <c r="B38" s="9">
        <v>44287</v>
      </c>
      <c r="C38" s="1">
        <v>0</v>
      </c>
      <c r="D38" s="10">
        <v>600000</v>
      </c>
      <c r="E38" s="10">
        <v>0</v>
      </c>
      <c r="F38" s="10">
        <v>0</v>
      </c>
      <c r="H38" s="1"/>
      <c r="I38" s="1"/>
    </row>
    <row r="39" spans="1:9" x14ac:dyDescent="0.2">
      <c r="A39" s="1"/>
      <c r="B39" s="9">
        <v>44305</v>
      </c>
      <c r="C39" s="1">
        <f t="shared" ref="C39:C48" si="0">B39-B38</f>
        <v>18</v>
      </c>
      <c r="D39" s="10">
        <f>D38-E39</f>
        <v>525000</v>
      </c>
      <c r="E39" s="10">
        <f t="shared" ref="E39:E48" si="1">-F39+E38</f>
        <v>75000</v>
      </c>
      <c r="F39" s="10">
        <v>-75000</v>
      </c>
      <c r="G39" s="10">
        <f t="shared" ref="G39:G48" si="2">E38*($C$34/365*C39)</f>
        <v>0</v>
      </c>
      <c r="H39" s="10">
        <f t="shared" ref="H39:H48" si="3">D38*($C$35/365*C39)</f>
        <v>59.178082191780831</v>
      </c>
      <c r="I39" s="1"/>
    </row>
    <row r="40" spans="1:9" x14ac:dyDescent="0.2">
      <c r="A40" s="1"/>
      <c r="B40" s="9">
        <v>44332</v>
      </c>
      <c r="C40" s="1">
        <f t="shared" si="0"/>
        <v>27</v>
      </c>
      <c r="D40" s="10">
        <f>D38-E40</f>
        <v>490000</v>
      </c>
      <c r="E40" s="10">
        <f t="shared" si="1"/>
        <v>110000</v>
      </c>
      <c r="F40" s="10">
        <v>-35000</v>
      </c>
      <c r="G40" s="10">
        <f t="shared" si="2"/>
        <v>155.34246575342465</v>
      </c>
      <c r="H40" s="10">
        <f t="shared" si="3"/>
        <v>77.671232876712324</v>
      </c>
      <c r="I40" s="1"/>
    </row>
    <row r="41" spans="1:9" x14ac:dyDescent="0.2">
      <c r="A41" s="1"/>
      <c r="B41" s="9">
        <v>44371</v>
      </c>
      <c r="C41" s="1">
        <f t="shared" si="0"/>
        <v>39</v>
      </c>
      <c r="D41" s="10">
        <f>D38-E41</f>
        <v>400000</v>
      </c>
      <c r="E41" s="10">
        <f t="shared" si="1"/>
        <v>200000</v>
      </c>
      <c r="F41" s="10">
        <v>-90000</v>
      </c>
      <c r="G41" s="10">
        <f t="shared" si="2"/>
        <v>329.09589041095887</v>
      </c>
      <c r="H41" s="10">
        <f t="shared" si="3"/>
        <v>104.7123287671233</v>
      </c>
      <c r="I41" s="1"/>
    </row>
    <row r="42" spans="1:9" x14ac:dyDescent="0.2">
      <c r="A42" s="1"/>
      <c r="B42" s="9">
        <v>44377</v>
      </c>
      <c r="C42" s="1">
        <f t="shared" si="0"/>
        <v>6</v>
      </c>
      <c r="D42" s="10">
        <f>D38-E42</f>
        <v>400000</v>
      </c>
      <c r="E42" s="10">
        <f t="shared" si="1"/>
        <v>200000</v>
      </c>
      <c r="F42" s="10">
        <v>0</v>
      </c>
      <c r="G42" s="10">
        <f t="shared" si="2"/>
        <v>92.054794520547944</v>
      </c>
      <c r="H42" s="10">
        <f t="shared" si="3"/>
        <v>13.15068493150685</v>
      </c>
      <c r="I42" s="1"/>
    </row>
    <row r="43" spans="1:9" x14ac:dyDescent="0.2">
      <c r="A43" s="1"/>
      <c r="B43" s="9">
        <v>44384</v>
      </c>
      <c r="C43" s="1">
        <f t="shared" si="0"/>
        <v>7</v>
      </c>
      <c r="D43" s="10">
        <f>D38-E43</f>
        <v>410000</v>
      </c>
      <c r="E43" s="10">
        <f t="shared" si="1"/>
        <v>190000</v>
      </c>
      <c r="F43" s="10">
        <v>10000</v>
      </c>
      <c r="G43" s="10">
        <f t="shared" si="2"/>
        <v>107.39726027397261</v>
      </c>
      <c r="H43" s="10">
        <f t="shared" si="3"/>
        <v>15.342465753424657</v>
      </c>
      <c r="I43" s="1"/>
    </row>
    <row r="44" spans="1:9" x14ac:dyDescent="0.2">
      <c r="A44" s="1"/>
      <c r="B44" s="9">
        <v>44442</v>
      </c>
      <c r="C44" s="1">
        <f t="shared" si="0"/>
        <v>58</v>
      </c>
      <c r="D44" s="10">
        <f>D38-E44</f>
        <v>260000</v>
      </c>
      <c r="E44" s="10">
        <f t="shared" si="1"/>
        <v>340000</v>
      </c>
      <c r="F44" s="10">
        <v>-150000</v>
      </c>
      <c r="G44" s="10">
        <f t="shared" si="2"/>
        <v>845.3698630136987</v>
      </c>
      <c r="H44" s="10">
        <f t="shared" si="3"/>
        <v>130.30136986301369</v>
      </c>
      <c r="I44" s="1"/>
    </row>
    <row r="45" spans="1:9" x14ac:dyDescent="0.2">
      <c r="A45" s="1"/>
      <c r="B45" s="9">
        <v>44469</v>
      </c>
      <c r="C45" s="1">
        <f t="shared" si="0"/>
        <v>27</v>
      </c>
      <c r="D45" s="10">
        <f>D38-E45</f>
        <v>495000</v>
      </c>
      <c r="E45" s="10">
        <f t="shared" si="1"/>
        <v>105000</v>
      </c>
      <c r="F45" s="10">
        <v>235000</v>
      </c>
      <c r="G45" s="10">
        <f t="shared" si="2"/>
        <v>704.21917808219177</v>
      </c>
      <c r="H45" s="10">
        <f t="shared" si="3"/>
        <v>38.465753424657535</v>
      </c>
      <c r="I45" s="1"/>
    </row>
    <row r="46" spans="1:9" x14ac:dyDescent="0.2">
      <c r="A46" s="1"/>
      <c r="B46" s="9">
        <v>44488</v>
      </c>
      <c r="C46" s="1">
        <f t="shared" si="0"/>
        <v>19</v>
      </c>
      <c r="D46" s="10">
        <f>D38-E46</f>
        <v>432000</v>
      </c>
      <c r="E46" s="10">
        <f t="shared" si="1"/>
        <v>168000</v>
      </c>
      <c r="F46" s="10">
        <v>-63000</v>
      </c>
      <c r="G46" s="10">
        <f t="shared" si="2"/>
        <v>153.04109589041096</v>
      </c>
      <c r="H46" s="10">
        <f t="shared" si="3"/>
        <v>51.534246575342465</v>
      </c>
      <c r="I46" s="1"/>
    </row>
    <row r="47" spans="1:9" x14ac:dyDescent="0.2">
      <c r="A47" s="1"/>
      <c r="B47" s="9">
        <v>44546</v>
      </c>
      <c r="C47" s="1">
        <f t="shared" si="0"/>
        <v>58</v>
      </c>
      <c r="D47" s="10">
        <f>D38-E47</f>
        <v>400000</v>
      </c>
      <c r="E47" s="10">
        <f t="shared" si="1"/>
        <v>200000</v>
      </c>
      <c r="F47" s="10">
        <v>-32000</v>
      </c>
      <c r="G47" s="10">
        <f t="shared" si="2"/>
        <v>747.48493150684931</v>
      </c>
      <c r="H47" s="10">
        <f t="shared" si="3"/>
        <v>137.2931506849315</v>
      </c>
      <c r="I47" s="1"/>
    </row>
    <row r="48" spans="1:9" x14ac:dyDescent="0.2">
      <c r="A48" s="1"/>
      <c r="B48" s="9">
        <v>44561</v>
      </c>
      <c r="C48" s="1">
        <f t="shared" si="0"/>
        <v>15</v>
      </c>
      <c r="D48" s="10">
        <f>D38-E48</f>
        <v>400000</v>
      </c>
      <c r="E48" s="10">
        <f t="shared" si="1"/>
        <v>200000</v>
      </c>
      <c r="F48" s="10">
        <v>0</v>
      </c>
      <c r="G48" s="10">
        <f t="shared" si="2"/>
        <v>230.13698630136983</v>
      </c>
      <c r="H48" s="10">
        <f t="shared" si="3"/>
        <v>32.876712328767127</v>
      </c>
      <c r="I48" s="1"/>
    </row>
    <row r="49" spans="1:9" x14ac:dyDescent="0.2">
      <c r="A49" s="1"/>
      <c r="B49" s="1"/>
      <c r="C49" s="1"/>
      <c r="D49" s="10"/>
      <c r="E49" s="10"/>
      <c r="F49" s="10"/>
      <c r="G49" s="10"/>
      <c r="H49" s="1"/>
      <c r="I49" s="1"/>
    </row>
    <row r="50" spans="1:9" x14ac:dyDescent="0.2">
      <c r="A50" s="1"/>
      <c r="B50" s="1" t="s">
        <v>59</v>
      </c>
      <c r="C50" s="1"/>
      <c r="D50" s="10"/>
      <c r="E50" s="10"/>
      <c r="F50" s="10"/>
      <c r="G50" s="1"/>
      <c r="H50" s="1"/>
      <c r="I50" s="1"/>
    </row>
    <row r="51" spans="1:9" x14ac:dyDescent="0.2">
      <c r="A51" s="1"/>
      <c r="B51" s="1"/>
      <c r="C51" s="1"/>
      <c r="D51" s="10"/>
      <c r="E51" s="10"/>
      <c r="F51" s="10"/>
      <c r="G51" s="1"/>
      <c r="H51" s="1"/>
      <c r="I51" s="1"/>
    </row>
    <row r="52" spans="1:9" x14ac:dyDescent="0.2">
      <c r="A52" s="1"/>
      <c r="B52" s="1" t="s">
        <v>34</v>
      </c>
      <c r="C52" s="10">
        <f>SUM(G39:G42)</f>
        <v>576.49315068493149</v>
      </c>
      <c r="D52" s="1"/>
      <c r="E52" s="1"/>
      <c r="F52" s="1"/>
      <c r="G52" s="1"/>
      <c r="H52" s="1"/>
      <c r="I52" s="1"/>
    </row>
    <row r="53" spans="1:9" x14ac:dyDescent="0.2">
      <c r="A53" s="1"/>
      <c r="B53" s="1" t="s">
        <v>60</v>
      </c>
      <c r="C53" s="10">
        <f>SUM(H39:H42)</f>
        <v>254.7123287671233</v>
      </c>
      <c r="D53" s="1"/>
      <c r="E53" s="1"/>
      <c r="F53" s="1"/>
      <c r="G53" s="1"/>
      <c r="H53" s="1"/>
      <c r="I53" s="1"/>
    </row>
    <row r="54" spans="1:9" x14ac:dyDescent="0.2">
      <c r="A54" s="1"/>
      <c r="B54" s="13" t="s">
        <v>61</v>
      </c>
      <c r="C54" s="14">
        <f>C52+C53</f>
        <v>831.20547945205476</v>
      </c>
      <c r="D54" s="1"/>
      <c r="E54" s="1"/>
      <c r="F54" s="1"/>
      <c r="G54" s="1"/>
      <c r="H54" s="1"/>
      <c r="I54" s="1"/>
    </row>
    <row r="55" spans="1:9" x14ac:dyDescent="0.2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2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2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2">
      <c r="A58" s="1"/>
      <c r="B58" s="1" t="s">
        <v>62</v>
      </c>
      <c r="C58" s="1"/>
      <c r="D58" s="1"/>
      <c r="E58" s="1"/>
      <c r="F58" s="1"/>
      <c r="G58" s="1"/>
      <c r="H58" s="1"/>
      <c r="I58" s="1"/>
    </row>
    <row r="59" spans="1:9" x14ac:dyDescent="0.2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2">
      <c r="A60" s="1"/>
      <c r="B60" s="1" t="s">
        <v>34</v>
      </c>
      <c r="C60" s="10">
        <f>SUM(G39:G48)</f>
        <v>3364.1424657534244</v>
      </c>
      <c r="D60" s="1"/>
      <c r="E60" s="1"/>
      <c r="F60" s="1"/>
      <c r="G60" s="1"/>
      <c r="H60" s="1"/>
      <c r="I60" s="1"/>
    </row>
    <row r="61" spans="1:9" x14ac:dyDescent="0.2">
      <c r="A61" s="1"/>
      <c r="B61" s="1" t="s">
        <v>60</v>
      </c>
      <c r="C61" s="10">
        <f>SUM(H39:H48)</f>
        <v>660.52602739726024</v>
      </c>
      <c r="D61" s="1"/>
      <c r="E61" s="1"/>
      <c r="F61" s="1"/>
      <c r="G61" s="1"/>
      <c r="H61" s="1"/>
      <c r="I61" s="1"/>
    </row>
    <row r="62" spans="1:9" x14ac:dyDescent="0.2">
      <c r="A62" s="1"/>
      <c r="B62" s="13" t="s">
        <v>61</v>
      </c>
      <c r="C62" s="14">
        <f>C60+C61</f>
        <v>4024.6684931506848</v>
      </c>
      <c r="D62" s="1"/>
      <c r="E62" s="1"/>
      <c r="F62" s="1"/>
      <c r="G62" s="1"/>
      <c r="H62" s="1"/>
      <c r="I62" s="1"/>
    </row>
    <row r="63" spans="1:9" x14ac:dyDescent="0.2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2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2">
      <c r="A65" s="1"/>
      <c r="B65" s="1"/>
      <c r="C65" s="1"/>
      <c r="D65" s="1"/>
      <c r="E65" s="1"/>
      <c r="F65" s="1"/>
      <c r="G65" s="1"/>
      <c r="H65" s="1"/>
      <c r="I65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5A78-30D8-432D-BD4A-9FFC4BBD6AEB}">
  <dimension ref="B19:E34"/>
  <sheetViews>
    <sheetView topLeftCell="A5" workbookViewId="0">
      <selection sqref="A1:J36"/>
    </sheetView>
  </sheetViews>
  <sheetFormatPr defaultRowHeight="12.75" x14ac:dyDescent="0.2"/>
  <cols>
    <col min="2" max="2" width="30.85546875" customWidth="1"/>
    <col min="3" max="3" width="24.28515625" customWidth="1"/>
  </cols>
  <sheetData>
    <row r="19" spans="2:5" ht="30.75" customHeight="1" x14ac:dyDescent="0.2"/>
    <row r="20" spans="2:5" ht="49.5" customHeight="1" x14ac:dyDescent="0.2"/>
    <row r="21" spans="2:5" ht="25.5" customHeight="1" x14ac:dyDescent="0.2">
      <c r="B21" s="1" t="s">
        <v>80</v>
      </c>
    </row>
    <row r="22" spans="2:5" ht="21.75" customHeight="1" x14ac:dyDescent="0.2">
      <c r="B22" s="2" t="s">
        <v>81</v>
      </c>
    </row>
    <row r="23" spans="2:5" x14ac:dyDescent="0.2">
      <c r="B23" s="1" t="s">
        <v>82</v>
      </c>
    </row>
    <row r="24" spans="2:5" x14ac:dyDescent="0.2">
      <c r="B24" s="1" t="s">
        <v>83</v>
      </c>
    </row>
    <row r="25" spans="2:5" x14ac:dyDescent="0.2">
      <c r="B25" s="1" t="s">
        <v>84</v>
      </c>
    </row>
    <row r="27" spans="2:5" x14ac:dyDescent="0.2">
      <c r="B27" s="1" t="s">
        <v>85</v>
      </c>
    </row>
    <row r="29" spans="2:5" x14ac:dyDescent="0.2">
      <c r="B29" s="1" t="s">
        <v>86</v>
      </c>
      <c r="C29" s="10">
        <v>6500</v>
      </c>
    </row>
    <row r="30" spans="2:5" x14ac:dyDescent="0.2">
      <c r="B30" s="1" t="s">
        <v>55</v>
      </c>
      <c r="C30" s="10">
        <f>0.4%*C29</f>
        <v>26</v>
      </c>
    </row>
    <row r="31" spans="2:5" x14ac:dyDescent="0.2">
      <c r="B31" s="1" t="s">
        <v>87</v>
      </c>
      <c r="C31" s="10">
        <v>60</v>
      </c>
    </row>
    <row r="32" spans="2:5" x14ac:dyDescent="0.2">
      <c r="B32" s="1" t="s">
        <v>34</v>
      </c>
      <c r="C32" s="10">
        <f>C29*3%/360*62</f>
        <v>33.583333333333329</v>
      </c>
      <c r="E32" s="21">
        <f>C29-C34</f>
        <v>119.58333333333303</v>
      </c>
    </row>
    <row r="33" spans="2:5" x14ac:dyDescent="0.2">
      <c r="E33" s="22">
        <f>+E32/C29</f>
        <v>1.8397435897435852E-2</v>
      </c>
    </row>
    <row r="34" spans="2:5" x14ac:dyDescent="0.2">
      <c r="B34" s="6" t="s">
        <v>88</v>
      </c>
      <c r="C34" s="11">
        <f>C29-C30-C31-C32</f>
        <v>6380.416666666667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9EB2E-05F9-48A8-B21D-5E46D96435BE}">
  <dimension ref="B15:E33"/>
  <sheetViews>
    <sheetView showGridLines="0" tabSelected="1" topLeftCell="A4" workbookViewId="0">
      <selection activeCell="P19" sqref="P18:P19"/>
    </sheetView>
  </sheetViews>
  <sheetFormatPr defaultRowHeight="12.75" x14ac:dyDescent="0.2"/>
  <cols>
    <col min="2" max="2" width="28.5703125" customWidth="1"/>
    <col min="3" max="3" width="25" customWidth="1"/>
    <col min="14" max="14" width="9.140625" customWidth="1"/>
  </cols>
  <sheetData>
    <row r="15" spans="2:2" ht="69" customHeight="1" x14ac:dyDescent="0.2"/>
    <row r="16" spans="2:2" x14ac:dyDescent="0.2">
      <c r="B16" s="1" t="s">
        <v>89</v>
      </c>
    </row>
    <row r="17" spans="2:5" x14ac:dyDescent="0.2">
      <c r="B17" s="1" t="s">
        <v>90</v>
      </c>
    </row>
    <row r="18" spans="2:5" x14ac:dyDescent="0.2">
      <c r="B18" s="1" t="s">
        <v>91</v>
      </c>
    </row>
    <row r="19" spans="2:5" x14ac:dyDescent="0.2">
      <c r="B19" s="1" t="s">
        <v>92</v>
      </c>
    </row>
    <row r="20" spans="2:5" x14ac:dyDescent="0.2">
      <c r="B20" s="2" t="s">
        <v>93</v>
      </c>
    </row>
    <row r="22" spans="2:5" x14ac:dyDescent="0.2">
      <c r="B22" s="1" t="s">
        <v>94</v>
      </c>
    </row>
    <row r="25" spans="2:5" x14ac:dyDescent="0.2">
      <c r="B25" s="1" t="s">
        <v>95</v>
      </c>
      <c r="C25" s="10">
        <v>90000</v>
      </c>
    </row>
    <row r="26" spans="2:5" x14ac:dyDescent="0.2">
      <c r="B26" s="1" t="s">
        <v>96</v>
      </c>
      <c r="C26" s="23">
        <f>C25*0.04</f>
        <v>3600</v>
      </c>
    </row>
    <row r="27" spans="2:5" x14ac:dyDescent="0.2">
      <c r="B27" s="1" t="s">
        <v>97</v>
      </c>
    </row>
    <row r="29" spans="2:5" x14ac:dyDescent="0.2">
      <c r="B29" s="1" t="s">
        <v>98</v>
      </c>
      <c r="C29" s="4">
        <f>0.03/12</f>
        <v>2.5000000000000001E-3</v>
      </c>
    </row>
    <row r="30" spans="2:5" x14ac:dyDescent="0.2">
      <c r="E30" s="21">
        <f>C26+C31</f>
        <v>4275</v>
      </c>
    </row>
    <row r="31" spans="2:5" x14ac:dyDescent="0.2">
      <c r="B31" s="1" t="s">
        <v>99</v>
      </c>
      <c r="C31" s="23">
        <f>C25*C29*3</f>
        <v>675</v>
      </c>
      <c r="E31" s="22">
        <f>+E30/C25</f>
        <v>4.7500000000000001E-2</v>
      </c>
    </row>
    <row r="33" spans="2:3" x14ac:dyDescent="0.2">
      <c r="B33" s="24" t="s">
        <v>100</v>
      </c>
      <c r="C33" s="23">
        <f>C25-C26-C31</f>
        <v>85725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7</vt:i4>
      </vt:variant>
    </vt:vector>
  </HeadingPairs>
  <TitlesOfParts>
    <vt:vector size="7" baseType="lpstr">
      <vt:lpstr>tipos interes</vt:lpstr>
      <vt:lpstr>Capitalizacion simple</vt:lpstr>
      <vt:lpstr>Capitalización compuesta</vt:lpstr>
      <vt:lpstr>crédito empresa vinculada</vt:lpstr>
      <vt:lpstr>crédito entidad financiera</vt:lpstr>
      <vt:lpstr>Descuento de efectos</vt:lpstr>
      <vt:lpstr>Factoring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2024-03-03T11:56:04Z</dcterms:created>
  <dcterms:modified xsi:type="dcterms:W3CDTF">2024-03-05T17:50:07Z</dcterms:modified>
</cp:coreProperties>
</file>