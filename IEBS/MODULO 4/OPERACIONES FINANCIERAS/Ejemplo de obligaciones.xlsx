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https://d.docs.live.net/e6c7bcb4eb356115/Escritorio/IEBS/MODULO 4/OPERACIONES FINANCIERAS/"/>
    </mc:Choice>
  </mc:AlternateContent>
  <xr:revisionPtr revIDLastSave="0" documentId="8_{9E2ED127-2DEA-4D4D-8C74-1C4DAF600C37}" xr6:coauthVersionLast="47" xr6:coauthVersionMax="47" xr10:uidLastSave="{00000000-0000-0000-0000-000000000000}"/>
  <bookViews>
    <workbookView xWindow="22932" yWindow="-60" windowWidth="23256" windowHeight="12456" xr2:uid="{00000000-000D-0000-FFFF-FFFF00000000}"/>
  </bookViews>
  <sheets>
    <sheet name="Hoja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2" i="1" l="1"/>
  <c r="C23" i="1" s="1"/>
  <c r="C16" i="1"/>
  <c r="C17" i="1" s="1"/>
  <c r="D17" i="1" s="1"/>
  <c r="C13" i="1"/>
  <c r="E12" i="1"/>
  <c r="C11" i="1"/>
  <c r="D22" i="1" l="1"/>
  <c r="D23" i="1" s="1"/>
  <c r="D16" i="1"/>
  <c r="C19" i="1" s="1"/>
</calcChain>
</file>

<file path=xl/sharedStrings.xml><?xml version="1.0" encoding="utf-8"?>
<sst xmlns="http://schemas.openxmlformats.org/spreadsheetml/2006/main" count="21" uniqueCount="19">
  <si>
    <t xml:space="preserve">Una empresa necesita liquidez y para ello se ha propuesto hacer una emisión de 1.000 obligaciones </t>
  </si>
  <si>
    <t>con un valor de 500 euros cada una.</t>
  </si>
  <si>
    <t>Dichas obligaciones devengan un interes nominal del 4,5% y su cupón será semestral. El vencimiento</t>
  </si>
  <si>
    <t>de las mismas será dentro de 3 años que es cuando se devuelve el capital de la operación.</t>
  </si>
  <si>
    <t xml:space="preserve">Calcular la cuantía de cada término amortizativo de la obligación, así como el valor vivo de la </t>
  </si>
  <si>
    <t>obligación una vez transcurridos 1 año y 3 meses.</t>
  </si>
  <si>
    <t>Financiación inicial</t>
  </si>
  <si>
    <t>Tipo de interes</t>
  </si>
  <si>
    <t>anual</t>
  </si>
  <si>
    <t>semestre</t>
  </si>
  <si>
    <t>Número de periodos de la operación</t>
  </si>
  <si>
    <t>semestres</t>
  </si>
  <si>
    <t>Por obligación</t>
  </si>
  <si>
    <t>Por el total</t>
  </si>
  <si>
    <t>Termino amortizativo de los periodos 1 al 5</t>
  </si>
  <si>
    <t>Termino amortizativo del periodo 6</t>
  </si>
  <si>
    <t>Coste total de la obligación</t>
  </si>
  <si>
    <t>Cupon corrido en 1 año y 3 meses</t>
  </si>
  <si>
    <t>Valor vivo de las obligaciones en 1 año y 3 meses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</si>
</sst>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</font>
    <font>
      <sz val="10"/>
      <color theme="1"/>
      <name val="Arial"/>
    </font>
    <font>
      <b/>
      <sz val="10"/>
      <color theme="1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4" fontId="1" fillId="0" borderId="0" xfId="0" applyNumberFormat="1" applyFont="1"/>
    <xf numFmtId="10" fontId="1" fillId="0" borderId="0" xfId="0" applyNumberFormat="1" applyFont="1"/>
    <xf numFmtId="4" fontId="1" fillId="0" borderId="1" xfId="0" applyNumberFormat="1" applyFont="1" applyBorder="1"/>
    <xf numFmtId="0" fontId="2" fillId="0" borderId="0" xfId="0" applyFont="1"/>
    <xf numFmtId="4" fontId="2" fillId="0" borderId="0" xfId="0" applyNumberFormat="1" applyFont="1"/>
    <xf numFmtId="4" fontId="1" fillId="0" borderId="1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B2:F23"/>
  <sheetViews>
    <sheetView tabSelected="1" workbookViewId="0">
      <selection activeCell="C22" sqref="C22"/>
    </sheetView>
  </sheetViews>
  <sheetFormatPr defaultColWidth="14.42578125" defaultRowHeight="15.75" customHeight="1" x14ac:dyDescent="0.2"/>
  <cols>
    <col min="2" max="2" width="38.5703125" customWidth="1"/>
  </cols>
  <sheetData>
    <row r="2" spans="2:6" x14ac:dyDescent="0.2">
      <c r="B2" s="1" t="s">
        <v>0</v>
      </c>
    </row>
    <row r="3" spans="2:6" x14ac:dyDescent="0.2">
      <c r="B3" s="1" t="s">
        <v>1</v>
      </c>
    </row>
    <row r="5" spans="2:6" x14ac:dyDescent="0.2">
      <c r="B5" s="1" t="s">
        <v>2</v>
      </c>
    </row>
    <row r="6" spans="2:6" x14ac:dyDescent="0.2">
      <c r="B6" s="1" t="s">
        <v>3</v>
      </c>
    </row>
    <row r="8" spans="2:6" x14ac:dyDescent="0.2">
      <c r="B8" s="1" t="s">
        <v>4</v>
      </c>
    </row>
    <row r="9" spans="2:6" x14ac:dyDescent="0.2">
      <c r="B9" s="1" t="s">
        <v>5</v>
      </c>
    </row>
    <row r="11" spans="2:6" x14ac:dyDescent="0.2">
      <c r="B11" s="1" t="s">
        <v>6</v>
      </c>
      <c r="C11" s="2">
        <f>1000*500</f>
        <v>500000</v>
      </c>
      <c r="E11" s="3"/>
    </row>
    <row r="12" spans="2:6" x14ac:dyDescent="0.2">
      <c r="B12" s="1" t="s">
        <v>7</v>
      </c>
      <c r="C12" s="3">
        <v>4.4999999999999998E-2</v>
      </c>
      <c r="D12" s="1" t="s">
        <v>8</v>
      </c>
      <c r="E12" s="3">
        <f>C12/2</f>
        <v>2.2499999999999999E-2</v>
      </c>
      <c r="F12" s="1" t="s">
        <v>9</v>
      </c>
    </row>
    <row r="13" spans="2:6" x14ac:dyDescent="0.2">
      <c r="B13" s="1" t="s">
        <v>10</v>
      </c>
      <c r="C13" s="1">
        <f>3*2</f>
        <v>6</v>
      </c>
      <c r="D13" s="1" t="s">
        <v>11</v>
      </c>
    </row>
    <row r="15" spans="2:6" x14ac:dyDescent="0.2">
      <c r="C15" s="4" t="s">
        <v>12</v>
      </c>
      <c r="D15" s="4" t="s">
        <v>13</v>
      </c>
    </row>
    <row r="16" spans="2:6" x14ac:dyDescent="0.2">
      <c r="B16" s="5" t="s">
        <v>14</v>
      </c>
      <c r="C16" s="6">
        <f>E12*500</f>
        <v>11.25</v>
      </c>
      <c r="D16" s="6">
        <f t="shared" ref="D16:D17" si="0">C16*1000</f>
        <v>11250</v>
      </c>
    </row>
    <row r="17" spans="2:4" x14ac:dyDescent="0.2">
      <c r="B17" s="5" t="s">
        <v>15</v>
      </c>
      <c r="C17" s="6">
        <f>C16+500</f>
        <v>511.25</v>
      </c>
      <c r="D17" s="6">
        <f t="shared" si="0"/>
        <v>511250</v>
      </c>
    </row>
    <row r="18" spans="2:4" x14ac:dyDescent="0.2">
      <c r="B18" s="5"/>
      <c r="C18" s="5"/>
      <c r="D18" s="5"/>
    </row>
    <row r="19" spans="2:4" x14ac:dyDescent="0.2">
      <c r="B19" s="5" t="s">
        <v>16</v>
      </c>
      <c r="C19" s="6">
        <f>(D16*5)+D17-C11</f>
        <v>67500</v>
      </c>
      <c r="D19" s="6"/>
    </row>
    <row r="21" spans="2:4" x14ac:dyDescent="0.2">
      <c r="C21" s="7" t="s">
        <v>12</v>
      </c>
      <c r="D21" s="7" t="s">
        <v>13</v>
      </c>
    </row>
    <row r="22" spans="2:4" x14ac:dyDescent="0.2">
      <c r="B22" s="1" t="s">
        <v>17</v>
      </c>
      <c r="C22" s="2">
        <f>E12*500*(1+E12)^-0.5</f>
        <v>11.125533969768346</v>
      </c>
      <c r="D22" s="2">
        <f>C22*1000</f>
        <v>11125.533969768347</v>
      </c>
    </row>
    <row r="23" spans="2:4" x14ac:dyDescent="0.2">
      <c r="B23" s="5" t="s">
        <v>18</v>
      </c>
      <c r="C23" s="6">
        <f>C22+500</f>
        <v>511.12553396976836</v>
      </c>
      <c r="D23" s="6">
        <f>D22+C11</f>
        <v>511125.53396976832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Fulls de càlcul</vt:lpstr>
      </vt:variant>
      <vt:variant>
        <vt:i4>1</vt:i4>
      </vt:variant>
    </vt:vector>
  </HeadingPairs>
  <TitlesOfParts>
    <vt:vector size="1" baseType="lpstr">
      <vt:lpstr>Hoja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PORTATIL28</dc:creator>
  <cp:lastModifiedBy>Oriol puig i Carreró</cp:lastModifiedBy>
  <dcterms:created xsi:type="dcterms:W3CDTF">2024-03-18T17:37:52Z</dcterms:created>
  <dcterms:modified xsi:type="dcterms:W3CDTF">2024-03-18T17:37:52Z</dcterms:modified>
</cp:coreProperties>
</file>