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1" documentId="8_{C6623342-11AC-4E36-8DF6-19C8E318E754}" xr6:coauthVersionLast="47" xr6:coauthVersionMax="47" xr10:uidLastSave="{1EE0FAD0-92F4-4694-BD2E-F6A16C4F1203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C46" i="1"/>
  <c r="C45" i="1"/>
  <c r="C44" i="1"/>
  <c r="C43" i="1"/>
  <c r="C42" i="1"/>
  <c r="C41" i="1"/>
  <c r="G40" i="1"/>
  <c r="E40" i="1"/>
  <c r="D40" i="1" s="1"/>
  <c r="H41" i="1" s="1"/>
  <c r="C40" i="1"/>
  <c r="E39" i="1"/>
  <c r="D39" i="1"/>
  <c r="H40" i="1" s="1"/>
  <c r="C39" i="1"/>
  <c r="H39" i="1" s="1"/>
  <c r="G39" i="1" l="1"/>
  <c r="G41" i="1"/>
  <c r="E41" i="1"/>
  <c r="D41" i="1" l="1"/>
  <c r="H42" i="1" s="1"/>
  <c r="G42" i="1"/>
  <c r="E42" i="1"/>
  <c r="C52" i="1"/>
  <c r="E43" i="1" l="1"/>
  <c r="D42" i="1"/>
  <c r="H43" i="1" s="1"/>
  <c r="G43" i="1"/>
  <c r="C53" i="1"/>
  <c r="C54" i="1" s="1"/>
  <c r="D43" i="1" l="1"/>
  <c r="H44" i="1" s="1"/>
  <c r="G44" i="1"/>
  <c r="E44" i="1"/>
  <c r="D44" i="1" l="1"/>
  <c r="H45" i="1" s="1"/>
  <c r="G45" i="1"/>
  <c r="E45" i="1"/>
  <c r="G46" i="1" l="1"/>
  <c r="E46" i="1"/>
  <c r="D45" i="1"/>
  <c r="H46" i="1" s="1"/>
  <c r="G47" i="1" l="1"/>
  <c r="D46" i="1"/>
  <c r="H47" i="1" s="1"/>
  <c r="E47" i="1"/>
  <c r="E48" i="1" l="1"/>
  <c r="D48" i="1" s="1"/>
  <c r="D47" i="1"/>
  <c r="H48" i="1" s="1"/>
  <c r="C61" i="1" s="1"/>
  <c r="G48" i="1"/>
  <c r="C60" i="1" s="1"/>
  <c r="C62" i="1" s="1"/>
</calcChain>
</file>

<file path=xl/sharedStrings.xml><?xml version="1.0" encoding="utf-8"?>
<sst xmlns="http://schemas.openxmlformats.org/spreadsheetml/2006/main" count="45" uniqueCount="38">
  <si>
    <t>La empresa Finan, SA ha firmado un contrato de crédito con un banco por importe de 600 mil euros con fecha 1 de</t>
  </si>
  <si>
    <t>abril del 202X y vencimiento en un año. Los movimientos de este crédito han sido:</t>
  </si>
  <si>
    <t>La empresa Cred, SA ha firmado un contrato de crédito con una empresa vinculada a ella por importe de 1 millón de euros con fecha 1 de</t>
  </si>
  <si>
    <t>noviembre del 202X y vencimiento en un año. Los movimientos de este crédito han sido:</t>
  </si>
  <si>
    <t>- El 19 de abril del 202X realiza una disposición de 75.000 euros.</t>
  </si>
  <si>
    <t>- El 16 de mayo del 202X realiza una disposición de 35.000 euros.</t>
  </si>
  <si>
    <t>- El 10 de diciembre del 202X realiza una disposición de 150.000 euros.</t>
  </si>
  <si>
    <t>- El 24 de junio del 202X realiza una disposición de 90.000 euros.</t>
  </si>
  <si>
    <t>- El 28 de diciembre del 202X realiza una devolución de 50.000 euros.</t>
  </si>
  <si>
    <t>- El 7 de julio del 202X realiza una devolución de 10.000 euros.</t>
  </si>
  <si>
    <t>- El 17 de enero del 202X+1 realiza una disposición de 300.000 euros.</t>
  </si>
  <si>
    <t>- El 3 de septiembre del 202X realiza una disposición de 150.000 euros.</t>
  </si>
  <si>
    <t>- EL 25 de abril del 202X+1 realiza una disposición de 100.000 euros.</t>
  </si>
  <si>
    <t>- El 30 de septiembre del 202X realiza una devolución de 235.000 euros.</t>
  </si>
  <si>
    <t>- El 22 de junio del 202X+1 realiza una devolución de 150.000 euros.</t>
  </si>
  <si>
    <t>- El 19 de octubre del 202X realiza una disposición de 63.000 euros.</t>
  </si>
  <si>
    <t>- El 16 de diciembre del 202X realiza una disposición de 32.000 euros.</t>
  </si>
  <si>
    <t>- El 31 de octubre del 202X+1 devuelve la totalidad del crédito.</t>
  </si>
  <si>
    <t>En el contrato firmado con la entidad financiera se incluye que la operación devengará un tipo de interés nominal del 2,8% y una comisión</t>
  </si>
  <si>
    <t>por el importe no dispuesto del 0,2% anual.</t>
  </si>
  <si>
    <t>Al ser una operación entre empresas vinculadas, las mismas firman que el único coste que devengará la operación serán los intereses.</t>
  </si>
  <si>
    <t>Se pide:</t>
  </si>
  <si>
    <t>- Calcular el coste del crédito hasta el 30 de junio del 202X.</t>
  </si>
  <si>
    <t>- Calcular el coste del crédito hasta el 31 de diciembre del 202X.</t>
  </si>
  <si>
    <t>- Calcular los intereses hasta el 25 de abril del 202X+1.</t>
  </si>
  <si>
    <t>Intereses</t>
  </si>
  <si>
    <t>Comisión</t>
  </si>
  <si>
    <t>- Calcular los intereses totales del crédito.</t>
  </si>
  <si>
    <t>Dias transcurridos</t>
  </si>
  <si>
    <t>Capital disponible</t>
  </si>
  <si>
    <t>Movimientos de efectivo</t>
  </si>
  <si>
    <t>- Indicar cuánto es el importe que tendrá que devolver el 31 de octubre si se sabe que los intereses generados por el crédito se liquidan</t>
  </si>
  <si>
    <t>anualmente.</t>
  </si>
  <si>
    <t>a) coste del crédito hasta el 30 de junio</t>
  </si>
  <si>
    <t>Comisiones</t>
  </si>
  <si>
    <t>Costes totales</t>
  </si>
  <si>
    <t>b) coste del crédito hasta el 31 de diciembre</t>
  </si>
  <si>
    <t>Capital dispuesto/usado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</si>
</sst>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/>
    <xf numFmtId="4" fontId="1" fillId="0" borderId="0" xfId="0" applyNumberFormat="1" applyFont="1"/>
    <xf numFmtId="0" fontId="3" fillId="0" borderId="3" xfId="0" applyFont="1" applyBorder="1"/>
    <xf numFmtId="4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48575" cy="2381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07"/>
  <sheetViews>
    <sheetView tabSelected="1" topLeftCell="A35" workbookViewId="0">
      <selection activeCell="E53" sqref="E53"/>
    </sheetView>
  </sheetViews>
  <sheetFormatPr defaultColWidth="14.42578125" defaultRowHeight="15.75" customHeight="1" x14ac:dyDescent="0.2"/>
  <cols>
    <col min="3" max="3" width="20.7109375" customWidth="1"/>
    <col min="4" max="4" width="19.5703125" customWidth="1"/>
    <col min="5" max="5" width="22.42578125" customWidth="1"/>
    <col min="6" max="6" width="21.28515625" customWidth="1"/>
  </cols>
  <sheetData>
    <row r="1" spans="1:5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">
      <c r="A15" s="1"/>
      <c r="B15" s="1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">
      <c r="A16" s="1"/>
      <c r="B16" s="1" t="s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 t="s">
        <v>2</v>
      </c>
      <c r="AC16" s="2"/>
      <c r="AD16" s="2"/>
      <c r="AE16" s="2"/>
      <c r="AF16" s="2"/>
      <c r="AG16" s="2"/>
      <c r="AH16" s="2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 t="s">
        <v>3</v>
      </c>
      <c r="AC17" s="2"/>
      <c r="AD17" s="2"/>
      <c r="AE17" s="2"/>
      <c r="AF17" s="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">
      <c r="A18" s="1"/>
      <c r="B18" s="1" t="s">
        <v>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">
      <c r="A19" s="1"/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 t="s">
        <v>6</v>
      </c>
      <c r="AC19" s="2"/>
      <c r="AD19" s="2"/>
      <c r="AE19" s="2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">
      <c r="A20" s="1"/>
      <c r="B20" s="1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 t="s">
        <v>8</v>
      </c>
      <c r="AC20" s="2"/>
      <c r="AD20" s="2"/>
      <c r="AE20" s="2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">
      <c r="A21" s="1"/>
      <c r="B21" s="1" t="s">
        <v>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 t="s">
        <v>10</v>
      </c>
      <c r="AC21" s="2"/>
      <c r="AD21" s="2"/>
      <c r="AE21" s="2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">
      <c r="A22" s="1"/>
      <c r="B22" s="1" t="s">
        <v>11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 t="s">
        <v>12</v>
      </c>
      <c r="AC22" s="2"/>
      <c r="AD22" s="2"/>
      <c r="AE22" s="2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">
      <c r="A23" s="1"/>
      <c r="B23" s="1" t="s">
        <v>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 t="s">
        <v>14</v>
      </c>
      <c r="AC23" s="2"/>
      <c r="AD23" s="2"/>
      <c r="AE23" s="2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">
      <c r="A24" s="1"/>
      <c r="B24" s="1" t="s">
        <v>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  <c r="AC24" s="2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">
      <c r="A25" s="1"/>
      <c r="B25" s="1" t="s">
        <v>16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 t="s">
        <v>17</v>
      </c>
      <c r="AC25" s="2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">
      <c r="A27" s="1"/>
      <c r="B27" s="3" t="s">
        <v>18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">
      <c r="A28" s="1"/>
      <c r="B28" s="1" t="s">
        <v>19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 t="s">
        <v>20</v>
      </c>
      <c r="AC28" s="2"/>
      <c r="AD28" s="2"/>
      <c r="AE28" s="2"/>
      <c r="AF28" s="2"/>
      <c r="AG28" s="2"/>
      <c r="AH28" s="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">
      <c r="A30" s="1"/>
      <c r="B30" s="1" t="s">
        <v>21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">
      <c r="A31" s="1"/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21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">
      <c r="A32" s="1"/>
      <c r="B32" s="1" t="s">
        <v>23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 t="s">
        <v>24</v>
      </c>
      <c r="AC32" s="2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">
      <c r="A34" s="1"/>
      <c r="B34" s="1" t="s">
        <v>25</v>
      </c>
      <c r="C34" s="4">
        <v>2.8000000000000001E-2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">
      <c r="A35" s="1"/>
      <c r="B35" s="1" t="s">
        <v>26</v>
      </c>
      <c r="C35" s="4">
        <v>2E-3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 t="s">
        <v>27</v>
      </c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">
      <c r="A37" s="5"/>
      <c r="B37" s="6"/>
      <c r="C37" s="6" t="s">
        <v>28</v>
      </c>
      <c r="D37" s="6" t="s">
        <v>29</v>
      </c>
      <c r="E37" s="6" t="s">
        <v>37</v>
      </c>
      <c r="F37" s="6" t="s">
        <v>30</v>
      </c>
      <c r="G37" s="6" t="s">
        <v>25</v>
      </c>
      <c r="H37" s="6" t="s">
        <v>26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7" t="s">
        <v>31</v>
      </c>
      <c r="AC37" s="7"/>
      <c r="AD37" s="7"/>
      <c r="AE37" s="7"/>
      <c r="AF37" s="7"/>
      <c r="AG37" s="7"/>
      <c r="AH37" s="7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">
      <c r="A38" s="1"/>
      <c r="B38" s="8">
        <v>44287</v>
      </c>
      <c r="C38" s="1">
        <v>0</v>
      </c>
      <c r="D38" s="9">
        <v>600000</v>
      </c>
      <c r="E38" s="9">
        <v>0</v>
      </c>
      <c r="F38" s="9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 t="s">
        <v>32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">
      <c r="A39" s="1"/>
      <c r="B39" s="8">
        <v>44305</v>
      </c>
      <c r="C39" s="1">
        <f t="shared" ref="C39:C48" si="0">B39-B38</f>
        <v>18</v>
      </c>
      <c r="D39" s="9">
        <f>D38-E39</f>
        <v>525000</v>
      </c>
      <c r="E39" s="9">
        <f t="shared" ref="E39:E48" si="1">-F39+E38</f>
        <v>75000</v>
      </c>
      <c r="F39" s="9">
        <v>-75000</v>
      </c>
      <c r="G39" s="9">
        <f t="shared" ref="G39:G48" si="2">E38*($C$34/365*C39)</f>
        <v>0</v>
      </c>
      <c r="H39" s="9">
        <f t="shared" ref="H39:H48" si="3">D38*($C$35/365*C39)</f>
        <v>59.178082191780831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">
      <c r="A40" s="1"/>
      <c r="B40" s="8">
        <v>44332</v>
      </c>
      <c r="C40" s="1">
        <f t="shared" si="0"/>
        <v>27</v>
      </c>
      <c r="D40" s="9">
        <f>D38-E40</f>
        <v>490000</v>
      </c>
      <c r="E40" s="9">
        <f t="shared" si="1"/>
        <v>110000</v>
      </c>
      <c r="F40" s="9">
        <v>-35000</v>
      </c>
      <c r="G40" s="9">
        <f t="shared" si="2"/>
        <v>155.34246575342465</v>
      </c>
      <c r="H40" s="9">
        <f t="shared" si="3"/>
        <v>77.671232876712324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">
      <c r="A41" s="1"/>
      <c r="B41" s="8">
        <v>44371</v>
      </c>
      <c r="C41" s="1">
        <f t="shared" si="0"/>
        <v>39</v>
      </c>
      <c r="D41" s="9">
        <f>D38-E41</f>
        <v>400000</v>
      </c>
      <c r="E41" s="9">
        <f t="shared" si="1"/>
        <v>200000</v>
      </c>
      <c r="F41" s="9">
        <v>-90000</v>
      </c>
      <c r="G41" s="9">
        <f t="shared" si="2"/>
        <v>329.09589041095887</v>
      </c>
      <c r="H41" s="9">
        <f t="shared" si="3"/>
        <v>104.7123287671233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">
      <c r="A42" s="1"/>
      <c r="B42" s="8">
        <v>44377</v>
      </c>
      <c r="C42" s="1">
        <f t="shared" si="0"/>
        <v>6</v>
      </c>
      <c r="D42" s="9">
        <f>D38-E42</f>
        <v>400000</v>
      </c>
      <c r="E42" s="9">
        <f t="shared" si="1"/>
        <v>200000</v>
      </c>
      <c r="F42" s="9">
        <v>0</v>
      </c>
      <c r="G42" s="9">
        <f t="shared" si="2"/>
        <v>92.054794520547944</v>
      </c>
      <c r="H42" s="9">
        <f t="shared" si="3"/>
        <v>13.15068493150685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">
      <c r="A43" s="1"/>
      <c r="B43" s="8">
        <v>44384</v>
      </c>
      <c r="C43" s="1">
        <f t="shared" si="0"/>
        <v>7</v>
      </c>
      <c r="D43" s="9">
        <f>D38-E43</f>
        <v>410000</v>
      </c>
      <c r="E43" s="9">
        <f t="shared" si="1"/>
        <v>190000</v>
      </c>
      <c r="F43" s="9">
        <v>10000</v>
      </c>
      <c r="G43" s="9">
        <f t="shared" si="2"/>
        <v>107.39726027397261</v>
      </c>
      <c r="H43" s="9">
        <f t="shared" si="3"/>
        <v>15.342465753424657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">
      <c r="A44" s="1"/>
      <c r="B44" s="8">
        <v>44442</v>
      </c>
      <c r="C44" s="1">
        <f t="shared" si="0"/>
        <v>58</v>
      </c>
      <c r="D44" s="9">
        <f>D38-E44</f>
        <v>260000</v>
      </c>
      <c r="E44" s="9">
        <f t="shared" si="1"/>
        <v>340000</v>
      </c>
      <c r="F44" s="9">
        <v>-150000</v>
      </c>
      <c r="G44" s="9">
        <f t="shared" si="2"/>
        <v>845.3698630136987</v>
      </c>
      <c r="H44" s="9">
        <f t="shared" si="3"/>
        <v>130.30136986301369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">
      <c r="A45" s="1"/>
      <c r="B45" s="8">
        <v>44469</v>
      </c>
      <c r="C45" s="1">
        <f t="shared" si="0"/>
        <v>27</v>
      </c>
      <c r="D45" s="9">
        <f>D38-E45</f>
        <v>495000</v>
      </c>
      <c r="E45" s="9">
        <f t="shared" si="1"/>
        <v>105000</v>
      </c>
      <c r="F45" s="9">
        <v>235000</v>
      </c>
      <c r="G45" s="9">
        <f t="shared" si="2"/>
        <v>704.21917808219177</v>
      </c>
      <c r="H45" s="9">
        <f t="shared" si="3"/>
        <v>38.465753424657535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">
      <c r="A46" s="1"/>
      <c r="B46" s="8">
        <v>44488</v>
      </c>
      <c r="C46" s="1">
        <f t="shared" si="0"/>
        <v>19</v>
      </c>
      <c r="D46" s="9">
        <f>D38-E46</f>
        <v>432000</v>
      </c>
      <c r="E46" s="9">
        <f t="shared" si="1"/>
        <v>168000</v>
      </c>
      <c r="F46" s="9">
        <v>-63000</v>
      </c>
      <c r="G46" s="9">
        <f t="shared" si="2"/>
        <v>153.04109589041096</v>
      </c>
      <c r="H46" s="9">
        <f t="shared" si="3"/>
        <v>51.534246575342465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">
      <c r="A47" s="1"/>
      <c r="B47" s="8">
        <v>44546</v>
      </c>
      <c r="C47" s="1">
        <f t="shared" si="0"/>
        <v>58</v>
      </c>
      <c r="D47" s="9">
        <f>D38-E47</f>
        <v>400000</v>
      </c>
      <c r="E47" s="9">
        <f t="shared" si="1"/>
        <v>200000</v>
      </c>
      <c r="F47" s="9">
        <v>-32000</v>
      </c>
      <c r="G47" s="9">
        <f t="shared" si="2"/>
        <v>747.48493150684931</v>
      </c>
      <c r="H47" s="9">
        <f t="shared" si="3"/>
        <v>137.2931506849315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">
      <c r="A48" s="1"/>
      <c r="B48" s="8">
        <v>44561</v>
      </c>
      <c r="C48" s="1">
        <f t="shared" si="0"/>
        <v>15</v>
      </c>
      <c r="D48" s="9">
        <f>D38-E48</f>
        <v>400000</v>
      </c>
      <c r="E48" s="9">
        <f t="shared" si="1"/>
        <v>200000</v>
      </c>
      <c r="F48" s="9">
        <v>0</v>
      </c>
      <c r="G48" s="9">
        <f t="shared" si="2"/>
        <v>230.13698630136983</v>
      </c>
      <c r="H48" s="9">
        <f t="shared" si="3"/>
        <v>32.876712328767127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">
      <c r="A49" s="1"/>
      <c r="B49" s="1"/>
      <c r="C49" s="1"/>
      <c r="D49" s="9"/>
      <c r="E49" s="9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">
      <c r="A50" s="1"/>
      <c r="B50" s="1" t="s">
        <v>33</v>
      </c>
      <c r="C50" s="1"/>
      <c r="D50" s="9"/>
      <c r="E50" s="9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">
      <c r="A51" s="1"/>
      <c r="B51" s="1"/>
      <c r="C51" s="1"/>
      <c r="D51" s="9"/>
      <c r="E51" s="9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">
      <c r="A52" s="1"/>
      <c r="B52" s="1" t="s">
        <v>25</v>
      </c>
      <c r="C52" s="9">
        <f>SUM(G39:G42)</f>
        <v>576.49315068493149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">
      <c r="A53" s="1"/>
      <c r="B53" s="1" t="s">
        <v>34</v>
      </c>
      <c r="C53" s="9">
        <f>SUM(H39:H42)</f>
        <v>254.7123287671233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">
      <c r="A54" s="1"/>
      <c r="B54" s="10" t="s">
        <v>35</v>
      </c>
      <c r="C54" s="11">
        <f>C52+C53</f>
        <v>831.20547945205476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">
      <c r="A58" s="1"/>
      <c r="B58" s="1" t="s">
        <v>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">
      <c r="A60" s="1"/>
      <c r="B60" s="1" t="s">
        <v>25</v>
      </c>
      <c r="C60" s="9">
        <f>SUM(G39:G48)</f>
        <v>3364.1424657534244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">
      <c r="A61" s="1"/>
      <c r="B61" s="1" t="s">
        <v>34</v>
      </c>
      <c r="C61" s="9">
        <f>SUM(H39:H48)</f>
        <v>660.52602739726024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">
      <c r="A62" s="1"/>
      <c r="B62" s="10" t="s">
        <v>35</v>
      </c>
      <c r="C62" s="11">
        <f>C60+C61</f>
        <v>4024.6684931506848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  <row r="1001" spans="1:52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</row>
    <row r="1002" spans="1:52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</row>
    <row r="1003" spans="1:52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</row>
    <row r="1004" spans="1:52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</row>
    <row r="1005" spans="1:52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</row>
    <row r="1006" spans="1:52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</row>
    <row r="1007" spans="1:52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2024-03-03T18:23:34Z</dcterms:created>
  <dcterms:modified xsi:type="dcterms:W3CDTF">2024-03-03T18:29:54Z</dcterms:modified>
</cp:coreProperties>
</file>