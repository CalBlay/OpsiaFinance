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4" documentId="8_{023267AB-30FA-4F93-B7F6-C32CF274FD04}" xr6:coauthVersionLast="47" xr6:coauthVersionMax="47" xr10:uidLastSave="{04193A81-9C81-4B98-867A-B0004A856E31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1" l="1"/>
  <c r="F60" i="1"/>
  <c r="E53" i="1"/>
  <c r="C53" i="1"/>
  <c r="C52" i="1"/>
  <c r="E52" i="1" s="1"/>
  <c r="C51" i="1"/>
  <c r="E51" i="1" s="1"/>
  <c r="C55" i="1" s="1"/>
  <c r="C61" i="1" s="1"/>
  <c r="D48" i="1"/>
  <c r="D61" i="1" l="1"/>
  <c r="C62" i="1"/>
  <c r="E61" i="1"/>
  <c r="F61" i="1" l="1"/>
  <c r="G61" i="1"/>
  <c r="C63" i="1"/>
  <c r="C64" i="1" l="1"/>
  <c r="E62" i="1"/>
  <c r="D62" i="1" s="1"/>
  <c r="F62" i="1" s="1"/>
  <c r="E63" i="1" l="1"/>
  <c r="D63" i="1" s="1"/>
  <c r="F63" i="1" s="1"/>
  <c r="G62" i="1"/>
  <c r="E64" i="1" l="1"/>
  <c r="D64" i="1" s="1"/>
  <c r="F64" i="1" s="1"/>
  <c r="G63" i="1"/>
  <c r="E65" i="1" l="1"/>
  <c r="C56" i="1"/>
  <c r="C65" i="1" s="1"/>
  <c r="G64" i="1"/>
  <c r="D65" i="1" l="1"/>
  <c r="F65" i="1" s="1"/>
  <c r="C66" i="1"/>
  <c r="E66" i="1" l="1"/>
  <c r="D66" i="1" s="1"/>
  <c r="F66" i="1" s="1"/>
  <c r="G65" i="1"/>
  <c r="C67" i="1"/>
  <c r="E67" i="1" l="1"/>
  <c r="D67" i="1" s="1"/>
  <c r="F67" i="1" s="1"/>
  <c r="C68" i="1"/>
  <c r="G66" i="1"/>
  <c r="E68" i="1" l="1"/>
  <c r="D68" i="1" s="1"/>
  <c r="F68" i="1" s="1"/>
  <c r="G67" i="1"/>
  <c r="E69" i="1" l="1"/>
  <c r="C57" i="1"/>
  <c r="C69" i="1" s="1"/>
  <c r="G68" i="1"/>
  <c r="G69" i="1" l="1"/>
  <c r="C70" i="1"/>
  <c r="D69" i="1"/>
  <c r="F69" i="1" s="1"/>
  <c r="E70" i="1" l="1"/>
  <c r="D70" i="1" s="1"/>
  <c r="C71" i="1"/>
  <c r="F70" i="1" l="1"/>
  <c r="G70" i="1"/>
  <c r="C72" i="1"/>
  <c r="C73" i="1" l="1"/>
  <c r="E71" i="1"/>
  <c r="D71" i="1" s="1"/>
  <c r="G71" i="1" s="1"/>
  <c r="F71" i="1" l="1"/>
  <c r="C74" i="1"/>
  <c r="C75" i="1" l="1"/>
  <c r="E72" i="1"/>
  <c r="D72" i="1" s="1"/>
  <c r="G72" i="1" s="1"/>
  <c r="F72" i="1" l="1"/>
  <c r="C76" i="1"/>
  <c r="C77" i="1" l="1"/>
  <c r="E73" i="1"/>
  <c r="D73" i="1" s="1"/>
  <c r="G73" i="1" s="1"/>
  <c r="F73" i="1" l="1"/>
  <c r="C78" i="1"/>
  <c r="C79" i="1" l="1"/>
  <c r="E74" i="1"/>
  <c r="D74" i="1" s="1"/>
  <c r="G74" i="1" s="1"/>
  <c r="F74" i="1"/>
  <c r="E75" i="1" l="1"/>
  <c r="D75" i="1" s="1"/>
  <c r="F75" i="1" s="1"/>
  <c r="C80" i="1"/>
  <c r="E76" i="1" l="1"/>
  <c r="D76" i="1" s="1"/>
  <c r="F76" i="1" s="1"/>
  <c r="C81" i="1"/>
  <c r="G75" i="1"/>
  <c r="E77" i="1" l="1"/>
  <c r="D77" i="1" s="1"/>
  <c r="F77" i="1" s="1"/>
  <c r="G76" i="1"/>
  <c r="C82" i="1"/>
  <c r="E78" i="1" l="1"/>
  <c r="D78" i="1" s="1"/>
  <c r="F78" i="1" s="1"/>
  <c r="G77" i="1"/>
  <c r="C83" i="1"/>
  <c r="E79" i="1" l="1"/>
  <c r="D79" i="1" s="1"/>
  <c r="F79" i="1" s="1"/>
  <c r="C84" i="1"/>
  <c r="G78" i="1"/>
  <c r="E80" i="1" l="1"/>
  <c r="D80" i="1" s="1"/>
  <c r="F80" i="1" s="1"/>
  <c r="G79" i="1"/>
  <c r="C85" i="1"/>
  <c r="E81" i="1" l="1"/>
  <c r="D81" i="1" s="1"/>
  <c r="F81" i="1" s="1"/>
  <c r="C86" i="1"/>
  <c r="G80" i="1"/>
  <c r="E82" i="1" l="1"/>
  <c r="D82" i="1" s="1"/>
  <c r="F82" i="1" s="1"/>
  <c r="G81" i="1"/>
  <c r="C87" i="1"/>
  <c r="E83" i="1" l="1"/>
  <c r="D83" i="1" s="1"/>
  <c r="F83" i="1" s="1"/>
  <c r="C88" i="1"/>
  <c r="G82" i="1"/>
  <c r="E84" i="1" l="1"/>
  <c r="D84" i="1" s="1"/>
  <c r="F84" i="1" s="1"/>
  <c r="G83" i="1"/>
  <c r="C89" i="1"/>
  <c r="E85" i="1" l="1"/>
  <c r="D85" i="1" s="1"/>
  <c r="F85" i="1" s="1"/>
  <c r="C90" i="1"/>
  <c r="G84" i="1"/>
  <c r="E86" i="1" l="1"/>
  <c r="D86" i="1" s="1"/>
  <c r="F86" i="1" s="1"/>
  <c r="G85" i="1"/>
  <c r="C91" i="1"/>
  <c r="E87" i="1" l="1"/>
  <c r="D87" i="1" s="1"/>
  <c r="F87" i="1" s="1"/>
  <c r="C92" i="1"/>
  <c r="G86" i="1"/>
  <c r="E88" i="1" l="1"/>
  <c r="D88" i="1" s="1"/>
  <c r="F88" i="1" s="1"/>
  <c r="G87" i="1"/>
  <c r="C93" i="1"/>
  <c r="E89" i="1" l="1"/>
  <c r="D89" i="1" s="1"/>
  <c r="F89" i="1" s="1"/>
  <c r="C94" i="1"/>
  <c r="G88" i="1"/>
  <c r="E90" i="1" l="1"/>
  <c r="D90" i="1" s="1"/>
  <c r="F90" i="1" s="1"/>
  <c r="G89" i="1"/>
  <c r="C95" i="1"/>
  <c r="E91" i="1" l="1"/>
  <c r="D91" i="1" s="1"/>
  <c r="F91" i="1" s="1"/>
  <c r="C96" i="1"/>
  <c r="G90" i="1"/>
  <c r="E92" i="1" l="1"/>
  <c r="D92" i="1" s="1"/>
  <c r="F92" i="1" s="1"/>
  <c r="G91" i="1"/>
  <c r="C97" i="1"/>
  <c r="E93" i="1" l="1"/>
  <c r="D93" i="1" s="1"/>
  <c r="F93" i="1" s="1"/>
  <c r="C98" i="1"/>
  <c r="G92" i="1"/>
  <c r="E94" i="1" l="1"/>
  <c r="D94" i="1" s="1"/>
  <c r="F94" i="1" s="1"/>
  <c r="G93" i="1"/>
  <c r="C99" i="1"/>
  <c r="E95" i="1" l="1"/>
  <c r="D95" i="1" s="1"/>
  <c r="F95" i="1" s="1"/>
  <c r="C100" i="1"/>
  <c r="G94" i="1"/>
  <c r="E96" i="1" l="1"/>
  <c r="D96" i="1" s="1"/>
  <c r="F96" i="1" s="1"/>
  <c r="G95" i="1"/>
  <c r="C101" i="1"/>
  <c r="E97" i="1" l="1"/>
  <c r="D97" i="1" s="1"/>
  <c r="F97" i="1" s="1"/>
  <c r="C102" i="1"/>
  <c r="G96" i="1"/>
  <c r="E98" i="1" l="1"/>
  <c r="D98" i="1" s="1"/>
  <c r="F98" i="1" s="1"/>
  <c r="G97" i="1"/>
  <c r="C103" i="1"/>
  <c r="E99" i="1" l="1"/>
  <c r="D99" i="1" s="1"/>
  <c r="F99" i="1" s="1"/>
  <c r="C104" i="1"/>
  <c r="G98" i="1"/>
  <c r="E100" i="1" l="1"/>
  <c r="D100" i="1" s="1"/>
  <c r="F100" i="1" s="1"/>
  <c r="G99" i="1"/>
  <c r="C105" i="1"/>
  <c r="E101" i="1" l="1"/>
  <c r="D101" i="1" s="1"/>
  <c r="F101" i="1" s="1"/>
  <c r="C106" i="1"/>
  <c r="G100" i="1"/>
  <c r="E102" i="1" l="1"/>
  <c r="D102" i="1" s="1"/>
  <c r="F102" i="1" s="1"/>
  <c r="G101" i="1"/>
  <c r="C107" i="1"/>
  <c r="E103" i="1" l="1"/>
  <c r="D103" i="1" s="1"/>
  <c r="F103" i="1" s="1"/>
  <c r="C108" i="1"/>
  <c r="G102" i="1"/>
  <c r="F104" i="1" l="1"/>
  <c r="E104" i="1"/>
  <c r="D104" i="1" s="1"/>
  <c r="G103" i="1"/>
  <c r="G104" i="1" s="1"/>
  <c r="C109" i="1"/>
  <c r="C110" i="1" l="1"/>
  <c r="E105" i="1"/>
  <c r="D105" i="1" s="1"/>
  <c r="G105" i="1" s="1"/>
  <c r="F105" i="1" l="1"/>
  <c r="C111" i="1"/>
  <c r="E106" i="1" l="1"/>
  <c r="D106" i="1" s="1"/>
  <c r="G106" i="1" s="1"/>
  <c r="C112" i="1"/>
  <c r="C113" i="1" l="1"/>
  <c r="F106" i="1"/>
  <c r="F107" i="1" l="1"/>
  <c r="E107" i="1"/>
  <c r="D107" i="1" s="1"/>
  <c r="G107" i="1" s="1"/>
  <c r="C114" i="1"/>
  <c r="E108" i="1" l="1"/>
  <c r="D108" i="1" s="1"/>
  <c r="F108" i="1" s="1"/>
  <c r="C115" i="1"/>
  <c r="G108" i="1"/>
  <c r="F109" i="1" l="1"/>
  <c r="E109" i="1"/>
  <c r="D109" i="1" s="1"/>
  <c r="C116" i="1"/>
  <c r="G109" i="1"/>
  <c r="G110" i="1" l="1"/>
  <c r="C117" i="1"/>
  <c r="E110" i="1"/>
  <c r="D110" i="1" s="1"/>
  <c r="F110" i="1" s="1"/>
  <c r="F111" i="1" l="1"/>
  <c r="E111" i="1"/>
  <c r="D111" i="1" s="1"/>
  <c r="G111" i="1"/>
  <c r="C118" i="1"/>
  <c r="E112" i="1" l="1"/>
  <c r="D112" i="1" s="1"/>
  <c r="F112" i="1" s="1"/>
  <c r="C119" i="1"/>
  <c r="G112" i="1"/>
  <c r="E113" i="1" l="1"/>
  <c r="D113" i="1" s="1"/>
  <c r="G113" i="1" s="1"/>
  <c r="C120" i="1"/>
  <c r="F113" i="1" l="1"/>
  <c r="E114" i="1" l="1"/>
  <c r="D114" i="1" s="1"/>
  <c r="G114" i="1" s="1"/>
  <c r="F114" i="1" l="1"/>
  <c r="E115" i="1" l="1"/>
  <c r="D115" i="1" s="1"/>
  <c r="G115" i="1" s="1"/>
  <c r="F115" i="1"/>
  <c r="F116" i="1" l="1"/>
  <c r="E116" i="1"/>
  <c r="D116" i="1" s="1"/>
  <c r="G116" i="1" s="1"/>
  <c r="E117" i="1" l="1"/>
  <c r="D117" i="1" s="1"/>
  <c r="G117" i="1" s="1"/>
  <c r="F117" i="1" l="1"/>
  <c r="E118" i="1" l="1"/>
  <c r="D118" i="1" s="1"/>
  <c r="G118" i="1" s="1"/>
  <c r="F118" i="1" l="1"/>
  <c r="E119" i="1" l="1"/>
  <c r="D119" i="1" s="1"/>
  <c r="G119" i="1" s="1"/>
  <c r="F119" i="1" l="1"/>
  <c r="E120" i="1" l="1"/>
  <c r="D120" i="1" s="1"/>
  <c r="G120" i="1" s="1"/>
  <c r="F120" i="1" l="1"/>
</calcChain>
</file>

<file path=xl/sharedStrings.xml><?xml version="1.0" encoding="utf-8"?>
<sst xmlns="http://schemas.openxmlformats.org/spreadsheetml/2006/main" count="32" uniqueCount="28">
  <si>
    <t>Hace más de 2 años, la empresa F2, S.A. firmó un contrato de préstamo hipotecario por la compra</t>
  </si>
  <si>
    <t>de sus oficinas por importe inicial de 900.000 euros.</t>
  </si>
  <si>
    <t>Este préstamo sigue un sistema de amortización francés con un tipo de interés nominal de EURIBOR más</t>
  </si>
  <si>
    <t>un diferencial del 0,65% durante los 15 años de vigencia del mismo. Este tipo de interés será revisable</t>
  </si>
  <si>
    <t>anualmente y las cuotas a pagar del préstamo tendrán una periodicidad trimestral.</t>
  </si>
  <si>
    <t>Se pide calcular el cuadro de amortización del préstamo actualizado, sabiendo que el EURIBOR se</t>
  </si>
  <si>
    <t>fijaba en el 0,72% en el momento de la firma del contrato, en 0,98% en la fecha de revisión del</t>
  </si>
  <si>
    <t>primer año y en el 1,11% en la fecha de revisión del segundo año.</t>
  </si>
  <si>
    <t>Capital inicial</t>
  </si>
  <si>
    <t>Periodo</t>
  </si>
  <si>
    <t>15 años</t>
  </si>
  <si>
    <t>trimestres</t>
  </si>
  <si>
    <t>Tipo de interés:</t>
  </si>
  <si>
    <t>Para el primer año</t>
  </si>
  <si>
    <t>Anual</t>
  </si>
  <si>
    <t>Trimestrales</t>
  </si>
  <si>
    <t>Para el segundo año</t>
  </si>
  <si>
    <t>Resto de años</t>
  </si>
  <si>
    <t>Cuota a pagar el primer año</t>
  </si>
  <si>
    <t>Cuota a pagar el segundo año</t>
  </si>
  <si>
    <t>Cuota a pagar el tecer año</t>
  </si>
  <si>
    <t>Nº de periodos</t>
  </si>
  <si>
    <t>Fecha</t>
  </si>
  <si>
    <t>Cuota a pagar</t>
  </si>
  <si>
    <t>Cuota de amortizac.</t>
  </si>
  <si>
    <t>Cuota de interes</t>
  </si>
  <si>
    <t>Capital vivo</t>
  </si>
  <si>
    <t>Capital amortizado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</si>
</sst>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d/m"/>
  </numFmts>
  <fonts count="3" x14ac:knownFonts="1"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10" fontId="2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164" fontId="2" fillId="0" borderId="3" xfId="0" applyNumberFormat="1" applyFont="1" applyBorder="1"/>
    <xf numFmtId="4" fontId="2" fillId="0" borderId="3" xfId="0" applyNumberFormat="1" applyFont="1" applyBorder="1"/>
    <xf numFmtId="4" fontId="2" fillId="0" borderId="4" xfId="0" applyNumberFormat="1" applyFont="1" applyBorder="1"/>
    <xf numFmtId="0" fontId="2" fillId="2" borderId="2" xfId="0" applyFont="1" applyFill="1" applyBorder="1"/>
    <xf numFmtId="164" fontId="2" fillId="2" borderId="3" xfId="0" applyNumberFormat="1" applyFont="1" applyFill="1" applyBorder="1"/>
    <xf numFmtId="4" fontId="2" fillId="2" borderId="3" xfId="0" applyNumberFormat="1" applyFont="1" applyFill="1" applyBorder="1"/>
    <xf numFmtId="4" fontId="2" fillId="2" borderId="4" xfId="0" applyNumberFormat="1" applyFont="1" applyFill="1" applyBorder="1"/>
    <xf numFmtId="0" fontId="2" fillId="3" borderId="2" xfId="0" applyFont="1" applyFill="1" applyBorder="1"/>
    <xf numFmtId="164" fontId="2" fillId="3" borderId="3" xfId="0" applyNumberFormat="1" applyFont="1" applyFill="1" applyBorder="1"/>
    <xf numFmtId="4" fontId="2" fillId="3" borderId="3" xfId="0" applyNumberFormat="1" applyFont="1" applyFill="1" applyBorder="1"/>
    <xf numFmtId="4" fontId="2" fillId="3" borderId="4" xfId="0" applyNumberFormat="1" applyFont="1" applyFill="1" applyBorder="1"/>
    <xf numFmtId="0" fontId="1" fillId="0" borderId="0" xfId="0" applyFont="1"/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476750" cy="2876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6238875" cy="348615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6:I120"/>
  <sheetViews>
    <sheetView tabSelected="1" topLeftCell="A48" workbookViewId="0">
      <selection activeCell="K59" sqref="K59"/>
    </sheetView>
  </sheetViews>
  <sheetFormatPr defaultColWidth="14.42578125" defaultRowHeight="15.75" customHeight="1" x14ac:dyDescent="0.2"/>
  <cols>
    <col min="2" max="2" width="25" customWidth="1"/>
    <col min="4" max="4" width="20.7109375" customWidth="1"/>
    <col min="5" max="5" width="15.85546875" customWidth="1"/>
    <col min="7" max="7" width="18.85546875" customWidth="1"/>
  </cols>
  <sheetData>
    <row r="36" spans="2:9" ht="15.75" customHeight="1" x14ac:dyDescent="0.25">
      <c r="B36" s="19" t="s">
        <v>0</v>
      </c>
      <c r="C36" s="20"/>
      <c r="D36" s="20"/>
      <c r="E36" s="20"/>
      <c r="F36" s="20"/>
      <c r="G36" s="20"/>
      <c r="H36" s="20"/>
      <c r="I36" s="20"/>
    </row>
    <row r="37" spans="2:9" ht="15.75" customHeight="1" x14ac:dyDescent="0.25">
      <c r="B37" s="19" t="s">
        <v>1</v>
      </c>
      <c r="C37" s="20"/>
      <c r="D37" s="20"/>
      <c r="E37" s="20"/>
      <c r="F37" s="20"/>
      <c r="G37" s="20"/>
      <c r="H37" s="20"/>
      <c r="I37" s="20"/>
    </row>
    <row r="38" spans="2:9" ht="15.75" customHeight="1" x14ac:dyDescent="0.25">
      <c r="B38" s="19"/>
      <c r="C38" s="20"/>
      <c r="D38" s="20"/>
      <c r="E38" s="20"/>
      <c r="F38" s="20"/>
      <c r="G38" s="20"/>
      <c r="H38" s="20"/>
      <c r="I38" s="20"/>
    </row>
    <row r="39" spans="2:9" ht="15.75" customHeight="1" x14ac:dyDescent="0.25">
      <c r="B39" s="1" t="s">
        <v>2</v>
      </c>
      <c r="C39" s="2"/>
      <c r="D39" s="2"/>
      <c r="E39" s="2"/>
      <c r="F39" s="2"/>
      <c r="G39" s="2"/>
      <c r="H39" s="2"/>
      <c r="I39" s="2"/>
    </row>
    <row r="40" spans="2:9" ht="15.75" customHeight="1" x14ac:dyDescent="0.25">
      <c r="B40" s="19" t="s">
        <v>3</v>
      </c>
      <c r="C40" s="20"/>
      <c r="D40" s="20"/>
      <c r="E40" s="20"/>
      <c r="F40" s="20"/>
      <c r="G40" s="20"/>
      <c r="H40" s="20"/>
      <c r="I40" s="20"/>
    </row>
    <row r="41" spans="2:9" ht="15.75" customHeight="1" x14ac:dyDescent="0.25">
      <c r="B41" s="1" t="s">
        <v>4</v>
      </c>
      <c r="C41" s="1"/>
      <c r="D41" s="1"/>
      <c r="E41" s="1"/>
      <c r="F41" s="1"/>
      <c r="G41" s="1"/>
      <c r="H41" s="1"/>
      <c r="I41" s="1"/>
    </row>
    <row r="42" spans="2:9" ht="15.75" customHeight="1" x14ac:dyDescent="0.25">
      <c r="B42" s="19"/>
      <c r="C42" s="20"/>
      <c r="D42" s="20"/>
      <c r="E42" s="20"/>
      <c r="F42" s="20"/>
      <c r="G42" s="1"/>
      <c r="H42" s="1"/>
      <c r="I42" s="1"/>
    </row>
    <row r="43" spans="2:9" ht="15.75" customHeight="1" x14ac:dyDescent="0.25">
      <c r="B43" s="19" t="s">
        <v>5</v>
      </c>
      <c r="C43" s="20"/>
      <c r="D43" s="20"/>
      <c r="E43" s="20"/>
      <c r="F43" s="20"/>
      <c r="G43" s="20"/>
      <c r="H43" s="20"/>
      <c r="I43" s="1"/>
    </row>
    <row r="44" spans="2:9" x14ac:dyDescent="0.2">
      <c r="B44" s="3" t="s">
        <v>6</v>
      </c>
    </row>
    <row r="45" spans="2:9" x14ac:dyDescent="0.2">
      <c r="B45" s="3" t="s">
        <v>7</v>
      </c>
    </row>
    <row r="47" spans="2:9" x14ac:dyDescent="0.2">
      <c r="B47" s="3" t="s">
        <v>8</v>
      </c>
      <c r="C47" s="4">
        <v>900000</v>
      </c>
    </row>
    <row r="48" spans="2:9" x14ac:dyDescent="0.2">
      <c r="B48" s="3" t="s">
        <v>9</v>
      </c>
      <c r="C48" s="3" t="s">
        <v>10</v>
      </c>
      <c r="D48" s="3">
        <f>15*4</f>
        <v>60</v>
      </c>
      <c r="E48" s="3" t="s">
        <v>11</v>
      </c>
    </row>
    <row r="49" spans="1:7" x14ac:dyDescent="0.2">
      <c r="B49" s="3" t="s">
        <v>12</v>
      </c>
    </row>
    <row r="51" spans="1:7" x14ac:dyDescent="0.2">
      <c r="B51" s="3" t="s">
        <v>13</v>
      </c>
      <c r="C51" s="5">
        <f>0.72%+0.65%</f>
        <v>1.37E-2</v>
      </c>
      <c r="D51" s="3" t="s">
        <v>14</v>
      </c>
      <c r="E51" s="5">
        <f t="shared" ref="E51:E53" si="0">C51/4</f>
        <v>3.4250000000000001E-3</v>
      </c>
      <c r="F51" s="3" t="s">
        <v>15</v>
      </c>
    </row>
    <row r="52" spans="1:7" x14ac:dyDescent="0.2">
      <c r="B52" s="3" t="s">
        <v>16</v>
      </c>
      <c r="C52" s="5">
        <f>0.98%+0.65%</f>
        <v>1.6300000000000002E-2</v>
      </c>
      <c r="D52" s="3" t="s">
        <v>14</v>
      </c>
      <c r="E52" s="5">
        <f t="shared" si="0"/>
        <v>4.0750000000000005E-3</v>
      </c>
      <c r="F52" s="3" t="s">
        <v>15</v>
      </c>
    </row>
    <row r="53" spans="1:7" x14ac:dyDescent="0.2">
      <c r="B53" s="3" t="s">
        <v>17</v>
      </c>
      <c r="C53" s="5">
        <f>1.11%+0.65%</f>
        <v>1.7600000000000001E-2</v>
      </c>
      <c r="D53" s="3" t="s">
        <v>14</v>
      </c>
      <c r="E53" s="5">
        <f t="shared" si="0"/>
        <v>4.4000000000000003E-3</v>
      </c>
      <c r="F53" s="3" t="s">
        <v>15</v>
      </c>
    </row>
    <row r="55" spans="1:7" x14ac:dyDescent="0.2">
      <c r="B55" s="3" t="s">
        <v>18</v>
      </c>
      <c r="C55" s="4">
        <f>C47*(E51/(1-(1+E51)^-D48))</f>
        <v>16619.583554106612</v>
      </c>
      <c r="F55" s="21">
        <f>PPMT(C51,7,90,F60,0)</f>
        <v>-5567.7874176941468</v>
      </c>
    </row>
    <row r="56" spans="1:7" x14ac:dyDescent="0.2">
      <c r="B56" s="3" t="s">
        <v>19</v>
      </c>
      <c r="C56" s="4">
        <f>F64*(E52/(1-(1+E52)^-(D48-A64)))</f>
        <v>16918.450433227426</v>
      </c>
    </row>
    <row r="57" spans="1:7" x14ac:dyDescent="0.2">
      <c r="B57" s="3" t="s">
        <v>20</v>
      </c>
      <c r="C57" s="4">
        <f>F68*(E53/(1-(1+E53)^-(D48-A68)))</f>
        <v>17058.914749127271</v>
      </c>
    </row>
    <row r="59" spans="1:7" x14ac:dyDescent="0.2">
      <c r="A59" s="6" t="s">
        <v>21</v>
      </c>
      <c r="B59" s="6" t="s">
        <v>22</v>
      </c>
      <c r="C59" s="6" t="s">
        <v>23</v>
      </c>
      <c r="D59" s="6" t="s">
        <v>24</v>
      </c>
      <c r="E59" s="6" t="s">
        <v>25</v>
      </c>
      <c r="F59" s="6" t="s">
        <v>26</v>
      </c>
      <c r="G59" s="6" t="s">
        <v>27</v>
      </c>
    </row>
    <row r="60" spans="1:7" x14ac:dyDescent="0.2">
      <c r="A60" s="7">
        <v>0</v>
      </c>
      <c r="B60" s="8">
        <v>44287</v>
      </c>
      <c r="C60" s="9"/>
      <c r="D60" s="9"/>
      <c r="E60" s="9"/>
      <c r="F60" s="9">
        <f>C47</f>
        <v>900000</v>
      </c>
      <c r="G60" s="10"/>
    </row>
    <row r="61" spans="1:7" x14ac:dyDescent="0.2">
      <c r="A61" s="11">
        <v>1</v>
      </c>
      <c r="B61" s="12">
        <v>44378</v>
      </c>
      <c r="C61" s="13">
        <f>C55</f>
        <v>16619.583554106612</v>
      </c>
      <c r="D61" s="13">
        <f t="shared" ref="D61:D120" si="1">C61-E61</f>
        <v>13537.083554106612</v>
      </c>
      <c r="E61" s="13">
        <f t="shared" ref="E61:E64" si="2">F60*$E$51</f>
        <v>3082.5</v>
      </c>
      <c r="F61" s="13">
        <f t="shared" ref="F61:F120" si="3">F60-D61</f>
        <v>886462.91644589335</v>
      </c>
      <c r="G61" s="14">
        <f t="shared" ref="G61:G120" si="4">G60+D61</f>
        <v>13537.083554106612</v>
      </c>
    </row>
    <row r="62" spans="1:7" x14ac:dyDescent="0.2">
      <c r="A62" s="11">
        <v>2</v>
      </c>
      <c r="B62" s="12">
        <v>44470</v>
      </c>
      <c r="C62" s="13">
        <f t="shared" ref="C62:C64" si="5">C61</f>
        <v>16619.583554106612</v>
      </c>
      <c r="D62" s="13">
        <f t="shared" si="1"/>
        <v>13583.448065279426</v>
      </c>
      <c r="E62" s="13">
        <f t="shared" si="2"/>
        <v>3036.1354888271849</v>
      </c>
      <c r="F62" s="13">
        <f t="shared" si="3"/>
        <v>872879.46838061395</v>
      </c>
      <c r="G62" s="14">
        <f t="shared" si="4"/>
        <v>27120.531619386038</v>
      </c>
    </row>
    <row r="63" spans="1:7" x14ac:dyDescent="0.2">
      <c r="A63" s="11">
        <v>3</v>
      </c>
      <c r="B63" s="12">
        <v>44562</v>
      </c>
      <c r="C63" s="13">
        <f t="shared" si="5"/>
        <v>16619.583554106612</v>
      </c>
      <c r="D63" s="13">
        <f t="shared" si="1"/>
        <v>13629.971374903009</v>
      </c>
      <c r="E63" s="13">
        <f t="shared" si="2"/>
        <v>2989.6121792036029</v>
      </c>
      <c r="F63" s="13">
        <f t="shared" si="3"/>
        <v>859249.49700571096</v>
      </c>
      <c r="G63" s="14">
        <f t="shared" si="4"/>
        <v>40750.502994289047</v>
      </c>
    </row>
    <row r="64" spans="1:7" x14ac:dyDescent="0.2">
      <c r="A64" s="11">
        <v>4</v>
      </c>
      <c r="B64" s="12">
        <v>44652</v>
      </c>
      <c r="C64" s="13">
        <f t="shared" si="5"/>
        <v>16619.583554106612</v>
      </c>
      <c r="D64" s="13">
        <f t="shared" si="1"/>
        <v>13676.654026862052</v>
      </c>
      <c r="E64" s="13">
        <f t="shared" si="2"/>
        <v>2942.9295272445602</v>
      </c>
      <c r="F64" s="13">
        <f t="shared" si="3"/>
        <v>845572.84297884896</v>
      </c>
      <c r="G64" s="14">
        <f t="shared" si="4"/>
        <v>54427.157021151099</v>
      </c>
    </row>
    <row r="65" spans="1:7" x14ac:dyDescent="0.2">
      <c r="A65" s="15">
        <v>5</v>
      </c>
      <c r="B65" s="16">
        <v>44743</v>
      </c>
      <c r="C65" s="17">
        <f>C56</f>
        <v>16918.450433227426</v>
      </c>
      <c r="D65" s="17">
        <f t="shared" si="1"/>
        <v>13472.741098088616</v>
      </c>
      <c r="E65" s="17">
        <f t="shared" ref="E65:E68" si="6">F64*$E$52</f>
        <v>3445.7093351388098</v>
      </c>
      <c r="F65" s="17">
        <f t="shared" si="3"/>
        <v>832100.1018807604</v>
      </c>
      <c r="G65" s="18">
        <f t="shared" si="4"/>
        <v>67899.898119239719</v>
      </c>
    </row>
    <row r="66" spans="1:7" x14ac:dyDescent="0.2">
      <c r="A66" s="15">
        <v>6</v>
      </c>
      <c r="B66" s="16">
        <v>44835</v>
      </c>
      <c r="C66" s="17">
        <f t="shared" ref="C66:C68" si="7">C65</f>
        <v>16918.450433227426</v>
      </c>
      <c r="D66" s="17">
        <f t="shared" si="1"/>
        <v>13527.642518063327</v>
      </c>
      <c r="E66" s="17">
        <f t="shared" si="6"/>
        <v>3390.8079151640991</v>
      </c>
      <c r="F66" s="17">
        <f t="shared" si="3"/>
        <v>818572.45936269709</v>
      </c>
      <c r="G66" s="18">
        <f t="shared" si="4"/>
        <v>81427.540637303042</v>
      </c>
    </row>
    <row r="67" spans="1:7" x14ac:dyDescent="0.2">
      <c r="A67" s="15">
        <v>7</v>
      </c>
      <c r="B67" s="16">
        <v>44927</v>
      </c>
      <c r="C67" s="17">
        <f t="shared" si="7"/>
        <v>16918.450433227426</v>
      </c>
      <c r="D67" s="17">
        <f t="shared" si="1"/>
        <v>13582.767661324435</v>
      </c>
      <c r="E67" s="17">
        <f t="shared" si="6"/>
        <v>3335.6827719029911</v>
      </c>
      <c r="F67" s="17">
        <f t="shared" si="3"/>
        <v>804989.69170137262</v>
      </c>
      <c r="G67" s="18">
        <f t="shared" si="4"/>
        <v>95010.308298627482</v>
      </c>
    </row>
    <row r="68" spans="1:7" x14ac:dyDescent="0.2">
      <c r="A68" s="15">
        <v>8</v>
      </c>
      <c r="B68" s="16">
        <v>45017</v>
      </c>
      <c r="C68" s="17">
        <f t="shared" si="7"/>
        <v>16918.450433227426</v>
      </c>
      <c r="D68" s="17">
        <f t="shared" si="1"/>
        <v>13638.117439544332</v>
      </c>
      <c r="E68" s="17">
        <f t="shared" si="6"/>
        <v>3280.3329936830937</v>
      </c>
      <c r="F68" s="17">
        <f t="shared" si="3"/>
        <v>791351.57426182833</v>
      </c>
      <c r="G68" s="18">
        <f t="shared" si="4"/>
        <v>108648.42573817182</v>
      </c>
    </row>
    <row r="69" spans="1:7" x14ac:dyDescent="0.2">
      <c r="A69" s="7">
        <v>9</v>
      </c>
      <c r="B69" s="8">
        <v>45108</v>
      </c>
      <c r="C69" s="9">
        <f>C57</f>
        <v>17058.914749127271</v>
      </c>
      <c r="D69" s="9">
        <f t="shared" si="1"/>
        <v>13576.967822375225</v>
      </c>
      <c r="E69" s="9">
        <f t="shared" ref="E69:E120" si="8">F68*$E$53</f>
        <v>3481.9469267520449</v>
      </c>
      <c r="F69" s="9">
        <f t="shared" si="3"/>
        <v>777774.60643945308</v>
      </c>
      <c r="G69" s="10">
        <f t="shared" si="4"/>
        <v>122225.39356054705</v>
      </c>
    </row>
    <row r="70" spans="1:7" x14ac:dyDescent="0.2">
      <c r="A70" s="7">
        <v>10</v>
      </c>
      <c r="B70" s="8">
        <v>45200</v>
      </c>
      <c r="C70" s="9">
        <f t="shared" ref="C70:C120" si="9">C69</f>
        <v>17058.914749127271</v>
      </c>
      <c r="D70" s="9">
        <f t="shared" si="1"/>
        <v>13636.706480793677</v>
      </c>
      <c r="E70" s="9">
        <f t="shared" si="8"/>
        <v>3422.2082683335939</v>
      </c>
      <c r="F70" s="9">
        <f t="shared" si="3"/>
        <v>764137.89995865943</v>
      </c>
      <c r="G70" s="10">
        <f t="shared" si="4"/>
        <v>135862.10004134072</v>
      </c>
    </row>
    <row r="71" spans="1:7" x14ac:dyDescent="0.2">
      <c r="A71" s="7">
        <v>11</v>
      </c>
      <c r="B71" s="8">
        <v>45292</v>
      </c>
      <c r="C71" s="9">
        <f t="shared" si="9"/>
        <v>17058.914749127271</v>
      </c>
      <c r="D71" s="9">
        <f t="shared" si="1"/>
        <v>13696.707989309169</v>
      </c>
      <c r="E71" s="9">
        <f t="shared" si="8"/>
        <v>3362.2067598181015</v>
      </c>
      <c r="F71" s="9">
        <f t="shared" si="3"/>
        <v>750441.19196935021</v>
      </c>
      <c r="G71" s="10">
        <f t="shared" si="4"/>
        <v>149558.80803064987</v>
      </c>
    </row>
    <row r="72" spans="1:7" x14ac:dyDescent="0.2">
      <c r="A72" s="7">
        <v>12</v>
      </c>
      <c r="B72" s="8">
        <v>45383</v>
      </c>
      <c r="C72" s="9">
        <f t="shared" si="9"/>
        <v>17058.914749127271</v>
      </c>
      <c r="D72" s="9">
        <f t="shared" si="1"/>
        <v>13756.97350446213</v>
      </c>
      <c r="E72" s="9">
        <f t="shared" si="8"/>
        <v>3301.9412446651413</v>
      </c>
      <c r="F72" s="9">
        <f t="shared" si="3"/>
        <v>736684.21846488805</v>
      </c>
      <c r="G72" s="10">
        <f t="shared" si="4"/>
        <v>163315.78153511201</v>
      </c>
    </row>
    <row r="73" spans="1:7" x14ac:dyDescent="0.2">
      <c r="A73" s="7">
        <v>13</v>
      </c>
      <c r="B73" s="8">
        <v>45474</v>
      </c>
      <c r="C73" s="9">
        <f t="shared" si="9"/>
        <v>17058.914749127271</v>
      </c>
      <c r="D73" s="9">
        <f t="shared" si="1"/>
        <v>13817.504187881763</v>
      </c>
      <c r="E73" s="9">
        <f t="shared" si="8"/>
        <v>3241.4105612455078</v>
      </c>
      <c r="F73" s="9">
        <f t="shared" si="3"/>
        <v>722866.71427700634</v>
      </c>
      <c r="G73" s="10">
        <f t="shared" si="4"/>
        <v>177133.28572299378</v>
      </c>
    </row>
    <row r="74" spans="1:7" x14ac:dyDescent="0.2">
      <c r="A74" s="7">
        <v>14</v>
      </c>
      <c r="B74" s="8">
        <v>45566</v>
      </c>
      <c r="C74" s="9">
        <f t="shared" si="9"/>
        <v>17058.914749127271</v>
      </c>
      <c r="D74" s="9">
        <f t="shared" si="1"/>
        <v>13878.301206308442</v>
      </c>
      <c r="E74" s="9">
        <f t="shared" si="8"/>
        <v>3180.6135428188281</v>
      </c>
      <c r="F74" s="9">
        <f t="shared" si="3"/>
        <v>708988.41307069792</v>
      </c>
      <c r="G74" s="10">
        <f t="shared" si="4"/>
        <v>191011.58692930223</v>
      </c>
    </row>
    <row r="75" spans="1:7" x14ac:dyDescent="0.2">
      <c r="A75" s="7">
        <v>15</v>
      </c>
      <c r="B75" s="8">
        <v>45658</v>
      </c>
      <c r="C75" s="9">
        <f t="shared" si="9"/>
        <v>17058.914749127271</v>
      </c>
      <c r="D75" s="9">
        <f t="shared" si="1"/>
        <v>13939.365731616199</v>
      </c>
      <c r="E75" s="9">
        <f t="shared" si="8"/>
        <v>3119.5490175110708</v>
      </c>
      <c r="F75" s="9">
        <f t="shared" si="3"/>
        <v>695049.04733908176</v>
      </c>
      <c r="G75" s="10">
        <f t="shared" si="4"/>
        <v>204950.95266091841</v>
      </c>
    </row>
    <row r="76" spans="1:7" x14ac:dyDescent="0.2">
      <c r="A76" s="7">
        <v>16</v>
      </c>
      <c r="B76" s="8">
        <v>45748</v>
      </c>
      <c r="C76" s="9">
        <f t="shared" si="9"/>
        <v>17058.914749127271</v>
      </c>
      <c r="D76" s="9">
        <f t="shared" si="1"/>
        <v>14000.698940835311</v>
      </c>
      <c r="E76" s="9">
        <f t="shared" si="8"/>
        <v>3058.21580829196</v>
      </c>
      <c r="F76" s="9">
        <f t="shared" si="3"/>
        <v>681048.34839824645</v>
      </c>
      <c r="G76" s="10">
        <f t="shared" si="4"/>
        <v>218951.65160175372</v>
      </c>
    </row>
    <row r="77" spans="1:7" x14ac:dyDescent="0.2">
      <c r="A77" s="7">
        <v>17</v>
      </c>
      <c r="B77" s="8">
        <v>45839</v>
      </c>
      <c r="C77" s="9">
        <f t="shared" si="9"/>
        <v>17058.914749127271</v>
      </c>
      <c r="D77" s="9">
        <f t="shared" si="1"/>
        <v>14062.302016174986</v>
      </c>
      <c r="E77" s="9">
        <f t="shared" si="8"/>
        <v>2996.6127329522847</v>
      </c>
      <c r="F77" s="9">
        <f t="shared" si="3"/>
        <v>666986.04638207145</v>
      </c>
      <c r="G77" s="10">
        <f t="shared" si="4"/>
        <v>233013.9536179287</v>
      </c>
    </row>
    <row r="78" spans="1:7" x14ac:dyDescent="0.2">
      <c r="A78" s="7">
        <v>18</v>
      </c>
      <c r="B78" s="8">
        <v>45931</v>
      </c>
      <c r="C78" s="9">
        <f t="shared" si="9"/>
        <v>17058.914749127271</v>
      </c>
      <c r="D78" s="9">
        <f t="shared" si="1"/>
        <v>14124.176145046156</v>
      </c>
      <c r="E78" s="9">
        <f t="shared" si="8"/>
        <v>2934.7386040811148</v>
      </c>
      <c r="F78" s="9">
        <f t="shared" si="3"/>
        <v>652861.87023702532</v>
      </c>
      <c r="G78" s="10">
        <f t="shared" si="4"/>
        <v>247138.12976297486</v>
      </c>
    </row>
    <row r="79" spans="1:7" x14ac:dyDescent="0.2">
      <c r="A79" s="7">
        <v>19</v>
      </c>
      <c r="B79" s="8">
        <v>46023</v>
      </c>
      <c r="C79" s="9">
        <f t="shared" si="9"/>
        <v>17058.914749127271</v>
      </c>
      <c r="D79" s="9">
        <f t="shared" si="1"/>
        <v>14186.322520084359</v>
      </c>
      <c r="E79" s="9">
        <f t="shared" si="8"/>
        <v>2872.5922290429116</v>
      </c>
      <c r="F79" s="9">
        <f t="shared" si="3"/>
        <v>638675.54771694099</v>
      </c>
      <c r="G79" s="10">
        <f t="shared" si="4"/>
        <v>261324.45228305922</v>
      </c>
    </row>
    <row r="80" spans="1:7" x14ac:dyDescent="0.2">
      <c r="A80" s="7">
        <v>20</v>
      </c>
      <c r="B80" s="8">
        <v>46113</v>
      </c>
      <c r="C80" s="9">
        <f t="shared" si="9"/>
        <v>17058.914749127271</v>
      </c>
      <c r="D80" s="9">
        <f t="shared" si="1"/>
        <v>14248.74233917273</v>
      </c>
      <c r="E80" s="9">
        <f t="shared" si="8"/>
        <v>2810.1724099545404</v>
      </c>
      <c r="F80" s="9">
        <f t="shared" si="3"/>
        <v>624426.80537776824</v>
      </c>
      <c r="G80" s="10">
        <f t="shared" si="4"/>
        <v>275573.19462223194</v>
      </c>
    </row>
    <row r="81" spans="1:7" x14ac:dyDescent="0.2">
      <c r="A81" s="7">
        <v>21</v>
      </c>
      <c r="B81" s="8">
        <v>46204</v>
      </c>
      <c r="C81" s="9">
        <f t="shared" si="9"/>
        <v>17058.914749127271</v>
      </c>
      <c r="D81" s="9">
        <f t="shared" si="1"/>
        <v>14311.436805465091</v>
      </c>
      <c r="E81" s="9">
        <f t="shared" si="8"/>
        <v>2747.4779436621802</v>
      </c>
      <c r="F81" s="9">
        <f t="shared" si="3"/>
        <v>610115.36857230309</v>
      </c>
      <c r="G81" s="10">
        <f t="shared" si="4"/>
        <v>289884.63142769702</v>
      </c>
    </row>
    <row r="82" spans="1:7" x14ac:dyDescent="0.2">
      <c r="A82" s="7">
        <v>22</v>
      </c>
      <c r="B82" s="8">
        <v>46296</v>
      </c>
      <c r="C82" s="9">
        <f t="shared" si="9"/>
        <v>17058.914749127271</v>
      </c>
      <c r="D82" s="9">
        <f t="shared" si="1"/>
        <v>14374.407127409137</v>
      </c>
      <c r="E82" s="9">
        <f t="shared" si="8"/>
        <v>2684.5076217181336</v>
      </c>
      <c r="F82" s="9">
        <f t="shared" si="3"/>
        <v>595740.96144489397</v>
      </c>
      <c r="G82" s="10">
        <f t="shared" si="4"/>
        <v>304259.03855510615</v>
      </c>
    </row>
    <row r="83" spans="1:7" x14ac:dyDescent="0.2">
      <c r="A83" s="7">
        <v>23</v>
      </c>
      <c r="B83" s="8">
        <v>46388</v>
      </c>
      <c r="C83" s="9">
        <f t="shared" si="9"/>
        <v>17058.914749127271</v>
      </c>
      <c r="D83" s="9">
        <f t="shared" si="1"/>
        <v>14437.654518769737</v>
      </c>
      <c r="E83" s="9">
        <f t="shared" si="8"/>
        <v>2621.2602303575336</v>
      </c>
      <c r="F83" s="9">
        <f t="shared" si="3"/>
        <v>581303.30692612426</v>
      </c>
      <c r="G83" s="10">
        <f t="shared" si="4"/>
        <v>318696.69307387591</v>
      </c>
    </row>
    <row r="84" spans="1:7" x14ac:dyDescent="0.2">
      <c r="A84" s="7">
        <v>24</v>
      </c>
      <c r="B84" s="8">
        <v>46478</v>
      </c>
      <c r="C84" s="9">
        <f t="shared" si="9"/>
        <v>17058.914749127271</v>
      </c>
      <c r="D84" s="9">
        <f t="shared" si="1"/>
        <v>14501.180198652324</v>
      </c>
      <c r="E84" s="9">
        <f t="shared" si="8"/>
        <v>2557.7345504749469</v>
      </c>
      <c r="F84" s="9">
        <f t="shared" si="3"/>
        <v>566802.12672747194</v>
      </c>
      <c r="G84" s="10">
        <f t="shared" si="4"/>
        <v>333197.87327252823</v>
      </c>
    </row>
    <row r="85" spans="1:7" x14ac:dyDescent="0.2">
      <c r="A85" s="7">
        <v>25</v>
      </c>
      <c r="B85" s="8">
        <v>46569</v>
      </c>
      <c r="C85" s="9">
        <f t="shared" si="9"/>
        <v>17058.914749127271</v>
      </c>
      <c r="D85" s="9">
        <f t="shared" si="1"/>
        <v>14564.985391526394</v>
      </c>
      <c r="E85" s="9">
        <f t="shared" si="8"/>
        <v>2493.9293576008768</v>
      </c>
      <c r="F85" s="9">
        <f t="shared" si="3"/>
        <v>552237.14133594558</v>
      </c>
      <c r="G85" s="10">
        <f t="shared" si="4"/>
        <v>347762.8586640546</v>
      </c>
    </row>
    <row r="86" spans="1:7" x14ac:dyDescent="0.2">
      <c r="A86" s="7">
        <v>26</v>
      </c>
      <c r="B86" s="8">
        <v>46661</v>
      </c>
      <c r="C86" s="9">
        <f t="shared" si="9"/>
        <v>17058.914749127271</v>
      </c>
      <c r="D86" s="9">
        <f t="shared" si="1"/>
        <v>14629.07132724911</v>
      </c>
      <c r="E86" s="9">
        <f t="shared" si="8"/>
        <v>2429.8434218781608</v>
      </c>
      <c r="F86" s="9">
        <f t="shared" si="3"/>
        <v>537608.07000869652</v>
      </c>
      <c r="G86" s="10">
        <f t="shared" si="4"/>
        <v>362391.92999130371</v>
      </c>
    </row>
    <row r="87" spans="1:7" x14ac:dyDescent="0.2">
      <c r="A87" s="7">
        <v>27</v>
      </c>
      <c r="B87" s="8">
        <v>46753</v>
      </c>
      <c r="C87" s="9">
        <f t="shared" si="9"/>
        <v>17058.914749127271</v>
      </c>
      <c r="D87" s="9">
        <f t="shared" si="1"/>
        <v>14693.439241089007</v>
      </c>
      <c r="E87" s="9">
        <f t="shared" si="8"/>
        <v>2365.4755080382647</v>
      </c>
      <c r="F87" s="9">
        <f t="shared" si="3"/>
        <v>522914.63076760754</v>
      </c>
      <c r="G87" s="10">
        <f t="shared" si="4"/>
        <v>377085.3692323927</v>
      </c>
    </row>
    <row r="88" spans="1:7" x14ac:dyDescent="0.2">
      <c r="A88" s="7">
        <v>28</v>
      </c>
      <c r="B88" s="8">
        <v>46844</v>
      </c>
      <c r="C88" s="9">
        <f t="shared" si="9"/>
        <v>17058.914749127271</v>
      </c>
      <c r="D88" s="9">
        <f t="shared" si="1"/>
        <v>14758.090373749797</v>
      </c>
      <c r="E88" s="9">
        <f t="shared" si="8"/>
        <v>2300.8243753774732</v>
      </c>
      <c r="F88" s="9">
        <f t="shared" si="3"/>
        <v>508156.54039385775</v>
      </c>
      <c r="G88" s="10">
        <f t="shared" si="4"/>
        <v>391843.45960614248</v>
      </c>
    </row>
    <row r="89" spans="1:7" x14ac:dyDescent="0.2">
      <c r="A89" s="7">
        <v>29</v>
      </c>
      <c r="B89" s="8">
        <v>46935</v>
      </c>
      <c r="C89" s="9">
        <f t="shared" si="9"/>
        <v>17058.914749127271</v>
      </c>
      <c r="D89" s="9">
        <f t="shared" si="1"/>
        <v>14823.025971394296</v>
      </c>
      <c r="E89" s="9">
        <f t="shared" si="8"/>
        <v>2235.8887777329742</v>
      </c>
      <c r="F89" s="9">
        <f t="shared" si="3"/>
        <v>493333.51442246343</v>
      </c>
      <c r="G89" s="10">
        <f t="shared" si="4"/>
        <v>406666.48557753681</v>
      </c>
    </row>
    <row r="90" spans="1:7" x14ac:dyDescent="0.2">
      <c r="A90" s="7">
        <v>30</v>
      </c>
      <c r="B90" s="8">
        <v>47027</v>
      </c>
      <c r="C90" s="9">
        <f t="shared" si="9"/>
        <v>17058.914749127271</v>
      </c>
      <c r="D90" s="9">
        <f t="shared" si="1"/>
        <v>14888.247285668431</v>
      </c>
      <c r="E90" s="9">
        <f t="shared" si="8"/>
        <v>2170.6674634588394</v>
      </c>
      <c r="F90" s="9">
        <f t="shared" si="3"/>
        <v>478445.26713679498</v>
      </c>
      <c r="G90" s="10">
        <f t="shared" si="4"/>
        <v>421554.73286320525</v>
      </c>
    </row>
    <row r="91" spans="1:7" x14ac:dyDescent="0.2">
      <c r="A91" s="7">
        <v>31</v>
      </c>
      <c r="B91" s="8">
        <v>47119</v>
      </c>
      <c r="C91" s="9">
        <f t="shared" si="9"/>
        <v>17058.914749127271</v>
      </c>
      <c r="D91" s="9">
        <f t="shared" si="1"/>
        <v>14953.755573725372</v>
      </c>
      <c r="E91" s="9">
        <f t="shared" si="8"/>
        <v>2105.1591754018982</v>
      </c>
      <c r="F91" s="9">
        <f t="shared" si="3"/>
        <v>463491.51156306959</v>
      </c>
      <c r="G91" s="10">
        <f t="shared" si="4"/>
        <v>436508.48843693064</v>
      </c>
    </row>
    <row r="92" spans="1:7" x14ac:dyDescent="0.2">
      <c r="A92" s="7">
        <v>32</v>
      </c>
      <c r="B92" s="8">
        <v>47209</v>
      </c>
      <c r="C92" s="9">
        <f t="shared" si="9"/>
        <v>17058.914749127271</v>
      </c>
      <c r="D92" s="9">
        <f t="shared" si="1"/>
        <v>15019.552098249764</v>
      </c>
      <c r="E92" s="9">
        <f t="shared" si="8"/>
        <v>2039.3626508775064</v>
      </c>
      <c r="F92" s="9">
        <f t="shared" si="3"/>
        <v>448471.95946481981</v>
      </c>
      <c r="G92" s="10">
        <f t="shared" si="4"/>
        <v>451528.04053518042</v>
      </c>
    </row>
    <row r="93" spans="1:7" x14ac:dyDescent="0.2">
      <c r="A93" s="7">
        <v>33</v>
      </c>
      <c r="B93" s="8">
        <v>47300</v>
      </c>
      <c r="C93" s="9">
        <f t="shared" si="9"/>
        <v>17058.914749127271</v>
      </c>
      <c r="D93" s="9">
        <f t="shared" si="1"/>
        <v>15085.638127482063</v>
      </c>
      <c r="E93" s="9">
        <f t="shared" si="8"/>
        <v>1973.2766216452073</v>
      </c>
      <c r="F93" s="9">
        <f t="shared" si="3"/>
        <v>433386.32133733772</v>
      </c>
      <c r="G93" s="10">
        <f t="shared" si="4"/>
        <v>466613.67866266251</v>
      </c>
    </row>
    <row r="94" spans="1:7" x14ac:dyDescent="0.2">
      <c r="A94" s="7">
        <v>34</v>
      </c>
      <c r="B94" s="8">
        <v>47392</v>
      </c>
      <c r="C94" s="9">
        <f t="shared" si="9"/>
        <v>17058.914749127271</v>
      </c>
      <c r="D94" s="9">
        <f t="shared" si="1"/>
        <v>15152.014935242985</v>
      </c>
      <c r="E94" s="9">
        <f t="shared" si="8"/>
        <v>1906.899813884286</v>
      </c>
      <c r="F94" s="9">
        <f t="shared" si="3"/>
        <v>418234.30640209472</v>
      </c>
      <c r="G94" s="10">
        <f t="shared" si="4"/>
        <v>481765.69359790551</v>
      </c>
    </row>
    <row r="95" spans="1:7" x14ac:dyDescent="0.2">
      <c r="A95" s="7">
        <v>35</v>
      </c>
      <c r="B95" s="8">
        <v>47484</v>
      </c>
      <c r="C95" s="9">
        <f t="shared" si="9"/>
        <v>17058.914749127271</v>
      </c>
      <c r="D95" s="9">
        <f t="shared" si="1"/>
        <v>15218.683800958053</v>
      </c>
      <c r="E95" s="9">
        <f t="shared" si="8"/>
        <v>1840.2309481692168</v>
      </c>
      <c r="F95" s="9">
        <f t="shared" si="3"/>
        <v>403015.62260113668</v>
      </c>
      <c r="G95" s="10">
        <f t="shared" si="4"/>
        <v>496984.37739886355</v>
      </c>
    </row>
    <row r="96" spans="1:7" x14ac:dyDescent="0.2">
      <c r="A96" s="7">
        <v>36</v>
      </c>
      <c r="B96" s="8">
        <v>47574</v>
      </c>
      <c r="C96" s="9">
        <f t="shared" si="9"/>
        <v>17058.914749127271</v>
      </c>
      <c r="D96" s="9">
        <f t="shared" si="1"/>
        <v>15285.646009682268</v>
      </c>
      <c r="E96" s="9">
        <f t="shared" si="8"/>
        <v>1773.2687394450015</v>
      </c>
      <c r="F96" s="9">
        <f t="shared" si="3"/>
        <v>387729.97659145441</v>
      </c>
      <c r="G96" s="10">
        <f t="shared" si="4"/>
        <v>512270.02340854582</v>
      </c>
    </row>
    <row r="97" spans="1:7" x14ac:dyDescent="0.2">
      <c r="A97" s="7">
        <v>37</v>
      </c>
      <c r="B97" s="8">
        <v>47665</v>
      </c>
      <c r="C97" s="9">
        <f t="shared" si="9"/>
        <v>17058.914749127271</v>
      </c>
      <c r="D97" s="9">
        <f t="shared" si="1"/>
        <v>15352.902852124871</v>
      </c>
      <c r="E97" s="9">
        <f t="shared" si="8"/>
        <v>1706.0118970023996</v>
      </c>
      <c r="F97" s="9">
        <f t="shared" si="3"/>
        <v>372377.07373932953</v>
      </c>
      <c r="G97" s="10">
        <f t="shared" si="4"/>
        <v>527622.92626067065</v>
      </c>
    </row>
    <row r="98" spans="1:7" x14ac:dyDescent="0.2">
      <c r="A98" s="7">
        <v>38</v>
      </c>
      <c r="B98" s="8">
        <v>47757</v>
      </c>
      <c r="C98" s="9">
        <f t="shared" si="9"/>
        <v>17058.914749127271</v>
      </c>
      <c r="D98" s="9">
        <f t="shared" si="1"/>
        <v>15420.455624674221</v>
      </c>
      <c r="E98" s="9">
        <f t="shared" si="8"/>
        <v>1638.45912445305</v>
      </c>
      <c r="F98" s="9">
        <f t="shared" si="3"/>
        <v>356956.61811465531</v>
      </c>
      <c r="G98" s="10">
        <f t="shared" si="4"/>
        <v>543043.38188534486</v>
      </c>
    </row>
    <row r="99" spans="1:7" x14ac:dyDescent="0.2">
      <c r="A99" s="7">
        <v>39</v>
      </c>
      <c r="B99" s="8">
        <v>47849</v>
      </c>
      <c r="C99" s="9">
        <f t="shared" si="9"/>
        <v>17058.914749127271</v>
      </c>
      <c r="D99" s="9">
        <f t="shared" si="1"/>
        <v>15488.305629422786</v>
      </c>
      <c r="E99" s="9">
        <f t="shared" si="8"/>
        <v>1570.6091197044834</v>
      </c>
      <c r="F99" s="9">
        <f t="shared" si="3"/>
        <v>341468.31248523254</v>
      </c>
      <c r="G99" s="10">
        <f t="shared" si="4"/>
        <v>558531.68751476763</v>
      </c>
    </row>
    <row r="100" spans="1:7" x14ac:dyDescent="0.2">
      <c r="A100" s="7">
        <v>40</v>
      </c>
      <c r="B100" s="8">
        <v>47939</v>
      </c>
      <c r="C100" s="9">
        <f t="shared" si="9"/>
        <v>17058.914749127271</v>
      </c>
      <c r="D100" s="9">
        <f t="shared" si="1"/>
        <v>15556.454174192248</v>
      </c>
      <c r="E100" s="9">
        <f t="shared" si="8"/>
        <v>1502.4605749350233</v>
      </c>
      <c r="F100" s="9">
        <f t="shared" si="3"/>
        <v>325911.85831104027</v>
      </c>
      <c r="G100" s="10">
        <f t="shared" si="4"/>
        <v>574088.14168895991</v>
      </c>
    </row>
    <row r="101" spans="1:7" x14ac:dyDescent="0.2">
      <c r="A101" s="7">
        <v>41</v>
      </c>
      <c r="B101" s="8">
        <v>48030</v>
      </c>
      <c r="C101" s="9">
        <f t="shared" si="9"/>
        <v>17058.914749127271</v>
      </c>
      <c r="D101" s="9">
        <f t="shared" si="1"/>
        <v>15624.902572558694</v>
      </c>
      <c r="E101" s="9">
        <f t="shared" si="8"/>
        <v>1434.0121765685772</v>
      </c>
      <c r="F101" s="9">
        <f t="shared" si="3"/>
        <v>310286.9557384816</v>
      </c>
      <c r="G101" s="10">
        <f t="shared" si="4"/>
        <v>589713.04426151863</v>
      </c>
    </row>
    <row r="102" spans="1:7" x14ac:dyDescent="0.2">
      <c r="A102" s="7">
        <v>42</v>
      </c>
      <c r="B102" s="8">
        <v>48122</v>
      </c>
      <c r="C102" s="9">
        <f t="shared" si="9"/>
        <v>17058.914749127271</v>
      </c>
      <c r="D102" s="9">
        <f t="shared" si="1"/>
        <v>15693.652143877951</v>
      </c>
      <c r="E102" s="9">
        <f t="shared" si="8"/>
        <v>1365.2626052493192</v>
      </c>
      <c r="F102" s="9">
        <f t="shared" si="3"/>
        <v>294593.30359460367</v>
      </c>
      <c r="G102" s="10">
        <f t="shared" si="4"/>
        <v>605406.69640539656</v>
      </c>
    </row>
    <row r="103" spans="1:7" x14ac:dyDescent="0.2">
      <c r="A103" s="7">
        <v>43</v>
      </c>
      <c r="B103" s="8">
        <v>48214</v>
      </c>
      <c r="C103" s="9">
        <f t="shared" si="9"/>
        <v>17058.914749127271</v>
      </c>
      <c r="D103" s="9">
        <f t="shared" si="1"/>
        <v>15762.704213311015</v>
      </c>
      <c r="E103" s="9">
        <f t="shared" si="8"/>
        <v>1296.2105358162562</v>
      </c>
      <c r="F103" s="9">
        <f t="shared" si="3"/>
        <v>278830.59938129265</v>
      </c>
      <c r="G103" s="10">
        <f t="shared" si="4"/>
        <v>621169.40061870753</v>
      </c>
    </row>
    <row r="104" spans="1:7" x14ac:dyDescent="0.2">
      <c r="A104" s="7">
        <v>44</v>
      </c>
      <c r="B104" s="8">
        <v>48305</v>
      </c>
      <c r="C104" s="9">
        <f t="shared" si="9"/>
        <v>17058.914749127271</v>
      </c>
      <c r="D104" s="9">
        <f t="shared" si="1"/>
        <v>15832.060111849583</v>
      </c>
      <c r="E104" s="9">
        <f t="shared" si="8"/>
        <v>1226.8546372776877</v>
      </c>
      <c r="F104" s="9">
        <f t="shared" si="3"/>
        <v>262998.53926944308</v>
      </c>
      <c r="G104" s="10">
        <f t="shared" si="4"/>
        <v>637001.4607305571</v>
      </c>
    </row>
    <row r="105" spans="1:7" x14ac:dyDescent="0.2">
      <c r="A105" s="7">
        <v>45</v>
      </c>
      <c r="B105" s="8">
        <v>48396</v>
      </c>
      <c r="C105" s="9">
        <f t="shared" si="9"/>
        <v>17058.914749127271</v>
      </c>
      <c r="D105" s="9">
        <f t="shared" si="1"/>
        <v>15901.721176341722</v>
      </c>
      <c r="E105" s="9">
        <f t="shared" si="8"/>
        <v>1157.1935727855496</v>
      </c>
      <c r="F105" s="9">
        <f t="shared" si="3"/>
        <v>247096.81809310135</v>
      </c>
      <c r="G105" s="10">
        <f t="shared" si="4"/>
        <v>652903.18190689886</v>
      </c>
    </row>
    <row r="106" spans="1:7" x14ac:dyDescent="0.2">
      <c r="A106" s="7">
        <v>46</v>
      </c>
      <c r="B106" s="8">
        <v>48488</v>
      </c>
      <c r="C106" s="9">
        <f t="shared" si="9"/>
        <v>17058.914749127271</v>
      </c>
      <c r="D106" s="9">
        <f t="shared" si="1"/>
        <v>15971.688749517625</v>
      </c>
      <c r="E106" s="9">
        <f t="shared" si="8"/>
        <v>1087.2259996096459</v>
      </c>
      <c r="F106" s="9">
        <f t="shared" si="3"/>
        <v>231125.12934358371</v>
      </c>
      <c r="G106" s="10">
        <f t="shared" si="4"/>
        <v>668874.87065641652</v>
      </c>
    </row>
    <row r="107" spans="1:7" x14ac:dyDescent="0.2">
      <c r="A107" s="7">
        <v>47</v>
      </c>
      <c r="B107" s="8">
        <v>48580</v>
      </c>
      <c r="C107" s="9">
        <f t="shared" si="9"/>
        <v>17058.914749127271</v>
      </c>
      <c r="D107" s="9">
        <f t="shared" si="1"/>
        <v>16041.964180015502</v>
      </c>
      <c r="E107" s="9">
        <f t="shared" si="8"/>
        <v>1016.9505691117685</v>
      </c>
      <c r="F107" s="9">
        <f t="shared" si="3"/>
        <v>215083.16516356822</v>
      </c>
      <c r="G107" s="10">
        <f t="shared" si="4"/>
        <v>684916.83483643201</v>
      </c>
    </row>
    <row r="108" spans="1:7" x14ac:dyDescent="0.2">
      <c r="A108" s="7">
        <v>48</v>
      </c>
      <c r="B108" s="8">
        <v>48670</v>
      </c>
      <c r="C108" s="9">
        <f t="shared" si="9"/>
        <v>17058.914749127271</v>
      </c>
      <c r="D108" s="9">
        <f t="shared" si="1"/>
        <v>16112.548822407571</v>
      </c>
      <c r="E108" s="9">
        <f t="shared" si="8"/>
        <v>946.36592671970027</v>
      </c>
      <c r="F108" s="9">
        <f t="shared" si="3"/>
        <v>198970.61634116064</v>
      </c>
      <c r="G108" s="10">
        <f t="shared" si="4"/>
        <v>701029.38365883962</v>
      </c>
    </row>
    <row r="109" spans="1:7" x14ac:dyDescent="0.2">
      <c r="A109" s="7">
        <v>49</v>
      </c>
      <c r="B109" s="8">
        <v>48761</v>
      </c>
      <c r="C109" s="9">
        <f t="shared" si="9"/>
        <v>17058.914749127271</v>
      </c>
      <c r="D109" s="9">
        <f t="shared" si="1"/>
        <v>16183.444037226163</v>
      </c>
      <c r="E109" s="9">
        <f t="shared" si="8"/>
        <v>875.47071190110682</v>
      </c>
      <c r="F109" s="9">
        <f t="shared" si="3"/>
        <v>182787.17230393447</v>
      </c>
      <c r="G109" s="10">
        <f t="shared" si="4"/>
        <v>717212.82769606577</v>
      </c>
    </row>
    <row r="110" spans="1:7" x14ac:dyDescent="0.2">
      <c r="A110" s="7">
        <v>50</v>
      </c>
      <c r="B110" s="8">
        <v>48853</v>
      </c>
      <c r="C110" s="9">
        <f t="shared" si="9"/>
        <v>17058.914749127271</v>
      </c>
      <c r="D110" s="9">
        <f t="shared" si="1"/>
        <v>16254.651190989958</v>
      </c>
      <c r="E110" s="9">
        <f t="shared" si="8"/>
        <v>804.26355813731175</v>
      </c>
      <c r="F110" s="9">
        <f t="shared" si="3"/>
        <v>166532.52111294449</v>
      </c>
      <c r="G110" s="10">
        <f t="shared" si="4"/>
        <v>733467.47888705577</v>
      </c>
    </row>
    <row r="111" spans="1:7" x14ac:dyDescent="0.2">
      <c r="A111" s="7">
        <v>51</v>
      </c>
      <c r="B111" s="8">
        <v>48945</v>
      </c>
      <c r="C111" s="9">
        <f t="shared" si="9"/>
        <v>17058.914749127271</v>
      </c>
      <c r="D111" s="9">
        <f t="shared" si="1"/>
        <v>16326.171656230315</v>
      </c>
      <c r="E111" s="9">
        <f t="shared" si="8"/>
        <v>732.74309289695577</v>
      </c>
      <c r="F111" s="9">
        <f t="shared" si="3"/>
        <v>150206.34945671418</v>
      </c>
      <c r="G111" s="10">
        <f t="shared" si="4"/>
        <v>749793.65054328612</v>
      </c>
    </row>
    <row r="112" spans="1:7" x14ac:dyDescent="0.2">
      <c r="A112" s="7">
        <v>52</v>
      </c>
      <c r="B112" s="8">
        <v>49035</v>
      </c>
      <c r="C112" s="9">
        <f t="shared" si="9"/>
        <v>17058.914749127271</v>
      </c>
      <c r="D112" s="9">
        <f t="shared" si="1"/>
        <v>16398.006811517727</v>
      </c>
      <c r="E112" s="9">
        <f t="shared" si="8"/>
        <v>660.90793760954239</v>
      </c>
      <c r="F112" s="9">
        <f t="shared" si="3"/>
        <v>133808.34264519645</v>
      </c>
      <c r="G112" s="10">
        <f t="shared" si="4"/>
        <v>766191.65735480387</v>
      </c>
    </row>
    <row r="113" spans="1:7" x14ac:dyDescent="0.2">
      <c r="A113" s="7">
        <v>53</v>
      </c>
      <c r="B113" s="8">
        <v>49126</v>
      </c>
      <c r="C113" s="9">
        <f t="shared" si="9"/>
        <v>17058.914749127271</v>
      </c>
      <c r="D113" s="9">
        <f t="shared" si="1"/>
        <v>16470.158041488405</v>
      </c>
      <c r="E113" s="9">
        <f t="shared" si="8"/>
        <v>588.75670763886444</v>
      </c>
      <c r="F113" s="9">
        <f t="shared" si="3"/>
        <v>117338.18460370804</v>
      </c>
      <c r="G113" s="10">
        <f t="shared" si="4"/>
        <v>782661.81539629225</v>
      </c>
    </row>
    <row r="114" spans="1:7" x14ac:dyDescent="0.2">
      <c r="A114" s="7">
        <v>54</v>
      </c>
      <c r="B114" s="8">
        <v>49218</v>
      </c>
      <c r="C114" s="9">
        <f t="shared" si="9"/>
        <v>17058.914749127271</v>
      </c>
      <c r="D114" s="9">
        <f t="shared" si="1"/>
        <v>16542.626736870956</v>
      </c>
      <c r="E114" s="9">
        <f t="shared" si="8"/>
        <v>516.28801225631537</v>
      </c>
      <c r="F114" s="9">
        <f t="shared" si="3"/>
        <v>100795.55786683709</v>
      </c>
      <c r="G114" s="10">
        <f t="shared" si="4"/>
        <v>799204.44213316322</v>
      </c>
    </row>
    <row r="115" spans="1:7" x14ac:dyDescent="0.2">
      <c r="A115" s="7">
        <v>55</v>
      </c>
      <c r="B115" s="8">
        <v>49310</v>
      </c>
      <c r="C115" s="9">
        <f t="shared" si="9"/>
        <v>17058.914749127271</v>
      </c>
      <c r="D115" s="9">
        <f t="shared" si="1"/>
        <v>16615.414294513186</v>
      </c>
      <c r="E115" s="9">
        <f t="shared" si="8"/>
        <v>443.5004546140832</v>
      </c>
      <c r="F115" s="9">
        <f t="shared" si="3"/>
        <v>84180.143572323897</v>
      </c>
      <c r="G115" s="10">
        <f t="shared" si="4"/>
        <v>815819.85642767639</v>
      </c>
    </row>
    <row r="116" spans="1:7" x14ac:dyDescent="0.2">
      <c r="A116" s="7">
        <v>56</v>
      </c>
      <c r="B116" s="8">
        <v>49400</v>
      </c>
      <c r="C116" s="9">
        <f t="shared" si="9"/>
        <v>17058.914749127271</v>
      </c>
      <c r="D116" s="9">
        <f t="shared" si="1"/>
        <v>16688.522117409044</v>
      </c>
      <c r="E116" s="9">
        <f t="shared" si="8"/>
        <v>370.39263171822518</v>
      </c>
      <c r="F116" s="9">
        <f t="shared" si="3"/>
        <v>67491.621454914857</v>
      </c>
      <c r="G116" s="10">
        <f t="shared" si="4"/>
        <v>832508.37854508543</v>
      </c>
    </row>
    <row r="117" spans="1:7" x14ac:dyDescent="0.2">
      <c r="A117" s="7">
        <v>57</v>
      </c>
      <c r="B117" s="8">
        <v>49491</v>
      </c>
      <c r="C117" s="9">
        <f t="shared" si="9"/>
        <v>17058.914749127271</v>
      </c>
      <c r="D117" s="9">
        <f t="shared" si="1"/>
        <v>16761.951614725644</v>
      </c>
      <c r="E117" s="9">
        <f t="shared" si="8"/>
        <v>296.96313440162538</v>
      </c>
      <c r="F117" s="9">
        <f t="shared" si="3"/>
        <v>50729.669840189214</v>
      </c>
      <c r="G117" s="10">
        <f t="shared" si="4"/>
        <v>849270.33015981107</v>
      </c>
    </row>
    <row r="118" spans="1:7" x14ac:dyDescent="0.2">
      <c r="A118" s="7">
        <v>58</v>
      </c>
      <c r="B118" s="8">
        <v>49583</v>
      </c>
      <c r="C118" s="9">
        <f t="shared" si="9"/>
        <v>17058.914749127271</v>
      </c>
      <c r="D118" s="9">
        <f t="shared" si="1"/>
        <v>16835.704201830438</v>
      </c>
      <c r="E118" s="9">
        <f t="shared" si="8"/>
        <v>223.21054729683254</v>
      </c>
      <c r="F118" s="9">
        <f t="shared" si="3"/>
        <v>33893.965638358772</v>
      </c>
      <c r="G118" s="10">
        <f t="shared" si="4"/>
        <v>866106.0343616415</v>
      </c>
    </row>
    <row r="119" spans="1:7" x14ac:dyDescent="0.2">
      <c r="A119" s="7">
        <v>59</v>
      </c>
      <c r="B119" s="8">
        <v>49675</v>
      </c>
      <c r="C119" s="9">
        <f t="shared" si="9"/>
        <v>17058.914749127271</v>
      </c>
      <c r="D119" s="9">
        <f t="shared" si="1"/>
        <v>16909.781300318493</v>
      </c>
      <c r="E119" s="9">
        <f t="shared" si="8"/>
        <v>149.13344880877861</v>
      </c>
      <c r="F119" s="9">
        <f t="shared" si="3"/>
        <v>16984.184338040279</v>
      </c>
      <c r="G119" s="10">
        <f t="shared" si="4"/>
        <v>883015.81566196005</v>
      </c>
    </row>
    <row r="120" spans="1:7" x14ac:dyDescent="0.2">
      <c r="A120" s="7">
        <v>60</v>
      </c>
      <c r="B120" s="8">
        <v>49766</v>
      </c>
      <c r="C120" s="9">
        <f t="shared" si="9"/>
        <v>17058.914749127271</v>
      </c>
      <c r="D120" s="9">
        <f t="shared" si="1"/>
        <v>16984.184338039893</v>
      </c>
      <c r="E120" s="9">
        <f t="shared" si="8"/>
        <v>74.730411087377234</v>
      </c>
      <c r="F120" s="9">
        <f t="shared" si="3"/>
        <v>3.8562575355172157E-10</v>
      </c>
      <c r="G120" s="10">
        <f t="shared" si="4"/>
        <v>900000</v>
      </c>
    </row>
  </sheetData>
  <mergeCells count="6">
    <mergeCell ref="B43:H43"/>
    <mergeCell ref="B36:I36"/>
    <mergeCell ref="B37:I37"/>
    <mergeCell ref="B38:I38"/>
    <mergeCell ref="B40:I40"/>
    <mergeCell ref="B42:F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2024-03-11T19:36:04Z</dcterms:created>
  <dcterms:modified xsi:type="dcterms:W3CDTF">2024-03-11T19:46:27Z</dcterms:modified>
</cp:coreProperties>
</file>