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66925"/>
  <mc:AlternateContent xmlns:mc="http://schemas.openxmlformats.org/markup-compatibility/2006">
    <mc:Choice Requires="x15">
      <x15ac:absPath xmlns:x15ac="http://schemas.microsoft.com/office/spreadsheetml/2010/11/ac" url="https://d.docs.live.net/e6c7bcb4eb356115/Escritorio/IEBS/MODULO 4/OPERACIONES FINANCIERAS/"/>
    </mc:Choice>
  </mc:AlternateContent>
  <xr:revisionPtr revIDLastSave="135" documentId="8_{BCFA44DA-5568-425E-B508-48613AD0650D}" xr6:coauthVersionLast="47" xr6:coauthVersionMax="47" xr10:uidLastSave="{171D4F6F-4E39-4FB5-A5EE-CF84480A83C8}"/>
  <bookViews>
    <workbookView minimized="1" xWindow="1515" yWindow="1515" windowWidth="21600" windowHeight="11295" activeTab="5" xr2:uid="{A6812C04-E445-41C2-A17E-C2FD94AF6DEF}"/>
  </bookViews>
  <sheets>
    <sheet name="Factoring vs Desc.Efectos" sheetId="6" r:id="rId1"/>
    <sheet name="Resumen" sheetId="8" r:id="rId2"/>
    <sheet name="Frances" sheetId="1" r:id="rId3"/>
    <sheet name="Italiano" sheetId="2" r:id="rId4"/>
    <sheet name="Comparativa" sheetId="3" r:id="rId5"/>
    <sheet name="Leasing" sheetId="4" r:id="rId6"/>
    <sheet name="Renting" sheetId="5" r:id="rId7"/>
    <sheet name="Balance" sheetId="7" r:id="rId8"/>
  </sheets>
  <externalReferences>
    <externalReference r:id="rId9"/>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5" i="8" l="1"/>
  <c r="F10" i="8" s="1"/>
  <c r="D21" i="5"/>
  <c r="D20" i="5"/>
  <c r="D23" i="5" s="1"/>
  <c r="D24" i="5" s="1"/>
  <c r="D25" i="5" s="1"/>
  <c r="F18" i="3"/>
  <c r="C15" i="3"/>
  <c r="D114" i="2" l="1"/>
  <c r="I9" i="6"/>
  <c r="H9" i="6"/>
  <c r="I4" i="6" s="1"/>
  <c r="H11" i="6" s="1"/>
  <c r="H12" i="6" s="1"/>
  <c r="C9" i="6"/>
  <c r="D4" i="6" s="1"/>
  <c r="H8" i="6"/>
  <c r="D8" i="6"/>
  <c r="C8" i="6"/>
  <c r="C7" i="6"/>
  <c r="H5" i="6"/>
  <c r="C5" i="6"/>
  <c r="D23" i="4" l="1"/>
  <c r="C26" i="4" s="1"/>
  <c r="C32" i="4"/>
  <c r="C33" i="4"/>
  <c r="C37" i="4"/>
  <c r="C38" i="4"/>
  <c r="C41" i="4"/>
  <c r="C48" i="4"/>
  <c r="C49" i="4"/>
  <c r="C55" i="4"/>
  <c r="C56" i="4"/>
  <c r="C57" i="4"/>
  <c r="C69" i="4"/>
  <c r="C70" i="4"/>
  <c r="C71" i="4"/>
  <c r="C72" i="4"/>
  <c r="C73" i="4"/>
  <c r="C85" i="4"/>
  <c r="C86" i="4"/>
  <c r="C87" i="4"/>
  <c r="C88" i="4"/>
  <c r="C94" i="4"/>
  <c r="D20" i="4"/>
  <c r="D21" i="4"/>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D110" i="2"/>
  <c r="D111" i="2"/>
  <c r="D112" i="2"/>
  <c r="D113" i="2"/>
  <c r="D18" i="2"/>
  <c r="E137" i="1"/>
  <c r="E136" i="1"/>
  <c r="E125" i="1"/>
  <c r="E124" i="1"/>
  <c r="E113" i="1"/>
  <c r="E112" i="1"/>
  <c r="E101" i="1"/>
  <c r="E100" i="1"/>
  <c r="E89" i="1"/>
  <c r="E88" i="1"/>
  <c r="E77" i="1"/>
  <c r="E76" i="1"/>
  <c r="E65" i="1"/>
  <c r="E64" i="1"/>
  <c r="E53" i="1"/>
  <c r="E52" i="1"/>
  <c r="E41" i="1"/>
  <c r="E40" i="1"/>
  <c r="E29" i="1"/>
  <c r="E28" i="1"/>
  <c r="L22" i="1"/>
  <c r="K22" i="1"/>
  <c r="J22" i="1"/>
  <c r="I22" i="1"/>
  <c r="H22" i="1"/>
  <c r="G22" i="1"/>
  <c r="F22" i="1"/>
  <c r="E22" i="1"/>
  <c r="D22" i="1"/>
  <c r="C22" i="1"/>
  <c r="F4" i="3"/>
  <c r="C4" i="3"/>
  <c r="C97" i="4" l="1"/>
  <c r="C81" i="4"/>
  <c r="C63" i="4"/>
  <c r="C47" i="4"/>
  <c r="C31" i="4"/>
  <c r="C96" i="4"/>
  <c r="C80" i="4"/>
  <c r="C62" i="4"/>
  <c r="C46" i="4"/>
  <c r="C30" i="4"/>
  <c r="C95" i="4"/>
  <c r="C77" i="4"/>
  <c r="C61" i="4"/>
  <c r="C45" i="4"/>
  <c r="C93" i="4"/>
  <c r="C79" i="4"/>
  <c r="C65" i="4"/>
  <c r="C54" i="4"/>
  <c r="C40" i="4"/>
  <c r="C29" i="4"/>
  <c r="C89" i="4"/>
  <c r="C78" i="4"/>
  <c r="C64" i="4"/>
  <c r="C53" i="4"/>
  <c r="C39" i="4"/>
  <c r="C92" i="4"/>
  <c r="C84" i="4"/>
  <c r="C76" i="4"/>
  <c r="C68" i="4"/>
  <c r="C60" i="4"/>
  <c r="C52" i="4"/>
  <c r="C44" i="4"/>
  <c r="C36" i="4"/>
  <c r="C28" i="4"/>
  <c r="C91" i="4"/>
  <c r="C83" i="4"/>
  <c r="C75" i="4"/>
  <c r="C67" i="4"/>
  <c r="C59" i="4"/>
  <c r="C51" i="4"/>
  <c r="C43" i="4"/>
  <c r="C35" i="4"/>
  <c r="C27" i="4"/>
  <c r="C90" i="4"/>
  <c r="C82" i="4"/>
  <c r="C74" i="4"/>
  <c r="C66" i="4"/>
  <c r="C58" i="4"/>
  <c r="C50" i="4"/>
  <c r="C42" i="4"/>
  <c r="C34" i="4"/>
  <c r="C98" i="4"/>
  <c r="D26" i="4"/>
  <c r="C17" i="1"/>
  <c r="F17" i="2"/>
  <c r="E18" i="2" s="1"/>
  <c r="C12" i="2"/>
  <c r="D11" i="2"/>
  <c r="C14" i="2" s="1"/>
  <c r="E21" i="1"/>
  <c r="F27" i="1"/>
  <c r="G26" i="4" l="1"/>
  <c r="F26" i="4"/>
  <c r="E27" i="4" s="1"/>
  <c r="C23" i="1"/>
  <c r="C28" i="1" s="1"/>
  <c r="F21" i="1"/>
  <c r="D27" i="4" l="1"/>
  <c r="G27" i="4" s="1"/>
  <c r="C29" i="1"/>
  <c r="C30" i="1" s="1"/>
  <c r="C31" i="1" s="1"/>
  <c r="C32" i="1" s="1"/>
  <c r="D28" i="1"/>
  <c r="G21" i="1"/>
  <c r="F27" i="4" l="1"/>
  <c r="E28" i="4" s="1"/>
  <c r="G28" i="1"/>
  <c r="H21" i="1"/>
  <c r="D28" i="4" l="1"/>
  <c r="G28" i="4" s="1"/>
  <c r="I21" i="1"/>
  <c r="F28" i="4" l="1"/>
  <c r="E29" i="4" s="1"/>
  <c r="J21" i="1"/>
  <c r="K21" i="1" l="1"/>
  <c r="D29" i="4" l="1"/>
  <c r="G29" i="4" s="1"/>
  <c r="L21" i="1"/>
  <c r="F29" i="4" l="1"/>
  <c r="C33" i="1"/>
  <c r="E30" i="4" l="1"/>
  <c r="C34" i="1"/>
  <c r="C35" i="1" s="1"/>
  <c r="C36" i="1" s="1"/>
  <c r="C37" i="1" s="1"/>
  <c r="C38" i="1" s="1"/>
  <c r="C39" i="1" s="1"/>
  <c r="F28" i="1"/>
  <c r="D29" i="1"/>
  <c r="D30" i="4" l="1"/>
  <c r="G29" i="1"/>
  <c r="F29" i="1"/>
  <c r="G30" i="4" l="1"/>
  <c r="F30" i="4"/>
  <c r="E31" i="4" s="1"/>
  <c r="E30" i="1"/>
  <c r="D30" i="1" s="1"/>
  <c r="G30" i="1" s="1"/>
  <c r="F30" i="1" l="1"/>
  <c r="D31" i="4" l="1"/>
  <c r="E31" i="1"/>
  <c r="D31" i="1" s="1"/>
  <c r="G31" i="1" s="1"/>
  <c r="F31" i="4" l="1"/>
  <c r="E32" i="4" s="1"/>
  <c r="G31" i="4"/>
  <c r="F31" i="1"/>
  <c r="D32" i="4" l="1"/>
  <c r="G32" i="4" s="1"/>
  <c r="E32" i="1"/>
  <c r="D32" i="1" s="1"/>
  <c r="G32" i="1" s="1"/>
  <c r="F32" i="4" l="1"/>
  <c r="F32" i="1"/>
  <c r="E33" i="4" l="1"/>
  <c r="D33" i="4" s="1"/>
  <c r="E33" i="1"/>
  <c r="D33" i="1" s="1"/>
  <c r="G33" i="1" s="1"/>
  <c r="G33" i="4" l="1"/>
  <c r="F33" i="4"/>
  <c r="E34" i="4" s="1"/>
  <c r="D34" i="4" s="1"/>
  <c r="G34" i="4" s="1"/>
  <c r="F33" i="1"/>
  <c r="F34" i="4" l="1"/>
  <c r="E35" i="4" s="1"/>
  <c r="D35" i="4" s="1"/>
  <c r="G35" i="4" s="1"/>
  <c r="E34" i="1"/>
  <c r="D34" i="1" s="1"/>
  <c r="G34" i="1" s="1"/>
  <c r="F35" i="4" l="1"/>
  <c r="E36" i="4" s="1"/>
  <c r="D36" i="4" s="1"/>
  <c r="G36" i="4" s="1"/>
  <c r="F34" i="1"/>
  <c r="F36" i="4" l="1"/>
  <c r="E37" i="4" s="1"/>
  <c r="E35" i="1"/>
  <c r="D35" i="1" s="1"/>
  <c r="G35" i="1" s="1"/>
  <c r="D37" i="4" l="1"/>
  <c r="G37" i="4" s="1"/>
  <c r="F35" i="1"/>
  <c r="F37" i="4" l="1"/>
  <c r="E38" i="4" s="1"/>
  <c r="E36" i="1"/>
  <c r="D36" i="1" s="1"/>
  <c r="G36" i="1" s="1"/>
  <c r="F36" i="1"/>
  <c r="D38" i="4" l="1"/>
  <c r="G38" i="4" s="1"/>
  <c r="E37" i="1"/>
  <c r="D37" i="1" s="1"/>
  <c r="F37" i="1" s="1"/>
  <c r="G37" i="1"/>
  <c r="F38" i="4" l="1"/>
  <c r="E39" i="4" s="1"/>
  <c r="E38" i="1"/>
  <c r="D38" i="1" s="1"/>
  <c r="F38" i="1" s="1"/>
  <c r="G38" i="1"/>
  <c r="D39" i="4" l="1"/>
  <c r="G39" i="4" s="1"/>
  <c r="E39" i="1"/>
  <c r="D39" i="1" s="1"/>
  <c r="F39" i="1"/>
  <c r="G39" i="1"/>
  <c r="F39" i="4" l="1"/>
  <c r="E40" i="4" s="1"/>
  <c r="D23" i="1"/>
  <c r="C40" i="1" s="1"/>
  <c r="D40" i="4" l="1"/>
  <c r="G40" i="4" s="1"/>
  <c r="C41" i="1"/>
  <c r="D40" i="1"/>
  <c r="F40" i="4" l="1"/>
  <c r="E41" i="4" s="1"/>
  <c r="G40" i="1"/>
  <c r="F40" i="1"/>
  <c r="C42" i="1"/>
  <c r="D41" i="4" l="1"/>
  <c r="G41" i="4" s="1"/>
  <c r="C43" i="1"/>
  <c r="D41" i="1"/>
  <c r="F41" i="1" s="1"/>
  <c r="E42" i="1" s="1"/>
  <c r="F41" i="4" l="1"/>
  <c r="E42" i="4" s="1"/>
  <c r="G41" i="1"/>
  <c r="D42" i="1"/>
  <c r="F42" i="1"/>
  <c r="E43" i="1" s="1"/>
  <c r="C44" i="1"/>
  <c r="D42" i="4" l="1"/>
  <c r="G42" i="4" s="1"/>
  <c r="G42" i="1"/>
  <c r="C45" i="1"/>
  <c r="D43" i="1"/>
  <c r="F42" i="4" l="1"/>
  <c r="E43" i="4" s="1"/>
  <c r="G43" i="1"/>
  <c r="F43" i="1"/>
  <c r="E44" i="1" s="1"/>
  <c r="D44" i="1" s="1"/>
  <c r="G44" i="1" s="1"/>
  <c r="C46" i="1"/>
  <c r="D43" i="4" l="1"/>
  <c r="G43" i="4" s="1"/>
  <c r="F44" i="1"/>
  <c r="E45" i="1" s="1"/>
  <c r="C47" i="1"/>
  <c r="D45" i="1"/>
  <c r="G45" i="1" s="1"/>
  <c r="F43" i="4" l="1"/>
  <c r="E44" i="4" s="1"/>
  <c r="F45" i="1"/>
  <c r="E46" i="1" s="1"/>
  <c r="C48" i="1"/>
  <c r="D44" i="4" l="1"/>
  <c r="G44" i="4" s="1"/>
  <c r="C49" i="1"/>
  <c r="D46" i="1"/>
  <c r="G46" i="1" s="1"/>
  <c r="F44" i="4" l="1"/>
  <c r="E45" i="4" s="1"/>
  <c r="F46" i="1"/>
  <c r="E47" i="1" s="1"/>
  <c r="C50" i="1"/>
  <c r="D45" i="4" l="1"/>
  <c r="G45" i="4" s="1"/>
  <c r="C51" i="1"/>
  <c r="D47" i="1"/>
  <c r="G47" i="1" s="1"/>
  <c r="F45" i="4" l="1"/>
  <c r="E46" i="4" s="1"/>
  <c r="F47" i="1"/>
  <c r="E48" i="1" s="1"/>
  <c r="D46" i="4" l="1"/>
  <c r="G46" i="4" s="1"/>
  <c r="D48" i="1"/>
  <c r="G48" i="1" s="1"/>
  <c r="F46" i="4" l="1"/>
  <c r="E47" i="4" s="1"/>
  <c r="F48" i="1"/>
  <c r="E49" i="1" s="1"/>
  <c r="D49" i="1"/>
  <c r="G49" i="1" s="1"/>
  <c r="F49" i="1"/>
  <c r="E50" i="1" s="1"/>
  <c r="D47" i="4" l="1"/>
  <c r="G47" i="4" s="1"/>
  <c r="D50" i="1"/>
  <c r="G50" i="1" s="1"/>
  <c r="F50" i="1"/>
  <c r="F47" i="4" l="1"/>
  <c r="E48" i="4" s="1"/>
  <c r="D51" i="1"/>
  <c r="F51" i="1" s="1"/>
  <c r="E51" i="1"/>
  <c r="D48" i="4" l="1"/>
  <c r="G48" i="4" s="1"/>
  <c r="E23" i="1"/>
  <c r="C52" i="1" s="1"/>
  <c r="C53" i="1" s="1"/>
  <c r="G51" i="1"/>
  <c r="F48" i="4" l="1"/>
  <c r="E49" i="4" s="1"/>
  <c r="D52" i="1"/>
  <c r="F52" i="1" s="1"/>
  <c r="D53" i="1" s="1"/>
  <c r="F53" i="1" s="1"/>
  <c r="E54" i="1" s="1"/>
  <c r="C54" i="1"/>
  <c r="C55" i="1" s="1"/>
  <c r="D49" i="4" l="1"/>
  <c r="G52" i="1"/>
  <c r="G53" i="1"/>
  <c r="D54" i="1"/>
  <c r="C56" i="1"/>
  <c r="G49" i="4" l="1"/>
  <c r="F49" i="4"/>
  <c r="E50" i="4" s="1"/>
  <c r="F54" i="1"/>
  <c r="E55" i="1" s="1"/>
  <c r="G54" i="1"/>
  <c r="C57" i="1"/>
  <c r="D50" i="4" l="1"/>
  <c r="F50" i="4" s="1"/>
  <c r="E51" i="4" s="1"/>
  <c r="C58" i="1"/>
  <c r="D55" i="1"/>
  <c r="G55" i="1" s="1"/>
  <c r="D51" i="4" l="1"/>
  <c r="F51" i="4" s="1"/>
  <c r="E52" i="4" s="1"/>
  <c r="G50" i="4"/>
  <c r="F55" i="1"/>
  <c r="E56" i="1" s="1"/>
  <c r="C59" i="1"/>
  <c r="G51" i="4" l="1"/>
  <c r="D52" i="4"/>
  <c r="F52" i="4" s="1"/>
  <c r="E53" i="4" s="1"/>
  <c r="C60" i="1"/>
  <c r="D56" i="1"/>
  <c r="G56" i="1" s="1"/>
  <c r="G52" i="4" l="1"/>
  <c r="D53" i="4"/>
  <c r="F53" i="4" s="1"/>
  <c r="E54" i="4" s="1"/>
  <c r="F56" i="1"/>
  <c r="E57" i="1" s="1"/>
  <c r="C61" i="1"/>
  <c r="G53" i="4" l="1"/>
  <c r="D54" i="4"/>
  <c r="F54" i="4" s="1"/>
  <c r="E55" i="4" s="1"/>
  <c r="C62" i="1"/>
  <c r="D57" i="1"/>
  <c r="G57" i="1" s="1"/>
  <c r="G54" i="4" l="1"/>
  <c r="D55" i="4"/>
  <c r="F55" i="4" s="1"/>
  <c r="E56" i="4" s="1"/>
  <c r="F57" i="1"/>
  <c r="E58" i="1" s="1"/>
  <c r="C63" i="1"/>
  <c r="G55" i="4" l="1"/>
  <c r="D56" i="4"/>
  <c r="F56" i="4" s="1"/>
  <c r="E57" i="4" s="1"/>
  <c r="D58" i="1"/>
  <c r="G58" i="1" s="1"/>
  <c r="G56" i="4" l="1"/>
  <c r="D57" i="4"/>
  <c r="F58" i="1"/>
  <c r="E59" i="1" s="1"/>
  <c r="D59" i="1" s="1"/>
  <c r="F59" i="1" s="1"/>
  <c r="E60" i="1" s="1"/>
  <c r="G57" i="4" l="1"/>
  <c r="F57" i="4"/>
  <c r="E58" i="4" s="1"/>
  <c r="G59" i="1"/>
  <c r="D60" i="1"/>
  <c r="G60" i="1" s="1"/>
  <c r="F60" i="1"/>
  <c r="E61" i="1" s="1"/>
  <c r="D58" i="4" l="1"/>
  <c r="G58" i="4" s="1"/>
  <c r="D61" i="1"/>
  <c r="G61" i="1" s="1"/>
  <c r="F58" i="4" l="1"/>
  <c r="E59" i="4" s="1"/>
  <c r="F61" i="1"/>
  <c r="E62" i="1" s="1"/>
  <c r="D62" i="1"/>
  <c r="G62" i="1" s="1"/>
  <c r="D59" i="4" l="1"/>
  <c r="G59" i="4" s="1"/>
  <c r="F62" i="1"/>
  <c r="F59" i="4" l="1"/>
  <c r="E60" i="4" s="1"/>
  <c r="E63" i="1"/>
  <c r="D63" i="1" s="1"/>
  <c r="D60" i="4" l="1"/>
  <c r="G60" i="4" s="1"/>
  <c r="G63" i="1"/>
  <c r="F63" i="1"/>
  <c r="F60" i="4" l="1"/>
  <c r="E61" i="4" s="1"/>
  <c r="F23" i="1"/>
  <c r="C64" i="1" s="1"/>
  <c r="D61" i="4" l="1"/>
  <c r="G61" i="4" s="1"/>
  <c r="C65" i="1"/>
  <c r="C66" i="1" s="1"/>
  <c r="D64" i="1"/>
  <c r="C67" i="1"/>
  <c r="F61" i="4" l="1"/>
  <c r="E62" i="4" s="1"/>
  <c r="G64" i="1"/>
  <c r="F64" i="1"/>
  <c r="D65" i="1" s="1"/>
  <c r="G65" i="1" s="1"/>
  <c r="C68" i="1"/>
  <c r="D62" i="4" l="1"/>
  <c r="F65" i="1"/>
  <c r="C69" i="1"/>
  <c r="G62" i="4" l="1"/>
  <c r="F62" i="4"/>
  <c r="E63" i="4" s="1"/>
  <c r="E66" i="1"/>
  <c r="D66" i="1" s="1"/>
  <c r="C70" i="1"/>
  <c r="D63" i="4" l="1"/>
  <c r="G66" i="1"/>
  <c r="F66" i="1"/>
  <c r="C71" i="1"/>
  <c r="G63" i="4" l="1"/>
  <c r="F63" i="4"/>
  <c r="E64" i="4" s="1"/>
  <c r="E67" i="1"/>
  <c r="D67" i="1" s="1"/>
  <c r="C72" i="1"/>
  <c r="D64" i="4" l="1"/>
  <c r="G67" i="1"/>
  <c r="F67" i="1"/>
  <c r="C73" i="1"/>
  <c r="G64" i="4" l="1"/>
  <c r="F64" i="4"/>
  <c r="E65" i="4" s="1"/>
  <c r="E68" i="1"/>
  <c r="D68" i="1" s="1"/>
  <c r="C74" i="1"/>
  <c r="D65" i="4" l="1"/>
  <c r="F65" i="4" s="1"/>
  <c r="E66" i="4" s="1"/>
  <c r="F68" i="1"/>
  <c r="E69" i="1" s="1"/>
  <c r="D69" i="1" s="1"/>
  <c r="F69" i="1" s="1"/>
  <c r="E70" i="1" s="1"/>
  <c r="D70" i="1" s="1"/>
  <c r="F70" i="1" s="1"/>
  <c r="G68" i="1"/>
  <c r="C75" i="1"/>
  <c r="D66" i="4" l="1"/>
  <c r="F66" i="4" s="1"/>
  <c r="E67" i="4" s="1"/>
  <c r="G65" i="4"/>
  <c r="G69" i="1"/>
  <c r="G70" i="1" s="1"/>
  <c r="E71" i="1"/>
  <c r="D71" i="1" s="1"/>
  <c r="F71" i="1"/>
  <c r="G66" i="4" l="1"/>
  <c r="D67" i="4"/>
  <c r="F67" i="4" s="1"/>
  <c r="E68" i="4" s="1"/>
  <c r="E72" i="1"/>
  <c r="D72" i="1" s="1"/>
  <c r="F72" i="1" s="1"/>
  <c r="G71" i="1"/>
  <c r="G67" i="4" l="1"/>
  <c r="D68" i="4"/>
  <c r="E73" i="1"/>
  <c r="D73" i="1" s="1"/>
  <c r="F73" i="1" s="1"/>
  <c r="E74" i="1" s="1"/>
  <c r="D74" i="1" s="1"/>
  <c r="G72" i="1"/>
  <c r="G68" i="4" l="1"/>
  <c r="F68" i="4"/>
  <c r="E69" i="4" s="1"/>
  <c r="G73" i="1"/>
  <c r="G74" i="1" s="1"/>
  <c r="F74" i="1"/>
  <c r="E75" i="1" s="1"/>
  <c r="D75" i="1" l="1"/>
  <c r="G75" i="1" s="1"/>
  <c r="D69" i="4" l="1"/>
  <c r="F75" i="1"/>
  <c r="G69" i="4" l="1"/>
  <c r="F69" i="4"/>
  <c r="E70" i="4" s="1"/>
  <c r="G23" i="1"/>
  <c r="C76" i="1" s="1"/>
  <c r="C77" i="1" l="1"/>
  <c r="D76" i="1"/>
  <c r="D70" i="4" l="1"/>
  <c r="G76" i="1"/>
  <c r="F76" i="1"/>
  <c r="C78" i="1"/>
  <c r="F70" i="4" l="1"/>
  <c r="E71" i="4" s="1"/>
  <c r="G70" i="4"/>
  <c r="D77" i="1"/>
  <c r="F77" i="1" s="1"/>
  <c r="E78" i="1" s="1"/>
  <c r="C79" i="1"/>
  <c r="G77" i="1" l="1"/>
  <c r="D78" i="1"/>
  <c r="G78" i="1" s="1"/>
  <c r="C80" i="1"/>
  <c r="D71" i="4" l="1"/>
  <c r="F78" i="1"/>
  <c r="E79" i="1" s="1"/>
  <c r="C81" i="1"/>
  <c r="G71" i="4" l="1"/>
  <c r="F71" i="4"/>
  <c r="E72" i="4" s="1"/>
  <c r="D79" i="1"/>
  <c r="C82" i="1"/>
  <c r="F79" i="1" l="1"/>
  <c r="E80" i="1" s="1"/>
  <c r="G79" i="1"/>
  <c r="C83" i="1"/>
  <c r="D72" i="4" l="1"/>
  <c r="D80" i="1"/>
  <c r="C84" i="1"/>
  <c r="F72" i="4" l="1"/>
  <c r="E73" i="4" s="1"/>
  <c r="G72" i="4"/>
  <c r="F80" i="1"/>
  <c r="G80" i="1"/>
  <c r="C85" i="1"/>
  <c r="E81" i="1" l="1"/>
  <c r="D81" i="1" s="1"/>
  <c r="C86" i="1"/>
  <c r="D73" i="4" l="1"/>
  <c r="F81" i="1"/>
  <c r="G81" i="1"/>
  <c r="C87" i="1"/>
  <c r="G73" i="4" l="1"/>
  <c r="F73" i="4"/>
  <c r="E74" i="4" s="1"/>
  <c r="E82" i="1"/>
  <c r="D82" i="1" s="1"/>
  <c r="D74" i="4" l="1"/>
  <c r="F74" i="4" s="1"/>
  <c r="E75" i="4" s="1"/>
  <c r="F82" i="1"/>
  <c r="G82" i="1"/>
  <c r="G74" i="4" l="1"/>
  <c r="D75" i="4"/>
  <c r="F75" i="4" s="1"/>
  <c r="E76" i="4" s="1"/>
  <c r="E83" i="1"/>
  <c r="D83" i="1" s="1"/>
  <c r="G75" i="4" l="1"/>
  <c r="D76" i="4"/>
  <c r="G76" i="4" s="1"/>
  <c r="F83" i="1"/>
  <c r="G83" i="1"/>
  <c r="F76" i="4" l="1"/>
  <c r="E77" i="4" s="1"/>
  <c r="E84" i="1"/>
  <c r="D84" i="1" s="1"/>
  <c r="D77" i="4" l="1"/>
  <c r="G84" i="1"/>
  <c r="F84" i="1"/>
  <c r="E85" i="1" s="1"/>
  <c r="D85" i="1" s="1"/>
  <c r="F85" i="1" s="1"/>
  <c r="E86" i="1" s="1"/>
  <c r="D86" i="1" s="1"/>
  <c r="F86" i="1" s="1"/>
  <c r="G77" i="4" l="1"/>
  <c r="F77" i="4"/>
  <c r="E78" i="4" s="1"/>
  <c r="E87" i="1"/>
  <c r="D87" i="1" s="1"/>
  <c r="F87" i="1" s="1"/>
  <c r="G85" i="1"/>
  <c r="G86" i="1" s="1"/>
  <c r="G87" i="1" s="1"/>
  <c r="D78" i="4" l="1"/>
  <c r="H23" i="1"/>
  <c r="C88" i="1" s="1"/>
  <c r="G78" i="4" l="1"/>
  <c r="F78" i="4"/>
  <c r="E79" i="4" s="1"/>
  <c r="D88" i="1"/>
  <c r="C89" i="1"/>
  <c r="D79" i="4" l="1"/>
  <c r="C90" i="1"/>
  <c r="F88" i="1"/>
  <c r="G88" i="1"/>
  <c r="G79" i="4" l="1"/>
  <c r="F79" i="4"/>
  <c r="E80" i="4" s="1"/>
  <c r="D89" i="1"/>
  <c r="G89" i="1" s="1"/>
  <c r="C91" i="1"/>
  <c r="D80" i="4" l="1"/>
  <c r="F89" i="1"/>
  <c r="C92" i="1"/>
  <c r="G80" i="4" l="1"/>
  <c r="F80" i="4"/>
  <c r="E81" i="4" s="1"/>
  <c r="E90" i="1"/>
  <c r="D90" i="1" s="1"/>
  <c r="C93" i="1"/>
  <c r="C94" i="1" s="1"/>
  <c r="C95" i="1" s="1"/>
  <c r="C96" i="1" s="1"/>
  <c r="C97" i="1" s="1"/>
  <c r="C98" i="1" s="1"/>
  <c r="D81" i="4" l="1"/>
  <c r="F90" i="1"/>
  <c r="G90" i="1"/>
  <c r="C99" i="1"/>
  <c r="G81" i="4" l="1"/>
  <c r="F81" i="4"/>
  <c r="E82" i="4" s="1"/>
  <c r="E91" i="1"/>
  <c r="D91" i="1" s="1"/>
  <c r="D82" i="4" l="1"/>
  <c r="F82" i="4" s="1"/>
  <c r="E83" i="4" s="1"/>
  <c r="F91" i="1"/>
  <c r="G91" i="1"/>
  <c r="D83" i="4" l="1"/>
  <c r="F83" i="4" s="1"/>
  <c r="E84" i="4" s="1"/>
  <c r="G82" i="4"/>
  <c r="E92" i="1"/>
  <c r="D92" i="1" s="1"/>
  <c r="G92" i="1" s="1"/>
  <c r="G93" i="1" s="1"/>
  <c r="F92" i="1"/>
  <c r="E93" i="1" s="1"/>
  <c r="D93" i="1" s="1"/>
  <c r="F93" i="1" s="1"/>
  <c r="G83" i="4" l="1"/>
  <c r="D84" i="4"/>
  <c r="F84" i="4" s="1"/>
  <c r="E85" i="4" s="1"/>
  <c r="E94" i="1"/>
  <c r="D94" i="1" s="1"/>
  <c r="G94" i="1" s="1"/>
  <c r="G84" i="4" l="1"/>
  <c r="D85" i="4"/>
  <c r="F85" i="4" s="1"/>
  <c r="E86" i="4" s="1"/>
  <c r="F94" i="1"/>
  <c r="G85" i="4" l="1"/>
  <c r="D86" i="4"/>
  <c r="F86" i="4" s="1"/>
  <c r="E87" i="4" s="1"/>
  <c r="E95" i="1"/>
  <c r="D95" i="1" s="1"/>
  <c r="G95" i="1" s="1"/>
  <c r="F95" i="1"/>
  <c r="G86" i="4" l="1"/>
  <c r="D87" i="4"/>
  <c r="F87" i="4" s="1"/>
  <c r="E88" i="4" s="1"/>
  <c r="E96" i="1"/>
  <c r="D96" i="1" s="1"/>
  <c r="G96" i="1" s="1"/>
  <c r="F96" i="1"/>
  <c r="G87" i="4" l="1"/>
  <c r="D88" i="4"/>
  <c r="E97" i="1"/>
  <c r="D97" i="1" s="1"/>
  <c r="G97" i="1" s="1"/>
  <c r="F97" i="1"/>
  <c r="G88" i="4" l="1"/>
  <c r="F88" i="4"/>
  <c r="E89" i="4" s="1"/>
  <c r="E98" i="1"/>
  <c r="D98" i="1" s="1"/>
  <c r="D89" i="4" l="1"/>
  <c r="G89" i="4" s="1"/>
  <c r="G98" i="1"/>
  <c r="F98" i="1"/>
  <c r="E99" i="1" s="1"/>
  <c r="D99" i="1" s="1"/>
  <c r="F99" i="1" s="1"/>
  <c r="F89" i="4" l="1"/>
  <c r="E90" i="4" s="1"/>
  <c r="I23" i="1"/>
  <c r="C100" i="1" s="1"/>
  <c r="G99" i="1"/>
  <c r="D90" i="4" l="1"/>
  <c r="G90" i="4" s="1"/>
  <c r="D100" i="1"/>
  <c r="F100" i="1" s="1"/>
  <c r="C101" i="1"/>
  <c r="F90" i="4" l="1"/>
  <c r="E91" i="4" s="1"/>
  <c r="C102" i="1"/>
  <c r="C103" i="1" s="1"/>
  <c r="C104" i="1" s="1"/>
  <c r="C105" i="1" s="1"/>
  <c r="D101" i="1"/>
  <c r="F101" i="1" s="1"/>
  <c r="E102" i="1" s="1"/>
  <c r="G100" i="1"/>
  <c r="D102" i="1"/>
  <c r="C106" i="1"/>
  <c r="D91" i="4" l="1"/>
  <c r="G91" i="4" s="1"/>
  <c r="G101" i="1"/>
  <c r="F102" i="1"/>
  <c r="G102" i="1"/>
  <c r="C107" i="1"/>
  <c r="F91" i="4" l="1"/>
  <c r="E92" i="4" s="1"/>
  <c r="E103" i="1"/>
  <c r="D103" i="1" s="1"/>
  <c r="C108" i="1"/>
  <c r="D92" i="4" l="1"/>
  <c r="G92" i="4" s="1"/>
  <c r="F103" i="1"/>
  <c r="E104" i="1" s="1"/>
  <c r="D104" i="1" s="1"/>
  <c r="F104" i="1" s="1"/>
  <c r="E105" i="1" s="1"/>
  <c r="D105" i="1" s="1"/>
  <c r="F105" i="1" s="1"/>
  <c r="E106" i="1" s="1"/>
  <c r="G103" i="1"/>
  <c r="D106" i="1"/>
  <c r="F106" i="1" s="1"/>
  <c r="E107" i="1" s="1"/>
  <c r="C109" i="1"/>
  <c r="F92" i="4" l="1"/>
  <c r="E93" i="4" s="1"/>
  <c r="G104" i="1"/>
  <c r="G105" i="1" s="1"/>
  <c r="G106" i="1"/>
  <c r="C110" i="1"/>
  <c r="D107" i="1"/>
  <c r="F107" i="1" s="1"/>
  <c r="E108" i="1" s="1"/>
  <c r="D93" i="4" l="1"/>
  <c r="G93" i="4" s="1"/>
  <c r="G107" i="1"/>
  <c r="D108" i="1"/>
  <c r="F108" i="1" s="1"/>
  <c r="E109" i="1" s="1"/>
  <c r="C111" i="1"/>
  <c r="F93" i="4" l="1"/>
  <c r="E94" i="4" s="1"/>
  <c r="D94" i="4" s="1"/>
  <c r="F94" i="4" s="1"/>
  <c r="E95" i="4" s="1"/>
  <c r="G108" i="1"/>
  <c r="D109" i="1"/>
  <c r="D95" i="4" l="1"/>
  <c r="F95" i="4" s="1"/>
  <c r="E96" i="4" s="1"/>
  <c r="G94" i="4"/>
  <c r="G109" i="1"/>
  <c r="F109" i="1"/>
  <c r="E110" i="1" s="1"/>
  <c r="G95" i="4" l="1"/>
  <c r="D96" i="4"/>
  <c r="F96" i="4" s="1"/>
  <c r="E97" i="4" s="1"/>
  <c r="D110" i="1"/>
  <c r="G110" i="1" s="1"/>
  <c r="G96" i="4" l="1"/>
  <c r="D97" i="4"/>
  <c r="F110" i="1"/>
  <c r="E111" i="1" s="1"/>
  <c r="G97" i="4" l="1"/>
  <c r="F97" i="4"/>
  <c r="E98" i="4" s="1"/>
  <c r="D111" i="1"/>
  <c r="G111" i="1" s="1"/>
  <c r="F111" i="1" l="1"/>
  <c r="D98" i="4" l="1"/>
  <c r="E99" i="4"/>
  <c r="J23" i="1"/>
  <c r="C112" i="1" s="1"/>
  <c r="D99" i="4" l="1"/>
  <c r="G98" i="4"/>
  <c r="F98" i="4"/>
  <c r="C113" i="1"/>
  <c r="D112" i="1"/>
  <c r="G112" i="1" l="1"/>
  <c r="F112" i="1"/>
  <c r="C114" i="1"/>
  <c r="C115" i="1" l="1"/>
  <c r="D113" i="1"/>
  <c r="F113" i="1" s="1"/>
  <c r="E114" i="1" s="1"/>
  <c r="G113" i="1" l="1"/>
  <c r="D114" i="1"/>
  <c r="F114" i="1" s="1"/>
  <c r="E115" i="1" s="1"/>
  <c r="C116" i="1"/>
  <c r="G114" i="1" l="1"/>
  <c r="D115" i="1"/>
  <c r="C117" i="1"/>
  <c r="G115" i="1" l="1"/>
  <c r="F115" i="1"/>
  <c r="C118" i="1"/>
  <c r="E116" i="1" l="1"/>
  <c r="D116" i="1" s="1"/>
  <c r="C119" i="1"/>
  <c r="G116" i="1" l="1"/>
  <c r="K28" i="1" s="1"/>
  <c r="F116" i="1"/>
  <c r="E117" i="1" s="1"/>
  <c r="D117" i="1" s="1"/>
  <c r="G117" i="1" s="1"/>
  <c r="C120" i="1"/>
  <c r="F117" i="1" l="1"/>
  <c r="E118" i="1" s="1"/>
  <c r="C121" i="1"/>
  <c r="D118" i="1" l="1"/>
  <c r="C122" i="1"/>
  <c r="G118" i="1" l="1"/>
  <c r="F118" i="1"/>
  <c r="C123" i="1"/>
  <c r="E119" i="1" l="1"/>
  <c r="D119" i="1" s="1"/>
  <c r="F119" i="1" l="1"/>
  <c r="E120" i="1" s="1"/>
  <c r="G119" i="1"/>
  <c r="D120" i="1"/>
  <c r="G120" i="1" s="1"/>
  <c r="F120" i="1" l="1"/>
  <c r="E121" i="1" s="1"/>
  <c r="D121" i="1" l="1"/>
  <c r="G121" i="1" s="1"/>
  <c r="F121" i="1" l="1"/>
  <c r="E122" i="1" s="1"/>
  <c r="D122" i="1" l="1"/>
  <c r="G122" i="1" l="1"/>
  <c r="F122" i="1"/>
  <c r="E123" i="1" s="1"/>
  <c r="D123" i="1" l="1"/>
  <c r="F123" i="1" l="1"/>
  <c r="G123" i="1"/>
  <c r="K23" i="1" l="1"/>
  <c r="C124" i="1" s="1"/>
  <c r="D124" i="1" l="1"/>
  <c r="C125" i="1"/>
  <c r="C126" i="1" s="1"/>
  <c r="C127" i="1" l="1"/>
  <c r="C128" i="1" s="1"/>
  <c r="F124" i="1"/>
  <c r="G124" i="1"/>
  <c r="C129" i="1"/>
  <c r="D125" i="1" l="1"/>
  <c r="C130" i="1"/>
  <c r="F125" i="1" l="1"/>
  <c r="G125" i="1"/>
  <c r="C131" i="1"/>
  <c r="E126" i="1" l="1"/>
  <c r="D126" i="1" s="1"/>
  <c r="C132" i="1"/>
  <c r="F126" i="1" l="1"/>
  <c r="E127" i="1" s="1"/>
  <c r="D127" i="1" s="1"/>
  <c r="G127" i="1" s="1"/>
  <c r="G126" i="1"/>
  <c r="F127" i="1"/>
  <c r="C133" i="1"/>
  <c r="E128" i="1" l="1"/>
  <c r="D128" i="1" s="1"/>
  <c r="C134" i="1"/>
  <c r="G128" i="1" l="1"/>
  <c r="F128" i="1"/>
  <c r="E129" i="1" s="1"/>
  <c r="D129" i="1"/>
  <c r="G129" i="1" s="1"/>
  <c r="C135" i="1"/>
  <c r="F129" i="1" l="1"/>
  <c r="D130" i="1" l="1"/>
  <c r="G130" i="1" s="1"/>
  <c r="E130" i="1"/>
  <c r="F130" i="1" l="1"/>
  <c r="E131" i="1" s="1"/>
  <c r="D131" i="1"/>
  <c r="G131" i="1" s="1"/>
  <c r="F131" i="1" l="1"/>
  <c r="E132" i="1" l="1"/>
  <c r="D132" i="1" s="1"/>
  <c r="G132" i="1" l="1"/>
  <c r="F132" i="1"/>
  <c r="E133" i="1" s="1"/>
  <c r="D133" i="1"/>
  <c r="G133" i="1" s="1"/>
  <c r="F133" i="1" l="1"/>
  <c r="E134" i="1" s="1"/>
  <c r="D134" i="1" l="1"/>
  <c r="G134" i="1" l="1"/>
  <c r="F134" i="1"/>
  <c r="E135" i="1" s="1"/>
  <c r="D135" i="1" l="1"/>
  <c r="G135" i="1" s="1"/>
  <c r="F135" i="1" l="1"/>
  <c r="L23" i="1" l="1"/>
  <c r="C136" i="1" s="1"/>
  <c r="D136" i="1" l="1"/>
  <c r="C137" i="1"/>
  <c r="C138" i="1" s="1"/>
  <c r="C139" i="1" s="1"/>
  <c r="C140" i="1" l="1"/>
  <c r="G136" i="1"/>
  <c r="F136" i="1"/>
  <c r="D137" i="1" l="1"/>
  <c r="C141" i="1"/>
  <c r="F137" i="1" l="1"/>
  <c r="G137" i="1"/>
  <c r="C142" i="1"/>
  <c r="E138" i="1" l="1"/>
  <c r="D138" i="1" s="1"/>
  <c r="C143" i="1"/>
  <c r="F138" i="1" l="1"/>
  <c r="G138" i="1"/>
  <c r="C144" i="1"/>
  <c r="E139" i="1" l="1"/>
  <c r="D139" i="1" s="1"/>
  <c r="C145" i="1"/>
  <c r="F139" i="1" l="1"/>
  <c r="G139" i="1"/>
  <c r="C146" i="1"/>
  <c r="E140" i="1" l="1"/>
  <c r="D140" i="1" s="1"/>
  <c r="C147" i="1"/>
  <c r="C148" i="1" s="1"/>
  <c r="F140" i="1" l="1"/>
  <c r="G140" i="1"/>
  <c r="E141" i="1" l="1"/>
  <c r="D141" i="1" l="1"/>
  <c r="F141" i="1" l="1"/>
  <c r="G141" i="1"/>
  <c r="E142" i="1" l="1"/>
  <c r="D142" i="1" l="1"/>
  <c r="G142" i="1" l="1"/>
  <c r="F142" i="1"/>
  <c r="E143" i="1" s="1"/>
  <c r="D143" i="1" l="1"/>
  <c r="G143" i="1"/>
  <c r="F143" i="1" l="1"/>
  <c r="E144" i="1" l="1"/>
  <c r="D144" i="1" l="1"/>
  <c r="F144" i="1" l="1"/>
  <c r="E145" i="1" s="1"/>
  <c r="D145" i="1" s="1"/>
  <c r="F145" i="1" s="1"/>
  <c r="E146" i="1" s="1"/>
  <c r="D146" i="1" s="1"/>
  <c r="F146" i="1" s="1"/>
  <c r="G144" i="1"/>
  <c r="G145" i="1" s="1"/>
  <c r="G146" i="1" s="1"/>
  <c r="E147" i="1" l="1"/>
  <c r="D147" i="1" l="1"/>
  <c r="E148" i="1"/>
  <c r="C6" i="3" s="1"/>
  <c r="C7" i="3" s="1"/>
  <c r="D148" i="1" l="1"/>
  <c r="D149" i="1" s="1"/>
  <c r="G147" i="1"/>
  <c r="F147" i="1"/>
  <c r="F18" i="2" l="1"/>
  <c r="E19" i="2" s="1"/>
  <c r="C18" i="2"/>
  <c r="C114" i="2" s="1"/>
  <c r="F19" i="2" l="1"/>
  <c r="E20" i="2" l="1"/>
  <c r="F20" i="2" l="1"/>
  <c r="E21" i="2" l="1"/>
  <c r="F21" i="2" l="1"/>
  <c r="E22" i="2" l="1"/>
  <c r="F22" i="2" l="1"/>
  <c r="E23" i="2" l="1"/>
  <c r="F23" i="2" l="1"/>
  <c r="E24" i="2" l="1"/>
  <c r="F24" i="2" l="1"/>
  <c r="E25" i="2" l="1"/>
  <c r="F25" i="2" s="1"/>
  <c r="E26" i="2" s="1"/>
  <c r="F26" i="2" l="1"/>
  <c r="E27" i="2" l="1"/>
  <c r="F27" i="2"/>
  <c r="E28" i="2" s="1"/>
  <c r="F28" i="2" l="1"/>
  <c r="E29" i="2" s="1"/>
  <c r="F29" i="2" l="1"/>
  <c r="E30" i="2" s="1"/>
  <c r="F30" i="2" l="1"/>
  <c r="E31" i="2" s="1"/>
  <c r="F31" i="2" l="1"/>
  <c r="E32" i="2" s="1"/>
  <c r="F32" i="2" l="1"/>
  <c r="E33" i="2" s="1"/>
  <c r="F33" i="2" l="1"/>
  <c r="E34" i="2" l="1"/>
  <c r="F34" i="2"/>
  <c r="E35" i="2"/>
  <c r="F35" i="2" l="1"/>
  <c r="E36" i="2" s="1"/>
  <c r="F36" i="2" l="1"/>
  <c r="E37" i="2" s="1"/>
  <c r="F37" i="2" l="1"/>
  <c r="E38" i="2" s="1"/>
  <c r="F38" i="2" l="1"/>
  <c r="E39" i="2" s="1"/>
  <c r="F39" i="2" l="1"/>
  <c r="E40" i="2" s="1"/>
  <c r="F40" i="2" l="1"/>
  <c r="E41" i="2" s="1"/>
  <c r="F41" i="2" l="1"/>
  <c r="E42" i="2" l="1"/>
  <c r="F42" i="2"/>
  <c r="E43" i="2" s="1"/>
  <c r="F43" i="2"/>
  <c r="E44" i="2" l="1"/>
  <c r="F44" i="2" l="1"/>
  <c r="E45" i="2" l="1"/>
  <c r="F45" i="2"/>
  <c r="E46" i="2"/>
  <c r="F46" i="2"/>
  <c r="E47" i="2" l="1"/>
  <c r="F47" i="2" l="1"/>
  <c r="E48" i="2" l="1"/>
  <c r="F48" i="2"/>
  <c r="E49" i="2" s="1"/>
  <c r="F49" i="2"/>
  <c r="E50" i="2" l="1"/>
  <c r="F50" i="2" s="1"/>
  <c r="E51" i="2" l="1"/>
  <c r="F51" i="2" s="1"/>
  <c r="E52" i="2" l="1"/>
  <c r="F52" i="2" l="1"/>
  <c r="E53" i="2" s="1"/>
  <c r="F53" i="2" l="1"/>
  <c r="E54" i="2" s="1"/>
  <c r="F54" i="2" l="1"/>
  <c r="E55" i="2" s="1"/>
  <c r="F55" i="2" l="1"/>
  <c r="E56" i="2" l="1"/>
  <c r="F56" i="2"/>
  <c r="E57" i="2"/>
  <c r="F57" i="2" l="1"/>
  <c r="E58" i="2" l="1"/>
  <c r="F58" i="2"/>
  <c r="E59" i="2"/>
  <c r="F59" i="2"/>
  <c r="E60" i="2" l="1"/>
  <c r="F60" i="2" s="1"/>
  <c r="E61" i="2" l="1"/>
  <c r="F61" i="2" l="1"/>
  <c r="E62" i="2" s="1"/>
  <c r="F62" i="2" l="1"/>
  <c r="E63" i="2" s="1"/>
  <c r="F63" i="2" l="1"/>
  <c r="E64" i="2" l="1"/>
  <c r="F64" i="2"/>
  <c r="E65" i="2"/>
  <c r="F65" i="2" l="1"/>
  <c r="E66" i="2" l="1"/>
  <c r="F66" i="2"/>
  <c r="E67" i="2" s="1"/>
  <c r="F67" i="2" s="1"/>
  <c r="E68" i="2" l="1"/>
  <c r="F68" i="2" l="1"/>
  <c r="E69" i="2" s="1"/>
  <c r="F69" i="2" l="1"/>
  <c r="E70" i="2" s="1"/>
  <c r="F70" i="2" l="1"/>
  <c r="E71" i="2" s="1"/>
  <c r="F71" i="2" l="1"/>
  <c r="E72" i="2" l="1"/>
  <c r="F72" i="2" s="1"/>
  <c r="E73" i="2" s="1"/>
  <c r="F73" i="2" l="1"/>
  <c r="E74" i="2" l="1"/>
  <c r="F74" i="2"/>
  <c r="E75" i="2" s="1"/>
  <c r="F75" i="2"/>
  <c r="E76" i="2" l="1"/>
  <c r="F76" i="2" l="1"/>
  <c r="E77" i="2" s="1"/>
  <c r="F77" i="2" l="1"/>
  <c r="E78" i="2" s="1"/>
  <c r="F78" i="2" l="1"/>
  <c r="E79" i="2" s="1"/>
  <c r="F79" i="2" l="1"/>
  <c r="E80" i="2" l="1"/>
  <c r="F80" i="2" s="1"/>
  <c r="E81" i="2" l="1"/>
  <c r="F81" i="2"/>
  <c r="E82" i="2" s="1"/>
  <c r="F82" i="2" l="1"/>
  <c r="E83" i="2" l="1"/>
  <c r="F83" i="2"/>
  <c r="E84" i="2" s="1"/>
  <c r="F84" i="2" l="1"/>
  <c r="E85" i="2" s="1"/>
  <c r="F85" i="2" l="1"/>
  <c r="E86" i="2" s="1"/>
  <c r="F86" i="2" l="1"/>
  <c r="E87" i="2" s="1"/>
  <c r="F87" i="2" l="1"/>
  <c r="E88" i="2" l="1"/>
  <c r="F88" i="2"/>
  <c r="E89" i="2" s="1"/>
  <c r="F89" i="2" l="1"/>
  <c r="E90" i="2" s="1"/>
  <c r="F90" i="2" l="1"/>
  <c r="E91" i="2" l="1"/>
  <c r="F91" i="2"/>
  <c r="E92" i="2"/>
  <c r="F92" i="2" l="1"/>
  <c r="E93" i="2" s="1"/>
  <c r="F93" i="2" l="1"/>
  <c r="E94" i="2" s="1"/>
  <c r="F94" i="2" l="1"/>
  <c r="E95" i="2" s="1"/>
  <c r="F95" i="2" l="1"/>
  <c r="E96" i="2" l="1"/>
  <c r="F96" i="2"/>
  <c r="E97" i="2"/>
  <c r="F97" i="2"/>
  <c r="E98" i="2" l="1"/>
  <c r="F98" i="2" l="1"/>
  <c r="E99" i="2" l="1"/>
  <c r="F99" i="2" s="1"/>
  <c r="E100" i="2" s="1"/>
  <c r="F100" i="2" l="1"/>
  <c r="E101" i="2" s="1"/>
  <c r="F101" i="2" l="1"/>
  <c r="E102" i="2" s="1"/>
  <c r="F102" i="2" l="1"/>
  <c r="E103" i="2" s="1"/>
  <c r="F103" i="2" l="1"/>
  <c r="E104" i="2" l="1"/>
  <c r="F104" i="2"/>
  <c r="E105" i="2" s="1"/>
  <c r="F105" i="2" s="1"/>
  <c r="E106" i="2" l="1"/>
  <c r="F106" i="2"/>
  <c r="E107" i="2" l="1"/>
  <c r="F107" i="2"/>
  <c r="E108" i="2" l="1"/>
  <c r="F108" i="2" l="1"/>
  <c r="E109" i="2" s="1"/>
  <c r="F109" i="2" l="1"/>
  <c r="E110" i="2" s="1"/>
  <c r="F110" i="2" l="1"/>
  <c r="E111" i="2" s="1"/>
  <c r="F111" i="2" l="1"/>
  <c r="E112" i="2" l="1"/>
  <c r="F112" i="2" s="1"/>
  <c r="E113" i="2" s="1"/>
  <c r="E114" i="2" l="1"/>
  <c r="F6" i="3" s="1"/>
  <c r="F7" i="3" s="1"/>
  <c r="F113" i="2" l="1"/>
</calcChain>
</file>

<file path=xl/sharedStrings.xml><?xml version="1.0" encoding="utf-8"?>
<sst xmlns="http://schemas.openxmlformats.org/spreadsheetml/2006/main" count="185" uniqueCount="121">
  <si>
    <t>Se pide calcular el cuadro de amortización del préstamo actualizado, sabiendo que el EURIBOR se</t>
  </si>
  <si>
    <t>fijaba en el 0,72% en el momento de la firma del contrato, en 0,98% en la fecha de revisión del</t>
  </si>
  <si>
    <t>primer año y en el 1,11% en la fecha de revisión del segundo año.</t>
  </si>
  <si>
    <t>Capital inicial</t>
  </si>
  <si>
    <t>Periodo</t>
  </si>
  <si>
    <t>Nº de periodos</t>
  </si>
  <si>
    <t>Fecha</t>
  </si>
  <si>
    <t>Cuota a pagar</t>
  </si>
  <si>
    <t>Cuota de amortizac.</t>
  </si>
  <si>
    <t>Cuota de interes</t>
  </si>
  <si>
    <t>Capital vivo</t>
  </si>
  <si>
    <t>Capital amortizado</t>
  </si>
  <si>
    <t>Cuota de interés</t>
  </si>
  <si>
    <t>Capital pendiente</t>
  </si>
  <si>
    <t>El 1 de septiembre de ese mismo año, la entidad OFF, S.L. ha identificado una oportunidad en su mercado,
 para lo que necesita adquirir una novedosa maquinaria que revolucionará el mercado. Esta maquinaria tiene un coste de 3 millones de euros, para lo que el Director Financiero de la compañía está analizando dos alternativas de financiación de la misma que serían:</t>
  </si>
  <si>
    <t>1. Solicitar un préstamo con sistema de amortización francés a 10 años con un tipo de interés efectivo de Euribor más un diferencial del 2,25%. Este préstamo tiene una comisión de apertura del 1% y unos gastos de estudio de 3.000 euros.</t>
  </si>
  <si>
    <t>10 años</t>
  </si>
  <si>
    <t>meses</t>
  </si>
  <si>
    <t>Diferencial</t>
  </si>
  <si>
    <t>Apartir 3er año</t>
  </si>
  <si>
    <t>Euribor</t>
  </si>
  <si>
    <t xml:space="preserve"> año</t>
  </si>
  <si>
    <t>% interes a apagar</t>
  </si>
  <si>
    <t>El 1 de septiembre de ese mismo año, la entidad OFF, S.L. ha identificado una oportunidad en su mercado,  para lo que necesita adquirir una novedosa maquinaria que revolucionará el mercado. Esta maquinaria tiene un coste de 3 millones de euros, para lo que el Director Financiero de la compañía está analizando dos alternativas de financiación de la misma que serían:</t>
  </si>
  <si>
    <t>1. Solicitar un préstamo con sistema de amortización italiano a 8 años con un tipo de interés nominal fijo del 3,5%. Dicho préstamo tiene una comisión de apertura del 1,5% y unos gastos de estudio de 5.000 euros.</t>
  </si>
  <si>
    <t>8años</t>
  </si>
  <si>
    <t>Tipo interes</t>
  </si>
  <si>
    <t>Total intereses</t>
  </si>
  <si>
    <t>FRANCES</t>
  </si>
  <si>
    <t>TOTAL Prestamo</t>
  </si>
  <si>
    <t>Comisión del 1%</t>
  </si>
  <si>
    <t>Gasto apertura</t>
  </si>
  <si>
    <t>Coste total</t>
  </si>
  <si>
    <t>ITALIANO</t>
  </si>
  <si>
    <t>Comisión del 1,5%</t>
  </si>
  <si>
    <t xml:space="preserve">Cuota de entrada </t>
  </si>
  <si>
    <t>Duración años</t>
  </si>
  <si>
    <t>Interés efectivo anual</t>
  </si>
  <si>
    <t>k = (Precio del bien- desembolso inicial - opción de compra actualizada al inicio del periodo)/ (((1+i)*(1-(1+i)^-(n+1))/i</t>
  </si>
  <si>
    <t>Tipo interes mensualizado</t>
  </si>
  <si>
    <t xml:space="preserve">Numero de cuotas </t>
  </si>
  <si>
    <t>mensualidades</t>
  </si>
  <si>
    <t>Num.Cuotas</t>
  </si>
  <si>
    <t>Fechas</t>
  </si>
  <si>
    <t>Cuota de amortización</t>
  </si>
  <si>
    <t>El Director Financiero de OFF ha acudido a otra entidad financiera en busca de otras alternativas de financiación y  en la misma le han planteado una opción de un contrato de leasing para financiar la maquinaria del ejercicio anterior. En dicha entidad le han planteado realizar un leasing a 6 años con una cuota de entrada de 300.000 euros, una opción de compra de 600.000 euros, un interés efectivo del 3%,   y una comisión de apertura y gastos de estudio por importe total de 3.000 euros.</t>
  </si>
  <si>
    <t>Valor</t>
  </si>
  <si>
    <t>Si fuese posible hacer un contrato de renting a 5 años para alquilar la maquinaria indicada en el ejercicio 2 de clase, analiza qué pros y contras tendría respecto a las alternativas de los préstamos y leasings planteados (nota: la vida útil de esta maquinaria es de 15 años).</t>
  </si>
  <si>
    <t>Contras</t>
  </si>
  <si>
    <t>Pros</t>
  </si>
  <si>
    <t xml:space="preserve">Que la maquinaria no es nuestra, y una vez finalizases el contrato 
aun le iban a quedar 10 años de vida. Aun le podriamos sacar unrendimineto 
No hay opcion de compra. Por lo tanto tampoco lo anotaremos en el inmovilizado.
</t>
  </si>
  <si>
    <t>Sabemos el coste fio menusal, sin sobrecostes ni costes extraordinarios.
No hay desembolso inicial.
Flexibilidad de disponer o no de la maquinaria según necesidad.
Cuotas son deducibles</t>
  </si>
  <si>
    <t>Opción de compra</t>
  </si>
  <si>
    <t>Comisión apertura y gastos</t>
  </si>
  <si>
    <t>1.-</t>
  </si>
  <si>
    <t>Calcula los costes que ocasionan las dos alternativas para la empresa e indica los pros y los contras de cada una de ellas. </t>
  </si>
  <si>
    <t>Descuento Efectos</t>
  </si>
  <si>
    <t xml:space="preserve">Factoring </t>
  </si>
  <si>
    <t>Importe de la letra a descontar</t>
  </si>
  <si>
    <t>Total de la factura</t>
  </si>
  <si>
    <t>Comisión 0,5%</t>
  </si>
  <si>
    <t>Comisión del 2%</t>
  </si>
  <si>
    <t>Gastos asociados</t>
  </si>
  <si>
    <t>Intereses:</t>
  </si>
  <si>
    <t>Intereses</t>
  </si>
  <si>
    <t>total de dias</t>
  </si>
  <si>
    <t>Tipo de interes mensual</t>
  </si>
  <si>
    <t>Total de dias</t>
  </si>
  <si>
    <t>Importe recibido</t>
  </si>
  <si>
    <t>Diferencia</t>
  </si>
  <si>
    <t>% sobre recibido</t>
  </si>
  <si>
    <t>PROS</t>
  </si>
  <si>
    <t>CONTRA</t>
  </si>
  <si>
    <t>Menor Coste</t>
  </si>
  <si>
    <t>Asume el riesgo la empresa</t>
  </si>
  <si>
    <t>La entidad fianciera asume el riesgo</t>
  </si>
  <si>
    <t>Mayor coste</t>
  </si>
  <si>
    <t>Mayor rapidez</t>
  </si>
  <si>
    <t>Podriamos tener costes adicionales por el retraso
 del cobro</t>
  </si>
  <si>
    <t>En principio hay mas seguridad de cobrar al ser un organismo publico</t>
  </si>
  <si>
    <t>Posiblemente mayor burocrácia</t>
  </si>
  <si>
    <t>Sobre un efecto comercial no vencido</t>
  </si>
  <si>
    <t>No hay que hacer la gestion de cobro.</t>
  </si>
  <si>
    <t xml:space="preserve">2.- </t>
  </si>
  <si>
    <t>Analiza e indica razonadamente cuál crees que es la mejor alternativa de financiación a corto plazo para OFF</t>
  </si>
  <si>
    <t xml:space="preserve">Ambas son financiaciones a cp. </t>
  </si>
  <si>
    <t>Las operaciones de factoring sin recurso tienen por norma general un coste mayor que el descuento ya que no mantenemos el riesgo ni la gestion del cobro.</t>
  </si>
  <si>
    <t xml:space="preserve">Al ser un factoring sin recurso, es prefereible para la empresa, que corre menos riegos. Si  la operación le sale un poco mas cara, 176,39€ pero es un valor insignifcante sobre los 100.000€. </t>
  </si>
  <si>
    <t>En un supuesto impago con el descuento comercial deberiamos hacernos cargo del total de la letra.</t>
  </si>
  <si>
    <t>Factoring es sobre una factura pendiente de cobrar, de un servicio ya pasado.</t>
  </si>
  <si>
    <t>EL Descuento de efectos es sobre un efecto comercial aun no vencido.</t>
  </si>
  <si>
    <t>Tenemos préstamos a corto plazo y proveedores por el valor 1,5M, no queremos correr riesgo de ver ampliar con un impago o contratiempo.</t>
  </si>
  <si>
    <t>POR TODAS ESTAS RAZONES ESCOJERIAMOS LA OPCIÓN DEL FACTORING</t>
  </si>
  <si>
    <t>LEASING</t>
  </si>
  <si>
    <t>RENTING</t>
  </si>
  <si>
    <t>Comisión Apertura y gastos</t>
  </si>
  <si>
    <t xml:space="preserve"> 6 años</t>
  </si>
  <si>
    <t>Tatal interes</t>
  </si>
  <si>
    <t>5 años</t>
  </si>
  <si>
    <t>Activo no corriente</t>
  </si>
  <si>
    <t>Patrimonio Neto</t>
  </si>
  <si>
    <t>BALANCE EMPRESA OFF SL  30/06</t>
  </si>
  <si>
    <t>Inmovilizado</t>
  </si>
  <si>
    <t>Capital social</t>
  </si>
  <si>
    <t>Inversiones financieras</t>
  </si>
  <si>
    <t>Reservas</t>
  </si>
  <si>
    <t>Pasivo no corriente</t>
  </si>
  <si>
    <t>Préstamos a l/p</t>
  </si>
  <si>
    <t>Activo corriente</t>
  </si>
  <si>
    <t>Pasivo corriente</t>
  </si>
  <si>
    <t>Existencias</t>
  </si>
  <si>
    <t>Préstamos a c/p</t>
  </si>
  <si>
    <t>Cuentas a cobrar</t>
  </si>
  <si>
    <t>Proveedores</t>
  </si>
  <si>
    <t>Tesorería</t>
  </si>
  <si>
    <t>Impuestos</t>
  </si>
  <si>
    <t>TOTAL ACTIVO</t>
  </si>
  <si>
    <t>TOTAL PATRIMONIO NETO Y PASIVO</t>
  </si>
  <si>
    <t>COSTE TOTAL</t>
  </si>
  <si>
    <t xml:space="preserve">Intereses </t>
  </si>
  <si>
    <t>Con la opción de Factoring el mismo dia de la firma finaliza queda liquidada por parte de la empresa y es el banco quien asume el riesgo sin influirnos a nosotros en nada si no lo puede cobrar), 
de la otra forma serian 133 días con el peligro de prolongarse si no se cobrase dichos pagareses.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</si>
</sst>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 #,##0.00\ &quot;€&quot;_-;\-* #,##0.00\ &quot;€&quot;_-;_-* &quot;-&quot;??\ &quot;€&quot;_-;_-@_-"/>
    <numFmt numFmtId="43" formatCode="_-* #,##0.00_-;\-* #,##0.00_-;_-* &quot;-&quot;??_-;_-@_-"/>
    <numFmt numFmtId="164" formatCode="d/m"/>
    <numFmt numFmtId="165" formatCode="0.000%"/>
    <numFmt numFmtId="166" formatCode="_-* #,##0\ &quot;€&quot;_-;\-* #,##0\ &quot;€&quot;_-;_-* &quot;-&quot;??\ &quot;€&quot;_-;_-@_-"/>
    <numFmt numFmtId="167" formatCode="_-* #,##0.00\ &quot;€&quot;_-;\-* #,##0.00\ &quot;€&quot;_-;_-* &quot;-&quot;???\ &quot;€&quot;_-;_-@_-"/>
    <numFmt numFmtId="168" formatCode="_-* #,##0_-;\-* #,##0_-;_-* &quot;-&quot;??_-;_-@_-"/>
  </numFmts>
  <fonts count="14" x14ac:knownFonts="1">
    <font>
      <sz val="11"/>
      <color theme="1"/>
      <name val="Calibri"/>
      <family val="2"/>
      <scheme val="minor"/>
    </font>
    <font>
      <sz val="11"/>
      <color theme="1"/>
      <name val="Calibri"/>
      <family val="2"/>
      <scheme val="minor"/>
    </font>
    <font>
      <b/>
      <sz val="11"/>
      <color theme="0"/>
      <name val="Calibri"/>
      <family val="2"/>
      <scheme val="minor"/>
    </font>
    <font>
      <sz val="11"/>
      <color rgb="FF000000"/>
      <name val="Calibri"/>
    </font>
    <font>
      <sz val="10"/>
      <color theme="1"/>
      <name val="Arial"/>
    </font>
    <font>
      <b/>
      <sz val="10"/>
      <color theme="1"/>
      <name val="Arial"/>
    </font>
    <font>
      <sz val="11"/>
      <color rgb="FF333333"/>
      <name val="Calibri"/>
      <family val="2"/>
      <scheme val="minor"/>
    </font>
    <font>
      <sz val="10"/>
      <color theme="1"/>
      <name val="Arial"/>
      <family val="2"/>
    </font>
    <font>
      <b/>
      <sz val="10"/>
      <color theme="1"/>
      <name val="Arial"/>
      <family val="2"/>
    </font>
    <font>
      <sz val="11"/>
      <color rgb="FF000000"/>
      <name val="Calibri"/>
      <family val="2"/>
      <scheme val="minor"/>
    </font>
    <font>
      <b/>
      <sz val="11"/>
      <color theme="1"/>
      <name val="Calibri"/>
      <family val="2"/>
      <scheme val="minor"/>
    </font>
    <font>
      <sz val="13"/>
      <color rgb="FF333333"/>
      <name val="Arial"/>
      <family val="2"/>
    </font>
    <font>
      <b/>
      <sz val="12"/>
      <color theme="1"/>
      <name val="Calibri"/>
      <family val="2"/>
      <scheme val="minor"/>
    </font>
    <font>
      <b/>
      <sz val="12"/>
      <color rgb="FF333333"/>
      <name val="Calibri"/>
      <family val="2"/>
      <scheme val="minor"/>
    </font>
  </fonts>
  <fills count="8">
    <fill>
      <patternFill patternType="none"/>
    </fill>
    <fill>
      <patternFill patternType="gray125"/>
    </fill>
    <fill>
      <patternFill patternType="solid">
        <fgColor theme="9" tint="0.79998168889431442"/>
        <bgColor indexed="64"/>
      </patternFill>
    </fill>
    <fill>
      <patternFill patternType="solid">
        <fgColor theme="9" tint="0.79998168889431442"/>
        <bgColor rgb="FF00FF00"/>
      </patternFill>
    </fill>
    <fill>
      <patternFill patternType="solid">
        <fgColor theme="4" tint="0.79998168889431442"/>
        <bgColor indexed="64"/>
      </patternFill>
    </fill>
    <fill>
      <patternFill patternType="solid">
        <fgColor theme="6" tint="0.79998168889431442"/>
        <bgColor indexed="64"/>
      </patternFill>
    </fill>
    <fill>
      <patternFill patternType="solid">
        <fgColor theme="4"/>
        <bgColor indexed="64"/>
      </patternFill>
    </fill>
    <fill>
      <patternFill patternType="solid">
        <fgColor rgb="FFFFFF00"/>
        <bgColor indexed="64"/>
      </patternFill>
    </fill>
  </fills>
  <borders count="29">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bottom style="thin">
        <color indexed="64"/>
      </bottom>
      <diagonal/>
    </border>
    <border>
      <left/>
      <right/>
      <top style="thin">
        <color rgb="FF000000"/>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s>
  <cellStyleXfs count="4">
    <xf numFmtId="0" fontId="0" fillId="0" borderId="0"/>
    <xf numFmtId="43" fontId="1" fillId="0" borderId="0" applyFont="0" applyFill="0" applyBorder="0" applyAlignment="0" applyProtection="0"/>
    <xf numFmtId="9" fontId="1" fillId="0" borderId="0" applyFont="0" applyFill="0" applyBorder="0" applyAlignment="0" applyProtection="0"/>
    <xf numFmtId="44" fontId="1" fillId="0" borderId="0" applyFont="0" applyFill="0" applyBorder="0" applyAlignment="0" applyProtection="0"/>
  </cellStyleXfs>
  <cellXfs count="130">
    <xf numFmtId="0" fontId="0" fillId="0" borderId="0" xfId="0"/>
    <xf numFmtId="0" fontId="3" fillId="0" borderId="0" xfId="0" applyFont="1"/>
    <xf numFmtId="14" fontId="3" fillId="0" borderId="0" xfId="0" applyNumberFormat="1" applyFont="1"/>
    <xf numFmtId="0" fontId="4" fillId="0" borderId="0" xfId="0" applyFont="1"/>
    <xf numFmtId="4" fontId="4" fillId="0" borderId="0" xfId="0" applyNumberFormat="1" applyFont="1"/>
    <xf numFmtId="0" fontId="4" fillId="0" borderId="1" xfId="0" applyFont="1" applyBorder="1" applyAlignment="1">
      <alignment horizontal="center"/>
    </xf>
    <xf numFmtId="0" fontId="4" fillId="0" borderId="2" xfId="0" applyFont="1" applyBorder="1"/>
    <xf numFmtId="164" fontId="4" fillId="0" borderId="3" xfId="0" applyNumberFormat="1" applyFont="1" applyBorder="1"/>
    <xf numFmtId="4" fontId="4" fillId="0" borderId="3" xfId="0" applyNumberFormat="1" applyFont="1" applyBorder="1"/>
    <xf numFmtId="4" fontId="4" fillId="0" borderId="4" xfId="0" applyNumberFormat="1" applyFont="1" applyBorder="1"/>
    <xf numFmtId="164" fontId="4" fillId="0" borderId="2" xfId="0" applyNumberFormat="1" applyFont="1" applyBorder="1"/>
    <xf numFmtId="164" fontId="4" fillId="0" borderId="0" xfId="0" applyNumberFormat="1" applyFont="1"/>
    <xf numFmtId="4" fontId="5" fillId="0" borderId="1" xfId="0" applyNumberFormat="1" applyFont="1" applyBorder="1"/>
    <xf numFmtId="0" fontId="7" fillId="0" borderId="0" xfId="0" applyFont="1"/>
    <xf numFmtId="0" fontId="7" fillId="0" borderId="0" xfId="0" applyFont="1" applyAlignment="1">
      <alignment horizontal="right"/>
    </xf>
    <xf numFmtId="165" fontId="0" fillId="0" borderId="0" xfId="0" applyNumberFormat="1"/>
    <xf numFmtId="10" fontId="0" fillId="0" borderId="0" xfId="2" applyNumberFormat="1" applyFont="1"/>
    <xf numFmtId="10" fontId="0" fillId="0" borderId="0" xfId="0" applyNumberFormat="1"/>
    <xf numFmtId="4" fontId="0" fillId="0" borderId="0" xfId="0" applyNumberFormat="1"/>
    <xf numFmtId="164" fontId="4" fillId="2" borderId="3" xfId="0" applyNumberFormat="1" applyFont="1" applyFill="1" applyBorder="1"/>
    <xf numFmtId="4" fontId="4" fillId="2" borderId="3" xfId="0" applyNumberFormat="1" applyFont="1" applyFill="1" applyBorder="1"/>
    <xf numFmtId="4" fontId="4" fillId="2" borderId="4" xfId="0" applyNumberFormat="1" applyFont="1" applyFill="1" applyBorder="1"/>
    <xf numFmtId="4" fontId="4" fillId="3" borderId="3" xfId="0" applyNumberFormat="1" applyFont="1" applyFill="1" applyBorder="1"/>
    <xf numFmtId="4" fontId="4" fillId="3" borderId="4" xfId="0" applyNumberFormat="1" applyFont="1" applyFill="1" applyBorder="1"/>
    <xf numFmtId="164" fontId="4" fillId="4" borderId="3" xfId="0" applyNumberFormat="1" applyFont="1" applyFill="1" applyBorder="1"/>
    <xf numFmtId="4" fontId="4" fillId="4" borderId="3" xfId="0" applyNumberFormat="1" applyFont="1" applyFill="1" applyBorder="1"/>
    <xf numFmtId="4" fontId="4" fillId="4" borderId="4" xfId="0" applyNumberFormat="1" applyFont="1" applyFill="1" applyBorder="1"/>
    <xf numFmtId="164" fontId="4" fillId="5" borderId="3" xfId="0" applyNumberFormat="1" applyFont="1" applyFill="1" applyBorder="1"/>
    <xf numFmtId="4" fontId="4" fillId="5" borderId="3" xfId="0" applyNumberFormat="1" applyFont="1" applyFill="1" applyBorder="1"/>
    <xf numFmtId="4" fontId="4" fillId="5" borderId="4" xfId="0" applyNumberFormat="1" applyFont="1" applyFill="1" applyBorder="1"/>
    <xf numFmtId="43" fontId="0" fillId="0" borderId="0" xfId="1" applyFont="1"/>
    <xf numFmtId="165" fontId="0" fillId="0" borderId="0" xfId="2" applyNumberFormat="1" applyFont="1"/>
    <xf numFmtId="0" fontId="8" fillId="0" borderId="5" xfId="0" applyFont="1" applyBorder="1"/>
    <xf numFmtId="4" fontId="8" fillId="0" borderId="5" xfId="0" applyNumberFormat="1" applyFont="1" applyBorder="1"/>
    <xf numFmtId="0" fontId="7" fillId="0" borderId="5" xfId="0" applyFont="1" applyBorder="1"/>
    <xf numFmtId="4" fontId="7" fillId="0" borderId="5" xfId="0" applyNumberFormat="1" applyFont="1" applyBorder="1"/>
    <xf numFmtId="43" fontId="7" fillId="0" borderId="5" xfId="1" applyFont="1" applyBorder="1"/>
    <xf numFmtId="0" fontId="9" fillId="0" borderId="0" xfId="0" applyFont="1"/>
    <xf numFmtId="164" fontId="4" fillId="2" borderId="2" xfId="0" applyNumberFormat="1" applyFont="1" applyFill="1" applyBorder="1"/>
    <xf numFmtId="0" fontId="0" fillId="7" borderId="0" xfId="0" applyFill="1"/>
    <xf numFmtId="0" fontId="2" fillId="6" borderId="0" xfId="0" applyFont="1" applyFill="1" applyAlignment="1">
      <alignment horizontal="center"/>
    </xf>
    <xf numFmtId="0" fontId="0" fillId="0" borderId="0" xfId="0" applyAlignment="1">
      <alignment horizontal="center"/>
    </xf>
    <xf numFmtId="0" fontId="0" fillId="0" borderId="0" xfId="0" applyAlignment="1">
      <alignment horizontal="right"/>
    </xf>
    <xf numFmtId="166" fontId="0" fillId="0" borderId="0" xfId="3" applyNumberFormat="1" applyFont="1"/>
    <xf numFmtId="9" fontId="0" fillId="0" borderId="0" xfId="0" applyNumberFormat="1"/>
    <xf numFmtId="3" fontId="0" fillId="0" borderId="0" xfId="0" applyNumberFormat="1"/>
    <xf numFmtId="167" fontId="0" fillId="0" borderId="0" xfId="0" applyNumberFormat="1"/>
    <xf numFmtId="0" fontId="11" fillId="0" borderId="0" xfId="0" applyFont="1" applyAlignment="1">
      <alignment vertical="center"/>
    </xf>
    <xf numFmtId="0" fontId="0" fillId="0" borderId="0" xfId="0" applyAlignment="1">
      <alignment vertical="center"/>
    </xf>
    <xf numFmtId="166" fontId="4" fillId="0" borderId="0" xfId="3" applyNumberFormat="1" applyFont="1"/>
    <xf numFmtId="0" fontId="0" fillId="0" borderId="14" xfId="0" applyBorder="1"/>
    <xf numFmtId="164" fontId="4" fillId="0" borderId="15" xfId="0" applyNumberFormat="1" applyFont="1" applyBorder="1"/>
    <xf numFmtId="167" fontId="0" fillId="0" borderId="14" xfId="0" applyNumberFormat="1" applyBorder="1"/>
    <xf numFmtId="44" fontId="0" fillId="0" borderId="14" xfId="0" applyNumberFormat="1" applyBorder="1"/>
    <xf numFmtId="44" fontId="0" fillId="0" borderId="14" xfId="3" applyFont="1" applyBorder="1"/>
    <xf numFmtId="44" fontId="10" fillId="0" borderId="14" xfId="0" applyNumberFormat="1" applyFont="1" applyBorder="1"/>
    <xf numFmtId="0" fontId="12" fillId="0" borderId="0" xfId="0" applyFont="1" applyAlignment="1">
      <alignment horizontal="right"/>
    </xf>
    <xf numFmtId="0" fontId="12" fillId="0" borderId="0" xfId="0" applyFont="1"/>
    <xf numFmtId="4" fontId="7" fillId="0" borderId="0" xfId="0" applyNumberFormat="1" applyFont="1"/>
    <xf numFmtId="4" fontId="10" fillId="0" borderId="5" xfId="0" applyNumberFormat="1" applyFont="1" applyBorder="1"/>
    <xf numFmtId="4" fontId="8" fillId="0" borderId="0" xfId="0" applyNumberFormat="1" applyFont="1"/>
    <xf numFmtId="4" fontId="0" fillId="0" borderId="5" xfId="0" applyNumberFormat="1" applyBorder="1"/>
    <xf numFmtId="16" fontId="0" fillId="0" borderId="0" xfId="0" applyNumberFormat="1"/>
    <xf numFmtId="10" fontId="7" fillId="0" borderId="0" xfId="0" applyNumberFormat="1" applyFont="1"/>
    <xf numFmtId="4" fontId="8" fillId="0" borderId="1" xfId="0" applyNumberFormat="1" applyFont="1" applyBorder="1"/>
    <xf numFmtId="0" fontId="10" fillId="0" borderId="0" xfId="0" applyFont="1"/>
    <xf numFmtId="0" fontId="8" fillId="0" borderId="0" xfId="0" applyFont="1"/>
    <xf numFmtId="0" fontId="10" fillId="0" borderId="16" xfId="0" applyFont="1" applyBorder="1" applyAlignment="1">
      <alignment horizontal="center"/>
    </xf>
    <xf numFmtId="0" fontId="10" fillId="0" borderId="17" xfId="0" applyFont="1" applyBorder="1" applyAlignment="1">
      <alignment horizontal="center"/>
    </xf>
    <xf numFmtId="0" fontId="10" fillId="0" borderId="18" xfId="0" applyFont="1" applyBorder="1" applyAlignment="1">
      <alignment horizontal="center"/>
    </xf>
    <xf numFmtId="0" fontId="10" fillId="0" borderId="0" xfId="0" applyFont="1" applyAlignment="1">
      <alignment vertical="center"/>
    </xf>
    <xf numFmtId="0" fontId="8" fillId="2" borderId="2" xfId="0" applyFont="1" applyFill="1" applyBorder="1" applyAlignment="1">
      <alignment horizontal="center" vertical="center"/>
    </xf>
    <xf numFmtId="0" fontId="8" fillId="2" borderId="3" xfId="0" applyFont="1" applyFill="1" applyBorder="1" applyAlignment="1">
      <alignment horizontal="center" vertical="center"/>
    </xf>
    <xf numFmtId="168" fontId="7" fillId="0" borderId="5" xfId="1" applyNumberFormat="1" applyFont="1" applyBorder="1"/>
    <xf numFmtId="0" fontId="0" fillId="0" borderId="5" xfId="0" applyBorder="1"/>
    <xf numFmtId="166" fontId="0" fillId="0" borderId="5" xfId="3" applyNumberFormat="1" applyFont="1" applyBorder="1"/>
    <xf numFmtId="0" fontId="0" fillId="0" borderId="5" xfId="0" applyBorder="1" applyAlignment="1">
      <alignment horizontal="right"/>
    </xf>
    <xf numFmtId="44" fontId="0" fillId="0" borderId="5" xfId="3" applyFont="1" applyBorder="1"/>
    <xf numFmtId="166" fontId="7" fillId="0" borderId="0" xfId="3" applyNumberFormat="1" applyFont="1"/>
    <xf numFmtId="44" fontId="0" fillId="0" borderId="0" xfId="0" applyNumberFormat="1"/>
    <xf numFmtId="43" fontId="0" fillId="0" borderId="5" xfId="1" applyFont="1" applyBorder="1"/>
    <xf numFmtId="0" fontId="0" fillId="0" borderId="26" xfId="0" applyBorder="1"/>
    <xf numFmtId="43" fontId="0" fillId="0" borderId="26" xfId="1" applyFont="1" applyBorder="1"/>
    <xf numFmtId="0" fontId="8" fillId="0" borderId="27" xfId="0" applyFont="1" applyBorder="1"/>
    <xf numFmtId="43" fontId="10" fillId="0" borderId="28" xfId="1" applyFont="1" applyBorder="1"/>
    <xf numFmtId="9" fontId="7" fillId="0" borderId="5" xfId="2" applyFont="1" applyBorder="1"/>
    <xf numFmtId="3" fontId="7" fillId="0" borderId="5" xfId="0" applyNumberFormat="1" applyFont="1" applyBorder="1"/>
    <xf numFmtId="0" fontId="0" fillId="0" borderId="22" xfId="0" applyBorder="1" applyAlignment="1">
      <alignment horizontal="left" wrapText="1"/>
    </xf>
    <xf numFmtId="0" fontId="0" fillId="0" borderId="0" xfId="0" applyAlignment="1">
      <alignment horizontal="left"/>
    </xf>
    <xf numFmtId="0" fontId="0" fillId="0" borderId="23" xfId="0" applyBorder="1" applyAlignment="1">
      <alignment horizontal="left"/>
    </xf>
    <xf numFmtId="0" fontId="0" fillId="0" borderId="22" xfId="0" applyBorder="1" applyAlignment="1">
      <alignment horizontal="left"/>
    </xf>
    <xf numFmtId="0" fontId="0" fillId="0" borderId="24" xfId="0" applyBorder="1" applyAlignment="1">
      <alignment horizontal="left"/>
    </xf>
    <xf numFmtId="0" fontId="0" fillId="0" borderId="14" xfId="0" applyBorder="1" applyAlignment="1">
      <alignment horizontal="left"/>
    </xf>
    <xf numFmtId="0" fontId="0" fillId="0" borderId="25" xfId="0" applyBorder="1" applyAlignment="1">
      <alignment horizontal="left"/>
    </xf>
    <xf numFmtId="0" fontId="10" fillId="0" borderId="16" xfId="0" applyFont="1" applyBorder="1" applyAlignment="1">
      <alignment horizontal="center"/>
    </xf>
    <xf numFmtId="0" fontId="10" fillId="0" borderId="17" xfId="0" applyFont="1" applyBorder="1" applyAlignment="1">
      <alignment horizontal="center"/>
    </xf>
    <xf numFmtId="0" fontId="10" fillId="0" borderId="18" xfId="0" applyFont="1" applyBorder="1" applyAlignment="1">
      <alignment horizontal="center"/>
    </xf>
    <xf numFmtId="0" fontId="13" fillId="0" borderId="0" xfId="0" applyFont="1" applyAlignment="1">
      <alignment horizontal="center"/>
    </xf>
    <xf numFmtId="0" fontId="0" fillId="0" borderId="0" xfId="0" applyAlignment="1">
      <alignment horizontal="center"/>
    </xf>
    <xf numFmtId="0" fontId="0" fillId="0" borderId="20" xfId="0" applyBorder="1" applyAlignment="1">
      <alignment horizontal="left"/>
    </xf>
    <xf numFmtId="0" fontId="0" fillId="0" borderId="19" xfId="0" applyBorder="1" applyAlignment="1">
      <alignment horizontal="left"/>
    </xf>
    <xf numFmtId="0" fontId="0" fillId="0" borderId="21" xfId="0" applyBorder="1" applyAlignment="1">
      <alignment horizontal="left"/>
    </xf>
    <xf numFmtId="0" fontId="13" fillId="0" borderId="0" xfId="0" applyFont="1" applyAlignment="1">
      <alignment horizontal="center" vertical="center" wrapText="1"/>
    </xf>
    <xf numFmtId="0" fontId="0" fillId="0" borderId="0" xfId="0" applyAlignment="1">
      <alignment horizontal="left" wrapText="1"/>
    </xf>
    <xf numFmtId="0" fontId="2" fillId="6" borderId="0" xfId="0" applyFont="1" applyFill="1" applyAlignment="1">
      <alignment horizontal="center"/>
    </xf>
    <xf numFmtId="0" fontId="3" fillId="0" borderId="0" xfId="0" applyFont="1"/>
    <xf numFmtId="0" fontId="0" fillId="0" borderId="0" xfId="0"/>
    <xf numFmtId="0" fontId="6" fillId="0" borderId="0" xfId="0" applyFont="1" applyAlignment="1">
      <alignment horizontal="left" vertical="center" wrapText="1"/>
    </xf>
    <xf numFmtId="0" fontId="6" fillId="0" borderId="0" xfId="0" applyFont="1" applyAlignment="1">
      <alignment horizontal="left" vertical="center"/>
    </xf>
    <xf numFmtId="0" fontId="6" fillId="0" borderId="0" xfId="0" applyFont="1" applyAlignment="1">
      <alignment horizontal="left" wrapText="1"/>
    </xf>
    <xf numFmtId="0" fontId="9" fillId="0" borderId="0" xfId="0" applyFont="1"/>
    <xf numFmtId="0" fontId="6" fillId="0" borderId="6" xfId="0" applyFont="1" applyBorder="1" applyAlignment="1">
      <alignment horizontal="left" vertical="center" wrapText="1" indent="1"/>
    </xf>
    <xf numFmtId="0" fontId="6" fillId="0" borderId="7" xfId="0" applyFont="1" applyBorder="1" applyAlignment="1">
      <alignment horizontal="left" vertical="center" wrapText="1" indent="1"/>
    </xf>
    <xf numFmtId="0" fontId="6" fillId="0" borderId="8" xfId="0" applyFont="1" applyBorder="1" applyAlignment="1">
      <alignment horizontal="left" vertical="center" wrapText="1" indent="1"/>
    </xf>
    <xf numFmtId="0" fontId="6" fillId="0" borderId="9" xfId="0" applyFont="1" applyBorder="1" applyAlignment="1">
      <alignment horizontal="left" vertical="center" wrapText="1" indent="1"/>
    </xf>
    <xf numFmtId="0" fontId="6" fillId="0" borderId="0" xfId="0" applyFont="1" applyAlignment="1">
      <alignment horizontal="left" vertical="center" wrapText="1" indent="1"/>
    </xf>
    <xf numFmtId="0" fontId="6" fillId="0" borderId="10" xfId="0" applyFont="1" applyBorder="1" applyAlignment="1">
      <alignment horizontal="left" vertical="center" wrapText="1" indent="1"/>
    </xf>
    <xf numFmtId="0" fontId="6" fillId="0" borderId="11" xfId="0" applyFont="1" applyBorder="1" applyAlignment="1">
      <alignment horizontal="left" vertical="center" wrapText="1" indent="1"/>
    </xf>
    <xf numFmtId="0" fontId="6" fillId="0" borderId="12" xfId="0" applyFont="1" applyBorder="1" applyAlignment="1">
      <alignment horizontal="left" vertical="center" wrapText="1" indent="1"/>
    </xf>
    <xf numFmtId="0" fontId="6" fillId="0" borderId="13" xfId="0" applyFont="1" applyBorder="1" applyAlignment="1">
      <alignment horizontal="left" vertical="center" wrapText="1" indent="1"/>
    </xf>
    <xf numFmtId="0" fontId="6" fillId="0" borderId="6" xfId="0" applyFont="1" applyBorder="1" applyAlignment="1">
      <alignment horizontal="left" vertical="center" wrapText="1"/>
    </xf>
    <xf numFmtId="0" fontId="6" fillId="0" borderId="7" xfId="0" applyFont="1" applyBorder="1" applyAlignment="1">
      <alignment horizontal="left" vertical="center" wrapText="1"/>
    </xf>
    <xf numFmtId="0" fontId="6" fillId="0" borderId="8" xfId="0" applyFont="1" applyBorder="1" applyAlignment="1">
      <alignment horizontal="left" vertical="center" wrapText="1"/>
    </xf>
    <xf numFmtId="0" fontId="6" fillId="0" borderId="9" xfId="0" applyFont="1" applyBorder="1" applyAlignment="1">
      <alignment horizontal="left" vertical="center" wrapText="1"/>
    </xf>
    <xf numFmtId="0" fontId="6" fillId="0" borderId="10" xfId="0" applyFont="1" applyBorder="1" applyAlignment="1">
      <alignment horizontal="left" vertical="center" wrapText="1"/>
    </xf>
    <xf numFmtId="0" fontId="6" fillId="0" borderId="11" xfId="0" applyFont="1" applyBorder="1" applyAlignment="1">
      <alignment horizontal="left" vertical="center" wrapText="1"/>
    </xf>
    <xf numFmtId="0" fontId="6" fillId="0" borderId="12" xfId="0" applyFont="1" applyBorder="1" applyAlignment="1">
      <alignment horizontal="left" vertical="center" wrapText="1"/>
    </xf>
    <xf numFmtId="0" fontId="6" fillId="0" borderId="13" xfId="0" applyFont="1" applyBorder="1" applyAlignment="1">
      <alignment horizontal="left" vertical="center" wrapText="1"/>
    </xf>
    <xf numFmtId="0" fontId="0" fillId="0" borderId="0" xfId="0" applyAlignment="1">
      <alignment horizontal="left" vertical="center" wrapText="1"/>
    </xf>
    <xf numFmtId="0" fontId="0" fillId="0" borderId="0" xfId="0" applyAlignment="1">
      <alignment horizontal="left" vertical="center"/>
    </xf>
  </cellXfs>
  <cellStyles count="4">
    <cellStyle name="Coma" xfId="1" builtinId="3"/>
    <cellStyle name="Moneda" xfId="3" builtinId="4"/>
    <cellStyle name="Normal" xfId="0" builtinId="0"/>
    <cellStyle name="Percentatge"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e6c7bcb4eb356115/Escritorio/IEBS/MODULO%204/OPERACIONES%20FINANCIERAS/sprint3.xlsx" TargetMode="External"/><Relationship Id="rId1" Type="http://schemas.openxmlformats.org/officeDocument/2006/relationships/externalLinkPath" Target="sprint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leasing"/>
      <sheetName val="Renting"/>
      <sheetName val="Comparativa"/>
    </sheetNames>
    <sheetDataSet>
      <sheetData sheetId="0">
        <row r="39">
          <cell r="E39">
            <v>5789.7503455455744</v>
          </cell>
        </row>
        <row r="40">
          <cell r="E40">
            <v>5723.0125895155807</v>
          </cell>
        </row>
        <row r="41">
          <cell r="E41">
            <v>5656.1102401752178</v>
          </cell>
        </row>
        <row r="42">
          <cell r="E42">
            <v>5589.0428915929815</v>
          </cell>
        </row>
        <row r="43">
          <cell r="E43">
            <v>5521.8101368362286</v>
          </cell>
        </row>
        <row r="44">
          <cell r="E44">
            <v>5454.4115679687102</v>
          </cell>
        </row>
        <row r="45">
          <cell r="E45">
            <v>5386.8467760480971</v>
          </cell>
        </row>
        <row r="46">
          <cell r="E46">
            <v>5319.1153511234979</v>
          </cell>
        </row>
        <row r="47">
          <cell r="E47">
            <v>5251.2168822329731</v>
          </cell>
        </row>
        <row r="48">
          <cell r="E48">
            <v>5183.150957401037</v>
          </cell>
        </row>
        <row r="49">
          <cell r="E49">
            <v>5114.9171636361643</v>
          </cell>
        </row>
        <row r="50">
          <cell r="E50">
            <v>5046.5150869282807</v>
          </cell>
        </row>
        <row r="51">
          <cell r="E51">
            <v>4977.944312246249</v>
          </cell>
        </row>
        <row r="52">
          <cell r="E52">
            <v>4909.2044235353551</v>
          </cell>
        </row>
        <row r="53">
          <cell r="E53">
            <v>4840.295003714783</v>
          </cell>
        </row>
        <row r="54">
          <cell r="E54">
            <v>4771.2156346750789</v>
          </cell>
        </row>
        <row r="55">
          <cell r="E55">
            <v>4701.9658972756242</v>
          </cell>
        </row>
        <row r="56">
          <cell r="E56">
            <v>4632.5453713420802</v>
          </cell>
        </row>
        <row r="57">
          <cell r="E57">
            <v>4562.9536356638491</v>
          </cell>
        </row>
        <row r="58">
          <cell r="E58">
            <v>4493.1902679915129</v>
          </cell>
        </row>
        <row r="59">
          <cell r="E59">
            <v>4423.2548450342711</v>
          </cell>
        </row>
        <row r="60">
          <cell r="E60">
            <v>4353.1469424573779</v>
          </cell>
        </row>
        <row r="61">
          <cell r="E61">
            <v>4282.8661348795595</v>
          </cell>
        </row>
        <row r="62">
          <cell r="E62">
            <v>4212.4119958704377</v>
          </cell>
        </row>
        <row r="63">
          <cell r="E63">
            <v>4141.7840979479452</v>
          </cell>
        </row>
        <row r="64">
          <cell r="E64">
            <v>4070.9820125757246</v>
          </cell>
        </row>
        <row r="65">
          <cell r="E65">
            <v>4000.0053101605349</v>
          </cell>
        </row>
        <row r="66">
          <cell r="E66">
            <v>3928.8535600496402</v>
          </cell>
        </row>
        <row r="67">
          <cell r="E67">
            <v>3857.526330528201</v>
          </cell>
        </row>
        <row r="68">
          <cell r="E68">
            <v>3786.0231888166513</v>
          </cell>
        </row>
        <row r="69">
          <cell r="E69">
            <v>3714.3437010680727</v>
          </cell>
        </row>
        <row r="70">
          <cell r="E70">
            <v>3642.4874323655658</v>
          </cell>
        </row>
        <row r="71">
          <cell r="E71">
            <v>3570.4539467196073</v>
          </cell>
        </row>
        <row r="72">
          <cell r="E72">
            <v>3498.2428070654069</v>
          </cell>
        </row>
        <row r="73">
          <cell r="E73">
            <v>3425.8535752602534</v>
          </cell>
        </row>
        <row r="74">
          <cell r="E74">
            <v>3353.2858120808587</v>
          </cell>
        </row>
        <row r="75">
          <cell r="E75">
            <v>3280.5390772206911</v>
          </cell>
        </row>
        <row r="76">
          <cell r="E76">
            <v>3207.6129292873038</v>
          </cell>
        </row>
        <row r="77">
          <cell r="E77">
            <v>3134.5069257996583</v>
          </cell>
        </row>
        <row r="78">
          <cell r="E78">
            <v>3061.220623185437</v>
          </cell>
        </row>
        <row r="79">
          <cell r="E79">
            <v>2987.7535767783538</v>
          </cell>
        </row>
        <row r="80">
          <cell r="E80">
            <v>2914.1053408154571</v>
          </cell>
        </row>
        <row r="81">
          <cell r="E81">
            <v>2840.2754684344218</v>
          </cell>
        </row>
        <row r="82">
          <cell r="E82">
            <v>2766.2635116708398</v>
          </cell>
        </row>
        <row r="83">
          <cell r="E83">
            <v>2692.0690214555029</v>
          </cell>
        </row>
        <row r="84">
          <cell r="E84">
            <v>2617.691547611676</v>
          </cell>
        </row>
        <row r="85">
          <cell r="E85">
            <v>2543.1306388523681</v>
          </cell>
        </row>
        <row r="86">
          <cell r="E86">
            <v>2468.3858427775913</v>
          </cell>
        </row>
        <row r="87">
          <cell r="E87">
            <v>2393.4567058716184</v>
          </cell>
        </row>
        <row r="88">
          <cell r="E88">
            <v>2318.3427735002297</v>
          </cell>
        </row>
        <row r="89">
          <cell r="E89">
            <v>2243.0435899079544</v>
          </cell>
        </row>
        <row r="90">
          <cell r="E90">
            <v>2167.5586982153063</v>
          </cell>
        </row>
        <row r="91">
          <cell r="E91">
            <v>2091.8876404160114</v>
          </cell>
        </row>
        <row r="92">
          <cell r="E92">
            <v>2016.0299573742277</v>
          </cell>
        </row>
        <row r="93">
          <cell r="E93">
            <v>1939.9851888217611</v>
          </cell>
        </row>
        <row r="94">
          <cell r="E94">
            <v>1863.7528733552715</v>
          </cell>
        </row>
        <row r="95">
          <cell r="E95">
            <v>1787.3325484334741</v>
          </cell>
        </row>
        <row r="96">
          <cell r="E96">
            <v>1710.7237503743327</v>
          </cell>
        </row>
        <row r="97">
          <cell r="E97">
            <v>1633.9260143522454</v>
          </cell>
        </row>
      </sheetData>
      <sheetData sheetId="1"/>
      <sheetData sheetId="2"/>
    </sheetDataSet>
  </externalBook>
</externalLink>
</file>

<file path=xl/theme/theme1.xml><?xml version="1.0" encoding="utf-8"?>
<a:theme xmlns:a="http://schemas.openxmlformats.org/drawingml/2006/main" name="Tema de l'Office">
  <a:themeElements>
    <a:clrScheme name="Oficina">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icina">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icina">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CFD8C6-9C4A-439E-BE11-F92F2F44C064}">
  <dimension ref="A1:J29"/>
  <sheetViews>
    <sheetView showGridLines="0" topLeftCell="A9" workbookViewId="0">
      <selection activeCell="B25" sqref="B25:I25"/>
    </sheetView>
  </sheetViews>
  <sheetFormatPr defaultRowHeight="15" x14ac:dyDescent="0.25"/>
  <cols>
    <col min="2" max="2" width="32.140625" customWidth="1"/>
    <col min="3" max="3" width="14.42578125" customWidth="1"/>
    <col min="5" max="5" width="19.140625" customWidth="1"/>
    <col min="7" max="7" width="44.140625" customWidth="1"/>
    <col min="8" max="8" width="24.7109375" customWidth="1"/>
    <col min="9" max="9" width="24.85546875" customWidth="1"/>
    <col min="10" max="10" width="18.42578125" customWidth="1"/>
  </cols>
  <sheetData>
    <row r="1" spans="1:10" x14ac:dyDescent="0.25">
      <c r="A1" s="98"/>
      <c r="B1" s="98"/>
      <c r="C1" s="98"/>
      <c r="D1" s="98"/>
      <c r="E1" s="98"/>
      <c r="F1" s="98"/>
      <c r="G1" s="98"/>
      <c r="H1" s="98"/>
      <c r="I1" s="98"/>
      <c r="J1" s="98"/>
    </row>
    <row r="2" spans="1:10" ht="15.75" x14ac:dyDescent="0.25">
      <c r="A2" s="56" t="s">
        <v>54</v>
      </c>
      <c r="B2" s="102" t="s">
        <v>55</v>
      </c>
      <c r="C2" s="102"/>
      <c r="D2" s="102"/>
      <c r="E2" s="102"/>
      <c r="F2" s="102"/>
      <c r="G2" s="102"/>
      <c r="H2" s="102"/>
      <c r="I2" s="102"/>
      <c r="J2" s="102"/>
    </row>
    <row r="3" spans="1:10" ht="15.75" x14ac:dyDescent="0.25">
      <c r="A3" s="57"/>
      <c r="B3" s="57" t="s">
        <v>56</v>
      </c>
      <c r="C3" s="57"/>
      <c r="D3" s="57"/>
      <c r="E3" s="57"/>
      <c r="F3" s="57"/>
      <c r="G3" s="57" t="s">
        <v>57</v>
      </c>
      <c r="H3" s="57"/>
      <c r="I3" s="57"/>
      <c r="J3" s="57"/>
    </row>
    <row r="4" spans="1:10" x14ac:dyDescent="0.25">
      <c r="B4" s="13" t="s">
        <v>58</v>
      </c>
      <c r="C4" s="58">
        <v>250000</v>
      </c>
      <c r="D4" s="59">
        <f>C4-C9</f>
        <v>2173.611111111124</v>
      </c>
      <c r="G4" s="13" t="s">
        <v>59</v>
      </c>
      <c r="H4" s="58">
        <v>100000</v>
      </c>
      <c r="I4" s="18">
        <f>H4-H9</f>
        <v>2350</v>
      </c>
    </row>
    <row r="5" spans="1:10" x14ac:dyDescent="0.25">
      <c r="B5" s="13" t="s">
        <v>60</v>
      </c>
      <c r="C5" s="58">
        <f>0.5%*C4</f>
        <v>1250</v>
      </c>
      <c r="G5" s="13" t="s">
        <v>61</v>
      </c>
      <c r="H5" s="60">
        <f>H4*0.02</f>
        <v>2000</v>
      </c>
    </row>
    <row r="6" spans="1:10" x14ac:dyDescent="0.25">
      <c r="B6" s="13" t="s">
        <v>62</v>
      </c>
      <c r="C6" s="58">
        <v>0</v>
      </c>
      <c r="D6" s="61" t="s">
        <v>4</v>
      </c>
      <c r="E6" s="62">
        <v>45493</v>
      </c>
      <c r="G6" s="13" t="s">
        <v>63</v>
      </c>
    </row>
    <row r="7" spans="1:10" x14ac:dyDescent="0.25">
      <c r="B7" s="13" t="s">
        <v>64</v>
      </c>
      <c r="C7" s="58">
        <f>C4*1%*(D8/360)</f>
        <v>923.6111111111112</v>
      </c>
      <c r="D7" s="16" t="s">
        <v>65</v>
      </c>
      <c r="E7" s="62">
        <v>45626</v>
      </c>
      <c r="G7" s="13" t="s">
        <v>66</v>
      </c>
      <c r="H7" s="63">
        <v>0.03</v>
      </c>
      <c r="I7" s="59" t="s">
        <v>4</v>
      </c>
      <c r="J7" s="62">
        <v>45493</v>
      </c>
    </row>
    <row r="8" spans="1:10" x14ac:dyDescent="0.25">
      <c r="B8" t="s">
        <v>67</v>
      </c>
      <c r="C8">
        <f>11+31+30+30+31</f>
        <v>133</v>
      </c>
      <c r="D8">
        <f>E7-E6</f>
        <v>133</v>
      </c>
      <c r="G8" s="13" t="s">
        <v>27</v>
      </c>
      <c r="H8" s="60">
        <f>H4*H7*(I9/360)</f>
        <v>350</v>
      </c>
      <c r="I8" s="16" t="s">
        <v>65</v>
      </c>
      <c r="J8" s="62">
        <v>45535</v>
      </c>
    </row>
    <row r="9" spans="1:10" x14ac:dyDescent="0.25">
      <c r="B9" s="32" t="s">
        <v>68</v>
      </c>
      <c r="C9" s="64">
        <f>C4-C5-C6-C7</f>
        <v>247826.38888888888</v>
      </c>
      <c r="G9" s="32" t="s">
        <v>68</v>
      </c>
      <c r="H9" s="33">
        <f>H4-H5-H8</f>
        <v>97650</v>
      </c>
      <c r="I9">
        <f>J8-J7</f>
        <v>42</v>
      </c>
    </row>
    <row r="11" spans="1:10" x14ac:dyDescent="0.25">
      <c r="E11" s="65"/>
      <c r="G11" s="66" t="s">
        <v>69</v>
      </c>
      <c r="H11" s="60">
        <f>I4-D4</f>
        <v>176.38888888887595</v>
      </c>
    </row>
    <row r="12" spans="1:10" x14ac:dyDescent="0.25">
      <c r="G12" s="66" t="s">
        <v>70</v>
      </c>
      <c r="H12" s="16">
        <f>H11/H9</f>
        <v>1.8063378278430717E-3</v>
      </c>
    </row>
    <row r="13" spans="1:10" x14ac:dyDescent="0.25">
      <c r="B13" s="67" t="s">
        <v>71</v>
      </c>
      <c r="C13" s="95" t="s">
        <v>72</v>
      </c>
      <c r="D13" s="95"/>
      <c r="E13" s="96"/>
      <c r="F13" s="65"/>
      <c r="G13" s="67" t="s">
        <v>71</v>
      </c>
      <c r="H13" s="68"/>
      <c r="I13" s="69" t="s">
        <v>72</v>
      </c>
    </row>
    <row r="14" spans="1:10" x14ac:dyDescent="0.25">
      <c r="B14" t="s">
        <v>73</v>
      </c>
      <c r="C14" s="100" t="s">
        <v>74</v>
      </c>
      <c r="D14" s="100"/>
      <c r="E14" s="100"/>
      <c r="G14" t="s">
        <v>75</v>
      </c>
      <c r="I14" s="88" t="s">
        <v>76</v>
      </c>
      <c r="J14" s="88"/>
    </row>
    <row r="15" spans="1:10" x14ac:dyDescent="0.25">
      <c r="B15" t="s">
        <v>77</v>
      </c>
      <c r="C15" s="103" t="s">
        <v>78</v>
      </c>
      <c r="D15" s="88"/>
      <c r="E15" s="88"/>
      <c r="G15" s="88" t="s">
        <v>79</v>
      </c>
      <c r="H15" s="88"/>
      <c r="I15" s="88" t="s">
        <v>80</v>
      </c>
      <c r="J15" s="88"/>
    </row>
    <row r="16" spans="1:10" x14ac:dyDescent="0.25">
      <c r="C16" s="88" t="s">
        <v>81</v>
      </c>
      <c r="D16" s="88"/>
      <c r="E16" s="88"/>
      <c r="G16" t="s">
        <v>82</v>
      </c>
    </row>
    <row r="19" spans="1:10" ht="15.75" x14ac:dyDescent="0.25">
      <c r="A19" s="56" t="s">
        <v>83</v>
      </c>
      <c r="B19" s="97" t="s">
        <v>84</v>
      </c>
      <c r="C19" s="97"/>
      <c r="D19" s="97"/>
      <c r="E19" s="97"/>
      <c r="F19" s="97"/>
      <c r="G19" s="97"/>
      <c r="H19" s="97"/>
      <c r="I19" s="97"/>
      <c r="J19" s="97"/>
    </row>
    <row r="20" spans="1:10" x14ac:dyDescent="0.25">
      <c r="B20" s="98"/>
      <c r="C20" s="98"/>
      <c r="D20" s="98"/>
      <c r="E20" s="98"/>
      <c r="F20" s="98"/>
      <c r="G20" s="98"/>
      <c r="H20" s="98"/>
      <c r="I20" s="98"/>
    </row>
    <row r="21" spans="1:10" x14ac:dyDescent="0.25">
      <c r="B21" s="99" t="s">
        <v>85</v>
      </c>
      <c r="C21" s="100"/>
      <c r="D21" s="100"/>
      <c r="E21" s="100"/>
      <c r="F21" s="100"/>
      <c r="G21" s="100"/>
      <c r="H21" s="100"/>
      <c r="I21" s="101"/>
    </row>
    <row r="22" spans="1:10" x14ac:dyDescent="0.25">
      <c r="B22" s="90" t="s">
        <v>86</v>
      </c>
      <c r="C22" s="88"/>
      <c r="D22" s="88"/>
      <c r="E22" s="88"/>
      <c r="F22" s="88"/>
      <c r="G22" s="88"/>
      <c r="H22" s="88"/>
      <c r="I22" s="89"/>
    </row>
    <row r="23" spans="1:10" x14ac:dyDescent="0.25">
      <c r="B23" s="90" t="s">
        <v>87</v>
      </c>
      <c r="C23" s="88"/>
      <c r="D23" s="88"/>
      <c r="E23" s="88"/>
      <c r="F23" s="88"/>
      <c r="G23" s="88"/>
      <c r="H23" s="88"/>
      <c r="I23" s="89"/>
    </row>
    <row r="24" spans="1:10" ht="31.5" customHeight="1" x14ac:dyDescent="0.25">
      <c r="B24" s="87" t="s">
        <v>120</v>
      </c>
      <c r="C24" s="88"/>
      <c r="D24" s="88"/>
      <c r="E24" s="88"/>
      <c r="F24" s="88"/>
      <c r="G24" s="88"/>
      <c r="H24" s="88"/>
      <c r="I24" s="89"/>
    </row>
    <row r="25" spans="1:10" x14ac:dyDescent="0.25">
      <c r="B25" s="90" t="s">
        <v>88</v>
      </c>
      <c r="C25" s="88"/>
      <c r="D25" s="88"/>
      <c r="E25" s="88"/>
      <c r="F25" s="88"/>
      <c r="G25" s="88"/>
      <c r="H25" s="88"/>
      <c r="I25" s="89"/>
    </row>
    <row r="26" spans="1:10" x14ac:dyDescent="0.25">
      <c r="B26" s="90" t="s">
        <v>89</v>
      </c>
      <c r="C26" s="88"/>
      <c r="D26" s="88"/>
      <c r="E26" s="88"/>
      <c r="F26" s="88"/>
      <c r="G26" s="88"/>
      <c r="H26" s="88"/>
      <c r="I26" s="89"/>
    </row>
    <row r="27" spans="1:10" x14ac:dyDescent="0.25">
      <c r="B27" s="90" t="s">
        <v>90</v>
      </c>
      <c r="C27" s="88"/>
      <c r="D27" s="88"/>
      <c r="E27" s="88"/>
      <c r="F27" s="88"/>
      <c r="G27" s="88"/>
      <c r="H27" s="88"/>
      <c r="I27" s="89"/>
    </row>
    <row r="28" spans="1:10" x14ac:dyDescent="0.25">
      <c r="B28" s="91" t="s">
        <v>91</v>
      </c>
      <c r="C28" s="92"/>
      <c r="D28" s="92"/>
      <c r="E28" s="92"/>
      <c r="F28" s="92"/>
      <c r="G28" s="92"/>
      <c r="H28" s="92"/>
      <c r="I28" s="93"/>
    </row>
    <row r="29" spans="1:10" x14ac:dyDescent="0.25">
      <c r="B29" s="94" t="s">
        <v>92</v>
      </c>
      <c r="C29" s="95"/>
      <c r="D29" s="95"/>
      <c r="E29" s="95"/>
      <c r="F29" s="95"/>
      <c r="G29" s="95"/>
      <c r="H29" s="95"/>
      <c r="I29" s="96"/>
    </row>
  </sheetData>
  <mergeCells count="20">
    <mergeCell ref="C15:E15"/>
    <mergeCell ref="G15:H15"/>
    <mergeCell ref="I15:J15"/>
    <mergeCell ref="A1:J1"/>
    <mergeCell ref="B2:J2"/>
    <mergeCell ref="C13:E13"/>
    <mergeCell ref="C14:E14"/>
    <mergeCell ref="I14:J14"/>
    <mergeCell ref="B29:I29"/>
    <mergeCell ref="C16:E16"/>
    <mergeCell ref="B19:J19"/>
    <mergeCell ref="B20:I20"/>
    <mergeCell ref="B21:I21"/>
    <mergeCell ref="B22:I22"/>
    <mergeCell ref="B23:I23"/>
    <mergeCell ref="B24:I24"/>
    <mergeCell ref="B25:I25"/>
    <mergeCell ref="B26:I26"/>
    <mergeCell ref="B27:I27"/>
    <mergeCell ref="B28:I2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D20C8B-4A89-4050-A950-28A7DE052271}">
  <dimension ref="B3:F11"/>
  <sheetViews>
    <sheetView showGridLines="0" workbookViewId="0">
      <selection activeCell="B3" sqref="B3:F11"/>
    </sheetView>
  </sheetViews>
  <sheetFormatPr defaultRowHeight="15" x14ac:dyDescent="0.25"/>
  <cols>
    <col min="2" max="2" width="28" customWidth="1"/>
    <col min="3" max="3" width="19.85546875" customWidth="1"/>
    <col min="4" max="4" width="3.85546875" customWidth="1"/>
    <col min="5" max="5" width="22" customWidth="1"/>
    <col min="6" max="6" width="20.85546875" customWidth="1"/>
  </cols>
  <sheetData>
    <row r="3" spans="2:6" x14ac:dyDescent="0.25">
      <c r="B3" s="104" t="s">
        <v>56</v>
      </c>
      <c r="C3" s="104"/>
      <c r="E3" s="104" t="s">
        <v>57</v>
      </c>
      <c r="F3" s="104"/>
    </row>
    <row r="4" spans="2:6" x14ac:dyDescent="0.25">
      <c r="B4" s="34" t="s">
        <v>58</v>
      </c>
      <c r="C4" s="35">
        <v>250000</v>
      </c>
      <c r="E4" s="34" t="s">
        <v>59</v>
      </c>
      <c r="F4" s="35">
        <v>100000</v>
      </c>
    </row>
    <row r="5" spans="2:6" x14ac:dyDescent="0.25">
      <c r="B5" s="34" t="s">
        <v>60</v>
      </c>
      <c r="C5" s="35">
        <v>1250</v>
      </c>
      <c r="E5" s="34" t="s">
        <v>61</v>
      </c>
      <c r="F5" s="35">
        <f>F4*0.02</f>
        <v>2000</v>
      </c>
    </row>
    <row r="6" spans="2:6" x14ac:dyDescent="0.25">
      <c r="B6" s="34" t="s">
        <v>62</v>
      </c>
      <c r="C6" s="36">
        <v>0</v>
      </c>
      <c r="E6" s="34" t="s">
        <v>63</v>
      </c>
      <c r="F6" s="36"/>
    </row>
    <row r="7" spans="2:6" x14ac:dyDescent="0.25">
      <c r="B7" s="34" t="s">
        <v>119</v>
      </c>
      <c r="C7" s="85">
        <v>0.01</v>
      </c>
      <c r="E7" s="34" t="s">
        <v>66</v>
      </c>
      <c r="F7" s="85">
        <v>0.03</v>
      </c>
    </row>
    <row r="8" spans="2:6" x14ac:dyDescent="0.25">
      <c r="B8" s="34" t="s">
        <v>27</v>
      </c>
      <c r="C8" s="35">
        <v>923.6111111111112</v>
      </c>
      <c r="E8" s="34" t="s">
        <v>27</v>
      </c>
      <c r="F8" s="35">
        <v>350</v>
      </c>
    </row>
    <row r="9" spans="2:6" x14ac:dyDescent="0.25">
      <c r="B9" s="34" t="s">
        <v>67</v>
      </c>
      <c r="C9" s="86">
        <v>133</v>
      </c>
      <c r="E9" s="34" t="s">
        <v>67</v>
      </c>
      <c r="F9" s="86">
        <v>42</v>
      </c>
    </row>
    <row r="10" spans="2:6" ht="15.75" thickBot="1" x14ac:dyDescent="0.3">
      <c r="B10" s="81" t="s">
        <v>68</v>
      </c>
      <c r="C10" s="82">
        <v>247826.38888888888</v>
      </c>
      <c r="E10" s="74" t="s">
        <v>68</v>
      </c>
      <c r="F10" s="80">
        <f>F4-F5-F8</f>
        <v>97650</v>
      </c>
    </row>
    <row r="11" spans="2:6" ht="15.75" thickBot="1" x14ac:dyDescent="0.3">
      <c r="B11" s="83" t="s">
        <v>118</v>
      </c>
      <c r="C11" s="84">
        <v>2173.611111111124</v>
      </c>
      <c r="E11" s="83" t="s">
        <v>118</v>
      </c>
      <c r="F11" s="84">
        <v>2350</v>
      </c>
    </row>
  </sheetData>
  <mergeCells count="2">
    <mergeCell ref="B3:C3"/>
    <mergeCell ref="E3:F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EB076-F900-4420-940A-141E33474341}">
  <dimension ref="A3:N149"/>
  <sheetViews>
    <sheetView topLeftCell="A7" workbookViewId="0">
      <selection activeCell="E148" sqref="E148"/>
    </sheetView>
  </sheetViews>
  <sheetFormatPr defaultRowHeight="15" x14ac:dyDescent="0.25"/>
  <cols>
    <col min="1" max="1" width="20" customWidth="1"/>
    <col min="2" max="2" width="31.28515625" customWidth="1"/>
    <col min="3" max="3" width="24.7109375" customWidth="1"/>
    <col min="4" max="4" width="19.7109375" customWidth="1"/>
    <col min="5" max="5" width="20.7109375" customWidth="1"/>
    <col min="6" max="6" width="14.28515625" customWidth="1"/>
    <col min="7" max="7" width="16" customWidth="1"/>
    <col min="8" max="8" width="10.140625" bestFit="1" customWidth="1"/>
    <col min="9" max="9" width="12.140625" customWidth="1"/>
    <col min="10" max="10" width="14.42578125" customWidth="1"/>
    <col min="11" max="11" width="12.7109375" customWidth="1"/>
    <col min="12" max="12" width="11.7109375" bestFit="1" customWidth="1"/>
  </cols>
  <sheetData>
    <row r="3" spans="2:9" x14ac:dyDescent="0.25">
      <c r="B3" s="107" t="s">
        <v>14</v>
      </c>
      <c r="C3" s="108"/>
      <c r="D3" s="108"/>
      <c r="E3" s="108"/>
      <c r="F3" s="108"/>
      <c r="G3" s="108"/>
    </row>
    <row r="4" spans="2:9" ht="45" customHeight="1" x14ac:dyDescent="0.25">
      <c r="B4" s="108"/>
      <c r="C4" s="108"/>
      <c r="D4" s="108"/>
      <c r="E4" s="108"/>
      <c r="F4" s="108"/>
      <c r="G4" s="108"/>
    </row>
    <row r="5" spans="2:9" x14ac:dyDescent="0.25">
      <c r="B5" s="1"/>
      <c r="C5" s="1"/>
      <c r="D5" s="1"/>
      <c r="E5" s="1"/>
      <c r="F5" s="1"/>
      <c r="G5" s="1"/>
      <c r="H5" s="1"/>
      <c r="I5" s="1"/>
    </row>
    <row r="6" spans="2:9" ht="32.25" customHeight="1" x14ac:dyDescent="0.25">
      <c r="B6" s="107" t="s">
        <v>15</v>
      </c>
      <c r="C6" s="107"/>
      <c r="D6" s="107"/>
      <c r="E6" s="107"/>
      <c r="F6" s="107"/>
      <c r="G6" s="107"/>
    </row>
    <row r="7" spans="2:9" x14ac:dyDescent="0.25">
      <c r="B7" s="1"/>
      <c r="C7" s="2"/>
      <c r="D7" s="2"/>
      <c r="E7" s="2"/>
      <c r="F7" s="2"/>
      <c r="G7" s="2"/>
      <c r="H7" s="2"/>
      <c r="I7" s="2"/>
    </row>
    <row r="8" spans="2:9" x14ac:dyDescent="0.25">
      <c r="B8" s="1"/>
    </row>
    <row r="9" spans="2:9" x14ac:dyDescent="0.25">
      <c r="B9" s="1"/>
      <c r="C9" s="1"/>
      <c r="D9" s="1"/>
      <c r="E9" s="1"/>
      <c r="F9" s="1"/>
      <c r="G9" s="1"/>
      <c r="H9" s="1"/>
      <c r="I9" s="1"/>
    </row>
    <row r="10" spans="2:9" x14ac:dyDescent="0.25">
      <c r="B10" s="105"/>
      <c r="C10" s="106"/>
      <c r="D10" s="106"/>
      <c r="E10" s="106"/>
      <c r="F10" s="106"/>
      <c r="G10" s="1"/>
      <c r="H10" s="1"/>
      <c r="I10" s="1"/>
    </row>
    <row r="11" spans="2:9" x14ac:dyDescent="0.25">
      <c r="B11" s="105" t="s">
        <v>0</v>
      </c>
      <c r="C11" s="106"/>
      <c r="D11" s="106"/>
      <c r="E11" s="106"/>
      <c r="F11" s="106"/>
      <c r="G11" s="106"/>
      <c r="H11" s="106"/>
      <c r="I11" s="1"/>
    </row>
    <row r="12" spans="2:9" x14ac:dyDescent="0.25">
      <c r="B12" s="3" t="s">
        <v>1</v>
      </c>
    </row>
    <row r="13" spans="2:9" x14ac:dyDescent="0.25">
      <c r="B13" s="3" t="s">
        <v>2</v>
      </c>
    </row>
    <row r="15" spans="2:9" x14ac:dyDescent="0.25">
      <c r="B15" s="3" t="s">
        <v>3</v>
      </c>
      <c r="C15" s="4">
        <v>3000000</v>
      </c>
    </row>
    <row r="16" spans="2:9" x14ac:dyDescent="0.25">
      <c r="B16" s="3" t="s">
        <v>4</v>
      </c>
      <c r="C16" s="14" t="s">
        <v>16</v>
      </c>
      <c r="D16" s="3">
        <v>120</v>
      </c>
      <c r="E16" s="13" t="s">
        <v>17</v>
      </c>
    </row>
    <row r="17" spans="1:14" x14ac:dyDescent="0.25">
      <c r="B17" t="s">
        <v>18</v>
      </c>
      <c r="C17" s="31">
        <f>D17/12</f>
        <v>1.8749999999999999E-3</v>
      </c>
      <c r="D17" s="17">
        <v>2.2499999999999999E-2</v>
      </c>
    </row>
    <row r="18" spans="1:14" x14ac:dyDescent="0.25">
      <c r="B18" s="13" t="s">
        <v>19</v>
      </c>
      <c r="C18" s="15">
        <v>1.2999999999999999E-3</v>
      </c>
    </row>
    <row r="20" spans="1:14" x14ac:dyDescent="0.25">
      <c r="B20" s="13" t="s">
        <v>21</v>
      </c>
      <c r="C20">
        <v>1</v>
      </c>
      <c r="D20">
        <v>2</v>
      </c>
      <c r="E20">
        <v>3</v>
      </c>
      <c r="F20">
        <v>4</v>
      </c>
      <c r="G20">
        <v>5</v>
      </c>
      <c r="H20">
        <v>6</v>
      </c>
      <c r="I20">
        <v>7</v>
      </c>
      <c r="J20">
        <v>8</v>
      </c>
      <c r="K20">
        <v>9</v>
      </c>
      <c r="L20">
        <v>10</v>
      </c>
    </row>
    <row r="21" spans="1:14" x14ac:dyDescent="0.25">
      <c r="B21" t="s">
        <v>20</v>
      </c>
      <c r="C21" s="15">
        <v>-4.81E-3</v>
      </c>
      <c r="D21" s="15">
        <v>-3.0300000000000001E-3</v>
      </c>
      <c r="E21" s="15">
        <f>D21+$C$18</f>
        <v>-1.7300000000000002E-3</v>
      </c>
      <c r="F21" s="15">
        <f t="shared" ref="F21:L21" si="0">E21+$C$18</f>
        <v>-4.3000000000000026E-4</v>
      </c>
      <c r="G21" s="15">
        <f t="shared" si="0"/>
        <v>8.6999999999999968E-4</v>
      </c>
      <c r="H21" s="15">
        <f t="shared" si="0"/>
        <v>2.1699999999999996E-3</v>
      </c>
      <c r="I21" s="15">
        <f t="shared" si="0"/>
        <v>3.4699999999999996E-3</v>
      </c>
      <c r="J21" s="15">
        <f t="shared" si="0"/>
        <v>4.7699999999999999E-3</v>
      </c>
      <c r="K21" s="15">
        <f t="shared" si="0"/>
        <v>6.0699999999999999E-3</v>
      </c>
      <c r="L21" s="15">
        <f t="shared" si="0"/>
        <v>7.3699999999999998E-3</v>
      </c>
    </row>
    <row r="22" spans="1:14" x14ac:dyDescent="0.25">
      <c r="B22" s="13" t="s">
        <v>22</v>
      </c>
      <c r="C22" s="15">
        <f>((1+($D$17+C21))^(1/12))-1</f>
        <v>1.4623476131101487E-3</v>
      </c>
      <c r="D22" s="15">
        <f t="shared" ref="D22:L22" si="1">((1+($D$17+D21))^(1/12))-1</f>
        <v>1.6081988011074078E-3</v>
      </c>
      <c r="E22" s="15">
        <f t="shared" si="1"/>
        <v>1.7145719055755571E-3</v>
      </c>
      <c r="F22" s="15">
        <f t="shared" si="1"/>
        <v>1.8208209004306752E-3</v>
      </c>
      <c r="G22" s="15">
        <f t="shared" si="1"/>
        <v>1.9269460880588785E-3</v>
      </c>
      <c r="H22" s="15">
        <f t="shared" si="1"/>
        <v>2.0329477697262899E-3</v>
      </c>
      <c r="I22" s="15">
        <f t="shared" si="1"/>
        <v>2.1388262455852569E-3</v>
      </c>
      <c r="J22" s="15">
        <f t="shared" si="1"/>
        <v>2.2445818146796803E-3</v>
      </c>
      <c r="K22" s="15">
        <f t="shared" si="1"/>
        <v>2.3502147749494551E-3</v>
      </c>
      <c r="L22" s="15">
        <f t="shared" si="1"/>
        <v>2.4557254232380199E-3</v>
      </c>
    </row>
    <row r="23" spans="1:14" x14ac:dyDescent="0.25">
      <c r="B23" t="s">
        <v>7</v>
      </c>
      <c r="C23" s="4">
        <f>F27*(C22/(1-(1+C22)^-D16))</f>
        <v>27275.870437732166</v>
      </c>
      <c r="D23" s="4">
        <f>F39*(D22/(1-(1+D22)^-($D$16-A39)))</f>
        <v>27487.246034273394</v>
      </c>
      <c r="E23" s="4">
        <f>F51*(E22/(1-(1+E22)^-($D$16-A51)))</f>
        <v>27625.446942830211</v>
      </c>
      <c r="F23" s="4">
        <f>F63*(F22/(1-(1+F22)^-($D$16-A63)))</f>
        <v>27747.198089499234</v>
      </c>
      <c r="G23" s="4">
        <f>F75*(G22/(1-(1+G22)^-($D$16-A75)))</f>
        <v>27852.300408590578</v>
      </c>
      <c r="H23" s="4">
        <f>F87*(H22/(1-(1+H22)^-($D$16-A87)))</f>
        <v>27940.562360003903</v>
      </c>
      <c r="I23" s="4">
        <f>F99*(I22/(1-(1+I22)^-($D$16-A99)))</f>
        <v>28011.80024132747</v>
      </c>
      <c r="J23" s="4">
        <f>F111*(J22/(1-(1+J22)^-($D$16-A111)))</f>
        <v>28065.838615423763</v>
      </c>
      <c r="K23" s="4">
        <f>F123*(K22/(1-(1+K22)^-($D$16-A123)))</f>
        <v>28102.5108563957</v>
      </c>
      <c r="L23" s="4">
        <f>F135*(L22/(1-(1+L22)^-($D$16-A135)))</f>
        <v>28121.659816537318</v>
      </c>
      <c r="N23" s="3"/>
    </row>
    <row r="24" spans="1:14" x14ac:dyDescent="0.25">
      <c r="N24" s="3"/>
    </row>
    <row r="26" spans="1:14" x14ac:dyDescent="0.25">
      <c r="A26" s="5" t="s">
        <v>5</v>
      </c>
      <c r="B26" s="5" t="s">
        <v>6</v>
      </c>
      <c r="C26" s="5" t="s">
        <v>7</v>
      </c>
      <c r="D26" s="5" t="s">
        <v>8</v>
      </c>
      <c r="E26" s="5" t="s">
        <v>9</v>
      </c>
      <c r="F26" s="5" t="s">
        <v>10</v>
      </c>
      <c r="G26" s="5" t="s">
        <v>11</v>
      </c>
    </row>
    <row r="27" spans="1:14" x14ac:dyDescent="0.25">
      <c r="A27" s="6">
        <v>0</v>
      </c>
      <c r="B27" s="19">
        <v>45536</v>
      </c>
      <c r="C27" s="20"/>
      <c r="D27" s="20"/>
      <c r="E27" s="20"/>
      <c r="F27" s="20">
        <f>C15</f>
        <v>3000000</v>
      </c>
      <c r="G27" s="21"/>
    </row>
    <row r="28" spans="1:14" x14ac:dyDescent="0.25">
      <c r="A28" s="6">
        <v>1</v>
      </c>
      <c r="B28" s="19">
        <v>45566</v>
      </c>
      <c r="C28" s="22">
        <f>C23</f>
        <v>27275.870437732166</v>
      </c>
      <c r="D28" s="22">
        <f t="shared" ref="D28:D59" si="2">C28-E28</f>
        <v>22888.82759840172</v>
      </c>
      <c r="E28" s="22">
        <f>F27*$C$22</f>
        <v>4387.0428393304464</v>
      </c>
      <c r="F28" s="22">
        <f t="shared" ref="F28:F59" si="3">F27-D28</f>
        <v>2977111.1724015982</v>
      </c>
      <c r="G28" s="23">
        <f t="shared" ref="G28:G59" si="4">G27+D28</f>
        <v>22888.82759840172</v>
      </c>
      <c r="K28" s="4" t="e">
        <f>G116*(K27/(1-(1+K27)^-($D$16-B116)))</f>
        <v>#DIV/0!</v>
      </c>
    </row>
    <row r="29" spans="1:14" x14ac:dyDescent="0.25">
      <c r="A29" s="6">
        <v>2</v>
      </c>
      <c r="B29" s="7">
        <v>45597</v>
      </c>
      <c r="C29" s="8">
        <f t="shared" ref="C29:C39" si="5">C28</f>
        <v>27275.870437732166</v>
      </c>
      <c r="D29" s="8">
        <f t="shared" si="2"/>
        <v>22922.299020807135</v>
      </c>
      <c r="E29" s="22">
        <f t="shared" ref="E29:E39" si="6">F28*$C$22</f>
        <v>4353.5714169250332</v>
      </c>
      <c r="F29" s="8">
        <f t="shared" si="3"/>
        <v>2954188.8733807909</v>
      </c>
      <c r="G29" s="9">
        <f t="shared" si="4"/>
        <v>45811.126619208851</v>
      </c>
    </row>
    <row r="30" spans="1:14" x14ac:dyDescent="0.25">
      <c r="A30" s="6">
        <v>3</v>
      </c>
      <c r="B30" s="7">
        <v>45627</v>
      </c>
      <c r="C30" s="8">
        <f t="shared" si="5"/>
        <v>27275.870437732166</v>
      </c>
      <c r="D30" s="8">
        <f t="shared" si="2"/>
        <v>22955.819390067209</v>
      </c>
      <c r="E30" s="22">
        <f t="shared" si="6"/>
        <v>4320.0510476649588</v>
      </c>
      <c r="F30" s="8">
        <f t="shared" si="3"/>
        <v>2931233.0539907236</v>
      </c>
      <c r="G30" s="9">
        <f t="shared" si="4"/>
        <v>68766.946009276056</v>
      </c>
    </row>
    <row r="31" spans="1:14" x14ac:dyDescent="0.25">
      <c r="A31" s="6">
        <v>4</v>
      </c>
      <c r="B31" s="7">
        <v>45658</v>
      </c>
      <c r="C31" s="8">
        <f t="shared" si="5"/>
        <v>27275.870437732166</v>
      </c>
      <c r="D31" s="8">
        <f t="shared" si="2"/>
        <v>22989.388777759261</v>
      </c>
      <c r="E31" s="22">
        <f t="shared" si="6"/>
        <v>4286.4816599729065</v>
      </c>
      <c r="F31" s="8">
        <f t="shared" si="3"/>
        <v>2908243.6652129642</v>
      </c>
      <c r="G31" s="9">
        <f t="shared" si="4"/>
        <v>91756.334787035317</v>
      </c>
    </row>
    <row r="32" spans="1:14" x14ac:dyDescent="0.25">
      <c r="A32" s="6">
        <v>5</v>
      </c>
      <c r="B32" s="7">
        <v>45689</v>
      </c>
      <c r="C32" s="8">
        <f t="shared" si="5"/>
        <v>27275.870437732166</v>
      </c>
      <c r="D32" s="8">
        <f t="shared" si="2"/>
        <v>23023.007255565277</v>
      </c>
      <c r="E32" s="22">
        <f t="shared" si="6"/>
        <v>4252.8631821668887</v>
      </c>
      <c r="F32" s="8">
        <f t="shared" si="3"/>
        <v>2885220.6579573988</v>
      </c>
      <c r="G32" s="9">
        <f t="shared" si="4"/>
        <v>114779.34204260059</v>
      </c>
    </row>
    <row r="33" spans="1:7" x14ac:dyDescent="0.25">
      <c r="A33" s="6">
        <v>6</v>
      </c>
      <c r="B33" s="7">
        <v>45717</v>
      </c>
      <c r="C33" s="8">
        <f t="shared" si="5"/>
        <v>27275.870437732166</v>
      </c>
      <c r="D33" s="8">
        <f t="shared" si="2"/>
        <v>23056.674895272074</v>
      </c>
      <c r="E33" s="22">
        <f t="shared" si="6"/>
        <v>4219.1955424600947</v>
      </c>
      <c r="F33" s="8">
        <f t="shared" si="3"/>
        <v>2862163.9830621267</v>
      </c>
      <c r="G33" s="9">
        <f t="shared" si="4"/>
        <v>137836.01693787266</v>
      </c>
    </row>
    <row r="34" spans="1:7" x14ac:dyDescent="0.25">
      <c r="A34" s="6">
        <v>7</v>
      </c>
      <c r="B34" s="7">
        <v>45748</v>
      </c>
      <c r="C34" s="8">
        <f t="shared" si="5"/>
        <v>27275.870437732166</v>
      </c>
      <c r="D34" s="8">
        <f t="shared" si="2"/>
        <v>23090.391768771427</v>
      </c>
      <c r="E34" s="22">
        <f t="shared" si="6"/>
        <v>4185.4786689607372</v>
      </c>
      <c r="F34" s="8">
        <f t="shared" si="3"/>
        <v>2839073.5912933555</v>
      </c>
      <c r="G34" s="9">
        <f t="shared" si="4"/>
        <v>160926.40870664408</v>
      </c>
    </row>
    <row r="35" spans="1:7" x14ac:dyDescent="0.25">
      <c r="A35" s="6">
        <v>8</v>
      </c>
      <c r="B35" s="7">
        <v>45778</v>
      </c>
      <c r="C35" s="8">
        <f t="shared" si="5"/>
        <v>27275.870437732166</v>
      </c>
      <c r="D35" s="8">
        <f t="shared" si="2"/>
        <v>23124.15794806027</v>
      </c>
      <c r="E35" s="22">
        <f t="shared" si="6"/>
        <v>4151.712489671896</v>
      </c>
      <c r="F35" s="8">
        <f t="shared" si="3"/>
        <v>2815949.433345295</v>
      </c>
      <c r="G35" s="9">
        <f t="shared" si="4"/>
        <v>184050.56665470437</v>
      </c>
    </row>
    <row r="36" spans="1:7" x14ac:dyDescent="0.25">
      <c r="A36" s="6">
        <v>9</v>
      </c>
      <c r="B36" s="7">
        <v>45809</v>
      </c>
      <c r="C36" s="8">
        <f t="shared" si="5"/>
        <v>27275.870437732166</v>
      </c>
      <c r="D36" s="8">
        <f t="shared" si="2"/>
        <v>23157.9735052408</v>
      </c>
      <c r="E36" s="22">
        <f t="shared" si="6"/>
        <v>4117.8969324913678</v>
      </c>
      <c r="F36" s="8">
        <f t="shared" si="3"/>
        <v>2792791.4598400542</v>
      </c>
      <c r="G36" s="9">
        <f t="shared" si="4"/>
        <v>207208.54015994517</v>
      </c>
    </row>
    <row r="37" spans="1:7" x14ac:dyDescent="0.25">
      <c r="A37" s="6">
        <v>10</v>
      </c>
      <c r="B37" s="7">
        <v>45839</v>
      </c>
      <c r="C37" s="8">
        <f t="shared" si="5"/>
        <v>27275.870437732166</v>
      </c>
      <c r="D37" s="8">
        <f t="shared" si="2"/>
        <v>23191.838512520655</v>
      </c>
      <c r="E37" s="22">
        <f t="shared" si="6"/>
        <v>4084.031925211511</v>
      </c>
      <c r="F37" s="8">
        <f t="shared" si="3"/>
        <v>2769599.6213275334</v>
      </c>
      <c r="G37" s="9">
        <f t="shared" si="4"/>
        <v>230400.37867246583</v>
      </c>
    </row>
    <row r="38" spans="1:7" x14ac:dyDescent="0.25">
      <c r="A38" s="6">
        <v>11</v>
      </c>
      <c r="B38" s="7">
        <v>45870</v>
      </c>
      <c r="C38" s="8">
        <f t="shared" si="5"/>
        <v>27275.870437732166</v>
      </c>
      <c r="D38" s="8">
        <f t="shared" si="2"/>
        <v>23225.753042213077</v>
      </c>
      <c r="E38" s="22">
        <f t="shared" si="6"/>
        <v>4050.1173955190902</v>
      </c>
      <c r="F38" s="8">
        <f t="shared" si="3"/>
        <v>2746373.8682853202</v>
      </c>
      <c r="G38" s="9">
        <f t="shared" si="4"/>
        <v>253626.13171467889</v>
      </c>
    </row>
    <row r="39" spans="1:7" x14ac:dyDescent="0.25">
      <c r="A39" s="6">
        <v>12</v>
      </c>
      <c r="B39" s="7">
        <v>45901</v>
      </c>
      <c r="C39" s="8">
        <f t="shared" si="5"/>
        <v>27275.870437732166</v>
      </c>
      <c r="D39" s="8">
        <f t="shared" si="2"/>
        <v>23259.717166737042</v>
      </c>
      <c r="E39" s="22">
        <f t="shared" si="6"/>
        <v>4016.1532709951239</v>
      </c>
      <c r="F39" s="8">
        <f t="shared" si="3"/>
        <v>2723114.151118583</v>
      </c>
      <c r="G39" s="9">
        <f t="shared" si="4"/>
        <v>276885.84888141591</v>
      </c>
    </row>
    <row r="40" spans="1:7" x14ac:dyDescent="0.25">
      <c r="A40" s="6">
        <v>13</v>
      </c>
      <c r="B40" s="24">
        <v>45931</v>
      </c>
      <c r="C40" s="25">
        <f>D23</f>
        <v>27487.246034273394</v>
      </c>
      <c r="D40" s="25">
        <f t="shared" si="2"/>
        <v>23107.937121165873</v>
      </c>
      <c r="E40" s="22">
        <f>F39*$D$22</f>
        <v>4379.3089131075212</v>
      </c>
      <c r="F40" s="25">
        <f t="shared" si="3"/>
        <v>2700006.2139974171</v>
      </c>
      <c r="G40" s="26">
        <f t="shared" si="4"/>
        <v>299993.78600258176</v>
      </c>
    </row>
    <row r="41" spans="1:7" x14ac:dyDescent="0.25">
      <c r="A41" s="6">
        <v>14</v>
      </c>
      <c r="B41" s="7">
        <v>45962</v>
      </c>
      <c r="C41" s="8">
        <f t="shared" ref="C41:C51" si="7">C40</f>
        <v>27487.246034273394</v>
      </c>
      <c r="D41" s="8">
        <f t="shared" si="2"/>
        <v>23145.099277940197</v>
      </c>
      <c r="E41" s="22">
        <f t="shared" ref="E41:E51" si="8">F40*$D$22</f>
        <v>4342.1467563331971</v>
      </c>
      <c r="F41" s="8">
        <f t="shared" si="3"/>
        <v>2676861.114719477</v>
      </c>
      <c r="G41" s="9">
        <f t="shared" si="4"/>
        <v>323138.88528052194</v>
      </c>
    </row>
    <row r="42" spans="1:7" x14ac:dyDescent="0.25">
      <c r="A42" s="6">
        <v>15</v>
      </c>
      <c r="B42" s="7">
        <v>45992</v>
      </c>
      <c r="C42" s="8">
        <f t="shared" si="7"/>
        <v>27487.246034273394</v>
      </c>
      <c r="D42" s="8">
        <f t="shared" si="2"/>
        <v>23182.321198850492</v>
      </c>
      <c r="E42" s="22">
        <f t="shared" si="8"/>
        <v>4304.9248354229021</v>
      </c>
      <c r="F42" s="8">
        <f t="shared" si="3"/>
        <v>2653678.7935206266</v>
      </c>
      <c r="G42" s="9">
        <f t="shared" si="4"/>
        <v>346321.20647937246</v>
      </c>
    </row>
    <row r="43" spans="1:7" x14ac:dyDescent="0.25">
      <c r="A43" s="6">
        <v>16</v>
      </c>
      <c r="B43" s="7">
        <v>46023</v>
      </c>
      <c r="C43" s="8">
        <f t="shared" si="7"/>
        <v>27487.246034273394</v>
      </c>
      <c r="D43" s="8">
        <f t="shared" si="2"/>
        <v>23219.602980009371</v>
      </c>
      <c r="E43" s="22">
        <f t="shared" si="8"/>
        <v>4267.6430542640237</v>
      </c>
      <c r="F43" s="8">
        <f t="shared" si="3"/>
        <v>2630459.1905406173</v>
      </c>
      <c r="G43" s="9">
        <f t="shared" si="4"/>
        <v>369540.80945938185</v>
      </c>
    </row>
    <row r="44" spans="1:7" x14ac:dyDescent="0.25">
      <c r="A44" s="6">
        <v>17</v>
      </c>
      <c r="B44" s="7">
        <v>46054</v>
      </c>
      <c r="C44" s="8">
        <f t="shared" si="7"/>
        <v>27487.246034273394</v>
      </c>
      <c r="D44" s="8">
        <f t="shared" si="2"/>
        <v>23256.944717684011</v>
      </c>
      <c r="E44" s="22">
        <f t="shared" si="8"/>
        <v>4230.3013165893826</v>
      </c>
      <c r="F44" s="8">
        <f t="shared" si="3"/>
        <v>2607202.2458229335</v>
      </c>
      <c r="G44" s="9">
        <f t="shared" si="4"/>
        <v>392797.75417706586</v>
      </c>
    </row>
    <row r="45" spans="1:7" x14ac:dyDescent="0.25">
      <c r="A45" s="6">
        <v>18</v>
      </c>
      <c r="B45" s="7">
        <v>46082</v>
      </c>
      <c r="C45" s="8">
        <f t="shared" si="7"/>
        <v>27487.246034273394</v>
      </c>
      <c r="D45" s="8">
        <f t="shared" si="2"/>
        <v>23294.34650829641</v>
      </c>
      <c r="E45" s="22">
        <f t="shared" si="8"/>
        <v>4192.8995259769827</v>
      </c>
      <c r="F45" s="8">
        <f t="shared" si="3"/>
        <v>2583907.8993146373</v>
      </c>
      <c r="G45" s="9">
        <f t="shared" si="4"/>
        <v>416092.10068536224</v>
      </c>
    </row>
    <row r="46" spans="1:7" x14ac:dyDescent="0.25">
      <c r="A46" s="6">
        <v>19</v>
      </c>
      <c r="B46" s="7">
        <v>46113</v>
      </c>
      <c r="C46" s="8">
        <f t="shared" si="7"/>
        <v>27487.246034273394</v>
      </c>
      <c r="D46" s="8">
        <f t="shared" si="2"/>
        <v>23331.808448423631</v>
      </c>
      <c r="E46" s="22">
        <f t="shared" si="8"/>
        <v>4155.4375858497606</v>
      </c>
      <c r="F46" s="8">
        <f t="shared" si="3"/>
        <v>2560576.0908662137</v>
      </c>
      <c r="G46" s="9">
        <f t="shared" si="4"/>
        <v>439423.90913378587</v>
      </c>
    </row>
    <row r="47" spans="1:7" x14ac:dyDescent="0.25">
      <c r="A47" s="6">
        <v>20</v>
      </c>
      <c r="B47" s="7">
        <v>46143</v>
      </c>
      <c r="C47" s="8">
        <f t="shared" si="7"/>
        <v>27487.246034273394</v>
      </c>
      <c r="D47" s="8">
        <f t="shared" si="2"/>
        <v>23369.330634798054</v>
      </c>
      <c r="E47" s="22">
        <f t="shared" si="8"/>
        <v>4117.9153994753378</v>
      </c>
      <c r="F47" s="8">
        <f t="shared" si="3"/>
        <v>2537206.7602314157</v>
      </c>
      <c r="G47" s="9">
        <f t="shared" si="4"/>
        <v>462793.23976858391</v>
      </c>
    </row>
    <row r="48" spans="1:7" x14ac:dyDescent="0.25">
      <c r="A48" s="6">
        <v>21</v>
      </c>
      <c r="B48" s="7">
        <v>46174</v>
      </c>
      <c r="C48" s="8">
        <f t="shared" si="7"/>
        <v>27487.246034273394</v>
      </c>
      <c r="D48" s="8">
        <f t="shared" si="2"/>
        <v>23406.913164307622</v>
      </c>
      <c r="E48" s="22">
        <f t="shared" si="8"/>
        <v>4080.3328699657732</v>
      </c>
      <c r="F48" s="8">
        <f t="shared" si="3"/>
        <v>2513799.8470671079</v>
      </c>
      <c r="G48" s="9">
        <f t="shared" si="4"/>
        <v>486200.15293289151</v>
      </c>
    </row>
    <row r="49" spans="1:8" x14ac:dyDescent="0.25">
      <c r="A49" s="6">
        <v>22</v>
      </c>
      <c r="B49" s="7">
        <v>46204</v>
      </c>
      <c r="C49" s="8">
        <f t="shared" si="7"/>
        <v>27487.246034273394</v>
      </c>
      <c r="D49" s="8">
        <f t="shared" si="2"/>
        <v>23444.556133996084</v>
      </c>
      <c r="E49" s="22">
        <f t="shared" si="8"/>
        <v>4042.689900277308</v>
      </c>
      <c r="F49" s="8">
        <f t="shared" si="3"/>
        <v>2490355.2909331117</v>
      </c>
      <c r="G49" s="9">
        <f t="shared" si="4"/>
        <v>509644.70906688762</v>
      </c>
    </row>
    <row r="50" spans="1:8" x14ac:dyDescent="0.25">
      <c r="A50" s="6">
        <v>23</v>
      </c>
      <c r="B50" s="7">
        <v>46235</v>
      </c>
      <c r="C50" s="8">
        <f t="shared" si="7"/>
        <v>27487.246034273394</v>
      </c>
      <c r="D50" s="8">
        <f t="shared" si="2"/>
        <v>23482.259641063276</v>
      </c>
      <c r="E50" s="22">
        <f t="shared" si="8"/>
        <v>4004.9863932101198</v>
      </c>
      <c r="F50" s="8">
        <f t="shared" si="3"/>
        <v>2466873.0312920483</v>
      </c>
      <c r="G50" s="9">
        <f t="shared" si="4"/>
        <v>533126.9687079509</v>
      </c>
    </row>
    <row r="51" spans="1:8" x14ac:dyDescent="0.25">
      <c r="A51" s="6">
        <v>24</v>
      </c>
      <c r="B51" s="7">
        <v>46266</v>
      </c>
      <c r="C51" s="8">
        <f t="shared" si="7"/>
        <v>27487.246034273394</v>
      </c>
      <c r="D51" s="8">
        <f t="shared" si="2"/>
        <v>23520.023782865326</v>
      </c>
      <c r="E51" s="22">
        <f t="shared" si="8"/>
        <v>3967.222251408069</v>
      </c>
      <c r="F51" s="8">
        <f t="shared" si="3"/>
        <v>2443353.0075091831</v>
      </c>
      <c r="G51" s="9">
        <f t="shared" si="4"/>
        <v>556646.99249081628</v>
      </c>
      <c r="H51" s="39"/>
    </row>
    <row r="52" spans="1:8" x14ac:dyDescent="0.25">
      <c r="A52" s="6">
        <v>25</v>
      </c>
      <c r="B52" s="24">
        <v>46296</v>
      </c>
      <c r="C52" s="25">
        <f>E23</f>
        <v>27625.446942830211</v>
      </c>
      <c r="D52" s="25">
        <f t="shared" si="2"/>
        <v>23436.142520751422</v>
      </c>
      <c r="E52" s="22">
        <f>F51*$E$22</f>
        <v>4189.3044220787888</v>
      </c>
      <c r="F52" s="25">
        <f t="shared" si="3"/>
        <v>2419916.8649884318</v>
      </c>
      <c r="G52" s="26">
        <f t="shared" si="4"/>
        <v>580083.13501156773</v>
      </c>
    </row>
    <row r="53" spans="1:8" x14ac:dyDescent="0.25">
      <c r="A53" s="6">
        <v>26</v>
      </c>
      <c r="B53" s="7">
        <v>46327</v>
      </c>
      <c r="C53" s="8">
        <f t="shared" ref="C53:C63" si="9">C52</f>
        <v>27625.446942830211</v>
      </c>
      <c r="D53" s="8">
        <f t="shared" si="2"/>
        <v>23476.325472292567</v>
      </c>
      <c r="E53" s="22">
        <f t="shared" ref="E53:E63" si="10">F52*$E$22</f>
        <v>4149.1214705376433</v>
      </c>
      <c r="F53" s="8">
        <f t="shared" si="3"/>
        <v>2396440.5395161393</v>
      </c>
      <c r="G53" s="9">
        <f t="shared" si="4"/>
        <v>603559.46048386034</v>
      </c>
    </row>
    <row r="54" spans="1:8" x14ac:dyDescent="0.25">
      <c r="A54" s="6">
        <v>27</v>
      </c>
      <c r="B54" s="7">
        <v>46357</v>
      </c>
      <c r="C54" s="8">
        <f t="shared" si="9"/>
        <v>27625.446942830211</v>
      </c>
      <c r="D54" s="8">
        <f t="shared" si="2"/>
        <v>23516.57732039351</v>
      </c>
      <c r="E54" s="22">
        <f t="shared" si="10"/>
        <v>4108.8696224367031</v>
      </c>
      <c r="F54" s="8">
        <f t="shared" si="3"/>
        <v>2372923.9621957457</v>
      </c>
      <c r="G54" s="9">
        <f t="shared" si="4"/>
        <v>627076.03780425387</v>
      </c>
    </row>
    <row r="55" spans="1:8" x14ac:dyDescent="0.25">
      <c r="A55" s="6">
        <v>28</v>
      </c>
      <c r="B55" s="7">
        <v>46388</v>
      </c>
      <c r="C55" s="8">
        <f t="shared" si="9"/>
        <v>27625.446942830211</v>
      </c>
      <c r="D55" s="8">
        <f t="shared" si="2"/>
        <v>23556.898183182351</v>
      </c>
      <c r="E55" s="22">
        <f t="shared" si="10"/>
        <v>4068.5487596478606</v>
      </c>
      <c r="F55" s="8">
        <f t="shared" si="3"/>
        <v>2349367.0640125633</v>
      </c>
      <c r="G55" s="9">
        <f t="shared" si="4"/>
        <v>650632.93598743621</v>
      </c>
    </row>
    <row r="56" spans="1:8" x14ac:dyDescent="0.25">
      <c r="A56" s="6">
        <v>29</v>
      </c>
      <c r="B56" s="7">
        <v>46419</v>
      </c>
      <c r="C56" s="8">
        <f t="shared" si="9"/>
        <v>27625.446942830211</v>
      </c>
      <c r="D56" s="8">
        <f t="shared" si="2"/>
        <v>23597.288178989736</v>
      </c>
      <c r="E56" s="22">
        <f t="shared" si="10"/>
        <v>4028.1587638404726</v>
      </c>
      <c r="F56" s="8">
        <f t="shared" si="3"/>
        <v>2325769.7758335737</v>
      </c>
      <c r="G56" s="9">
        <f t="shared" si="4"/>
        <v>674230.22416642599</v>
      </c>
    </row>
    <row r="57" spans="1:8" x14ac:dyDescent="0.25">
      <c r="A57" s="6">
        <v>30</v>
      </c>
      <c r="B57" s="7">
        <v>46447</v>
      </c>
      <c r="C57" s="8">
        <f t="shared" si="9"/>
        <v>27625.446942830211</v>
      </c>
      <c r="D57" s="8">
        <f t="shared" si="2"/>
        <v>23637.747426349204</v>
      </c>
      <c r="E57" s="22">
        <f t="shared" si="10"/>
        <v>3987.6995164810064</v>
      </c>
      <c r="F57" s="8">
        <f t="shared" si="3"/>
        <v>2302132.0284072245</v>
      </c>
      <c r="G57" s="9">
        <f t="shared" si="4"/>
        <v>697867.9715927752</v>
      </c>
    </row>
    <row r="58" spans="1:8" x14ac:dyDescent="0.25">
      <c r="A58" s="6">
        <v>31</v>
      </c>
      <c r="B58" s="7">
        <v>46478</v>
      </c>
      <c r="C58" s="8">
        <f t="shared" si="9"/>
        <v>27625.446942830211</v>
      </c>
      <c r="D58" s="8">
        <f t="shared" si="2"/>
        <v>23678.276043997514</v>
      </c>
      <c r="E58" s="22">
        <f t="shared" si="10"/>
        <v>3947.1708988326973</v>
      </c>
      <c r="F58" s="8">
        <f t="shared" si="3"/>
        <v>2278453.7523632268</v>
      </c>
      <c r="G58" s="9">
        <f t="shared" si="4"/>
        <v>721546.24763677269</v>
      </c>
    </row>
    <row r="59" spans="1:8" x14ac:dyDescent="0.25">
      <c r="A59" s="6">
        <v>32</v>
      </c>
      <c r="B59" s="7">
        <v>46508</v>
      </c>
      <c r="C59" s="8">
        <f t="shared" si="9"/>
        <v>27625.446942830211</v>
      </c>
      <c r="D59" s="8">
        <f t="shared" si="2"/>
        <v>23718.874150875014</v>
      </c>
      <c r="E59" s="22">
        <f t="shared" si="10"/>
        <v>3906.5727919551964</v>
      </c>
      <c r="F59" s="8">
        <f t="shared" si="3"/>
        <v>2254734.8782123518</v>
      </c>
      <c r="G59" s="9">
        <f t="shared" si="4"/>
        <v>745265.12178764772</v>
      </c>
    </row>
    <row r="60" spans="1:8" x14ac:dyDescent="0.25">
      <c r="A60" s="6">
        <v>33</v>
      </c>
      <c r="B60" s="7">
        <v>46539</v>
      </c>
      <c r="C60" s="8">
        <f t="shared" si="9"/>
        <v>27625.446942830211</v>
      </c>
      <c r="D60" s="8">
        <f t="shared" ref="D60:D91" si="11">C60-E60</f>
        <v>23759.541866125986</v>
      </c>
      <c r="E60" s="22">
        <f t="shared" si="10"/>
        <v>3865.9050767042236</v>
      </c>
      <c r="F60" s="8">
        <f t="shared" ref="F60:F91" si="12">F59-D60</f>
        <v>2230975.3363462258</v>
      </c>
      <c r="G60" s="9">
        <f t="shared" ref="G60:G88" si="13">G59+D60</f>
        <v>769024.66365377372</v>
      </c>
    </row>
    <row r="61" spans="1:8" x14ac:dyDescent="0.25">
      <c r="A61" s="6">
        <v>34</v>
      </c>
      <c r="B61" s="7">
        <v>46569</v>
      </c>
      <c r="C61" s="8">
        <f t="shared" si="9"/>
        <v>27625.446942830211</v>
      </c>
      <c r="D61" s="8">
        <f t="shared" si="11"/>
        <v>23800.279309098994</v>
      </c>
      <c r="E61" s="22">
        <f t="shared" si="10"/>
        <v>3825.1676337312178</v>
      </c>
      <c r="F61" s="8">
        <f t="shared" si="12"/>
        <v>2207175.0570371267</v>
      </c>
      <c r="G61" s="9">
        <f t="shared" si="13"/>
        <v>792824.94296287268</v>
      </c>
    </row>
    <row r="62" spans="1:8" x14ac:dyDescent="0.25">
      <c r="A62" s="6">
        <v>35</v>
      </c>
      <c r="B62" s="7">
        <v>46600</v>
      </c>
      <c r="C62" s="8">
        <f t="shared" si="9"/>
        <v>27625.446942830211</v>
      </c>
      <c r="D62" s="8">
        <f t="shared" si="11"/>
        <v>23841.086599347225</v>
      </c>
      <c r="E62" s="22">
        <f t="shared" si="10"/>
        <v>3784.3603434829852</v>
      </c>
      <c r="F62" s="8">
        <f t="shared" si="12"/>
        <v>2183333.9704377796</v>
      </c>
      <c r="G62" s="9">
        <f t="shared" si="13"/>
        <v>816666.02956221986</v>
      </c>
    </row>
    <row r="63" spans="1:8" x14ac:dyDescent="0.25">
      <c r="A63" s="6">
        <v>36</v>
      </c>
      <c r="B63" s="7">
        <v>46631</v>
      </c>
      <c r="C63" s="8">
        <f t="shared" si="9"/>
        <v>27625.446942830211</v>
      </c>
      <c r="D63" s="8">
        <f t="shared" si="11"/>
        <v>23881.96385662886</v>
      </c>
      <c r="E63" s="22">
        <f t="shared" si="10"/>
        <v>3743.4830862013505</v>
      </c>
      <c r="F63" s="8">
        <f t="shared" si="12"/>
        <v>2159452.0065811509</v>
      </c>
      <c r="G63" s="9">
        <f t="shared" si="13"/>
        <v>840547.99341884872</v>
      </c>
      <c r="H63" s="39"/>
    </row>
    <row r="64" spans="1:8" x14ac:dyDescent="0.25">
      <c r="A64" s="6">
        <v>37</v>
      </c>
      <c r="B64" s="24">
        <v>46661</v>
      </c>
      <c r="C64" s="25">
        <f>F23</f>
        <v>27747.198089499234</v>
      </c>
      <c r="D64" s="25">
        <f t="shared" si="11"/>
        <v>23815.222742439313</v>
      </c>
      <c r="E64" s="22">
        <f>F63*$F$22</f>
        <v>3931.9753470599198</v>
      </c>
      <c r="F64" s="25">
        <f t="shared" si="12"/>
        <v>2135636.7838387117</v>
      </c>
      <c r="G64" s="26">
        <f t="shared" si="13"/>
        <v>864363.21616128809</v>
      </c>
    </row>
    <row r="65" spans="1:7" x14ac:dyDescent="0.25">
      <c r="A65" s="6">
        <v>38</v>
      </c>
      <c r="B65" s="7">
        <v>46692</v>
      </c>
      <c r="C65" s="8">
        <f t="shared" ref="C65:C75" si="14">C64</f>
        <v>27747.198089499234</v>
      </c>
      <c r="D65" s="8">
        <f t="shared" si="11"/>
        <v>23858.58599775716</v>
      </c>
      <c r="E65" s="22">
        <f t="shared" ref="E65:E75" si="15">F64*$F$22</f>
        <v>3888.6120917420744</v>
      </c>
      <c r="F65" s="8">
        <f t="shared" si="12"/>
        <v>2111778.1978409546</v>
      </c>
      <c r="G65" s="9">
        <f t="shared" si="13"/>
        <v>888221.80215904524</v>
      </c>
    </row>
    <row r="66" spans="1:7" x14ac:dyDescent="0.25">
      <c r="A66" s="6">
        <v>39</v>
      </c>
      <c r="B66" s="7">
        <v>46722</v>
      </c>
      <c r="C66" s="8">
        <f t="shared" si="14"/>
        <v>27747.198089499234</v>
      </c>
      <c r="D66" s="8">
        <f t="shared" si="11"/>
        <v>23902.028209796597</v>
      </c>
      <c r="E66" s="22">
        <f t="shared" si="15"/>
        <v>3845.1698797026356</v>
      </c>
      <c r="F66" s="8">
        <f t="shared" si="12"/>
        <v>2087876.169631158</v>
      </c>
      <c r="G66" s="9">
        <f t="shared" si="13"/>
        <v>912123.83036884188</v>
      </c>
    </row>
    <row r="67" spans="1:7" x14ac:dyDescent="0.25">
      <c r="A67" s="6">
        <v>40</v>
      </c>
      <c r="B67" s="7">
        <v>46753</v>
      </c>
      <c r="C67" s="8">
        <f t="shared" si="14"/>
        <v>27747.198089499234</v>
      </c>
      <c r="D67" s="8">
        <f t="shared" si="11"/>
        <v>23945.549522323679</v>
      </c>
      <c r="E67" s="22">
        <f t="shared" si="15"/>
        <v>3801.6485671755545</v>
      </c>
      <c r="F67" s="8">
        <f t="shared" si="12"/>
        <v>2063930.6201088342</v>
      </c>
      <c r="G67" s="9">
        <f t="shared" si="13"/>
        <v>936069.37989116553</v>
      </c>
    </row>
    <row r="68" spans="1:7" x14ac:dyDescent="0.25">
      <c r="A68" s="6">
        <v>41</v>
      </c>
      <c r="B68" s="7">
        <v>46784</v>
      </c>
      <c r="C68" s="8">
        <f t="shared" si="14"/>
        <v>27747.198089499234</v>
      </c>
      <c r="D68" s="8">
        <f t="shared" si="11"/>
        <v>23989.150079366224</v>
      </c>
      <c r="E68" s="22">
        <f t="shared" si="15"/>
        <v>3758.0480101330095</v>
      </c>
      <c r="F68" s="8">
        <f t="shared" si="12"/>
        <v>2039941.4700294679</v>
      </c>
      <c r="G68" s="9">
        <f t="shared" si="13"/>
        <v>960058.5299705317</v>
      </c>
    </row>
    <row r="69" spans="1:7" x14ac:dyDescent="0.25">
      <c r="A69" s="6">
        <v>42</v>
      </c>
      <c r="B69" s="7">
        <v>46813</v>
      </c>
      <c r="C69" s="8">
        <f t="shared" si="14"/>
        <v>27747.198089499234</v>
      </c>
      <c r="D69" s="8">
        <f t="shared" si="11"/>
        <v>24032.830025214302</v>
      </c>
      <c r="E69" s="22">
        <f t="shared" si="15"/>
        <v>3714.3680642849313</v>
      </c>
      <c r="F69" s="8">
        <f t="shared" si="12"/>
        <v>2015908.6400042537</v>
      </c>
      <c r="G69" s="9">
        <f t="shared" si="13"/>
        <v>984091.35999574605</v>
      </c>
    </row>
    <row r="70" spans="1:7" x14ac:dyDescent="0.25">
      <c r="A70" s="6">
        <v>43</v>
      </c>
      <c r="B70" s="7">
        <v>46844</v>
      </c>
      <c r="C70" s="8">
        <f t="shared" si="14"/>
        <v>27747.198089499234</v>
      </c>
      <c r="D70" s="8">
        <f t="shared" si="11"/>
        <v>24076.58950442071</v>
      </c>
      <c r="E70" s="22">
        <f t="shared" si="15"/>
        <v>3670.608585078523</v>
      </c>
      <c r="F70" s="8">
        <f t="shared" si="12"/>
        <v>1991832.050499833</v>
      </c>
      <c r="G70" s="9">
        <f t="shared" si="13"/>
        <v>1008167.9495001668</v>
      </c>
    </row>
    <row r="71" spans="1:7" x14ac:dyDescent="0.25">
      <c r="A71" s="6">
        <v>44</v>
      </c>
      <c r="B71" s="7">
        <v>46874</v>
      </c>
      <c r="C71" s="8">
        <f t="shared" si="14"/>
        <v>27747.198089499234</v>
      </c>
      <c r="D71" s="8">
        <f t="shared" si="11"/>
        <v>24120.428661801448</v>
      </c>
      <c r="E71" s="22">
        <f t="shared" si="15"/>
        <v>3626.7694276977841</v>
      </c>
      <c r="F71" s="8">
        <f t="shared" si="12"/>
        <v>1967711.6218380316</v>
      </c>
      <c r="G71" s="9">
        <f t="shared" si="13"/>
        <v>1032288.3781619683</v>
      </c>
    </row>
    <row r="72" spans="1:7" x14ac:dyDescent="0.25">
      <c r="A72" s="6">
        <v>45</v>
      </c>
      <c r="B72" s="7">
        <v>46905</v>
      </c>
      <c r="C72" s="8">
        <f t="shared" si="14"/>
        <v>27747.198089499234</v>
      </c>
      <c r="D72" s="8">
        <f t="shared" si="11"/>
        <v>24164.347642436205</v>
      </c>
      <c r="E72" s="22">
        <f t="shared" si="15"/>
        <v>3582.8504470630292</v>
      </c>
      <c r="F72" s="8">
        <f t="shared" si="12"/>
        <v>1943547.2741955954</v>
      </c>
      <c r="G72" s="9">
        <f t="shared" si="13"/>
        <v>1056452.7258044046</v>
      </c>
    </row>
    <row r="73" spans="1:7" x14ac:dyDescent="0.25">
      <c r="A73" s="6">
        <v>46</v>
      </c>
      <c r="B73" s="7">
        <v>46935</v>
      </c>
      <c r="C73" s="8">
        <f t="shared" si="14"/>
        <v>27747.198089499234</v>
      </c>
      <c r="D73" s="8">
        <f t="shared" si="11"/>
        <v>24208.346591668826</v>
      </c>
      <c r="E73" s="22">
        <f t="shared" si="15"/>
        <v>3538.8514978304083</v>
      </c>
      <c r="F73" s="8">
        <f t="shared" si="12"/>
        <v>1919338.9276039265</v>
      </c>
      <c r="G73" s="9">
        <f t="shared" si="13"/>
        <v>1080661.0723960735</v>
      </c>
    </row>
    <row r="74" spans="1:7" x14ac:dyDescent="0.25">
      <c r="A74" s="6">
        <v>47</v>
      </c>
      <c r="B74" s="7">
        <v>46966</v>
      </c>
      <c r="C74" s="8">
        <f t="shared" si="14"/>
        <v>27747.198089499234</v>
      </c>
      <c r="D74" s="8">
        <f t="shared" si="11"/>
        <v>24252.425655107807</v>
      </c>
      <c r="E74" s="22">
        <f t="shared" si="15"/>
        <v>3494.7724343914279</v>
      </c>
      <c r="F74" s="8">
        <f t="shared" si="12"/>
        <v>1895086.5019488188</v>
      </c>
      <c r="G74" s="9">
        <f t="shared" si="13"/>
        <v>1104913.4980511812</v>
      </c>
    </row>
    <row r="75" spans="1:7" x14ac:dyDescent="0.25">
      <c r="A75" s="6">
        <v>48</v>
      </c>
      <c r="B75" s="7">
        <v>46997</v>
      </c>
      <c r="C75" s="8">
        <f t="shared" si="14"/>
        <v>27747.198089499234</v>
      </c>
      <c r="D75" s="8">
        <f t="shared" si="11"/>
        <v>24296.584978626768</v>
      </c>
      <c r="E75" s="22">
        <f t="shared" si="15"/>
        <v>3450.6131108724667</v>
      </c>
      <c r="F75" s="8">
        <f t="shared" si="12"/>
        <v>1870789.916970192</v>
      </c>
      <c r="G75" s="9">
        <f t="shared" si="13"/>
        <v>1129210.083029808</v>
      </c>
    </row>
    <row r="76" spans="1:7" x14ac:dyDescent="0.25">
      <c r="A76" s="6">
        <v>49</v>
      </c>
      <c r="B76" s="24">
        <v>47027</v>
      </c>
      <c r="C76" s="25">
        <f>G23</f>
        <v>27852.300408590578</v>
      </c>
      <c r="D76" s="25">
        <f t="shared" si="11"/>
        <v>24247.38909650487</v>
      </c>
      <c r="E76" s="22">
        <f>F75*$G$22</f>
        <v>3604.9113120857055</v>
      </c>
      <c r="F76" s="25">
        <f t="shared" si="12"/>
        <v>1846542.5278736872</v>
      </c>
      <c r="G76" s="26">
        <f t="shared" si="13"/>
        <v>1153457.4721263128</v>
      </c>
    </row>
    <row r="77" spans="1:7" x14ac:dyDescent="0.25">
      <c r="A77" s="6">
        <v>50</v>
      </c>
      <c r="B77" s="7">
        <v>47058</v>
      </c>
      <c r="C77" s="8">
        <f t="shared" ref="C77:C87" si="16">C76</f>
        <v>27852.300408590578</v>
      </c>
      <c r="D77" s="8">
        <f t="shared" si="11"/>
        <v>24294.112508070022</v>
      </c>
      <c r="E77" s="22">
        <f t="shared" ref="E77:E87" si="17">F76*$G$22</f>
        <v>3558.1879005205542</v>
      </c>
      <c r="F77" s="8">
        <f t="shared" si="12"/>
        <v>1822248.4153656173</v>
      </c>
      <c r="G77" s="9">
        <f t="shared" si="13"/>
        <v>1177751.5846343827</v>
      </c>
    </row>
    <row r="78" spans="1:7" x14ac:dyDescent="0.25">
      <c r="A78" s="6">
        <v>51</v>
      </c>
      <c r="B78" s="7">
        <v>47088</v>
      </c>
      <c r="C78" s="8">
        <f t="shared" si="16"/>
        <v>27852.300408590578</v>
      </c>
      <c r="D78" s="8">
        <f t="shared" si="11"/>
        <v>24340.925953130311</v>
      </c>
      <c r="E78" s="22">
        <f t="shared" si="17"/>
        <v>3511.3744554602663</v>
      </c>
      <c r="F78" s="8">
        <f t="shared" si="12"/>
        <v>1797907.489412487</v>
      </c>
      <c r="G78" s="9">
        <f t="shared" si="13"/>
        <v>1202092.510587513</v>
      </c>
    </row>
    <row r="79" spans="1:7" x14ac:dyDescent="0.25">
      <c r="A79" s="6">
        <v>52</v>
      </c>
      <c r="B79" s="7">
        <v>47119</v>
      </c>
      <c r="C79" s="8">
        <f t="shared" si="16"/>
        <v>27852.300408590578</v>
      </c>
      <c r="D79" s="8">
        <f t="shared" si="11"/>
        <v>24387.829605175426</v>
      </c>
      <c r="E79" s="22">
        <f t="shared" si="17"/>
        <v>3464.4708034151513</v>
      </c>
      <c r="F79" s="8">
        <f t="shared" si="12"/>
        <v>1773519.6598073116</v>
      </c>
      <c r="G79" s="9">
        <f t="shared" si="13"/>
        <v>1226480.3401926884</v>
      </c>
    </row>
    <row r="80" spans="1:7" x14ac:dyDescent="0.25">
      <c r="A80" s="6">
        <v>53</v>
      </c>
      <c r="B80" s="7">
        <v>47150</v>
      </c>
      <c r="C80" s="8">
        <f t="shared" si="16"/>
        <v>27852.300408590578</v>
      </c>
      <c r="D80" s="8">
        <f t="shared" si="11"/>
        <v>24434.823638029367</v>
      </c>
      <c r="E80" s="22">
        <f t="shared" si="17"/>
        <v>3417.4767705612121</v>
      </c>
      <c r="F80" s="8">
        <f t="shared" si="12"/>
        <v>1749084.8361692822</v>
      </c>
      <c r="G80" s="9">
        <f t="shared" si="13"/>
        <v>1250915.1638307178</v>
      </c>
    </row>
    <row r="81" spans="1:7" x14ac:dyDescent="0.25">
      <c r="A81" s="6">
        <v>54</v>
      </c>
      <c r="B81" s="7">
        <v>47178</v>
      </c>
      <c r="C81" s="8">
        <f t="shared" si="16"/>
        <v>27852.300408590578</v>
      </c>
      <c r="D81" s="8">
        <f t="shared" si="11"/>
        <v>24481.908225851075</v>
      </c>
      <c r="E81" s="22">
        <f t="shared" si="17"/>
        <v>3370.3921827395025</v>
      </c>
      <c r="F81" s="8">
        <f t="shared" si="12"/>
        <v>1724602.9279434311</v>
      </c>
      <c r="G81" s="9">
        <f t="shared" si="13"/>
        <v>1275397.0720565689</v>
      </c>
    </row>
    <row r="82" spans="1:7" x14ac:dyDescent="0.25">
      <c r="A82" s="6">
        <v>55</v>
      </c>
      <c r="B82" s="7">
        <v>47209</v>
      </c>
      <c r="C82" s="8">
        <f t="shared" si="16"/>
        <v>27852.300408590578</v>
      </c>
      <c r="D82" s="8">
        <f t="shared" si="11"/>
        <v>24529.083543135093</v>
      </c>
      <c r="E82" s="22">
        <f t="shared" si="17"/>
        <v>3323.2168654554825</v>
      </c>
      <c r="F82" s="8">
        <f t="shared" si="12"/>
        <v>1700073.844400296</v>
      </c>
      <c r="G82" s="9">
        <f t="shared" si="13"/>
        <v>1299926.155599704</v>
      </c>
    </row>
    <row r="83" spans="1:7" x14ac:dyDescent="0.25">
      <c r="A83" s="6">
        <v>56</v>
      </c>
      <c r="B83" s="7">
        <v>47239</v>
      </c>
      <c r="C83" s="8">
        <f t="shared" si="16"/>
        <v>27852.300408590578</v>
      </c>
      <c r="D83" s="8">
        <f t="shared" si="11"/>
        <v>24576.349764712209</v>
      </c>
      <c r="E83" s="22">
        <f t="shared" si="17"/>
        <v>3275.9506438783687</v>
      </c>
      <c r="F83" s="8">
        <f t="shared" si="12"/>
        <v>1675497.4946355838</v>
      </c>
      <c r="G83" s="9">
        <f t="shared" si="13"/>
        <v>1324502.5053644162</v>
      </c>
    </row>
    <row r="84" spans="1:7" x14ac:dyDescent="0.25">
      <c r="A84" s="6">
        <v>57</v>
      </c>
      <c r="B84" s="7">
        <v>47270</v>
      </c>
      <c r="C84" s="8">
        <f t="shared" si="16"/>
        <v>27852.300408590578</v>
      </c>
      <c r="D84" s="8">
        <f t="shared" si="11"/>
        <v>24623.707065750088</v>
      </c>
      <c r="E84" s="22">
        <f t="shared" si="17"/>
        <v>3228.5933428404901</v>
      </c>
      <c r="F84" s="8">
        <f t="shared" si="12"/>
        <v>1650873.7875698337</v>
      </c>
      <c r="G84" s="9">
        <f t="shared" si="13"/>
        <v>1349126.2124301663</v>
      </c>
    </row>
    <row r="85" spans="1:7" x14ac:dyDescent="0.25">
      <c r="A85" s="6">
        <v>58</v>
      </c>
      <c r="B85" s="7">
        <v>47300</v>
      </c>
      <c r="C85" s="8">
        <f t="shared" si="16"/>
        <v>27852.300408590578</v>
      </c>
      <c r="D85" s="8">
        <f t="shared" si="11"/>
        <v>24671.155621753944</v>
      </c>
      <c r="E85" s="22">
        <f t="shared" si="17"/>
        <v>3181.1447868366349</v>
      </c>
      <c r="F85" s="8">
        <f t="shared" si="12"/>
        <v>1626202.6319480797</v>
      </c>
      <c r="G85" s="9">
        <f t="shared" si="13"/>
        <v>1373797.3680519203</v>
      </c>
    </row>
    <row r="86" spans="1:7" x14ac:dyDescent="0.25">
      <c r="A86" s="6">
        <v>59</v>
      </c>
      <c r="B86" s="7">
        <v>47331</v>
      </c>
      <c r="C86" s="8">
        <f t="shared" si="16"/>
        <v>27852.300408590578</v>
      </c>
      <c r="D86" s="8">
        <f t="shared" si="11"/>
        <v>24718.695608567174</v>
      </c>
      <c r="E86" s="22">
        <f t="shared" si="17"/>
        <v>3133.6048000234041</v>
      </c>
      <c r="F86" s="8">
        <f t="shared" si="12"/>
        <v>1601483.9363395125</v>
      </c>
      <c r="G86" s="9">
        <f t="shared" si="13"/>
        <v>1398516.0636604875</v>
      </c>
    </row>
    <row r="87" spans="1:7" x14ac:dyDescent="0.25">
      <c r="A87" s="6">
        <v>60</v>
      </c>
      <c r="B87" s="7">
        <v>47362</v>
      </c>
      <c r="C87" s="8">
        <f t="shared" si="16"/>
        <v>27852.300408590578</v>
      </c>
      <c r="D87" s="8">
        <f t="shared" si="11"/>
        <v>24766.32720237202</v>
      </c>
      <c r="E87" s="22">
        <f t="shared" si="17"/>
        <v>3085.9732062185576</v>
      </c>
      <c r="F87" s="8">
        <f t="shared" si="12"/>
        <v>1576717.6091371404</v>
      </c>
      <c r="G87" s="9">
        <f t="shared" si="13"/>
        <v>1423282.3908628596</v>
      </c>
    </row>
    <row r="88" spans="1:7" x14ac:dyDescent="0.25">
      <c r="A88" s="6">
        <v>61</v>
      </c>
      <c r="B88" s="24">
        <v>47392</v>
      </c>
      <c r="C88" s="25">
        <f>H23</f>
        <v>27940.562360003903</v>
      </c>
      <c r="D88" s="25">
        <f t="shared" si="11"/>
        <v>24735.177813020386</v>
      </c>
      <c r="E88" s="22">
        <f>F87*$H$22</f>
        <v>3205.3845469835178</v>
      </c>
      <c r="F88" s="25">
        <f t="shared" si="12"/>
        <v>1551982.4313241201</v>
      </c>
      <c r="G88" s="9">
        <f t="shared" si="13"/>
        <v>1448017.5686758799</v>
      </c>
    </row>
    <row r="89" spans="1:7" x14ac:dyDescent="0.25">
      <c r="A89" s="6">
        <v>62</v>
      </c>
      <c r="B89" s="7">
        <v>47423</v>
      </c>
      <c r="C89" s="8">
        <f t="shared" ref="C89:C99" si="18">C88</f>
        <v>27940.562360003903</v>
      </c>
      <c r="D89" s="8">
        <f t="shared" si="11"/>
        <v>24785.463137589148</v>
      </c>
      <c r="E89" s="22">
        <f t="shared" ref="E89:E99" si="19">F88*$H$22</f>
        <v>3155.0992224147549</v>
      </c>
      <c r="F89" s="8">
        <f t="shared" si="12"/>
        <v>1527196.968186531</v>
      </c>
      <c r="G89" s="9">
        <f t="shared" ref="G89:G120" si="20">G88+D89</f>
        <v>1472803.031813469</v>
      </c>
    </row>
    <row r="90" spans="1:7" x14ac:dyDescent="0.25">
      <c r="A90" s="6">
        <v>63</v>
      </c>
      <c r="B90" s="7">
        <v>47453</v>
      </c>
      <c r="C90" s="8">
        <f t="shared" si="18"/>
        <v>27940.562360003903</v>
      </c>
      <c r="D90" s="8">
        <f t="shared" si="11"/>
        <v>24835.850689596344</v>
      </c>
      <c r="E90" s="22">
        <f t="shared" si="19"/>
        <v>3104.7116704075597</v>
      </c>
      <c r="F90" s="8">
        <f t="shared" si="12"/>
        <v>1502361.1174969347</v>
      </c>
      <c r="G90" s="9">
        <f t="shared" si="20"/>
        <v>1497638.8825030653</v>
      </c>
    </row>
    <row r="91" spans="1:7" x14ac:dyDescent="0.25">
      <c r="A91" s="6">
        <v>64</v>
      </c>
      <c r="B91" s="7">
        <v>47484</v>
      </c>
      <c r="C91" s="8">
        <f t="shared" si="18"/>
        <v>27940.562360003903</v>
      </c>
      <c r="D91" s="8">
        <f t="shared" si="11"/>
        <v>24886.340676865013</v>
      </c>
      <c r="E91" s="22">
        <f t="shared" si="19"/>
        <v>3054.2216831388901</v>
      </c>
      <c r="F91" s="8">
        <f t="shared" si="12"/>
        <v>1477474.7768200696</v>
      </c>
      <c r="G91" s="9">
        <f t="shared" si="20"/>
        <v>1522525.2231799304</v>
      </c>
    </row>
    <row r="92" spans="1:7" x14ac:dyDescent="0.25">
      <c r="A92" s="6">
        <v>65</v>
      </c>
      <c r="B92" s="7">
        <v>47515</v>
      </c>
      <c r="C92" s="8">
        <f t="shared" si="18"/>
        <v>27940.562360003903</v>
      </c>
      <c r="D92" s="8">
        <f t="shared" ref="D92:D123" si="21">C92-E92</f>
        <v>24936.933307640695</v>
      </c>
      <c r="E92" s="22">
        <f t="shared" si="19"/>
        <v>3003.6290523632083</v>
      </c>
      <c r="F92" s="8">
        <f t="shared" ref="F92:F123" si="22">F91-D92</f>
        <v>1452537.8435124289</v>
      </c>
      <c r="G92" s="9">
        <f t="shared" si="20"/>
        <v>1547462.1564875711</v>
      </c>
    </row>
    <row r="93" spans="1:7" x14ac:dyDescent="0.25">
      <c r="A93" s="6">
        <v>66</v>
      </c>
      <c r="B93" s="7">
        <v>47543</v>
      </c>
      <c r="C93" s="8">
        <f t="shared" si="18"/>
        <v>27940.562360003903</v>
      </c>
      <c r="D93" s="8">
        <f t="shared" si="21"/>
        <v>24987.628790592276</v>
      </c>
      <c r="E93" s="22">
        <f t="shared" si="19"/>
        <v>2952.9335694116271</v>
      </c>
      <c r="F93" s="8">
        <f t="shared" si="22"/>
        <v>1427550.2147218366</v>
      </c>
      <c r="G93" s="9">
        <f t="shared" si="20"/>
        <v>1572449.7852781634</v>
      </c>
    </row>
    <row r="94" spans="1:7" x14ac:dyDescent="0.25">
      <c r="A94" s="6">
        <v>67</v>
      </c>
      <c r="B94" s="7">
        <v>47574</v>
      </c>
      <c r="C94" s="8">
        <f t="shared" si="18"/>
        <v>27940.562360003903</v>
      </c>
      <c r="D94" s="8">
        <f t="shared" si="21"/>
        <v>25038.427334812859</v>
      </c>
      <c r="E94" s="22">
        <f t="shared" si="19"/>
        <v>2902.135025191044</v>
      </c>
      <c r="F94" s="8">
        <f t="shared" si="22"/>
        <v>1402511.7873870237</v>
      </c>
      <c r="G94" s="9">
        <f t="shared" si="20"/>
        <v>1597488.2126129763</v>
      </c>
    </row>
    <row r="95" spans="1:7" x14ac:dyDescent="0.25">
      <c r="A95" s="6">
        <v>68</v>
      </c>
      <c r="B95" s="7">
        <v>47604</v>
      </c>
      <c r="C95" s="8">
        <f t="shared" si="18"/>
        <v>27940.562360003903</v>
      </c>
      <c r="D95" s="8">
        <f t="shared" si="21"/>
        <v>25089.32914982062</v>
      </c>
      <c r="E95" s="22">
        <f t="shared" si="19"/>
        <v>2851.2332101832822</v>
      </c>
      <c r="F95" s="8">
        <f t="shared" si="22"/>
        <v>1377422.4582372031</v>
      </c>
      <c r="G95" s="9">
        <f t="shared" si="20"/>
        <v>1622577.5417627969</v>
      </c>
    </row>
    <row r="96" spans="1:7" x14ac:dyDescent="0.25">
      <c r="A96" s="6">
        <v>69</v>
      </c>
      <c r="B96" s="7">
        <v>47635</v>
      </c>
      <c r="C96" s="8">
        <f t="shared" si="18"/>
        <v>27940.562360003903</v>
      </c>
      <c r="D96" s="8">
        <f t="shared" si="21"/>
        <v>25140.334445559678</v>
      </c>
      <c r="E96" s="22">
        <f t="shared" si="19"/>
        <v>2800.2279144442255</v>
      </c>
      <c r="F96" s="8">
        <f t="shared" si="22"/>
        <v>1352282.1237916434</v>
      </c>
      <c r="G96" s="9">
        <f t="shared" si="20"/>
        <v>1647717.8762083566</v>
      </c>
    </row>
    <row r="97" spans="1:7" x14ac:dyDescent="0.25">
      <c r="A97" s="6">
        <v>70</v>
      </c>
      <c r="B97" s="7">
        <v>47665</v>
      </c>
      <c r="C97" s="8">
        <f t="shared" si="18"/>
        <v>27940.562360003903</v>
      </c>
      <c r="D97" s="8">
        <f t="shared" si="21"/>
        <v>25191.443432400953</v>
      </c>
      <c r="E97" s="22">
        <f t="shared" si="19"/>
        <v>2749.1189276029522</v>
      </c>
      <c r="F97" s="8">
        <f t="shared" si="22"/>
        <v>1327090.6803592425</v>
      </c>
      <c r="G97" s="9">
        <f t="shared" si="20"/>
        <v>1672909.3196407575</v>
      </c>
    </row>
    <row r="98" spans="1:7" x14ac:dyDescent="0.25">
      <c r="A98" s="6">
        <v>71</v>
      </c>
      <c r="B98" s="7">
        <v>47696</v>
      </c>
      <c r="C98" s="8">
        <f t="shared" si="18"/>
        <v>27940.562360003903</v>
      </c>
      <c r="D98" s="8">
        <f t="shared" si="21"/>
        <v>25242.656321143037</v>
      </c>
      <c r="E98" s="22">
        <f t="shared" si="19"/>
        <v>2697.9060388608668</v>
      </c>
      <c r="F98" s="8">
        <f t="shared" si="22"/>
        <v>1301848.0240380995</v>
      </c>
      <c r="G98" s="9">
        <f t="shared" si="20"/>
        <v>1698151.9759619005</v>
      </c>
    </row>
    <row r="99" spans="1:7" x14ac:dyDescent="0.25">
      <c r="A99" s="6">
        <v>72</v>
      </c>
      <c r="B99" s="7">
        <v>47727</v>
      </c>
      <c r="C99" s="8">
        <f t="shared" si="18"/>
        <v>27940.562360003903</v>
      </c>
      <c r="D99" s="8">
        <f t="shared" si="21"/>
        <v>25293.973323013073</v>
      </c>
      <c r="E99" s="22">
        <f t="shared" si="19"/>
        <v>2646.5890369908316</v>
      </c>
      <c r="F99" s="8">
        <f t="shared" si="22"/>
        <v>1276554.0507150863</v>
      </c>
      <c r="G99" s="9">
        <f t="shared" si="20"/>
        <v>1723445.9492849137</v>
      </c>
    </row>
    <row r="100" spans="1:7" x14ac:dyDescent="0.25">
      <c r="A100" s="6">
        <v>73</v>
      </c>
      <c r="B100" s="27">
        <v>47757</v>
      </c>
      <c r="C100" s="28">
        <f>I23</f>
        <v>28011.80024132747</v>
      </c>
      <c r="D100" s="28">
        <f t="shared" si="21"/>
        <v>25281.472933749872</v>
      </c>
      <c r="E100" s="22">
        <f>F99*$I$22</f>
        <v>2730.3273075775996</v>
      </c>
      <c r="F100" s="28">
        <f t="shared" si="22"/>
        <v>1251272.5777813364</v>
      </c>
      <c r="G100" s="29">
        <f t="shared" si="20"/>
        <v>1748727.4222186636</v>
      </c>
    </row>
    <row r="101" spans="1:7" x14ac:dyDescent="0.25">
      <c r="A101" s="6">
        <v>74</v>
      </c>
      <c r="B101" s="7">
        <v>47788</v>
      </c>
      <c r="C101" s="8">
        <f t="shared" ref="C101:C111" si="23">C100</f>
        <v>28011.80024132747</v>
      </c>
      <c r="D101" s="8">
        <f t="shared" si="21"/>
        <v>25335.54561158763</v>
      </c>
      <c r="E101" s="22">
        <f t="shared" ref="E101:E111" si="24">F100*$I$22</f>
        <v>2676.2546297398421</v>
      </c>
      <c r="F101" s="8">
        <f t="shared" si="22"/>
        <v>1225937.0321697488</v>
      </c>
      <c r="G101" s="9">
        <f t="shared" si="20"/>
        <v>1774062.9678302512</v>
      </c>
    </row>
    <row r="102" spans="1:7" x14ac:dyDescent="0.25">
      <c r="A102" s="6">
        <v>75</v>
      </c>
      <c r="B102" s="7">
        <v>47818</v>
      </c>
      <c r="C102" s="8">
        <f t="shared" si="23"/>
        <v>28011.80024132747</v>
      </c>
      <c r="D102" s="8">
        <f t="shared" si="21"/>
        <v>25389.733941487913</v>
      </c>
      <c r="E102" s="22">
        <f t="shared" si="24"/>
        <v>2622.066299839556</v>
      </c>
      <c r="F102" s="8">
        <f t="shared" si="22"/>
        <v>1200547.2982282608</v>
      </c>
      <c r="G102" s="9">
        <f t="shared" si="20"/>
        <v>1799452.7017717392</v>
      </c>
    </row>
    <row r="103" spans="1:7" x14ac:dyDescent="0.25">
      <c r="A103" s="6">
        <v>76</v>
      </c>
      <c r="B103" s="7">
        <v>47849</v>
      </c>
      <c r="C103" s="8">
        <f t="shared" si="23"/>
        <v>28011.80024132747</v>
      </c>
      <c r="D103" s="8">
        <f t="shared" si="21"/>
        <v>25444.038170810396</v>
      </c>
      <c r="E103" s="22">
        <f t="shared" si="24"/>
        <v>2567.7620705170748</v>
      </c>
      <c r="F103" s="8">
        <f t="shared" si="22"/>
        <v>1175103.2600574505</v>
      </c>
      <c r="G103" s="9">
        <f t="shared" si="20"/>
        <v>1824896.7399425495</v>
      </c>
    </row>
    <row r="104" spans="1:7" x14ac:dyDescent="0.25">
      <c r="A104" s="6">
        <v>77</v>
      </c>
      <c r="B104" s="7">
        <v>47880</v>
      </c>
      <c r="C104" s="8">
        <f t="shared" si="23"/>
        <v>28011.80024132747</v>
      </c>
      <c r="D104" s="8">
        <f t="shared" si="21"/>
        <v>25498.458547443799</v>
      </c>
      <c r="E104" s="22">
        <f t="shared" si="24"/>
        <v>2513.3416938836726</v>
      </c>
      <c r="F104" s="8">
        <f t="shared" si="22"/>
        <v>1149604.8015100067</v>
      </c>
      <c r="G104" s="9">
        <f t="shared" si="20"/>
        <v>1850395.1984899933</v>
      </c>
    </row>
    <row r="105" spans="1:7" x14ac:dyDescent="0.25">
      <c r="A105" s="6">
        <v>78</v>
      </c>
      <c r="B105" s="7">
        <v>47908</v>
      </c>
      <c r="C105" s="8">
        <f t="shared" si="23"/>
        <v>28011.80024132747</v>
      </c>
      <c r="D105" s="8">
        <f t="shared" si="21"/>
        <v>25552.995319807036</v>
      </c>
      <c r="E105" s="22">
        <f t="shared" si="24"/>
        <v>2458.8049215204319</v>
      </c>
      <c r="F105" s="8">
        <f t="shared" si="22"/>
        <v>1124051.8061901997</v>
      </c>
      <c r="G105" s="9">
        <f t="shared" si="20"/>
        <v>1875948.1938098003</v>
      </c>
    </row>
    <row r="106" spans="1:7" x14ac:dyDescent="0.25">
      <c r="A106" s="6">
        <v>79</v>
      </c>
      <c r="B106" s="7">
        <v>47939</v>
      </c>
      <c r="C106" s="8">
        <f t="shared" si="23"/>
        <v>28011.80024132747</v>
      </c>
      <c r="D106" s="8">
        <f t="shared" si="21"/>
        <v>25607.648736850359</v>
      </c>
      <c r="E106" s="22">
        <f t="shared" si="24"/>
        <v>2404.1515044771118</v>
      </c>
      <c r="F106" s="8">
        <f t="shared" si="22"/>
        <v>1098444.1574533493</v>
      </c>
      <c r="G106" s="9">
        <f t="shared" si="20"/>
        <v>1901555.8425466507</v>
      </c>
    </row>
    <row r="107" spans="1:7" x14ac:dyDescent="0.25">
      <c r="A107" s="6">
        <v>80</v>
      </c>
      <c r="B107" s="7">
        <v>47969</v>
      </c>
      <c r="C107" s="8">
        <f t="shared" si="23"/>
        <v>28011.80024132747</v>
      </c>
      <c r="D107" s="8">
        <f t="shared" si="21"/>
        <v>25662.419048056461</v>
      </c>
      <c r="E107" s="22">
        <f t="shared" si="24"/>
        <v>2349.3811932710078</v>
      </c>
      <c r="F107" s="8">
        <f t="shared" si="22"/>
        <v>1072781.7384052929</v>
      </c>
      <c r="G107" s="9">
        <f t="shared" si="20"/>
        <v>1927218.2615947071</v>
      </c>
    </row>
    <row r="108" spans="1:7" x14ac:dyDescent="0.25">
      <c r="A108" s="6">
        <v>81</v>
      </c>
      <c r="B108" s="7">
        <v>48000</v>
      </c>
      <c r="C108" s="8">
        <f t="shared" si="23"/>
        <v>28011.80024132747</v>
      </c>
      <c r="D108" s="8">
        <f t="shared" si="21"/>
        <v>25717.30650344165</v>
      </c>
      <c r="E108" s="22">
        <f t="shared" si="24"/>
        <v>2294.4937378858176</v>
      </c>
      <c r="F108" s="8">
        <f t="shared" si="22"/>
        <v>1047064.4319018512</v>
      </c>
      <c r="G108" s="9">
        <f t="shared" si="20"/>
        <v>1952935.5680981488</v>
      </c>
    </row>
    <row r="109" spans="1:7" x14ac:dyDescent="0.25">
      <c r="A109" s="6">
        <v>82</v>
      </c>
      <c r="B109" s="7">
        <v>48030</v>
      </c>
      <c r="C109" s="8">
        <f t="shared" si="23"/>
        <v>28011.80024132747</v>
      </c>
      <c r="D109" s="8">
        <f t="shared" si="21"/>
        <v>25772.311353556972</v>
      </c>
      <c r="E109" s="22">
        <f t="shared" si="24"/>
        <v>2239.4888877704961</v>
      </c>
      <c r="F109" s="8">
        <f t="shared" si="22"/>
        <v>1021292.1205482943</v>
      </c>
      <c r="G109" s="9">
        <f t="shared" si="20"/>
        <v>1978707.8794517058</v>
      </c>
    </row>
    <row r="110" spans="1:7" x14ac:dyDescent="0.25">
      <c r="A110" s="6">
        <v>83</v>
      </c>
      <c r="B110" s="7">
        <v>48061</v>
      </c>
      <c r="C110" s="8">
        <f t="shared" si="23"/>
        <v>28011.80024132747</v>
      </c>
      <c r="D110" s="8">
        <f t="shared" si="21"/>
        <v>25827.433849489356</v>
      </c>
      <c r="E110" s="22">
        <f t="shared" si="24"/>
        <v>2184.3663918381139</v>
      </c>
      <c r="F110" s="8">
        <f t="shared" si="22"/>
        <v>995464.68669880496</v>
      </c>
      <c r="G110" s="9">
        <f t="shared" si="20"/>
        <v>2004535.3133011952</v>
      </c>
    </row>
    <row r="111" spans="1:7" x14ac:dyDescent="0.25">
      <c r="A111" s="6">
        <v>84</v>
      </c>
      <c r="B111" s="7">
        <v>48092</v>
      </c>
      <c r="C111" s="8">
        <f t="shared" si="23"/>
        <v>28011.80024132747</v>
      </c>
      <c r="D111" s="8">
        <f t="shared" si="21"/>
        <v>25882.674242862762</v>
      </c>
      <c r="E111" s="22">
        <f t="shared" si="24"/>
        <v>2129.125998464709</v>
      </c>
      <c r="F111" s="8">
        <f t="shared" si="22"/>
        <v>969582.01245594223</v>
      </c>
      <c r="G111" s="9">
        <f t="shared" si="20"/>
        <v>2030417.9875440579</v>
      </c>
    </row>
    <row r="112" spans="1:7" x14ac:dyDescent="0.25">
      <c r="A112" s="6">
        <v>85</v>
      </c>
      <c r="B112" s="27">
        <v>48122</v>
      </c>
      <c r="C112" s="28">
        <f>J23</f>
        <v>28065.838615423763</v>
      </c>
      <c r="D112" s="28">
        <f t="shared" si="21"/>
        <v>25889.532462424628</v>
      </c>
      <c r="E112" s="22">
        <f>F111*$J$22</f>
        <v>2176.3061529991351</v>
      </c>
      <c r="F112" s="28">
        <f t="shared" si="22"/>
        <v>943692.47999351763</v>
      </c>
      <c r="G112" s="29">
        <f t="shared" si="20"/>
        <v>2056307.5200064825</v>
      </c>
    </row>
    <row r="113" spans="1:7" x14ac:dyDescent="0.25">
      <c r="A113" s="6">
        <v>86</v>
      </c>
      <c r="B113" s="7">
        <v>48153</v>
      </c>
      <c r="C113" s="8">
        <f t="shared" ref="C113:C123" si="25">C112</f>
        <v>28065.838615423763</v>
      </c>
      <c r="D113" s="8">
        <f t="shared" si="21"/>
        <v>25947.643636180346</v>
      </c>
      <c r="E113" s="22">
        <f t="shared" ref="E113:E123" si="26">F112*$J$22</f>
        <v>2118.1949792434175</v>
      </c>
      <c r="F113" s="8">
        <f t="shared" si="22"/>
        <v>917744.83635733731</v>
      </c>
      <c r="G113" s="9">
        <f t="shared" si="20"/>
        <v>2082255.1636426628</v>
      </c>
    </row>
    <row r="114" spans="1:7" x14ac:dyDescent="0.25">
      <c r="A114" s="6">
        <v>87</v>
      </c>
      <c r="B114" s="7">
        <v>48183</v>
      </c>
      <c r="C114" s="8">
        <f t="shared" si="25"/>
        <v>28065.838615423763</v>
      </c>
      <c r="D114" s="8">
        <f t="shared" si="21"/>
        <v>26005.885245219906</v>
      </c>
      <c r="E114" s="22">
        <f t="shared" si="26"/>
        <v>2059.9533702038584</v>
      </c>
      <c r="F114" s="8">
        <f t="shared" si="22"/>
        <v>891738.95111211739</v>
      </c>
      <c r="G114" s="9">
        <f t="shared" si="20"/>
        <v>2108261.0488878828</v>
      </c>
    </row>
    <row r="115" spans="1:7" x14ac:dyDescent="0.25">
      <c r="A115" s="6">
        <v>88</v>
      </c>
      <c r="B115" s="7">
        <v>48214</v>
      </c>
      <c r="C115" s="8">
        <f t="shared" si="25"/>
        <v>28065.838615423763</v>
      </c>
      <c r="D115" s="8">
        <f t="shared" si="21"/>
        <v>26064.257582315971</v>
      </c>
      <c r="E115" s="22">
        <f t="shared" si="26"/>
        <v>2001.5810331077912</v>
      </c>
      <c r="F115" s="8">
        <f t="shared" si="22"/>
        <v>865674.69352980144</v>
      </c>
      <c r="G115" s="9">
        <f t="shared" si="20"/>
        <v>2134325.306470199</v>
      </c>
    </row>
    <row r="116" spans="1:7" x14ac:dyDescent="0.25">
      <c r="A116" s="6">
        <v>89</v>
      </c>
      <c r="B116" s="7">
        <v>48245</v>
      </c>
      <c r="C116" s="8">
        <f t="shared" si="25"/>
        <v>28065.838615423763</v>
      </c>
      <c r="D116" s="8">
        <f t="shared" si="21"/>
        <v>26122.760940898366</v>
      </c>
      <c r="E116" s="22">
        <f t="shared" si="26"/>
        <v>1943.0776745253979</v>
      </c>
      <c r="F116" s="8">
        <f t="shared" si="22"/>
        <v>839551.93258890312</v>
      </c>
      <c r="G116" s="9">
        <f t="shared" si="20"/>
        <v>2160448.0674110972</v>
      </c>
    </row>
    <row r="117" spans="1:7" x14ac:dyDescent="0.25">
      <c r="A117" s="6">
        <v>90</v>
      </c>
      <c r="B117" s="7">
        <v>48274</v>
      </c>
      <c r="C117" s="8">
        <f t="shared" si="25"/>
        <v>28065.838615423763</v>
      </c>
      <c r="D117" s="8">
        <f t="shared" si="21"/>
        <v>26181.395615055531</v>
      </c>
      <c r="E117" s="22">
        <f t="shared" si="26"/>
        <v>1884.4430003682328</v>
      </c>
      <c r="F117" s="8">
        <f t="shared" si="22"/>
        <v>813370.53697384754</v>
      </c>
      <c r="G117" s="9">
        <f t="shared" si="20"/>
        <v>2186629.4630261529</v>
      </c>
    </row>
    <row r="118" spans="1:7" x14ac:dyDescent="0.25">
      <c r="A118" s="6">
        <v>91</v>
      </c>
      <c r="B118" s="7">
        <v>48305</v>
      </c>
      <c r="C118" s="8">
        <f t="shared" si="25"/>
        <v>28065.838615423763</v>
      </c>
      <c r="D118" s="8">
        <f t="shared" si="21"/>
        <v>26240.161899536019</v>
      </c>
      <c r="E118" s="22">
        <f t="shared" si="26"/>
        <v>1825.6767158877446</v>
      </c>
      <c r="F118" s="8">
        <f t="shared" si="22"/>
        <v>787130.37507431151</v>
      </c>
      <c r="G118" s="9">
        <f t="shared" si="20"/>
        <v>2212869.6249256888</v>
      </c>
    </row>
    <row r="119" spans="1:7" x14ac:dyDescent="0.25">
      <c r="A119" s="6">
        <v>92</v>
      </c>
      <c r="B119" s="7">
        <v>48335</v>
      </c>
      <c r="C119" s="8">
        <f t="shared" si="25"/>
        <v>28065.838615423763</v>
      </c>
      <c r="D119" s="8">
        <f t="shared" si="21"/>
        <v>26299.060089749968</v>
      </c>
      <c r="E119" s="22">
        <f t="shared" si="26"/>
        <v>1766.7785256737955</v>
      </c>
      <c r="F119" s="8">
        <f t="shared" si="22"/>
        <v>760831.31498456153</v>
      </c>
      <c r="G119" s="9">
        <f t="shared" si="20"/>
        <v>2239168.6850154386</v>
      </c>
    </row>
    <row r="120" spans="1:7" x14ac:dyDescent="0.25">
      <c r="A120" s="6">
        <v>93</v>
      </c>
      <c r="B120" s="7">
        <v>48366</v>
      </c>
      <c r="C120" s="8">
        <f t="shared" si="25"/>
        <v>28065.838615423763</v>
      </c>
      <c r="D120" s="8">
        <f t="shared" si="21"/>
        <v>26358.090481770589</v>
      </c>
      <c r="E120" s="22">
        <f t="shared" si="26"/>
        <v>1707.7481336531746</v>
      </c>
      <c r="F120" s="8">
        <f t="shared" si="22"/>
        <v>734473.22450279095</v>
      </c>
      <c r="G120" s="9">
        <f t="shared" si="20"/>
        <v>2265526.7754972093</v>
      </c>
    </row>
    <row r="121" spans="1:7" x14ac:dyDescent="0.25">
      <c r="A121" s="6">
        <v>94</v>
      </c>
      <c r="B121" s="7">
        <v>48396</v>
      </c>
      <c r="C121" s="8">
        <f t="shared" si="25"/>
        <v>28065.838615423763</v>
      </c>
      <c r="D121" s="8">
        <f t="shared" si="21"/>
        <v>26417.253372335654</v>
      </c>
      <c r="E121" s="22">
        <f t="shared" si="26"/>
        <v>1648.5852430881107</v>
      </c>
      <c r="F121" s="8">
        <f t="shared" si="22"/>
        <v>708055.97113045526</v>
      </c>
      <c r="G121" s="9">
        <f t="shared" ref="G121:G147" si="27">G120+D121</f>
        <v>2291944.0288695451</v>
      </c>
    </row>
    <row r="122" spans="1:7" x14ac:dyDescent="0.25">
      <c r="A122" s="6">
        <v>95</v>
      </c>
      <c r="B122" s="7">
        <v>48427</v>
      </c>
      <c r="C122" s="8">
        <f t="shared" si="25"/>
        <v>28065.838615423763</v>
      </c>
      <c r="D122" s="8">
        <f t="shared" si="21"/>
        <v>26476.549058848981</v>
      </c>
      <c r="E122" s="22">
        <f t="shared" si="26"/>
        <v>1589.2895565747806</v>
      </c>
      <c r="F122" s="8">
        <f t="shared" si="22"/>
        <v>681579.42207160627</v>
      </c>
      <c r="G122" s="9">
        <f t="shared" si="27"/>
        <v>2318420.5779283941</v>
      </c>
    </row>
    <row r="123" spans="1:7" x14ac:dyDescent="0.25">
      <c r="A123" s="6">
        <v>96</v>
      </c>
      <c r="B123" s="7">
        <v>48458</v>
      </c>
      <c r="C123" s="8">
        <f t="shared" si="25"/>
        <v>28065.838615423763</v>
      </c>
      <c r="D123" s="8">
        <f t="shared" si="21"/>
        <v>26535.977839381951</v>
      </c>
      <c r="E123" s="22">
        <f t="shared" si="26"/>
        <v>1529.8607760418138</v>
      </c>
      <c r="F123" s="8">
        <f t="shared" si="22"/>
        <v>655043.44423222437</v>
      </c>
      <c r="G123" s="9">
        <f t="shared" si="27"/>
        <v>2344956.555767776</v>
      </c>
    </row>
    <row r="124" spans="1:7" x14ac:dyDescent="0.25">
      <c r="A124" s="6">
        <v>97</v>
      </c>
      <c r="B124" s="24">
        <v>48488</v>
      </c>
      <c r="C124" s="25">
        <f>K23</f>
        <v>28102.5108563957</v>
      </c>
      <c r="D124" s="25">
        <f t="shared" ref="D124:D147" si="28">C124-E124</f>
        <v>26563.018075527347</v>
      </c>
      <c r="E124" s="22">
        <f>F123*$K$22</f>
        <v>1539.4927808683531</v>
      </c>
      <c r="F124" s="25">
        <f t="shared" ref="F124:F147" si="29">F123-D124</f>
        <v>628480.42615669698</v>
      </c>
      <c r="G124" s="26">
        <f t="shared" si="27"/>
        <v>2371519.5738433031</v>
      </c>
    </row>
    <row r="125" spans="1:7" x14ac:dyDescent="0.25">
      <c r="A125" s="6">
        <v>98</v>
      </c>
      <c r="B125" s="7">
        <v>48519</v>
      </c>
      <c r="C125" s="8">
        <f t="shared" ref="C125:C135" si="30">C124</f>
        <v>28102.5108563957</v>
      </c>
      <c r="D125" s="8">
        <f t="shared" si="28"/>
        <v>26625.4468730757</v>
      </c>
      <c r="E125" s="22">
        <f t="shared" ref="E125:E135" si="31">F124*$K$22</f>
        <v>1477.0639833199991</v>
      </c>
      <c r="F125" s="8">
        <f t="shared" si="29"/>
        <v>601854.9792836213</v>
      </c>
      <c r="G125" s="9">
        <f t="shared" si="27"/>
        <v>2398145.0207163789</v>
      </c>
    </row>
    <row r="126" spans="1:7" x14ac:dyDescent="0.25">
      <c r="A126" s="6">
        <v>99</v>
      </c>
      <c r="B126" s="7">
        <v>48549</v>
      </c>
      <c r="C126" s="8">
        <f t="shared" si="30"/>
        <v>28102.5108563957</v>
      </c>
      <c r="D126" s="8">
        <f t="shared" si="28"/>
        <v>26688.022391706436</v>
      </c>
      <c r="E126" s="22">
        <f t="shared" si="31"/>
        <v>1414.4884646892649</v>
      </c>
      <c r="F126" s="8">
        <f t="shared" si="29"/>
        <v>575166.95689191483</v>
      </c>
      <c r="G126" s="9">
        <f t="shared" si="27"/>
        <v>2424833.0431080852</v>
      </c>
    </row>
    <row r="127" spans="1:7" x14ac:dyDescent="0.25">
      <c r="A127" s="6">
        <v>100</v>
      </c>
      <c r="B127" s="7">
        <v>48580</v>
      </c>
      <c r="C127" s="8">
        <f t="shared" si="30"/>
        <v>28102.5108563957</v>
      </c>
      <c r="D127" s="8">
        <f t="shared" si="28"/>
        <v>26750.744976245605</v>
      </c>
      <c r="E127" s="22">
        <f t="shared" si="31"/>
        <v>1351.7658801500945</v>
      </c>
      <c r="F127" s="8">
        <f t="shared" si="29"/>
        <v>548416.21191566926</v>
      </c>
      <c r="G127" s="9">
        <f t="shared" si="27"/>
        <v>2451583.788084331</v>
      </c>
    </row>
    <row r="128" spans="1:7" x14ac:dyDescent="0.25">
      <c r="A128" s="6">
        <v>101</v>
      </c>
      <c r="B128" s="7">
        <v>48611</v>
      </c>
      <c r="C128" s="8">
        <f t="shared" si="30"/>
        <v>28102.5108563957</v>
      </c>
      <c r="D128" s="8">
        <f t="shared" si="28"/>
        <v>26813.614972329684</v>
      </c>
      <c r="E128" s="22">
        <f t="shared" si="31"/>
        <v>1288.8958840660173</v>
      </c>
      <c r="F128" s="8">
        <f t="shared" si="29"/>
        <v>521602.59694333957</v>
      </c>
      <c r="G128" s="9">
        <f t="shared" si="27"/>
        <v>2478397.4030566607</v>
      </c>
    </row>
    <row r="129" spans="1:7" x14ac:dyDescent="0.25">
      <c r="A129" s="6">
        <v>102</v>
      </c>
      <c r="B129" s="7">
        <v>48639</v>
      </c>
      <c r="C129" s="8">
        <f t="shared" si="30"/>
        <v>28102.5108563957</v>
      </c>
      <c r="D129" s="8">
        <f t="shared" si="28"/>
        <v>26876.632726407457</v>
      </c>
      <c r="E129" s="22">
        <f t="shared" si="31"/>
        <v>1225.8781299882421</v>
      </c>
      <c r="F129" s="8">
        <f t="shared" si="29"/>
        <v>494725.96421693213</v>
      </c>
      <c r="G129" s="9">
        <f t="shared" si="27"/>
        <v>2505274.0357830683</v>
      </c>
    </row>
    <row r="130" spans="1:7" x14ac:dyDescent="0.25">
      <c r="A130" s="6">
        <v>103</v>
      </c>
      <c r="B130" s="7">
        <v>48670</v>
      </c>
      <c r="C130" s="8">
        <f t="shared" si="30"/>
        <v>28102.5108563957</v>
      </c>
      <c r="D130" s="8">
        <f t="shared" si="28"/>
        <v>26939.798585741952</v>
      </c>
      <c r="E130" s="22">
        <f t="shared" si="31"/>
        <v>1162.7122706537493</v>
      </c>
      <c r="F130" s="8">
        <f t="shared" si="29"/>
        <v>467786.16563119018</v>
      </c>
      <c r="G130" s="9">
        <f t="shared" si="27"/>
        <v>2532213.8343688101</v>
      </c>
    </row>
    <row r="131" spans="1:7" x14ac:dyDescent="0.25">
      <c r="A131" s="6">
        <v>104</v>
      </c>
      <c r="B131" s="7">
        <v>48700</v>
      </c>
      <c r="C131" s="8">
        <f t="shared" si="30"/>
        <v>28102.5108563957</v>
      </c>
      <c r="D131" s="8">
        <f t="shared" si="28"/>
        <v>27003.112898412324</v>
      </c>
      <c r="E131" s="22">
        <f t="shared" si="31"/>
        <v>1099.397957983376</v>
      </c>
      <c r="F131" s="8">
        <f t="shared" si="29"/>
        <v>440783.05273277784</v>
      </c>
      <c r="G131" s="9">
        <f t="shared" si="27"/>
        <v>2559216.9472672222</v>
      </c>
    </row>
    <row r="132" spans="1:7" x14ac:dyDescent="0.25">
      <c r="A132" s="6">
        <v>105</v>
      </c>
      <c r="B132" s="7">
        <v>48731</v>
      </c>
      <c r="C132" s="8">
        <f t="shared" si="30"/>
        <v>28102.5108563957</v>
      </c>
      <c r="D132" s="8">
        <f t="shared" si="28"/>
        <v>27066.5760133158</v>
      </c>
      <c r="E132" s="22">
        <f t="shared" si="31"/>
        <v>1035.9348430798993</v>
      </c>
      <c r="F132" s="8">
        <f t="shared" si="29"/>
        <v>413716.47671946202</v>
      </c>
      <c r="G132" s="9">
        <f t="shared" si="27"/>
        <v>2586283.5232805382</v>
      </c>
    </row>
    <row r="133" spans="1:7" x14ac:dyDescent="0.25">
      <c r="A133" s="6">
        <v>106</v>
      </c>
      <c r="B133" s="7">
        <v>48761</v>
      </c>
      <c r="C133" s="8">
        <f t="shared" si="30"/>
        <v>28102.5108563957</v>
      </c>
      <c r="D133" s="8">
        <f t="shared" si="28"/>
        <v>27130.188280169587</v>
      </c>
      <c r="E133" s="22">
        <f t="shared" si="31"/>
        <v>972.32257622611189</v>
      </c>
      <c r="F133" s="8">
        <f t="shared" si="29"/>
        <v>386586.28843929246</v>
      </c>
      <c r="G133" s="9">
        <f t="shared" si="27"/>
        <v>2613413.7115607075</v>
      </c>
    </row>
    <row r="134" spans="1:7" x14ac:dyDescent="0.25">
      <c r="A134" s="6">
        <v>107</v>
      </c>
      <c r="B134" s="7">
        <v>48792</v>
      </c>
      <c r="C134" s="8">
        <f t="shared" si="30"/>
        <v>28102.5108563957</v>
      </c>
      <c r="D134" s="8">
        <f t="shared" si="28"/>
        <v>27193.950049512805</v>
      </c>
      <c r="E134" s="22">
        <f t="shared" si="31"/>
        <v>908.56080688289683</v>
      </c>
      <c r="F134" s="8">
        <f t="shared" si="29"/>
        <v>359392.33838977967</v>
      </c>
      <c r="G134" s="9">
        <f t="shared" si="27"/>
        <v>2640607.6616102206</v>
      </c>
    </row>
    <row r="135" spans="1:7" x14ac:dyDescent="0.25">
      <c r="A135" s="6">
        <v>108</v>
      </c>
      <c r="B135" s="7">
        <v>48823</v>
      </c>
      <c r="C135" s="8">
        <f t="shared" si="30"/>
        <v>28102.5108563957</v>
      </c>
      <c r="D135" s="8">
        <f t="shared" si="28"/>
        <v>27257.861672708405</v>
      </c>
      <c r="E135" s="22">
        <f t="shared" si="31"/>
        <v>844.64918368729445</v>
      </c>
      <c r="F135" s="8">
        <f t="shared" si="29"/>
        <v>332134.47671707126</v>
      </c>
      <c r="G135" s="9">
        <f t="shared" si="27"/>
        <v>2667865.5232829289</v>
      </c>
    </row>
    <row r="136" spans="1:7" x14ac:dyDescent="0.25">
      <c r="A136" s="6">
        <v>109</v>
      </c>
      <c r="B136" s="24">
        <v>48853</v>
      </c>
      <c r="C136" s="25">
        <f>L23</f>
        <v>28121.659816537318</v>
      </c>
      <c r="D136" s="25">
        <f t="shared" si="28"/>
        <v>27306.028738129349</v>
      </c>
      <c r="E136" s="22">
        <f>F135*$L$22</f>
        <v>815.63107840796806</v>
      </c>
      <c r="F136" s="25">
        <f t="shared" si="29"/>
        <v>304828.4479789419</v>
      </c>
      <c r="G136" s="26">
        <f t="shared" si="27"/>
        <v>2695171.5520210583</v>
      </c>
    </row>
    <row r="137" spans="1:7" x14ac:dyDescent="0.25">
      <c r="A137" s="6">
        <v>110</v>
      </c>
      <c r="B137" s="7">
        <v>48884</v>
      </c>
      <c r="C137" s="8">
        <f t="shared" ref="C137:C147" si="32">C136</f>
        <v>28121.659816537318</v>
      </c>
      <c r="D137" s="8">
        <f t="shared" si="28"/>
        <v>27373.084847109243</v>
      </c>
      <c r="E137" s="22">
        <f t="shared" ref="E137:E147" si="33">F136*$L$22</f>
        <v>748.57496942807586</v>
      </c>
      <c r="F137" s="8">
        <f t="shared" si="29"/>
        <v>277455.36313183268</v>
      </c>
      <c r="G137" s="9">
        <f t="shared" si="27"/>
        <v>2722544.6368681677</v>
      </c>
    </row>
    <row r="138" spans="1:7" x14ac:dyDescent="0.25">
      <c r="A138" s="6">
        <v>111</v>
      </c>
      <c r="B138" s="7">
        <v>48914</v>
      </c>
      <c r="C138" s="8">
        <f t="shared" si="32"/>
        <v>28121.659816537318</v>
      </c>
      <c r="D138" s="8">
        <f t="shared" si="28"/>
        <v>27440.305627480739</v>
      </c>
      <c r="E138" s="22">
        <f t="shared" si="33"/>
        <v>681.35418905657832</v>
      </c>
      <c r="F138" s="8">
        <f t="shared" si="29"/>
        <v>250015.05750435195</v>
      </c>
      <c r="G138" s="9">
        <f t="shared" si="27"/>
        <v>2749984.9424956483</v>
      </c>
    </row>
    <row r="139" spans="1:7" x14ac:dyDescent="0.25">
      <c r="A139" s="6">
        <v>112</v>
      </c>
      <c r="B139" s="7">
        <v>48945</v>
      </c>
      <c r="C139" s="8">
        <f t="shared" si="32"/>
        <v>28121.659816537318</v>
      </c>
      <c r="D139" s="8">
        <f t="shared" si="28"/>
        <v>27507.691483631566</v>
      </c>
      <c r="E139" s="22">
        <f t="shared" si="33"/>
        <v>613.96833290575262</v>
      </c>
      <c r="F139" s="8">
        <f t="shared" si="29"/>
        <v>222507.36602072039</v>
      </c>
      <c r="G139" s="9">
        <f t="shared" si="27"/>
        <v>2777492.63397928</v>
      </c>
    </row>
    <row r="140" spans="1:7" x14ac:dyDescent="0.25">
      <c r="A140" s="6">
        <v>113</v>
      </c>
      <c r="B140" s="7">
        <v>48976</v>
      </c>
      <c r="C140" s="8">
        <f t="shared" si="32"/>
        <v>28121.659816537318</v>
      </c>
      <c r="D140" s="8">
        <f t="shared" si="28"/>
        <v>27575.242820942509</v>
      </c>
      <c r="E140" s="22">
        <f t="shared" si="33"/>
        <v>546.4169955948106</v>
      </c>
      <c r="F140" s="8">
        <f t="shared" si="29"/>
        <v>194932.12319977788</v>
      </c>
      <c r="G140" s="9">
        <f t="shared" si="27"/>
        <v>2805067.8768002223</v>
      </c>
    </row>
    <row r="141" spans="1:7" x14ac:dyDescent="0.25">
      <c r="A141" s="6">
        <v>114</v>
      </c>
      <c r="B141" s="7">
        <v>49004</v>
      </c>
      <c r="C141" s="8">
        <f t="shared" si="32"/>
        <v>28121.659816537318</v>
      </c>
      <c r="D141" s="8">
        <f t="shared" si="28"/>
        <v>27642.960045789856</v>
      </c>
      <c r="E141" s="22">
        <f t="shared" si="33"/>
        <v>478.69977074746038</v>
      </c>
      <c r="F141" s="8">
        <f t="shared" si="29"/>
        <v>167289.16315398802</v>
      </c>
      <c r="G141" s="9">
        <f t="shared" si="27"/>
        <v>2832710.8368460122</v>
      </c>
    </row>
    <row r="142" spans="1:7" x14ac:dyDescent="0.25">
      <c r="A142" s="6">
        <v>115</v>
      </c>
      <c r="B142" s="7">
        <v>49035</v>
      </c>
      <c r="C142" s="8">
        <f t="shared" si="32"/>
        <v>28121.659816537318</v>
      </c>
      <c r="D142" s="8">
        <f t="shared" si="28"/>
        <v>27710.843565547857</v>
      </c>
      <c r="E142" s="22">
        <f t="shared" si="33"/>
        <v>410.81625098946137</v>
      </c>
      <c r="F142" s="8">
        <f t="shared" si="29"/>
        <v>139578.31958844015</v>
      </c>
      <c r="G142" s="9">
        <f t="shared" si="27"/>
        <v>2860421.68041156</v>
      </c>
    </row>
    <row r="143" spans="1:7" x14ac:dyDescent="0.25">
      <c r="A143" s="6">
        <v>116</v>
      </c>
      <c r="B143" s="7">
        <v>49065</v>
      </c>
      <c r="C143" s="8">
        <f t="shared" si="32"/>
        <v>28121.659816537318</v>
      </c>
      <c r="D143" s="8">
        <f t="shared" si="28"/>
        <v>27778.893788591144</v>
      </c>
      <c r="E143" s="22">
        <f t="shared" si="33"/>
        <v>342.76602794617378</v>
      </c>
      <c r="F143" s="8">
        <f t="shared" si="29"/>
        <v>111799.42579984901</v>
      </c>
      <c r="G143" s="9">
        <f t="shared" si="27"/>
        <v>2888200.574200151</v>
      </c>
    </row>
    <row r="144" spans="1:7" x14ac:dyDescent="0.25">
      <c r="A144" s="6">
        <v>117</v>
      </c>
      <c r="B144" s="7">
        <v>49096</v>
      </c>
      <c r="C144" s="8">
        <f t="shared" si="32"/>
        <v>28121.659816537318</v>
      </c>
      <c r="D144" s="8">
        <f t="shared" si="28"/>
        <v>27847.111124297215</v>
      </c>
      <c r="E144" s="22">
        <f t="shared" si="33"/>
        <v>274.54869224010179</v>
      </c>
      <c r="F144" s="8">
        <f t="shared" si="29"/>
        <v>83952.314675551796</v>
      </c>
      <c r="G144" s="9">
        <f t="shared" si="27"/>
        <v>2916047.6853244482</v>
      </c>
    </row>
    <row r="145" spans="1:7" x14ac:dyDescent="0.25">
      <c r="A145" s="6">
        <v>118</v>
      </c>
      <c r="B145" s="7">
        <v>49126</v>
      </c>
      <c r="C145" s="8">
        <f t="shared" si="32"/>
        <v>28121.659816537318</v>
      </c>
      <c r="D145" s="8">
        <f t="shared" si="28"/>
        <v>27915.495983048888</v>
      </c>
      <c r="E145" s="22">
        <f t="shared" si="33"/>
        <v>206.16383348843087</v>
      </c>
      <c r="F145" s="8">
        <f t="shared" si="29"/>
        <v>56036.818692502908</v>
      </c>
      <c r="G145" s="9">
        <f t="shared" si="27"/>
        <v>2943963.181307497</v>
      </c>
    </row>
    <row r="146" spans="1:7" x14ac:dyDescent="0.25">
      <c r="A146" s="6">
        <v>119</v>
      </c>
      <c r="B146" s="7">
        <v>49157</v>
      </c>
      <c r="C146" s="8">
        <f t="shared" si="32"/>
        <v>28121.659816537318</v>
      </c>
      <c r="D146" s="8">
        <f t="shared" si="28"/>
        <v>27984.048776236759</v>
      </c>
      <c r="E146" s="22">
        <f t="shared" si="33"/>
        <v>137.6110403005589</v>
      </c>
      <c r="F146" s="8">
        <f t="shared" si="29"/>
        <v>28052.769916266148</v>
      </c>
      <c r="G146" s="9">
        <f t="shared" si="27"/>
        <v>2971947.2300837338</v>
      </c>
    </row>
    <row r="147" spans="1:7" x14ac:dyDescent="0.25">
      <c r="A147" s="6">
        <v>120</v>
      </c>
      <c r="B147" s="7">
        <v>49188</v>
      </c>
      <c r="C147" s="8">
        <f t="shared" si="32"/>
        <v>28121.659816537318</v>
      </c>
      <c r="D147" s="8">
        <f t="shared" si="28"/>
        <v>28052.769916261695</v>
      </c>
      <c r="E147" s="22">
        <f t="shared" si="33"/>
        <v>68.889900275621486</v>
      </c>
      <c r="F147" s="8">
        <f t="shared" si="29"/>
        <v>4.4528860598802567E-9</v>
      </c>
      <c r="G147" s="9">
        <f t="shared" si="27"/>
        <v>2999999.9999999953</v>
      </c>
    </row>
    <row r="148" spans="1:7" x14ac:dyDescent="0.25">
      <c r="C148" s="18">
        <f>SUM(C28:C147)</f>
        <v>3338765.2056313618</v>
      </c>
      <c r="D148" s="18">
        <f>SUM(D28:D147)</f>
        <v>2999999.9999999953</v>
      </c>
      <c r="E148" s="18">
        <f>SUM(E28:E147)</f>
        <v>338765.20563136938</v>
      </c>
    </row>
    <row r="149" spans="1:7" x14ac:dyDescent="0.25">
      <c r="D149" s="18">
        <f>F27-D148</f>
        <v>4.6566128730773926E-9</v>
      </c>
    </row>
  </sheetData>
  <mergeCells count="4">
    <mergeCell ref="B10:F10"/>
    <mergeCell ref="B11:H11"/>
    <mergeCell ref="B3:G4"/>
    <mergeCell ref="B6:G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EFB41B-27C2-4E89-926E-2702E5DFCF13}">
  <dimension ref="A3:M114"/>
  <sheetViews>
    <sheetView topLeftCell="A8" zoomScale="80" zoomScaleNormal="80" workbookViewId="0">
      <selection activeCell="K19" sqref="K19"/>
    </sheetView>
  </sheetViews>
  <sheetFormatPr defaultRowHeight="15" x14ac:dyDescent="0.25"/>
  <cols>
    <col min="2" max="2" width="20.85546875" customWidth="1"/>
    <col min="3" max="3" width="23.85546875" customWidth="1"/>
    <col min="4" max="4" width="23.140625" customWidth="1"/>
    <col min="5" max="5" width="17.42578125" customWidth="1"/>
    <col min="6" max="6" width="23.42578125" customWidth="1"/>
  </cols>
  <sheetData>
    <row r="3" spans="1:13" ht="3.75" customHeight="1" x14ac:dyDescent="0.25"/>
    <row r="4" spans="1:13" hidden="1" x14ac:dyDescent="0.25"/>
    <row r="5" spans="1:13" ht="63" customHeight="1" x14ac:dyDescent="0.25">
      <c r="A5" s="1"/>
      <c r="B5" s="107" t="s">
        <v>23</v>
      </c>
      <c r="C5" s="108"/>
      <c r="D5" s="108"/>
      <c r="E5" s="108"/>
      <c r="F5" s="108"/>
    </row>
    <row r="6" spans="1:13" x14ac:dyDescent="0.25">
      <c r="A6" s="1"/>
      <c r="B6" s="110"/>
      <c r="C6" s="106"/>
      <c r="D6" s="106"/>
      <c r="E6" s="106"/>
      <c r="F6" s="106"/>
      <c r="G6" s="106"/>
      <c r="H6" s="106"/>
    </row>
    <row r="7" spans="1:13" ht="37.5" customHeight="1" x14ac:dyDescent="0.25">
      <c r="A7" s="1"/>
      <c r="B7" s="109" t="s">
        <v>24</v>
      </c>
      <c r="C7" s="109"/>
      <c r="D7" s="109"/>
      <c r="E7" s="109"/>
      <c r="F7" s="109"/>
      <c r="G7" s="37"/>
      <c r="H7" s="37"/>
    </row>
    <row r="8" spans="1:13" x14ac:dyDescent="0.25">
      <c r="A8" s="1"/>
      <c r="B8" s="105"/>
      <c r="C8" s="106"/>
      <c r="D8" s="106"/>
      <c r="E8" s="106"/>
      <c r="F8" s="106"/>
      <c r="G8" s="1"/>
      <c r="H8" s="1"/>
    </row>
    <row r="9" spans="1:13" x14ac:dyDescent="0.25">
      <c r="A9" s="1"/>
      <c r="B9" s="1"/>
      <c r="C9" s="1"/>
      <c r="D9" s="1"/>
      <c r="E9" s="1"/>
      <c r="F9" s="1"/>
      <c r="G9" s="1"/>
      <c r="H9" s="1"/>
    </row>
    <row r="10" spans="1:13" x14ac:dyDescent="0.25">
      <c r="A10" s="1"/>
      <c r="B10" s="3" t="s">
        <v>3</v>
      </c>
      <c r="C10" s="4">
        <v>3000000</v>
      </c>
      <c r="F10" s="1"/>
      <c r="G10" s="1"/>
      <c r="H10" s="1"/>
    </row>
    <row r="11" spans="1:13" x14ac:dyDescent="0.25">
      <c r="A11" s="1"/>
      <c r="B11" s="3" t="s">
        <v>4</v>
      </c>
      <c r="C11" s="14" t="s">
        <v>25</v>
      </c>
      <c r="D11" s="3">
        <f>8*12</f>
        <v>96</v>
      </c>
      <c r="E11" s="13" t="s">
        <v>17</v>
      </c>
      <c r="G11" s="1"/>
      <c r="H11" s="1"/>
      <c r="J11" s="3"/>
      <c r="K11" s="4"/>
    </row>
    <row r="12" spans="1:13" x14ac:dyDescent="0.25">
      <c r="A12" s="1"/>
      <c r="B12" t="s">
        <v>26</v>
      </c>
      <c r="C12" s="16">
        <f>D12/12</f>
        <v>2.9166666666666668E-3</v>
      </c>
      <c r="D12" s="17">
        <v>3.5000000000000003E-2</v>
      </c>
      <c r="F12" s="1"/>
      <c r="G12" s="1"/>
      <c r="H12" s="1"/>
      <c r="J12" s="3"/>
      <c r="K12" s="14"/>
      <c r="L12" s="3"/>
      <c r="M12" s="13"/>
    </row>
    <row r="13" spans="1:13" x14ac:dyDescent="0.25">
      <c r="A13" s="1"/>
      <c r="B13" s="13"/>
      <c r="C13" s="17"/>
      <c r="K13" s="16"/>
      <c r="L13" s="17"/>
    </row>
    <row r="14" spans="1:13" x14ac:dyDescent="0.25">
      <c r="A14" s="3"/>
      <c r="B14" s="13" t="s">
        <v>7</v>
      </c>
      <c r="C14" s="30">
        <f>C10*((D12/12)/(1-(1+(D12/12))^-D11))</f>
        <v>35874.155175528838</v>
      </c>
    </row>
    <row r="15" spans="1:13" x14ac:dyDescent="0.25">
      <c r="B15" s="70"/>
      <c r="C15" s="70"/>
      <c r="D15" s="70"/>
      <c r="E15" s="70"/>
      <c r="F15" s="70"/>
    </row>
    <row r="16" spans="1:13" x14ac:dyDescent="0.25">
      <c r="B16" s="71" t="s">
        <v>6</v>
      </c>
      <c r="C16" s="72" t="s">
        <v>7</v>
      </c>
      <c r="D16" s="72" t="s">
        <v>11</v>
      </c>
      <c r="E16" s="72" t="s">
        <v>12</v>
      </c>
      <c r="F16" s="72" t="s">
        <v>13</v>
      </c>
    </row>
    <row r="17" spans="2:6" x14ac:dyDescent="0.25">
      <c r="B17" s="38">
        <v>45536</v>
      </c>
      <c r="C17" s="20"/>
      <c r="D17" s="20"/>
      <c r="E17" s="20"/>
      <c r="F17" s="20">
        <f>C10</f>
        <v>3000000</v>
      </c>
    </row>
    <row r="18" spans="2:6" x14ac:dyDescent="0.25">
      <c r="B18" s="10">
        <v>45566</v>
      </c>
      <c r="C18" s="8">
        <f>D18+E18</f>
        <v>40000</v>
      </c>
      <c r="D18" s="8">
        <f>$C$10/$D$11</f>
        <v>31250</v>
      </c>
      <c r="E18" s="8">
        <f>F17*$C$12</f>
        <v>8750</v>
      </c>
      <c r="F18" s="8">
        <f t="shared" ref="F18:F81" si="0">F17-D18</f>
        <v>2968750</v>
      </c>
    </row>
    <row r="19" spans="2:6" x14ac:dyDescent="0.25">
      <c r="B19" s="10">
        <v>45597</v>
      </c>
      <c r="C19" s="8">
        <f t="shared" ref="C19:C82" si="1">D19+E19</f>
        <v>39908.854166666672</v>
      </c>
      <c r="D19" s="8">
        <f t="shared" ref="D19:D82" si="2">$C$10/$D$11</f>
        <v>31250</v>
      </c>
      <c r="E19" s="8">
        <f t="shared" ref="E19:E82" si="3">F18*$C$12</f>
        <v>8658.8541666666679</v>
      </c>
      <c r="F19" s="8">
        <f t="shared" si="0"/>
        <v>2937500</v>
      </c>
    </row>
    <row r="20" spans="2:6" x14ac:dyDescent="0.25">
      <c r="B20" s="10">
        <v>45627</v>
      </c>
      <c r="C20" s="8">
        <f t="shared" si="1"/>
        <v>39817.708333333336</v>
      </c>
      <c r="D20" s="8">
        <f t="shared" si="2"/>
        <v>31250</v>
      </c>
      <c r="E20" s="8">
        <f t="shared" si="3"/>
        <v>8567.7083333333339</v>
      </c>
      <c r="F20" s="8">
        <f t="shared" si="0"/>
        <v>2906250</v>
      </c>
    </row>
    <row r="21" spans="2:6" x14ac:dyDescent="0.25">
      <c r="B21" s="10">
        <v>45658</v>
      </c>
      <c r="C21" s="8">
        <f t="shared" si="1"/>
        <v>39726.5625</v>
      </c>
      <c r="D21" s="8">
        <f t="shared" si="2"/>
        <v>31250</v>
      </c>
      <c r="E21" s="8">
        <f t="shared" si="3"/>
        <v>8476.5625</v>
      </c>
      <c r="F21" s="8">
        <f t="shared" si="0"/>
        <v>2875000</v>
      </c>
    </row>
    <row r="22" spans="2:6" x14ac:dyDescent="0.25">
      <c r="B22" s="10">
        <v>45689</v>
      </c>
      <c r="C22" s="8">
        <f t="shared" si="1"/>
        <v>39635.416666666672</v>
      </c>
      <c r="D22" s="8">
        <f t="shared" si="2"/>
        <v>31250</v>
      </c>
      <c r="E22" s="8">
        <f t="shared" si="3"/>
        <v>8385.4166666666679</v>
      </c>
      <c r="F22" s="8">
        <f t="shared" si="0"/>
        <v>2843750</v>
      </c>
    </row>
    <row r="23" spans="2:6" x14ac:dyDescent="0.25">
      <c r="B23" s="10">
        <v>45717</v>
      </c>
      <c r="C23" s="8">
        <f t="shared" si="1"/>
        <v>39544.270833333336</v>
      </c>
      <c r="D23" s="8">
        <f t="shared" si="2"/>
        <v>31250</v>
      </c>
      <c r="E23" s="8">
        <f t="shared" si="3"/>
        <v>8294.2708333333339</v>
      </c>
      <c r="F23" s="8">
        <f t="shared" si="0"/>
        <v>2812500</v>
      </c>
    </row>
    <row r="24" spans="2:6" x14ac:dyDescent="0.25">
      <c r="B24" s="10">
        <v>45748</v>
      </c>
      <c r="C24" s="8">
        <f t="shared" si="1"/>
        <v>39453.125</v>
      </c>
      <c r="D24" s="8">
        <f t="shared" si="2"/>
        <v>31250</v>
      </c>
      <c r="E24" s="8">
        <f t="shared" si="3"/>
        <v>8203.125</v>
      </c>
      <c r="F24" s="8">
        <f t="shared" si="0"/>
        <v>2781250</v>
      </c>
    </row>
    <row r="25" spans="2:6" x14ac:dyDescent="0.25">
      <c r="B25" s="10">
        <v>45778</v>
      </c>
      <c r="C25" s="8">
        <f t="shared" si="1"/>
        <v>39361.979166666664</v>
      </c>
      <c r="D25" s="8">
        <f t="shared" si="2"/>
        <v>31250</v>
      </c>
      <c r="E25" s="8">
        <f t="shared" si="3"/>
        <v>8111.979166666667</v>
      </c>
      <c r="F25" s="8">
        <f t="shared" si="0"/>
        <v>2750000</v>
      </c>
    </row>
    <row r="26" spans="2:6" x14ac:dyDescent="0.25">
      <c r="B26" s="10">
        <v>45809</v>
      </c>
      <c r="C26" s="8">
        <f t="shared" si="1"/>
        <v>39270.833333333336</v>
      </c>
      <c r="D26" s="8">
        <f t="shared" si="2"/>
        <v>31250</v>
      </c>
      <c r="E26" s="8">
        <f t="shared" si="3"/>
        <v>8020.8333333333339</v>
      </c>
      <c r="F26" s="8">
        <f t="shared" si="0"/>
        <v>2718750</v>
      </c>
    </row>
    <row r="27" spans="2:6" x14ac:dyDescent="0.25">
      <c r="B27" s="10">
        <v>45839</v>
      </c>
      <c r="C27" s="8">
        <f t="shared" si="1"/>
        <v>39179.6875</v>
      </c>
      <c r="D27" s="8">
        <f t="shared" si="2"/>
        <v>31250</v>
      </c>
      <c r="E27" s="8">
        <f t="shared" si="3"/>
        <v>7929.6875</v>
      </c>
      <c r="F27" s="8">
        <f t="shared" si="0"/>
        <v>2687500</v>
      </c>
    </row>
    <row r="28" spans="2:6" x14ac:dyDescent="0.25">
      <c r="B28" s="10">
        <v>45870</v>
      </c>
      <c r="C28" s="8">
        <f t="shared" si="1"/>
        <v>39088.541666666664</v>
      </c>
      <c r="D28" s="8">
        <f t="shared" si="2"/>
        <v>31250</v>
      </c>
      <c r="E28" s="8">
        <f t="shared" si="3"/>
        <v>7838.541666666667</v>
      </c>
      <c r="F28" s="8">
        <f t="shared" si="0"/>
        <v>2656250</v>
      </c>
    </row>
    <row r="29" spans="2:6" x14ac:dyDescent="0.25">
      <c r="B29" s="10">
        <v>45901</v>
      </c>
      <c r="C29" s="8">
        <f t="shared" si="1"/>
        <v>38997.395833333336</v>
      </c>
      <c r="D29" s="8">
        <f t="shared" si="2"/>
        <v>31250</v>
      </c>
      <c r="E29" s="8">
        <f t="shared" si="3"/>
        <v>7747.3958333333339</v>
      </c>
      <c r="F29" s="8">
        <f t="shared" si="0"/>
        <v>2625000</v>
      </c>
    </row>
    <row r="30" spans="2:6" x14ac:dyDescent="0.25">
      <c r="B30" s="10">
        <v>45931</v>
      </c>
      <c r="C30" s="8">
        <f t="shared" si="1"/>
        <v>38906.25</v>
      </c>
      <c r="D30" s="8">
        <f t="shared" si="2"/>
        <v>31250</v>
      </c>
      <c r="E30" s="8">
        <f t="shared" si="3"/>
        <v>7656.25</v>
      </c>
      <c r="F30" s="8">
        <f t="shared" si="0"/>
        <v>2593750</v>
      </c>
    </row>
    <row r="31" spans="2:6" x14ac:dyDescent="0.25">
      <c r="B31" s="10">
        <v>45962</v>
      </c>
      <c r="C31" s="8">
        <f t="shared" si="1"/>
        <v>38815.104166666664</v>
      </c>
      <c r="D31" s="8">
        <f t="shared" si="2"/>
        <v>31250</v>
      </c>
      <c r="E31" s="8">
        <f t="shared" si="3"/>
        <v>7565.104166666667</v>
      </c>
      <c r="F31" s="8">
        <f t="shared" si="0"/>
        <v>2562500</v>
      </c>
    </row>
    <row r="32" spans="2:6" x14ac:dyDescent="0.25">
      <c r="B32" s="10">
        <v>45992</v>
      </c>
      <c r="C32" s="8">
        <f t="shared" si="1"/>
        <v>38723.958333333336</v>
      </c>
      <c r="D32" s="8">
        <f t="shared" si="2"/>
        <v>31250</v>
      </c>
      <c r="E32" s="8">
        <f t="shared" si="3"/>
        <v>7473.9583333333339</v>
      </c>
      <c r="F32" s="8">
        <f t="shared" si="0"/>
        <v>2531250</v>
      </c>
    </row>
    <row r="33" spans="2:6" x14ac:dyDescent="0.25">
      <c r="B33" s="10">
        <v>46023</v>
      </c>
      <c r="C33" s="8">
        <f t="shared" si="1"/>
        <v>38632.8125</v>
      </c>
      <c r="D33" s="8">
        <f t="shared" si="2"/>
        <v>31250</v>
      </c>
      <c r="E33" s="8">
        <f t="shared" si="3"/>
        <v>7382.8125</v>
      </c>
      <c r="F33" s="8">
        <f t="shared" si="0"/>
        <v>2500000</v>
      </c>
    </row>
    <row r="34" spans="2:6" x14ac:dyDescent="0.25">
      <c r="B34" s="10">
        <v>46054</v>
      </c>
      <c r="C34" s="8">
        <f t="shared" si="1"/>
        <v>38541.666666666664</v>
      </c>
      <c r="D34" s="8">
        <f t="shared" si="2"/>
        <v>31250</v>
      </c>
      <c r="E34" s="8">
        <f t="shared" si="3"/>
        <v>7291.666666666667</v>
      </c>
      <c r="F34" s="8">
        <f t="shared" si="0"/>
        <v>2468750</v>
      </c>
    </row>
    <row r="35" spans="2:6" x14ac:dyDescent="0.25">
      <c r="B35" s="10">
        <v>46082</v>
      </c>
      <c r="C35" s="8">
        <f t="shared" si="1"/>
        <v>38450.520833333336</v>
      </c>
      <c r="D35" s="8">
        <f t="shared" si="2"/>
        <v>31250</v>
      </c>
      <c r="E35" s="8">
        <f t="shared" si="3"/>
        <v>7200.5208333333339</v>
      </c>
      <c r="F35" s="8">
        <f t="shared" si="0"/>
        <v>2437500</v>
      </c>
    </row>
    <row r="36" spans="2:6" x14ac:dyDescent="0.25">
      <c r="B36" s="10">
        <v>46113</v>
      </c>
      <c r="C36" s="8">
        <f t="shared" si="1"/>
        <v>38359.375</v>
      </c>
      <c r="D36" s="8">
        <f t="shared" si="2"/>
        <v>31250</v>
      </c>
      <c r="E36" s="8">
        <f t="shared" si="3"/>
        <v>7109.375</v>
      </c>
      <c r="F36" s="8">
        <f t="shared" si="0"/>
        <v>2406250</v>
      </c>
    </row>
    <row r="37" spans="2:6" x14ac:dyDescent="0.25">
      <c r="B37" s="10">
        <v>46143</v>
      </c>
      <c r="C37" s="8">
        <f t="shared" si="1"/>
        <v>38268.229166666664</v>
      </c>
      <c r="D37" s="8">
        <f t="shared" si="2"/>
        <v>31250</v>
      </c>
      <c r="E37" s="8">
        <f t="shared" si="3"/>
        <v>7018.229166666667</v>
      </c>
      <c r="F37" s="8">
        <f t="shared" si="0"/>
        <v>2375000</v>
      </c>
    </row>
    <row r="38" spans="2:6" x14ac:dyDescent="0.25">
      <c r="B38" s="10">
        <v>46174</v>
      </c>
      <c r="C38" s="8">
        <f t="shared" si="1"/>
        <v>38177.083333333336</v>
      </c>
      <c r="D38" s="8">
        <f t="shared" si="2"/>
        <v>31250</v>
      </c>
      <c r="E38" s="8">
        <f t="shared" si="3"/>
        <v>6927.0833333333339</v>
      </c>
      <c r="F38" s="8">
        <f t="shared" si="0"/>
        <v>2343750</v>
      </c>
    </row>
    <row r="39" spans="2:6" x14ac:dyDescent="0.25">
      <c r="B39" s="10">
        <v>46204</v>
      </c>
      <c r="C39" s="8">
        <f t="shared" si="1"/>
        <v>38085.9375</v>
      </c>
      <c r="D39" s="8">
        <f t="shared" si="2"/>
        <v>31250</v>
      </c>
      <c r="E39" s="8">
        <f t="shared" si="3"/>
        <v>6835.9375</v>
      </c>
      <c r="F39" s="8">
        <f t="shared" si="0"/>
        <v>2312500</v>
      </c>
    </row>
    <row r="40" spans="2:6" x14ac:dyDescent="0.25">
      <c r="B40" s="10">
        <v>46235</v>
      </c>
      <c r="C40" s="8">
        <f t="shared" si="1"/>
        <v>37994.791666666664</v>
      </c>
      <c r="D40" s="8">
        <f t="shared" si="2"/>
        <v>31250</v>
      </c>
      <c r="E40" s="8">
        <f t="shared" si="3"/>
        <v>6744.791666666667</v>
      </c>
      <c r="F40" s="8">
        <f t="shared" si="0"/>
        <v>2281250</v>
      </c>
    </row>
    <row r="41" spans="2:6" x14ac:dyDescent="0.25">
      <c r="B41" s="10">
        <v>46266</v>
      </c>
      <c r="C41" s="8">
        <f t="shared" si="1"/>
        <v>37903.645833333336</v>
      </c>
      <c r="D41" s="8">
        <f t="shared" si="2"/>
        <v>31250</v>
      </c>
      <c r="E41" s="8">
        <f t="shared" si="3"/>
        <v>6653.6458333333339</v>
      </c>
      <c r="F41" s="8">
        <f t="shared" si="0"/>
        <v>2250000</v>
      </c>
    </row>
    <row r="42" spans="2:6" x14ac:dyDescent="0.25">
      <c r="B42" s="10">
        <v>46296</v>
      </c>
      <c r="C42" s="8">
        <f t="shared" si="1"/>
        <v>37812.5</v>
      </c>
      <c r="D42" s="8">
        <f t="shared" si="2"/>
        <v>31250</v>
      </c>
      <c r="E42" s="8">
        <f t="shared" si="3"/>
        <v>6562.5</v>
      </c>
      <c r="F42" s="8">
        <f t="shared" si="0"/>
        <v>2218750</v>
      </c>
    </row>
    <row r="43" spans="2:6" x14ac:dyDescent="0.25">
      <c r="B43" s="10">
        <v>46327</v>
      </c>
      <c r="C43" s="8">
        <f t="shared" si="1"/>
        <v>37721.354166666664</v>
      </c>
      <c r="D43" s="8">
        <f t="shared" si="2"/>
        <v>31250</v>
      </c>
      <c r="E43" s="8">
        <f t="shared" si="3"/>
        <v>6471.354166666667</v>
      </c>
      <c r="F43" s="8">
        <f t="shared" si="0"/>
        <v>2187500</v>
      </c>
    </row>
    <row r="44" spans="2:6" x14ac:dyDescent="0.25">
      <c r="B44" s="10">
        <v>46357</v>
      </c>
      <c r="C44" s="8">
        <f t="shared" si="1"/>
        <v>37630.208333333336</v>
      </c>
      <c r="D44" s="8">
        <f t="shared" si="2"/>
        <v>31250</v>
      </c>
      <c r="E44" s="8">
        <f t="shared" si="3"/>
        <v>6380.2083333333339</v>
      </c>
      <c r="F44" s="8">
        <f t="shared" si="0"/>
        <v>2156250</v>
      </c>
    </row>
    <row r="45" spans="2:6" x14ac:dyDescent="0.25">
      <c r="B45" s="10">
        <v>46388</v>
      </c>
      <c r="C45" s="8">
        <f t="shared" si="1"/>
        <v>37539.0625</v>
      </c>
      <c r="D45" s="8">
        <f t="shared" si="2"/>
        <v>31250</v>
      </c>
      <c r="E45" s="8">
        <f t="shared" si="3"/>
        <v>6289.0625</v>
      </c>
      <c r="F45" s="8">
        <f t="shared" si="0"/>
        <v>2125000</v>
      </c>
    </row>
    <row r="46" spans="2:6" x14ac:dyDescent="0.25">
      <c r="B46" s="10">
        <v>46419</v>
      </c>
      <c r="C46" s="8">
        <f t="shared" si="1"/>
        <v>37447.916666666664</v>
      </c>
      <c r="D46" s="8">
        <f t="shared" si="2"/>
        <v>31250</v>
      </c>
      <c r="E46" s="8">
        <f t="shared" si="3"/>
        <v>6197.916666666667</v>
      </c>
      <c r="F46" s="8">
        <f t="shared" si="0"/>
        <v>2093750</v>
      </c>
    </row>
    <row r="47" spans="2:6" x14ac:dyDescent="0.25">
      <c r="B47" s="10">
        <v>46447</v>
      </c>
      <c r="C47" s="8">
        <f t="shared" si="1"/>
        <v>37356.770833333336</v>
      </c>
      <c r="D47" s="8">
        <f t="shared" si="2"/>
        <v>31250</v>
      </c>
      <c r="E47" s="8">
        <f t="shared" si="3"/>
        <v>6106.7708333333339</v>
      </c>
      <c r="F47" s="8">
        <f t="shared" si="0"/>
        <v>2062500</v>
      </c>
    </row>
    <row r="48" spans="2:6" x14ac:dyDescent="0.25">
      <c r="B48" s="10">
        <v>46478</v>
      </c>
      <c r="C48" s="8">
        <f t="shared" si="1"/>
        <v>37265.625</v>
      </c>
      <c r="D48" s="8">
        <f t="shared" si="2"/>
        <v>31250</v>
      </c>
      <c r="E48" s="8">
        <f t="shared" si="3"/>
        <v>6015.625</v>
      </c>
      <c r="F48" s="8">
        <f t="shared" si="0"/>
        <v>2031250</v>
      </c>
    </row>
    <row r="49" spans="2:6" x14ac:dyDescent="0.25">
      <c r="B49" s="10">
        <v>46508</v>
      </c>
      <c r="C49" s="8">
        <f t="shared" si="1"/>
        <v>37174.479166666664</v>
      </c>
      <c r="D49" s="8">
        <f t="shared" si="2"/>
        <v>31250</v>
      </c>
      <c r="E49" s="8">
        <f t="shared" si="3"/>
        <v>5924.479166666667</v>
      </c>
      <c r="F49" s="8">
        <f t="shared" si="0"/>
        <v>2000000</v>
      </c>
    </row>
    <row r="50" spans="2:6" x14ac:dyDescent="0.25">
      <c r="B50" s="10">
        <v>46539</v>
      </c>
      <c r="C50" s="8">
        <f t="shared" si="1"/>
        <v>37083.333333333336</v>
      </c>
      <c r="D50" s="8">
        <f t="shared" si="2"/>
        <v>31250</v>
      </c>
      <c r="E50" s="8">
        <f t="shared" si="3"/>
        <v>5833.3333333333339</v>
      </c>
      <c r="F50" s="8">
        <f t="shared" si="0"/>
        <v>1968750</v>
      </c>
    </row>
    <row r="51" spans="2:6" x14ac:dyDescent="0.25">
      <c r="B51" s="10">
        <v>46569</v>
      </c>
      <c r="C51" s="8">
        <f t="shared" si="1"/>
        <v>36992.1875</v>
      </c>
      <c r="D51" s="8">
        <f t="shared" si="2"/>
        <v>31250</v>
      </c>
      <c r="E51" s="8">
        <f t="shared" si="3"/>
        <v>5742.1875</v>
      </c>
      <c r="F51" s="8">
        <f t="shared" si="0"/>
        <v>1937500</v>
      </c>
    </row>
    <row r="52" spans="2:6" x14ac:dyDescent="0.25">
      <c r="B52" s="10">
        <v>46600</v>
      </c>
      <c r="C52" s="8">
        <f t="shared" si="1"/>
        <v>36901.041666666664</v>
      </c>
      <c r="D52" s="8">
        <f t="shared" si="2"/>
        <v>31250</v>
      </c>
      <c r="E52" s="8">
        <f t="shared" si="3"/>
        <v>5651.041666666667</v>
      </c>
      <c r="F52" s="8">
        <f t="shared" si="0"/>
        <v>1906250</v>
      </c>
    </row>
    <row r="53" spans="2:6" x14ac:dyDescent="0.25">
      <c r="B53" s="10">
        <v>46631</v>
      </c>
      <c r="C53" s="8">
        <f t="shared" si="1"/>
        <v>36809.895833333336</v>
      </c>
      <c r="D53" s="8">
        <f t="shared" si="2"/>
        <v>31250</v>
      </c>
      <c r="E53" s="8">
        <f t="shared" si="3"/>
        <v>5559.8958333333339</v>
      </c>
      <c r="F53" s="8">
        <f t="shared" si="0"/>
        <v>1875000</v>
      </c>
    </row>
    <row r="54" spans="2:6" x14ac:dyDescent="0.25">
      <c r="B54" s="10">
        <v>46661</v>
      </c>
      <c r="C54" s="8">
        <f t="shared" si="1"/>
        <v>36718.75</v>
      </c>
      <c r="D54" s="8">
        <f t="shared" si="2"/>
        <v>31250</v>
      </c>
      <c r="E54" s="8">
        <f t="shared" si="3"/>
        <v>5468.75</v>
      </c>
      <c r="F54" s="8">
        <f t="shared" si="0"/>
        <v>1843750</v>
      </c>
    </row>
    <row r="55" spans="2:6" x14ac:dyDescent="0.25">
      <c r="B55" s="10">
        <v>46692</v>
      </c>
      <c r="C55" s="8">
        <f t="shared" si="1"/>
        <v>36627.604166666664</v>
      </c>
      <c r="D55" s="8">
        <f t="shared" si="2"/>
        <v>31250</v>
      </c>
      <c r="E55" s="8">
        <f t="shared" si="3"/>
        <v>5377.604166666667</v>
      </c>
      <c r="F55" s="8">
        <f t="shared" si="0"/>
        <v>1812500</v>
      </c>
    </row>
    <row r="56" spans="2:6" x14ac:dyDescent="0.25">
      <c r="B56" s="10">
        <v>46722</v>
      </c>
      <c r="C56" s="8">
        <f t="shared" si="1"/>
        <v>36536.458333333336</v>
      </c>
      <c r="D56" s="8">
        <f t="shared" si="2"/>
        <v>31250</v>
      </c>
      <c r="E56" s="8">
        <f t="shared" si="3"/>
        <v>5286.4583333333339</v>
      </c>
      <c r="F56" s="8">
        <f t="shared" si="0"/>
        <v>1781250</v>
      </c>
    </row>
    <row r="57" spans="2:6" x14ac:dyDescent="0.25">
      <c r="B57" s="10">
        <v>46753</v>
      </c>
      <c r="C57" s="8">
        <f t="shared" si="1"/>
        <v>36445.3125</v>
      </c>
      <c r="D57" s="8">
        <f t="shared" si="2"/>
        <v>31250</v>
      </c>
      <c r="E57" s="8">
        <f t="shared" si="3"/>
        <v>5195.3125</v>
      </c>
      <c r="F57" s="8">
        <f t="shared" si="0"/>
        <v>1750000</v>
      </c>
    </row>
    <row r="58" spans="2:6" x14ac:dyDescent="0.25">
      <c r="B58" s="10">
        <v>46784</v>
      </c>
      <c r="C58" s="8">
        <f t="shared" si="1"/>
        <v>36354.166666666664</v>
      </c>
      <c r="D58" s="8">
        <f t="shared" si="2"/>
        <v>31250</v>
      </c>
      <c r="E58" s="8">
        <f t="shared" si="3"/>
        <v>5104.166666666667</v>
      </c>
      <c r="F58" s="8">
        <f t="shared" si="0"/>
        <v>1718750</v>
      </c>
    </row>
    <row r="59" spans="2:6" x14ac:dyDescent="0.25">
      <c r="B59" s="10">
        <v>46813</v>
      </c>
      <c r="C59" s="8">
        <f t="shared" si="1"/>
        <v>36263.020833333336</v>
      </c>
      <c r="D59" s="8">
        <f t="shared" si="2"/>
        <v>31250</v>
      </c>
      <c r="E59" s="8">
        <f t="shared" si="3"/>
        <v>5013.0208333333339</v>
      </c>
      <c r="F59" s="8">
        <f t="shared" si="0"/>
        <v>1687500</v>
      </c>
    </row>
    <row r="60" spans="2:6" x14ac:dyDescent="0.25">
      <c r="B60" s="10">
        <v>46844</v>
      </c>
      <c r="C60" s="8">
        <f t="shared" si="1"/>
        <v>36171.875</v>
      </c>
      <c r="D60" s="8">
        <f t="shared" si="2"/>
        <v>31250</v>
      </c>
      <c r="E60" s="8">
        <f t="shared" si="3"/>
        <v>4921.875</v>
      </c>
      <c r="F60" s="8">
        <f t="shared" si="0"/>
        <v>1656250</v>
      </c>
    </row>
    <row r="61" spans="2:6" x14ac:dyDescent="0.25">
      <c r="B61" s="10">
        <v>46874</v>
      </c>
      <c r="C61" s="8">
        <f t="shared" si="1"/>
        <v>36080.729166666664</v>
      </c>
      <c r="D61" s="8">
        <f t="shared" si="2"/>
        <v>31250</v>
      </c>
      <c r="E61" s="8">
        <f t="shared" si="3"/>
        <v>4830.729166666667</v>
      </c>
      <c r="F61" s="8">
        <f t="shared" si="0"/>
        <v>1625000</v>
      </c>
    </row>
    <row r="62" spans="2:6" x14ac:dyDescent="0.25">
      <c r="B62" s="10">
        <v>46905</v>
      </c>
      <c r="C62" s="8">
        <f t="shared" si="1"/>
        <v>35989.583333333336</v>
      </c>
      <c r="D62" s="8">
        <f t="shared" si="2"/>
        <v>31250</v>
      </c>
      <c r="E62" s="8">
        <f t="shared" si="3"/>
        <v>4739.5833333333339</v>
      </c>
      <c r="F62" s="8">
        <f t="shared" si="0"/>
        <v>1593750</v>
      </c>
    </row>
    <row r="63" spans="2:6" x14ac:dyDescent="0.25">
      <c r="B63" s="10">
        <v>46935</v>
      </c>
      <c r="C63" s="8">
        <f t="shared" si="1"/>
        <v>35898.4375</v>
      </c>
      <c r="D63" s="8">
        <f t="shared" si="2"/>
        <v>31250</v>
      </c>
      <c r="E63" s="8">
        <f t="shared" si="3"/>
        <v>4648.4375</v>
      </c>
      <c r="F63" s="8">
        <f t="shared" si="0"/>
        <v>1562500</v>
      </c>
    </row>
    <row r="64" spans="2:6" x14ac:dyDescent="0.25">
      <c r="B64" s="10">
        <v>46966</v>
      </c>
      <c r="C64" s="8">
        <f t="shared" si="1"/>
        <v>35807.291666666664</v>
      </c>
      <c r="D64" s="8">
        <f t="shared" si="2"/>
        <v>31250</v>
      </c>
      <c r="E64" s="8">
        <f t="shared" si="3"/>
        <v>4557.291666666667</v>
      </c>
      <c r="F64" s="8">
        <f t="shared" si="0"/>
        <v>1531250</v>
      </c>
    </row>
    <row r="65" spans="2:6" x14ac:dyDescent="0.25">
      <c r="B65" s="10">
        <v>46997</v>
      </c>
      <c r="C65" s="8">
        <f t="shared" si="1"/>
        <v>35716.145833333336</v>
      </c>
      <c r="D65" s="8">
        <f t="shared" si="2"/>
        <v>31250</v>
      </c>
      <c r="E65" s="8">
        <f t="shared" si="3"/>
        <v>4466.1458333333339</v>
      </c>
      <c r="F65" s="8">
        <f t="shared" si="0"/>
        <v>1500000</v>
      </c>
    </row>
    <row r="66" spans="2:6" x14ac:dyDescent="0.25">
      <c r="B66" s="10">
        <v>47027</v>
      </c>
      <c r="C66" s="8">
        <f t="shared" si="1"/>
        <v>35625</v>
      </c>
      <c r="D66" s="8">
        <f t="shared" si="2"/>
        <v>31250</v>
      </c>
      <c r="E66" s="8">
        <f t="shared" si="3"/>
        <v>4375</v>
      </c>
      <c r="F66" s="8">
        <f t="shared" si="0"/>
        <v>1468750</v>
      </c>
    </row>
    <row r="67" spans="2:6" x14ac:dyDescent="0.25">
      <c r="B67" s="10">
        <v>47058</v>
      </c>
      <c r="C67" s="8">
        <f t="shared" si="1"/>
        <v>35533.854166666664</v>
      </c>
      <c r="D67" s="8">
        <f t="shared" si="2"/>
        <v>31250</v>
      </c>
      <c r="E67" s="8">
        <f t="shared" si="3"/>
        <v>4283.854166666667</v>
      </c>
      <c r="F67" s="8">
        <f t="shared" si="0"/>
        <v>1437500</v>
      </c>
    </row>
    <row r="68" spans="2:6" x14ac:dyDescent="0.25">
      <c r="B68" s="10">
        <v>47088</v>
      </c>
      <c r="C68" s="8">
        <f t="shared" si="1"/>
        <v>35442.708333333336</v>
      </c>
      <c r="D68" s="8">
        <f t="shared" si="2"/>
        <v>31250</v>
      </c>
      <c r="E68" s="8">
        <f t="shared" si="3"/>
        <v>4192.7083333333339</v>
      </c>
      <c r="F68" s="8">
        <f t="shared" si="0"/>
        <v>1406250</v>
      </c>
    </row>
    <row r="69" spans="2:6" x14ac:dyDescent="0.25">
      <c r="B69" s="10">
        <v>47119</v>
      </c>
      <c r="C69" s="8">
        <f t="shared" si="1"/>
        <v>35351.5625</v>
      </c>
      <c r="D69" s="8">
        <f t="shared" si="2"/>
        <v>31250</v>
      </c>
      <c r="E69" s="8">
        <f t="shared" si="3"/>
        <v>4101.5625</v>
      </c>
      <c r="F69" s="8">
        <f t="shared" si="0"/>
        <v>1375000</v>
      </c>
    </row>
    <row r="70" spans="2:6" x14ac:dyDescent="0.25">
      <c r="B70" s="10">
        <v>47150</v>
      </c>
      <c r="C70" s="8">
        <f t="shared" si="1"/>
        <v>35260.416666666664</v>
      </c>
      <c r="D70" s="8">
        <f t="shared" si="2"/>
        <v>31250</v>
      </c>
      <c r="E70" s="8">
        <f t="shared" si="3"/>
        <v>4010.416666666667</v>
      </c>
      <c r="F70" s="8">
        <f t="shared" si="0"/>
        <v>1343750</v>
      </c>
    </row>
    <row r="71" spans="2:6" x14ac:dyDescent="0.25">
      <c r="B71" s="10">
        <v>47178</v>
      </c>
      <c r="C71" s="8">
        <f t="shared" si="1"/>
        <v>35169.270833333336</v>
      </c>
      <c r="D71" s="8">
        <f t="shared" si="2"/>
        <v>31250</v>
      </c>
      <c r="E71" s="8">
        <f t="shared" si="3"/>
        <v>3919.2708333333335</v>
      </c>
      <c r="F71" s="8">
        <f t="shared" si="0"/>
        <v>1312500</v>
      </c>
    </row>
    <row r="72" spans="2:6" x14ac:dyDescent="0.25">
      <c r="B72" s="10">
        <v>47209</v>
      </c>
      <c r="C72" s="8">
        <f t="shared" si="1"/>
        <v>35078.125</v>
      </c>
      <c r="D72" s="8">
        <f t="shared" si="2"/>
        <v>31250</v>
      </c>
      <c r="E72" s="8">
        <f t="shared" si="3"/>
        <v>3828.125</v>
      </c>
      <c r="F72" s="8">
        <f t="shared" si="0"/>
        <v>1281250</v>
      </c>
    </row>
    <row r="73" spans="2:6" x14ac:dyDescent="0.25">
      <c r="B73" s="10">
        <v>47239</v>
      </c>
      <c r="C73" s="8">
        <f t="shared" si="1"/>
        <v>34986.979166666664</v>
      </c>
      <c r="D73" s="8">
        <f t="shared" si="2"/>
        <v>31250</v>
      </c>
      <c r="E73" s="8">
        <f t="shared" si="3"/>
        <v>3736.979166666667</v>
      </c>
      <c r="F73" s="8">
        <f t="shared" si="0"/>
        <v>1250000</v>
      </c>
    </row>
    <row r="74" spans="2:6" x14ac:dyDescent="0.25">
      <c r="B74" s="10">
        <v>47270</v>
      </c>
      <c r="C74" s="8">
        <f t="shared" si="1"/>
        <v>34895.833333333336</v>
      </c>
      <c r="D74" s="8">
        <f t="shared" si="2"/>
        <v>31250</v>
      </c>
      <c r="E74" s="8">
        <f t="shared" si="3"/>
        <v>3645.8333333333335</v>
      </c>
      <c r="F74" s="8">
        <f t="shared" si="0"/>
        <v>1218750</v>
      </c>
    </row>
    <row r="75" spans="2:6" x14ac:dyDescent="0.25">
      <c r="B75" s="10">
        <v>47300</v>
      </c>
      <c r="C75" s="8">
        <f t="shared" si="1"/>
        <v>34804.6875</v>
      </c>
      <c r="D75" s="8">
        <f t="shared" si="2"/>
        <v>31250</v>
      </c>
      <c r="E75" s="8">
        <f t="shared" si="3"/>
        <v>3554.6875</v>
      </c>
      <c r="F75" s="8">
        <f t="shared" si="0"/>
        <v>1187500</v>
      </c>
    </row>
    <row r="76" spans="2:6" x14ac:dyDescent="0.25">
      <c r="B76" s="10">
        <v>47331</v>
      </c>
      <c r="C76" s="8">
        <f t="shared" si="1"/>
        <v>34713.541666666664</v>
      </c>
      <c r="D76" s="8">
        <f t="shared" si="2"/>
        <v>31250</v>
      </c>
      <c r="E76" s="8">
        <f t="shared" si="3"/>
        <v>3463.541666666667</v>
      </c>
      <c r="F76" s="8">
        <f t="shared" si="0"/>
        <v>1156250</v>
      </c>
    </row>
    <row r="77" spans="2:6" x14ac:dyDescent="0.25">
      <c r="B77" s="10">
        <v>47362</v>
      </c>
      <c r="C77" s="8">
        <f t="shared" si="1"/>
        <v>34622.395833333336</v>
      </c>
      <c r="D77" s="8">
        <f t="shared" si="2"/>
        <v>31250</v>
      </c>
      <c r="E77" s="8">
        <f t="shared" si="3"/>
        <v>3372.3958333333335</v>
      </c>
      <c r="F77" s="8">
        <f t="shared" si="0"/>
        <v>1125000</v>
      </c>
    </row>
    <row r="78" spans="2:6" x14ac:dyDescent="0.25">
      <c r="B78" s="10">
        <v>47392</v>
      </c>
      <c r="C78" s="8">
        <f t="shared" si="1"/>
        <v>34531.25</v>
      </c>
      <c r="D78" s="8">
        <f t="shared" si="2"/>
        <v>31250</v>
      </c>
      <c r="E78" s="8">
        <f t="shared" si="3"/>
        <v>3281.25</v>
      </c>
      <c r="F78" s="8">
        <f t="shared" si="0"/>
        <v>1093750</v>
      </c>
    </row>
    <row r="79" spans="2:6" x14ac:dyDescent="0.25">
      <c r="B79" s="10">
        <v>47423</v>
      </c>
      <c r="C79" s="8">
        <f t="shared" si="1"/>
        <v>34440.104166666664</v>
      </c>
      <c r="D79" s="8">
        <f t="shared" si="2"/>
        <v>31250</v>
      </c>
      <c r="E79" s="8">
        <f t="shared" si="3"/>
        <v>3190.104166666667</v>
      </c>
      <c r="F79" s="8">
        <f t="shared" si="0"/>
        <v>1062500</v>
      </c>
    </row>
    <row r="80" spans="2:6" x14ac:dyDescent="0.25">
      <c r="B80" s="10">
        <v>47453</v>
      </c>
      <c r="C80" s="8">
        <f t="shared" si="1"/>
        <v>34348.958333333336</v>
      </c>
      <c r="D80" s="8">
        <f t="shared" si="2"/>
        <v>31250</v>
      </c>
      <c r="E80" s="8">
        <f t="shared" si="3"/>
        <v>3098.9583333333335</v>
      </c>
      <c r="F80" s="8">
        <f t="shared" si="0"/>
        <v>1031250</v>
      </c>
    </row>
    <row r="81" spans="2:6" x14ac:dyDescent="0.25">
      <c r="B81" s="10">
        <v>47484</v>
      </c>
      <c r="C81" s="8">
        <f t="shared" si="1"/>
        <v>34257.8125</v>
      </c>
      <c r="D81" s="8">
        <f t="shared" si="2"/>
        <v>31250</v>
      </c>
      <c r="E81" s="8">
        <f t="shared" si="3"/>
        <v>3007.8125</v>
      </c>
      <c r="F81" s="8">
        <f t="shared" si="0"/>
        <v>1000000</v>
      </c>
    </row>
    <row r="82" spans="2:6" x14ac:dyDescent="0.25">
      <c r="B82" s="10">
        <v>47515</v>
      </c>
      <c r="C82" s="8">
        <f t="shared" si="1"/>
        <v>34166.666666666664</v>
      </c>
      <c r="D82" s="8">
        <f t="shared" si="2"/>
        <v>31250</v>
      </c>
      <c r="E82" s="8">
        <f t="shared" si="3"/>
        <v>2916.666666666667</v>
      </c>
      <c r="F82" s="8">
        <f t="shared" ref="F82:F113" si="4">F81-D82</f>
        <v>968750</v>
      </c>
    </row>
    <row r="83" spans="2:6" x14ac:dyDescent="0.25">
      <c r="B83" s="10">
        <v>47543</v>
      </c>
      <c r="C83" s="8">
        <f t="shared" ref="C83:C113" si="5">D83+E83</f>
        <v>34075.520833333336</v>
      </c>
      <c r="D83" s="8">
        <f t="shared" ref="D83:D113" si="6">$C$10/$D$11</f>
        <v>31250</v>
      </c>
      <c r="E83" s="8">
        <f t="shared" ref="E83:E113" si="7">F82*$C$12</f>
        <v>2825.5208333333335</v>
      </c>
      <c r="F83" s="8">
        <f t="shared" si="4"/>
        <v>937500</v>
      </c>
    </row>
    <row r="84" spans="2:6" x14ac:dyDescent="0.25">
      <c r="B84" s="10">
        <v>47574</v>
      </c>
      <c r="C84" s="8">
        <f t="shared" si="5"/>
        <v>33984.375</v>
      </c>
      <c r="D84" s="8">
        <f t="shared" si="6"/>
        <v>31250</v>
      </c>
      <c r="E84" s="8">
        <f t="shared" si="7"/>
        <v>2734.375</v>
      </c>
      <c r="F84" s="8">
        <f t="shared" si="4"/>
        <v>906250</v>
      </c>
    </row>
    <row r="85" spans="2:6" x14ac:dyDescent="0.25">
      <c r="B85" s="10">
        <v>47604</v>
      </c>
      <c r="C85" s="8">
        <f t="shared" si="5"/>
        <v>33893.229166666664</v>
      </c>
      <c r="D85" s="8">
        <f t="shared" si="6"/>
        <v>31250</v>
      </c>
      <c r="E85" s="8">
        <f t="shared" si="7"/>
        <v>2643.229166666667</v>
      </c>
      <c r="F85" s="8">
        <f t="shared" si="4"/>
        <v>875000</v>
      </c>
    </row>
    <row r="86" spans="2:6" x14ac:dyDescent="0.25">
      <c r="B86" s="10">
        <v>47635</v>
      </c>
      <c r="C86" s="8">
        <f t="shared" si="5"/>
        <v>33802.083333333336</v>
      </c>
      <c r="D86" s="8">
        <f t="shared" si="6"/>
        <v>31250</v>
      </c>
      <c r="E86" s="8">
        <f t="shared" si="7"/>
        <v>2552.0833333333335</v>
      </c>
      <c r="F86" s="8">
        <f t="shared" si="4"/>
        <v>843750</v>
      </c>
    </row>
    <row r="87" spans="2:6" x14ac:dyDescent="0.25">
      <c r="B87" s="10">
        <v>47665</v>
      </c>
      <c r="C87" s="8">
        <f t="shared" si="5"/>
        <v>33710.9375</v>
      </c>
      <c r="D87" s="8">
        <f t="shared" si="6"/>
        <v>31250</v>
      </c>
      <c r="E87" s="8">
        <f t="shared" si="7"/>
        <v>2460.9375</v>
      </c>
      <c r="F87" s="8">
        <f t="shared" si="4"/>
        <v>812500</v>
      </c>
    </row>
    <row r="88" spans="2:6" x14ac:dyDescent="0.25">
      <c r="B88" s="10">
        <v>47696</v>
      </c>
      <c r="C88" s="8">
        <f t="shared" si="5"/>
        <v>33619.791666666664</v>
      </c>
      <c r="D88" s="8">
        <f t="shared" si="6"/>
        <v>31250</v>
      </c>
      <c r="E88" s="8">
        <f t="shared" si="7"/>
        <v>2369.791666666667</v>
      </c>
      <c r="F88" s="8">
        <f t="shared" si="4"/>
        <v>781250</v>
      </c>
    </row>
    <row r="89" spans="2:6" x14ac:dyDescent="0.25">
      <c r="B89" s="10">
        <v>47727</v>
      </c>
      <c r="C89" s="8">
        <f t="shared" si="5"/>
        <v>33528.645833333336</v>
      </c>
      <c r="D89" s="8">
        <f t="shared" si="6"/>
        <v>31250</v>
      </c>
      <c r="E89" s="8">
        <f t="shared" si="7"/>
        <v>2278.6458333333335</v>
      </c>
      <c r="F89" s="8">
        <f t="shared" si="4"/>
        <v>750000</v>
      </c>
    </row>
    <row r="90" spans="2:6" x14ac:dyDescent="0.25">
      <c r="B90" s="10">
        <v>47757</v>
      </c>
      <c r="C90" s="8">
        <f t="shared" si="5"/>
        <v>33437.5</v>
      </c>
      <c r="D90" s="8">
        <f t="shared" si="6"/>
        <v>31250</v>
      </c>
      <c r="E90" s="8">
        <f t="shared" si="7"/>
        <v>2187.5</v>
      </c>
      <c r="F90" s="8">
        <f t="shared" si="4"/>
        <v>718750</v>
      </c>
    </row>
    <row r="91" spans="2:6" x14ac:dyDescent="0.25">
      <c r="B91" s="10">
        <v>47788</v>
      </c>
      <c r="C91" s="8">
        <f t="shared" si="5"/>
        <v>33346.354166666664</v>
      </c>
      <c r="D91" s="8">
        <f t="shared" si="6"/>
        <v>31250</v>
      </c>
      <c r="E91" s="8">
        <f t="shared" si="7"/>
        <v>2096.354166666667</v>
      </c>
      <c r="F91" s="8">
        <f t="shared" si="4"/>
        <v>687500</v>
      </c>
    </row>
    <row r="92" spans="2:6" x14ac:dyDescent="0.25">
      <c r="B92" s="10">
        <v>47818</v>
      </c>
      <c r="C92" s="8">
        <f t="shared" si="5"/>
        <v>33255.208333333336</v>
      </c>
      <c r="D92" s="8">
        <f t="shared" si="6"/>
        <v>31250</v>
      </c>
      <c r="E92" s="8">
        <f t="shared" si="7"/>
        <v>2005.2083333333335</v>
      </c>
      <c r="F92" s="8">
        <f t="shared" si="4"/>
        <v>656250</v>
      </c>
    </row>
    <row r="93" spans="2:6" x14ac:dyDescent="0.25">
      <c r="B93" s="10">
        <v>47849</v>
      </c>
      <c r="C93" s="8">
        <f t="shared" si="5"/>
        <v>33164.0625</v>
      </c>
      <c r="D93" s="8">
        <f t="shared" si="6"/>
        <v>31250</v>
      </c>
      <c r="E93" s="8">
        <f t="shared" si="7"/>
        <v>1914.0625</v>
      </c>
      <c r="F93" s="8">
        <f t="shared" si="4"/>
        <v>625000</v>
      </c>
    </row>
    <row r="94" spans="2:6" x14ac:dyDescent="0.25">
      <c r="B94" s="10">
        <v>47880</v>
      </c>
      <c r="C94" s="8">
        <f t="shared" si="5"/>
        <v>33072.916666666664</v>
      </c>
      <c r="D94" s="8">
        <f t="shared" si="6"/>
        <v>31250</v>
      </c>
      <c r="E94" s="8">
        <f t="shared" si="7"/>
        <v>1822.9166666666667</v>
      </c>
      <c r="F94" s="8">
        <f t="shared" si="4"/>
        <v>593750</v>
      </c>
    </row>
    <row r="95" spans="2:6" x14ac:dyDescent="0.25">
      <c r="B95" s="10">
        <v>47908</v>
      </c>
      <c r="C95" s="8">
        <f t="shared" si="5"/>
        <v>32981.770833333336</v>
      </c>
      <c r="D95" s="8">
        <f t="shared" si="6"/>
        <v>31250</v>
      </c>
      <c r="E95" s="8">
        <f t="shared" si="7"/>
        <v>1731.7708333333335</v>
      </c>
      <c r="F95" s="8">
        <f t="shared" si="4"/>
        <v>562500</v>
      </c>
    </row>
    <row r="96" spans="2:6" x14ac:dyDescent="0.25">
      <c r="B96" s="10">
        <v>47939</v>
      </c>
      <c r="C96" s="8">
        <f t="shared" si="5"/>
        <v>32890.625</v>
      </c>
      <c r="D96" s="8">
        <f t="shared" si="6"/>
        <v>31250</v>
      </c>
      <c r="E96" s="8">
        <f t="shared" si="7"/>
        <v>1640.625</v>
      </c>
      <c r="F96" s="8">
        <f t="shared" si="4"/>
        <v>531250</v>
      </c>
    </row>
    <row r="97" spans="2:6" x14ac:dyDescent="0.25">
      <c r="B97" s="10">
        <v>47969</v>
      </c>
      <c r="C97" s="8">
        <f t="shared" si="5"/>
        <v>32799.479166666664</v>
      </c>
      <c r="D97" s="8">
        <f t="shared" si="6"/>
        <v>31250</v>
      </c>
      <c r="E97" s="8">
        <f t="shared" si="7"/>
        <v>1549.4791666666667</v>
      </c>
      <c r="F97" s="8">
        <f t="shared" si="4"/>
        <v>500000</v>
      </c>
    </row>
    <row r="98" spans="2:6" x14ac:dyDescent="0.25">
      <c r="B98" s="10">
        <v>48000</v>
      </c>
      <c r="C98" s="8">
        <f t="shared" si="5"/>
        <v>32708.333333333332</v>
      </c>
      <c r="D98" s="8">
        <f t="shared" si="6"/>
        <v>31250</v>
      </c>
      <c r="E98" s="8">
        <f t="shared" si="7"/>
        <v>1458.3333333333335</v>
      </c>
      <c r="F98" s="8">
        <f t="shared" si="4"/>
        <v>468750</v>
      </c>
    </row>
    <row r="99" spans="2:6" x14ac:dyDescent="0.25">
      <c r="B99" s="10">
        <v>48030</v>
      </c>
      <c r="C99" s="8">
        <f t="shared" si="5"/>
        <v>32617.1875</v>
      </c>
      <c r="D99" s="8">
        <f t="shared" si="6"/>
        <v>31250</v>
      </c>
      <c r="E99" s="8">
        <f t="shared" si="7"/>
        <v>1367.1875</v>
      </c>
      <c r="F99" s="8">
        <f t="shared" si="4"/>
        <v>437500</v>
      </c>
    </row>
    <row r="100" spans="2:6" x14ac:dyDescent="0.25">
      <c r="B100" s="10">
        <v>48061</v>
      </c>
      <c r="C100" s="8">
        <f t="shared" si="5"/>
        <v>32526.041666666668</v>
      </c>
      <c r="D100" s="8">
        <f t="shared" si="6"/>
        <v>31250</v>
      </c>
      <c r="E100" s="8">
        <f t="shared" si="7"/>
        <v>1276.0416666666667</v>
      </c>
      <c r="F100" s="8">
        <f t="shared" si="4"/>
        <v>406250</v>
      </c>
    </row>
    <row r="101" spans="2:6" x14ac:dyDescent="0.25">
      <c r="B101" s="10">
        <v>48092</v>
      </c>
      <c r="C101" s="8">
        <f t="shared" si="5"/>
        <v>32434.895833333332</v>
      </c>
      <c r="D101" s="8">
        <f t="shared" si="6"/>
        <v>31250</v>
      </c>
      <c r="E101" s="8">
        <f t="shared" si="7"/>
        <v>1184.8958333333335</v>
      </c>
      <c r="F101" s="8">
        <f t="shared" si="4"/>
        <v>375000</v>
      </c>
    </row>
    <row r="102" spans="2:6" x14ac:dyDescent="0.25">
      <c r="B102" s="10">
        <v>48122</v>
      </c>
      <c r="C102" s="8">
        <f t="shared" si="5"/>
        <v>32343.75</v>
      </c>
      <c r="D102" s="8">
        <f t="shared" si="6"/>
        <v>31250</v>
      </c>
      <c r="E102" s="8">
        <f t="shared" si="7"/>
        <v>1093.75</v>
      </c>
      <c r="F102" s="8">
        <f t="shared" si="4"/>
        <v>343750</v>
      </c>
    </row>
    <row r="103" spans="2:6" x14ac:dyDescent="0.25">
      <c r="B103" s="10">
        <v>48153</v>
      </c>
      <c r="C103" s="8">
        <f t="shared" si="5"/>
        <v>32252.604166666668</v>
      </c>
      <c r="D103" s="8">
        <f t="shared" si="6"/>
        <v>31250</v>
      </c>
      <c r="E103" s="8">
        <f t="shared" si="7"/>
        <v>1002.6041666666667</v>
      </c>
      <c r="F103" s="8">
        <f t="shared" si="4"/>
        <v>312500</v>
      </c>
    </row>
    <row r="104" spans="2:6" x14ac:dyDescent="0.25">
      <c r="B104" s="10">
        <v>48183</v>
      </c>
      <c r="C104" s="8">
        <f t="shared" si="5"/>
        <v>32161.458333333332</v>
      </c>
      <c r="D104" s="8">
        <f t="shared" si="6"/>
        <v>31250</v>
      </c>
      <c r="E104" s="8">
        <f t="shared" si="7"/>
        <v>911.45833333333337</v>
      </c>
      <c r="F104" s="8">
        <f t="shared" si="4"/>
        <v>281250</v>
      </c>
    </row>
    <row r="105" spans="2:6" x14ac:dyDescent="0.25">
      <c r="B105" s="10">
        <v>48214</v>
      </c>
      <c r="C105" s="8">
        <f t="shared" si="5"/>
        <v>32070.3125</v>
      </c>
      <c r="D105" s="8">
        <f t="shared" si="6"/>
        <v>31250</v>
      </c>
      <c r="E105" s="8">
        <f t="shared" si="7"/>
        <v>820.3125</v>
      </c>
      <c r="F105" s="8">
        <f t="shared" si="4"/>
        <v>250000</v>
      </c>
    </row>
    <row r="106" spans="2:6" x14ac:dyDescent="0.25">
      <c r="B106" s="10">
        <v>48245</v>
      </c>
      <c r="C106" s="8">
        <f t="shared" si="5"/>
        <v>31979.166666666668</v>
      </c>
      <c r="D106" s="8">
        <f t="shared" si="6"/>
        <v>31250</v>
      </c>
      <c r="E106" s="8">
        <f t="shared" si="7"/>
        <v>729.16666666666674</v>
      </c>
      <c r="F106" s="8">
        <f t="shared" si="4"/>
        <v>218750</v>
      </c>
    </row>
    <row r="107" spans="2:6" x14ac:dyDescent="0.25">
      <c r="B107" s="10">
        <v>48274</v>
      </c>
      <c r="C107" s="8">
        <f t="shared" si="5"/>
        <v>31888.020833333332</v>
      </c>
      <c r="D107" s="8">
        <f t="shared" si="6"/>
        <v>31250</v>
      </c>
      <c r="E107" s="8">
        <f t="shared" si="7"/>
        <v>638.02083333333337</v>
      </c>
      <c r="F107" s="8">
        <f t="shared" si="4"/>
        <v>187500</v>
      </c>
    </row>
    <row r="108" spans="2:6" x14ac:dyDescent="0.25">
      <c r="B108" s="10">
        <v>48305</v>
      </c>
      <c r="C108" s="8">
        <f t="shared" si="5"/>
        <v>31796.875</v>
      </c>
      <c r="D108" s="8">
        <f t="shared" si="6"/>
        <v>31250</v>
      </c>
      <c r="E108" s="8">
        <f t="shared" si="7"/>
        <v>546.875</v>
      </c>
      <c r="F108" s="8">
        <f t="shared" si="4"/>
        <v>156250</v>
      </c>
    </row>
    <row r="109" spans="2:6" x14ac:dyDescent="0.25">
      <c r="B109" s="10">
        <v>48335</v>
      </c>
      <c r="C109" s="8">
        <f t="shared" si="5"/>
        <v>31705.729166666668</v>
      </c>
      <c r="D109" s="8">
        <f t="shared" si="6"/>
        <v>31250</v>
      </c>
      <c r="E109" s="8">
        <f t="shared" si="7"/>
        <v>455.72916666666669</v>
      </c>
      <c r="F109" s="8">
        <f t="shared" si="4"/>
        <v>125000</v>
      </c>
    </row>
    <row r="110" spans="2:6" x14ac:dyDescent="0.25">
      <c r="B110" s="10">
        <v>48366</v>
      </c>
      <c r="C110" s="8">
        <f t="shared" si="5"/>
        <v>31614.583333333332</v>
      </c>
      <c r="D110" s="8">
        <f t="shared" si="6"/>
        <v>31250</v>
      </c>
      <c r="E110" s="8">
        <f t="shared" si="7"/>
        <v>364.58333333333337</v>
      </c>
      <c r="F110" s="8">
        <f t="shared" si="4"/>
        <v>93750</v>
      </c>
    </row>
    <row r="111" spans="2:6" x14ac:dyDescent="0.25">
      <c r="B111" s="10">
        <v>48396</v>
      </c>
      <c r="C111" s="8">
        <f t="shared" si="5"/>
        <v>31523.4375</v>
      </c>
      <c r="D111" s="8">
        <f t="shared" si="6"/>
        <v>31250</v>
      </c>
      <c r="E111" s="8">
        <f t="shared" si="7"/>
        <v>273.4375</v>
      </c>
      <c r="F111" s="8">
        <f t="shared" si="4"/>
        <v>62500</v>
      </c>
    </row>
    <row r="112" spans="2:6" x14ac:dyDescent="0.25">
      <c r="B112" s="10">
        <v>48427</v>
      </c>
      <c r="C112" s="8">
        <f t="shared" si="5"/>
        <v>31432.291666666668</v>
      </c>
      <c r="D112" s="8">
        <f t="shared" si="6"/>
        <v>31250</v>
      </c>
      <c r="E112" s="8">
        <f t="shared" si="7"/>
        <v>182.29166666666669</v>
      </c>
      <c r="F112" s="8">
        <f t="shared" si="4"/>
        <v>31250</v>
      </c>
    </row>
    <row r="113" spans="2:6" x14ac:dyDescent="0.25">
      <c r="B113" s="10">
        <v>48458</v>
      </c>
      <c r="C113" s="8">
        <f t="shared" si="5"/>
        <v>31341.145833333332</v>
      </c>
      <c r="D113" s="8">
        <f t="shared" si="6"/>
        <v>31250</v>
      </c>
      <c r="E113" s="8">
        <f t="shared" si="7"/>
        <v>91.145833333333343</v>
      </c>
      <c r="F113" s="8">
        <f t="shared" si="4"/>
        <v>0</v>
      </c>
    </row>
    <row r="114" spans="2:6" x14ac:dyDescent="0.25">
      <c r="B114" s="11"/>
      <c r="C114" s="12">
        <f t="shared" ref="C114:E114" si="8">SUM(C18:C113)</f>
        <v>3424375</v>
      </c>
      <c r="D114" s="12">
        <f t="shared" si="8"/>
        <v>3000000</v>
      </c>
      <c r="E114" s="12">
        <f t="shared" si="8"/>
        <v>424375</v>
      </c>
    </row>
  </sheetData>
  <mergeCells count="4">
    <mergeCell ref="B5:F5"/>
    <mergeCell ref="B7:F7"/>
    <mergeCell ref="B6:H6"/>
    <mergeCell ref="B8:F8"/>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5A0387-280C-4EF9-930A-F9E141AA12B9}">
  <dimension ref="B2:G18"/>
  <sheetViews>
    <sheetView showGridLines="0" workbookViewId="0">
      <selection activeCell="D34" sqref="D34"/>
    </sheetView>
  </sheetViews>
  <sheetFormatPr defaultRowHeight="15" x14ac:dyDescent="0.25"/>
  <cols>
    <col min="2" max="2" width="26.85546875" customWidth="1"/>
    <col min="3" max="3" width="22.140625" customWidth="1"/>
    <col min="4" max="4" width="4.7109375" customWidth="1"/>
    <col min="5" max="5" width="30.140625" customWidth="1"/>
    <col min="6" max="6" width="26.140625" customWidth="1"/>
  </cols>
  <sheetData>
    <row r="2" spans="2:6" x14ac:dyDescent="0.25">
      <c r="B2" s="104" t="s">
        <v>28</v>
      </c>
      <c r="C2" s="104"/>
      <c r="E2" s="104" t="s">
        <v>33</v>
      </c>
      <c r="F2" s="104"/>
    </row>
    <row r="3" spans="2:6" x14ac:dyDescent="0.25">
      <c r="B3" s="34" t="s">
        <v>29</v>
      </c>
      <c r="C3" s="35">
        <v>3000000</v>
      </c>
      <c r="E3" s="34" t="s">
        <v>29</v>
      </c>
      <c r="F3" s="35">
        <v>3000000</v>
      </c>
    </row>
    <row r="4" spans="2:6" x14ac:dyDescent="0.25">
      <c r="B4" s="34" t="s">
        <v>30</v>
      </c>
      <c r="C4" s="35">
        <f>C3*1%</f>
        <v>30000</v>
      </c>
      <c r="E4" s="34" t="s">
        <v>34</v>
      </c>
      <c r="F4" s="35">
        <f>F3*1.5%</f>
        <v>45000</v>
      </c>
    </row>
    <row r="5" spans="2:6" x14ac:dyDescent="0.25">
      <c r="B5" s="34" t="s">
        <v>31</v>
      </c>
      <c r="C5" s="36">
        <v>3000</v>
      </c>
      <c r="E5" s="34" t="s">
        <v>31</v>
      </c>
      <c r="F5" s="36">
        <v>5000</v>
      </c>
    </row>
    <row r="6" spans="2:6" x14ac:dyDescent="0.25">
      <c r="B6" s="34" t="s">
        <v>27</v>
      </c>
      <c r="C6" s="35">
        <f>Frances!E148</f>
        <v>338765.20563136938</v>
      </c>
      <c r="E6" s="34" t="s">
        <v>27</v>
      </c>
      <c r="F6" s="35">
        <f>Italiano!E114</f>
        <v>424375</v>
      </c>
    </row>
    <row r="7" spans="2:6" x14ac:dyDescent="0.25">
      <c r="B7" s="32" t="s">
        <v>32</v>
      </c>
      <c r="C7" s="33">
        <f>SUM(C4:C6)</f>
        <v>371765.20563136938</v>
      </c>
      <c r="E7" s="32" t="s">
        <v>32</v>
      </c>
      <c r="F7" s="33">
        <f>SUM(F4:F6)</f>
        <v>474375</v>
      </c>
    </row>
    <row r="10" spans="2:6" x14ac:dyDescent="0.25">
      <c r="B10" s="104" t="s">
        <v>94</v>
      </c>
      <c r="C10" s="104"/>
      <c r="E10" s="104" t="s">
        <v>93</v>
      </c>
      <c r="F10" s="104"/>
    </row>
    <row r="11" spans="2:6" x14ac:dyDescent="0.25">
      <c r="B11" s="34" t="s">
        <v>29</v>
      </c>
      <c r="C11" s="35">
        <v>3000000</v>
      </c>
      <c r="E11" s="34" t="s">
        <v>29</v>
      </c>
      <c r="F11" s="35">
        <v>3000000</v>
      </c>
    </row>
    <row r="12" spans="2:6" x14ac:dyDescent="0.25">
      <c r="B12" s="34" t="s">
        <v>95</v>
      </c>
      <c r="C12" s="75">
        <v>3000</v>
      </c>
      <c r="E12" s="74" t="s">
        <v>53</v>
      </c>
      <c r="F12" s="75">
        <v>3000</v>
      </c>
    </row>
    <row r="13" spans="2:6" x14ac:dyDescent="0.25">
      <c r="B13" s="34" t="s">
        <v>36</v>
      </c>
      <c r="C13" s="73">
        <v>5</v>
      </c>
      <c r="E13" s="74" t="s">
        <v>35</v>
      </c>
      <c r="F13" s="75">
        <v>300000</v>
      </c>
    </row>
    <row r="14" spans="2:6" x14ac:dyDescent="0.25">
      <c r="B14" s="34" t="s">
        <v>27</v>
      </c>
      <c r="C14" s="33">
        <v>174149.44064413803</v>
      </c>
      <c r="E14" s="74" t="s">
        <v>52</v>
      </c>
      <c r="F14" s="75">
        <v>600000</v>
      </c>
    </row>
    <row r="15" spans="2:6" x14ac:dyDescent="0.25">
      <c r="B15" s="32" t="s">
        <v>32</v>
      </c>
      <c r="C15" s="35">
        <f>SUM(C12:C14)</f>
        <v>177154.44064413803</v>
      </c>
      <c r="E15" s="74" t="s">
        <v>36</v>
      </c>
      <c r="F15" s="76">
        <v>6</v>
      </c>
    </row>
    <row r="16" spans="2:6" x14ac:dyDescent="0.25">
      <c r="E16" s="74" t="s">
        <v>7</v>
      </c>
      <c r="F16" s="77">
        <v>32849.951455522045</v>
      </c>
    </row>
    <row r="17" spans="5:7" x14ac:dyDescent="0.25">
      <c r="E17" s="34" t="s">
        <v>27</v>
      </c>
      <c r="F17" s="33">
        <v>298046.45625305397</v>
      </c>
      <c r="G17" t="s">
        <v>96</v>
      </c>
    </row>
    <row r="18" spans="5:7" x14ac:dyDescent="0.25">
      <c r="E18" s="34" t="s">
        <v>97</v>
      </c>
      <c r="F18" s="35">
        <f>SUM([1]leasing!E39:E97)</f>
        <v>221866.33047284078</v>
      </c>
      <c r="G18" t="s">
        <v>98</v>
      </c>
    </row>
  </sheetData>
  <mergeCells count="4">
    <mergeCell ref="B2:C2"/>
    <mergeCell ref="E2:F2"/>
    <mergeCell ref="B10:C10"/>
    <mergeCell ref="E10:F10"/>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990905-5F67-452D-BE5A-C48A5761BC66}">
  <dimension ref="A2:R121"/>
  <sheetViews>
    <sheetView tabSelected="1" topLeftCell="A81" workbookViewId="0">
      <selection activeCell="E99" sqref="E99"/>
    </sheetView>
  </sheetViews>
  <sheetFormatPr defaultRowHeight="15" x14ac:dyDescent="0.25"/>
  <cols>
    <col min="1" max="1" width="17" customWidth="1"/>
    <col min="2" max="2" width="13.85546875" customWidth="1"/>
    <col min="3" max="3" width="25.7109375" customWidth="1"/>
    <col min="4" max="4" width="21.28515625" customWidth="1"/>
    <col min="5" max="5" width="22" customWidth="1"/>
    <col min="6" max="6" width="19.28515625" customWidth="1"/>
    <col min="7" max="7" width="19.42578125" customWidth="1"/>
    <col min="8" max="8" width="23.140625" customWidth="1"/>
  </cols>
  <sheetData>
    <row r="2" spans="3:18" ht="15.75" thickBot="1" x14ac:dyDescent="0.3"/>
    <row r="3" spans="3:18" ht="16.5" customHeight="1" x14ac:dyDescent="0.25">
      <c r="C3" s="111" t="s">
        <v>45</v>
      </c>
      <c r="D3" s="112"/>
      <c r="E3" s="112"/>
      <c r="F3" s="112"/>
      <c r="G3" s="112"/>
      <c r="H3" s="113"/>
      <c r="I3" s="47"/>
      <c r="J3" s="47"/>
      <c r="K3" s="47"/>
      <c r="L3" s="47"/>
      <c r="M3" s="47"/>
      <c r="N3" s="47"/>
      <c r="O3" s="47"/>
      <c r="P3" s="47"/>
      <c r="Q3" s="47"/>
      <c r="R3" s="47"/>
    </row>
    <row r="4" spans="3:18" ht="15" customHeight="1" x14ac:dyDescent="0.25">
      <c r="C4" s="114"/>
      <c r="D4" s="115"/>
      <c r="E4" s="115"/>
      <c r="F4" s="115"/>
      <c r="G4" s="115"/>
      <c r="H4" s="116"/>
      <c r="I4" s="47"/>
      <c r="J4" s="47"/>
      <c r="K4" s="47"/>
      <c r="L4" s="47"/>
      <c r="M4" s="47"/>
      <c r="N4" s="47"/>
      <c r="O4" s="47"/>
      <c r="P4" s="47"/>
      <c r="Q4" s="47"/>
      <c r="R4" s="47"/>
    </row>
    <row r="5" spans="3:18" ht="15" customHeight="1" x14ac:dyDescent="0.25">
      <c r="C5" s="114"/>
      <c r="D5" s="115"/>
      <c r="E5" s="115"/>
      <c r="F5" s="115"/>
      <c r="G5" s="115"/>
      <c r="H5" s="116"/>
      <c r="I5" s="47"/>
      <c r="J5" s="47"/>
      <c r="K5" s="47"/>
      <c r="L5" s="47"/>
      <c r="M5" s="47"/>
      <c r="N5" s="47"/>
      <c r="O5" s="47"/>
      <c r="P5" s="47"/>
      <c r="Q5" s="47"/>
      <c r="R5" s="47"/>
    </row>
    <row r="6" spans="3:18" ht="15" customHeight="1" x14ac:dyDescent="0.25">
      <c r="C6" s="114"/>
      <c r="D6" s="115"/>
      <c r="E6" s="115"/>
      <c r="F6" s="115"/>
      <c r="G6" s="115"/>
      <c r="H6" s="116"/>
      <c r="I6" s="47"/>
      <c r="J6" s="47"/>
      <c r="K6" s="47"/>
      <c r="L6" s="47"/>
      <c r="M6" s="47"/>
      <c r="N6" s="47"/>
      <c r="O6" s="47"/>
      <c r="P6" s="47"/>
      <c r="Q6" s="47"/>
      <c r="R6" s="47"/>
    </row>
    <row r="7" spans="3:18" ht="15.75" customHeight="1" thickBot="1" x14ac:dyDescent="0.3">
      <c r="C7" s="117"/>
      <c r="D7" s="118"/>
      <c r="E7" s="118"/>
      <c r="F7" s="118"/>
      <c r="G7" s="118"/>
      <c r="H7" s="119"/>
      <c r="I7" s="47"/>
      <c r="J7" s="47"/>
      <c r="K7" s="47"/>
      <c r="L7" s="47"/>
      <c r="M7" s="47"/>
      <c r="N7" s="47"/>
      <c r="O7" s="47"/>
      <c r="P7" s="47"/>
      <c r="Q7" s="47"/>
      <c r="R7" s="47"/>
    </row>
    <row r="11" spans="3:18" x14ac:dyDescent="0.25">
      <c r="C11" s="13" t="s">
        <v>46</v>
      </c>
      <c r="D11" s="49">
        <v>3000000</v>
      </c>
    </row>
    <row r="12" spans="3:18" x14ac:dyDescent="0.25">
      <c r="C12" t="s">
        <v>36</v>
      </c>
      <c r="D12" s="42">
        <v>6</v>
      </c>
    </row>
    <row r="13" spans="3:18" x14ac:dyDescent="0.25">
      <c r="C13" t="s">
        <v>35</v>
      </c>
      <c r="D13" s="43">
        <v>300000</v>
      </c>
    </row>
    <row r="14" spans="3:18" x14ac:dyDescent="0.25">
      <c r="C14" t="s">
        <v>52</v>
      </c>
      <c r="D14" s="43">
        <v>600000</v>
      </c>
      <c r="J14" s="48"/>
    </row>
    <row r="15" spans="3:18" x14ac:dyDescent="0.25">
      <c r="C15" t="s">
        <v>37</v>
      </c>
      <c r="D15" s="44">
        <v>0.03</v>
      </c>
    </row>
    <row r="16" spans="3:18" x14ac:dyDescent="0.25">
      <c r="C16" t="s">
        <v>53</v>
      </c>
      <c r="D16" s="43">
        <v>3000</v>
      </c>
    </row>
    <row r="18" spans="1:12" x14ac:dyDescent="0.25">
      <c r="C18" s="13" t="s">
        <v>38</v>
      </c>
    </row>
    <row r="20" spans="1:12" x14ac:dyDescent="0.25">
      <c r="C20" t="s">
        <v>39</v>
      </c>
      <c r="D20" s="31">
        <f>(1+D15)^(1/12)-1</f>
        <v>2.4662697723036864E-3</v>
      </c>
    </row>
    <row r="21" spans="1:12" x14ac:dyDescent="0.25">
      <c r="C21" t="s">
        <v>40</v>
      </c>
      <c r="D21" s="45">
        <f>D12*12</f>
        <v>72</v>
      </c>
      <c r="E21" t="s">
        <v>41</v>
      </c>
    </row>
    <row r="23" spans="1:12" x14ac:dyDescent="0.25">
      <c r="C23" t="s">
        <v>7</v>
      </c>
      <c r="D23" s="46">
        <f>(D11-D13-(D14*(1+D20)^-D21))/(((1+D20)*(1-(1+D20)^(-73))/D20))</f>
        <v>32849.951455522045</v>
      </c>
    </row>
    <row r="25" spans="1:12" x14ac:dyDescent="0.25">
      <c r="A25" s="40" t="s">
        <v>42</v>
      </c>
      <c r="B25" s="40" t="s">
        <v>43</v>
      </c>
      <c r="C25" s="40" t="s">
        <v>7</v>
      </c>
      <c r="D25" s="40" t="s">
        <v>44</v>
      </c>
      <c r="E25" s="40" t="s">
        <v>12</v>
      </c>
      <c r="F25" s="40" t="s">
        <v>10</v>
      </c>
      <c r="G25" s="40" t="s">
        <v>11</v>
      </c>
      <c r="I25" s="41"/>
      <c r="J25" s="41"/>
      <c r="K25" s="41"/>
      <c r="L25" s="41"/>
    </row>
    <row r="26" spans="1:12" x14ac:dyDescent="0.25">
      <c r="A26" s="50">
        <v>1</v>
      </c>
      <c r="B26" s="51">
        <v>45536</v>
      </c>
      <c r="C26" s="52">
        <f>$D$23</f>
        <v>32849.951455522045</v>
      </c>
      <c r="D26" s="53">
        <f>C26-E26</f>
        <v>32849.951455522045</v>
      </c>
      <c r="E26" s="50">
        <v>0</v>
      </c>
      <c r="F26" s="53">
        <f>(D11-D13-D26)</f>
        <v>2667150.0485444781</v>
      </c>
      <c r="G26" s="52">
        <f>C26</f>
        <v>32849.951455522045</v>
      </c>
    </row>
    <row r="27" spans="1:12" x14ac:dyDescent="0.25">
      <c r="A27" s="50">
        <v>2</v>
      </c>
      <c r="B27" s="51">
        <v>45566</v>
      </c>
      <c r="C27" s="52">
        <f>$D$23</f>
        <v>32849.951455522045</v>
      </c>
      <c r="D27" s="53">
        <f>C27-E27</f>
        <v>26272.039912598488</v>
      </c>
      <c r="E27" s="54">
        <f>F26*$D$20</f>
        <v>6577.9115429235562</v>
      </c>
      <c r="F27" s="53">
        <f>F26-D27</f>
        <v>2640878.0086318795</v>
      </c>
      <c r="G27" s="52">
        <f>G26+D27</f>
        <v>59121.991368120536</v>
      </c>
    </row>
    <row r="28" spans="1:12" x14ac:dyDescent="0.25">
      <c r="A28" s="50">
        <v>3</v>
      </c>
      <c r="B28" s="51">
        <v>45597</v>
      </c>
      <c r="C28" s="52">
        <f>$D$23</f>
        <v>32849.951455522045</v>
      </c>
      <c r="D28" s="53">
        <f>C28-E28</f>
        <v>26336.833850491686</v>
      </c>
      <c r="E28" s="54">
        <f t="shared" ref="E28:E91" si="0">F27*$D$20</f>
        <v>6513.1176050303584</v>
      </c>
      <c r="F28" s="53">
        <f>F27-D28</f>
        <v>2614541.1747813877</v>
      </c>
      <c r="G28" s="52">
        <f t="shared" ref="G28:G91" si="1">G27+D28</f>
        <v>85458.825218612226</v>
      </c>
    </row>
    <row r="29" spans="1:12" x14ac:dyDescent="0.25">
      <c r="A29" s="50">
        <v>4</v>
      </c>
      <c r="B29" s="51">
        <v>45627</v>
      </c>
      <c r="C29" s="52">
        <f t="shared" ref="C29:C94" si="2">$D$23</f>
        <v>32849.951455522045</v>
      </c>
      <c r="D29" s="53">
        <f t="shared" ref="D29:D94" si="3">C29-E29</f>
        <v>26401.787587715338</v>
      </c>
      <c r="E29" s="54">
        <f t="shared" si="0"/>
        <v>6448.1638678067056</v>
      </c>
      <c r="F29" s="53">
        <f t="shared" ref="F29:F92" si="4">F28-D29</f>
        <v>2588139.3871936724</v>
      </c>
      <c r="G29" s="52">
        <f t="shared" si="1"/>
        <v>111860.61280632757</v>
      </c>
    </row>
    <row r="30" spans="1:12" x14ac:dyDescent="0.25">
      <c r="A30" s="50">
        <v>5</v>
      </c>
      <c r="B30" s="51">
        <v>45658</v>
      </c>
      <c r="C30" s="52">
        <f t="shared" si="2"/>
        <v>32849.951455522045</v>
      </c>
      <c r="D30" s="53">
        <f t="shared" si="3"/>
        <v>26466.901518377705</v>
      </c>
      <c r="E30" s="54">
        <f t="shared" si="0"/>
        <v>6383.0499371443411</v>
      </c>
      <c r="F30" s="53">
        <f t="shared" si="4"/>
        <v>2561672.4856752949</v>
      </c>
      <c r="G30" s="52">
        <f t="shared" si="1"/>
        <v>138327.51432470526</v>
      </c>
    </row>
    <row r="31" spans="1:12" x14ac:dyDescent="0.25">
      <c r="A31" s="50">
        <v>6</v>
      </c>
      <c r="B31" s="51">
        <v>45689</v>
      </c>
      <c r="C31" s="52">
        <f t="shared" si="2"/>
        <v>32849.951455522045</v>
      </c>
      <c r="D31" s="53">
        <f t="shared" si="3"/>
        <v>26532.176037559017</v>
      </c>
      <c r="E31" s="54">
        <f t="shared" si="0"/>
        <v>6317.7754179630274</v>
      </c>
      <c r="F31" s="53">
        <f t="shared" si="4"/>
        <v>2535140.3096377361</v>
      </c>
      <c r="G31" s="52">
        <f t="shared" si="1"/>
        <v>164859.69036226429</v>
      </c>
    </row>
    <row r="32" spans="1:12" x14ac:dyDescent="0.25">
      <c r="A32" s="50">
        <v>7</v>
      </c>
      <c r="B32" s="51">
        <v>45717</v>
      </c>
      <c r="C32" s="52">
        <f t="shared" si="2"/>
        <v>32849.951455522045</v>
      </c>
      <c r="D32" s="53">
        <f t="shared" si="3"/>
        <v>26597.61154131389</v>
      </c>
      <c r="E32" s="54">
        <f t="shared" si="0"/>
        <v>6252.3399142081562</v>
      </c>
      <c r="F32" s="53">
        <f t="shared" si="4"/>
        <v>2508542.698096422</v>
      </c>
      <c r="G32" s="52">
        <f t="shared" si="1"/>
        <v>191457.30190357816</v>
      </c>
    </row>
    <row r="33" spans="1:7" x14ac:dyDescent="0.25">
      <c r="A33" s="50">
        <v>8</v>
      </c>
      <c r="B33" s="51">
        <v>45748</v>
      </c>
      <c r="C33" s="52">
        <f t="shared" si="2"/>
        <v>32849.951455522045</v>
      </c>
      <c r="D33" s="53">
        <f t="shared" si="3"/>
        <v>26663.208426673707</v>
      </c>
      <c r="E33" s="54">
        <f t="shared" si="0"/>
        <v>6186.7430288483374</v>
      </c>
      <c r="F33" s="53">
        <f t="shared" si="4"/>
        <v>2481879.4896697481</v>
      </c>
      <c r="G33" s="52">
        <f t="shared" si="1"/>
        <v>218120.51033025188</v>
      </c>
    </row>
    <row r="34" spans="1:7" x14ac:dyDescent="0.25">
      <c r="A34" s="50">
        <v>9</v>
      </c>
      <c r="B34" s="51">
        <v>45778</v>
      </c>
      <c r="C34" s="52">
        <f t="shared" si="2"/>
        <v>32849.951455522045</v>
      </c>
      <c r="D34" s="53">
        <f t="shared" si="3"/>
        <v>26728.967091649047</v>
      </c>
      <c r="E34" s="54">
        <f t="shared" si="0"/>
        <v>6120.984363872999</v>
      </c>
      <c r="F34" s="53">
        <f t="shared" si="4"/>
        <v>2455150.5225780993</v>
      </c>
      <c r="G34" s="52">
        <f t="shared" si="1"/>
        <v>244849.47742190093</v>
      </c>
    </row>
    <row r="35" spans="1:7" x14ac:dyDescent="0.25">
      <c r="A35" s="50">
        <v>10</v>
      </c>
      <c r="B35" s="51">
        <v>45809</v>
      </c>
      <c r="C35" s="52">
        <f t="shared" si="2"/>
        <v>32849.951455522045</v>
      </c>
      <c r="D35" s="53">
        <f t="shared" si="3"/>
        <v>26794.88793523208</v>
      </c>
      <c r="E35" s="54">
        <f t="shared" si="0"/>
        <v>6055.0635202899657</v>
      </c>
      <c r="F35" s="53">
        <f t="shared" si="4"/>
        <v>2428355.6346428674</v>
      </c>
      <c r="G35" s="52">
        <f t="shared" si="1"/>
        <v>271644.36535713298</v>
      </c>
    </row>
    <row r="36" spans="1:7" x14ac:dyDescent="0.25">
      <c r="A36" s="50">
        <v>11</v>
      </c>
      <c r="B36" s="51">
        <v>45839</v>
      </c>
      <c r="C36" s="52">
        <f t="shared" si="2"/>
        <v>32849.951455522045</v>
      </c>
      <c r="D36" s="53">
        <f t="shared" si="3"/>
        <v>26860.971357399008</v>
      </c>
      <c r="E36" s="54">
        <f t="shared" si="0"/>
        <v>5988.9800981230383</v>
      </c>
      <c r="F36" s="53">
        <f t="shared" si="4"/>
        <v>2401494.6632854682</v>
      </c>
      <c r="G36" s="52">
        <f t="shared" si="1"/>
        <v>298505.33671453199</v>
      </c>
    </row>
    <row r="37" spans="1:7" x14ac:dyDescent="0.25">
      <c r="A37" s="50">
        <v>12</v>
      </c>
      <c r="B37" s="51">
        <v>45870</v>
      </c>
      <c r="C37" s="52">
        <f t="shared" si="2"/>
        <v>32849.951455522045</v>
      </c>
      <c r="D37" s="53">
        <f t="shared" si="3"/>
        <v>26927.217759112475</v>
      </c>
      <c r="E37" s="54">
        <f t="shared" si="0"/>
        <v>5922.7336964095693</v>
      </c>
      <c r="F37" s="53">
        <f t="shared" si="4"/>
        <v>2374567.4455263559</v>
      </c>
      <c r="G37" s="52">
        <f t="shared" si="1"/>
        <v>325432.55447364447</v>
      </c>
    </row>
    <row r="38" spans="1:7" x14ac:dyDescent="0.25">
      <c r="A38" s="50">
        <v>13</v>
      </c>
      <c r="B38" s="51">
        <v>45901</v>
      </c>
      <c r="C38" s="52">
        <f t="shared" si="2"/>
        <v>32849.951455522045</v>
      </c>
      <c r="D38" s="53">
        <f t="shared" si="3"/>
        <v>26993.627542324015</v>
      </c>
      <c r="E38" s="54">
        <f t="shared" si="0"/>
        <v>5856.3239131980317</v>
      </c>
      <c r="F38" s="53">
        <f t="shared" si="4"/>
        <v>2347573.817984032</v>
      </c>
      <c r="G38" s="52">
        <f t="shared" si="1"/>
        <v>352426.18201596849</v>
      </c>
    </row>
    <row r="39" spans="1:7" x14ac:dyDescent="0.25">
      <c r="A39" s="50">
        <v>14</v>
      </c>
      <c r="B39" s="51">
        <v>45931</v>
      </c>
      <c r="C39" s="52">
        <f t="shared" si="2"/>
        <v>32849.951455522045</v>
      </c>
      <c r="D39" s="53">
        <f t="shared" si="3"/>
        <v>27060.201109976471</v>
      </c>
      <c r="E39" s="54">
        <f t="shared" si="0"/>
        <v>5789.7503455455744</v>
      </c>
      <c r="F39" s="53">
        <f t="shared" si="4"/>
        <v>2320513.6168740555</v>
      </c>
      <c r="G39" s="52">
        <f t="shared" si="1"/>
        <v>379486.38312594494</v>
      </c>
    </row>
    <row r="40" spans="1:7" x14ac:dyDescent="0.25">
      <c r="A40" s="50">
        <v>15</v>
      </c>
      <c r="B40" s="51">
        <v>45962</v>
      </c>
      <c r="C40" s="52">
        <f t="shared" si="2"/>
        <v>32849.951455522045</v>
      </c>
      <c r="D40" s="53">
        <f t="shared" si="3"/>
        <v>27126.938866006465</v>
      </c>
      <c r="E40" s="54">
        <f t="shared" si="0"/>
        <v>5723.0125895155807</v>
      </c>
      <c r="F40" s="53">
        <f t="shared" si="4"/>
        <v>2293386.6780080488</v>
      </c>
      <c r="G40" s="52">
        <f t="shared" si="1"/>
        <v>406613.32199195138</v>
      </c>
    </row>
    <row r="41" spans="1:7" x14ac:dyDescent="0.25">
      <c r="A41" s="50">
        <v>16</v>
      </c>
      <c r="B41" s="51">
        <v>45992</v>
      </c>
      <c r="C41" s="52">
        <f t="shared" si="2"/>
        <v>32849.951455522045</v>
      </c>
      <c r="D41" s="53">
        <f t="shared" si="3"/>
        <v>27193.841215346827</v>
      </c>
      <c r="E41" s="54">
        <f t="shared" si="0"/>
        <v>5656.1102401752178</v>
      </c>
      <c r="F41" s="53">
        <f t="shared" si="4"/>
        <v>2266192.8367927019</v>
      </c>
      <c r="G41" s="52">
        <f t="shared" si="1"/>
        <v>433807.1632072982</v>
      </c>
    </row>
    <row r="42" spans="1:7" x14ac:dyDescent="0.25">
      <c r="A42" s="50">
        <v>17</v>
      </c>
      <c r="B42" s="51">
        <v>46023</v>
      </c>
      <c r="C42" s="52">
        <f t="shared" si="2"/>
        <v>32849.951455522045</v>
      </c>
      <c r="D42" s="53">
        <f t="shared" si="3"/>
        <v>27260.908563929064</v>
      </c>
      <c r="E42" s="54">
        <f t="shared" si="0"/>
        <v>5589.0428915929815</v>
      </c>
      <c r="F42" s="53">
        <f t="shared" si="4"/>
        <v>2238931.9282287727</v>
      </c>
      <c r="G42" s="52">
        <f t="shared" si="1"/>
        <v>461068.07177122729</v>
      </c>
    </row>
    <row r="43" spans="1:7" x14ac:dyDescent="0.25">
      <c r="A43" s="50">
        <v>18</v>
      </c>
      <c r="B43" s="51">
        <v>46054</v>
      </c>
      <c r="C43" s="52">
        <f t="shared" si="2"/>
        <v>32849.951455522045</v>
      </c>
      <c r="D43" s="53">
        <f t="shared" si="3"/>
        <v>27328.141318685815</v>
      </c>
      <c r="E43" s="54">
        <f t="shared" si="0"/>
        <v>5521.8101368362286</v>
      </c>
      <c r="F43" s="53">
        <f t="shared" si="4"/>
        <v>2211603.7869100869</v>
      </c>
      <c r="G43" s="52">
        <f t="shared" si="1"/>
        <v>488396.21308991313</v>
      </c>
    </row>
    <row r="44" spans="1:7" x14ac:dyDescent="0.25">
      <c r="A44" s="50">
        <v>19</v>
      </c>
      <c r="B44" s="51">
        <v>46082</v>
      </c>
      <c r="C44" s="52">
        <f t="shared" si="2"/>
        <v>32849.951455522045</v>
      </c>
      <c r="D44" s="53">
        <f t="shared" si="3"/>
        <v>27395.539887553336</v>
      </c>
      <c r="E44" s="54">
        <f t="shared" si="0"/>
        <v>5454.4115679687102</v>
      </c>
      <c r="F44" s="53">
        <f t="shared" si="4"/>
        <v>2184208.2470225333</v>
      </c>
      <c r="G44" s="52">
        <f t="shared" si="1"/>
        <v>515791.75297746644</v>
      </c>
    </row>
    <row r="45" spans="1:7" x14ac:dyDescent="0.25">
      <c r="A45" s="50">
        <v>20</v>
      </c>
      <c r="B45" s="51">
        <v>46113</v>
      </c>
      <c r="C45" s="52">
        <f t="shared" si="2"/>
        <v>32849.951455522045</v>
      </c>
      <c r="D45" s="53">
        <f t="shared" si="3"/>
        <v>27463.104679473949</v>
      </c>
      <c r="E45" s="54">
        <f t="shared" si="0"/>
        <v>5386.8467760480971</v>
      </c>
      <c r="F45" s="53">
        <f t="shared" si="4"/>
        <v>2156745.1423430592</v>
      </c>
      <c r="G45" s="52">
        <f t="shared" si="1"/>
        <v>543254.85765694035</v>
      </c>
    </row>
    <row r="46" spans="1:7" x14ac:dyDescent="0.25">
      <c r="A46" s="50">
        <v>21</v>
      </c>
      <c r="B46" s="51">
        <v>46143</v>
      </c>
      <c r="C46" s="52">
        <f t="shared" si="2"/>
        <v>32849.951455522045</v>
      </c>
      <c r="D46" s="53">
        <f t="shared" si="3"/>
        <v>27530.836104398546</v>
      </c>
      <c r="E46" s="54">
        <f t="shared" si="0"/>
        <v>5319.1153511234979</v>
      </c>
      <c r="F46" s="53">
        <f t="shared" si="4"/>
        <v>2129214.3062386606</v>
      </c>
      <c r="G46" s="52">
        <f t="shared" si="1"/>
        <v>570785.69376133895</v>
      </c>
    </row>
    <row r="47" spans="1:7" x14ac:dyDescent="0.25">
      <c r="A47" s="50">
        <v>22</v>
      </c>
      <c r="B47" s="51">
        <v>46174</v>
      </c>
      <c r="C47" s="52">
        <f t="shared" si="2"/>
        <v>32849.951455522045</v>
      </c>
      <c r="D47" s="53">
        <f t="shared" si="3"/>
        <v>27598.734573289072</v>
      </c>
      <c r="E47" s="54">
        <f t="shared" si="0"/>
        <v>5251.2168822329731</v>
      </c>
      <c r="F47" s="53">
        <f t="shared" si="4"/>
        <v>2101615.5716653713</v>
      </c>
      <c r="G47" s="52">
        <f t="shared" si="1"/>
        <v>598384.428334628</v>
      </c>
    </row>
    <row r="48" spans="1:7" x14ac:dyDescent="0.25">
      <c r="A48" s="50">
        <v>23</v>
      </c>
      <c r="B48" s="51">
        <v>46204</v>
      </c>
      <c r="C48" s="52">
        <f t="shared" si="2"/>
        <v>32849.951455522045</v>
      </c>
      <c r="D48" s="53">
        <f t="shared" si="3"/>
        <v>27666.800498121007</v>
      </c>
      <c r="E48" s="54">
        <f t="shared" si="0"/>
        <v>5183.150957401037</v>
      </c>
      <c r="F48" s="53">
        <f t="shared" si="4"/>
        <v>2073948.7711672504</v>
      </c>
      <c r="G48" s="52">
        <f t="shared" si="1"/>
        <v>626051.22883274895</v>
      </c>
    </row>
    <row r="49" spans="1:7" x14ac:dyDescent="0.25">
      <c r="A49" s="50">
        <v>24</v>
      </c>
      <c r="B49" s="51">
        <v>46235</v>
      </c>
      <c r="C49" s="52">
        <f t="shared" si="2"/>
        <v>32849.951455522045</v>
      </c>
      <c r="D49" s="53">
        <f t="shared" si="3"/>
        <v>27735.034291885881</v>
      </c>
      <c r="E49" s="54">
        <f t="shared" si="0"/>
        <v>5114.9171636361643</v>
      </c>
      <c r="F49" s="53">
        <f t="shared" si="4"/>
        <v>2046213.7368753646</v>
      </c>
      <c r="G49" s="52">
        <f t="shared" si="1"/>
        <v>653786.26312463486</v>
      </c>
    </row>
    <row r="50" spans="1:7" x14ac:dyDescent="0.25">
      <c r="A50" s="50">
        <v>25</v>
      </c>
      <c r="B50" s="51">
        <v>46266</v>
      </c>
      <c r="C50" s="52">
        <f t="shared" si="2"/>
        <v>32849.951455522045</v>
      </c>
      <c r="D50" s="53">
        <f t="shared" si="3"/>
        <v>27803.436368593764</v>
      </c>
      <c r="E50" s="54">
        <f t="shared" si="0"/>
        <v>5046.5150869282807</v>
      </c>
      <c r="F50" s="53">
        <f t="shared" si="4"/>
        <v>2018410.3005067708</v>
      </c>
      <c r="G50" s="52">
        <f t="shared" si="1"/>
        <v>681589.69949322857</v>
      </c>
    </row>
    <row r="51" spans="1:7" x14ac:dyDescent="0.25">
      <c r="A51" s="50">
        <v>26</v>
      </c>
      <c r="B51" s="51">
        <v>46296</v>
      </c>
      <c r="C51" s="52">
        <f t="shared" si="2"/>
        <v>32849.951455522045</v>
      </c>
      <c r="D51" s="53">
        <f t="shared" si="3"/>
        <v>27872.007143275798</v>
      </c>
      <c r="E51" s="54">
        <f t="shared" si="0"/>
        <v>4977.944312246249</v>
      </c>
      <c r="F51" s="53">
        <f t="shared" si="4"/>
        <v>1990538.293363495</v>
      </c>
      <c r="G51" s="52">
        <f t="shared" si="1"/>
        <v>709461.70663650439</v>
      </c>
    </row>
    <row r="52" spans="1:7" x14ac:dyDescent="0.25">
      <c r="A52" s="50">
        <v>27</v>
      </c>
      <c r="B52" s="51">
        <v>46327</v>
      </c>
      <c r="C52" s="52">
        <f t="shared" si="2"/>
        <v>32849.951455522045</v>
      </c>
      <c r="D52" s="53">
        <f t="shared" si="3"/>
        <v>27940.747031986692</v>
      </c>
      <c r="E52" s="54">
        <f t="shared" si="0"/>
        <v>4909.2044235353551</v>
      </c>
      <c r="F52" s="53">
        <f t="shared" si="4"/>
        <v>1962597.5463315083</v>
      </c>
      <c r="G52" s="52">
        <f t="shared" si="1"/>
        <v>737402.4536684911</v>
      </c>
    </row>
    <row r="53" spans="1:7" x14ac:dyDescent="0.25">
      <c r="A53" s="50">
        <v>28</v>
      </c>
      <c r="B53" s="51">
        <v>46357</v>
      </c>
      <c r="C53" s="52">
        <f t="shared" si="2"/>
        <v>32849.951455522045</v>
      </c>
      <c r="D53" s="53">
        <f t="shared" si="3"/>
        <v>28009.656451807263</v>
      </c>
      <c r="E53" s="54">
        <f t="shared" si="0"/>
        <v>4840.295003714783</v>
      </c>
      <c r="F53" s="53">
        <f t="shared" si="4"/>
        <v>1934587.889879701</v>
      </c>
      <c r="G53" s="52">
        <f t="shared" si="1"/>
        <v>765412.11012029834</v>
      </c>
    </row>
    <row r="54" spans="1:7" x14ac:dyDescent="0.25">
      <c r="A54" s="50">
        <v>29</v>
      </c>
      <c r="B54" s="51">
        <v>46388</v>
      </c>
      <c r="C54" s="52">
        <f t="shared" si="2"/>
        <v>32849.951455522045</v>
      </c>
      <c r="D54" s="53">
        <f t="shared" si="3"/>
        <v>28078.735820846967</v>
      </c>
      <c r="E54" s="54">
        <f t="shared" si="0"/>
        <v>4771.2156346750789</v>
      </c>
      <c r="F54" s="53">
        <f t="shared" si="4"/>
        <v>1906509.1540588541</v>
      </c>
      <c r="G54" s="52">
        <f t="shared" si="1"/>
        <v>793490.84594114532</v>
      </c>
    </row>
    <row r="55" spans="1:7" x14ac:dyDescent="0.25">
      <c r="A55" s="50">
        <v>30</v>
      </c>
      <c r="B55" s="51">
        <v>46419</v>
      </c>
      <c r="C55" s="52">
        <f t="shared" si="2"/>
        <v>32849.951455522045</v>
      </c>
      <c r="D55" s="53">
        <f t="shared" si="3"/>
        <v>28147.985558246422</v>
      </c>
      <c r="E55" s="54">
        <f t="shared" si="0"/>
        <v>4701.9658972756242</v>
      </c>
      <c r="F55" s="53">
        <f t="shared" si="4"/>
        <v>1878361.1685006076</v>
      </c>
      <c r="G55" s="52">
        <f t="shared" si="1"/>
        <v>821638.8314993917</v>
      </c>
    </row>
    <row r="56" spans="1:7" x14ac:dyDescent="0.25">
      <c r="A56" s="50">
        <v>31</v>
      </c>
      <c r="B56" s="51">
        <v>46447</v>
      </c>
      <c r="C56" s="52">
        <f t="shared" si="2"/>
        <v>32849.951455522045</v>
      </c>
      <c r="D56" s="53">
        <f t="shared" si="3"/>
        <v>28217.406084179966</v>
      </c>
      <c r="E56" s="54">
        <f t="shared" si="0"/>
        <v>4632.5453713420802</v>
      </c>
      <c r="F56" s="53">
        <f t="shared" si="4"/>
        <v>1850143.7624164277</v>
      </c>
      <c r="G56" s="52">
        <f t="shared" si="1"/>
        <v>849856.2375835717</v>
      </c>
    </row>
    <row r="57" spans="1:7" x14ac:dyDescent="0.25">
      <c r="A57" s="50">
        <v>32</v>
      </c>
      <c r="B57" s="51">
        <v>46478</v>
      </c>
      <c r="C57" s="52">
        <f t="shared" si="2"/>
        <v>32849.951455522045</v>
      </c>
      <c r="D57" s="53">
        <f t="shared" si="3"/>
        <v>28286.997819858196</v>
      </c>
      <c r="E57" s="54">
        <f t="shared" si="0"/>
        <v>4562.9536356638491</v>
      </c>
      <c r="F57" s="53">
        <f t="shared" si="4"/>
        <v>1821856.7645965696</v>
      </c>
      <c r="G57" s="52">
        <f t="shared" si="1"/>
        <v>878143.23540342995</v>
      </c>
    </row>
    <row r="58" spans="1:7" x14ac:dyDescent="0.25">
      <c r="A58" s="50">
        <v>33</v>
      </c>
      <c r="B58" s="51">
        <v>46508</v>
      </c>
      <c r="C58" s="52">
        <f t="shared" si="2"/>
        <v>32849.951455522045</v>
      </c>
      <c r="D58" s="53">
        <f t="shared" si="3"/>
        <v>28356.76118753053</v>
      </c>
      <c r="E58" s="54">
        <f t="shared" si="0"/>
        <v>4493.1902679915129</v>
      </c>
      <c r="F58" s="53">
        <f t="shared" si="4"/>
        <v>1793500.003409039</v>
      </c>
      <c r="G58" s="52">
        <f t="shared" si="1"/>
        <v>906499.99659096054</v>
      </c>
    </row>
    <row r="59" spans="1:7" x14ac:dyDescent="0.25">
      <c r="A59" s="50">
        <v>34</v>
      </c>
      <c r="B59" s="51">
        <v>46539</v>
      </c>
      <c r="C59" s="52">
        <f t="shared" si="2"/>
        <v>32849.951455522045</v>
      </c>
      <c r="D59" s="53">
        <f t="shared" si="3"/>
        <v>28426.696610487772</v>
      </c>
      <c r="E59" s="54">
        <f t="shared" si="0"/>
        <v>4423.2548450342711</v>
      </c>
      <c r="F59" s="53">
        <f t="shared" si="4"/>
        <v>1765073.3067985512</v>
      </c>
      <c r="G59" s="52">
        <f t="shared" si="1"/>
        <v>934926.6932014483</v>
      </c>
    </row>
    <row r="60" spans="1:7" x14ac:dyDescent="0.25">
      <c r="A60" s="50">
        <v>35</v>
      </c>
      <c r="B60" s="51">
        <v>46569</v>
      </c>
      <c r="C60" s="52">
        <f t="shared" si="2"/>
        <v>32849.951455522045</v>
      </c>
      <c r="D60" s="53">
        <f t="shared" si="3"/>
        <v>28496.804513064668</v>
      </c>
      <c r="E60" s="54">
        <f t="shared" si="0"/>
        <v>4353.1469424573779</v>
      </c>
      <c r="F60" s="53">
        <f t="shared" si="4"/>
        <v>1736576.5022854866</v>
      </c>
      <c r="G60" s="52">
        <f t="shared" si="1"/>
        <v>963423.49771451298</v>
      </c>
    </row>
    <row r="61" spans="1:7" x14ac:dyDescent="0.25">
      <c r="A61" s="50">
        <v>36</v>
      </c>
      <c r="B61" s="51">
        <v>46600</v>
      </c>
      <c r="C61" s="52">
        <f t="shared" si="2"/>
        <v>32849.951455522045</v>
      </c>
      <c r="D61" s="53">
        <f t="shared" si="3"/>
        <v>28567.085320642487</v>
      </c>
      <c r="E61" s="54">
        <f t="shared" si="0"/>
        <v>4282.8661348795595</v>
      </c>
      <c r="F61" s="53">
        <f t="shared" si="4"/>
        <v>1708009.4169648441</v>
      </c>
      <c r="G61" s="52">
        <f t="shared" si="1"/>
        <v>991990.58303515543</v>
      </c>
    </row>
    <row r="62" spans="1:7" x14ac:dyDescent="0.25">
      <c r="A62" s="50">
        <v>37</v>
      </c>
      <c r="B62" s="51">
        <v>46631</v>
      </c>
      <c r="C62" s="52">
        <f t="shared" si="2"/>
        <v>32849.951455522045</v>
      </c>
      <c r="D62" s="53">
        <f t="shared" si="3"/>
        <v>28637.539459651605</v>
      </c>
      <c r="E62" s="54">
        <f t="shared" si="0"/>
        <v>4212.4119958704377</v>
      </c>
      <c r="F62" s="53">
        <f t="shared" si="4"/>
        <v>1679371.8775051925</v>
      </c>
      <c r="G62" s="52">
        <f t="shared" si="1"/>
        <v>1020628.122494807</v>
      </c>
    </row>
    <row r="63" spans="1:7" x14ac:dyDescent="0.25">
      <c r="A63" s="50">
        <v>38</v>
      </c>
      <c r="B63" s="51">
        <v>46661</v>
      </c>
      <c r="C63" s="52">
        <f t="shared" si="2"/>
        <v>32849.951455522045</v>
      </c>
      <c r="D63" s="53">
        <f t="shared" si="3"/>
        <v>28708.167357574101</v>
      </c>
      <c r="E63" s="54">
        <f t="shared" si="0"/>
        <v>4141.7840979479452</v>
      </c>
      <c r="F63" s="53">
        <f t="shared" si="4"/>
        <v>1650663.7101476183</v>
      </c>
      <c r="G63" s="52">
        <f t="shared" si="1"/>
        <v>1049336.2898523812</v>
      </c>
    </row>
    <row r="64" spans="1:7" x14ac:dyDescent="0.25">
      <c r="A64" s="50">
        <v>39</v>
      </c>
      <c r="B64" s="51">
        <v>46692</v>
      </c>
      <c r="C64" s="52">
        <f t="shared" si="2"/>
        <v>32849.951455522045</v>
      </c>
      <c r="D64" s="53">
        <f t="shared" si="3"/>
        <v>28778.96944294632</v>
      </c>
      <c r="E64" s="54">
        <f t="shared" si="0"/>
        <v>4070.9820125757246</v>
      </c>
      <c r="F64" s="53">
        <f t="shared" si="4"/>
        <v>1621884.7407046719</v>
      </c>
      <c r="G64" s="52">
        <f t="shared" si="1"/>
        <v>1078115.2592953276</v>
      </c>
    </row>
    <row r="65" spans="1:7" x14ac:dyDescent="0.25">
      <c r="A65" s="50">
        <v>40</v>
      </c>
      <c r="B65" s="51">
        <v>46722</v>
      </c>
      <c r="C65" s="52">
        <f t="shared" si="2"/>
        <v>32849.951455522045</v>
      </c>
      <c r="D65" s="53">
        <f t="shared" si="3"/>
        <v>28849.946145361511</v>
      </c>
      <c r="E65" s="54">
        <f t="shared" si="0"/>
        <v>4000.0053101605349</v>
      </c>
      <c r="F65" s="53">
        <f t="shared" si="4"/>
        <v>1593034.7945593104</v>
      </c>
      <c r="G65" s="52">
        <f t="shared" si="1"/>
        <v>1106965.2054406891</v>
      </c>
    </row>
    <row r="66" spans="1:7" x14ac:dyDescent="0.25">
      <c r="A66" s="50">
        <v>41</v>
      </c>
      <c r="B66" s="51">
        <v>46753</v>
      </c>
      <c r="C66" s="52">
        <f t="shared" si="2"/>
        <v>32849.951455522045</v>
      </c>
      <c r="D66" s="53">
        <f t="shared" si="3"/>
        <v>28921.097895472405</v>
      </c>
      <c r="E66" s="54">
        <f t="shared" si="0"/>
        <v>3928.8535600496402</v>
      </c>
      <c r="F66" s="53">
        <f t="shared" si="4"/>
        <v>1564113.6966638381</v>
      </c>
      <c r="G66" s="52">
        <f t="shared" si="1"/>
        <v>1135886.3033361614</v>
      </c>
    </row>
    <row r="67" spans="1:7" x14ac:dyDescent="0.25">
      <c r="A67" s="50">
        <v>42</v>
      </c>
      <c r="B67" s="51">
        <v>46784</v>
      </c>
      <c r="C67" s="52">
        <f t="shared" si="2"/>
        <v>32849.951455522045</v>
      </c>
      <c r="D67" s="53">
        <f t="shared" si="3"/>
        <v>28992.425124993842</v>
      </c>
      <c r="E67" s="54">
        <f t="shared" si="0"/>
        <v>3857.526330528201</v>
      </c>
      <c r="F67" s="53">
        <f t="shared" si="4"/>
        <v>1535121.2715388443</v>
      </c>
      <c r="G67" s="52">
        <f t="shared" si="1"/>
        <v>1164878.7284611552</v>
      </c>
    </row>
    <row r="68" spans="1:7" x14ac:dyDescent="0.25">
      <c r="A68" s="50">
        <v>43</v>
      </c>
      <c r="B68" s="51">
        <v>46813</v>
      </c>
      <c r="C68" s="52">
        <f t="shared" si="2"/>
        <v>32849.951455522045</v>
      </c>
      <c r="D68" s="53">
        <f t="shared" si="3"/>
        <v>29063.928266705392</v>
      </c>
      <c r="E68" s="54">
        <f t="shared" si="0"/>
        <v>3786.0231888166513</v>
      </c>
      <c r="F68" s="53">
        <f t="shared" si="4"/>
        <v>1506057.3432721389</v>
      </c>
      <c r="G68" s="52">
        <f t="shared" si="1"/>
        <v>1193942.6567278607</v>
      </c>
    </row>
    <row r="69" spans="1:7" x14ac:dyDescent="0.25">
      <c r="A69" s="50">
        <v>44</v>
      </c>
      <c r="B69" s="51">
        <v>46844</v>
      </c>
      <c r="C69" s="52">
        <f t="shared" si="2"/>
        <v>32849.951455522045</v>
      </c>
      <c r="D69" s="53">
        <f t="shared" si="3"/>
        <v>29135.607754453973</v>
      </c>
      <c r="E69" s="54">
        <f t="shared" si="0"/>
        <v>3714.3437010680727</v>
      </c>
      <c r="F69" s="53">
        <f t="shared" si="4"/>
        <v>1476921.7355176848</v>
      </c>
      <c r="G69" s="52">
        <f t="shared" si="1"/>
        <v>1223078.2644823147</v>
      </c>
    </row>
    <row r="70" spans="1:7" x14ac:dyDescent="0.25">
      <c r="A70" s="50">
        <v>45</v>
      </c>
      <c r="B70" s="51">
        <v>46874</v>
      </c>
      <c r="C70" s="52">
        <f t="shared" si="2"/>
        <v>32849.951455522045</v>
      </c>
      <c r="D70" s="53">
        <f t="shared" si="3"/>
        <v>29207.464023156477</v>
      </c>
      <c r="E70" s="54">
        <f t="shared" si="0"/>
        <v>3642.4874323655658</v>
      </c>
      <c r="F70" s="53">
        <f t="shared" si="4"/>
        <v>1447714.2714945283</v>
      </c>
      <c r="G70" s="52">
        <f t="shared" si="1"/>
        <v>1252285.7285054713</v>
      </c>
    </row>
    <row r="71" spans="1:7" x14ac:dyDescent="0.25">
      <c r="A71" s="50">
        <v>46</v>
      </c>
      <c r="B71" s="51">
        <v>46905</v>
      </c>
      <c r="C71" s="52">
        <f t="shared" si="2"/>
        <v>32849.951455522045</v>
      </c>
      <c r="D71" s="53">
        <f t="shared" si="3"/>
        <v>29279.497508802437</v>
      </c>
      <c r="E71" s="54">
        <f t="shared" si="0"/>
        <v>3570.4539467196073</v>
      </c>
      <c r="F71" s="53">
        <f t="shared" si="4"/>
        <v>1418434.7739857258</v>
      </c>
      <c r="G71" s="52">
        <f t="shared" si="1"/>
        <v>1281565.2260142737</v>
      </c>
    </row>
    <row r="72" spans="1:7" x14ac:dyDescent="0.25">
      <c r="A72" s="50">
        <v>47</v>
      </c>
      <c r="B72" s="51">
        <v>46935</v>
      </c>
      <c r="C72" s="52">
        <f t="shared" si="2"/>
        <v>32849.951455522045</v>
      </c>
      <c r="D72" s="53">
        <f t="shared" si="3"/>
        <v>29351.708648456639</v>
      </c>
      <c r="E72" s="54">
        <f t="shared" si="0"/>
        <v>3498.2428070654069</v>
      </c>
      <c r="F72" s="53">
        <f t="shared" si="4"/>
        <v>1389083.0653372691</v>
      </c>
      <c r="G72" s="52">
        <f t="shared" si="1"/>
        <v>1310916.9346627304</v>
      </c>
    </row>
    <row r="73" spans="1:7" x14ac:dyDescent="0.25">
      <c r="A73" s="50">
        <v>48</v>
      </c>
      <c r="B73" s="51">
        <v>46966</v>
      </c>
      <c r="C73" s="52">
        <f t="shared" si="2"/>
        <v>32849.951455522045</v>
      </c>
      <c r="D73" s="53">
        <f t="shared" si="3"/>
        <v>29424.09788026179</v>
      </c>
      <c r="E73" s="54">
        <f t="shared" si="0"/>
        <v>3425.8535752602534</v>
      </c>
      <c r="F73" s="53">
        <f t="shared" si="4"/>
        <v>1359658.9674570074</v>
      </c>
      <c r="G73" s="52">
        <f t="shared" si="1"/>
        <v>1340341.0325429922</v>
      </c>
    </row>
    <row r="74" spans="1:7" x14ac:dyDescent="0.25">
      <c r="A74" s="50">
        <v>49</v>
      </c>
      <c r="B74" s="51">
        <v>46997</v>
      </c>
      <c r="C74" s="52">
        <f t="shared" si="2"/>
        <v>32849.951455522045</v>
      </c>
      <c r="D74" s="53">
        <f t="shared" si="3"/>
        <v>29496.665643441185</v>
      </c>
      <c r="E74" s="54">
        <f t="shared" si="0"/>
        <v>3353.2858120808587</v>
      </c>
      <c r="F74" s="53">
        <f t="shared" si="4"/>
        <v>1330162.3018135661</v>
      </c>
      <c r="G74" s="52">
        <f t="shared" si="1"/>
        <v>1369837.6981864334</v>
      </c>
    </row>
    <row r="75" spans="1:7" x14ac:dyDescent="0.25">
      <c r="A75" s="50">
        <v>50</v>
      </c>
      <c r="B75" s="51">
        <v>47027</v>
      </c>
      <c r="C75" s="52">
        <f t="shared" si="2"/>
        <v>32849.951455522045</v>
      </c>
      <c r="D75" s="53">
        <f t="shared" si="3"/>
        <v>29569.412378301353</v>
      </c>
      <c r="E75" s="54">
        <f t="shared" si="0"/>
        <v>3280.5390772206911</v>
      </c>
      <c r="F75" s="53">
        <f t="shared" si="4"/>
        <v>1300592.8894352647</v>
      </c>
      <c r="G75" s="52">
        <f t="shared" si="1"/>
        <v>1399407.1105647348</v>
      </c>
    </row>
    <row r="76" spans="1:7" x14ac:dyDescent="0.25">
      <c r="A76" s="50">
        <v>51</v>
      </c>
      <c r="B76" s="51">
        <v>47058</v>
      </c>
      <c r="C76" s="52">
        <f t="shared" si="2"/>
        <v>32849.951455522045</v>
      </c>
      <c r="D76" s="53">
        <f t="shared" si="3"/>
        <v>29642.33852623474</v>
      </c>
      <c r="E76" s="54">
        <f t="shared" si="0"/>
        <v>3207.6129292873038</v>
      </c>
      <c r="F76" s="53">
        <f t="shared" si="4"/>
        <v>1270950.55090903</v>
      </c>
      <c r="G76" s="52">
        <f t="shared" si="1"/>
        <v>1429049.4490909695</v>
      </c>
    </row>
    <row r="77" spans="1:7" x14ac:dyDescent="0.25">
      <c r="A77" s="50">
        <v>52</v>
      </c>
      <c r="B77" s="51">
        <v>47088</v>
      </c>
      <c r="C77" s="52">
        <f t="shared" si="2"/>
        <v>32849.951455522045</v>
      </c>
      <c r="D77" s="53">
        <f t="shared" si="3"/>
        <v>29715.444529722387</v>
      </c>
      <c r="E77" s="54">
        <f t="shared" si="0"/>
        <v>3134.5069257996583</v>
      </c>
      <c r="F77" s="53">
        <f t="shared" si="4"/>
        <v>1241235.1063793076</v>
      </c>
      <c r="G77" s="52">
        <f t="shared" si="1"/>
        <v>1458764.893620692</v>
      </c>
    </row>
    <row r="78" spans="1:7" x14ac:dyDescent="0.25">
      <c r="A78" s="50">
        <v>53</v>
      </c>
      <c r="B78" s="51">
        <v>47119</v>
      </c>
      <c r="C78" s="52">
        <f t="shared" si="2"/>
        <v>32849.951455522045</v>
      </c>
      <c r="D78" s="53">
        <f t="shared" si="3"/>
        <v>29788.730832336609</v>
      </c>
      <c r="E78" s="54">
        <f t="shared" si="0"/>
        <v>3061.220623185437</v>
      </c>
      <c r="F78" s="53">
        <f t="shared" si="4"/>
        <v>1211446.3755469709</v>
      </c>
      <c r="G78" s="52">
        <f t="shared" si="1"/>
        <v>1488553.6244530287</v>
      </c>
    </row>
    <row r="79" spans="1:7" x14ac:dyDescent="0.25">
      <c r="A79" s="50">
        <v>54</v>
      </c>
      <c r="B79" s="51">
        <v>47150</v>
      </c>
      <c r="C79" s="52">
        <f t="shared" si="2"/>
        <v>32849.951455522045</v>
      </c>
      <c r="D79" s="53">
        <f t="shared" si="3"/>
        <v>29862.197878743689</v>
      </c>
      <c r="E79" s="54">
        <f t="shared" si="0"/>
        <v>2987.7535767783538</v>
      </c>
      <c r="F79" s="53">
        <f t="shared" si="4"/>
        <v>1181584.1776682271</v>
      </c>
      <c r="G79" s="52">
        <f t="shared" si="1"/>
        <v>1518415.8223317724</v>
      </c>
    </row>
    <row r="80" spans="1:7" x14ac:dyDescent="0.25">
      <c r="A80" s="50">
        <v>55</v>
      </c>
      <c r="B80" s="51">
        <v>47178</v>
      </c>
      <c r="C80" s="52">
        <f t="shared" si="2"/>
        <v>32849.951455522045</v>
      </c>
      <c r="D80" s="53">
        <f t="shared" si="3"/>
        <v>29935.846114706586</v>
      </c>
      <c r="E80" s="54">
        <f t="shared" si="0"/>
        <v>2914.1053408154571</v>
      </c>
      <c r="F80" s="53">
        <f t="shared" si="4"/>
        <v>1151648.3315535206</v>
      </c>
      <c r="G80" s="52">
        <f t="shared" si="1"/>
        <v>1548351.6684464789</v>
      </c>
    </row>
    <row r="81" spans="1:7" x14ac:dyDescent="0.25">
      <c r="A81" s="50">
        <v>56</v>
      </c>
      <c r="B81" s="51">
        <v>47209</v>
      </c>
      <c r="C81" s="52">
        <f t="shared" si="2"/>
        <v>32849.951455522045</v>
      </c>
      <c r="D81" s="53">
        <f t="shared" si="3"/>
        <v>30009.675987087623</v>
      </c>
      <c r="E81" s="54">
        <f t="shared" si="0"/>
        <v>2840.2754684344218</v>
      </c>
      <c r="F81" s="53">
        <f t="shared" si="4"/>
        <v>1121638.655566433</v>
      </c>
      <c r="G81" s="52">
        <f t="shared" si="1"/>
        <v>1578361.3444335666</v>
      </c>
    </row>
    <row r="82" spans="1:7" x14ac:dyDescent="0.25">
      <c r="A82" s="50">
        <v>57</v>
      </c>
      <c r="B82" s="51">
        <v>47239</v>
      </c>
      <c r="C82" s="52">
        <f t="shared" si="2"/>
        <v>32849.951455522045</v>
      </c>
      <c r="D82" s="53">
        <f t="shared" si="3"/>
        <v>30083.687943851204</v>
      </c>
      <c r="E82" s="54">
        <f t="shared" si="0"/>
        <v>2766.2635116708398</v>
      </c>
      <c r="F82" s="53">
        <f t="shared" si="4"/>
        <v>1091554.9676225819</v>
      </c>
      <c r="G82" s="52">
        <f t="shared" si="1"/>
        <v>1608445.0323774177</v>
      </c>
    </row>
    <row r="83" spans="1:7" x14ac:dyDescent="0.25">
      <c r="A83" s="50">
        <v>58</v>
      </c>
      <c r="B83" s="51">
        <v>47270</v>
      </c>
      <c r="C83" s="52">
        <f t="shared" si="2"/>
        <v>32849.951455522045</v>
      </c>
      <c r="D83" s="53">
        <f t="shared" si="3"/>
        <v>30157.882434066541</v>
      </c>
      <c r="E83" s="54">
        <f t="shared" si="0"/>
        <v>2692.0690214555029</v>
      </c>
      <c r="F83" s="53">
        <f t="shared" si="4"/>
        <v>1061397.0851885153</v>
      </c>
      <c r="G83" s="52">
        <f t="shared" si="1"/>
        <v>1638602.9148114843</v>
      </c>
    </row>
    <row r="84" spans="1:7" x14ac:dyDescent="0.25">
      <c r="A84" s="50">
        <v>59</v>
      </c>
      <c r="B84" s="51">
        <v>47300</v>
      </c>
      <c r="C84" s="52">
        <f t="shared" si="2"/>
        <v>32849.951455522045</v>
      </c>
      <c r="D84" s="53">
        <f t="shared" si="3"/>
        <v>30232.259907910367</v>
      </c>
      <c r="E84" s="54">
        <f t="shared" si="0"/>
        <v>2617.691547611676</v>
      </c>
      <c r="F84" s="53">
        <f t="shared" si="4"/>
        <v>1031164.8252806049</v>
      </c>
      <c r="G84" s="52">
        <f t="shared" si="1"/>
        <v>1668835.1747193947</v>
      </c>
    </row>
    <row r="85" spans="1:7" x14ac:dyDescent="0.25">
      <c r="A85" s="50">
        <v>60</v>
      </c>
      <c r="B85" s="51">
        <v>47331</v>
      </c>
      <c r="C85" s="52">
        <f t="shared" si="2"/>
        <v>32849.951455522045</v>
      </c>
      <c r="D85" s="53">
        <f t="shared" si="3"/>
        <v>30306.820816669679</v>
      </c>
      <c r="E85" s="54">
        <f t="shared" si="0"/>
        <v>2543.1306388523681</v>
      </c>
      <c r="F85" s="53">
        <f t="shared" si="4"/>
        <v>1000858.0044639352</v>
      </c>
      <c r="G85" s="52">
        <f t="shared" si="1"/>
        <v>1699141.9955360643</v>
      </c>
    </row>
    <row r="86" spans="1:7" x14ac:dyDescent="0.25">
      <c r="A86" s="50">
        <v>61</v>
      </c>
      <c r="B86" s="51">
        <v>47362</v>
      </c>
      <c r="C86" s="52">
        <f t="shared" si="2"/>
        <v>32849.951455522045</v>
      </c>
      <c r="D86" s="53">
        <f t="shared" si="3"/>
        <v>30381.565612744453</v>
      </c>
      <c r="E86" s="54">
        <f t="shared" si="0"/>
        <v>2468.3858427775913</v>
      </c>
      <c r="F86" s="53">
        <f t="shared" si="4"/>
        <v>970476.43885119073</v>
      </c>
      <c r="G86" s="52">
        <f t="shared" si="1"/>
        <v>1729523.5611488088</v>
      </c>
    </row>
    <row r="87" spans="1:7" x14ac:dyDescent="0.25">
      <c r="A87" s="50">
        <v>62</v>
      </c>
      <c r="B87" s="51">
        <v>47392</v>
      </c>
      <c r="C87" s="52">
        <f t="shared" si="2"/>
        <v>32849.951455522045</v>
      </c>
      <c r="D87" s="53">
        <f t="shared" si="3"/>
        <v>30456.494749650425</v>
      </c>
      <c r="E87" s="54">
        <f t="shared" si="0"/>
        <v>2393.4567058716184</v>
      </c>
      <c r="F87" s="53">
        <f t="shared" si="4"/>
        <v>940019.94410154026</v>
      </c>
      <c r="G87" s="52">
        <f t="shared" si="1"/>
        <v>1759980.0558984592</v>
      </c>
    </row>
    <row r="88" spans="1:7" x14ac:dyDescent="0.25">
      <c r="A88" s="50">
        <v>63</v>
      </c>
      <c r="B88" s="51">
        <v>47423</v>
      </c>
      <c r="C88" s="52">
        <f t="shared" si="2"/>
        <v>32849.951455522045</v>
      </c>
      <c r="D88" s="53">
        <f t="shared" si="3"/>
        <v>30531.608682021815</v>
      </c>
      <c r="E88" s="54">
        <f t="shared" si="0"/>
        <v>2318.3427735002297</v>
      </c>
      <c r="F88" s="53">
        <f t="shared" si="4"/>
        <v>909488.33541951841</v>
      </c>
      <c r="G88" s="52">
        <f t="shared" si="1"/>
        <v>1790511.6645804809</v>
      </c>
    </row>
    <row r="89" spans="1:7" x14ac:dyDescent="0.25">
      <c r="A89" s="50">
        <v>64</v>
      </c>
      <c r="B89" s="51">
        <v>47453</v>
      </c>
      <c r="C89" s="52">
        <f t="shared" si="2"/>
        <v>32849.951455522045</v>
      </c>
      <c r="D89" s="53">
        <f t="shared" si="3"/>
        <v>30606.907865614092</v>
      </c>
      <c r="E89" s="54">
        <f t="shared" si="0"/>
        <v>2243.0435899079544</v>
      </c>
      <c r="F89" s="53">
        <f t="shared" si="4"/>
        <v>878881.42755390436</v>
      </c>
      <c r="G89" s="52">
        <f t="shared" si="1"/>
        <v>1821118.5724460951</v>
      </c>
    </row>
    <row r="90" spans="1:7" x14ac:dyDescent="0.25">
      <c r="A90" s="50">
        <v>65</v>
      </c>
      <c r="B90" s="51">
        <v>47484</v>
      </c>
      <c r="C90" s="52">
        <f t="shared" si="2"/>
        <v>32849.951455522045</v>
      </c>
      <c r="D90" s="53">
        <f t="shared" si="3"/>
        <v>30682.392757306738</v>
      </c>
      <c r="E90" s="54">
        <f t="shared" si="0"/>
        <v>2167.5586982153063</v>
      </c>
      <c r="F90" s="53">
        <f t="shared" si="4"/>
        <v>848199.03479659767</v>
      </c>
      <c r="G90" s="52">
        <f t="shared" si="1"/>
        <v>1851800.9652034019</v>
      </c>
    </row>
    <row r="91" spans="1:7" x14ac:dyDescent="0.25">
      <c r="A91" s="50">
        <v>66</v>
      </c>
      <c r="B91" s="51">
        <v>47515</v>
      </c>
      <c r="C91" s="52">
        <f t="shared" si="2"/>
        <v>32849.951455522045</v>
      </c>
      <c r="D91" s="53">
        <f t="shared" si="3"/>
        <v>30758.063815106034</v>
      </c>
      <c r="E91" s="54">
        <f t="shared" si="0"/>
        <v>2091.8876404160114</v>
      </c>
      <c r="F91" s="53">
        <f t="shared" si="4"/>
        <v>817440.97098149161</v>
      </c>
      <c r="G91" s="52">
        <f t="shared" si="1"/>
        <v>1882559.0290185078</v>
      </c>
    </row>
    <row r="92" spans="1:7" x14ac:dyDescent="0.25">
      <c r="A92" s="50">
        <v>67</v>
      </c>
      <c r="B92" s="51">
        <v>47543</v>
      </c>
      <c r="C92" s="52">
        <f t="shared" si="2"/>
        <v>32849.951455522045</v>
      </c>
      <c r="D92" s="53">
        <f t="shared" si="3"/>
        <v>30833.921498147818</v>
      </c>
      <c r="E92" s="54">
        <f t="shared" ref="E92:E98" si="5">F91*$D$20</f>
        <v>2016.0299573742277</v>
      </c>
      <c r="F92" s="53">
        <f t="shared" si="4"/>
        <v>786607.04948334384</v>
      </c>
      <c r="G92" s="52">
        <f t="shared" ref="G92:G98" si="6">G91+D92</f>
        <v>1913392.9505166556</v>
      </c>
    </row>
    <row r="93" spans="1:7" x14ac:dyDescent="0.25">
      <c r="A93" s="50">
        <v>68</v>
      </c>
      <c r="B93" s="51">
        <v>47574</v>
      </c>
      <c r="C93" s="52">
        <f t="shared" ref="C93" si="7">$D$23</f>
        <v>32849.951455522045</v>
      </c>
      <c r="D93" s="53">
        <f t="shared" ref="D93" si="8">C93-E93</f>
        <v>30909.966266700285</v>
      </c>
      <c r="E93" s="54">
        <f t="shared" si="5"/>
        <v>1939.9851888217611</v>
      </c>
      <c r="F93" s="53">
        <f t="shared" ref="F93:F98" si="9">F92-D93</f>
        <v>755697.08321664354</v>
      </c>
      <c r="G93" s="52">
        <f t="shared" si="6"/>
        <v>1944302.9167833559</v>
      </c>
    </row>
    <row r="94" spans="1:7" x14ac:dyDescent="0.25">
      <c r="A94" s="50">
        <v>69</v>
      </c>
      <c r="B94" s="51">
        <v>47604</v>
      </c>
      <c r="C94" s="52">
        <f t="shared" si="2"/>
        <v>32849.951455522045</v>
      </c>
      <c r="D94" s="53">
        <f t="shared" si="3"/>
        <v>30986.198582166773</v>
      </c>
      <c r="E94" s="54">
        <f t="shared" si="5"/>
        <v>1863.7528733552715</v>
      </c>
      <c r="F94" s="53">
        <f t="shared" si="9"/>
        <v>724710.88463447674</v>
      </c>
      <c r="G94" s="52">
        <f t="shared" si="6"/>
        <v>1975289.1153655227</v>
      </c>
    </row>
    <row r="95" spans="1:7" x14ac:dyDescent="0.25">
      <c r="A95" s="50">
        <v>70</v>
      </c>
      <c r="B95" s="51">
        <v>47635</v>
      </c>
      <c r="C95" s="52">
        <f t="shared" ref="C95:C97" si="10">$D$23</f>
        <v>32849.951455522045</v>
      </c>
      <c r="D95" s="53">
        <f t="shared" ref="D95:D98" si="11">C95-E95</f>
        <v>31062.61890708857</v>
      </c>
      <c r="E95" s="54">
        <f t="shared" si="5"/>
        <v>1787.3325484334741</v>
      </c>
      <c r="F95" s="53">
        <f t="shared" si="9"/>
        <v>693648.26572738821</v>
      </c>
      <c r="G95" s="52">
        <f t="shared" si="6"/>
        <v>2006351.7342726113</v>
      </c>
    </row>
    <row r="96" spans="1:7" x14ac:dyDescent="0.25">
      <c r="A96" s="50">
        <v>71</v>
      </c>
      <c r="B96" s="51">
        <v>47665</v>
      </c>
      <c r="C96" s="52">
        <f t="shared" si="10"/>
        <v>32849.951455522045</v>
      </c>
      <c r="D96" s="53">
        <f t="shared" si="11"/>
        <v>31139.227705147714</v>
      </c>
      <c r="E96" s="54">
        <f t="shared" si="5"/>
        <v>1710.7237503743327</v>
      </c>
      <c r="F96" s="53">
        <f t="shared" si="9"/>
        <v>662509.03802224051</v>
      </c>
      <c r="G96" s="52">
        <f t="shared" si="6"/>
        <v>2037490.9619777591</v>
      </c>
    </row>
    <row r="97" spans="1:7" x14ac:dyDescent="0.25">
      <c r="A97" s="50">
        <v>72</v>
      </c>
      <c r="B97" s="51">
        <v>47696</v>
      </c>
      <c r="C97" s="52">
        <f t="shared" si="10"/>
        <v>32849.951455522045</v>
      </c>
      <c r="D97" s="53">
        <f t="shared" si="11"/>
        <v>31216.025441169801</v>
      </c>
      <c r="E97" s="54">
        <f t="shared" si="5"/>
        <v>1633.9260143522454</v>
      </c>
      <c r="F97" s="53">
        <f t="shared" si="9"/>
        <v>631293.01258107065</v>
      </c>
      <c r="G97" s="52">
        <f t="shared" si="6"/>
        <v>2068706.9874189289</v>
      </c>
    </row>
    <row r="98" spans="1:7" x14ac:dyDescent="0.25">
      <c r="A98" s="50">
        <v>73</v>
      </c>
      <c r="B98" s="51">
        <v>47727</v>
      </c>
      <c r="C98" s="52">
        <f>$D$23+D14</f>
        <v>632849.9514555221</v>
      </c>
      <c r="D98" s="53">
        <f t="shared" si="11"/>
        <v>631293.01258112688</v>
      </c>
      <c r="E98" s="54">
        <f t="shared" si="5"/>
        <v>1556.9388743952254</v>
      </c>
      <c r="F98" s="53">
        <f t="shared" si="9"/>
        <v>-5.6228600442409515E-8</v>
      </c>
      <c r="G98" s="52">
        <f t="shared" si="6"/>
        <v>2700000.0000000559</v>
      </c>
    </row>
    <row r="99" spans="1:7" x14ac:dyDescent="0.25">
      <c r="A99" s="50"/>
      <c r="B99" s="51"/>
      <c r="C99" s="52"/>
      <c r="D99" s="55">
        <f>SUM(D26:D98)</f>
        <v>2700000.0000000559</v>
      </c>
      <c r="E99" s="55">
        <f>SUM(E26:E98)</f>
        <v>298046.45625305397</v>
      </c>
      <c r="F99" s="53"/>
      <c r="G99" s="52"/>
    </row>
    <row r="102" spans="1:7" ht="15" customHeight="1" x14ac:dyDescent="0.25"/>
    <row r="103" spans="1:7" ht="15" customHeight="1" thickBot="1" x14ac:dyDescent="0.3"/>
    <row r="104" spans="1:7" ht="15" customHeight="1" x14ac:dyDescent="0.25">
      <c r="B104" s="120" t="s">
        <v>47</v>
      </c>
      <c r="C104" s="121"/>
      <c r="D104" s="121"/>
      <c r="E104" s="121"/>
      <c r="F104" s="121"/>
      <c r="G104" s="122"/>
    </row>
    <row r="105" spans="1:7" ht="15" customHeight="1" x14ac:dyDescent="0.25">
      <c r="B105" s="123"/>
      <c r="C105" s="107"/>
      <c r="D105" s="107"/>
      <c r="E105" s="107"/>
      <c r="F105" s="107"/>
      <c r="G105" s="124"/>
    </row>
    <row r="106" spans="1:7" ht="15.75" thickBot="1" x14ac:dyDescent="0.3">
      <c r="B106" s="125"/>
      <c r="C106" s="126"/>
      <c r="D106" s="126"/>
      <c r="E106" s="126"/>
      <c r="F106" s="126"/>
      <c r="G106" s="127"/>
    </row>
    <row r="109" spans="1:7" x14ac:dyDescent="0.25">
      <c r="B109" t="s">
        <v>48</v>
      </c>
      <c r="E109" t="s">
        <v>49</v>
      </c>
    </row>
    <row r="110" spans="1:7" ht="15" customHeight="1" x14ac:dyDescent="0.25">
      <c r="B110" s="103" t="s">
        <v>50</v>
      </c>
      <c r="C110" s="103"/>
      <c r="D110" s="103"/>
      <c r="E110" s="128" t="s">
        <v>51</v>
      </c>
      <c r="F110" s="129"/>
      <c r="G110" s="129"/>
    </row>
    <row r="111" spans="1:7" ht="92.25" customHeight="1" x14ac:dyDescent="0.25">
      <c r="B111" s="103"/>
      <c r="C111" s="103"/>
      <c r="D111" s="103"/>
      <c r="E111" s="129"/>
      <c r="F111" s="129"/>
      <c r="G111" s="129"/>
    </row>
    <row r="112" spans="1:7" ht="15" customHeight="1" x14ac:dyDescent="0.25"/>
    <row r="113" ht="15" customHeight="1" x14ac:dyDescent="0.25"/>
    <row r="114" ht="15" customHeight="1" x14ac:dyDescent="0.25"/>
    <row r="115" ht="15" customHeight="1" x14ac:dyDescent="0.25"/>
    <row r="116" ht="15" customHeight="1" x14ac:dyDescent="0.25"/>
    <row r="117" ht="15" customHeight="1" x14ac:dyDescent="0.25"/>
    <row r="118" ht="15" customHeight="1" x14ac:dyDescent="0.25"/>
    <row r="119" ht="15" customHeight="1" x14ac:dyDescent="0.25"/>
    <row r="120" ht="15" customHeight="1" x14ac:dyDescent="0.25"/>
    <row r="121" ht="15" customHeight="1" x14ac:dyDescent="0.25"/>
  </sheetData>
  <mergeCells count="4">
    <mergeCell ref="C3:H7"/>
    <mergeCell ref="B104:G106"/>
    <mergeCell ref="B110:D111"/>
    <mergeCell ref="E110:G11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72A842-2CBD-4DC5-B580-23EE869E6794}">
  <dimension ref="C3:H25"/>
  <sheetViews>
    <sheetView workbookViewId="0">
      <selection activeCell="I24" sqref="I24"/>
    </sheetView>
  </sheetViews>
  <sheetFormatPr defaultRowHeight="15" x14ac:dyDescent="0.25"/>
  <cols>
    <col min="3" max="3" width="25.28515625" customWidth="1"/>
    <col min="4" max="4" width="26.140625" customWidth="1"/>
  </cols>
  <sheetData>
    <row r="3" spans="3:8" ht="15.75" thickBot="1" x14ac:dyDescent="0.3"/>
    <row r="4" spans="3:8" x14ac:dyDescent="0.25">
      <c r="C4" s="120" t="s">
        <v>47</v>
      </c>
      <c r="D4" s="121"/>
      <c r="E4" s="121"/>
      <c r="F4" s="121"/>
      <c r="G4" s="121"/>
      <c r="H4" s="122"/>
    </row>
    <row r="5" spans="3:8" x14ac:dyDescent="0.25">
      <c r="C5" s="123"/>
      <c r="D5" s="107"/>
      <c r="E5" s="107"/>
      <c r="F5" s="107"/>
      <c r="G5" s="107"/>
      <c r="H5" s="124"/>
    </row>
    <row r="6" spans="3:8" ht="15.75" thickBot="1" x14ac:dyDescent="0.3">
      <c r="C6" s="125"/>
      <c r="D6" s="126"/>
      <c r="E6" s="126"/>
      <c r="F6" s="126"/>
      <c r="G6" s="126"/>
      <c r="H6" s="127"/>
    </row>
    <row r="11" spans="3:8" x14ac:dyDescent="0.25">
      <c r="C11" s="13" t="s">
        <v>46</v>
      </c>
      <c r="D11" s="78">
        <v>3000000</v>
      </c>
    </row>
    <row r="12" spans="3:8" x14ac:dyDescent="0.25">
      <c r="C12" t="s">
        <v>36</v>
      </c>
      <c r="D12" s="42">
        <v>5</v>
      </c>
    </row>
    <row r="13" spans="3:8" x14ac:dyDescent="0.25">
      <c r="C13" t="s">
        <v>35</v>
      </c>
      <c r="D13" s="43">
        <v>0</v>
      </c>
    </row>
    <row r="14" spans="3:8" x14ac:dyDescent="0.25">
      <c r="C14" t="s">
        <v>52</v>
      </c>
      <c r="D14" s="43">
        <v>0</v>
      </c>
    </row>
    <row r="15" spans="3:8" x14ac:dyDescent="0.25">
      <c r="C15" t="s">
        <v>37</v>
      </c>
      <c r="D15" s="44">
        <v>0.03</v>
      </c>
    </row>
    <row r="16" spans="3:8" x14ac:dyDescent="0.25">
      <c r="C16" t="s">
        <v>53</v>
      </c>
      <c r="D16" s="43">
        <v>3000</v>
      </c>
    </row>
    <row r="18" spans="3:5" x14ac:dyDescent="0.25">
      <c r="C18" s="13" t="s">
        <v>38</v>
      </c>
    </row>
    <row r="20" spans="3:5" x14ac:dyDescent="0.25">
      <c r="C20" t="s">
        <v>39</v>
      </c>
      <c r="D20" s="31">
        <f>(1+D15)^(1/12)-1</f>
        <v>2.4662697723036864E-3</v>
      </c>
    </row>
    <row r="21" spans="3:5" x14ac:dyDescent="0.25">
      <c r="C21" t="s">
        <v>40</v>
      </c>
      <c r="D21" s="45">
        <f>D12*12</f>
        <v>60</v>
      </c>
      <c r="E21" t="s">
        <v>41</v>
      </c>
    </row>
    <row r="23" spans="3:5" x14ac:dyDescent="0.25">
      <c r="C23" t="s">
        <v>7</v>
      </c>
      <c r="D23" s="46">
        <f>(D11-D13-(D14*(1+D20)^-D21))/(((1+D20)*(1-(1+D20)^(-61))/D20))</f>
        <v>52902.490677402304</v>
      </c>
    </row>
    <row r="24" spans="3:5" x14ac:dyDescent="0.25">
      <c r="D24" s="79">
        <f>D23*D21</f>
        <v>3174149.440644138</v>
      </c>
    </row>
    <row r="25" spans="3:5" x14ac:dyDescent="0.25">
      <c r="C25" t="s">
        <v>64</v>
      </c>
      <c r="D25" s="79">
        <f>D24-D11</f>
        <v>174149.44064413803</v>
      </c>
    </row>
  </sheetData>
  <mergeCells count="1">
    <mergeCell ref="C4:H6"/>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9052C5-DCA8-4F50-8006-9592ACF81004}">
  <dimension ref="B3:E18"/>
  <sheetViews>
    <sheetView showGridLines="0" workbookViewId="0">
      <selection activeCell="B3" sqref="B3:E15"/>
    </sheetView>
  </sheetViews>
  <sheetFormatPr defaultRowHeight="15" x14ac:dyDescent="0.25"/>
  <cols>
    <col min="2" max="2" width="22.7109375" customWidth="1"/>
    <col min="3" max="3" width="13.28515625" bestFit="1" customWidth="1"/>
    <col min="4" max="4" width="33.42578125" customWidth="1"/>
    <col min="5" max="5" width="13.28515625" bestFit="1" customWidth="1"/>
  </cols>
  <sheetData>
    <row r="3" spans="2:5" x14ac:dyDescent="0.25">
      <c r="B3" s="104" t="s">
        <v>101</v>
      </c>
      <c r="C3" s="104"/>
      <c r="D3" s="104"/>
      <c r="E3" s="104"/>
    </row>
    <row r="4" spans="2:5" x14ac:dyDescent="0.25">
      <c r="B4" s="74" t="s">
        <v>99</v>
      </c>
      <c r="C4" s="80">
        <v>7650000</v>
      </c>
      <c r="D4" s="74" t="s">
        <v>100</v>
      </c>
      <c r="E4" s="80">
        <v>1470000</v>
      </c>
    </row>
    <row r="5" spans="2:5" x14ac:dyDescent="0.25">
      <c r="B5" s="74" t="s">
        <v>102</v>
      </c>
      <c r="C5" s="80">
        <v>6650000</v>
      </c>
      <c r="D5" s="74" t="s">
        <v>103</v>
      </c>
      <c r="E5" s="80">
        <v>3000</v>
      </c>
    </row>
    <row r="6" spans="2:5" x14ac:dyDescent="0.25">
      <c r="B6" s="74" t="s">
        <v>104</v>
      </c>
      <c r="C6" s="80">
        <v>1000000</v>
      </c>
      <c r="D6" s="74" t="s">
        <v>105</v>
      </c>
      <c r="E6" s="80">
        <v>1467000</v>
      </c>
    </row>
    <row r="7" spans="2:5" x14ac:dyDescent="0.25">
      <c r="B7" s="74"/>
      <c r="C7" s="80"/>
      <c r="D7" s="74"/>
      <c r="E7" s="80"/>
    </row>
    <row r="8" spans="2:5" x14ac:dyDescent="0.25">
      <c r="B8" s="74"/>
      <c r="C8" s="80"/>
      <c r="D8" s="74" t="s">
        <v>106</v>
      </c>
      <c r="E8" s="80">
        <v>5400000</v>
      </c>
    </row>
    <row r="9" spans="2:5" x14ac:dyDescent="0.25">
      <c r="B9" s="74"/>
      <c r="C9" s="80"/>
      <c r="D9" s="74" t="s">
        <v>107</v>
      </c>
      <c r="E9" s="80">
        <v>5400000</v>
      </c>
    </row>
    <row r="10" spans="2:5" x14ac:dyDescent="0.25">
      <c r="B10" s="74"/>
      <c r="C10" s="80"/>
      <c r="D10" s="74"/>
      <c r="E10" s="80"/>
    </row>
    <row r="11" spans="2:5" x14ac:dyDescent="0.25">
      <c r="B11" s="74" t="s">
        <v>108</v>
      </c>
      <c r="C11" s="80">
        <v>885000</v>
      </c>
      <c r="D11" s="74" t="s">
        <v>109</v>
      </c>
      <c r="E11" s="80">
        <v>1665000</v>
      </c>
    </row>
    <row r="12" spans="2:5" x14ac:dyDescent="0.25">
      <c r="B12" s="74" t="s">
        <v>110</v>
      </c>
      <c r="C12" s="80">
        <v>135000</v>
      </c>
      <c r="D12" s="74" t="s">
        <v>111</v>
      </c>
      <c r="E12" s="80">
        <v>1200000</v>
      </c>
    </row>
    <row r="13" spans="2:5" x14ac:dyDescent="0.25">
      <c r="B13" s="74" t="s">
        <v>112</v>
      </c>
      <c r="C13" s="80">
        <v>700000</v>
      </c>
      <c r="D13" s="74" t="s">
        <v>113</v>
      </c>
      <c r="E13" s="80">
        <v>340000</v>
      </c>
    </row>
    <row r="14" spans="2:5" x14ac:dyDescent="0.25">
      <c r="B14" s="74" t="s">
        <v>114</v>
      </c>
      <c r="C14" s="80">
        <v>50000</v>
      </c>
      <c r="D14" s="74" t="s">
        <v>115</v>
      </c>
      <c r="E14" s="80">
        <v>125000</v>
      </c>
    </row>
    <row r="15" spans="2:5" x14ac:dyDescent="0.25">
      <c r="B15" s="74" t="s">
        <v>116</v>
      </c>
      <c r="C15" s="80">
        <v>8535000</v>
      </c>
      <c r="D15" s="74" t="s">
        <v>117</v>
      </c>
      <c r="E15" s="80">
        <v>8535000</v>
      </c>
    </row>
    <row r="16" spans="2:5" x14ac:dyDescent="0.25">
      <c r="C16" s="30"/>
      <c r="E16" s="30"/>
    </row>
    <row r="17" spans="3:5" x14ac:dyDescent="0.25">
      <c r="C17" s="30"/>
      <c r="E17" s="30"/>
    </row>
    <row r="18" spans="3:5" x14ac:dyDescent="0.25">
      <c r="E18" s="30"/>
    </row>
  </sheetData>
  <mergeCells count="1">
    <mergeCell ref="B3:E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Fulls de càlcul</vt:lpstr>
      </vt:variant>
      <vt:variant>
        <vt:i4>8</vt:i4>
      </vt:variant>
    </vt:vector>
  </HeadingPairs>
  <TitlesOfParts>
    <vt:vector size="8" baseType="lpstr">
      <vt:lpstr>Factoring vs Desc.Efectos</vt:lpstr>
      <vt:lpstr>Resumen</vt:lpstr>
      <vt:lpstr>Frances</vt:lpstr>
      <vt:lpstr>Italiano</vt:lpstr>
      <vt:lpstr>Comparativa</vt:lpstr>
      <vt:lpstr>Leasing</vt:lpstr>
      <vt:lpstr>Renting</vt:lpstr>
      <vt:lpstr>Balance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Oriol puig i Carreró</dc:creator>
  <cp:lastModifiedBy>oriol Calblay</cp:lastModifiedBy>
  <dcterms:created xsi:type="dcterms:W3CDTF">2024-03-13T18:35:27Z</dcterms:created>
  <dcterms:modified xsi:type="dcterms:W3CDTF">2024-09-28T17:09:03Z</dcterms:modified>
</cp:coreProperties>
</file>