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ttps://d.docs.live.net/e6c7bcb4eb356115/Escritorio/IEBS/MODULO 4/OPERACIONES FINANCIERAS/"/>
    </mc:Choice>
  </mc:AlternateContent>
  <xr:revisionPtr revIDLastSave="0" documentId="8_{AF2C4727-3C79-4364-BC0D-C1EB82D5FBB1}" xr6:coauthVersionLast="47" xr6:coauthVersionMax="47" xr10:uidLastSave="{00000000-0000-0000-0000-000000000000}"/>
  <bookViews>
    <workbookView xWindow="22932" yWindow="-60" windowWidth="23256" windowHeight="12456" xr2:uid="{00000000-000D-0000-FFFF-FFFF00000000}"/>
  </bookViews>
  <sheets>
    <sheet name="Hoja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84" i="1" l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F190" i="1"/>
  <c r="D190" i="1"/>
  <c r="F189" i="1"/>
  <c r="D189" i="1"/>
  <c r="D185" i="1"/>
  <c r="D184" i="1"/>
  <c r="D183" i="1"/>
  <c r="D182" i="1"/>
  <c r="D181" i="1"/>
  <c r="D180" i="1"/>
  <c r="D179" i="1"/>
  <c r="D178" i="1"/>
  <c r="E189" i="1" s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E78" i="1"/>
  <c r="D78" i="1"/>
  <c r="G78" i="1" s="1"/>
  <c r="G79" i="1" s="1"/>
  <c r="G80" i="1" s="1"/>
  <c r="G81" i="1" s="1"/>
  <c r="G82" i="1" s="1"/>
  <c r="G83" i="1" s="1"/>
  <c r="G84" i="1" s="1"/>
  <c r="G85" i="1" s="1"/>
  <c r="G86" i="1" s="1"/>
  <c r="G87" i="1" s="1"/>
  <c r="G88" i="1" s="1"/>
  <c r="G89" i="1" s="1"/>
  <c r="G90" i="1" s="1"/>
  <c r="G91" i="1" s="1"/>
  <c r="G92" i="1" s="1"/>
  <c r="G93" i="1" s="1"/>
  <c r="G94" i="1" s="1"/>
  <c r="G95" i="1" s="1"/>
  <c r="G96" i="1" s="1"/>
  <c r="G97" i="1" s="1"/>
  <c r="G98" i="1" s="1"/>
  <c r="G99" i="1" s="1"/>
  <c r="G100" i="1" s="1"/>
  <c r="G101" i="1" s="1"/>
  <c r="G102" i="1" s="1"/>
  <c r="G103" i="1" s="1"/>
  <c r="G104" i="1" s="1"/>
  <c r="G105" i="1" s="1"/>
  <c r="G106" i="1" s="1"/>
  <c r="G107" i="1" s="1"/>
  <c r="G108" i="1" s="1"/>
  <c r="G109" i="1" s="1"/>
  <c r="G110" i="1" s="1"/>
  <c r="G111" i="1" s="1"/>
  <c r="G112" i="1" s="1"/>
  <c r="G113" i="1" s="1"/>
  <c r="G114" i="1" s="1"/>
  <c r="G115" i="1" s="1"/>
  <c r="G116" i="1" s="1"/>
  <c r="G117" i="1" s="1"/>
  <c r="G118" i="1" s="1"/>
  <c r="G119" i="1" s="1"/>
  <c r="G120" i="1" s="1"/>
  <c r="G121" i="1" s="1"/>
  <c r="G122" i="1" s="1"/>
  <c r="G123" i="1" s="1"/>
  <c r="G124" i="1" s="1"/>
  <c r="G125" i="1" s="1"/>
  <c r="G126" i="1" s="1"/>
  <c r="G127" i="1" s="1"/>
  <c r="G128" i="1" s="1"/>
  <c r="G129" i="1" s="1"/>
  <c r="G130" i="1" s="1"/>
  <c r="G131" i="1" s="1"/>
  <c r="G132" i="1" s="1"/>
  <c r="G133" i="1" s="1"/>
  <c r="G134" i="1" s="1"/>
  <c r="G135" i="1" s="1"/>
  <c r="G136" i="1" s="1"/>
  <c r="G137" i="1" s="1"/>
  <c r="G138" i="1" s="1"/>
  <c r="G139" i="1" s="1"/>
  <c r="G140" i="1" s="1"/>
  <c r="G141" i="1" s="1"/>
  <c r="G142" i="1" s="1"/>
  <c r="G143" i="1" s="1"/>
  <c r="G144" i="1" s="1"/>
  <c r="G145" i="1" s="1"/>
  <c r="G146" i="1" s="1"/>
  <c r="G147" i="1" s="1"/>
  <c r="G148" i="1" s="1"/>
  <c r="G149" i="1" s="1"/>
  <c r="G150" i="1" s="1"/>
  <c r="G151" i="1" s="1"/>
  <c r="G152" i="1" s="1"/>
  <c r="G153" i="1" s="1"/>
  <c r="G154" i="1" s="1"/>
  <c r="G155" i="1" s="1"/>
  <c r="G156" i="1" s="1"/>
  <c r="G157" i="1" s="1"/>
  <c r="G158" i="1" s="1"/>
  <c r="G159" i="1" s="1"/>
  <c r="G160" i="1" s="1"/>
  <c r="G161" i="1" s="1"/>
  <c r="G162" i="1" s="1"/>
  <c r="G163" i="1" s="1"/>
  <c r="G164" i="1" s="1"/>
  <c r="G165" i="1" s="1"/>
  <c r="G166" i="1" s="1"/>
  <c r="G167" i="1" s="1"/>
  <c r="G168" i="1" s="1"/>
  <c r="G169" i="1" s="1"/>
  <c r="G170" i="1" s="1"/>
  <c r="G171" i="1" s="1"/>
  <c r="G172" i="1" s="1"/>
  <c r="G173" i="1" s="1"/>
  <c r="D174" i="1" l="1"/>
  <c r="F78" i="1"/>
  <c r="E191" i="1"/>
  <c r="C191" i="1" s="1"/>
  <c r="F191" i="1"/>
  <c r="C189" i="1"/>
  <c r="C78" i="1"/>
  <c r="D285" i="1"/>
  <c r="G189" i="1"/>
  <c r="G190" i="1" s="1"/>
  <c r="G191" i="1" s="1"/>
  <c r="G192" i="1" s="1"/>
  <c r="G193" i="1" s="1"/>
  <c r="G194" i="1" s="1"/>
  <c r="G195" i="1" s="1"/>
  <c r="G196" i="1" s="1"/>
  <c r="G197" i="1" s="1"/>
  <c r="G198" i="1" s="1"/>
  <c r="G199" i="1" s="1"/>
  <c r="G200" i="1" s="1"/>
  <c r="G201" i="1" s="1"/>
  <c r="G202" i="1" s="1"/>
  <c r="G203" i="1" s="1"/>
  <c r="G204" i="1" s="1"/>
  <c r="G205" i="1" s="1"/>
  <c r="G206" i="1" s="1"/>
  <c r="G207" i="1" s="1"/>
  <c r="G208" i="1" s="1"/>
  <c r="G209" i="1" s="1"/>
  <c r="G210" i="1" s="1"/>
  <c r="G211" i="1" s="1"/>
  <c r="G212" i="1" s="1"/>
  <c r="G213" i="1" s="1"/>
  <c r="G214" i="1" s="1"/>
  <c r="G215" i="1" s="1"/>
  <c r="G216" i="1" s="1"/>
  <c r="G217" i="1" s="1"/>
  <c r="G218" i="1" s="1"/>
  <c r="G219" i="1" s="1"/>
  <c r="G220" i="1" s="1"/>
  <c r="G221" i="1" s="1"/>
  <c r="G222" i="1" s="1"/>
  <c r="G223" i="1" s="1"/>
  <c r="G224" i="1" s="1"/>
  <c r="G225" i="1" s="1"/>
  <c r="G226" i="1" s="1"/>
  <c r="G227" i="1" s="1"/>
  <c r="G228" i="1" s="1"/>
  <c r="G229" i="1" s="1"/>
  <c r="G230" i="1" s="1"/>
  <c r="G231" i="1" s="1"/>
  <c r="G232" i="1" s="1"/>
  <c r="G233" i="1" s="1"/>
  <c r="G234" i="1" s="1"/>
  <c r="G235" i="1" s="1"/>
  <c r="G236" i="1" s="1"/>
  <c r="G237" i="1" s="1"/>
  <c r="G238" i="1" s="1"/>
  <c r="G239" i="1" s="1"/>
  <c r="G240" i="1" s="1"/>
  <c r="G241" i="1" s="1"/>
  <c r="G242" i="1" s="1"/>
  <c r="G243" i="1" s="1"/>
  <c r="G244" i="1" s="1"/>
  <c r="G245" i="1" s="1"/>
  <c r="G246" i="1" s="1"/>
  <c r="G247" i="1" s="1"/>
  <c r="G248" i="1" s="1"/>
  <c r="G249" i="1" s="1"/>
  <c r="G250" i="1" s="1"/>
  <c r="G251" i="1" s="1"/>
  <c r="G252" i="1" s="1"/>
  <c r="G253" i="1" s="1"/>
  <c r="G254" i="1" s="1"/>
  <c r="G255" i="1" s="1"/>
  <c r="G256" i="1" s="1"/>
  <c r="G257" i="1" s="1"/>
  <c r="G258" i="1" s="1"/>
  <c r="G259" i="1" s="1"/>
  <c r="G260" i="1" s="1"/>
  <c r="G261" i="1" s="1"/>
  <c r="G262" i="1" s="1"/>
  <c r="G263" i="1" s="1"/>
  <c r="G264" i="1" s="1"/>
  <c r="G265" i="1" s="1"/>
  <c r="G266" i="1" s="1"/>
  <c r="G267" i="1" s="1"/>
  <c r="G268" i="1" s="1"/>
  <c r="G269" i="1" s="1"/>
  <c r="G270" i="1" s="1"/>
  <c r="G271" i="1" s="1"/>
  <c r="G272" i="1" s="1"/>
  <c r="G273" i="1" s="1"/>
  <c r="G274" i="1" s="1"/>
  <c r="G275" i="1" s="1"/>
  <c r="G276" i="1" s="1"/>
  <c r="G277" i="1" s="1"/>
  <c r="G278" i="1" s="1"/>
  <c r="G279" i="1" s="1"/>
  <c r="G280" i="1" s="1"/>
  <c r="G281" i="1" s="1"/>
  <c r="G282" i="1" s="1"/>
  <c r="G283" i="1" s="1"/>
  <c r="G284" i="1" s="1"/>
  <c r="E190" i="1"/>
  <c r="C190" i="1" s="1"/>
  <c r="E79" i="1" l="1"/>
  <c r="F79" i="1"/>
  <c r="E192" i="1"/>
  <c r="F192" i="1"/>
  <c r="F193" i="1" l="1"/>
  <c r="E193" i="1"/>
  <c r="C193" i="1" s="1"/>
  <c r="C192" i="1"/>
  <c r="F80" i="1"/>
  <c r="E80" i="1"/>
  <c r="C80" i="1" s="1"/>
  <c r="C79" i="1"/>
  <c r="F81" i="1" l="1"/>
  <c r="E81" i="1"/>
  <c r="F194" i="1"/>
  <c r="E194" i="1"/>
  <c r="C194" i="1" l="1"/>
  <c r="F195" i="1"/>
  <c r="E195" i="1"/>
  <c r="C195" i="1" s="1"/>
  <c r="C81" i="1"/>
  <c r="F82" i="1"/>
  <c r="E82" i="1"/>
  <c r="C82" i="1" s="1"/>
  <c r="F83" i="1" l="1"/>
  <c r="E83" i="1"/>
  <c r="C83" i="1" s="1"/>
  <c r="E196" i="1"/>
  <c r="C196" i="1" s="1"/>
  <c r="F196" i="1"/>
  <c r="F197" i="1" l="1"/>
  <c r="E197" i="1"/>
  <c r="C197" i="1" s="1"/>
  <c r="F84" i="1"/>
  <c r="E84" i="1"/>
  <c r="C84" i="1" s="1"/>
  <c r="E85" i="1" l="1"/>
  <c r="C85" i="1" s="1"/>
  <c r="F85" i="1"/>
  <c r="E198" i="1"/>
  <c r="C198" i="1" s="1"/>
  <c r="F198" i="1"/>
  <c r="E199" i="1" l="1"/>
  <c r="C199" i="1" s="1"/>
  <c r="F199" i="1"/>
  <c r="F86" i="1"/>
  <c r="E86" i="1"/>
  <c r="C86" i="1" s="1"/>
  <c r="E200" i="1" l="1"/>
  <c r="C200" i="1" s="1"/>
  <c r="F200" i="1"/>
  <c r="F87" i="1"/>
  <c r="E87" i="1"/>
  <c r="C87" i="1" s="1"/>
  <c r="F88" i="1" l="1"/>
  <c r="E88" i="1"/>
  <c r="C88" i="1" s="1"/>
  <c r="F201" i="1"/>
  <c r="E201" i="1"/>
  <c r="C201" i="1" s="1"/>
  <c r="F202" i="1" l="1"/>
  <c r="E202" i="1"/>
  <c r="C202" i="1" s="1"/>
  <c r="E89" i="1"/>
  <c r="C89" i="1" s="1"/>
  <c r="F89" i="1"/>
  <c r="F90" i="1" l="1"/>
  <c r="E90" i="1"/>
  <c r="C90" i="1" s="1"/>
  <c r="F203" i="1"/>
  <c r="E203" i="1"/>
  <c r="C203" i="1" s="1"/>
  <c r="F204" i="1" l="1"/>
  <c r="E204" i="1"/>
  <c r="C204" i="1" s="1"/>
  <c r="F91" i="1"/>
  <c r="E91" i="1"/>
  <c r="C91" i="1" s="1"/>
  <c r="F92" i="1" l="1"/>
  <c r="E92" i="1"/>
  <c r="C92" i="1" s="1"/>
  <c r="F205" i="1"/>
  <c r="E205" i="1"/>
  <c r="C205" i="1" s="1"/>
  <c r="E206" i="1" l="1"/>
  <c r="C206" i="1" s="1"/>
  <c r="F206" i="1"/>
  <c r="E93" i="1"/>
  <c r="C93" i="1" s="1"/>
  <c r="F93" i="1"/>
  <c r="F94" i="1" l="1"/>
  <c r="E94" i="1"/>
  <c r="C94" i="1" s="1"/>
  <c r="E207" i="1"/>
  <c r="C207" i="1" s="1"/>
  <c r="F207" i="1"/>
  <c r="E208" i="1" l="1"/>
  <c r="C208" i="1" s="1"/>
  <c r="F208" i="1"/>
  <c r="F95" i="1"/>
  <c r="E95" i="1"/>
  <c r="C95" i="1" s="1"/>
  <c r="F96" i="1" l="1"/>
  <c r="E96" i="1"/>
  <c r="C96" i="1" s="1"/>
  <c r="F209" i="1"/>
  <c r="E209" i="1"/>
  <c r="C209" i="1" s="1"/>
  <c r="F210" i="1" l="1"/>
  <c r="E210" i="1"/>
  <c r="C210" i="1" s="1"/>
  <c r="E97" i="1"/>
  <c r="C97" i="1" s="1"/>
  <c r="F97" i="1"/>
  <c r="F98" i="1" l="1"/>
  <c r="E98" i="1"/>
  <c r="C98" i="1" s="1"/>
  <c r="F211" i="1"/>
  <c r="E211" i="1"/>
  <c r="C211" i="1" s="1"/>
  <c r="F212" i="1" l="1"/>
  <c r="E212" i="1"/>
  <c r="C212" i="1" s="1"/>
  <c r="F99" i="1"/>
  <c r="E99" i="1"/>
  <c r="C99" i="1" s="1"/>
  <c r="F100" i="1" l="1"/>
  <c r="E100" i="1"/>
  <c r="C100" i="1" s="1"/>
  <c r="F213" i="1"/>
  <c r="E213" i="1"/>
  <c r="C213" i="1" s="1"/>
  <c r="E214" i="1" l="1"/>
  <c r="C214" i="1" s="1"/>
  <c r="F214" i="1"/>
  <c r="F101" i="1"/>
  <c r="E101" i="1"/>
  <c r="C101" i="1" s="1"/>
  <c r="F102" i="1" l="1"/>
  <c r="E102" i="1"/>
  <c r="C102" i="1" s="1"/>
  <c r="E215" i="1"/>
  <c r="C215" i="1" s="1"/>
  <c r="F215" i="1"/>
  <c r="E216" i="1" l="1"/>
  <c r="C216" i="1" s="1"/>
  <c r="F216" i="1"/>
  <c r="F103" i="1"/>
  <c r="E103" i="1"/>
  <c r="C103" i="1" s="1"/>
  <c r="E104" i="1" l="1"/>
  <c r="C104" i="1" s="1"/>
  <c r="F104" i="1"/>
  <c r="F217" i="1"/>
  <c r="E217" i="1"/>
  <c r="C217" i="1" s="1"/>
  <c r="F218" i="1" l="1"/>
  <c r="E218" i="1"/>
  <c r="C218" i="1" s="1"/>
  <c r="E105" i="1"/>
  <c r="C105" i="1" s="1"/>
  <c r="F105" i="1"/>
  <c r="E106" i="1" l="1"/>
  <c r="C106" i="1" s="1"/>
  <c r="F106" i="1"/>
  <c r="F219" i="1"/>
  <c r="E219" i="1"/>
  <c r="C219" i="1" s="1"/>
  <c r="E107" i="1" l="1"/>
  <c r="C107" i="1" s="1"/>
  <c r="F107" i="1"/>
  <c r="F220" i="1"/>
  <c r="E220" i="1"/>
  <c r="C220" i="1" s="1"/>
  <c r="F221" i="1" l="1"/>
  <c r="E221" i="1"/>
  <c r="C221" i="1" s="1"/>
  <c r="F108" i="1"/>
  <c r="E108" i="1"/>
  <c r="C108" i="1" s="1"/>
  <c r="F109" i="1" l="1"/>
  <c r="E109" i="1"/>
  <c r="C109" i="1" s="1"/>
  <c r="E222" i="1"/>
  <c r="C222" i="1" s="1"/>
  <c r="F222" i="1"/>
  <c r="E223" i="1" l="1"/>
  <c r="C223" i="1" s="1"/>
  <c r="F223" i="1"/>
  <c r="F110" i="1"/>
  <c r="E110" i="1"/>
  <c r="C110" i="1" s="1"/>
  <c r="E224" i="1" l="1"/>
  <c r="C224" i="1" s="1"/>
  <c r="F224" i="1"/>
  <c r="E111" i="1"/>
  <c r="C111" i="1" s="1"/>
  <c r="F111" i="1"/>
  <c r="F225" i="1" l="1"/>
  <c r="E225" i="1"/>
  <c r="C225" i="1" s="1"/>
  <c r="E112" i="1"/>
  <c r="C112" i="1" s="1"/>
  <c r="F112" i="1"/>
  <c r="E113" i="1" l="1"/>
  <c r="C113" i="1" s="1"/>
  <c r="F113" i="1"/>
  <c r="F226" i="1"/>
  <c r="E226" i="1"/>
  <c r="C226" i="1" s="1"/>
  <c r="F227" i="1" l="1"/>
  <c r="E227" i="1"/>
  <c r="C227" i="1" s="1"/>
  <c r="E114" i="1"/>
  <c r="C114" i="1" s="1"/>
  <c r="F114" i="1"/>
  <c r="E115" i="1" l="1"/>
  <c r="C115" i="1" s="1"/>
  <c r="F115" i="1"/>
  <c r="E228" i="1"/>
  <c r="C228" i="1" s="1"/>
  <c r="F228" i="1"/>
  <c r="F229" i="1" l="1"/>
  <c r="E229" i="1"/>
  <c r="C229" i="1" s="1"/>
  <c r="F116" i="1"/>
  <c r="E116" i="1"/>
  <c r="C116" i="1" s="1"/>
  <c r="F117" i="1" l="1"/>
  <c r="E117" i="1"/>
  <c r="C117" i="1" s="1"/>
  <c r="E230" i="1"/>
  <c r="C230" i="1" s="1"/>
  <c r="F230" i="1"/>
  <c r="E231" i="1" l="1"/>
  <c r="C231" i="1" s="1"/>
  <c r="F231" i="1"/>
  <c r="F118" i="1"/>
  <c r="E118" i="1"/>
  <c r="C118" i="1" s="1"/>
  <c r="F119" i="1" l="1"/>
  <c r="E119" i="1"/>
  <c r="C119" i="1" s="1"/>
  <c r="E232" i="1"/>
  <c r="C232" i="1" s="1"/>
  <c r="F232" i="1"/>
  <c r="F233" i="1" l="1"/>
  <c r="E233" i="1"/>
  <c r="C233" i="1" s="1"/>
  <c r="E120" i="1"/>
  <c r="C120" i="1" s="1"/>
  <c r="F120" i="1"/>
  <c r="E121" i="1" l="1"/>
  <c r="C121" i="1" s="1"/>
  <c r="F121" i="1"/>
  <c r="F234" i="1"/>
  <c r="E234" i="1"/>
  <c r="C234" i="1" s="1"/>
  <c r="F235" i="1" l="1"/>
  <c r="E235" i="1"/>
  <c r="C235" i="1" s="1"/>
  <c r="E122" i="1"/>
  <c r="C122" i="1" s="1"/>
  <c r="F122" i="1"/>
  <c r="E123" i="1" l="1"/>
  <c r="C123" i="1" s="1"/>
  <c r="F123" i="1"/>
  <c r="F236" i="1"/>
  <c r="E236" i="1"/>
  <c r="C236" i="1" s="1"/>
  <c r="F124" i="1" l="1"/>
  <c r="E124" i="1"/>
  <c r="C124" i="1" s="1"/>
  <c r="F237" i="1"/>
  <c r="E237" i="1"/>
  <c r="C237" i="1" s="1"/>
  <c r="E238" i="1" l="1"/>
  <c r="C238" i="1" s="1"/>
  <c r="F238" i="1"/>
  <c r="F125" i="1"/>
  <c r="E125" i="1"/>
  <c r="C125" i="1" s="1"/>
  <c r="F126" i="1" l="1"/>
  <c r="E126" i="1"/>
  <c r="C126" i="1" s="1"/>
  <c r="E239" i="1"/>
  <c r="C239" i="1" s="1"/>
  <c r="F239" i="1"/>
  <c r="E240" i="1" l="1"/>
  <c r="C240" i="1" s="1"/>
  <c r="F240" i="1"/>
  <c r="F127" i="1"/>
  <c r="E127" i="1"/>
  <c r="C127" i="1" s="1"/>
  <c r="F241" i="1" l="1"/>
  <c r="E241" i="1"/>
  <c r="C241" i="1" s="1"/>
  <c r="E128" i="1"/>
  <c r="C128" i="1" s="1"/>
  <c r="F128" i="1"/>
  <c r="E129" i="1" l="1"/>
  <c r="C129" i="1" s="1"/>
  <c r="F129" i="1"/>
  <c r="F242" i="1"/>
  <c r="E242" i="1"/>
  <c r="C242" i="1" s="1"/>
  <c r="F243" i="1" l="1"/>
  <c r="E243" i="1"/>
  <c r="C243" i="1" s="1"/>
  <c r="E130" i="1"/>
  <c r="C130" i="1" s="1"/>
  <c r="F130" i="1"/>
  <c r="E131" i="1" l="1"/>
  <c r="C131" i="1" s="1"/>
  <c r="F131" i="1"/>
  <c r="F244" i="1"/>
  <c r="E244" i="1"/>
  <c r="C244" i="1" s="1"/>
  <c r="F132" i="1" l="1"/>
  <c r="E132" i="1"/>
  <c r="C132" i="1" s="1"/>
  <c r="F245" i="1"/>
  <c r="E245" i="1"/>
  <c r="C245" i="1" s="1"/>
  <c r="E246" i="1" l="1"/>
  <c r="C246" i="1" s="1"/>
  <c r="F246" i="1"/>
  <c r="F133" i="1"/>
  <c r="E133" i="1"/>
  <c r="C133" i="1" s="1"/>
  <c r="F134" i="1" l="1"/>
  <c r="E134" i="1"/>
  <c r="C134" i="1" s="1"/>
  <c r="E247" i="1"/>
  <c r="C247" i="1" s="1"/>
  <c r="F247" i="1"/>
  <c r="E248" i="1" l="1"/>
  <c r="C248" i="1" s="1"/>
  <c r="F248" i="1"/>
  <c r="F135" i="1"/>
  <c r="E135" i="1"/>
  <c r="C135" i="1" s="1"/>
  <c r="E136" i="1" l="1"/>
  <c r="C136" i="1" s="1"/>
  <c r="F136" i="1"/>
  <c r="F249" i="1"/>
  <c r="E249" i="1"/>
  <c r="C249" i="1" s="1"/>
  <c r="F250" i="1" l="1"/>
  <c r="E250" i="1"/>
  <c r="C250" i="1" s="1"/>
  <c r="E137" i="1"/>
  <c r="C137" i="1" s="1"/>
  <c r="F137" i="1"/>
  <c r="E138" i="1" l="1"/>
  <c r="C138" i="1" s="1"/>
  <c r="F138" i="1"/>
  <c r="F251" i="1"/>
  <c r="E251" i="1"/>
  <c r="C251" i="1" s="1"/>
  <c r="F252" i="1" l="1"/>
  <c r="E252" i="1"/>
  <c r="C252" i="1" s="1"/>
  <c r="E139" i="1"/>
  <c r="C139" i="1" s="1"/>
  <c r="F139" i="1"/>
  <c r="F140" i="1" l="1"/>
  <c r="E140" i="1"/>
  <c r="C140" i="1" s="1"/>
  <c r="F253" i="1"/>
  <c r="E253" i="1"/>
  <c r="C253" i="1" s="1"/>
  <c r="E254" i="1" l="1"/>
  <c r="C254" i="1" s="1"/>
  <c r="F254" i="1"/>
  <c r="F141" i="1"/>
  <c r="E141" i="1"/>
  <c r="C141" i="1" s="1"/>
  <c r="F142" i="1" l="1"/>
  <c r="E142" i="1"/>
  <c r="C142" i="1" s="1"/>
  <c r="E255" i="1"/>
  <c r="C255" i="1" s="1"/>
  <c r="F255" i="1"/>
  <c r="E256" i="1" l="1"/>
  <c r="C256" i="1" s="1"/>
  <c r="F256" i="1"/>
  <c r="E143" i="1"/>
  <c r="C143" i="1" s="1"/>
  <c r="F143" i="1"/>
  <c r="E144" i="1" l="1"/>
  <c r="C144" i="1" s="1"/>
  <c r="F144" i="1"/>
  <c r="F257" i="1"/>
  <c r="E257" i="1"/>
  <c r="C257" i="1" s="1"/>
  <c r="E145" i="1" l="1"/>
  <c r="C145" i="1" s="1"/>
  <c r="F145" i="1"/>
  <c r="F258" i="1"/>
  <c r="E258" i="1"/>
  <c r="C258" i="1" s="1"/>
  <c r="F259" i="1" l="1"/>
  <c r="E259" i="1"/>
  <c r="C259" i="1" s="1"/>
  <c r="E146" i="1"/>
  <c r="C146" i="1" s="1"/>
  <c r="F146" i="1"/>
  <c r="E147" i="1" l="1"/>
  <c r="C147" i="1" s="1"/>
  <c r="F147" i="1"/>
  <c r="E260" i="1"/>
  <c r="C260" i="1" s="1"/>
  <c r="F260" i="1"/>
  <c r="F261" i="1" l="1"/>
  <c r="E261" i="1"/>
  <c r="C261" i="1" s="1"/>
  <c r="F148" i="1"/>
  <c r="E148" i="1"/>
  <c r="C148" i="1" s="1"/>
  <c r="F149" i="1" l="1"/>
  <c r="E149" i="1"/>
  <c r="C149" i="1" s="1"/>
  <c r="E262" i="1"/>
  <c r="C262" i="1" s="1"/>
  <c r="F262" i="1"/>
  <c r="E263" i="1" l="1"/>
  <c r="C263" i="1" s="1"/>
  <c r="F263" i="1"/>
  <c r="F150" i="1"/>
  <c r="E150" i="1"/>
  <c r="C150" i="1" s="1"/>
  <c r="F151" i="1" l="1"/>
  <c r="E151" i="1"/>
  <c r="C151" i="1" s="1"/>
  <c r="E264" i="1"/>
  <c r="C264" i="1" s="1"/>
  <c r="F264" i="1"/>
  <c r="F265" i="1" l="1"/>
  <c r="E265" i="1"/>
  <c r="C265" i="1" s="1"/>
  <c r="F152" i="1"/>
  <c r="E152" i="1"/>
  <c r="C152" i="1" s="1"/>
  <c r="E153" i="1" l="1"/>
  <c r="C153" i="1" s="1"/>
  <c r="F153" i="1"/>
  <c r="F266" i="1"/>
  <c r="E266" i="1"/>
  <c r="C266" i="1" s="1"/>
  <c r="F267" i="1" l="1"/>
  <c r="E267" i="1"/>
  <c r="C267" i="1" s="1"/>
  <c r="E154" i="1"/>
  <c r="C154" i="1" s="1"/>
  <c r="F154" i="1"/>
  <c r="E155" i="1" l="1"/>
  <c r="C155" i="1" s="1"/>
  <c r="F155" i="1"/>
  <c r="F268" i="1"/>
  <c r="E268" i="1"/>
  <c r="C268" i="1" s="1"/>
  <c r="F269" i="1" l="1"/>
  <c r="E269" i="1"/>
  <c r="C269" i="1" s="1"/>
  <c r="F156" i="1"/>
  <c r="E156" i="1"/>
  <c r="C156" i="1" s="1"/>
  <c r="F157" i="1" l="1"/>
  <c r="E157" i="1"/>
  <c r="C157" i="1" s="1"/>
  <c r="E270" i="1"/>
  <c r="C270" i="1" s="1"/>
  <c r="F270" i="1"/>
  <c r="E271" i="1" l="1"/>
  <c r="C271" i="1" s="1"/>
  <c r="F271" i="1"/>
  <c r="F158" i="1"/>
  <c r="E158" i="1"/>
  <c r="C158" i="1" s="1"/>
  <c r="E159" i="1" l="1"/>
  <c r="C159" i="1" s="1"/>
  <c r="F159" i="1"/>
  <c r="E272" i="1"/>
  <c r="C272" i="1" s="1"/>
  <c r="F272" i="1"/>
  <c r="F273" i="1" l="1"/>
  <c r="E273" i="1"/>
  <c r="C273" i="1" s="1"/>
  <c r="F160" i="1"/>
  <c r="E160" i="1"/>
  <c r="C160" i="1" s="1"/>
  <c r="E161" i="1" l="1"/>
  <c r="C161" i="1" s="1"/>
  <c r="F161" i="1"/>
  <c r="F274" i="1"/>
  <c r="E274" i="1"/>
  <c r="C274" i="1" s="1"/>
  <c r="F275" i="1" l="1"/>
  <c r="E275" i="1"/>
  <c r="C275" i="1" s="1"/>
  <c r="E162" i="1"/>
  <c r="C162" i="1" s="1"/>
  <c r="F162" i="1"/>
  <c r="E163" i="1" l="1"/>
  <c r="C163" i="1" s="1"/>
  <c r="F163" i="1"/>
  <c r="F276" i="1"/>
  <c r="E276" i="1"/>
  <c r="C276" i="1" s="1"/>
  <c r="F277" i="1" l="1"/>
  <c r="E277" i="1"/>
  <c r="C277" i="1" s="1"/>
  <c r="F164" i="1"/>
  <c r="E164" i="1"/>
  <c r="C164" i="1" s="1"/>
  <c r="F165" i="1" l="1"/>
  <c r="E165" i="1"/>
  <c r="C165" i="1" s="1"/>
  <c r="E278" i="1"/>
  <c r="C278" i="1" s="1"/>
  <c r="F278" i="1"/>
  <c r="E279" i="1" l="1"/>
  <c r="C279" i="1" s="1"/>
  <c r="F279" i="1"/>
  <c r="F166" i="1"/>
  <c r="E166" i="1"/>
  <c r="C166" i="1" s="1"/>
  <c r="F167" i="1" l="1"/>
  <c r="E167" i="1"/>
  <c r="C167" i="1" s="1"/>
  <c r="E280" i="1"/>
  <c r="C280" i="1" s="1"/>
  <c r="F280" i="1"/>
  <c r="F281" i="1" l="1"/>
  <c r="E281" i="1"/>
  <c r="C281" i="1" s="1"/>
  <c r="F168" i="1"/>
  <c r="E168" i="1"/>
  <c r="C168" i="1" s="1"/>
  <c r="E169" i="1" l="1"/>
  <c r="C169" i="1" s="1"/>
  <c r="F169" i="1"/>
  <c r="F282" i="1"/>
  <c r="E282" i="1"/>
  <c r="C282" i="1" s="1"/>
  <c r="E283" i="1" l="1"/>
  <c r="C283" i="1" s="1"/>
  <c r="F283" i="1"/>
  <c r="E170" i="1"/>
  <c r="C170" i="1" s="1"/>
  <c r="F170" i="1"/>
  <c r="F284" i="1" l="1"/>
  <c r="E284" i="1"/>
  <c r="E171" i="1"/>
  <c r="C171" i="1" s="1"/>
  <c r="F171" i="1"/>
  <c r="F172" i="1" l="1"/>
  <c r="E172" i="1"/>
  <c r="C172" i="1" s="1"/>
  <c r="C284" i="1"/>
  <c r="E285" i="1"/>
  <c r="F173" i="1" l="1"/>
  <c r="E173" i="1"/>
  <c r="C173" i="1" l="1"/>
  <c r="E174" i="1"/>
</calcChain>
</file>

<file path=xl/sharedStrings.xml><?xml version="1.0" encoding="utf-8"?>
<sst xmlns="http://schemas.openxmlformats.org/spreadsheetml/2006/main" count="38" uniqueCount="30">
  <si>
    <t>Una empresa de transporte necesita renovar su flota de camiones para sus operaciones. Por este motivo el Director</t>
  </si>
  <si>
    <t>Financiero ha hablado con un banco para que le facilite un préstamo por importe de 700 mil euros.</t>
  </si>
  <si>
    <t>Este préstamo se firmará con las siguientes caracterísiticas:</t>
  </si>
  <si>
    <t>- Devolución de cuotas de amortización mensuales constantes durante los 8 años que dura el préstamo.</t>
  </si>
  <si>
    <t>- Tipo de interés nominal fijo del 1,5% anual pagadero mensualmente.</t>
  </si>
  <si>
    <t>a)</t>
  </si>
  <si>
    <t>De esta forma, el Director financiero nos solicita que le hagamos el cuadro de amortización del préstamo y que le</t>
  </si>
  <si>
    <t>indiquemos cuantos intereses tendríamos que pagar por toda la operación.</t>
  </si>
  <si>
    <t>b)</t>
  </si>
  <si>
    <t>Además, el Director Financiero ha acudido a otra entidad financiera y le han hecho una oferta que mantiene las mismas</t>
  </si>
  <si>
    <t>caracteristicas del préstamo anterior pero en la que el tipo de interés nominal no es fijo sino que se convierte en variable de EURIBOR</t>
  </si>
  <si>
    <t>más un diferencial del 0,5% que se irá revisando cada año, por lo que el Director Financiero nos solicita que le hagamos</t>
  </si>
  <si>
    <t>el cuadro de amortiación de este nuevo préstamo para poder analizar cuál de los dos solicitar.</t>
  </si>
  <si>
    <t>Nota: el tipo de del EURIBOR a fecha de firma es del 0,35% y la estimación del Director Financiero es que el EURIBOR</t>
  </si>
  <si>
    <t>empeorará a razón del 0,15% anual.</t>
  </si>
  <si>
    <t>Cuadro de amortización a tipo fijo</t>
  </si>
  <si>
    <t>Fecha</t>
  </si>
  <si>
    <t>Cuota a pagar</t>
  </si>
  <si>
    <t>Cuota de amortización</t>
  </si>
  <si>
    <t>Cuota de interés</t>
  </si>
  <si>
    <t>Capital pendiente</t>
  </si>
  <si>
    <t>Capital amortizado</t>
  </si>
  <si>
    <t>Tipo de interés anual firma</t>
  </si>
  <si>
    <t>Tipo de interes anual año 1</t>
  </si>
  <si>
    <t>Tipo de interes anual año 2</t>
  </si>
  <si>
    <t>Tipo de interes anual año 3</t>
  </si>
  <si>
    <t>Tipo de interes anual año 4</t>
  </si>
  <si>
    <t>Tipo de interes anual año 5</t>
  </si>
  <si>
    <t>Tipo de interes anual año 6</t>
  </si>
  <si>
    <t>Tipo de interes anual año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</si>
</sst>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"/>
  </numFmts>
  <fonts count="4" x14ac:knownFonts="1">
    <font>
      <sz val="10"/>
      <color rgb="FF000000"/>
      <name val="Arial"/>
    </font>
    <font>
      <sz val="11"/>
      <color rgb="FF000000"/>
      <name val="Calibri"/>
    </font>
    <font>
      <sz val="10"/>
      <color theme="1"/>
      <name val="Arial"/>
    </font>
    <font>
      <b/>
      <sz val="10"/>
      <color theme="1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164" fontId="2" fillId="0" borderId="1" xfId="0" applyNumberFormat="1" applyFont="1" applyBorder="1"/>
    <xf numFmtId="4" fontId="2" fillId="0" borderId="2" xfId="0" applyNumberFormat="1" applyFont="1" applyBorder="1"/>
    <xf numFmtId="4" fontId="2" fillId="0" borderId="3" xfId="0" applyNumberFormat="1" applyFont="1" applyBorder="1"/>
    <xf numFmtId="164" fontId="2" fillId="0" borderId="0" xfId="0" applyNumberFormat="1" applyFont="1"/>
    <xf numFmtId="4" fontId="2" fillId="0" borderId="0" xfId="0" applyNumberFormat="1" applyFont="1"/>
    <xf numFmtId="4" fontId="3" fillId="0" borderId="4" xfId="0" applyNumberFormat="1" applyFont="1" applyBorder="1"/>
    <xf numFmtId="10" fontId="2" fillId="0" borderId="0" xfId="0" applyNumberFormat="1" applyFont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4362450" cy="3152775"/>
    <xdr:pic>
      <xdr:nvPicPr>
        <xdr:cNvPr id="2" name="image2.png" title="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17</xdr:row>
      <xdr:rowOff>152400</xdr:rowOff>
    </xdr:from>
    <xdr:ext cx="4219575" cy="3295650"/>
    <xdr:pic>
      <xdr:nvPicPr>
        <xdr:cNvPr id="3" name="image3.png" title="Imagen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35</xdr:row>
      <xdr:rowOff>47625</xdr:rowOff>
    </xdr:from>
    <xdr:ext cx="4019550" cy="3143250"/>
    <xdr:pic>
      <xdr:nvPicPr>
        <xdr:cNvPr id="4" name="image1.png" title="Imagen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54:I285"/>
  <sheetViews>
    <sheetView tabSelected="1" workbookViewId="0"/>
  </sheetViews>
  <sheetFormatPr defaultColWidth="14.42578125" defaultRowHeight="15.75" customHeight="1" x14ac:dyDescent="0.2"/>
  <cols>
    <col min="4" max="4" width="20" customWidth="1"/>
    <col min="5" max="5" width="15.7109375" customWidth="1"/>
    <col min="6" max="6" width="16.140625" customWidth="1"/>
    <col min="7" max="7" width="17.7109375" customWidth="1"/>
  </cols>
  <sheetData>
    <row r="54" spans="1:9" ht="15.75" customHeight="1" x14ac:dyDescent="0.25">
      <c r="A54" s="1"/>
      <c r="B54" s="13" t="s">
        <v>0</v>
      </c>
      <c r="C54" s="14"/>
      <c r="D54" s="14"/>
      <c r="E54" s="14"/>
      <c r="F54" s="14"/>
      <c r="G54" s="14"/>
      <c r="H54" s="14"/>
      <c r="I54" s="14"/>
    </row>
    <row r="55" spans="1:9" ht="15.75" customHeight="1" x14ac:dyDescent="0.25">
      <c r="A55" s="1"/>
      <c r="B55" s="13" t="s">
        <v>1</v>
      </c>
      <c r="C55" s="14"/>
      <c r="D55" s="14"/>
      <c r="E55" s="14"/>
      <c r="F55" s="14"/>
      <c r="G55" s="14"/>
      <c r="H55" s="14"/>
      <c r="I55" s="14"/>
    </row>
    <row r="56" spans="1:9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</row>
    <row r="57" spans="1:9" ht="15.75" customHeight="1" x14ac:dyDescent="0.25">
      <c r="A57" s="1"/>
      <c r="B57" s="13" t="s">
        <v>2</v>
      </c>
      <c r="C57" s="14"/>
      <c r="D57" s="14"/>
      <c r="E57" s="14"/>
      <c r="F57" s="14"/>
      <c r="G57" s="1"/>
      <c r="H57" s="1"/>
      <c r="I57" s="1"/>
    </row>
    <row r="58" spans="1:9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</row>
    <row r="59" spans="1:9" ht="15.75" customHeight="1" x14ac:dyDescent="0.25">
      <c r="A59" s="1"/>
      <c r="B59" s="13" t="s">
        <v>3</v>
      </c>
      <c r="C59" s="14"/>
      <c r="D59" s="14"/>
      <c r="E59" s="14"/>
      <c r="F59" s="14"/>
      <c r="G59" s="14"/>
      <c r="H59" s="14"/>
      <c r="I59" s="14"/>
    </row>
    <row r="60" spans="1:9" ht="15.75" customHeight="1" x14ac:dyDescent="0.25">
      <c r="A60" s="1"/>
      <c r="B60" s="13" t="s">
        <v>4</v>
      </c>
      <c r="C60" s="14"/>
      <c r="D60" s="14"/>
      <c r="E60" s="14"/>
      <c r="F60" s="14"/>
      <c r="G60" s="1"/>
      <c r="H60" s="1"/>
      <c r="I60" s="1"/>
    </row>
    <row r="61" spans="1:9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</row>
    <row r="62" spans="1:9" ht="15.75" customHeight="1" x14ac:dyDescent="0.25">
      <c r="A62" s="1" t="s">
        <v>5</v>
      </c>
      <c r="B62" s="13" t="s">
        <v>6</v>
      </c>
      <c r="C62" s="14"/>
      <c r="D62" s="14"/>
      <c r="E62" s="14"/>
      <c r="F62" s="14"/>
      <c r="G62" s="14"/>
      <c r="H62" s="14"/>
      <c r="I62" s="14"/>
    </row>
    <row r="63" spans="1:9" ht="15.75" customHeight="1" x14ac:dyDescent="0.25">
      <c r="A63" s="1"/>
      <c r="B63" s="13" t="s">
        <v>7</v>
      </c>
      <c r="C63" s="14"/>
      <c r="D63" s="14"/>
      <c r="E63" s="14"/>
      <c r="F63" s="14"/>
      <c r="G63" s="14"/>
      <c r="H63" s="1"/>
      <c r="I63" s="1"/>
    </row>
    <row r="64" spans="1:9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</row>
    <row r="65" spans="1:9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</row>
    <row r="66" spans="1:9" ht="15.75" customHeight="1" x14ac:dyDescent="0.25">
      <c r="A66" s="1" t="s">
        <v>8</v>
      </c>
      <c r="B66" s="13" t="s">
        <v>9</v>
      </c>
      <c r="C66" s="14"/>
      <c r="D66" s="14"/>
      <c r="E66" s="14"/>
      <c r="F66" s="14"/>
      <c r="G66" s="14"/>
      <c r="H66" s="14"/>
      <c r="I66" s="14"/>
    </row>
    <row r="67" spans="1:9" ht="15.75" customHeight="1" x14ac:dyDescent="0.25">
      <c r="A67" s="1"/>
      <c r="B67" s="13" t="s">
        <v>10</v>
      </c>
      <c r="C67" s="14"/>
      <c r="D67" s="14"/>
      <c r="E67" s="14"/>
      <c r="F67" s="14"/>
      <c r="G67" s="14"/>
      <c r="H67" s="14"/>
      <c r="I67" s="14"/>
    </row>
    <row r="68" spans="1:9" ht="15.75" customHeight="1" x14ac:dyDescent="0.25">
      <c r="A68" s="1"/>
      <c r="B68" s="13" t="s">
        <v>11</v>
      </c>
      <c r="C68" s="14"/>
      <c r="D68" s="14"/>
      <c r="E68" s="14"/>
      <c r="F68" s="14"/>
      <c r="G68" s="14"/>
      <c r="H68" s="14"/>
      <c r="I68" s="14"/>
    </row>
    <row r="69" spans="1:9" ht="15.75" customHeight="1" x14ac:dyDescent="0.25">
      <c r="A69" s="1"/>
      <c r="B69" s="13" t="s">
        <v>12</v>
      </c>
      <c r="C69" s="14"/>
      <c r="D69" s="14"/>
      <c r="E69" s="14"/>
      <c r="F69" s="14"/>
      <c r="G69" s="14"/>
      <c r="H69" s="14"/>
      <c r="I69" s="14"/>
    </row>
    <row r="70" spans="1:9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</row>
    <row r="71" spans="1:9" ht="15.75" customHeight="1" x14ac:dyDescent="0.25">
      <c r="A71" s="1"/>
      <c r="B71" s="13" t="s">
        <v>13</v>
      </c>
      <c r="C71" s="14"/>
      <c r="D71" s="14"/>
      <c r="E71" s="14"/>
      <c r="F71" s="14"/>
      <c r="G71" s="14"/>
      <c r="H71" s="14"/>
      <c r="I71" s="14"/>
    </row>
    <row r="72" spans="1:9" ht="15.75" customHeight="1" x14ac:dyDescent="0.25">
      <c r="A72" s="1"/>
      <c r="B72" s="13" t="s">
        <v>14</v>
      </c>
      <c r="C72" s="14"/>
      <c r="D72" s="14"/>
      <c r="E72" s="1"/>
      <c r="F72" s="1"/>
      <c r="G72" s="1"/>
      <c r="H72" s="1"/>
      <c r="I72" s="1"/>
    </row>
    <row r="73" spans="1:9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</row>
    <row r="74" spans="1:9" x14ac:dyDescent="0.2">
      <c r="A74" s="2" t="s">
        <v>5</v>
      </c>
      <c r="B74" s="2" t="s">
        <v>15</v>
      </c>
    </row>
    <row r="76" spans="1:9" x14ac:dyDescent="0.2">
      <c r="B76" s="3" t="s">
        <v>16</v>
      </c>
      <c r="C76" s="4" t="s">
        <v>17</v>
      </c>
      <c r="D76" s="4" t="s">
        <v>18</v>
      </c>
      <c r="E76" s="4" t="s">
        <v>19</v>
      </c>
      <c r="F76" s="4" t="s">
        <v>20</v>
      </c>
      <c r="G76" s="5" t="s">
        <v>21</v>
      </c>
    </row>
    <row r="77" spans="1:9" x14ac:dyDescent="0.2">
      <c r="B77" s="6">
        <v>44378</v>
      </c>
      <c r="C77" s="7"/>
      <c r="D77" s="7"/>
      <c r="E77" s="7"/>
      <c r="F77" s="7">
        <v>700000</v>
      </c>
      <c r="G77" s="8"/>
    </row>
    <row r="78" spans="1:9" x14ac:dyDescent="0.2">
      <c r="B78" s="6">
        <v>44409</v>
      </c>
      <c r="C78" s="7">
        <f t="shared" ref="C78:C173" si="0">D78+E78</f>
        <v>8166.666666666667</v>
      </c>
      <c r="D78" s="7">
        <f t="shared" ref="D78:D173" si="1">700000/(8*12)</f>
        <v>7291.666666666667</v>
      </c>
      <c r="E78" s="7">
        <f t="shared" ref="E78:E173" si="2">F77*(1.5%/12)</f>
        <v>875</v>
      </c>
      <c r="F78" s="7">
        <f t="shared" ref="F78:F173" si="3">F77-D78</f>
        <v>692708.33333333337</v>
      </c>
      <c r="G78" s="8">
        <f t="shared" ref="G78:G173" si="4">G77+D78</f>
        <v>7291.666666666667</v>
      </c>
    </row>
    <row r="79" spans="1:9" x14ac:dyDescent="0.2">
      <c r="B79" s="6">
        <v>44440</v>
      </c>
      <c r="C79" s="7">
        <f t="shared" si="0"/>
        <v>8157.5520833333339</v>
      </c>
      <c r="D79" s="7">
        <f t="shared" si="1"/>
        <v>7291.666666666667</v>
      </c>
      <c r="E79" s="7">
        <f t="shared" si="2"/>
        <v>865.88541666666674</v>
      </c>
      <c r="F79" s="7">
        <f t="shared" si="3"/>
        <v>685416.66666666674</v>
      </c>
      <c r="G79" s="8">
        <f t="shared" si="4"/>
        <v>14583.333333333334</v>
      </c>
    </row>
    <row r="80" spans="1:9" x14ac:dyDescent="0.2">
      <c r="B80" s="6">
        <v>44470</v>
      </c>
      <c r="C80" s="7">
        <f t="shared" si="0"/>
        <v>8148.4375</v>
      </c>
      <c r="D80" s="7">
        <f t="shared" si="1"/>
        <v>7291.666666666667</v>
      </c>
      <c r="E80" s="7">
        <f t="shared" si="2"/>
        <v>856.77083333333348</v>
      </c>
      <c r="F80" s="7">
        <f t="shared" si="3"/>
        <v>678125.00000000012</v>
      </c>
      <c r="G80" s="8">
        <f t="shared" si="4"/>
        <v>21875</v>
      </c>
    </row>
    <row r="81" spans="2:7" x14ac:dyDescent="0.2">
      <c r="B81" s="6">
        <v>44501</v>
      </c>
      <c r="C81" s="7">
        <f t="shared" si="0"/>
        <v>8139.322916666667</v>
      </c>
      <c r="D81" s="7">
        <f t="shared" si="1"/>
        <v>7291.666666666667</v>
      </c>
      <c r="E81" s="7">
        <f t="shared" si="2"/>
        <v>847.65625000000011</v>
      </c>
      <c r="F81" s="7">
        <f t="shared" si="3"/>
        <v>670833.33333333349</v>
      </c>
      <c r="G81" s="8">
        <f t="shared" si="4"/>
        <v>29166.666666666668</v>
      </c>
    </row>
    <row r="82" spans="2:7" x14ac:dyDescent="0.2">
      <c r="B82" s="6">
        <v>44531</v>
      </c>
      <c r="C82" s="7">
        <f t="shared" si="0"/>
        <v>8130.2083333333339</v>
      </c>
      <c r="D82" s="7">
        <f t="shared" si="1"/>
        <v>7291.666666666667</v>
      </c>
      <c r="E82" s="7">
        <f t="shared" si="2"/>
        <v>838.54166666666686</v>
      </c>
      <c r="F82" s="7">
        <f t="shared" si="3"/>
        <v>663541.66666666686</v>
      </c>
      <c r="G82" s="8">
        <f t="shared" si="4"/>
        <v>36458.333333333336</v>
      </c>
    </row>
    <row r="83" spans="2:7" x14ac:dyDescent="0.2">
      <c r="B83" s="6">
        <v>44562</v>
      </c>
      <c r="C83" s="7">
        <f t="shared" si="0"/>
        <v>8121.0937500000009</v>
      </c>
      <c r="D83" s="7">
        <f t="shared" si="1"/>
        <v>7291.666666666667</v>
      </c>
      <c r="E83" s="7">
        <f t="shared" si="2"/>
        <v>829.4270833333336</v>
      </c>
      <c r="F83" s="7">
        <f t="shared" si="3"/>
        <v>656250.00000000023</v>
      </c>
      <c r="G83" s="8">
        <f t="shared" si="4"/>
        <v>43750</v>
      </c>
    </row>
    <row r="84" spans="2:7" x14ac:dyDescent="0.2">
      <c r="B84" s="6">
        <v>44593</v>
      </c>
      <c r="C84" s="7">
        <f t="shared" si="0"/>
        <v>8111.979166666667</v>
      </c>
      <c r="D84" s="7">
        <f t="shared" si="1"/>
        <v>7291.666666666667</v>
      </c>
      <c r="E84" s="7">
        <f t="shared" si="2"/>
        <v>820.31250000000034</v>
      </c>
      <c r="F84" s="7">
        <f t="shared" si="3"/>
        <v>648958.3333333336</v>
      </c>
      <c r="G84" s="8">
        <f t="shared" si="4"/>
        <v>51041.666666666664</v>
      </c>
    </row>
    <row r="85" spans="2:7" x14ac:dyDescent="0.2">
      <c r="B85" s="6">
        <v>44621</v>
      </c>
      <c r="C85" s="7">
        <f t="shared" si="0"/>
        <v>8102.8645833333339</v>
      </c>
      <c r="D85" s="7">
        <f t="shared" si="1"/>
        <v>7291.666666666667</v>
      </c>
      <c r="E85" s="7">
        <f t="shared" si="2"/>
        <v>811.19791666666697</v>
      </c>
      <c r="F85" s="7">
        <f t="shared" si="3"/>
        <v>641666.66666666698</v>
      </c>
      <c r="G85" s="8">
        <f t="shared" si="4"/>
        <v>58333.333333333328</v>
      </c>
    </row>
    <row r="86" spans="2:7" x14ac:dyDescent="0.2">
      <c r="B86" s="6">
        <v>44652</v>
      </c>
      <c r="C86" s="7">
        <f t="shared" si="0"/>
        <v>8093.7500000000009</v>
      </c>
      <c r="D86" s="7">
        <f t="shared" si="1"/>
        <v>7291.666666666667</v>
      </c>
      <c r="E86" s="7">
        <f t="shared" si="2"/>
        <v>802.08333333333371</v>
      </c>
      <c r="F86" s="7">
        <f t="shared" si="3"/>
        <v>634375.00000000035</v>
      </c>
      <c r="G86" s="8">
        <f t="shared" si="4"/>
        <v>65625</v>
      </c>
    </row>
    <row r="87" spans="2:7" x14ac:dyDescent="0.2">
      <c r="B87" s="6">
        <v>44682</v>
      </c>
      <c r="C87" s="7">
        <f t="shared" si="0"/>
        <v>8084.6354166666679</v>
      </c>
      <c r="D87" s="7">
        <f t="shared" si="1"/>
        <v>7291.666666666667</v>
      </c>
      <c r="E87" s="7">
        <f t="shared" si="2"/>
        <v>792.96875000000045</v>
      </c>
      <c r="F87" s="7">
        <f t="shared" si="3"/>
        <v>627083.33333333372</v>
      </c>
      <c r="G87" s="8">
        <f t="shared" si="4"/>
        <v>72916.666666666672</v>
      </c>
    </row>
    <row r="88" spans="2:7" x14ac:dyDescent="0.2">
      <c r="B88" s="6">
        <v>44713</v>
      </c>
      <c r="C88" s="7">
        <f t="shared" si="0"/>
        <v>8075.5208333333339</v>
      </c>
      <c r="D88" s="7">
        <f t="shared" si="1"/>
        <v>7291.666666666667</v>
      </c>
      <c r="E88" s="7">
        <f t="shared" si="2"/>
        <v>783.8541666666672</v>
      </c>
      <c r="F88" s="7">
        <f t="shared" si="3"/>
        <v>619791.66666666709</v>
      </c>
      <c r="G88" s="8">
        <f t="shared" si="4"/>
        <v>80208.333333333343</v>
      </c>
    </row>
    <row r="89" spans="2:7" x14ac:dyDescent="0.2">
      <c r="B89" s="6">
        <v>44743</v>
      </c>
      <c r="C89" s="7">
        <f t="shared" si="0"/>
        <v>8066.4062500000009</v>
      </c>
      <c r="D89" s="7">
        <f t="shared" si="1"/>
        <v>7291.666666666667</v>
      </c>
      <c r="E89" s="7">
        <f t="shared" si="2"/>
        <v>774.73958333333394</v>
      </c>
      <c r="F89" s="7">
        <f t="shared" si="3"/>
        <v>612500.00000000047</v>
      </c>
      <c r="G89" s="8">
        <f t="shared" si="4"/>
        <v>87500.000000000015</v>
      </c>
    </row>
    <row r="90" spans="2:7" x14ac:dyDescent="0.2">
      <c r="B90" s="6">
        <v>44774</v>
      </c>
      <c r="C90" s="7">
        <f t="shared" si="0"/>
        <v>8057.2916666666679</v>
      </c>
      <c r="D90" s="7">
        <f t="shared" si="1"/>
        <v>7291.666666666667</v>
      </c>
      <c r="E90" s="7">
        <f t="shared" si="2"/>
        <v>765.62500000000057</v>
      </c>
      <c r="F90" s="7">
        <f t="shared" si="3"/>
        <v>605208.33333333384</v>
      </c>
      <c r="G90" s="8">
        <f t="shared" si="4"/>
        <v>94791.666666666686</v>
      </c>
    </row>
    <row r="91" spans="2:7" x14ac:dyDescent="0.2">
      <c r="B91" s="6">
        <v>44805</v>
      </c>
      <c r="C91" s="7">
        <f t="shared" si="0"/>
        <v>8048.1770833333339</v>
      </c>
      <c r="D91" s="7">
        <f t="shared" si="1"/>
        <v>7291.666666666667</v>
      </c>
      <c r="E91" s="7">
        <f t="shared" si="2"/>
        <v>756.51041666666731</v>
      </c>
      <c r="F91" s="7">
        <f t="shared" si="3"/>
        <v>597916.66666666721</v>
      </c>
      <c r="G91" s="8">
        <f t="shared" si="4"/>
        <v>102083.33333333336</v>
      </c>
    </row>
    <row r="92" spans="2:7" x14ac:dyDescent="0.2">
      <c r="B92" s="6">
        <v>44835</v>
      </c>
      <c r="C92" s="7">
        <f t="shared" si="0"/>
        <v>8039.0625000000009</v>
      </c>
      <c r="D92" s="7">
        <f t="shared" si="1"/>
        <v>7291.666666666667</v>
      </c>
      <c r="E92" s="7">
        <f t="shared" si="2"/>
        <v>747.39583333333405</v>
      </c>
      <c r="F92" s="7">
        <f t="shared" si="3"/>
        <v>590625.00000000058</v>
      </c>
      <c r="G92" s="8">
        <f t="shared" si="4"/>
        <v>109375.00000000003</v>
      </c>
    </row>
    <row r="93" spans="2:7" x14ac:dyDescent="0.2">
      <c r="B93" s="6">
        <v>44866</v>
      </c>
      <c r="C93" s="7">
        <f t="shared" si="0"/>
        <v>8029.9479166666679</v>
      </c>
      <c r="D93" s="7">
        <f t="shared" si="1"/>
        <v>7291.666666666667</v>
      </c>
      <c r="E93" s="7">
        <f t="shared" si="2"/>
        <v>738.2812500000008</v>
      </c>
      <c r="F93" s="7">
        <f t="shared" si="3"/>
        <v>583333.33333333395</v>
      </c>
      <c r="G93" s="8">
        <f t="shared" si="4"/>
        <v>116666.6666666667</v>
      </c>
    </row>
    <row r="94" spans="2:7" x14ac:dyDescent="0.2">
      <c r="B94" s="6">
        <v>44896</v>
      </c>
      <c r="C94" s="7">
        <f t="shared" si="0"/>
        <v>8020.8333333333339</v>
      </c>
      <c r="D94" s="7">
        <f t="shared" si="1"/>
        <v>7291.666666666667</v>
      </c>
      <c r="E94" s="7">
        <f t="shared" si="2"/>
        <v>729.16666666666742</v>
      </c>
      <c r="F94" s="7">
        <f t="shared" si="3"/>
        <v>576041.66666666733</v>
      </c>
      <c r="G94" s="8">
        <f t="shared" si="4"/>
        <v>123958.33333333337</v>
      </c>
    </row>
    <row r="95" spans="2:7" x14ac:dyDescent="0.2">
      <c r="B95" s="6">
        <v>44927</v>
      </c>
      <c r="C95" s="7">
        <f t="shared" si="0"/>
        <v>8011.7187500000009</v>
      </c>
      <c r="D95" s="7">
        <f t="shared" si="1"/>
        <v>7291.666666666667</v>
      </c>
      <c r="E95" s="7">
        <f t="shared" si="2"/>
        <v>720.05208333333417</v>
      </c>
      <c r="F95" s="7">
        <f t="shared" si="3"/>
        <v>568750.0000000007</v>
      </c>
      <c r="G95" s="8">
        <f t="shared" si="4"/>
        <v>131250.00000000003</v>
      </c>
    </row>
    <row r="96" spans="2:7" x14ac:dyDescent="0.2">
      <c r="B96" s="6">
        <v>44958</v>
      </c>
      <c r="C96" s="7">
        <f t="shared" si="0"/>
        <v>8002.6041666666679</v>
      </c>
      <c r="D96" s="7">
        <f t="shared" si="1"/>
        <v>7291.666666666667</v>
      </c>
      <c r="E96" s="7">
        <f t="shared" si="2"/>
        <v>710.93750000000091</v>
      </c>
      <c r="F96" s="7">
        <f t="shared" si="3"/>
        <v>561458.33333333407</v>
      </c>
      <c r="G96" s="8">
        <f t="shared" si="4"/>
        <v>138541.66666666669</v>
      </c>
    </row>
    <row r="97" spans="2:7" x14ac:dyDescent="0.2">
      <c r="B97" s="6">
        <v>44986</v>
      </c>
      <c r="C97" s="7">
        <f t="shared" si="0"/>
        <v>7993.4895833333348</v>
      </c>
      <c r="D97" s="7">
        <f t="shared" si="1"/>
        <v>7291.666666666667</v>
      </c>
      <c r="E97" s="7">
        <f t="shared" si="2"/>
        <v>701.82291666666765</v>
      </c>
      <c r="F97" s="7">
        <f t="shared" si="3"/>
        <v>554166.66666666744</v>
      </c>
      <c r="G97" s="8">
        <f t="shared" si="4"/>
        <v>145833.33333333334</v>
      </c>
    </row>
    <row r="98" spans="2:7" x14ac:dyDescent="0.2">
      <c r="B98" s="6">
        <v>45017</v>
      </c>
      <c r="C98" s="7">
        <f t="shared" si="0"/>
        <v>7984.3750000000009</v>
      </c>
      <c r="D98" s="7">
        <f t="shared" si="1"/>
        <v>7291.666666666667</v>
      </c>
      <c r="E98" s="7">
        <f t="shared" si="2"/>
        <v>692.70833333333428</v>
      </c>
      <c r="F98" s="7">
        <f t="shared" si="3"/>
        <v>546875.00000000081</v>
      </c>
      <c r="G98" s="8">
        <f t="shared" si="4"/>
        <v>153125</v>
      </c>
    </row>
    <row r="99" spans="2:7" x14ac:dyDescent="0.2">
      <c r="B99" s="6">
        <v>45047</v>
      </c>
      <c r="C99" s="7">
        <f t="shared" si="0"/>
        <v>7975.2604166666679</v>
      </c>
      <c r="D99" s="7">
        <f t="shared" si="1"/>
        <v>7291.666666666667</v>
      </c>
      <c r="E99" s="7">
        <f t="shared" si="2"/>
        <v>683.59375000000102</v>
      </c>
      <c r="F99" s="7">
        <f t="shared" si="3"/>
        <v>539583.33333333419</v>
      </c>
      <c r="G99" s="8">
        <f t="shared" si="4"/>
        <v>160416.66666666666</v>
      </c>
    </row>
    <row r="100" spans="2:7" x14ac:dyDescent="0.2">
      <c r="B100" s="6">
        <v>45078</v>
      </c>
      <c r="C100" s="7">
        <f t="shared" si="0"/>
        <v>7966.1458333333348</v>
      </c>
      <c r="D100" s="7">
        <f t="shared" si="1"/>
        <v>7291.666666666667</v>
      </c>
      <c r="E100" s="7">
        <f t="shared" si="2"/>
        <v>674.47916666666777</v>
      </c>
      <c r="F100" s="7">
        <f t="shared" si="3"/>
        <v>532291.66666666756</v>
      </c>
      <c r="G100" s="8">
        <f t="shared" si="4"/>
        <v>167708.33333333331</v>
      </c>
    </row>
    <row r="101" spans="2:7" x14ac:dyDescent="0.2">
      <c r="B101" s="6">
        <v>45108</v>
      </c>
      <c r="C101" s="7">
        <f t="shared" si="0"/>
        <v>7957.0312500000018</v>
      </c>
      <c r="D101" s="7">
        <f t="shared" si="1"/>
        <v>7291.666666666667</v>
      </c>
      <c r="E101" s="7">
        <f t="shared" si="2"/>
        <v>665.36458333333451</v>
      </c>
      <c r="F101" s="7">
        <f t="shared" si="3"/>
        <v>525000.00000000093</v>
      </c>
      <c r="G101" s="8">
        <f t="shared" si="4"/>
        <v>174999.99999999997</v>
      </c>
    </row>
    <row r="102" spans="2:7" x14ac:dyDescent="0.2">
      <c r="B102" s="6">
        <v>45139</v>
      </c>
      <c r="C102" s="7">
        <f t="shared" si="0"/>
        <v>7947.9166666666679</v>
      </c>
      <c r="D102" s="7">
        <f t="shared" si="1"/>
        <v>7291.666666666667</v>
      </c>
      <c r="E102" s="7">
        <f t="shared" si="2"/>
        <v>656.25000000000114</v>
      </c>
      <c r="F102" s="7">
        <f t="shared" si="3"/>
        <v>517708.33333333425</v>
      </c>
      <c r="G102" s="8">
        <f t="shared" si="4"/>
        <v>182291.66666666663</v>
      </c>
    </row>
    <row r="103" spans="2:7" x14ac:dyDescent="0.2">
      <c r="B103" s="6">
        <v>45170</v>
      </c>
      <c r="C103" s="7">
        <f t="shared" si="0"/>
        <v>7938.8020833333348</v>
      </c>
      <c r="D103" s="7">
        <f t="shared" si="1"/>
        <v>7291.666666666667</v>
      </c>
      <c r="E103" s="7">
        <f t="shared" si="2"/>
        <v>647.13541666666777</v>
      </c>
      <c r="F103" s="7">
        <f t="shared" si="3"/>
        <v>510416.66666666756</v>
      </c>
      <c r="G103" s="8">
        <f t="shared" si="4"/>
        <v>189583.33333333328</v>
      </c>
    </row>
    <row r="104" spans="2:7" x14ac:dyDescent="0.2">
      <c r="B104" s="6">
        <v>45200</v>
      </c>
      <c r="C104" s="7">
        <f t="shared" si="0"/>
        <v>7929.6875000000018</v>
      </c>
      <c r="D104" s="7">
        <f t="shared" si="1"/>
        <v>7291.666666666667</v>
      </c>
      <c r="E104" s="7">
        <f t="shared" si="2"/>
        <v>638.02083333333451</v>
      </c>
      <c r="F104" s="7">
        <f t="shared" si="3"/>
        <v>503125.00000000087</v>
      </c>
      <c r="G104" s="8">
        <f t="shared" si="4"/>
        <v>196874.99999999994</v>
      </c>
    </row>
    <row r="105" spans="2:7" x14ac:dyDescent="0.2">
      <c r="B105" s="6">
        <v>45231</v>
      </c>
      <c r="C105" s="7">
        <f t="shared" si="0"/>
        <v>7920.5729166666679</v>
      </c>
      <c r="D105" s="7">
        <f t="shared" si="1"/>
        <v>7291.666666666667</v>
      </c>
      <c r="E105" s="7">
        <f t="shared" si="2"/>
        <v>628.90625000000114</v>
      </c>
      <c r="F105" s="7">
        <f t="shared" si="3"/>
        <v>495833.33333333419</v>
      </c>
      <c r="G105" s="8">
        <f t="shared" si="4"/>
        <v>204166.6666666666</v>
      </c>
    </row>
    <row r="106" spans="2:7" x14ac:dyDescent="0.2">
      <c r="B106" s="6">
        <v>45261</v>
      </c>
      <c r="C106" s="7">
        <f t="shared" si="0"/>
        <v>7911.4583333333348</v>
      </c>
      <c r="D106" s="7">
        <f t="shared" si="1"/>
        <v>7291.666666666667</v>
      </c>
      <c r="E106" s="7">
        <f t="shared" si="2"/>
        <v>619.79166666666777</v>
      </c>
      <c r="F106" s="7">
        <f t="shared" si="3"/>
        <v>488541.6666666675</v>
      </c>
      <c r="G106" s="8">
        <f t="shared" si="4"/>
        <v>211458.33333333326</v>
      </c>
    </row>
    <row r="107" spans="2:7" x14ac:dyDescent="0.2">
      <c r="B107" s="6">
        <v>45292</v>
      </c>
      <c r="C107" s="7">
        <f t="shared" si="0"/>
        <v>7902.3437500000018</v>
      </c>
      <c r="D107" s="7">
        <f t="shared" si="1"/>
        <v>7291.666666666667</v>
      </c>
      <c r="E107" s="7">
        <f t="shared" si="2"/>
        <v>610.67708333333439</v>
      </c>
      <c r="F107" s="7">
        <f t="shared" si="3"/>
        <v>481250.00000000081</v>
      </c>
      <c r="G107" s="8">
        <f t="shared" si="4"/>
        <v>218749.99999999991</v>
      </c>
    </row>
    <row r="108" spans="2:7" x14ac:dyDescent="0.2">
      <c r="B108" s="6">
        <v>45323</v>
      </c>
      <c r="C108" s="7">
        <f t="shared" si="0"/>
        <v>7893.2291666666679</v>
      </c>
      <c r="D108" s="7">
        <f t="shared" si="1"/>
        <v>7291.666666666667</v>
      </c>
      <c r="E108" s="7">
        <f t="shared" si="2"/>
        <v>601.56250000000102</v>
      </c>
      <c r="F108" s="7">
        <f t="shared" si="3"/>
        <v>473958.33333333413</v>
      </c>
      <c r="G108" s="8">
        <f t="shared" si="4"/>
        <v>226041.66666666657</v>
      </c>
    </row>
    <row r="109" spans="2:7" x14ac:dyDescent="0.2">
      <c r="B109" s="6">
        <v>45352</v>
      </c>
      <c r="C109" s="7">
        <f t="shared" si="0"/>
        <v>7884.1145833333348</v>
      </c>
      <c r="D109" s="7">
        <f t="shared" si="1"/>
        <v>7291.666666666667</v>
      </c>
      <c r="E109" s="7">
        <f t="shared" si="2"/>
        <v>592.44791666666765</v>
      </c>
      <c r="F109" s="7">
        <f t="shared" si="3"/>
        <v>466666.66666666744</v>
      </c>
      <c r="G109" s="8">
        <f t="shared" si="4"/>
        <v>233333.33333333323</v>
      </c>
    </row>
    <row r="110" spans="2:7" x14ac:dyDescent="0.2">
      <c r="B110" s="6">
        <v>45383</v>
      </c>
      <c r="C110" s="7">
        <f t="shared" si="0"/>
        <v>7875.0000000000009</v>
      </c>
      <c r="D110" s="7">
        <f t="shared" si="1"/>
        <v>7291.666666666667</v>
      </c>
      <c r="E110" s="7">
        <f t="shared" si="2"/>
        <v>583.33333333333428</v>
      </c>
      <c r="F110" s="7">
        <f t="shared" si="3"/>
        <v>459375.00000000076</v>
      </c>
      <c r="G110" s="8">
        <f t="shared" si="4"/>
        <v>240624.99999999988</v>
      </c>
    </row>
    <row r="111" spans="2:7" x14ac:dyDescent="0.2">
      <c r="B111" s="6">
        <v>45413</v>
      </c>
      <c r="C111" s="7">
        <f t="shared" si="0"/>
        <v>7865.8854166666679</v>
      </c>
      <c r="D111" s="7">
        <f t="shared" si="1"/>
        <v>7291.666666666667</v>
      </c>
      <c r="E111" s="7">
        <f t="shared" si="2"/>
        <v>574.21875000000091</v>
      </c>
      <c r="F111" s="7">
        <f t="shared" si="3"/>
        <v>452083.33333333407</v>
      </c>
      <c r="G111" s="8">
        <f t="shared" si="4"/>
        <v>247916.66666666654</v>
      </c>
    </row>
    <row r="112" spans="2:7" x14ac:dyDescent="0.2">
      <c r="B112" s="6">
        <v>45444</v>
      </c>
      <c r="C112" s="7">
        <f t="shared" si="0"/>
        <v>7856.7708333333348</v>
      </c>
      <c r="D112" s="7">
        <f t="shared" si="1"/>
        <v>7291.666666666667</v>
      </c>
      <c r="E112" s="7">
        <f t="shared" si="2"/>
        <v>565.10416666666765</v>
      </c>
      <c r="F112" s="7">
        <f t="shared" si="3"/>
        <v>444791.66666666738</v>
      </c>
      <c r="G112" s="8">
        <f t="shared" si="4"/>
        <v>255208.3333333332</v>
      </c>
    </row>
    <row r="113" spans="2:7" x14ac:dyDescent="0.2">
      <c r="B113" s="6">
        <v>45474</v>
      </c>
      <c r="C113" s="7">
        <f t="shared" si="0"/>
        <v>7847.6562500000009</v>
      </c>
      <c r="D113" s="7">
        <f t="shared" si="1"/>
        <v>7291.666666666667</v>
      </c>
      <c r="E113" s="7">
        <f t="shared" si="2"/>
        <v>555.98958333333428</v>
      </c>
      <c r="F113" s="7">
        <f t="shared" si="3"/>
        <v>437500.0000000007</v>
      </c>
      <c r="G113" s="8">
        <f t="shared" si="4"/>
        <v>262499.99999999988</v>
      </c>
    </row>
    <row r="114" spans="2:7" x14ac:dyDescent="0.2">
      <c r="B114" s="6">
        <v>45505</v>
      </c>
      <c r="C114" s="7">
        <f t="shared" si="0"/>
        <v>7838.5416666666679</v>
      </c>
      <c r="D114" s="7">
        <f t="shared" si="1"/>
        <v>7291.666666666667</v>
      </c>
      <c r="E114" s="7">
        <f t="shared" si="2"/>
        <v>546.87500000000091</v>
      </c>
      <c r="F114" s="7">
        <f t="shared" si="3"/>
        <v>430208.33333333401</v>
      </c>
      <c r="G114" s="8">
        <f t="shared" si="4"/>
        <v>269791.66666666657</v>
      </c>
    </row>
    <row r="115" spans="2:7" x14ac:dyDescent="0.2">
      <c r="B115" s="6">
        <v>45536</v>
      </c>
      <c r="C115" s="7">
        <f t="shared" si="0"/>
        <v>7829.4270833333348</v>
      </c>
      <c r="D115" s="7">
        <f t="shared" si="1"/>
        <v>7291.666666666667</v>
      </c>
      <c r="E115" s="7">
        <f t="shared" si="2"/>
        <v>537.76041666666754</v>
      </c>
      <c r="F115" s="7">
        <f t="shared" si="3"/>
        <v>422916.66666666733</v>
      </c>
      <c r="G115" s="8">
        <f t="shared" si="4"/>
        <v>277083.33333333326</v>
      </c>
    </row>
    <row r="116" spans="2:7" x14ac:dyDescent="0.2">
      <c r="B116" s="6">
        <v>45566</v>
      </c>
      <c r="C116" s="7">
        <f t="shared" si="0"/>
        <v>7820.3125000000009</v>
      </c>
      <c r="D116" s="7">
        <f t="shared" si="1"/>
        <v>7291.666666666667</v>
      </c>
      <c r="E116" s="7">
        <f t="shared" si="2"/>
        <v>528.64583333333417</v>
      </c>
      <c r="F116" s="7">
        <f t="shared" si="3"/>
        <v>415625.00000000064</v>
      </c>
      <c r="G116" s="8">
        <f t="shared" si="4"/>
        <v>284374.99999999994</v>
      </c>
    </row>
    <row r="117" spans="2:7" x14ac:dyDescent="0.2">
      <c r="B117" s="6">
        <v>45597</v>
      </c>
      <c r="C117" s="7">
        <f t="shared" si="0"/>
        <v>7811.1979166666679</v>
      </c>
      <c r="D117" s="7">
        <f t="shared" si="1"/>
        <v>7291.666666666667</v>
      </c>
      <c r="E117" s="7">
        <f t="shared" si="2"/>
        <v>519.5312500000008</v>
      </c>
      <c r="F117" s="7">
        <f t="shared" si="3"/>
        <v>408333.33333333395</v>
      </c>
      <c r="G117" s="8">
        <f t="shared" si="4"/>
        <v>291666.66666666663</v>
      </c>
    </row>
    <row r="118" spans="2:7" x14ac:dyDescent="0.2">
      <c r="B118" s="6">
        <v>45627</v>
      </c>
      <c r="C118" s="7">
        <f t="shared" si="0"/>
        <v>7802.0833333333348</v>
      </c>
      <c r="D118" s="7">
        <f t="shared" si="1"/>
        <v>7291.666666666667</v>
      </c>
      <c r="E118" s="7">
        <f t="shared" si="2"/>
        <v>510.41666666666748</v>
      </c>
      <c r="F118" s="7">
        <f t="shared" si="3"/>
        <v>401041.66666666727</v>
      </c>
      <c r="G118" s="8">
        <f t="shared" si="4"/>
        <v>298958.33333333331</v>
      </c>
    </row>
    <row r="119" spans="2:7" x14ac:dyDescent="0.2">
      <c r="B119" s="6">
        <v>45658</v>
      </c>
      <c r="C119" s="7">
        <f t="shared" si="0"/>
        <v>7792.9687500000009</v>
      </c>
      <c r="D119" s="7">
        <f t="shared" si="1"/>
        <v>7291.666666666667</v>
      </c>
      <c r="E119" s="7">
        <f t="shared" si="2"/>
        <v>501.30208333333411</v>
      </c>
      <c r="F119" s="7">
        <f t="shared" si="3"/>
        <v>393750.00000000058</v>
      </c>
      <c r="G119" s="8">
        <f t="shared" si="4"/>
        <v>306250</v>
      </c>
    </row>
    <row r="120" spans="2:7" x14ac:dyDescent="0.2">
      <c r="B120" s="6">
        <v>45689</v>
      </c>
      <c r="C120" s="7">
        <f t="shared" si="0"/>
        <v>7783.8541666666679</v>
      </c>
      <c r="D120" s="7">
        <f t="shared" si="1"/>
        <v>7291.666666666667</v>
      </c>
      <c r="E120" s="7">
        <f t="shared" si="2"/>
        <v>492.18750000000074</v>
      </c>
      <c r="F120" s="7">
        <f t="shared" si="3"/>
        <v>386458.3333333339</v>
      </c>
      <c r="G120" s="8">
        <f t="shared" si="4"/>
        <v>313541.66666666669</v>
      </c>
    </row>
    <row r="121" spans="2:7" x14ac:dyDescent="0.2">
      <c r="B121" s="6">
        <v>45717</v>
      </c>
      <c r="C121" s="7">
        <f t="shared" si="0"/>
        <v>7774.7395833333339</v>
      </c>
      <c r="D121" s="7">
        <f t="shared" si="1"/>
        <v>7291.666666666667</v>
      </c>
      <c r="E121" s="7">
        <f t="shared" si="2"/>
        <v>483.07291666666737</v>
      </c>
      <c r="F121" s="7">
        <f t="shared" si="3"/>
        <v>379166.66666666721</v>
      </c>
      <c r="G121" s="8">
        <f t="shared" si="4"/>
        <v>320833.33333333337</v>
      </c>
    </row>
    <row r="122" spans="2:7" x14ac:dyDescent="0.2">
      <c r="B122" s="6">
        <v>45748</v>
      </c>
      <c r="C122" s="7">
        <f t="shared" si="0"/>
        <v>7765.6250000000009</v>
      </c>
      <c r="D122" s="7">
        <f t="shared" si="1"/>
        <v>7291.666666666667</v>
      </c>
      <c r="E122" s="7">
        <f t="shared" si="2"/>
        <v>473.958333333334</v>
      </c>
      <c r="F122" s="7">
        <f t="shared" si="3"/>
        <v>371875.00000000052</v>
      </c>
      <c r="G122" s="8">
        <f t="shared" si="4"/>
        <v>328125.00000000006</v>
      </c>
    </row>
    <row r="123" spans="2:7" x14ac:dyDescent="0.2">
      <c r="B123" s="6">
        <v>45778</v>
      </c>
      <c r="C123" s="7">
        <f t="shared" si="0"/>
        <v>7756.5104166666679</v>
      </c>
      <c r="D123" s="7">
        <f t="shared" si="1"/>
        <v>7291.666666666667</v>
      </c>
      <c r="E123" s="7">
        <f t="shared" si="2"/>
        <v>464.84375000000068</v>
      </c>
      <c r="F123" s="7">
        <f t="shared" si="3"/>
        <v>364583.33333333384</v>
      </c>
      <c r="G123" s="8">
        <f t="shared" si="4"/>
        <v>335416.66666666674</v>
      </c>
    </row>
    <row r="124" spans="2:7" x14ac:dyDescent="0.2">
      <c r="B124" s="6">
        <v>45809</v>
      </c>
      <c r="C124" s="7">
        <f t="shared" si="0"/>
        <v>7747.3958333333339</v>
      </c>
      <c r="D124" s="7">
        <f t="shared" si="1"/>
        <v>7291.666666666667</v>
      </c>
      <c r="E124" s="7">
        <f t="shared" si="2"/>
        <v>455.72916666666731</v>
      </c>
      <c r="F124" s="7">
        <f t="shared" si="3"/>
        <v>357291.66666666715</v>
      </c>
      <c r="G124" s="8">
        <f t="shared" si="4"/>
        <v>342708.33333333343</v>
      </c>
    </row>
    <row r="125" spans="2:7" x14ac:dyDescent="0.2">
      <c r="B125" s="6">
        <v>45839</v>
      </c>
      <c r="C125" s="7">
        <f t="shared" si="0"/>
        <v>7738.2812500000009</v>
      </c>
      <c r="D125" s="7">
        <f t="shared" si="1"/>
        <v>7291.666666666667</v>
      </c>
      <c r="E125" s="7">
        <f t="shared" si="2"/>
        <v>446.61458333333394</v>
      </c>
      <c r="F125" s="7">
        <f t="shared" si="3"/>
        <v>350000.00000000047</v>
      </c>
      <c r="G125" s="8">
        <f t="shared" si="4"/>
        <v>350000.00000000012</v>
      </c>
    </row>
    <row r="126" spans="2:7" x14ac:dyDescent="0.2">
      <c r="B126" s="6">
        <v>45870</v>
      </c>
      <c r="C126" s="7">
        <f t="shared" si="0"/>
        <v>7729.1666666666679</v>
      </c>
      <c r="D126" s="7">
        <f t="shared" si="1"/>
        <v>7291.666666666667</v>
      </c>
      <c r="E126" s="7">
        <f t="shared" si="2"/>
        <v>437.50000000000057</v>
      </c>
      <c r="F126" s="7">
        <f t="shared" si="3"/>
        <v>342708.33333333378</v>
      </c>
      <c r="G126" s="8">
        <f t="shared" si="4"/>
        <v>357291.6666666668</v>
      </c>
    </row>
    <row r="127" spans="2:7" x14ac:dyDescent="0.2">
      <c r="B127" s="6">
        <v>45901</v>
      </c>
      <c r="C127" s="7">
        <f t="shared" si="0"/>
        <v>7720.0520833333339</v>
      </c>
      <c r="D127" s="7">
        <f t="shared" si="1"/>
        <v>7291.666666666667</v>
      </c>
      <c r="E127" s="7">
        <f t="shared" si="2"/>
        <v>428.38541666666725</v>
      </c>
      <c r="F127" s="7">
        <f t="shared" si="3"/>
        <v>335416.66666666709</v>
      </c>
      <c r="G127" s="8">
        <f t="shared" si="4"/>
        <v>364583.33333333349</v>
      </c>
    </row>
    <row r="128" spans="2:7" x14ac:dyDescent="0.2">
      <c r="B128" s="6">
        <v>45931</v>
      </c>
      <c r="C128" s="7">
        <f t="shared" si="0"/>
        <v>7710.9375000000009</v>
      </c>
      <c r="D128" s="7">
        <f t="shared" si="1"/>
        <v>7291.666666666667</v>
      </c>
      <c r="E128" s="7">
        <f t="shared" si="2"/>
        <v>419.27083333333388</v>
      </c>
      <c r="F128" s="7">
        <f t="shared" si="3"/>
        <v>328125.00000000041</v>
      </c>
      <c r="G128" s="8">
        <f t="shared" si="4"/>
        <v>371875.00000000017</v>
      </c>
    </row>
    <row r="129" spans="2:7" x14ac:dyDescent="0.2">
      <c r="B129" s="6">
        <v>45962</v>
      </c>
      <c r="C129" s="7">
        <f t="shared" si="0"/>
        <v>7701.8229166666679</v>
      </c>
      <c r="D129" s="7">
        <f t="shared" si="1"/>
        <v>7291.666666666667</v>
      </c>
      <c r="E129" s="7">
        <f t="shared" si="2"/>
        <v>410.15625000000051</v>
      </c>
      <c r="F129" s="7">
        <f t="shared" si="3"/>
        <v>320833.33333333372</v>
      </c>
      <c r="G129" s="8">
        <f t="shared" si="4"/>
        <v>379166.66666666686</v>
      </c>
    </row>
    <row r="130" spans="2:7" x14ac:dyDescent="0.2">
      <c r="B130" s="6">
        <v>45992</v>
      </c>
      <c r="C130" s="7">
        <f t="shared" si="0"/>
        <v>7692.7083333333339</v>
      </c>
      <c r="D130" s="7">
        <f t="shared" si="1"/>
        <v>7291.666666666667</v>
      </c>
      <c r="E130" s="7">
        <f t="shared" si="2"/>
        <v>401.04166666666714</v>
      </c>
      <c r="F130" s="7">
        <f t="shared" si="3"/>
        <v>313541.66666666704</v>
      </c>
      <c r="G130" s="8">
        <f t="shared" si="4"/>
        <v>386458.33333333355</v>
      </c>
    </row>
    <row r="131" spans="2:7" x14ac:dyDescent="0.2">
      <c r="B131" s="6">
        <v>46023</v>
      </c>
      <c r="C131" s="7">
        <f t="shared" si="0"/>
        <v>7683.5937500000009</v>
      </c>
      <c r="D131" s="7">
        <f t="shared" si="1"/>
        <v>7291.666666666667</v>
      </c>
      <c r="E131" s="7">
        <f t="shared" si="2"/>
        <v>391.92708333333383</v>
      </c>
      <c r="F131" s="7">
        <f t="shared" si="3"/>
        <v>306250.00000000035</v>
      </c>
      <c r="G131" s="8">
        <f t="shared" si="4"/>
        <v>393750.00000000023</v>
      </c>
    </row>
    <row r="132" spans="2:7" x14ac:dyDescent="0.2">
      <c r="B132" s="6">
        <v>46054</v>
      </c>
      <c r="C132" s="7">
        <f t="shared" si="0"/>
        <v>7674.4791666666679</v>
      </c>
      <c r="D132" s="7">
        <f t="shared" si="1"/>
        <v>7291.666666666667</v>
      </c>
      <c r="E132" s="7">
        <f t="shared" si="2"/>
        <v>382.81250000000045</v>
      </c>
      <c r="F132" s="7">
        <f t="shared" si="3"/>
        <v>298958.33333333366</v>
      </c>
      <c r="G132" s="8">
        <f t="shared" si="4"/>
        <v>401041.66666666692</v>
      </c>
    </row>
    <row r="133" spans="2:7" x14ac:dyDescent="0.2">
      <c r="B133" s="6">
        <v>46082</v>
      </c>
      <c r="C133" s="7">
        <f t="shared" si="0"/>
        <v>7665.3645833333339</v>
      </c>
      <c r="D133" s="7">
        <f t="shared" si="1"/>
        <v>7291.666666666667</v>
      </c>
      <c r="E133" s="7">
        <f t="shared" si="2"/>
        <v>373.69791666666708</v>
      </c>
      <c r="F133" s="7">
        <f t="shared" si="3"/>
        <v>291666.66666666698</v>
      </c>
      <c r="G133" s="8">
        <f t="shared" si="4"/>
        <v>408333.3333333336</v>
      </c>
    </row>
    <row r="134" spans="2:7" x14ac:dyDescent="0.2">
      <c r="B134" s="6">
        <v>46113</v>
      </c>
      <c r="C134" s="7">
        <f t="shared" si="0"/>
        <v>7656.2500000000009</v>
      </c>
      <c r="D134" s="7">
        <f t="shared" si="1"/>
        <v>7291.666666666667</v>
      </c>
      <c r="E134" s="7">
        <f t="shared" si="2"/>
        <v>364.58333333333371</v>
      </c>
      <c r="F134" s="7">
        <f t="shared" si="3"/>
        <v>284375.00000000029</v>
      </c>
      <c r="G134" s="8">
        <f t="shared" si="4"/>
        <v>415625.00000000029</v>
      </c>
    </row>
    <row r="135" spans="2:7" x14ac:dyDescent="0.2">
      <c r="B135" s="6">
        <v>46143</v>
      </c>
      <c r="C135" s="7">
        <f t="shared" si="0"/>
        <v>7647.135416666667</v>
      </c>
      <c r="D135" s="7">
        <f t="shared" si="1"/>
        <v>7291.666666666667</v>
      </c>
      <c r="E135" s="7">
        <f t="shared" si="2"/>
        <v>355.4687500000004</v>
      </c>
      <c r="F135" s="7">
        <f t="shared" si="3"/>
        <v>277083.3333333336</v>
      </c>
      <c r="G135" s="8">
        <f t="shared" si="4"/>
        <v>422916.66666666698</v>
      </c>
    </row>
    <row r="136" spans="2:7" x14ac:dyDescent="0.2">
      <c r="B136" s="6">
        <v>46174</v>
      </c>
      <c r="C136" s="7">
        <f t="shared" si="0"/>
        <v>7638.0208333333339</v>
      </c>
      <c r="D136" s="7">
        <f t="shared" si="1"/>
        <v>7291.666666666667</v>
      </c>
      <c r="E136" s="7">
        <f t="shared" si="2"/>
        <v>346.35416666666703</v>
      </c>
      <c r="F136" s="7">
        <f t="shared" si="3"/>
        <v>269791.66666666692</v>
      </c>
      <c r="G136" s="8">
        <f t="shared" si="4"/>
        <v>430208.33333333366</v>
      </c>
    </row>
    <row r="137" spans="2:7" x14ac:dyDescent="0.2">
      <c r="B137" s="6">
        <v>46204</v>
      </c>
      <c r="C137" s="7">
        <f t="shared" si="0"/>
        <v>7628.9062500000009</v>
      </c>
      <c r="D137" s="7">
        <f t="shared" si="1"/>
        <v>7291.666666666667</v>
      </c>
      <c r="E137" s="7">
        <f t="shared" si="2"/>
        <v>337.23958333333366</v>
      </c>
      <c r="F137" s="7">
        <f t="shared" si="3"/>
        <v>262500.00000000023</v>
      </c>
      <c r="G137" s="8">
        <f t="shared" si="4"/>
        <v>437500.00000000035</v>
      </c>
    </row>
    <row r="138" spans="2:7" x14ac:dyDescent="0.2">
      <c r="B138" s="6">
        <v>46235</v>
      </c>
      <c r="C138" s="7">
        <f t="shared" si="0"/>
        <v>7619.791666666667</v>
      </c>
      <c r="D138" s="7">
        <f t="shared" si="1"/>
        <v>7291.666666666667</v>
      </c>
      <c r="E138" s="7">
        <f t="shared" si="2"/>
        <v>328.12500000000028</v>
      </c>
      <c r="F138" s="7">
        <f t="shared" si="3"/>
        <v>255208.33333333358</v>
      </c>
      <c r="G138" s="8">
        <f t="shared" si="4"/>
        <v>444791.66666666704</v>
      </c>
    </row>
    <row r="139" spans="2:7" x14ac:dyDescent="0.2">
      <c r="B139" s="6">
        <v>46266</v>
      </c>
      <c r="C139" s="7">
        <f t="shared" si="0"/>
        <v>7610.6770833333339</v>
      </c>
      <c r="D139" s="7">
        <f t="shared" si="1"/>
        <v>7291.666666666667</v>
      </c>
      <c r="E139" s="7">
        <f t="shared" si="2"/>
        <v>319.01041666666697</v>
      </c>
      <c r="F139" s="7">
        <f t="shared" si="3"/>
        <v>247916.66666666692</v>
      </c>
      <c r="G139" s="8">
        <f t="shared" si="4"/>
        <v>452083.33333333372</v>
      </c>
    </row>
    <row r="140" spans="2:7" x14ac:dyDescent="0.2">
      <c r="B140" s="6">
        <v>46296</v>
      </c>
      <c r="C140" s="7">
        <f t="shared" si="0"/>
        <v>7601.5625000000009</v>
      </c>
      <c r="D140" s="7">
        <f t="shared" si="1"/>
        <v>7291.666666666667</v>
      </c>
      <c r="E140" s="7">
        <f t="shared" si="2"/>
        <v>309.89583333333366</v>
      </c>
      <c r="F140" s="7">
        <f t="shared" si="3"/>
        <v>240625.00000000026</v>
      </c>
      <c r="G140" s="8">
        <f t="shared" si="4"/>
        <v>459375.00000000041</v>
      </c>
    </row>
    <row r="141" spans="2:7" x14ac:dyDescent="0.2">
      <c r="B141" s="6">
        <v>46327</v>
      </c>
      <c r="C141" s="7">
        <f t="shared" si="0"/>
        <v>7592.447916666667</v>
      </c>
      <c r="D141" s="7">
        <f t="shared" si="1"/>
        <v>7291.666666666667</v>
      </c>
      <c r="E141" s="7">
        <f t="shared" si="2"/>
        <v>300.78125000000034</v>
      </c>
      <c r="F141" s="7">
        <f t="shared" si="3"/>
        <v>233333.3333333336</v>
      </c>
      <c r="G141" s="8">
        <f t="shared" si="4"/>
        <v>466666.66666666709</v>
      </c>
    </row>
    <row r="142" spans="2:7" x14ac:dyDescent="0.2">
      <c r="B142" s="6">
        <v>46357</v>
      </c>
      <c r="C142" s="7">
        <f t="shared" si="0"/>
        <v>7583.3333333333339</v>
      </c>
      <c r="D142" s="7">
        <f t="shared" si="1"/>
        <v>7291.666666666667</v>
      </c>
      <c r="E142" s="7">
        <f t="shared" si="2"/>
        <v>291.66666666666703</v>
      </c>
      <c r="F142" s="7">
        <f t="shared" si="3"/>
        <v>226041.66666666695</v>
      </c>
      <c r="G142" s="8">
        <f t="shared" si="4"/>
        <v>473958.33333333378</v>
      </c>
    </row>
    <row r="143" spans="2:7" x14ac:dyDescent="0.2">
      <c r="B143" s="6">
        <v>46388</v>
      </c>
      <c r="C143" s="7">
        <f t="shared" si="0"/>
        <v>7574.2187500000009</v>
      </c>
      <c r="D143" s="7">
        <f t="shared" si="1"/>
        <v>7291.666666666667</v>
      </c>
      <c r="E143" s="7">
        <f t="shared" si="2"/>
        <v>282.55208333333371</v>
      </c>
      <c r="F143" s="7">
        <f t="shared" si="3"/>
        <v>218750.00000000029</v>
      </c>
      <c r="G143" s="8">
        <f t="shared" si="4"/>
        <v>481250.00000000047</v>
      </c>
    </row>
    <row r="144" spans="2:7" x14ac:dyDescent="0.2">
      <c r="B144" s="6">
        <v>46419</v>
      </c>
      <c r="C144" s="7">
        <f t="shared" si="0"/>
        <v>7565.104166666667</v>
      </c>
      <c r="D144" s="7">
        <f t="shared" si="1"/>
        <v>7291.666666666667</v>
      </c>
      <c r="E144" s="7">
        <f t="shared" si="2"/>
        <v>273.43750000000034</v>
      </c>
      <c r="F144" s="7">
        <f t="shared" si="3"/>
        <v>211458.33333333363</v>
      </c>
      <c r="G144" s="8">
        <f t="shared" si="4"/>
        <v>488541.66666666715</v>
      </c>
    </row>
    <row r="145" spans="2:7" x14ac:dyDescent="0.2">
      <c r="B145" s="6">
        <v>46447</v>
      </c>
      <c r="C145" s="7">
        <f t="shared" si="0"/>
        <v>7555.9895833333339</v>
      </c>
      <c r="D145" s="7">
        <f t="shared" si="1"/>
        <v>7291.666666666667</v>
      </c>
      <c r="E145" s="7">
        <f t="shared" si="2"/>
        <v>264.32291666666703</v>
      </c>
      <c r="F145" s="7">
        <f t="shared" si="3"/>
        <v>204166.66666666698</v>
      </c>
      <c r="G145" s="8">
        <f t="shared" si="4"/>
        <v>495833.33333333384</v>
      </c>
    </row>
    <row r="146" spans="2:7" x14ac:dyDescent="0.2">
      <c r="B146" s="6">
        <v>46478</v>
      </c>
      <c r="C146" s="7">
        <f t="shared" si="0"/>
        <v>7546.8750000000009</v>
      </c>
      <c r="D146" s="7">
        <f t="shared" si="1"/>
        <v>7291.666666666667</v>
      </c>
      <c r="E146" s="7">
        <f t="shared" si="2"/>
        <v>255.20833333333374</v>
      </c>
      <c r="F146" s="7">
        <f t="shared" si="3"/>
        <v>196875.00000000032</v>
      </c>
      <c r="G146" s="8">
        <f t="shared" si="4"/>
        <v>503125.00000000052</v>
      </c>
    </row>
    <row r="147" spans="2:7" x14ac:dyDescent="0.2">
      <c r="B147" s="6">
        <v>46508</v>
      </c>
      <c r="C147" s="7">
        <f t="shared" si="0"/>
        <v>7537.760416666667</v>
      </c>
      <c r="D147" s="7">
        <f t="shared" si="1"/>
        <v>7291.666666666667</v>
      </c>
      <c r="E147" s="7">
        <f t="shared" si="2"/>
        <v>246.0937500000004</v>
      </c>
      <c r="F147" s="7">
        <f t="shared" si="3"/>
        <v>189583.33333333366</v>
      </c>
      <c r="G147" s="8">
        <f t="shared" si="4"/>
        <v>510416.66666666721</v>
      </c>
    </row>
    <row r="148" spans="2:7" x14ac:dyDescent="0.2">
      <c r="B148" s="6">
        <v>46539</v>
      </c>
      <c r="C148" s="7">
        <f t="shared" si="0"/>
        <v>7528.6458333333339</v>
      </c>
      <c r="D148" s="7">
        <f t="shared" si="1"/>
        <v>7291.666666666667</v>
      </c>
      <c r="E148" s="7">
        <f t="shared" si="2"/>
        <v>236.97916666666708</v>
      </c>
      <c r="F148" s="7">
        <f t="shared" si="3"/>
        <v>182291.66666666701</v>
      </c>
      <c r="G148" s="8">
        <f t="shared" si="4"/>
        <v>517708.3333333339</v>
      </c>
    </row>
    <row r="149" spans="2:7" x14ac:dyDescent="0.2">
      <c r="B149" s="6">
        <v>46569</v>
      </c>
      <c r="C149" s="7">
        <f t="shared" si="0"/>
        <v>7519.5312500000009</v>
      </c>
      <c r="D149" s="7">
        <f t="shared" si="1"/>
        <v>7291.666666666667</v>
      </c>
      <c r="E149" s="7">
        <f t="shared" si="2"/>
        <v>227.86458333333377</v>
      </c>
      <c r="F149" s="7">
        <f t="shared" si="3"/>
        <v>175000.00000000035</v>
      </c>
      <c r="G149" s="8">
        <f t="shared" si="4"/>
        <v>525000.00000000058</v>
      </c>
    </row>
    <row r="150" spans="2:7" x14ac:dyDescent="0.2">
      <c r="B150" s="6">
        <v>46600</v>
      </c>
      <c r="C150" s="7">
        <f t="shared" si="0"/>
        <v>7510.4166666666679</v>
      </c>
      <c r="D150" s="7">
        <f t="shared" si="1"/>
        <v>7291.666666666667</v>
      </c>
      <c r="E150" s="7">
        <f t="shared" si="2"/>
        <v>218.75000000000045</v>
      </c>
      <c r="F150" s="7">
        <f t="shared" si="3"/>
        <v>167708.33333333369</v>
      </c>
      <c r="G150" s="8">
        <f t="shared" si="4"/>
        <v>532291.66666666721</v>
      </c>
    </row>
    <row r="151" spans="2:7" x14ac:dyDescent="0.2">
      <c r="B151" s="6">
        <v>46631</v>
      </c>
      <c r="C151" s="7">
        <f t="shared" si="0"/>
        <v>7501.3020833333339</v>
      </c>
      <c r="D151" s="7">
        <f t="shared" si="1"/>
        <v>7291.666666666667</v>
      </c>
      <c r="E151" s="7">
        <f t="shared" si="2"/>
        <v>209.63541666666711</v>
      </c>
      <c r="F151" s="7">
        <f t="shared" si="3"/>
        <v>160416.66666666704</v>
      </c>
      <c r="G151" s="8">
        <f t="shared" si="4"/>
        <v>539583.33333333384</v>
      </c>
    </row>
    <row r="152" spans="2:7" x14ac:dyDescent="0.2">
      <c r="B152" s="6">
        <v>46661</v>
      </c>
      <c r="C152" s="7">
        <f t="shared" si="0"/>
        <v>7492.1875000000009</v>
      </c>
      <c r="D152" s="7">
        <f t="shared" si="1"/>
        <v>7291.666666666667</v>
      </c>
      <c r="E152" s="7">
        <f t="shared" si="2"/>
        <v>200.5208333333338</v>
      </c>
      <c r="F152" s="7">
        <f t="shared" si="3"/>
        <v>153125.00000000038</v>
      </c>
      <c r="G152" s="8">
        <f t="shared" si="4"/>
        <v>546875.00000000047</v>
      </c>
    </row>
    <row r="153" spans="2:7" x14ac:dyDescent="0.2">
      <c r="B153" s="6">
        <v>46692</v>
      </c>
      <c r="C153" s="7">
        <f t="shared" si="0"/>
        <v>7483.0729166666679</v>
      </c>
      <c r="D153" s="7">
        <f t="shared" si="1"/>
        <v>7291.666666666667</v>
      </c>
      <c r="E153" s="7">
        <f t="shared" si="2"/>
        <v>191.40625000000048</v>
      </c>
      <c r="F153" s="7">
        <f t="shared" si="3"/>
        <v>145833.33333333372</v>
      </c>
      <c r="G153" s="8">
        <f t="shared" si="4"/>
        <v>554166.66666666709</v>
      </c>
    </row>
    <row r="154" spans="2:7" x14ac:dyDescent="0.2">
      <c r="B154" s="6">
        <v>46722</v>
      </c>
      <c r="C154" s="7">
        <f t="shared" si="0"/>
        <v>7473.9583333333339</v>
      </c>
      <c r="D154" s="7">
        <f t="shared" si="1"/>
        <v>7291.666666666667</v>
      </c>
      <c r="E154" s="7">
        <f t="shared" si="2"/>
        <v>182.29166666666717</v>
      </c>
      <c r="F154" s="7">
        <f t="shared" si="3"/>
        <v>138541.66666666706</v>
      </c>
      <c r="G154" s="8">
        <f t="shared" si="4"/>
        <v>561458.33333333372</v>
      </c>
    </row>
    <row r="155" spans="2:7" x14ac:dyDescent="0.2">
      <c r="B155" s="6">
        <v>46753</v>
      </c>
      <c r="C155" s="7">
        <f t="shared" si="0"/>
        <v>7464.8437500000009</v>
      </c>
      <c r="D155" s="7">
        <f t="shared" si="1"/>
        <v>7291.666666666667</v>
      </c>
      <c r="E155" s="7">
        <f t="shared" si="2"/>
        <v>173.17708333333383</v>
      </c>
      <c r="F155" s="7">
        <f t="shared" si="3"/>
        <v>131250.00000000041</v>
      </c>
      <c r="G155" s="8">
        <f t="shared" si="4"/>
        <v>568750.00000000035</v>
      </c>
    </row>
    <row r="156" spans="2:7" x14ac:dyDescent="0.2">
      <c r="B156" s="6">
        <v>46784</v>
      </c>
      <c r="C156" s="7">
        <f t="shared" si="0"/>
        <v>7455.7291666666679</v>
      </c>
      <c r="D156" s="7">
        <f t="shared" si="1"/>
        <v>7291.666666666667</v>
      </c>
      <c r="E156" s="7">
        <f t="shared" si="2"/>
        <v>164.06250000000051</v>
      </c>
      <c r="F156" s="7">
        <f t="shared" si="3"/>
        <v>123958.33333333374</v>
      </c>
      <c r="G156" s="8">
        <f t="shared" si="4"/>
        <v>576041.66666666698</v>
      </c>
    </row>
    <row r="157" spans="2:7" x14ac:dyDescent="0.2">
      <c r="B157" s="6">
        <v>46813</v>
      </c>
      <c r="C157" s="7">
        <f t="shared" si="0"/>
        <v>7446.6145833333339</v>
      </c>
      <c r="D157" s="7">
        <f t="shared" si="1"/>
        <v>7291.666666666667</v>
      </c>
      <c r="E157" s="7">
        <f t="shared" si="2"/>
        <v>154.94791666666717</v>
      </c>
      <c r="F157" s="7">
        <f t="shared" si="3"/>
        <v>116666.66666666706</v>
      </c>
      <c r="G157" s="8">
        <f t="shared" si="4"/>
        <v>583333.3333333336</v>
      </c>
    </row>
    <row r="158" spans="2:7" x14ac:dyDescent="0.2">
      <c r="B158" s="6">
        <v>46844</v>
      </c>
      <c r="C158" s="7">
        <f t="shared" si="0"/>
        <v>7437.5000000000009</v>
      </c>
      <c r="D158" s="7">
        <f t="shared" si="1"/>
        <v>7291.666666666667</v>
      </c>
      <c r="E158" s="7">
        <f t="shared" si="2"/>
        <v>145.83333333333383</v>
      </c>
      <c r="F158" s="7">
        <f t="shared" si="3"/>
        <v>109375.00000000039</v>
      </c>
      <c r="G158" s="8">
        <f t="shared" si="4"/>
        <v>590625.00000000023</v>
      </c>
    </row>
    <row r="159" spans="2:7" x14ac:dyDescent="0.2">
      <c r="B159" s="6">
        <v>46874</v>
      </c>
      <c r="C159" s="7">
        <f t="shared" si="0"/>
        <v>7428.3854166666679</v>
      </c>
      <c r="D159" s="7">
        <f t="shared" si="1"/>
        <v>7291.666666666667</v>
      </c>
      <c r="E159" s="7">
        <f t="shared" si="2"/>
        <v>136.71875000000048</v>
      </c>
      <c r="F159" s="7">
        <f t="shared" si="3"/>
        <v>102083.33333333372</v>
      </c>
      <c r="G159" s="8">
        <f t="shared" si="4"/>
        <v>597916.66666666686</v>
      </c>
    </row>
    <row r="160" spans="2:7" x14ac:dyDescent="0.2">
      <c r="B160" s="6">
        <v>46905</v>
      </c>
      <c r="C160" s="7">
        <f t="shared" si="0"/>
        <v>7419.2708333333339</v>
      </c>
      <c r="D160" s="7">
        <f t="shared" si="1"/>
        <v>7291.666666666667</v>
      </c>
      <c r="E160" s="7">
        <f t="shared" si="2"/>
        <v>127.60416666666715</v>
      </c>
      <c r="F160" s="7">
        <f t="shared" si="3"/>
        <v>94791.66666666705</v>
      </c>
      <c r="G160" s="8">
        <f t="shared" si="4"/>
        <v>605208.33333333349</v>
      </c>
    </row>
    <row r="161" spans="2:7" x14ac:dyDescent="0.2">
      <c r="B161" s="6">
        <v>46935</v>
      </c>
      <c r="C161" s="7">
        <f t="shared" si="0"/>
        <v>7410.1562500000009</v>
      </c>
      <c r="D161" s="7">
        <f t="shared" si="1"/>
        <v>7291.666666666667</v>
      </c>
      <c r="E161" s="7">
        <f t="shared" si="2"/>
        <v>118.48958333333381</v>
      </c>
      <c r="F161" s="7">
        <f t="shared" si="3"/>
        <v>87500.000000000378</v>
      </c>
      <c r="G161" s="8">
        <f t="shared" si="4"/>
        <v>612500.00000000012</v>
      </c>
    </row>
    <row r="162" spans="2:7" x14ac:dyDescent="0.2">
      <c r="B162" s="6">
        <v>46966</v>
      </c>
      <c r="C162" s="7">
        <f t="shared" si="0"/>
        <v>7401.0416666666679</v>
      </c>
      <c r="D162" s="7">
        <f t="shared" si="1"/>
        <v>7291.666666666667</v>
      </c>
      <c r="E162" s="7">
        <f t="shared" si="2"/>
        <v>109.37500000000047</v>
      </c>
      <c r="F162" s="7">
        <f t="shared" si="3"/>
        <v>80208.333333333707</v>
      </c>
      <c r="G162" s="8">
        <f t="shared" si="4"/>
        <v>619791.66666666674</v>
      </c>
    </row>
    <row r="163" spans="2:7" x14ac:dyDescent="0.2">
      <c r="B163" s="6">
        <v>46997</v>
      </c>
      <c r="C163" s="7">
        <f t="shared" si="0"/>
        <v>7391.9270833333339</v>
      </c>
      <c r="D163" s="7">
        <f t="shared" si="1"/>
        <v>7291.666666666667</v>
      </c>
      <c r="E163" s="7">
        <f t="shared" si="2"/>
        <v>100.26041666666714</v>
      </c>
      <c r="F163" s="7">
        <f t="shared" si="3"/>
        <v>72916.666666667035</v>
      </c>
      <c r="G163" s="8">
        <f t="shared" si="4"/>
        <v>627083.33333333337</v>
      </c>
    </row>
    <row r="164" spans="2:7" x14ac:dyDescent="0.2">
      <c r="B164" s="6">
        <v>47027</v>
      </c>
      <c r="C164" s="7">
        <f t="shared" si="0"/>
        <v>7382.8125000000009</v>
      </c>
      <c r="D164" s="7">
        <f t="shared" si="1"/>
        <v>7291.666666666667</v>
      </c>
      <c r="E164" s="7">
        <f t="shared" si="2"/>
        <v>91.145833333333798</v>
      </c>
      <c r="F164" s="7">
        <f t="shared" si="3"/>
        <v>65625.000000000364</v>
      </c>
      <c r="G164" s="8">
        <f t="shared" si="4"/>
        <v>634375</v>
      </c>
    </row>
    <row r="165" spans="2:7" x14ac:dyDescent="0.2">
      <c r="B165" s="6">
        <v>47058</v>
      </c>
      <c r="C165" s="7">
        <f t="shared" si="0"/>
        <v>7373.6979166666679</v>
      </c>
      <c r="D165" s="7">
        <f t="shared" si="1"/>
        <v>7291.666666666667</v>
      </c>
      <c r="E165" s="7">
        <f t="shared" si="2"/>
        <v>82.031250000000455</v>
      </c>
      <c r="F165" s="7">
        <f t="shared" si="3"/>
        <v>58333.3333333337</v>
      </c>
      <c r="G165" s="8">
        <f t="shared" si="4"/>
        <v>641666.66666666663</v>
      </c>
    </row>
    <row r="166" spans="2:7" x14ac:dyDescent="0.2">
      <c r="B166" s="6">
        <v>47088</v>
      </c>
      <c r="C166" s="7">
        <f t="shared" si="0"/>
        <v>7364.5833333333339</v>
      </c>
      <c r="D166" s="7">
        <f t="shared" si="1"/>
        <v>7291.666666666667</v>
      </c>
      <c r="E166" s="7">
        <f t="shared" si="2"/>
        <v>72.916666666667126</v>
      </c>
      <c r="F166" s="7">
        <f t="shared" si="3"/>
        <v>51041.666666667035</v>
      </c>
      <c r="G166" s="8">
        <f t="shared" si="4"/>
        <v>648958.33333333326</v>
      </c>
    </row>
    <row r="167" spans="2:7" x14ac:dyDescent="0.2">
      <c r="B167" s="6">
        <v>47119</v>
      </c>
      <c r="C167" s="7">
        <f t="shared" si="0"/>
        <v>7355.4687500000009</v>
      </c>
      <c r="D167" s="7">
        <f t="shared" si="1"/>
        <v>7291.666666666667</v>
      </c>
      <c r="E167" s="7">
        <f t="shared" si="2"/>
        <v>63.802083333333798</v>
      </c>
      <c r="F167" s="7">
        <f t="shared" si="3"/>
        <v>43750.000000000371</v>
      </c>
      <c r="G167" s="8">
        <f t="shared" si="4"/>
        <v>656249.99999999988</v>
      </c>
    </row>
    <row r="168" spans="2:7" x14ac:dyDescent="0.2">
      <c r="B168" s="6">
        <v>47150</v>
      </c>
      <c r="C168" s="7">
        <f t="shared" si="0"/>
        <v>7346.3541666666679</v>
      </c>
      <c r="D168" s="7">
        <f t="shared" si="1"/>
        <v>7291.666666666667</v>
      </c>
      <c r="E168" s="7">
        <f t="shared" si="2"/>
        <v>54.687500000000462</v>
      </c>
      <c r="F168" s="7">
        <f t="shared" si="3"/>
        <v>36458.333333333707</v>
      </c>
      <c r="G168" s="8">
        <f t="shared" si="4"/>
        <v>663541.66666666651</v>
      </c>
    </row>
    <row r="169" spans="2:7" x14ac:dyDescent="0.2">
      <c r="B169" s="6">
        <v>47178</v>
      </c>
      <c r="C169" s="7">
        <f t="shared" si="0"/>
        <v>7337.2395833333339</v>
      </c>
      <c r="D169" s="7">
        <f t="shared" si="1"/>
        <v>7291.666666666667</v>
      </c>
      <c r="E169" s="7">
        <f t="shared" si="2"/>
        <v>45.572916666667133</v>
      </c>
      <c r="F169" s="7">
        <f t="shared" si="3"/>
        <v>29166.666666667039</v>
      </c>
      <c r="G169" s="8">
        <f t="shared" si="4"/>
        <v>670833.33333333314</v>
      </c>
    </row>
    <row r="170" spans="2:7" x14ac:dyDescent="0.2">
      <c r="B170" s="6">
        <v>47209</v>
      </c>
      <c r="C170" s="7">
        <f t="shared" si="0"/>
        <v>7328.1250000000009</v>
      </c>
      <c r="D170" s="7">
        <f t="shared" si="1"/>
        <v>7291.666666666667</v>
      </c>
      <c r="E170" s="7">
        <f t="shared" si="2"/>
        <v>36.458333333333798</v>
      </c>
      <c r="F170" s="7">
        <f t="shared" si="3"/>
        <v>21875.000000000371</v>
      </c>
      <c r="G170" s="8">
        <f t="shared" si="4"/>
        <v>678124.99999999977</v>
      </c>
    </row>
    <row r="171" spans="2:7" x14ac:dyDescent="0.2">
      <c r="B171" s="6">
        <v>47239</v>
      </c>
      <c r="C171" s="7">
        <f t="shared" si="0"/>
        <v>7319.0104166666679</v>
      </c>
      <c r="D171" s="7">
        <f t="shared" si="1"/>
        <v>7291.666666666667</v>
      </c>
      <c r="E171" s="7">
        <f t="shared" si="2"/>
        <v>27.343750000000465</v>
      </c>
      <c r="F171" s="7">
        <f t="shared" si="3"/>
        <v>14583.333333333703</v>
      </c>
      <c r="G171" s="8">
        <f t="shared" si="4"/>
        <v>685416.6666666664</v>
      </c>
    </row>
    <row r="172" spans="2:7" x14ac:dyDescent="0.2">
      <c r="B172" s="6">
        <v>47270</v>
      </c>
      <c r="C172" s="7">
        <f t="shared" si="0"/>
        <v>7309.8958333333339</v>
      </c>
      <c r="D172" s="7">
        <f t="shared" si="1"/>
        <v>7291.666666666667</v>
      </c>
      <c r="E172" s="7">
        <f t="shared" si="2"/>
        <v>18.22916666666713</v>
      </c>
      <c r="F172" s="7">
        <f t="shared" si="3"/>
        <v>7291.6666666670362</v>
      </c>
      <c r="G172" s="8">
        <f t="shared" si="4"/>
        <v>692708.33333333302</v>
      </c>
    </row>
    <row r="173" spans="2:7" x14ac:dyDescent="0.2">
      <c r="B173" s="6">
        <v>47300</v>
      </c>
      <c r="C173" s="7">
        <f t="shared" si="0"/>
        <v>7300.7812500000009</v>
      </c>
      <c r="D173" s="7">
        <f t="shared" si="1"/>
        <v>7291.666666666667</v>
      </c>
      <c r="E173" s="7">
        <f t="shared" si="2"/>
        <v>9.1145833333337958</v>
      </c>
      <c r="F173" s="7">
        <f t="shared" si="3"/>
        <v>3.6925484891980886E-10</v>
      </c>
      <c r="G173" s="8">
        <f t="shared" si="4"/>
        <v>699999.99999999965</v>
      </c>
    </row>
    <row r="174" spans="2:7" x14ac:dyDescent="0.2">
      <c r="B174" s="9"/>
      <c r="D174" s="10">
        <f t="shared" ref="D174:E174" si="5">SUM(D78:D173)</f>
        <v>699999.99999999965</v>
      </c>
      <c r="E174" s="11">
        <f t="shared" si="5"/>
        <v>42437.500000000044</v>
      </c>
    </row>
    <row r="177" spans="1:7" x14ac:dyDescent="0.2">
      <c r="A177" s="2" t="s">
        <v>8</v>
      </c>
    </row>
    <row r="178" spans="1:7" x14ac:dyDescent="0.2">
      <c r="B178" s="2" t="s">
        <v>22</v>
      </c>
      <c r="D178" s="12">
        <f>0.5%+0.35%</f>
        <v>8.5000000000000006E-3</v>
      </c>
    </row>
    <row r="179" spans="1:7" x14ac:dyDescent="0.2">
      <c r="B179" s="2" t="s">
        <v>23</v>
      </c>
      <c r="D179" s="12">
        <f>0.5%+0.35%+(0.15%*1)</f>
        <v>0.01</v>
      </c>
    </row>
    <row r="180" spans="1:7" x14ac:dyDescent="0.2">
      <c r="B180" s="2" t="s">
        <v>24</v>
      </c>
      <c r="D180" s="12">
        <f>0.5%+0.35%+(0.15%*2)</f>
        <v>1.15E-2</v>
      </c>
    </row>
    <row r="181" spans="1:7" x14ac:dyDescent="0.2">
      <c r="B181" s="2" t="s">
        <v>25</v>
      </c>
      <c r="D181" s="12">
        <f>0.5%+0.35%+(0.15%*3)</f>
        <v>1.3000000000000001E-2</v>
      </c>
    </row>
    <row r="182" spans="1:7" x14ac:dyDescent="0.2">
      <c r="B182" s="2" t="s">
        <v>26</v>
      </c>
      <c r="D182" s="12">
        <f>0.5%+0.35%+(0.15%*4)</f>
        <v>1.4500000000000001E-2</v>
      </c>
    </row>
    <row r="183" spans="1:7" x14ac:dyDescent="0.2">
      <c r="B183" s="2" t="s">
        <v>27</v>
      </c>
      <c r="D183" s="12">
        <f>0.5%+0.35%+(0.15%*5)</f>
        <v>1.6E-2</v>
      </c>
    </row>
    <row r="184" spans="1:7" x14ac:dyDescent="0.2">
      <c r="B184" s="2" t="s">
        <v>28</v>
      </c>
      <c r="D184" s="12">
        <f>0.5%+0.35%+(0.15%*6)</f>
        <v>1.7500000000000002E-2</v>
      </c>
    </row>
    <row r="185" spans="1:7" x14ac:dyDescent="0.2">
      <c r="B185" s="2" t="s">
        <v>29</v>
      </c>
      <c r="D185" s="12">
        <f>0.5%+0.35%+(0.15%*7)</f>
        <v>1.9000000000000003E-2</v>
      </c>
    </row>
    <row r="187" spans="1:7" x14ac:dyDescent="0.2">
      <c r="B187" s="3" t="s">
        <v>16</v>
      </c>
      <c r="C187" s="4" t="s">
        <v>17</v>
      </c>
      <c r="D187" s="4" t="s">
        <v>18</v>
      </c>
      <c r="E187" s="4" t="s">
        <v>19</v>
      </c>
      <c r="F187" s="4" t="s">
        <v>20</v>
      </c>
      <c r="G187" s="5" t="s">
        <v>21</v>
      </c>
    </row>
    <row r="188" spans="1:7" x14ac:dyDescent="0.2">
      <c r="B188" s="6">
        <v>44378</v>
      </c>
      <c r="C188" s="7"/>
      <c r="D188" s="7"/>
      <c r="E188" s="7"/>
      <c r="F188" s="7">
        <v>700000</v>
      </c>
      <c r="G188" s="8"/>
    </row>
    <row r="189" spans="1:7" x14ac:dyDescent="0.2">
      <c r="A189" s="2">
        <v>1</v>
      </c>
      <c r="B189" s="6">
        <v>44409</v>
      </c>
      <c r="C189" s="7">
        <f t="shared" ref="C189:C284" si="6">D189+E189</f>
        <v>7787.5</v>
      </c>
      <c r="D189" s="7">
        <f t="shared" ref="D189:D284" si="7">700000/(8*12)</f>
        <v>7291.666666666667</v>
      </c>
      <c r="E189" s="7">
        <f t="shared" ref="E189:E200" si="8">F188*$D$178/12</f>
        <v>495.83333333333331</v>
      </c>
      <c r="F189" s="7">
        <f t="shared" ref="F189:F284" si="9">F188-D189</f>
        <v>692708.33333333337</v>
      </c>
      <c r="G189" s="8">
        <f t="shared" ref="G189:G284" si="10">G188+D189</f>
        <v>7291.666666666667</v>
      </c>
    </row>
    <row r="190" spans="1:7" x14ac:dyDescent="0.2">
      <c r="A190" s="2">
        <v>2</v>
      </c>
      <c r="B190" s="6">
        <v>44440</v>
      </c>
      <c r="C190" s="7">
        <f t="shared" si="6"/>
        <v>7782.3350694444453</v>
      </c>
      <c r="D190" s="7">
        <f t="shared" si="7"/>
        <v>7291.666666666667</v>
      </c>
      <c r="E190" s="7">
        <f t="shared" si="8"/>
        <v>490.66840277777783</v>
      </c>
      <c r="F190" s="7">
        <f t="shared" si="9"/>
        <v>685416.66666666674</v>
      </c>
      <c r="G190" s="8">
        <f t="shared" si="10"/>
        <v>14583.333333333334</v>
      </c>
    </row>
    <row r="191" spans="1:7" x14ac:dyDescent="0.2">
      <c r="A191" s="2">
        <v>3</v>
      </c>
      <c r="B191" s="6">
        <v>44470</v>
      </c>
      <c r="C191" s="7">
        <f t="shared" si="6"/>
        <v>7777.1701388888896</v>
      </c>
      <c r="D191" s="7">
        <f t="shared" si="7"/>
        <v>7291.666666666667</v>
      </c>
      <c r="E191" s="7">
        <f t="shared" si="8"/>
        <v>485.50347222222234</v>
      </c>
      <c r="F191" s="7">
        <f t="shared" si="9"/>
        <v>678125.00000000012</v>
      </c>
      <c r="G191" s="8">
        <f t="shared" si="10"/>
        <v>21875</v>
      </c>
    </row>
    <row r="192" spans="1:7" x14ac:dyDescent="0.2">
      <c r="A192" s="2">
        <v>4</v>
      </c>
      <c r="B192" s="6">
        <v>44501</v>
      </c>
      <c r="C192" s="7">
        <f t="shared" si="6"/>
        <v>7772.0052083333339</v>
      </c>
      <c r="D192" s="7">
        <f t="shared" si="7"/>
        <v>7291.666666666667</v>
      </c>
      <c r="E192" s="7">
        <f t="shared" si="8"/>
        <v>480.3385416666668</v>
      </c>
      <c r="F192" s="7">
        <f t="shared" si="9"/>
        <v>670833.33333333349</v>
      </c>
      <c r="G192" s="8">
        <f t="shared" si="10"/>
        <v>29166.666666666668</v>
      </c>
    </row>
    <row r="193" spans="1:7" x14ac:dyDescent="0.2">
      <c r="A193" s="2">
        <v>5</v>
      </c>
      <c r="B193" s="6">
        <v>44531</v>
      </c>
      <c r="C193" s="7">
        <f t="shared" si="6"/>
        <v>7766.8402777777783</v>
      </c>
      <c r="D193" s="7">
        <f t="shared" si="7"/>
        <v>7291.666666666667</v>
      </c>
      <c r="E193" s="7">
        <f t="shared" si="8"/>
        <v>475.17361111111126</v>
      </c>
      <c r="F193" s="7">
        <f t="shared" si="9"/>
        <v>663541.66666666686</v>
      </c>
      <c r="G193" s="8">
        <f t="shared" si="10"/>
        <v>36458.333333333336</v>
      </c>
    </row>
    <row r="194" spans="1:7" x14ac:dyDescent="0.2">
      <c r="A194" s="2">
        <v>6</v>
      </c>
      <c r="B194" s="6">
        <v>44562</v>
      </c>
      <c r="C194" s="7">
        <f t="shared" si="6"/>
        <v>7761.6753472222226</v>
      </c>
      <c r="D194" s="7">
        <f t="shared" si="7"/>
        <v>7291.666666666667</v>
      </c>
      <c r="E194" s="7">
        <f t="shared" si="8"/>
        <v>470.00868055555571</v>
      </c>
      <c r="F194" s="7">
        <f t="shared" si="9"/>
        <v>656250.00000000023</v>
      </c>
      <c r="G194" s="8">
        <f t="shared" si="10"/>
        <v>43750</v>
      </c>
    </row>
    <row r="195" spans="1:7" x14ac:dyDescent="0.2">
      <c r="A195" s="2">
        <v>7</v>
      </c>
      <c r="B195" s="6">
        <v>44593</v>
      </c>
      <c r="C195" s="7">
        <f t="shared" si="6"/>
        <v>7756.510416666667</v>
      </c>
      <c r="D195" s="7">
        <f t="shared" si="7"/>
        <v>7291.666666666667</v>
      </c>
      <c r="E195" s="7">
        <f t="shared" si="8"/>
        <v>464.84375000000023</v>
      </c>
      <c r="F195" s="7">
        <f t="shared" si="9"/>
        <v>648958.3333333336</v>
      </c>
      <c r="G195" s="8">
        <f t="shared" si="10"/>
        <v>51041.666666666664</v>
      </c>
    </row>
    <row r="196" spans="1:7" x14ac:dyDescent="0.2">
      <c r="A196" s="2">
        <v>8</v>
      </c>
      <c r="B196" s="6">
        <v>44621</v>
      </c>
      <c r="C196" s="7">
        <f t="shared" si="6"/>
        <v>7751.3454861111113</v>
      </c>
      <c r="D196" s="7">
        <f t="shared" si="7"/>
        <v>7291.666666666667</v>
      </c>
      <c r="E196" s="7">
        <f t="shared" si="8"/>
        <v>459.67881944444463</v>
      </c>
      <c r="F196" s="7">
        <f t="shared" si="9"/>
        <v>641666.66666666698</v>
      </c>
      <c r="G196" s="8">
        <f t="shared" si="10"/>
        <v>58333.333333333328</v>
      </c>
    </row>
    <row r="197" spans="1:7" x14ac:dyDescent="0.2">
      <c r="A197" s="2">
        <v>9</v>
      </c>
      <c r="B197" s="6">
        <v>44652</v>
      </c>
      <c r="C197" s="7">
        <f t="shared" si="6"/>
        <v>7746.1805555555566</v>
      </c>
      <c r="D197" s="7">
        <f t="shared" si="7"/>
        <v>7291.666666666667</v>
      </c>
      <c r="E197" s="7">
        <f t="shared" si="8"/>
        <v>454.51388888888914</v>
      </c>
      <c r="F197" s="7">
        <f t="shared" si="9"/>
        <v>634375.00000000035</v>
      </c>
      <c r="G197" s="8">
        <f t="shared" si="10"/>
        <v>65625</v>
      </c>
    </row>
    <row r="198" spans="1:7" x14ac:dyDescent="0.2">
      <c r="A198" s="2">
        <v>10</v>
      </c>
      <c r="B198" s="6">
        <v>44682</v>
      </c>
      <c r="C198" s="7">
        <f t="shared" si="6"/>
        <v>7741.0156250000009</v>
      </c>
      <c r="D198" s="7">
        <f t="shared" si="7"/>
        <v>7291.666666666667</v>
      </c>
      <c r="E198" s="7">
        <f t="shared" si="8"/>
        <v>449.34895833333366</v>
      </c>
      <c r="F198" s="7">
        <f t="shared" si="9"/>
        <v>627083.33333333372</v>
      </c>
      <c r="G198" s="8">
        <f t="shared" si="10"/>
        <v>72916.666666666672</v>
      </c>
    </row>
    <row r="199" spans="1:7" x14ac:dyDescent="0.2">
      <c r="A199" s="2">
        <v>11</v>
      </c>
      <c r="B199" s="6">
        <v>44713</v>
      </c>
      <c r="C199" s="7">
        <f t="shared" si="6"/>
        <v>7735.8506944444453</v>
      </c>
      <c r="D199" s="7">
        <f t="shared" si="7"/>
        <v>7291.666666666667</v>
      </c>
      <c r="E199" s="7">
        <f t="shared" si="8"/>
        <v>444.18402777777806</v>
      </c>
      <c r="F199" s="7">
        <f t="shared" si="9"/>
        <v>619791.66666666709</v>
      </c>
      <c r="G199" s="8">
        <f t="shared" si="10"/>
        <v>80208.333333333343</v>
      </c>
    </row>
    <row r="200" spans="1:7" x14ac:dyDescent="0.2">
      <c r="A200" s="2">
        <v>12</v>
      </c>
      <c r="B200" s="6">
        <v>44743</v>
      </c>
      <c r="C200" s="7">
        <f t="shared" si="6"/>
        <v>7730.6857638888896</v>
      </c>
      <c r="D200" s="7">
        <f t="shared" si="7"/>
        <v>7291.666666666667</v>
      </c>
      <c r="E200" s="7">
        <f t="shared" si="8"/>
        <v>439.01909722222257</v>
      </c>
      <c r="F200" s="7">
        <f t="shared" si="9"/>
        <v>612500.00000000047</v>
      </c>
      <c r="G200" s="8">
        <f t="shared" si="10"/>
        <v>87500.000000000015</v>
      </c>
    </row>
    <row r="201" spans="1:7" x14ac:dyDescent="0.2">
      <c r="A201" s="2">
        <v>13</v>
      </c>
      <c r="B201" s="6">
        <v>44774</v>
      </c>
      <c r="C201" s="7">
        <f t="shared" si="6"/>
        <v>7802.0833333333339</v>
      </c>
      <c r="D201" s="7">
        <f t="shared" si="7"/>
        <v>7291.666666666667</v>
      </c>
      <c r="E201" s="7">
        <f t="shared" ref="E201:E212" si="11">F200*$D$179/12</f>
        <v>510.41666666666703</v>
      </c>
      <c r="F201" s="7">
        <f t="shared" si="9"/>
        <v>605208.33333333384</v>
      </c>
      <c r="G201" s="8">
        <f t="shared" si="10"/>
        <v>94791.666666666686</v>
      </c>
    </row>
    <row r="202" spans="1:7" x14ac:dyDescent="0.2">
      <c r="A202" s="2">
        <v>14</v>
      </c>
      <c r="B202" s="6">
        <v>44805</v>
      </c>
      <c r="C202" s="7">
        <f t="shared" si="6"/>
        <v>7796.0069444444453</v>
      </c>
      <c r="D202" s="7">
        <f t="shared" si="7"/>
        <v>7291.666666666667</v>
      </c>
      <c r="E202" s="7">
        <f t="shared" si="11"/>
        <v>504.34027777777823</v>
      </c>
      <c r="F202" s="7">
        <f t="shared" si="9"/>
        <v>597916.66666666721</v>
      </c>
      <c r="G202" s="8">
        <f t="shared" si="10"/>
        <v>102083.33333333336</v>
      </c>
    </row>
    <row r="203" spans="1:7" x14ac:dyDescent="0.2">
      <c r="A203" s="2">
        <v>15</v>
      </c>
      <c r="B203" s="6">
        <v>44835</v>
      </c>
      <c r="C203" s="7">
        <f t="shared" si="6"/>
        <v>7789.9305555555566</v>
      </c>
      <c r="D203" s="7">
        <f t="shared" si="7"/>
        <v>7291.666666666667</v>
      </c>
      <c r="E203" s="7">
        <f t="shared" si="11"/>
        <v>498.26388888888937</v>
      </c>
      <c r="F203" s="7">
        <f t="shared" si="9"/>
        <v>590625.00000000058</v>
      </c>
      <c r="G203" s="8">
        <f t="shared" si="10"/>
        <v>109375.00000000003</v>
      </c>
    </row>
    <row r="204" spans="1:7" x14ac:dyDescent="0.2">
      <c r="A204" s="2">
        <v>16</v>
      </c>
      <c r="B204" s="6">
        <v>44866</v>
      </c>
      <c r="C204" s="7">
        <f t="shared" si="6"/>
        <v>7783.8541666666679</v>
      </c>
      <c r="D204" s="7">
        <f t="shared" si="7"/>
        <v>7291.666666666667</v>
      </c>
      <c r="E204" s="7">
        <f t="shared" si="11"/>
        <v>492.18750000000051</v>
      </c>
      <c r="F204" s="7">
        <f t="shared" si="9"/>
        <v>583333.33333333395</v>
      </c>
      <c r="G204" s="8">
        <f t="shared" si="10"/>
        <v>116666.6666666667</v>
      </c>
    </row>
    <row r="205" spans="1:7" x14ac:dyDescent="0.2">
      <c r="A205" s="2">
        <v>17</v>
      </c>
      <c r="B205" s="6">
        <v>44896</v>
      </c>
      <c r="C205" s="7">
        <f t="shared" si="6"/>
        <v>7777.7777777777783</v>
      </c>
      <c r="D205" s="7">
        <f t="shared" si="7"/>
        <v>7291.666666666667</v>
      </c>
      <c r="E205" s="7">
        <f t="shared" si="11"/>
        <v>486.1111111111116</v>
      </c>
      <c r="F205" s="7">
        <f t="shared" si="9"/>
        <v>576041.66666666733</v>
      </c>
      <c r="G205" s="8">
        <f t="shared" si="10"/>
        <v>123958.33333333337</v>
      </c>
    </row>
    <row r="206" spans="1:7" x14ac:dyDescent="0.2">
      <c r="A206" s="2">
        <v>18</v>
      </c>
      <c r="B206" s="6">
        <v>44927</v>
      </c>
      <c r="C206" s="7">
        <f t="shared" si="6"/>
        <v>7771.7013888888896</v>
      </c>
      <c r="D206" s="7">
        <f t="shared" si="7"/>
        <v>7291.666666666667</v>
      </c>
      <c r="E206" s="7">
        <f t="shared" si="11"/>
        <v>480.0347222222228</v>
      </c>
      <c r="F206" s="7">
        <f t="shared" si="9"/>
        <v>568750.0000000007</v>
      </c>
      <c r="G206" s="8">
        <f t="shared" si="10"/>
        <v>131250.00000000003</v>
      </c>
    </row>
    <row r="207" spans="1:7" x14ac:dyDescent="0.2">
      <c r="A207" s="2">
        <v>19</v>
      </c>
      <c r="B207" s="6">
        <v>44958</v>
      </c>
      <c r="C207" s="7">
        <f t="shared" si="6"/>
        <v>7765.6250000000009</v>
      </c>
      <c r="D207" s="7">
        <f t="shared" si="7"/>
        <v>7291.666666666667</v>
      </c>
      <c r="E207" s="7">
        <f t="shared" si="11"/>
        <v>473.95833333333394</v>
      </c>
      <c r="F207" s="7">
        <f t="shared" si="9"/>
        <v>561458.33333333407</v>
      </c>
      <c r="G207" s="8">
        <f t="shared" si="10"/>
        <v>138541.66666666669</v>
      </c>
    </row>
    <row r="208" spans="1:7" x14ac:dyDescent="0.2">
      <c r="A208" s="2">
        <v>20</v>
      </c>
      <c r="B208" s="6">
        <v>44986</v>
      </c>
      <c r="C208" s="7">
        <f t="shared" si="6"/>
        <v>7759.5486111111122</v>
      </c>
      <c r="D208" s="7">
        <f t="shared" si="7"/>
        <v>7291.666666666667</v>
      </c>
      <c r="E208" s="7">
        <f t="shared" si="11"/>
        <v>467.88194444444508</v>
      </c>
      <c r="F208" s="7">
        <f t="shared" si="9"/>
        <v>554166.66666666744</v>
      </c>
      <c r="G208" s="8">
        <f t="shared" si="10"/>
        <v>145833.33333333334</v>
      </c>
    </row>
    <row r="209" spans="1:7" x14ac:dyDescent="0.2">
      <c r="A209" s="2">
        <v>21</v>
      </c>
      <c r="B209" s="6">
        <v>45017</v>
      </c>
      <c r="C209" s="7">
        <f t="shared" si="6"/>
        <v>7753.4722222222235</v>
      </c>
      <c r="D209" s="7">
        <f t="shared" si="7"/>
        <v>7291.666666666667</v>
      </c>
      <c r="E209" s="7">
        <f t="shared" si="11"/>
        <v>461.80555555555617</v>
      </c>
      <c r="F209" s="7">
        <f t="shared" si="9"/>
        <v>546875.00000000081</v>
      </c>
      <c r="G209" s="8">
        <f t="shared" si="10"/>
        <v>153125</v>
      </c>
    </row>
    <row r="210" spans="1:7" x14ac:dyDescent="0.2">
      <c r="A210" s="2">
        <v>22</v>
      </c>
      <c r="B210" s="6">
        <v>45047</v>
      </c>
      <c r="C210" s="7">
        <f t="shared" si="6"/>
        <v>7747.3958333333339</v>
      </c>
      <c r="D210" s="7">
        <f t="shared" si="7"/>
        <v>7291.666666666667</v>
      </c>
      <c r="E210" s="7">
        <f t="shared" si="11"/>
        <v>455.72916666666737</v>
      </c>
      <c r="F210" s="7">
        <f t="shared" si="9"/>
        <v>539583.33333333419</v>
      </c>
      <c r="G210" s="8">
        <f t="shared" si="10"/>
        <v>160416.66666666666</v>
      </c>
    </row>
    <row r="211" spans="1:7" x14ac:dyDescent="0.2">
      <c r="A211" s="2">
        <v>23</v>
      </c>
      <c r="B211" s="6">
        <v>45078</v>
      </c>
      <c r="C211" s="7">
        <f t="shared" si="6"/>
        <v>7741.3194444444453</v>
      </c>
      <c r="D211" s="7">
        <f t="shared" si="7"/>
        <v>7291.666666666667</v>
      </c>
      <c r="E211" s="7">
        <f t="shared" si="11"/>
        <v>449.65277777777851</v>
      </c>
      <c r="F211" s="7">
        <f t="shared" si="9"/>
        <v>532291.66666666756</v>
      </c>
      <c r="G211" s="8">
        <f t="shared" si="10"/>
        <v>167708.33333333331</v>
      </c>
    </row>
    <row r="212" spans="1:7" x14ac:dyDescent="0.2">
      <c r="A212" s="2">
        <v>24</v>
      </c>
      <c r="B212" s="6">
        <v>45108</v>
      </c>
      <c r="C212" s="7">
        <f t="shared" si="6"/>
        <v>7735.2430555555566</v>
      </c>
      <c r="D212" s="7">
        <f t="shared" si="7"/>
        <v>7291.666666666667</v>
      </c>
      <c r="E212" s="7">
        <f t="shared" si="11"/>
        <v>443.57638888888965</v>
      </c>
      <c r="F212" s="7">
        <f t="shared" si="9"/>
        <v>525000.00000000093</v>
      </c>
      <c r="G212" s="8">
        <f t="shared" si="10"/>
        <v>174999.99999999997</v>
      </c>
    </row>
    <row r="213" spans="1:7" x14ac:dyDescent="0.2">
      <c r="A213" s="2">
        <v>25</v>
      </c>
      <c r="B213" s="6">
        <v>45139</v>
      </c>
      <c r="C213" s="7">
        <f t="shared" si="6"/>
        <v>7794.7916666666679</v>
      </c>
      <c r="D213" s="7">
        <f t="shared" si="7"/>
        <v>7291.666666666667</v>
      </c>
      <c r="E213" s="7">
        <f t="shared" ref="E213:E224" si="12">F212*$D$180/12</f>
        <v>503.12500000000091</v>
      </c>
      <c r="F213" s="7">
        <f t="shared" si="9"/>
        <v>517708.33333333425</v>
      </c>
      <c r="G213" s="8">
        <f t="shared" si="10"/>
        <v>182291.66666666663</v>
      </c>
    </row>
    <row r="214" spans="1:7" x14ac:dyDescent="0.2">
      <c r="A214" s="2">
        <v>26</v>
      </c>
      <c r="B214" s="6">
        <v>45170</v>
      </c>
      <c r="C214" s="7">
        <f t="shared" si="6"/>
        <v>7787.8038194444453</v>
      </c>
      <c r="D214" s="7">
        <f t="shared" si="7"/>
        <v>7291.666666666667</v>
      </c>
      <c r="E214" s="7">
        <f t="shared" si="12"/>
        <v>496.13715277777868</v>
      </c>
      <c r="F214" s="7">
        <f t="shared" si="9"/>
        <v>510416.66666666756</v>
      </c>
      <c r="G214" s="8">
        <f t="shared" si="10"/>
        <v>189583.33333333328</v>
      </c>
    </row>
    <row r="215" spans="1:7" x14ac:dyDescent="0.2">
      <c r="A215" s="2">
        <v>27</v>
      </c>
      <c r="B215" s="6">
        <v>45200</v>
      </c>
      <c r="C215" s="7">
        <f t="shared" si="6"/>
        <v>7780.8159722222235</v>
      </c>
      <c r="D215" s="7">
        <f t="shared" si="7"/>
        <v>7291.666666666667</v>
      </c>
      <c r="E215" s="7">
        <f t="shared" si="12"/>
        <v>489.1493055555564</v>
      </c>
      <c r="F215" s="7">
        <f t="shared" si="9"/>
        <v>503125.00000000087</v>
      </c>
      <c r="G215" s="8">
        <f t="shared" si="10"/>
        <v>196874.99999999994</v>
      </c>
    </row>
    <row r="216" spans="1:7" x14ac:dyDescent="0.2">
      <c r="A216" s="2">
        <v>28</v>
      </c>
      <c r="B216" s="6">
        <v>45231</v>
      </c>
      <c r="C216" s="7">
        <f t="shared" si="6"/>
        <v>7773.8281250000009</v>
      </c>
      <c r="D216" s="7">
        <f t="shared" si="7"/>
        <v>7291.666666666667</v>
      </c>
      <c r="E216" s="7">
        <f t="shared" si="12"/>
        <v>482.16145833333417</v>
      </c>
      <c r="F216" s="7">
        <f t="shared" si="9"/>
        <v>495833.33333333419</v>
      </c>
      <c r="G216" s="8">
        <f t="shared" si="10"/>
        <v>204166.6666666666</v>
      </c>
    </row>
    <row r="217" spans="1:7" x14ac:dyDescent="0.2">
      <c r="A217" s="2">
        <v>29</v>
      </c>
      <c r="B217" s="6">
        <v>45261</v>
      </c>
      <c r="C217" s="7">
        <f t="shared" si="6"/>
        <v>7766.8402777777792</v>
      </c>
      <c r="D217" s="7">
        <f t="shared" si="7"/>
        <v>7291.666666666667</v>
      </c>
      <c r="E217" s="7">
        <f t="shared" si="12"/>
        <v>475.17361111111194</v>
      </c>
      <c r="F217" s="7">
        <f t="shared" si="9"/>
        <v>488541.6666666675</v>
      </c>
      <c r="G217" s="8">
        <f t="shared" si="10"/>
        <v>211458.33333333326</v>
      </c>
    </row>
    <row r="218" spans="1:7" x14ac:dyDescent="0.2">
      <c r="A218" s="2">
        <v>30</v>
      </c>
      <c r="B218" s="6">
        <v>45292</v>
      </c>
      <c r="C218" s="7">
        <f t="shared" si="6"/>
        <v>7759.8524305555566</v>
      </c>
      <c r="D218" s="7">
        <f t="shared" si="7"/>
        <v>7291.666666666667</v>
      </c>
      <c r="E218" s="7">
        <f t="shared" si="12"/>
        <v>468.18576388888965</v>
      </c>
      <c r="F218" s="7">
        <f t="shared" si="9"/>
        <v>481250.00000000081</v>
      </c>
      <c r="G218" s="8">
        <f t="shared" si="10"/>
        <v>218749.99999999991</v>
      </c>
    </row>
    <row r="219" spans="1:7" x14ac:dyDescent="0.2">
      <c r="A219" s="2">
        <v>31</v>
      </c>
      <c r="B219" s="6">
        <v>45323</v>
      </c>
      <c r="C219" s="7">
        <f t="shared" si="6"/>
        <v>7752.8645833333339</v>
      </c>
      <c r="D219" s="7">
        <f t="shared" si="7"/>
        <v>7291.666666666667</v>
      </c>
      <c r="E219" s="7">
        <f t="shared" si="12"/>
        <v>461.19791666666742</v>
      </c>
      <c r="F219" s="7">
        <f t="shared" si="9"/>
        <v>473958.33333333413</v>
      </c>
      <c r="G219" s="8">
        <f t="shared" si="10"/>
        <v>226041.66666666657</v>
      </c>
    </row>
    <row r="220" spans="1:7" x14ac:dyDescent="0.2">
      <c r="A220" s="2">
        <v>32</v>
      </c>
      <c r="B220" s="6">
        <v>45352</v>
      </c>
      <c r="C220" s="7">
        <f t="shared" si="6"/>
        <v>7745.8767361111122</v>
      </c>
      <c r="D220" s="7">
        <f t="shared" si="7"/>
        <v>7291.666666666667</v>
      </c>
      <c r="E220" s="7">
        <f t="shared" si="12"/>
        <v>454.2100694444452</v>
      </c>
      <c r="F220" s="7">
        <f t="shared" si="9"/>
        <v>466666.66666666744</v>
      </c>
      <c r="G220" s="8">
        <f t="shared" si="10"/>
        <v>233333.33333333323</v>
      </c>
    </row>
    <row r="221" spans="1:7" x14ac:dyDescent="0.2">
      <c r="A221" s="2">
        <v>33</v>
      </c>
      <c r="B221" s="6">
        <v>45383</v>
      </c>
      <c r="C221" s="7">
        <f t="shared" si="6"/>
        <v>7738.8888888888896</v>
      </c>
      <c r="D221" s="7">
        <f t="shared" si="7"/>
        <v>7291.666666666667</v>
      </c>
      <c r="E221" s="7">
        <f t="shared" si="12"/>
        <v>447.22222222222291</v>
      </c>
      <c r="F221" s="7">
        <f t="shared" si="9"/>
        <v>459375.00000000076</v>
      </c>
      <c r="G221" s="8">
        <f t="shared" si="10"/>
        <v>240624.99999999988</v>
      </c>
    </row>
    <row r="222" spans="1:7" x14ac:dyDescent="0.2">
      <c r="A222" s="2">
        <v>34</v>
      </c>
      <c r="B222" s="6">
        <v>45413</v>
      </c>
      <c r="C222" s="7">
        <f t="shared" si="6"/>
        <v>7731.9010416666679</v>
      </c>
      <c r="D222" s="7">
        <f t="shared" si="7"/>
        <v>7291.666666666667</v>
      </c>
      <c r="E222" s="7">
        <f t="shared" si="12"/>
        <v>440.23437500000068</v>
      </c>
      <c r="F222" s="7">
        <f t="shared" si="9"/>
        <v>452083.33333333407</v>
      </c>
      <c r="G222" s="8">
        <f t="shared" si="10"/>
        <v>247916.66666666654</v>
      </c>
    </row>
    <row r="223" spans="1:7" x14ac:dyDescent="0.2">
      <c r="A223" s="2">
        <v>35</v>
      </c>
      <c r="B223" s="6">
        <v>45444</v>
      </c>
      <c r="C223" s="7">
        <f t="shared" si="6"/>
        <v>7724.9131944444453</v>
      </c>
      <c r="D223" s="7">
        <f t="shared" si="7"/>
        <v>7291.666666666667</v>
      </c>
      <c r="E223" s="7">
        <f t="shared" si="12"/>
        <v>433.24652777777851</v>
      </c>
      <c r="F223" s="7">
        <f t="shared" si="9"/>
        <v>444791.66666666738</v>
      </c>
      <c r="G223" s="8">
        <f t="shared" si="10"/>
        <v>255208.3333333332</v>
      </c>
    </row>
    <row r="224" spans="1:7" x14ac:dyDescent="0.2">
      <c r="A224" s="2">
        <v>36</v>
      </c>
      <c r="B224" s="6">
        <v>45474</v>
      </c>
      <c r="C224" s="7">
        <f t="shared" si="6"/>
        <v>7717.9253472222235</v>
      </c>
      <c r="D224" s="7">
        <f t="shared" si="7"/>
        <v>7291.666666666667</v>
      </c>
      <c r="E224" s="7">
        <f t="shared" si="12"/>
        <v>426.25868055555628</v>
      </c>
      <c r="F224" s="7">
        <f t="shared" si="9"/>
        <v>437500.0000000007</v>
      </c>
      <c r="G224" s="8">
        <f t="shared" si="10"/>
        <v>262499.99999999988</v>
      </c>
    </row>
    <row r="225" spans="1:7" x14ac:dyDescent="0.2">
      <c r="A225" s="2">
        <v>37</v>
      </c>
      <c r="B225" s="6">
        <v>45505</v>
      </c>
      <c r="C225" s="7">
        <f t="shared" si="6"/>
        <v>7765.6250000000009</v>
      </c>
      <c r="D225" s="7">
        <f t="shared" si="7"/>
        <v>7291.666666666667</v>
      </c>
      <c r="E225" s="7">
        <f t="shared" ref="E225:E236" si="13">F224*$D$181/12</f>
        <v>473.95833333333417</v>
      </c>
      <c r="F225" s="7">
        <f t="shared" si="9"/>
        <v>430208.33333333401</v>
      </c>
      <c r="G225" s="8">
        <f t="shared" si="10"/>
        <v>269791.66666666657</v>
      </c>
    </row>
    <row r="226" spans="1:7" x14ac:dyDescent="0.2">
      <c r="A226" s="2">
        <v>38</v>
      </c>
      <c r="B226" s="6">
        <v>45536</v>
      </c>
      <c r="C226" s="7">
        <f t="shared" si="6"/>
        <v>7757.7256944444453</v>
      </c>
      <c r="D226" s="7">
        <f t="shared" si="7"/>
        <v>7291.666666666667</v>
      </c>
      <c r="E226" s="7">
        <f t="shared" si="13"/>
        <v>466.05902777777857</v>
      </c>
      <c r="F226" s="7">
        <f t="shared" si="9"/>
        <v>422916.66666666733</v>
      </c>
      <c r="G226" s="8">
        <f t="shared" si="10"/>
        <v>277083.33333333326</v>
      </c>
    </row>
    <row r="227" spans="1:7" x14ac:dyDescent="0.2">
      <c r="A227" s="2">
        <v>39</v>
      </c>
      <c r="B227" s="6">
        <v>45566</v>
      </c>
      <c r="C227" s="7">
        <f t="shared" si="6"/>
        <v>7749.8263888888896</v>
      </c>
      <c r="D227" s="7">
        <f t="shared" si="7"/>
        <v>7291.666666666667</v>
      </c>
      <c r="E227" s="7">
        <f t="shared" si="13"/>
        <v>458.15972222222302</v>
      </c>
      <c r="F227" s="7">
        <f t="shared" si="9"/>
        <v>415625.00000000064</v>
      </c>
      <c r="G227" s="8">
        <f t="shared" si="10"/>
        <v>284374.99999999994</v>
      </c>
    </row>
    <row r="228" spans="1:7" x14ac:dyDescent="0.2">
      <c r="A228" s="2">
        <v>40</v>
      </c>
      <c r="B228" s="6">
        <v>45597</v>
      </c>
      <c r="C228" s="7">
        <f t="shared" si="6"/>
        <v>7741.9270833333339</v>
      </c>
      <c r="D228" s="7">
        <f t="shared" si="7"/>
        <v>7291.666666666667</v>
      </c>
      <c r="E228" s="7">
        <f t="shared" si="13"/>
        <v>450.26041666666742</v>
      </c>
      <c r="F228" s="7">
        <f t="shared" si="9"/>
        <v>408333.33333333395</v>
      </c>
      <c r="G228" s="8">
        <f t="shared" si="10"/>
        <v>291666.66666666663</v>
      </c>
    </row>
    <row r="229" spans="1:7" x14ac:dyDescent="0.2">
      <c r="A229" s="2">
        <v>41</v>
      </c>
      <c r="B229" s="6">
        <v>45627</v>
      </c>
      <c r="C229" s="7">
        <f t="shared" si="6"/>
        <v>7734.0277777777792</v>
      </c>
      <c r="D229" s="7">
        <f t="shared" si="7"/>
        <v>7291.666666666667</v>
      </c>
      <c r="E229" s="7">
        <f t="shared" si="13"/>
        <v>442.36111111111182</v>
      </c>
      <c r="F229" s="7">
        <f t="shared" si="9"/>
        <v>401041.66666666727</v>
      </c>
      <c r="G229" s="8">
        <f t="shared" si="10"/>
        <v>298958.33333333331</v>
      </c>
    </row>
    <row r="230" spans="1:7" x14ac:dyDescent="0.2">
      <c r="A230" s="2">
        <v>42</v>
      </c>
      <c r="B230" s="6">
        <v>45658</v>
      </c>
      <c r="C230" s="7">
        <f t="shared" si="6"/>
        <v>7726.1284722222235</v>
      </c>
      <c r="D230" s="7">
        <f t="shared" si="7"/>
        <v>7291.666666666667</v>
      </c>
      <c r="E230" s="7">
        <f t="shared" si="13"/>
        <v>434.46180555555628</v>
      </c>
      <c r="F230" s="7">
        <f t="shared" si="9"/>
        <v>393750.00000000058</v>
      </c>
      <c r="G230" s="8">
        <f t="shared" si="10"/>
        <v>306250</v>
      </c>
    </row>
    <row r="231" spans="1:7" x14ac:dyDescent="0.2">
      <c r="A231" s="2">
        <v>43</v>
      </c>
      <c r="B231" s="6">
        <v>45689</v>
      </c>
      <c r="C231" s="7">
        <f t="shared" si="6"/>
        <v>7718.2291666666679</v>
      </c>
      <c r="D231" s="7">
        <f t="shared" si="7"/>
        <v>7291.666666666667</v>
      </c>
      <c r="E231" s="7">
        <f t="shared" si="13"/>
        <v>426.56250000000068</v>
      </c>
      <c r="F231" s="7">
        <f t="shared" si="9"/>
        <v>386458.3333333339</v>
      </c>
      <c r="G231" s="8">
        <f t="shared" si="10"/>
        <v>313541.66666666669</v>
      </c>
    </row>
    <row r="232" spans="1:7" x14ac:dyDescent="0.2">
      <c r="A232" s="2">
        <v>44</v>
      </c>
      <c r="B232" s="6">
        <v>45717</v>
      </c>
      <c r="C232" s="7">
        <f t="shared" si="6"/>
        <v>7710.3298611111122</v>
      </c>
      <c r="D232" s="7">
        <f t="shared" si="7"/>
        <v>7291.666666666667</v>
      </c>
      <c r="E232" s="7">
        <f t="shared" si="13"/>
        <v>418.66319444444508</v>
      </c>
      <c r="F232" s="7">
        <f t="shared" si="9"/>
        <v>379166.66666666721</v>
      </c>
      <c r="G232" s="8">
        <f t="shared" si="10"/>
        <v>320833.33333333337</v>
      </c>
    </row>
    <row r="233" spans="1:7" x14ac:dyDescent="0.2">
      <c r="A233" s="2">
        <v>45</v>
      </c>
      <c r="B233" s="6">
        <v>45748</v>
      </c>
      <c r="C233" s="7">
        <f t="shared" si="6"/>
        <v>7702.4305555555566</v>
      </c>
      <c r="D233" s="7">
        <f t="shared" si="7"/>
        <v>7291.666666666667</v>
      </c>
      <c r="E233" s="7">
        <f t="shared" si="13"/>
        <v>410.76388888888954</v>
      </c>
      <c r="F233" s="7">
        <f t="shared" si="9"/>
        <v>371875.00000000052</v>
      </c>
      <c r="G233" s="8">
        <f t="shared" si="10"/>
        <v>328125.00000000006</v>
      </c>
    </row>
    <row r="234" spans="1:7" x14ac:dyDescent="0.2">
      <c r="A234" s="2">
        <v>46</v>
      </c>
      <c r="B234" s="6">
        <v>45778</v>
      </c>
      <c r="C234" s="7">
        <f t="shared" si="6"/>
        <v>7694.5312500000009</v>
      </c>
      <c r="D234" s="7">
        <f t="shared" si="7"/>
        <v>7291.666666666667</v>
      </c>
      <c r="E234" s="7">
        <f t="shared" si="13"/>
        <v>402.86458333333394</v>
      </c>
      <c r="F234" s="7">
        <f t="shared" si="9"/>
        <v>364583.33333333384</v>
      </c>
      <c r="G234" s="8">
        <f t="shared" si="10"/>
        <v>335416.66666666674</v>
      </c>
    </row>
    <row r="235" spans="1:7" x14ac:dyDescent="0.2">
      <c r="A235" s="2">
        <v>47</v>
      </c>
      <c r="B235" s="6">
        <v>45809</v>
      </c>
      <c r="C235" s="7">
        <f t="shared" si="6"/>
        <v>7686.6319444444453</v>
      </c>
      <c r="D235" s="7">
        <f t="shared" si="7"/>
        <v>7291.666666666667</v>
      </c>
      <c r="E235" s="7">
        <f t="shared" si="13"/>
        <v>394.96527777777834</v>
      </c>
      <c r="F235" s="7">
        <f t="shared" si="9"/>
        <v>357291.66666666715</v>
      </c>
      <c r="G235" s="8">
        <f t="shared" si="10"/>
        <v>342708.33333333343</v>
      </c>
    </row>
    <row r="236" spans="1:7" x14ac:dyDescent="0.2">
      <c r="A236" s="2">
        <v>48</v>
      </c>
      <c r="B236" s="6">
        <v>45839</v>
      </c>
      <c r="C236" s="7">
        <f t="shared" si="6"/>
        <v>7678.7326388888896</v>
      </c>
      <c r="D236" s="7">
        <f t="shared" si="7"/>
        <v>7291.666666666667</v>
      </c>
      <c r="E236" s="7">
        <f t="shared" si="13"/>
        <v>387.0659722222228</v>
      </c>
      <c r="F236" s="7">
        <f t="shared" si="9"/>
        <v>350000.00000000047</v>
      </c>
      <c r="G236" s="8">
        <f t="shared" si="10"/>
        <v>350000.00000000012</v>
      </c>
    </row>
    <row r="237" spans="1:7" x14ac:dyDescent="0.2">
      <c r="A237" s="2">
        <v>49</v>
      </c>
      <c r="B237" s="6">
        <v>45870</v>
      </c>
      <c r="C237" s="7">
        <f t="shared" si="6"/>
        <v>7714.5833333333339</v>
      </c>
      <c r="D237" s="7">
        <f t="shared" si="7"/>
        <v>7291.666666666667</v>
      </c>
      <c r="E237" s="7">
        <f t="shared" ref="E237:E248" si="14">F236*$D$182/12</f>
        <v>422.91666666666725</v>
      </c>
      <c r="F237" s="7">
        <f t="shared" si="9"/>
        <v>342708.33333333378</v>
      </c>
      <c r="G237" s="8">
        <f t="shared" si="10"/>
        <v>357291.6666666668</v>
      </c>
    </row>
    <row r="238" spans="1:7" x14ac:dyDescent="0.2">
      <c r="A238" s="2">
        <v>50</v>
      </c>
      <c r="B238" s="6">
        <v>45901</v>
      </c>
      <c r="C238" s="7">
        <f t="shared" si="6"/>
        <v>7705.7725694444453</v>
      </c>
      <c r="D238" s="7">
        <f t="shared" si="7"/>
        <v>7291.666666666667</v>
      </c>
      <c r="E238" s="7">
        <f t="shared" si="14"/>
        <v>414.10590277777834</v>
      </c>
      <c r="F238" s="7">
        <f t="shared" si="9"/>
        <v>335416.66666666709</v>
      </c>
      <c r="G238" s="8">
        <f t="shared" si="10"/>
        <v>364583.33333333349</v>
      </c>
    </row>
    <row r="239" spans="1:7" x14ac:dyDescent="0.2">
      <c r="A239" s="2">
        <v>51</v>
      </c>
      <c r="B239" s="6">
        <v>45931</v>
      </c>
      <c r="C239" s="7">
        <f t="shared" si="6"/>
        <v>7696.9618055555566</v>
      </c>
      <c r="D239" s="7">
        <f t="shared" si="7"/>
        <v>7291.666666666667</v>
      </c>
      <c r="E239" s="7">
        <f t="shared" si="14"/>
        <v>405.29513888888943</v>
      </c>
      <c r="F239" s="7">
        <f t="shared" si="9"/>
        <v>328125.00000000041</v>
      </c>
      <c r="G239" s="8">
        <f t="shared" si="10"/>
        <v>371875.00000000017</v>
      </c>
    </row>
    <row r="240" spans="1:7" x14ac:dyDescent="0.2">
      <c r="A240" s="2">
        <v>52</v>
      </c>
      <c r="B240" s="6">
        <v>45962</v>
      </c>
      <c r="C240" s="7">
        <f t="shared" si="6"/>
        <v>7688.1510416666679</v>
      </c>
      <c r="D240" s="7">
        <f t="shared" si="7"/>
        <v>7291.666666666667</v>
      </c>
      <c r="E240" s="7">
        <f t="shared" si="14"/>
        <v>396.48437500000051</v>
      </c>
      <c r="F240" s="7">
        <f t="shared" si="9"/>
        <v>320833.33333333372</v>
      </c>
      <c r="G240" s="8">
        <f t="shared" si="10"/>
        <v>379166.66666666686</v>
      </c>
    </row>
    <row r="241" spans="1:7" x14ac:dyDescent="0.2">
      <c r="A241" s="2">
        <v>53</v>
      </c>
      <c r="B241" s="6">
        <v>45992</v>
      </c>
      <c r="C241" s="7">
        <f t="shared" si="6"/>
        <v>7679.3402777777783</v>
      </c>
      <c r="D241" s="7">
        <f t="shared" si="7"/>
        <v>7291.666666666667</v>
      </c>
      <c r="E241" s="7">
        <f t="shared" si="14"/>
        <v>387.6736111111116</v>
      </c>
      <c r="F241" s="7">
        <f t="shared" si="9"/>
        <v>313541.66666666704</v>
      </c>
      <c r="G241" s="8">
        <f t="shared" si="10"/>
        <v>386458.33333333355</v>
      </c>
    </row>
    <row r="242" spans="1:7" x14ac:dyDescent="0.2">
      <c r="A242" s="2">
        <v>54</v>
      </c>
      <c r="B242" s="6">
        <v>46023</v>
      </c>
      <c r="C242" s="7">
        <f t="shared" si="6"/>
        <v>7670.5295138888896</v>
      </c>
      <c r="D242" s="7">
        <f t="shared" si="7"/>
        <v>7291.666666666667</v>
      </c>
      <c r="E242" s="7">
        <f t="shared" si="14"/>
        <v>378.86284722222268</v>
      </c>
      <c r="F242" s="7">
        <f t="shared" si="9"/>
        <v>306250.00000000035</v>
      </c>
      <c r="G242" s="8">
        <f t="shared" si="10"/>
        <v>393750.00000000023</v>
      </c>
    </row>
    <row r="243" spans="1:7" x14ac:dyDescent="0.2">
      <c r="A243" s="2">
        <v>55</v>
      </c>
      <c r="B243" s="6">
        <v>46054</v>
      </c>
      <c r="C243" s="7">
        <f t="shared" si="6"/>
        <v>7661.7187500000009</v>
      </c>
      <c r="D243" s="7">
        <f t="shared" si="7"/>
        <v>7291.666666666667</v>
      </c>
      <c r="E243" s="7">
        <f t="shared" si="14"/>
        <v>370.05208333333377</v>
      </c>
      <c r="F243" s="7">
        <f t="shared" si="9"/>
        <v>298958.33333333366</v>
      </c>
      <c r="G243" s="8">
        <f t="shared" si="10"/>
        <v>401041.66666666692</v>
      </c>
    </row>
    <row r="244" spans="1:7" x14ac:dyDescent="0.2">
      <c r="A244" s="2">
        <v>56</v>
      </c>
      <c r="B244" s="6">
        <v>46082</v>
      </c>
      <c r="C244" s="7">
        <f t="shared" si="6"/>
        <v>7652.9079861111122</v>
      </c>
      <c r="D244" s="7">
        <f t="shared" si="7"/>
        <v>7291.666666666667</v>
      </c>
      <c r="E244" s="7">
        <f t="shared" si="14"/>
        <v>361.24131944444485</v>
      </c>
      <c r="F244" s="7">
        <f t="shared" si="9"/>
        <v>291666.66666666698</v>
      </c>
      <c r="G244" s="8">
        <f t="shared" si="10"/>
        <v>408333.3333333336</v>
      </c>
    </row>
    <row r="245" spans="1:7" x14ac:dyDescent="0.2">
      <c r="A245" s="2">
        <v>57</v>
      </c>
      <c r="B245" s="6">
        <v>46113</v>
      </c>
      <c r="C245" s="7">
        <f t="shared" si="6"/>
        <v>7644.0972222222226</v>
      </c>
      <c r="D245" s="7">
        <f t="shared" si="7"/>
        <v>7291.666666666667</v>
      </c>
      <c r="E245" s="7">
        <f t="shared" si="14"/>
        <v>352.43055555555594</v>
      </c>
      <c r="F245" s="7">
        <f t="shared" si="9"/>
        <v>284375.00000000029</v>
      </c>
      <c r="G245" s="8">
        <f t="shared" si="10"/>
        <v>415625.00000000029</v>
      </c>
    </row>
    <row r="246" spans="1:7" x14ac:dyDescent="0.2">
      <c r="A246" s="2">
        <v>58</v>
      </c>
      <c r="B246" s="6">
        <v>46143</v>
      </c>
      <c r="C246" s="7">
        <f t="shared" si="6"/>
        <v>7635.2864583333339</v>
      </c>
      <c r="D246" s="7">
        <f t="shared" si="7"/>
        <v>7291.666666666667</v>
      </c>
      <c r="E246" s="7">
        <f t="shared" si="14"/>
        <v>343.61979166666703</v>
      </c>
      <c r="F246" s="7">
        <f t="shared" si="9"/>
        <v>277083.3333333336</v>
      </c>
      <c r="G246" s="8">
        <f t="shared" si="10"/>
        <v>422916.66666666698</v>
      </c>
    </row>
    <row r="247" spans="1:7" x14ac:dyDescent="0.2">
      <c r="A247" s="2">
        <v>59</v>
      </c>
      <c r="B247" s="6">
        <v>46174</v>
      </c>
      <c r="C247" s="7">
        <f t="shared" si="6"/>
        <v>7626.4756944444453</v>
      </c>
      <c r="D247" s="7">
        <f t="shared" si="7"/>
        <v>7291.666666666667</v>
      </c>
      <c r="E247" s="7">
        <f t="shared" si="14"/>
        <v>334.80902777777811</v>
      </c>
      <c r="F247" s="7">
        <f t="shared" si="9"/>
        <v>269791.66666666692</v>
      </c>
      <c r="G247" s="8">
        <f t="shared" si="10"/>
        <v>430208.33333333366</v>
      </c>
    </row>
    <row r="248" spans="1:7" x14ac:dyDescent="0.2">
      <c r="A248" s="2">
        <v>60</v>
      </c>
      <c r="B248" s="6">
        <v>46204</v>
      </c>
      <c r="C248" s="7">
        <f t="shared" si="6"/>
        <v>7617.6649305555566</v>
      </c>
      <c r="D248" s="7">
        <f t="shared" si="7"/>
        <v>7291.666666666667</v>
      </c>
      <c r="E248" s="7">
        <f t="shared" si="14"/>
        <v>325.9982638888892</v>
      </c>
      <c r="F248" s="7">
        <f t="shared" si="9"/>
        <v>262500.00000000023</v>
      </c>
      <c r="G248" s="8">
        <f t="shared" si="10"/>
        <v>437500.00000000035</v>
      </c>
    </row>
    <row r="249" spans="1:7" x14ac:dyDescent="0.2">
      <c r="A249" s="2">
        <v>61</v>
      </c>
      <c r="B249" s="6">
        <v>46235</v>
      </c>
      <c r="C249" s="7">
        <f t="shared" si="6"/>
        <v>7641.666666666667</v>
      </c>
      <c r="D249" s="7">
        <f t="shared" si="7"/>
        <v>7291.666666666667</v>
      </c>
      <c r="E249" s="7">
        <f t="shared" ref="E249:E260" si="15">F248*$D$183/12</f>
        <v>350.00000000000028</v>
      </c>
      <c r="F249" s="7">
        <f t="shared" si="9"/>
        <v>255208.33333333358</v>
      </c>
      <c r="G249" s="8">
        <f t="shared" si="10"/>
        <v>444791.66666666704</v>
      </c>
    </row>
    <row r="250" spans="1:7" x14ac:dyDescent="0.2">
      <c r="A250" s="2">
        <v>62</v>
      </c>
      <c r="B250" s="6">
        <v>46266</v>
      </c>
      <c r="C250" s="7">
        <f t="shared" si="6"/>
        <v>7631.9444444444453</v>
      </c>
      <c r="D250" s="7">
        <f t="shared" si="7"/>
        <v>7291.666666666667</v>
      </c>
      <c r="E250" s="7">
        <f t="shared" si="15"/>
        <v>340.27777777777811</v>
      </c>
      <c r="F250" s="7">
        <f t="shared" si="9"/>
        <v>247916.66666666692</v>
      </c>
      <c r="G250" s="8">
        <f t="shared" si="10"/>
        <v>452083.33333333372</v>
      </c>
    </row>
    <row r="251" spans="1:7" x14ac:dyDescent="0.2">
      <c r="A251" s="2">
        <v>63</v>
      </c>
      <c r="B251" s="6">
        <v>46296</v>
      </c>
      <c r="C251" s="7">
        <f t="shared" si="6"/>
        <v>7622.2222222222226</v>
      </c>
      <c r="D251" s="7">
        <f t="shared" si="7"/>
        <v>7291.666666666667</v>
      </c>
      <c r="E251" s="7">
        <f t="shared" si="15"/>
        <v>330.55555555555588</v>
      </c>
      <c r="F251" s="7">
        <f t="shared" si="9"/>
        <v>240625.00000000026</v>
      </c>
      <c r="G251" s="8">
        <f t="shared" si="10"/>
        <v>459375.00000000041</v>
      </c>
    </row>
    <row r="252" spans="1:7" x14ac:dyDescent="0.2">
      <c r="A252" s="2">
        <v>64</v>
      </c>
      <c r="B252" s="6">
        <v>46327</v>
      </c>
      <c r="C252" s="7">
        <f t="shared" si="6"/>
        <v>7612.5000000000009</v>
      </c>
      <c r="D252" s="7">
        <f t="shared" si="7"/>
        <v>7291.666666666667</v>
      </c>
      <c r="E252" s="7">
        <f t="shared" si="15"/>
        <v>320.83333333333366</v>
      </c>
      <c r="F252" s="7">
        <f t="shared" si="9"/>
        <v>233333.3333333336</v>
      </c>
      <c r="G252" s="8">
        <f t="shared" si="10"/>
        <v>466666.66666666709</v>
      </c>
    </row>
    <row r="253" spans="1:7" x14ac:dyDescent="0.2">
      <c r="A253" s="2">
        <v>65</v>
      </c>
      <c r="B253" s="6">
        <v>46357</v>
      </c>
      <c r="C253" s="7">
        <f t="shared" si="6"/>
        <v>7602.7777777777783</v>
      </c>
      <c r="D253" s="7">
        <f t="shared" si="7"/>
        <v>7291.666666666667</v>
      </c>
      <c r="E253" s="7">
        <f t="shared" si="15"/>
        <v>311.11111111111148</v>
      </c>
      <c r="F253" s="7">
        <f t="shared" si="9"/>
        <v>226041.66666666695</v>
      </c>
      <c r="G253" s="8">
        <f t="shared" si="10"/>
        <v>473958.33333333378</v>
      </c>
    </row>
    <row r="254" spans="1:7" x14ac:dyDescent="0.2">
      <c r="A254" s="2">
        <v>66</v>
      </c>
      <c r="B254" s="6">
        <v>46388</v>
      </c>
      <c r="C254" s="7">
        <f t="shared" si="6"/>
        <v>7593.0555555555566</v>
      </c>
      <c r="D254" s="7">
        <f t="shared" si="7"/>
        <v>7291.666666666667</v>
      </c>
      <c r="E254" s="7">
        <f t="shared" si="15"/>
        <v>301.38888888888926</v>
      </c>
      <c r="F254" s="7">
        <f t="shared" si="9"/>
        <v>218750.00000000029</v>
      </c>
      <c r="G254" s="8">
        <f t="shared" si="10"/>
        <v>481250.00000000047</v>
      </c>
    </row>
    <row r="255" spans="1:7" x14ac:dyDescent="0.2">
      <c r="A255" s="2">
        <v>67</v>
      </c>
      <c r="B255" s="6">
        <v>46419</v>
      </c>
      <c r="C255" s="7">
        <f t="shared" si="6"/>
        <v>7583.3333333333339</v>
      </c>
      <c r="D255" s="7">
        <f t="shared" si="7"/>
        <v>7291.666666666667</v>
      </c>
      <c r="E255" s="7">
        <f t="shared" si="15"/>
        <v>291.66666666666703</v>
      </c>
      <c r="F255" s="7">
        <f t="shared" si="9"/>
        <v>211458.33333333363</v>
      </c>
      <c r="G255" s="8">
        <f t="shared" si="10"/>
        <v>488541.66666666715</v>
      </c>
    </row>
    <row r="256" spans="1:7" x14ac:dyDescent="0.2">
      <c r="A256" s="2">
        <v>68</v>
      </c>
      <c r="B256" s="6">
        <v>46447</v>
      </c>
      <c r="C256" s="7">
        <f t="shared" si="6"/>
        <v>7573.6111111111122</v>
      </c>
      <c r="D256" s="7">
        <f t="shared" si="7"/>
        <v>7291.666666666667</v>
      </c>
      <c r="E256" s="7">
        <f t="shared" si="15"/>
        <v>281.94444444444485</v>
      </c>
      <c r="F256" s="7">
        <f t="shared" si="9"/>
        <v>204166.66666666698</v>
      </c>
      <c r="G256" s="8">
        <f t="shared" si="10"/>
        <v>495833.33333333384</v>
      </c>
    </row>
    <row r="257" spans="1:7" x14ac:dyDescent="0.2">
      <c r="A257" s="2">
        <v>69</v>
      </c>
      <c r="B257" s="6">
        <v>46478</v>
      </c>
      <c r="C257" s="7">
        <f t="shared" si="6"/>
        <v>7563.8888888888896</v>
      </c>
      <c r="D257" s="7">
        <f t="shared" si="7"/>
        <v>7291.666666666667</v>
      </c>
      <c r="E257" s="7">
        <f t="shared" si="15"/>
        <v>272.22222222222263</v>
      </c>
      <c r="F257" s="7">
        <f t="shared" si="9"/>
        <v>196875.00000000032</v>
      </c>
      <c r="G257" s="8">
        <f t="shared" si="10"/>
        <v>503125.00000000052</v>
      </c>
    </row>
    <row r="258" spans="1:7" x14ac:dyDescent="0.2">
      <c r="A258" s="2">
        <v>70</v>
      </c>
      <c r="B258" s="6">
        <v>46508</v>
      </c>
      <c r="C258" s="7">
        <f t="shared" si="6"/>
        <v>7554.166666666667</v>
      </c>
      <c r="D258" s="7">
        <f t="shared" si="7"/>
        <v>7291.666666666667</v>
      </c>
      <c r="E258" s="7">
        <f t="shared" si="15"/>
        <v>262.5000000000004</v>
      </c>
      <c r="F258" s="7">
        <f t="shared" si="9"/>
        <v>189583.33333333366</v>
      </c>
      <c r="G258" s="8">
        <f t="shared" si="10"/>
        <v>510416.66666666721</v>
      </c>
    </row>
    <row r="259" spans="1:7" x14ac:dyDescent="0.2">
      <c r="A259" s="2">
        <v>71</v>
      </c>
      <c r="B259" s="6">
        <v>46539</v>
      </c>
      <c r="C259" s="7">
        <f t="shared" si="6"/>
        <v>7544.4444444444453</v>
      </c>
      <c r="D259" s="7">
        <f t="shared" si="7"/>
        <v>7291.666666666667</v>
      </c>
      <c r="E259" s="7">
        <f t="shared" si="15"/>
        <v>252.7777777777782</v>
      </c>
      <c r="F259" s="7">
        <f t="shared" si="9"/>
        <v>182291.66666666701</v>
      </c>
      <c r="G259" s="8">
        <f t="shared" si="10"/>
        <v>517708.3333333339</v>
      </c>
    </row>
    <row r="260" spans="1:7" x14ac:dyDescent="0.2">
      <c r="A260" s="2">
        <v>72</v>
      </c>
      <c r="B260" s="6">
        <v>46569</v>
      </c>
      <c r="C260" s="7">
        <f t="shared" si="6"/>
        <v>7534.7222222222226</v>
      </c>
      <c r="D260" s="7">
        <f t="shared" si="7"/>
        <v>7291.666666666667</v>
      </c>
      <c r="E260" s="7">
        <f t="shared" si="15"/>
        <v>243.055555555556</v>
      </c>
      <c r="F260" s="7">
        <f t="shared" si="9"/>
        <v>175000.00000000035</v>
      </c>
      <c r="G260" s="8">
        <f t="shared" si="10"/>
        <v>525000.00000000058</v>
      </c>
    </row>
    <row r="261" spans="1:7" x14ac:dyDescent="0.2">
      <c r="A261" s="2">
        <v>73</v>
      </c>
      <c r="B261" s="6">
        <v>46600</v>
      </c>
      <c r="C261" s="7">
        <f t="shared" si="6"/>
        <v>7546.8750000000009</v>
      </c>
      <c r="D261" s="7">
        <f t="shared" si="7"/>
        <v>7291.666666666667</v>
      </c>
      <c r="E261" s="7">
        <f t="shared" ref="E261:E272" si="16">F260*$D$184/12</f>
        <v>255.20833333333385</v>
      </c>
      <c r="F261" s="7">
        <f t="shared" si="9"/>
        <v>167708.33333333369</v>
      </c>
      <c r="G261" s="8">
        <f t="shared" si="10"/>
        <v>532291.66666666721</v>
      </c>
    </row>
    <row r="262" spans="1:7" x14ac:dyDescent="0.2">
      <c r="A262" s="2">
        <v>74</v>
      </c>
      <c r="B262" s="6">
        <v>46631</v>
      </c>
      <c r="C262" s="7">
        <f t="shared" si="6"/>
        <v>7536.2413194444453</v>
      </c>
      <c r="D262" s="7">
        <f t="shared" si="7"/>
        <v>7291.666666666667</v>
      </c>
      <c r="E262" s="7">
        <f t="shared" si="16"/>
        <v>244.57465277777831</v>
      </c>
      <c r="F262" s="7">
        <f t="shared" si="9"/>
        <v>160416.66666666704</v>
      </c>
      <c r="G262" s="8">
        <f t="shared" si="10"/>
        <v>539583.33333333384</v>
      </c>
    </row>
    <row r="263" spans="1:7" x14ac:dyDescent="0.2">
      <c r="A263" s="2">
        <v>75</v>
      </c>
      <c r="B263" s="6">
        <v>46661</v>
      </c>
      <c r="C263" s="7">
        <f t="shared" si="6"/>
        <v>7525.6076388888896</v>
      </c>
      <c r="D263" s="7">
        <f t="shared" si="7"/>
        <v>7291.666666666667</v>
      </c>
      <c r="E263" s="7">
        <f t="shared" si="16"/>
        <v>233.94097222222277</v>
      </c>
      <c r="F263" s="7">
        <f t="shared" si="9"/>
        <v>153125.00000000038</v>
      </c>
      <c r="G263" s="8">
        <f t="shared" si="10"/>
        <v>546875.00000000047</v>
      </c>
    </row>
    <row r="264" spans="1:7" x14ac:dyDescent="0.2">
      <c r="A264" s="2">
        <v>76</v>
      </c>
      <c r="B264" s="6">
        <v>46692</v>
      </c>
      <c r="C264" s="7">
        <f t="shared" si="6"/>
        <v>7514.9739583333339</v>
      </c>
      <c r="D264" s="7">
        <f t="shared" si="7"/>
        <v>7291.666666666667</v>
      </c>
      <c r="E264" s="7">
        <f t="shared" si="16"/>
        <v>223.30729166666723</v>
      </c>
      <c r="F264" s="7">
        <f t="shared" si="9"/>
        <v>145833.33333333372</v>
      </c>
      <c r="G264" s="8">
        <f t="shared" si="10"/>
        <v>554166.66666666709</v>
      </c>
    </row>
    <row r="265" spans="1:7" x14ac:dyDescent="0.2">
      <c r="A265" s="2">
        <v>77</v>
      </c>
      <c r="B265" s="6">
        <v>46722</v>
      </c>
      <c r="C265" s="7">
        <f t="shared" si="6"/>
        <v>7504.3402777777783</v>
      </c>
      <c r="D265" s="7">
        <f t="shared" si="7"/>
        <v>7291.666666666667</v>
      </c>
      <c r="E265" s="7">
        <f t="shared" si="16"/>
        <v>212.67361111111168</v>
      </c>
      <c r="F265" s="7">
        <f t="shared" si="9"/>
        <v>138541.66666666706</v>
      </c>
      <c r="G265" s="8">
        <f t="shared" si="10"/>
        <v>561458.33333333372</v>
      </c>
    </row>
    <row r="266" spans="1:7" x14ac:dyDescent="0.2">
      <c r="A266" s="2">
        <v>78</v>
      </c>
      <c r="B266" s="6">
        <v>46753</v>
      </c>
      <c r="C266" s="7">
        <f t="shared" si="6"/>
        <v>7493.7065972222235</v>
      </c>
      <c r="D266" s="7">
        <f t="shared" si="7"/>
        <v>7291.666666666667</v>
      </c>
      <c r="E266" s="7">
        <f t="shared" si="16"/>
        <v>202.03993055555614</v>
      </c>
      <c r="F266" s="7">
        <f t="shared" si="9"/>
        <v>131250.00000000041</v>
      </c>
      <c r="G266" s="8">
        <f t="shared" si="10"/>
        <v>568750.00000000035</v>
      </c>
    </row>
    <row r="267" spans="1:7" x14ac:dyDescent="0.2">
      <c r="A267" s="2">
        <v>79</v>
      </c>
      <c r="B267" s="6">
        <v>46784</v>
      </c>
      <c r="C267" s="7">
        <f t="shared" si="6"/>
        <v>7483.0729166666679</v>
      </c>
      <c r="D267" s="7">
        <f t="shared" si="7"/>
        <v>7291.666666666667</v>
      </c>
      <c r="E267" s="7">
        <f t="shared" si="16"/>
        <v>191.4062500000006</v>
      </c>
      <c r="F267" s="7">
        <f t="shared" si="9"/>
        <v>123958.33333333374</v>
      </c>
      <c r="G267" s="8">
        <f t="shared" si="10"/>
        <v>576041.66666666698</v>
      </c>
    </row>
    <row r="268" spans="1:7" x14ac:dyDescent="0.2">
      <c r="A268" s="2">
        <v>80</v>
      </c>
      <c r="B268" s="6">
        <v>46813</v>
      </c>
      <c r="C268" s="7">
        <f t="shared" si="6"/>
        <v>7472.4392361111122</v>
      </c>
      <c r="D268" s="7">
        <f t="shared" si="7"/>
        <v>7291.666666666667</v>
      </c>
      <c r="E268" s="7">
        <f t="shared" si="16"/>
        <v>180.77256944444505</v>
      </c>
      <c r="F268" s="7">
        <f t="shared" si="9"/>
        <v>116666.66666666706</v>
      </c>
      <c r="G268" s="8">
        <f t="shared" si="10"/>
        <v>583333.3333333336</v>
      </c>
    </row>
    <row r="269" spans="1:7" x14ac:dyDescent="0.2">
      <c r="A269" s="2">
        <v>81</v>
      </c>
      <c r="B269" s="6">
        <v>46844</v>
      </c>
      <c r="C269" s="7">
        <f t="shared" si="6"/>
        <v>7461.8055555555566</v>
      </c>
      <c r="D269" s="7">
        <f t="shared" si="7"/>
        <v>7291.666666666667</v>
      </c>
      <c r="E269" s="7">
        <f t="shared" si="16"/>
        <v>170.13888888888948</v>
      </c>
      <c r="F269" s="7">
        <f t="shared" si="9"/>
        <v>109375.00000000039</v>
      </c>
      <c r="G269" s="8">
        <f t="shared" si="10"/>
        <v>590625.00000000023</v>
      </c>
    </row>
    <row r="270" spans="1:7" x14ac:dyDescent="0.2">
      <c r="A270" s="2">
        <v>82</v>
      </c>
      <c r="B270" s="6">
        <v>46874</v>
      </c>
      <c r="C270" s="7">
        <f t="shared" si="6"/>
        <v>7451.1718750000009</v>
      </c>
      <c r="D270" s="7">
        <f t="shared" si="7"/>
        <v>7291.666666666667</v>
      </c>
      <c r="E270" s="7">
        <f t="shared" si="16"/>
        <v>159.50520833333391</v>
      </c>
      <c r="F270" s="7">
        <f t="shared" si="9"/>
        <v>102083.33333333372</v>
      </c>
      <c r="G270" s="8">
        <f t="shared" si="10"/>
        <v>597916.66666666686</v>
      </c>
    </row>
    <row r="271" spans="1:7" x14ac:dyDescent="0.2">
      <c r="A271" s="2">
        <v>83</v>
      </c>
      <c r="B271" s="6">
        <v>46905</v>
      </c>
      <c r="C271" s="7">
        <f t="shared" si="6"/>
        <v>7440.5381944444453</v>
      </c>
      <c r="D271" s="7">
        <f t="shared" si="7"/>
        <v>7291.666666666667</v>
      </c>
      <c r="E271" s="7">
        <f t="shared" si="16"/>
        <v>148.87152777777837</v>
      </c>
      <c r="F271" s="7">
        <f t="shared" si="9"/>
        <v>94791.66666666705</v>
      </c>
      <c r="G271" s="8">
        <f t="shared" si="10"/>
        <v>605208.33333333349</v>
      </c>
    </row>
    <row r="272" spans="1:7" x14ac:dyDescent="0.2">
      <c r="A272" s="2">
        <v>84</v>
      </c>
      <c r="B272" s="6">
        <v>46935</v>
      </c>
      <c r="C272" s="7">
        <f t="shared" si="6"/>
        <v>7429.9045138888896</v>
      </c>
      <c r="D272" s="7">
        <f t="shared" si="7"/>
        <v>7291.666666666667</v>
      </c>
      <c r="E272" s="7">
        <f t="shared" si="16"/>
        <v>138.2378472222228</v>
      </c>
      <c r="F272" s="7">
        <f t="shared" si="9"/>
        <v>87500.000000000378</v>
      </c>
      <c r="G272" s="8">
        <f t="shared" si="10"/>
        <v>612500.00000000012</v>
      </c>
    </row>
    <row r="273" spans="1:7" x14ac:dyDescent="0.2">
      <c r="A273" s="2">
        <v>85</v>
      </c>
      <c r="B273" s="6">
        <v>46966</v>
      </c>
      <c r="C273" s="7">
        <f t="shared" si="6"/>
        <v>7430.2083333333339</v>
      </c>
      <c r="D273" s="7">
        <f t="shared" si="7"/>
        <v>7291.666666666667</v>
      </c>
      <c r="E273" s="7">
        <f t="shared" ref="E273:E284" si="17">F272*$D$185/12</f>
        <v>138.54166666666728</v>
      </c>
      <c r="F273" s="7">
        <f t="shared" si="9"/>
        <v>80208.333333333707</v>
      </c>
      <c r="G273" s="8">
        <f t="shared" si="10"/>
        <v>619791.66666666674</v>
      </c>
    </row>
    <row r="274" spans="1:7" x14ac:dyDescent="0.2">
      <c r="A274" s="2">
        <v>86</v>
      </c>
      <c r="B274" s="6">
        <v>46997</v>
      </c>
      <c r="C274" s="7">
        <f t="shared" si="6"/>
        <v>7418.6631944444453</v>
      </c>
      <c r="D274" s="7">
        <f t="shared" si="7"/>
        <v>7291.666666666667</v>
      </c>
      <c r="E274" s="7">
        <f t="shared" si="17"/>
        <v>126.9965277777784</v>
      </c>
      <c r="F274" s="7">
        <f t="shared" si="9"/>
        <v>72916.666666667035</v>
      </c>
      <c r="G274" s="8">
        <f t="shared" si="10"/>
        <v>627083.33333333337</v>
      </c>
    </row>
    <row r="275" spans="1:7" x14ac:dyDescent="0.2">
      <c r="A275" s="2">
        <v>87</v>
      </c>
      <c r="B275" s="6">
        <v>47027</v>
      </c>
      <c r="C275" s="7">
        <f t="shared" si="6"/>
        <v>7407.1180555555566</v>
      </c>
      <c r="D275" s="7">
        <f t="shared" si="7"/>
        <v>7291.666666666667</v>
      </c>
      <c r="E275" s="7">
        <f t="shared" si="17"/>
        <v>115.45138888888948</v>
      </c>
      <c r="F275" s="7">
        <f t="shared" si="9"/>
        <v>65625.000000000364</v>
      </c>
      <c r="G275" s="8">
        <f t="shared" si="10"/>
        <v>634375</v>
      </c>
    </row>
    <row r="276" spans="1:7" x14ac:dyDescent="0.2">
      <c r="A276" s="2">
        <v>88</v>
      </c>
      <c r="B276" s="6">
        <v>47058</v>
      </c>
      <c r="C276" s="7">
        <f t="shared" si="6"/>
        <v>7395.5729166666679</v>
      </c>
      <c r="D276" s="7">
        <f t="shared" si="7"/>
        <v>7291.666666666667</v>
      </c>
      <c r="E276" s="7">
        <f t="shared" si="17"/>
        <v>103.90625000000058</v>
      </c>
      <c r="F276" s="7">
        <f t="shared" si="9"/>
        <v>58333.3333333337</v>
      </c>
      <c r="G276" s="8">
        <f t="shared" si="10"/>
        <v>641666.66666666663</v>
      </c>
    </row>
    <row r="277" spans="1:7" x14ac:dyDescent="0.2">
      <c r="A277" s="2">
        <v>89</v>
      </c>
      <c r="B277" s="6">
        <v>47088</v>
      </c>
      <c r="C277" s="7">
        <f t="shared" si="6"/>
        <v>7384.0277777777783</v>
      </c>
      <c r="D277" s="7">
        <f t="shared" si="7"/>
        <v>7291.666666666667</v>
      </c>
      <c r="E277" s="7">
        <f t="shared" si="17"/>
        <v>92.361111111111711</v>
      </c>
      <c r="F277" s="7">
        <f t="shared" si="9"/>
        <v>51041.666666667035</v>
      </c>
      <c r="G277" s="8">
        <f t="shared" si="10"/>
        <v>648958.33333333326</v>
      </c>
    </row>
    <row r="278" spans="1:7" x14ac:dyDescent="0.2">
      <c r="A278" s="2">
        <v>90</v>
      </c>
      <c r="B278" s="6">
        <v>47119</v>
      </c>
      <c r="C278" s="7">
        <f t="shared" si="6"/>
        <v>7372.4826388888896</v>
      </c>
      <c r="D278" s="7">
        <f t="shared" si="7"/>
        <v>7291.666666666667</v>
      </c>
      <c r="E278" s="7">
        <f t="shared" si="17"/>
        <v>80.815972222222811</v>
      </c>
      <c r="F278" s="7">
        <f t="shared" si="9"/>
        <v>43750.000000000371</v>
      </c>
      <c r="G278" s="8">
        <f t="shared" si="10"/>
        <v>656249.99999999988</v>
      </c>
    </row>
    <row r="279" spans="1:7" x14ac:dyDescent="0.2">
      <c r="A279" s="2">
        <v>91</v>
      </c>
      <c r="B279" s="6">
        <v>47150</v>
      </c>
      <c r="C279" s="7">
        <f t="shared" si="6"/>
        <v>7360.9375000000009</v>
      </c>
      <c r="D279" s="7">
        <f t="shared" si="7"/>
        <v>7291.666666666667</v>
      </c>
      <c r="E279" s="7">
        <f t="shared" si="17"/>
        <v>69.270833333333925</v>
      </c>
      <c r="F279" s="7">
        <f t="shared" si="9"/>
        <v>36458.333333333707</v>
      </c>
      <c r="G279" s="8">
        <f t="shared" si="10"/>
        <v>663541.66666666651</v>
      </c>
    </row>
    <row r="280" spans="1:7" x14ac:dyDescent="0.2">
      <c r="A280" s="2">
        <v>92</v>
      </c>
      <c r="B280" s="6">
        <v>47178</v>
      </c>
      <c r="C280" s="7">
        <f t="shared" si="6"/>
        <v>7349.3923611111122</v>
      </c>
      <c r="D280" s="7">
        <f t="shared" si="7"/>
        <v>7291.666666666667</v>
      </c>
      <c r="E280" s="7">
        <f t="shared" si="17"/>
        <v>57.725694444445047</v>
      </c>
      <c r="F280" s="7">
        <f t="shared" si="9"/>
        <v>29166.666666667039</v>
      </c>
      <c r="G280" s="8">
        <f t="shared" si="10"/>
        <v>670833.33333333314</v>
      </c>
    </row>
    <row r="281" spans="1:7" x14ac:dyDescent="0.2">
      <c r="A281" s="2">
        <v>93</v>
      </c>
      <c r="B281" s="6">
        <v>47209</v>
      </c>
      <c r="C281" s="7">
        <f t="shared" si="6"/>
        <v>7337.8472222222235</v>
      </c>
      <c r="D281" s="7">
        <f t="shared" si="7"/>
        <v>7291.666666666667</v>
      </c>
      <c r="E281" s="7">
        <f t="shared" si="17"/>
        <v>46.180555555556147</v>
      </c>
      <c r="F281" s="7">
        <f t="shared" si="9"/>
        <v>21875.000000000371</v>
      </c>
      <c r="G281" s="8">
        <f t="shared" si="10"/>
        <v>678124.99999999977</v>
      </c>
    </row>
    <row r="282" spans="1:7" x14ac:dyDescent="0.2">
      <c r="A282" s="2">
        <v>94</v>
      </c>
      <c r="B282" s="6">
        <v>47239</v>
      </c>
      <c r="C282" s="7">
        <f t="shared" si="6"/>
        <v>7326.3020833333339</v>
      </c>
      <c r="D282" s="7">
        <f t="shared" si="7"/>
        <v>7291.666666666667</v>
      </c>
      <c r="E282" s="7">
        <f t="shared" si="17"/>
        <v>34.635416666667261</v>
      </c>
      <c r="F282" s="7">
        <f t="shared" si="9"/>
        <v>14583.333333333703</v>
      </c>
      <c r="G282" s="8">
        <f t="shared" si="10"/>
        <v>685416.6666666664</v>
      </c>
    </row>
    <row r="283" spans="1:7" x14ac:dyDescent="0.2">
      <c r="A283" s="2">
        <v>95</v>
      </c>
      <c r="B283" s="6">
        <v>47270</v>
      </c>
      <c r="C283" s="7">
        <f t="shared" si="6"/>
        <v>7314.7569444444453</v>
      </c>
      <c r="D283" s="7">
        <f t="shared" si="7"/>
        <v>7291.666666666667</v>
      </c>
      <c r="E283" s="7">
        <f t="shared" si="17"/>
        <v>23.090277777778368</v>
      </c>
      <c r="F283" s="7">
        <f t="shared" si="9"/>
        <v>7291.6666666670362</v>
      </c>
      <c r="G283" s="8">
        <f t="shared" si="10"/>
        <v>692708.33333333302</v>
      </c>
    </row>
    <row r="284" spans="1:7" x14ac:dyDescent="0.2">
      <c r="A284" s="2">
        <v>96</v>
      </c>
      <c r="B284" s="6">
        <v>47300</v>
      </c>
      <c r="C284" s="7">
        <f t="shared" si="6"/>
        <v>7303.2118055555566</v>
      </c>
      <c r="D284" s="7">
        <f t="shared" si="7"/>
        <v>7291.666666666667</v>
      </c>
      <c r="E284" s="7">
        <f t="shared" si="17"/>
        <v>11.545138888889475</v>
      </c>
      <c r="F284" s="7">
        <f t="shared" si="9"/>
        <v>3.6925484891980886E-10</v>
      </c>
      <c r="G284" s="8">
        <f t="shared" si="10"/>
        <v>699999.99999999965</v>
      </c>
    </row>
    <row r="285" spans="1:7" x14ac:dyDescent="0.2">
      <c r="B285" s="9"/>
      <c r="D285" s="10">
        <f t="shared" ref="D285:E285" si="18">SUM(D189:D284)</f>
        <v>699999.99999999965</v>
      </c>
      <c r="E285" s="11">
        <f t="shared" si="18"/>
        <v>33388.541666666708</v>
      </c>
    </row>
  </sheetData>
  <mergeCells count="13">
    <mergeCell ref="B72:D72"/>
    <mergeCell ref="B54:I54"/>
    <mergeCell ref="B55:I55"/>
    <mergeCell ref="B57:F57"/>
    <mergeCell ref="B59:I59"/>
    <mergeCell ref="B60:F60"/>
    <mergeCell ref="B62:I62"/>
    <mergeCell ref="B63:G63"/>
    <mergeCell ref="B66:I66"/>
    <mergeCell ref="B67:I67"/>
    <mergeCell ref="B68:I68"/>
    <mergeCell ref="B69:I69"/>
    <mergeCell ref="B71:I7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PORTATIL28</dc:creator>
  <cp:lastModifiedBy>Oriol puig i Carreró</cp:lastModifiedBy>
  <dcterms:created xsi:type="dcterms:W3CDTF">2024-03-11T19:20:29Z</dcterms:created>
  <dcterms:modified xsi:type="dcterms:W3CDTF">2024-03-11T19:20:29Z</dcterms:modified>
</cp:coreProperties>
</file>