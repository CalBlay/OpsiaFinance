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5" documentId="8_{CD8C2962-4C35-4020-BC12-DC04C22449F5}" xr6:coauthVersionLast="47" xr6:coauthVersionMax="47" xr10:uidLastSave="{C9BE6330-675B-4C7B-B5B4-2A8583FCE63D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C29" i="1"/>
  <c r="C31" i="1" s="1"/>
  <c r="C26" i="1"/>
  <c r="C33" i="1" s="1"/>
</calcChain>
</file>

<file path=xl/sharedStrings.xml><?xml version="1.0" encoding="utf-8"?>
<sst xmlns="http://schemas.openxmlformats.org/spreadsheetml/2006/main" count="12" uniqueCount="12">
  <si>
    <t>Una empresa de maquinaria le ha vendido a un organismo público ciertos productos por valor de 90.000 euros que cobrará a 90 días de fecha</t>
  </si>
  <si>
    <t xml:space="preserve">de factura. No obstante la empresa de maquinaria, necesita disponer de liquidez para lo cual decide acudir a un banco para que le de </t>
  </si>
  <si>
    <t>alguna alternativa para el anticipo de la misma.</t>
  </si>
  <si>
    <t xml:space="preserve">Ante esta situación, el banco le ofrece anticipar sus facturas mediante un contrato de factoring con recurso por el cuál le cobrará un 4% </t>
  </si>
  <si>
    <t>de comisión y unos intereses nominales del 3% anual sobre el capital cedido.</t>
  </si>
  <si>
    <t>Se pide calcular cuánto dinero recibirá la empresa de maquinaria:</t>
  </si>
  <si>
    <t>Total de la factura</t>
  </si>
  <si>
    <t>Comisión del 4%</t>
  </si>
  <si>
    <t>Intereses:</t>
  </si>
  <si>
    <t>Tipo de interes mensual</t>
  </si>
  <si>
    <t>Total intereses</t>
  </si>
  <si>
    <t>Importe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</si>
</sst>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10" fontId="1" fillId="0" borderId="0" xfId="0" applyNumberFormat="1" applyFont="1"/>
    <xf numFmtId="0" fontId="3" fillId="0" borderId="0" xfId="0" applyFont="1"/>
    <xf numFmtId="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77000" cy="2505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6:E33"/>
  <sheetViews>
    <sheetView tabSelected="1" topLeftCell="A14" workbookViewId="0">
      <selection activeCell="G31" sqref="G31"/>
    </sheetView>
  </sheetViews>
  <sheetFormatPr defaultColWidth="14.42578125" defaultRowHeight="15.75" customHeight="1" x14ac:dyDescent="0.2"/>
  <cols>
    <col min="2" max="2" width="23.85546875" customWidth="1"/>
  </cols>
  <sheetData>
    <row r="16" spans="2:2" x14ac:dyDescent="0.2">
      <c r="B16" s="1" t="s">
        <v>0</v>
      </c>
    </row>
    <row r="17" spans="2:5" x14ac:dyDescent="0.2">
      <c r="B17" s="1" t="s">
        <v>1</v>
      </c>
    </row>
    <row r="18" spans="2:5" x14ac:dyDescent="0.2">
      <c r="B18" s="1" t="s">
        <v>2</v>
      </c>
    </row>
    <row r="19" spans="2:5" x14ac:dyDescent="0.2">
      <c r="B19" s="1" t="s">
        <v>3</v>
      </c>
    </row>
    <row r="20" spans="2:5" x14ac:dyDescent="0.2">
      <c r="B20" s="2" t="s">
        <v>4</v>
      </c>
    </row>
    <row r="22" spans="2:5" x14ac:dyDescent="0.2">
      <c r="B22" s="1" t="s">
        <v>5</v>
      </c>
    </row>
    <row r="25" spans="2:5" x14ac:dyDescent="0.2">
      <c r="B25" s="1" t="s">
        <v>6</v>
      </c>
      <c r="C25" s="3">
        <v>90000</v>
      </c>
    </row>
    <row r="26" spans="2:5" x14ac:dyDescent="0.2">
      <c r="B26" s="1" t="s">
        <v>7</v>
      </c>
      <c r="C26" s="4">
        <f>C25*0.04</f>
        <v>3600</v>
      </c>
    </row>
    <row r="27" spans="2:5" x14ac:dyDescent="0.2">
      <c r="B27" s="1" t="s">
        <v>8</v>
      </c>
    </row>
    <row r="29" spans="2:5" x14ac:dyDescent="0.2">
      <c r="B29" s="1" t="s">
        <v>9</v>
      </c>
      <c r="C29" s="5">
        <f>0.03/12</f>
        <v>2.5000000000000001E-3</v>
      </c>
    </row>
    <row r="30" spans="2:5" ht="15.75" customHeight="1" x14ac:dyDescent="0.2">
      <c r="E30" s="7">
        <f>C26+C31</f>
        <v>4275</v>
      </c>
    </row>
    <row r="31" spans="2:5" x14ac:dyDescent="0.2">
      <c r="B31" s="1" t="s">
        <v>10</v>
      </c>
      <c r="C31" s="4">
        <f>C25*C29*3</f>
        <v>675</v>
      </c>
      <c r="E31" s="8">
        <f>+E30/C25</f>
        <v>4.7500000000000001E-2</v>
      </c>
    </row>
    <row r="33" spans="2:3" x14ac:dyDescent="0.2">
      <c r="B33" s="6" t="s">
        <v>11</v>
      </c>
      <c r="C33" s="4">
        <f>C25-C26-C31</f>
        <v>85725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2024-03-03T17:32:25Z</dcterms:created>
  <dcterms:modified xsi:type="dcterms:W3CDTF">2024-03-03T17:39:44Z</dcterms:modified>
</cp:coreProperties>
</file>