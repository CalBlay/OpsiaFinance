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A42CC944-00CC-47D0-863A-5FEE592BDACB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17" i="1"/>
  <c r="C23" i="1" s="1"/>
  <c r="C35" i="1" l="1"/>
  <c r="C27" i="1"/>
  <c r="C28" i="1"/>
  <c r="C32" i="1"/>
  <c r="C38" i="1"/>
  <c r="C30" i="1"/>
  <c r="C42" i="1"/>
  <c r="C41" i="1"/>
  <c r="C33" i="1"/>
  <c r="C34" i="1"/>
  <c r="C29" i="1"/>
  <c r="C40" i="1"/>
  <c r="C36" i="1"/>
  <c r="C26" i="1"/>
  <c r="D26" i="1" s="1"/>
  <c r="C37" i="1"/>
  <c r="C39" i="1"/>
  <c r="C31" i="1"/>
  <c r="G26" i="1" l="1"/>
  <c r="F26" i="1"/>
  <c r="E27" i="1" l="1"/>
  <c r="D27" i="1" l="1"/>
  <c r="G27" i="1" l="1"/>
  <c r="F27" i="1"/>
  <c r="E28" i="1" l="1"/>
  <c r="D28" i="1" l="1"/>
  <c r="F28" i="1" l="1"/>
  <c r="G28" i="1"/>
  <c r="E29" i="1" l="1"/>
  <c r="D29" i="1" l="1"/>
  <c r="G29" i="1" l="1"/>
  <c r="F29" i="1"/>
  <c r="E30" i="1" l="1"/>
  <c r="D30" i="1" l="1"/>
  <c r="F30" i="1" l="1"/>
  <c r="G30" i="1"/>
  <c r="E31" i="1" l="1"/>
  <c r="D31" i="1" l="1"/>
  <c r="G31" i="1" l="1"/>
  <c r="F31" i="1"/>
  <c r="E32" i="1" l="1"/>
  <c r="D32" i="1" s="1"/>
  <c r="F32" i="1" s="1"/>
  <c r="E33" i="1" l="1"/>
  <c r="D33" i="1" s="1"/>
  <c r="F33" i="1" s="1"/>
  <c r="G32" i="1"/>
  <c r="G33" i="1" s="1"/>
  <c r="E34" i="1" l="1"/>
  <c r="D34" i="1" s="1"/>
  <c r="F34" i="1" s="1"/>
  <c r="E35" i="1" l="1"/>
  <c r="D35" i="1" s="1"/>
  <c r="F35" i="1" s="1"/>
  <c r="G34" i="1"/>
  <c r="G35" i="1" s="1"/>
  <c r="E36" i="1" l="1"/>
  <c r="D36" i="1" s="1"/>
  <c r="F36" i="1" s="1"/>
  <c r="E37" i="1" l="1"/>
  <c r="D37" i="1" s="1"/>
  <c r="F37" i="1" s="1"/>
  <c r="G36" i="1"/>
  <c r="E38" i="1" l="1"/>
  <c r="D38" i="1" s="1"/>
  <c r="F38" i="1"/>
  <c r="G37" i="1"/>
  <c r="G38" i="1" s="1"/>
  <c r="E39" i="1" l="1"/>
  <c r="D39" i="1" s="1"/>
  <c r="F39" i="1" s="1"/>
  <c r="E40" i="1" l="1"/>
  <c r="D40" i="1" s="1"/>
  <c r="F40" i="1"/>
  <c r="G39" i="1"/>
  <c r="G40" i="1" s="1"/>
  <c r="E41" i="1" l="1"/>
  <c r="D41" i="1" s="1"/>
  <c r="F41" i="1"/>
  <c r="G41" i="1"/>
  <c r="E42" i="1" l="1"/>
  <c r="D42" i="1" l="1"/>
  <c r="E43" i="1"/>
  <c r="F42" i="1" l="1"/>
  <c r="G42" i="1"/>
</calcChain>
</file>

<file path=xl/sharedStrings.xml><?xml version="1.0" encoding="utf-8"?>
<sst xmlns="http://schemas.openxmlformats.org/spreadsheetml/2006/main" count="21" uniqueCount="19">
  <si>
    <t xml:space="preserve">La empresa LB, S.A. dedicada al transporte de viajeros necesita liquidez y para obtenerla le han ofrecido </t>
  </si>
  <si>
    <t>un contrato de lease-back con uno de los autobuses que tienen en su poder.</t>
  </si>
  <si>
    <t xml:space="preserve">El valor de recompra del autobus será de 75.000 euros y el contrato que se firmará será por </t>
  </si>
  <si>
    <t>un periodo de 4 años y una opción de compra de 7.500 euros.</t>
  </si>
  <si>
    <t>Además, la firma sería el 1 de abril e incluiría que los pagos serán trimestrales y el tipo de interés anual será del 7,8%.</t>
  </si>
  <si>
    <t>Se pide realizar el cuadro de amortización del leasing e indicar los intereses totales del mismo.</t>
  </si>
  <si>
    <t>Importe solicitado = valor de las cuotas actualizadas</t>
  </si>
  <si>
    <t>k = (Precio del bien- desembolso inicial - opción de compra actualizada al inicio del periodo)/ (((1+i)*(1-(1+i)^-(n+1))/i</t>
  </si>
  <si>
    <t>Tipo de interes trimestral</t>
  </si>
  <si>
    <t>Capital inicial</t>
  </si>
  <si>
    <t>Desembolso inicial</t>
  </si>
  <si>
    <t>Opción de compra</t>
  </si>
  <si>
    <t>Número de cuotas</t>
  </si>
  <si>
    <t>Cuota a pagar</t>
  </si>
  <si>
    <t>Fecha</t>
  </si>
  <si>
    <t>Cuota de amortización</t>
  </si>
  <si>
    <t>Cuota de interés</t>
  </si>
  <si>
    <t>Capital vivo</t>
  </si>
  <si>
    <t>Capital amortizado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</si>
</sst>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0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4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43"/>
  <sheetViews>
    <sheetView tabSelected="1" topLeftCell="A8" workbookViewId="0">
      <selection activeCell="C23" sqref="C23"/>
    </sheetView>
  </sheetViews>
  <sheetFormatPr defaultColWidth="14.42578125" defaultRowHeight="15.75" customHeight="1" x14ac:dyDescent="0.2"/>
  <cols>
    <col min="1" max="1" width="17.42578125" customWidth="1"/>
    <col min="2" max="2" width="22.85546875" customWidth="1"/>
    <col min="3" max="3" width="16.140625" customWidth="1"/>
    <col min="4" max="4" width="20.5703125" customWidth="1"/>
    <col min="5" max="5" width="16.5703125" customWidth="1"/>
    <col min="7" max="7" width="18" customWidth="1"/>
  </cols>
  <sheetData>
    <row r="2" spans="2:3" x14ac:dyDescent="0.2">
      <c r="B2" s="1" t="s">
        <v>0</v>
      </c>
    </row>
    <row r="3" spans="2:3" x14ac:dyDescent="0.2">
      <c r="B3" s="1" t="s">
        <v>1</v>
      </c>
    </row>
    <row r="5" spans="2:3" x14ac:dyDescent="0.2">
      <c r="B5" s="1" t="s">
        <v>2</v>
      </c>
    </row>
    <row r="6" spans="2:3" x14ac:dyDescent="0.2">
      <c r="B6" s="1" t="s">
        <v>3</v>
      </c>
    </row>
    <row r="8" spans="2:3" x14ac:dyDescent="0.2">
      <c r="B8" s="1" t="s">
        <v>4</v>
      </c>
    </row>
    <row r="10" spans="2:3" x14ac:dyDescent="0.2">
      <c r="B10" s="1" t="s">
        <v>5</v>
      </c>
      <c r="C10" s="1"/>
    </row>
    <row r="11" spans="2:3" x14ac:dyDescent="0.2">
      <c r="B11" s="1"/>
      <c r="C11" s="1"/>
    </row>
    <row r="12" spans="2:3" x14ac:dyDescent="0.2">
      <c r="B12" s="1"/>
      <c r="C12" s="1"/>
    </row>
    <row r="13" spans="2:3" x14ac:dyDescent="0.2">
      <c r="B13" s="1" t="s">
        <v>6</v>
      </c>
      <c r="C13" s="1"/>
    </row>
    <row r="14" spans="2:3" x14ac:dyDescent="0.2">
      <c r="B14" s="1"/>
      <c r="C14" s="1"/>
    </row>
    <row r="15" spans="2:3" x14ac:dyDescent="0.2">
      <c r="B15" s="1" t="s">
        <v>7</v>
      </c>
      <c r="C15" s="1"/>
    </row>
    <row r="17" spans="1:7" x14ac:dyDescent="0.2">
      <c r="B17" s="1" t="s">
        <v>8</v>
      </c>
      <c r="C17" s="2">
        <f>(1+7.8%)^(1/4)-1</f>
        <v>1.8954262071361416E-2</v>
      </c>
    </row>
    <row r="18" spans="1:7" x14ac:dyDescent="0.2">
      <c r="B18" s="1" t="s">
        <v>9</v>
      </c>
      <c r="C18" s="3">
        <v>75000</v>
      </c>
    </row>
    <row r="19" spans="1:7" x14ac:dyDescent="0.2">
      <c r="B19" s="1" t="s">
        <v>10</v>
      </c>
      <c r="C19" s="3">
        <v>0</v>
      </c>
    </row>
    <row r="20" spans="1:7" x14ac:dyDescent="0.2">
      <c r="B20" s="1" t="s">
        <v>11</v>
      </c>
      <c r="C20" s="3">
        <v>7500</v>
      </c>
    </row>
    <row r="21" spans="1:7" x14ac:dyDescent="0.2">
      <c r="B21" s="1" t="s">
        <v>12</v>
      </c>
      <c r="C21" s="1">
        <f>4*4</f>
        <v>16</v>
      </c>
    </row>
    <row r="23" spans="1:7" x14ac:dyDescent="0.2">
      <c r="B23" s="4" t="s">
        <v>13</v>
      </c>
      <c r="C23" s="5">
        <f>(C18-C19-(C20*(1+C17)^-16))/((1+C17)*((1-(1+C17)^-(17))/C17))</f>
        <v>4727.1734390667798</v>
      </c>
    </row>
    <row r="25" spans="1:7" x14ac:dyDescent="0.2">
      <c r="A25" s="6" t="s">
        <v>12</v>
      </c>
      <c r="B25" s="7" t="s">
        <v>14</v>
      </c>
      <c r="C25" s="7" t="s">
        <v>13</v>
      </c>
      <c r="D25" s="7" t="s">
        <v>15</v>
      </c>
      <c r="E25" s="7" t="s">
        <v>16</v>
      </c>
      <c r="F25" s="7" t="s">
        <v>17</v>
      </c>
      <c r="G25" s="8" t="s">
        <v>18</v>
      </c>
    </row>
    <row r="26" spans="1:7" x14ac:dyDescent="0.2">
      <c r="A26" s="9">
        <v>1</v>
      </c>
      <c r="B26" s="10">
        <v>44287</v>
      </c>
      <c r="C26" s="11">
        <f t="shared" ref="C26:C41" si="0">$C$23</f>
        <v>4727.1734390667798</v>
      </c>
      <c r="D26" s="11">
        <f t="shared" ref="D26:D42" si="1">C26-E26</f>
        <v>4727.1734390667798</v>
      </c>
      <c r="E26" s="11">
        <v>0</v>
      </c>
      <c r="F26" s="11">
        <f>(C18-C19)-D26</f>
        <v>70272.826560933216</v>
      </c>
      <c r="G26" s="12">
        <f>D26</f>
        <v>4727.1734390667798</v>
      </c>
    </row>
    <row r="27" spans="1:7" x14ac:dyDescent="0.2">
      <c r="A27" s="9">
        <v>2</v>
      </c>
      <c r="B27" s="10">
        <v>44378</v>
      </c>
      <c r="C27" s="11">
        <f t="shared" si="0"/>
        <v>4727.1734390667798</v>
      </c>
      <c r="D27" s="11">
        <f t="shared" si="1"/>
        <v>3395.2038679355242</v>
      </c>
      <c r="E27" s="11">
        <f t="shared" ref="E27:E42" si="2">F26*$C$17</f>
        <v>1331.9695711312556</v>
      </c>
      <c r="F27" s="11">
        <f t="shared" ref="F27:F42" si="3">F26-D27</f>
        <v>66877.622692997698</v>
      </c>
      <c r="G27" s="12">
        <f t="shared" ref="G27:G42" si="4">G26+D27</f>
        <v>8122.3773070023035</v>
      </c>
    </row>
    <row r="28" spans="1:7" x14ac:dyDescent="0.2">
      <c r="A28" s="9">
        <v>3</v>
      </c>
      <c r="B28" s="10">
        <v>44470</v>
      </c>
      <c r="C28" s="11">
        <f t="shared" si="0"/>
        <v>4727.1734390667798</v>
      </c>
      <c r="D28" s="11">
        <f t="shared" si="1"/>
        <v>3459.5574518340741</v>
      </c>
      <c r="E28" s="11">
        <f t="shared" si="2"/>
        <v>1267.6159872327057</v>
      </c>
      <c r="F28" s="11">
        <f t="shared" si="3"/>
        <v>63418.065241163626</v>
      </c>
      <c r="G28" s="12">
        <f t="shared" si="4"/>
        <v>11581.934758836378</v>
      </c>
    </row>
    <row r="29" spans="1:7" x14ac:dyDescent="0.2">
      <c r="A29" s="9">
        <v>4</v>
      </c>
      <c r="B29" s="10">
        <v>44562</v>
      </c>
      <c r="C29" s="11">
        <f t="shared" si="0"/>
        <v>4727.1734390667798</v>
      </c>
      <c r="D29" s="11">
        <f t="shared" si="1"/>
        <v>3525.1308104270684</v>
      </c>
      <c r="E29" s="11">
        <f t="shared" si="2"/>
        <v>1202.0426286397114</v>
      </c>
      <c r="F29" s="11">
        <f t="shared" si="3"/>
        <v>59892.934430736554</v>
      </c>
      <c r="G29" s="12">
        <f t="shared" si="4"/>
        <v>15107.065569263446</v>
      </c>
    </row>
    <row r="30" spans="1:7" x14ac:dyDescent="0.2">
      <c r="A30" s="9">
        <v>5</v>
      </c>
      <c r="B30" s="10">
        <v>44652</v>
      </c>
      <c r="C30" s="11">
        <f t="shared" si="0"/>
        <v>4727.1734390667798</v>
      </c>
      <c r="D30" s="11">
        <f t="shared" si="1"/>
        <v>3591.9470636437336</v>
      </c>
      <c r="E30" s="11">
        <f t="shared" si="2"/>
        <v>1135.2263754230462</v>
      </c>
      <c r="F30" s="11">
        <f t="shared" si="3"/>
        <v>56300.987367092821</v>
      </c>
      <c r="G30" s="12">
        <f t="shared" si="4"/>
        <v>18699.012632907179</v>
      </c>
    </row>
    <row r="31" spans="1:7" x14ac:dyDescent="0.2">
      <c r="A31" s="9">
        <v>6</v>
      </c>
      <c r="B31" s="10">
        <v>44743</v>
      </c>
      <c r="C31" s="11">
        <f t="shared" si="0"/>
        <v>4727.1734390667798</v>
      </c>
      <c r="D31" s="11">
        <f t="shared" si="1"/>
        <v>3660.0297696344942</v>
      </c>
      <c r="E31" s="11">
        <f t="shared" si="2"/>
        <v>1067.1436694322856</v>
      </c>
      <c r="F31" s="11">
        <f t="shared" si="3"/>
        <v>52640.957597458328</v>
      </c>
      <c r="G31" s="12">
        <f t="shared" si="4"/>
        <v>22359.042402541672</v>
      </c>
    </row>
    <row r="32" spans="1:7" x14ac:dyDescent="0.2">
      <c r="A32" s="9">
        <v>7</v>
      </c>
      <c r="B32" s="10">
        <v>44835</v>
      </c>
      <c r="C32" s="11">
        <f t="shared" si="0"/>
        <v>4727.1734390667798</v>
      </c>
      <c r="D32" s="11">
        <f t="shared" si="1"/>
        <v>3729.4029330771309</v>
      </c>
      <c r="E32" s="11">
        <f t="shared" si="2"/>
        <v>997.770505989649</v>
      </c>
      <c r="F32" s="11">
        <f t="shared" si="3"/>
        <v>48911.554664381198</v>
      </c>
      <c r="G32" s="12">
        <f t="shared" si="4"/>
        <v>26088.445335618802</v>
      </c>
    </row>
    <row r="33" spans="1:7" x14ac:dyDescent="0.2">
      <c r="A33" s="9">
        <v>8</v>
      </c>
      <c r="B33" s="10">
        <v>44927</v>
      </c>
      <c r="C33" s="11">
        <f t="shared" si="0"/>
        <v>4727.1734390667798</v>
      </c>
      <c r="D33" s="11">
        <f t="shared" si="1"/>
        <v>3800.0910136403786</v>
      </c>
      <c r="E33" s="11">
        <f t="shared" si="2"/>
        <v>927.08242542640107</v>
      </c>
      <c r="F33" s="11">
        <f t="shared" si="3"/>
        <v>45111.463650740821</v>
      </c>
      <c r="G33" s="12">
        <f t="shared" si="4"/>
        <v>29888.536349259182</v>
      </c>
    </row>
    <row r="34" spans="1:7" x14ac:dyDescent="0.2">
      <c r="A34" s="9">
        <v>9</v>
      </c>
      <c r="B34" s="10">
        <v>45017</v>
      </c>
      <c r="C34" s="11">
        <f t="shared" si="0"/>
        <v>4727.1734390667798</v>
      </c>
      <c r="D34" s="11">
        <f t="shared" si="1"/>
        <v>3872.1189346079436</v>
      </c>
      <c r="E34" s="11">
        <f t="shared" si="2"/>
        <v>855.05450445883594</v>
      </c>
      <c r="F34" s="11">
        <f t="shared" si="3"/>
        <v>41239.34471613288</v>
      </c>
      <c r="G34" s="12">
        <f t="shared" si="4"/>
        <v>33760.655283867127</v>
      </c>
    </row>
    <row r="35" spans="1:7" x14ac:dyDescent="0.2">
      <c r="A35" s="9">
        <v>10</v>
      </c>
      <c r="B35" s="10">
        <v>45108</v>
      </c>
      <c r="C35" s="11">
        <f t="shared" si="0"/>
        <v>4727.1734390667798</v>
      </c>
      <c r="D35" s="11">
        <f t="shared" si="1"/>
        <v>3945.5120916659835</v>
      </c>
      <c r="E35" s="11">
        <f t="shared" si="2"/>
        <v>781.66134740079633</v>
      </c>
      <c r="F35" s="11">
        <f t="shared" si="3"/>
        <v>37293.832624466901</v>
      </c>
      <c r="G35" s="12">
        <f t="shared" si="4"/>
        <v>37706.167375533114</v>
      </c>
    </row>
    <row r="36" spans="1:7" x14ac:dyDescent="0.2">
      <c r="A36" s="9">
        <v>11</v>
      </c>
      <c r="B36" s="10">
        <v>45200</v>
      </c>
      <c r="C36" s="11">
        <f t="shared" si="0"/>
        <v>4727.1734390667798</v>
      </c>
      <c r="D36" s="11">
        <f t="shared" si="1"/>
        <v>4020.2963618571457</v>
      </c>
      <c r="E36" s="11">
        <f t="shared" si="2"/>
        <v>706.87707720963397</v>
      </c>
      <c r="F36" s="11">
        <f t="shared" si="3"/>
        <v>33273.536262609756</v>
      </c>
      <c r="G36" s="12">
        <f t="shared" si="4"/>
        <v>41726.463737390259</v>
      </c>
    </row>
    <row r="37" spans="1:7" x14ac:dyDescent="0.2">
      <c r="A37" s="9">
        <v>12</v>
      </c>
      <c r="B37" s="10">
        <v>45292</v>
      </c>
      <c r="C37" s="11">
        <f t="shared" si="0"/>
        <v>4727.1734390667798</v>
      </c>
      <c r="D37" s="11">
        <f t="shared" si="1"/>
        <v>4096.4981127043266</v>
      </c>
      <c r="E37" s="11">
        <f t="shared" si="2"/>
        <v>630.67532636245278</v>
      </c>
      <c r="F37" s="11">
        <f t="shared" si="3"/>
        <v>29177.038149905427</v>
      </c>
      <c r="G37" s="12">
        <f t="shared" si="4"/>
        <v>45822.961850094587</v>
      </c>
    </row>
    <row r="38" spans="1:7" x14ac:dyDescent="0.2">
      <c r="A38" s="9">
        <v>13</v>
      </c>
      <c r="B38" s="10">
        <v>45383</v>
      </c>
      <c r="C38" s="11">
        <f t="shared" si="0"/>
        <v>4727.1734390667798</v>
      </c>
      <c r="D38" s="11">
        <f t="shared" si="1"/>
        <v>4174.1442115073623</v>
      </c>
      <c r="E38" s="11">
        <f t="shared" si="2"/>
        <v>553.02922755941756</v>
      </c>
      <c r="F38" s="11">
        <f t="shared" si="3"/>
        <v>25002.893938398065</v>
      </c>
      <c r="G38" s="12">
        <f t="shared" si="4"/>
        <v>49997.106061601953</v>
      </c>
    </row>
    <row r="39" spans="1:7" x14ac:dyDescent="0.2">
      <c r="A39" s="9">
        <v>14</v>
      </c>
      <c r="B39" s="10">
        <v>45474</v>
      </c>
      <c r="C39" s="11">
        <f t="shared" si="0"/>
        <v>4727.1734390667798</v>
      </c>
      <c r="D39" s="11">
        <f t="shared" si="1"/>
        <v>4253.2620348159289</v>
      </c>
      <c r="E39" s="11">
        <f t="shared" si="2"/>
        <v>473.91140425085069</v>
      </c>
      <c r="F39" s="11">
        <f t="shared" si="3"/>
        <v>20749.631903582136</v>
      </c>
      <c r="G39" s="12">
        <f t="shared" si="4"/>
        <v>54250.368096417878</v>
      </c>
    </row>
    <row r="40" spans="1:7" x14ac:dyDescent="0.2">
      <c r="A40" s="9">
        <v>15</v>
      </c>
      <c r="B40" s="10">
        <v>45566</v>
      </c>
      <c r="C40" s="11">
        <f t="shared" si="0"/>
        <v>4727.1734390667798</v>
      </c>
      <c r="D40" s="11">
        <f t="shared" si="1"/>
        <v>4333.8794780820026</v>
      </c>
      <c r="E40" s="11">
        <f t="shared" si="2"/>
        <v>393.29396098477764</v>
      </c>
      <c r="F40" s="11">
        <f t="shared" si="3"/>
        <v>16415.752425500134</v>
      </c>
      <c r="G40" s="12">
        <f t="shared" si="4"/>
        <v>58584.247574499881</v>
      </c>
    </row>
    <row r="41" spans="1:7" x14ac:dyDescent="0.2">
      <c r="A41" s="9">
        <v>16</v>
      </c>
      <c r="B41" s="10">
        <v>45658</v>
      </c>
      <c r="C41" s="11">
        <f t="shared" si="0"/>
        <v>4727.1734390667798</v>
      </c>
      <c r="D41" s="11">
        <f t="shared" si="1"/>
        <v>4416.0249654952631</v>
      </c>
      <c r="E41" s="11">
        <f t="shared" si="2"/>
        <v>311.14847357151638</v>
      </c>
      <c r="F41" s="11">
        <f t="shared" si="3"/>
        <v>11999.727460004869</v>
      </c>
      <c r="G41" s="12">
        <f t="shared" si="4"/>
        <v>63000.272539995145</v>
      </c>
    </row>
    <row r="42" spans="1:7" x14ac:dyDescent="0.2">
      <c r="A42" s="9">
        <v>17</v>
      </c>
      <c r="B42" s="10">
        <v>45748</v>
      </c>
      <c r="C42" s="11">
        <f>$C$23+7500</f>
        <v>12227.173439066781</v>
      </c>
      <c r="D42" s="11">
        <f t="shared" si="1"/>
        <v>11999.727460004937</v>
      </c>
      <c r="E42" s="11">
        <f t="shared" si="2"/>
        <v>227.44597906184435</v>
      </c>
      <c r="F42" s="11">
        <f t="shared" si="3"/>
        <v>-6.730260793119669E-11</v>
      </c>
      <c r="G42" s="12">
        <f t="shared" si="4"/>
        <v>75000.000000000087</v>
      </c>
    </row>
    <row r="43" spans="1:7" x14ac:dyDescent="0.2">
      <c r="E43" s="5">
        <f>SUM(E26:E42)</f>
        <v>12861.948464135179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2024-03-18T17:38:25Z</dcterms:created>
  <dcterms:modified xsi:type="dcterms:W3CDTF">2024-03-18T17:38:25Z</dcterms:modified>
</cp:coreProperties>
</file>