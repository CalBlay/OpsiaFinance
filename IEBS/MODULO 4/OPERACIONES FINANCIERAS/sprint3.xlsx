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71" documentId="8_{EAD2FD55-3C98-4FB7-9F1D-B77657E60ED3}" xr6:coauthVersionLast="47" xr6:coauthVersionMax="47" xr10:uidLastSave="{53465A88-0CB6-4DE0-8744-E11E34CFBBB8}"/>
  <bookViews>
    <workbookView xWindow="-120" yWindow="-120" windowWidth="29040" windowHeight="15720" activeTab="2" xr2:uid="{D02B8C8C-51A8-4A37-B063-A583EBFE6559}"/>
  </bookViews>
  <sheets>
    <sheet name="leasing" sheetId="1" r:id="rId1"/>
    <sheet name="Renting" sheetId="2" r:id="rId2"/>
    <sheet name="Comparativ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C7" i="3"/>
  <c r="C8" i="3" s="1"/>
  <c r="D23" i="2"/>
  <c r="D22" i="2"/>
  <c r="D21" i="2" l="1"/>
  <c r="D19" i="2"/>
  <c r="D18" i="2"/>
  <c r="D21" i="1" l="1"/>
  <c r="D20" i="1"/>
  <c r="D23" i="1" s="1"/>
  <c r="C94" i="1" l="1"/>
  <c r="C86" i="1"/>
  <c r="C78" i="1"/>
  <c r="C70" i="1"/>
  <c r="C62" i="1"/>
  <c r="C54" i="1"/>
  <c r="C46" i="1"/>
  <c r="C38" i="1"/>
  <c r="C30" i="1"/>
  <c r="C40" i="1"/>
  <c r="C59" i="1"/>
  <c r="C51" i="1"/>
  <c r="C43" i="1"/>
  <c r="C97" i="1"/>
  <c r="C89" i="1"/>
  <c r="C81" i="1"/>
  <c r="C73" i="1"/>
  <c r="C65" i="1"/>
  <c r="C57" i="1"/>
  <c r="C49" i="1"/>
  <c r="C41" i="1"/>
  <c r="C33" i="1"/>
  <c r="C93" i="1"/>
  <c r="C77" i="1"/>
  <c r="C45" i="1"/>
  <c r="C92" i="1"/>
  <c r="C84" i="1"/>
  <c r="C76" i="1"/>
  <c r="C68" i="1"/>
  <c r="C60" i="1"/>
  <c r="C52" i="1"/>
  <c r="C44" i="1"/>
  <c r="C36" i="1"/>
  <c r="C28" i="1"/>
  <c r="C85" i="1"/>
  <c r="C69" i="1"/>
  <c r="C29" i="1"/>
  <c r="C96" i="1"/>
  <c r="C88" i="1"/>
  <c r="C72" i="1"/>
  <c r="C56" i="1"/>
  <c r="C32" i="1"/>
  <c r="C91" i="1"/>
  <c r="C75" i="1"/>
  <c r="C95" i="1"/>
  <c r="C87" i="1"/>
  <c r="C79" i="1"/>
  <c r="C71" i="1"/>
  <c r="C63" i="1"/>
  <c r="C55" i="1"/>
  <c r="C47" i="1"/>
  <c r="C39" i="1"/>
  <c r="C31" i="1"/>
  <c r="C26" i="1"/>
  <c r="C61" i="1"/>
  <c r="C53" i="1"/>
  <c r="C37" i="1"/>
  <c r="C48" i="1"/>
  <c r="C83" i="1"/>
  <c r="C35" i="1"/>
  <c r="C98" i="1"/>
  <c r="C90" i="1"/>
  <c r="C82" i="1"/>
  <c r="C74" i="1"/>
  <c r="C66" i="1"/>
  <c r="C58" i="1"/>
  <c r="C50" i="1"/>
  <c r="C42" i="1"/>
  <c r="C34" i="1"/>
  <c r="C80" i="1"/>
  <c r="C64" i="1"/>
  <c r="C27" i="1"/>
  <c r="C67" i="1"/>
  <c r="G26" i="1" l="1"/>
  <c r="D26" i="1"/>
  <c r="F26" i="1" l="1"/>
  <c r="E27" i="1" l="1"/>
  <c r="D27" i="1" l="1"/>
  <c r="G27" i="1" l="1"/>
  <c r="F27" i="1"/>
  <c r="E28" i="1" l="1"/>
  <c r="D28" i="1" l="1"/>
  <c r="F28" i="1" l="1"/>
  <c r="G28" i="1"/>
  <c r="E29" i="1" l="1"/>
  <c r="D29" i="1" l="1"/>
  <c r="G29" i="1" l="1"/>
  <c r="F29" i="1"/>
  <c r="E30" i="1" l="1"/>
  <c r="D30" i="1" l="1"/>
  <c r="G30" i="1" l="1"/>
  <c r="F30" i="1"/>
  <c r="E31" i="1" l="1"/>
  <c r="D31" i="1" l="1"/>
  <c r="F31" i="1" l="1"/>
  <c r="G31" i="1"/>
  <c r="E32" i="1" l="1"/>
  <c r="D32" i="1" s="1"/>
  <c r="G32" i="1" s="1"/>
  <c r="F32" i="1" l="1"/>
  <c r="E33" i="1" l="1"/>
  <c r="D33" i="1" s="1"/>
  <c r="G33" i="1" s="1"/>
  <c r="F33" i="1"/>
  <c r="E34" i="1" l="1"/>
  <c r="D34" i="1" s="1"/>
  <c r="F34" i="1" s="1"/>
  <c r="G34" i="1" l="1"/>
  <c r="E35" i="1"/>
  <c r="D35" i="1" s="1"/>
  <c r="F35" i="1" s="1"/>
  <c r="G35" i="1" l="1"/>
  <c r="E36" i="1"/>
  <c r="D36" i="1" s="1"/>
  <c r="G36" i="1" s="1"/>
  <c r="F36" i="1"/>
  <c r="E37" i="1" l="1"/>
  <c r="D37" i="1" s="1"/>
  <c r="G37" i="1" s="1"/>
  <c r="F37" i="1" l="1"/>
  <c r="E38" i="1" l="1"/>
  <c r="D38" i="1" s="1"/>
  <c r="G38" i="1" s="1"/>
  <c r="F38" i="1" l="1"/>
  <c r="E39" i="1" l="1"/>
  <c r="D39" i="1" s="1"/>
  <c r="G39" i="1" s="1"/>
  <c r="F39" i="1" l="1"/>
  <c r="E40" i="1" l="1"/>
  <c r="D40" i="1" s="1"/>
  <c r="G40" i="1" s="1"/>
  <c r="F40" i="1" l="1"/>
  <c r="E41" i="1" l="1"/>
  <c r="D41" i="1" s="1"/>
  <c r="G41" i="1" s="1"/>
  <c r="F41" i="1" l="1"/>
  <c r="E42" i="1" l="1"/>
  <c r="D42" i="1" s="1"/>
  <c r="G42" i="1" s="1"/>
  <c r="F42" i="1" l="1"/>
  <c r="E43" i="1"/>
  <c r="D43" i="1" s="1"/>
  <c r="F43" i="1" s="1"/>
  <c r="E44" i="1" l="1"/>
  <c r="D44" i="1" s="1"/>
  <c r="F44" i="1"/>
  <c r="G43" i="1"/>
  <c r="G44" i="1" s="1"/>
  <c r="E45" i="1" l="1"/>
  <c r="D45" i="1" s="1"/>
  <c r="F45" i="1" s="1"/>
  <c r="G45" i="1" l="1"/>
  <c r="E46" i="1"/>
  <c r="D46" i="1" s="1"/>
  <c r="F46" i="1" s="1"/>
  <c r="G46" i="1"/>
  <c r="E47" i="1" l="1"/>
  <c r="D47" i="1" s="1"/>
  <c r="F47" i="1" s="1"/>
  <c r="G47" i="1"/>
  <c r="E48" i="1" l="1"/>
  <c r="D48" i="1" s="1"/>
  <c r="F48" i="1" s="1"/>
  <c r="E49" i="1" l="1"/>
  <c r="D49" i="1" s="1"/>
  <c r="F49" i="1" s="1"/>
  <c r="G48" i="1"/>
  <c r="G49" i="1" l="1"/>
  <c r="E50" i="1"/>
  <c r="D50" i="1" s="1"/>
  <c r="G50" i="1" s="1"/>
  <c r="F50" i="1" l="1"/>
  <c r="E51" i="1" l="1"/>
  <c r="D51" i="1" s="1"/>
  <c r="G51" i="1" s="1"/>
  <c r="F51" i="1" l="1"/>
  <c r="E52" i="1" s="1"/>
  <c r="D52" i="1" s="1"/>
  <c r="G52" i="1" s="1"/>
  <c r="F52" i="1" l="1"/>
  <c r="E53" i="1"/>
  <c r="D53" i="1" s="1"/>
  <c r="G53" i="1" s="1"/>
  <c r="F53" i="1" l="1"/>
  <c r="E54" i="1" l="1"/>
  <c r="D54" i="1" s="1"/>
  <c r="G54" i="1" s="1"/>
  <c r="F54" i="1"/>
  <c r="E55" i="1" l="1"/>
  <c r="D55" i="1" s="1"/>
  <c r="F55" i="1" s="1"/>
  <c r="E56" i="1" l="1"/>
  <c r="D56" i="1" s="1"/>
  <c r="F56" i="1" s="1"/>
  <c r="G55" i="1"/>
  <c r="G56" i="1" s="1"/>
  <c r="E57" i="1" l="1"/>
  <c r="D57" i="1" s="1"/>
  <c r="F57" i="1"/>
  <c r="G57" i="1"/>
  <c r="E58" i="1" l="1"/>
  <c r="D58" i="1" s="1"/>
  <c r="G58" i="1" s="1"/>
  <c r="F58" i="1" l="1"/>
  <c r="E59" i="1" l="1"/>
  <c r="D59" i="1" s="1"/>
  <c r="G59" i="1" s="1"/>
  <c r="F59" i="1" l="1"/>
  <c r="E60" i="1"/>
  <c r="D60" i="1" s="1"/>
  <c r="F60" i="1" s="1"/>
  <c r="G60" i="1"/>
  <c r="E61" i="1" l="1"/>
  <c r="D61" i="1" s="1"/>
  <c r="G61" i="1" s="1"/>
  <c r="F61" i="1" l="1"/>
  <c r="E62" i="1" l="1"/>
  <c r="D62" i="1" s="1"/>
  <c r="G62" i="1" s="1"/>
  <c r="F62" i="1" l="1"/>
  <c r="E63" i="1" l="1"/>
  <c r="D63" i="1" s="1"/>
  <c r="G63" i="1" s="1"/>
  <c r="F63" i="1" l="1"/>
  <c r="E64" i="1" l="1"/>
  <c r="D64" i="1" s="1"/>
  <c r="G64" i="1" s="1"/>
  <c r="F64" i="1" l="1"/>
  <c r="E65" i="1" l="1"/>
  <c r="D65" i="1" s="1"/>
  <c r="G65" i="1" s="1"/>
  <c r="F65" i="1"/>
  <c r="E66" i="1" l="1"/>
  <c r="D66" i="1" s="1"/>
  <c r="F66" i="1" s="1"/>
  <c r="G66" i="1" l="1"/>
  <c r="E67" i="1"/>
  <c r="D67" i="1" s="1"/>
  <c r="F67" i="1" s="1"/>
  <c r="G67" i="1"/>
  <c r="E68" i="1" l="1"/>
  <c r="D68" i="1" s="1"/>
  <c r="F68" i="1" s="1"/>
  <c r="G68" i="1" l="1"/>
  <c r="E69" i="1"/>
  <c r="D69" i="1" s="1"/>
  <c r="G69" i="1" s="1"/>
  <c r="F69" i="1" l="1"/>
  <c r="E70" i="1" l="1"/>
  <c r="D70" i="1" s="1"/>
  <c r="G70" i="1" s="1"/>
  <c r="F70" i="1" l="1"/>
  <c r="E71" i="1" l="1"/>
  <c r="D71" i="1" s="1"/>
  <c r="G71" i="1" s="1"/>
  <c r="F71" i="1" l="1"/>
  <c r="E72" i="1" l="1"/>
  <c r="D72" i="1" s="1"/>
  <c r="G72" i="1" s="1"/>
  <c r="F72" i="1" l="1"/>
  <c r="E73" i="1" l="1"/>
  <c r="D73" i="1" s="1"/>
  <c r="G73" i="1" s="1"/>
  <c r="F73" i="1" l="1"/>
  <c r="E74" i="1" l="1"/>
  <c r="D74" i="1" s="1"/>
  <c r="G74" i="1" s="1"/>
  <c r="F74" i="1" l="1"/>
  <c r="E75" i="1" l="1"/>
  <c r="D75" i="1" s="1"/>
  <c r="G75" i="1" s="1"/>
  <c r="F75" i="1" l="1"/>
  <c r="E76" i="1" l="1"/>
  <c r="D76" i="1" s="1"/>
  <c r="G76" i="1" s="1"/>
  <c r="F76" i="1"/>
  <c r="E77" i="1" l="1"/>
  <c r="D77" i="1" s="1"/>
  <c r="F77" i="1" s="1"/>
  <c r="G77" i="1" l="1"/>
  <c r="E78" i="1"/>
  <c r="D78" i="1" s="1"/>
  <c r="F78" i="1" s="1"/>
  <c r="G78" i="1"/>
  <c r="E79" i="1" l="1"/>
  <c r="D79" i="1" s="1"/>
  <c r="F79" i="1" s="1"/>
  <c r="G79" i="1"/>
  <c r="E80" i="1" l="1"/>
  <c r="D80" i="1" s="1"/>
  <c r="F80" i="1" s="1"/>
  <c r="G80" i="1" l="1"/>
  <c r="E81" i="1"/>
  <c r="D81" i="1" s="1"/>
  <c r="F81" i="1"/>
  <c r="G81" i="1"/>
  <c r="E82" i="1" l="1"/>
  <c r="D82" i="1" s="1"/>
  <c r="F82" i="1" s="1"/>
  <c r="G82" i="1" l="1"/>
  <c r="E83" i="1"/>
  <c r="D83" i="1" s="1"/>
  <c r="F83" i="1" s="1"/>
  <c r="E84" i="1" l="1"/>
  <c r="D84" i="1" s="1"/>
  <c r="F84" i="1" s="1"/>
  <c r="G83" i="1"/>
  <c r="G84" i="1" s="1"/>
  <c r="E85" i="1" l="1"/>
  <c r="D85" i="1" s="1"/>
  <c r="F85" i="1" s="1"/>
  <c r="E86" i="1" l="1"/>
  <c r="D86" i="1" s="1"/>
  <c r="F86" i="1" s="1"/>
  <c r="G85" i="1"/>
  <c r="G86" i="1" s="1"/>
  <c r="E87" i="1" l="1"/>
  <c r="D87" i="1" s="1"/>
  <c r="F87" i="1" s="1"/>
  <c r="G87" i="1"/>
  <c r="E88" i="1" l="1"/>
  <c r="D88" i="1" s="1"/>
  <c r="F88" i="1" s="1"/>
  <c r="G88" i="1" l="1"/>
  <c r="E89" i="1"/>
  <c r="D89" i="1" s="1"/>
  <c r="F89" i="1" s="1"/>
  <c r="G89" i="1" l="1"/>
  <c r="E90" i="1"/>
  <c r="D90" i="1" s="1"/>
  <c r="G90" i="1" s="1"/>
  <c r="F90" i="1" l="1"/>
  <c r="E91" i="1" l="1"/>
  <c r="D91" i="1" s="1"/>
  <c r="G91" i="1" s="1"/>
  <c r="F91" i="1"/>
  <c r="E92" i="1" l="1"/>
  <c r="D92" i="1" s="1"/>
  <c r="F92" i="1"/>
  <c r="G92" i="1"/>
  <c r="E93" i="1" l="1"/>
  <c r="D93" i="1" s="1"/>
  <c r="F93" i="1" s="1"/>
  <c r="G93" i="1" l="1"/>
  <c r="E94" i="1"/>
  <c r="D94" i="1" s="1"/>
  <c r="F94" i="1" s="1"/>
  <c r="G94" i="1" l="1"/>
  <c r="E95" i="1"/>
  <c r="D95" i="1" s="1"/>
  <c r="F95" i="1" s="1"/>
  <c r="G95" i="1" l="1"/>
  <c r="E96" i="1"/>
  <c r="D96" i="1" s="1"/>
  <c r="F96" i="1" s="1"/>
  <c r="G96" i="1" l="1"/>
  <c r="E97" i="1"/>
  <c r="D97" i="1" s="1"/>
  <c r="F97" i="1" s="1"/>
  <c r="G97" i="1"/>
  <c r="E98" i="1" l="1"/>
  <c r="D98" i="1" l="1"/>
  <c r="E99" i="1"/>
  <c r="D99" i="1" l="1"/>
  <c r="G98" i="1"/>
  <c r="F98" i="1"/>
</calcChain>
</file>

<file path=xl/sharedStrings.xml><?xml version="1.0" encoding="utf-8"?>
<sst xmlns="http://schemas.openxmlformats.org/spreadsheetml/2006/main" count="54" uniqueCount="33">
  <si>
    <t>El Director Financiero de OFF ha acudido a otra entidad financiera en busca de otras alternativas de financiación y  en la misma le han planteado una opción de un contrato de leasing para financiar la maquinaria del ejercicio anterior. En dicha entidad le han planteado realizar un leasing a 6 años con una cuota de entrada de 300.000 euros, una opción de compra de 600.000 euros, un interés efectivo del 3%,   y una comisión de apertura y gastos de estudio por importe total de 3.000 euros.</t>
  </si>
  <si>
    <t>Valor</t>
  </si>
  <si>
    <t>Duración años</t>
  </si>
  <si>
    <t xml:space="preserve">Cuota de entrada </t>
  </si>
  <si>
    <t>Opción de compra</t>
  </si>
  <si>
    <t>Interés efectivo anual</t>
  </si>
  <si>
    <t>Comisión apertura y gastos</t>
  </si>
  <si>
    <t>k = (Precio del bien- desembolso inicial - opción de compra actualizada al inicio del periodo)/ (((1+i)*(1-(1+i)^-(n+1))/i</t>
  </si>
  <si>
    <t>Tipo interes mensualizado</t>
  </si>
  <si>
    <t xml:space="preserve">Numero de cuotas </t>
  </si>
  <si>
    <t>mensualidades</t>
  </si>
  <si>
    <t>Cuota a pagar</t>
  </si>
  <si>
    <t>Num.Cuotas</t>
  </si>
  <si>
    <t>Fechas</t>
  </si>
  <si>
    <t>Cuota de amortización</t>
  </si>
  <si>
    <t>Cuota de interés</t>
  </si>
  <si>
    <t>Capital vivo</t>
  </si>
  <si>
    <t>Capital amortizado</t>
  </si>
  <si>
    <t>Si fuese posible hacer un contrato de renting a 5 años para alquilar la maquinaria indicada en el ejercicio 2 de clase, analiza qué pros y contras tendría respecto a las alternativas de los préstamos y leasings planteados (nota: la vida útil de esta maquinaria es de 15 años).</t>
  </si>
  <si>
    <t>Contras</t>
  </si>
  <si>
    <t>Pros</t>
  </si>
  <si>
    <t>Sabemos el coste fijo menusal, sin sobrecostes ni costes extraordinarios.
No hay desembolso inicial.
Flexibilidad de disponer o no de la maquinaria según necesidad.
Cuotas son deducibles</t>
  </si>
  <si>
    <t xml:space="preserve">Que la maquinaria no es nuestra, y una vez finalizases el contrato 
aun le iban a quedar 10 años de vida. Aun le podriamos sacar un rendimineto 
No hay opcion de compra. Por lo tanto tampoco lo anotaremos en el inmovilizado.
</t>
  </si>
  <si>
    <t>Intereses</t>
  </si>
  <si>
    <t>TOTAL Prestamo</t>
  </si>
  <si>
    <t>Total intereses</t>
  </si>
  <si>
    <t>Coste total</t>
  </si>
  <si>
    <t>LEASING</t>
  </si>
  <si>
    <t>RENTING</t>
  </si>
  <si>
    <t>Comisión Apertura y gastos</t>
  </si>
  <si>
    <t xml:space="preserve"> 6 años</t>
  </si>
  <si>
    <t>Tatal interes</t>
  </si>
  <si>
    <t>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</si>
</sst>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0.000%"/>
    <numFmt numFmtId="166" formatCode="_-* #,##0.00\ &quot;€&quot;_-;\-* #,##0.00\ &quot;€&quot;_-;_-* &quot;-&quot;???\ &quot;€&quot;_-;_-@_-"/>
    <numFmt numFmtId="167" formatCode="d/m"/>
    <numFmt numFmtId="170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3"/>
      <color rgb="FF333333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  <font>
      <b/>
      <sz val="12"/>
      <color theme="0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/>
    <xf numFmtId="164" fontId="7" fillId="0" borderId="0" xfId="1" applyNumberFormat="1" applyFont="1"/>
    <xf numFmtId="0" fontId="0" fillId="0" borderId="0" xfId="0" applyAlignment="1">
      <alignment horizontal="right"/>
    </xf>
    <xf numFmtId="164" fontId="0" fillId="0" borderId="0" xfId="1" applyNumberFormat="1" applyFont="1"/>
    <xf numFmtId="0" fontId="0" fillId="0" borderId="0" xfId="0" applyAlignment="1">
      <alignment vertical="center"/>
    </xf>
    <xf numFmtId="9" fontId="0" fillId="0" borderId="0" xfId="0" applyNumberFormat="1"/>
    <xf numFmtId="165" fontId="0" fillId="0" borderId="0" xfId="2" applyNumberFormat="1" applyFont="1"/>
    <xf numFmtId="3" fontId="0" fillId="0" borderId="0" xfId="0" applyNumberFormat="1"/>
    <xf numFmtId="166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/>
    <xf numFmtId="167" fontId="7" fillId="0" borderId="10" xfId="0" applyNumberFormat="1" applyFont="1" applyBorder="1"/>
    <xf numFmtId="166" fontId="0" fillId="0" borderId="9" xfId="0" applyNumberFormat="1" applyBorder="1"/>
    <xf numFmtId="44" fontId="0" fillId="0" borderId="9" xfId="0" applyNumberFormat="1" applyBorder="1"/>
    <xf numFmtId="44" fontId="0" fillId="0" borderId="9" xfId="1" applyFont="1" applyBorder="1"/>
    <xf numFmtId="44" fontId="3" fillId="0" borderId="9" xfId="0" applyNumberFormat="1" applyFont="1" applyBorder="1"/>
    <xf numFmtId="0" fontId="4" fillId="0" borderId="1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8" fillId="2" borderId="0" xfId="0" applyFont="1" applyFill="1" applyAlignment="1">
      <alignment horizontal="center"/>
    </xf>
    <xf numFmtId="44" fontId="0" fillId="0" borderId="0" xfId="0" applyNumberFormat="1"/>
    <xf numFmtId="0" fontId="2" fillId="2" borderId="0" xfId="0" applyFont="1" applyFill="1" applyAlignment="1">
      <alignment horizontal="center"/>
    </xf>
    <xf numFmtId="0" fontId="6" fillId="0" borderId="11" xfId="0" applyFont="1" applyBorder="1"/>
    <xf numFmtId="4" fontId="6" fillId="0" borderId="11" xfId="0" applyNumberFormat="1" applyFont="1" applyBorder="1"/>
    <xf numFmtId="0" fontId="9" fillId="0" borderId="11" xfId="0" applyFont="1" applyBorder="1"/>
    <xf numFmtId="4" fontId="9" fillId="0" borderId="11" xfId="0" applyNumberFormat="1" applyFont="1" applyBorder="1"/>
    <xf numFmtId="170" fontId="6" fillId="0" borderId="11" xfId="3" applyNumberFormat="1" applyFont="1" applyBorder="1"/>
    <xf numFmtId="44" fontId="0" fillId="0" borderId="0" xfId="1" applyFont="1"/>
  </cellXfs>
  <cellStyles count="4">
    <cellStyle name="Coma" xfId="3" builtinId="3"/>
    <cellStyle name="Moneda" xfId="1" builtinId="4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F01B-6492-480E-87A6-14EAE4E1EA53}">
  <dimension ref="A2:R121"/>
  <sheetViews>
    <sheetView topLeftCell="A54" workbookViewId="0">
      <selection activeCell="C23" sqref="C23:D23"/>
    </sheetView>
  </sheetViews>
  <sheetFormatPr defaultRowHeight="15" x14ac:dyDescent="0.25"/>
  <cols>
    <col min="1" max="1" width="12" customWidth="1"/>
    <col min="2" max="2" width="13.85546875" customWidth="1"/>
    <col min="3" max="3" width="25.7109375" customWidth="1"/>
    <col min="4" max="4" width="21.28515625" customWidth="1"/>
    <col min="5" max="5" width="22" customWidth="1"/>
    <col min="6" max="6" width="19.28515625" customWidth="1"/>
    <col min="7" max="7" width="19.42578125" customWidth="1"/>
    <col min="8" max="8" width="23.140625" customWidth="1"/>
  </cols>
  <sheetData>
    <row r="2" spans="3:18" ht="15.75" thickBot="1" x14ac:dyDescent="0.3"/>
    <row r="3" spans="3:18" ht="16.5" customHeight="1" x14ac:dyDescent="0.25">
      <c r="C3" s="19" t="s">
        <v>0</v>
      </c>
      <c r="D3" s="20"/>
      <c r="E3" s="20"/>
      <c r="F3" s="20"/>
      <c r="G3" s="20"/>
      <c r="H3" s="21"/>
      <c r="I3" s="1"/>
      <c r="J3" s="1"/>
      <c r="K3" s="1"/>
      <c r="L3" s="1"/>
      <c r="M3" s="1"/>
      <c r="N3" s="1"/>
      <c r="O3" s="1"/>
      <c r="P3" s="1"/>
      <c r="Q3" s="1"/>
      <c r="R3" s="1"/>
    </row>
    <row r="4" spans="3:18" ht="15" customHeight="1" x14ac:dyDescent="0.25">
      <c r="C4" s="22"/>
      <c r="D4" s="23"/>
      <c r="E4" s="23"/>
      <c r="F4" s="23"/>
      <c r="G4" s="23"/>
      <c r="H4" s="24"/>
      <c r="I4" s="1"/>
      <c r="J4" s="1"/>
      <c r="K4" s="1"/>
      <c r="L4" s="1"/>
      <c r="M4" s="1"/>
      <c r="N4" s="1"/>
      <c r="O4" s="1"/>
      <c r="P4" s="1"/>
      <c r="Q4" s="1"/>
      <c r="R4" s="1"/>
    </row>
    <row r="5" spans="3:18" ht="15" customHeight="1" x14ac:dyDescent="0.25">
      <c r="C5" s="22"/>
      <c r="D5" s="23"/>
      <c r="E5" s="23"/>
      <c r="F5" s="23"/>
      <c r="G5" s="23"/>
      <c r="H5" s="24"/>
      <c r="I5" s="1"/>
      <c r="J5" s="1"/>
      <c r="K5" s="1"/>
      <c r="L5" s="1"/>
      <c r="M5" s="1"/>
      <c r="N5" s="1"/>
      <c r="O5" s="1"/>
      <c r="P5" s="1"/>
      <c r="Q5" s="1"/>
      <c r="R5" s="1"/>
    </row>
    <row r="6" spans="3:18" ht="15" customHeight="1" x14ac:dyDescent="0.25">
      <c r="C6" s="22"/>
      <c r="D6" s="23"/>
      <c r="E6" s="23"/>
      <c r="F6" s="23"/>
      <c r="G6" s="23"/>
      <c r="H6" s="24"/>
      <c r="I6" s="1"/>
      <c r="J6" s="1"/>
      <c r="K6" s="1"/>
      <c r="L6" s="1"/>
      <c r="M6" s="1"/>
      <c r="N6" s="1"/>
      <c r="O6" s="1"/>
      <c r="P6" s="1"/>
      <c r="Q6" s="1"/>
      <c r="R6" s="1"/>
    </row>
    <row r="7" spans="3:18" ht="15.75" customHeight="1" thickBot="1" x14ac:dyDescent="0.3">
      <c r="C7" s="25"/>
      <c r="D7" s="26"/>
      <c r="E7" s="26"/>
      <c r="F7" s="26"/>
      <c r="G7" s="26"/>
      <c r="H7" s="27"/>
      <c r="I7" s="1"/>
      <c r="J7" s="1"/>
      <c r="K7" s="1"/>
      <c r="L7" s="1"/>
      <c r="M7" s="1"/>
      <c r="N7" s="1"/>
      <c r="O7" s="1"/>
      <c r="P7" s="1"/>
      <c r="Q7" s="1"/>
      <c r="R7" s="1"/>
    </row>
    <row r="11" spans="3:18" x14ac:dyDescent="0.25">
      <c r="C11" s="2" t="s">
        <v>1</v>
      </c>
      <c r="D11" s="3">
        <v>3000000</v>
      </c>
    </row>
    <row r="12" spans="3:18" x14ac:dyDescent="0.25">
      <c r="C12" t="s">
        <v>2</v>
      </c>
      <c r="D12" s="4">
        <v>6</v>
      </c>
    </row>
    <row r="13" spans="3:18" x14ac:dyDescent="0.25">
      <c r="C13" t="s">
        <v>3</v>
      </c>
      <c r="D13" s="5">
        <v>300000</v>
      </c>
    </row>
    <row r="14" spans="3:18" x14ac:dyDescent="0.25">
      <c r="C14" t="s">
        <v>4</v>
      </c>
      <c r="D14" s="5">
        <v>600000</v>
      </c>
      <c r="J14" s="6"/>
    </row>
    <row r="15" spans="3:18" x14ac:dyDescent="0.25">
      <c r="C15" t="s">
        <v>5</v>
      </c>
      <c r="D15" s="7">
        <v>0.03</v>
      </c>
    </row>
    <row r="16" spans="3:18" x14ac:dyDescent="0.25">
      <c r="C16" t="s">
        <v>6</v>
      </c>
      <c r="D16" s="5">
        <v>3000</v>
      </c>
    </row>
    <row r="18" spans="1:12" x14ac:dyDescent="0.25">
      <c r="C18" s="2" t="s">
        <v>7</v>
      </c>
    </row>
    <row r="20" spans="1:12" x14ac:dyDescent="0.25">
      <c r="C20" t="s">
        <v>8</v>
      </c>
      <c r="D20" s="8">
        <f>(1+D15)^(1/12)-1</f>
        <v>2.4662697723036864E-3</v>
      </c>
    </row>
    <row r="21" spans="1:12" x14ac:dyDescent="0.25">
      <c r="C21" t="s">
        <v>9</v>
      </c>
      <c r="D21" s="9">
        <f>D12*12</f>
        <v>72</v>
      </c>
      <c r="E21" t="s">
        <v>10</v>
      </c>
    </row>
    <row r="23" spans="1:12" x14ac:dyDescent="0.25">
      <c r="C23" t="s">
        <v>11</v>
      </c>
      <c r="D23" s="10">
        <f>(D11-D13-(D14*(1+D20)^-D21))/(((1+D20)*(1-(1+D20)^(-73))/D20))</f>
        <v>32849.951455522045</v>
      </c>
    </row>
    <row r="25" spans="1:12" x14ac:dyDescent="0.25">
      <c r="A25" s="11" t="s">
        <v>12</v>
      </c>
      <c r="B25" s="11" t="s">
        <v>13</v>
      </c>
      <c r="C25" s="11" t="s">
        <v>11</v>
      </c>
      <c r="D25" s="11" t="s">
        <v>14</v>
      </c>
      <c r="E25" s="11" t="s">
        <v>15</v>
      </c>
      <c r="F25" s="11" t="s">
        <v>16</v>
      </c>
      <c r="G25" s="11" t="s">
        <v>17</v>
      </c>
      <c r="I25" s="12"/>
      <c r="J25" s="12"/>
      <c r="K25" s="12"/>
      <c r="L25" s="12"/>
    </row>
    <row r="26" spans="1:12" x14ac:dyDescent="0.25">
      <c r="A26" s="13">
        <v>1</v>
      </c>
      <c r="B26" s="14">
        <v>45536</v>
      </c>
      <c r="C26" s="15">
        <f>$D$23</f>
        <v>32849.951455522045</v>
      </c>
      <c r="D26" s="16">
        <f>C26-E26</f>
        <v>32849.951455522045</v>
      </c>
      <c r="E26" s="13">
        <v>0</v>
      </c>
      <c r="F26" s="16">
        <f>(D11-D13-D26)</f>
        <v>2667150.0485444781</v>
      </c>
      <c r="G26" s="15">
        <f>C26</f>
        <v>32849.951455522045</v>
      </c>
    </row>
    <row r="27" spans="1:12" x14ac:dyDescent="0.25">
      <c r="A27" s="13">
        <v>2</v>
      </c>
      <c r="B27" s="14">
        <v>45566</v>
      </c>
      <c r="C27" s="15">
        <f>$D$23</f>
        <v>32849.951455522045</v>
      </c>
      <c r="D27" s="16">
        <f>C27-E27</f>
        <v>26272.039912598488</v>
      </c>
      <c r="E27" s="17">
        <f>F26*$D$20</f>
        <v>6577.9115429235562</v>
      </c>
      <c r="F27" s="16">
        <f>F26-D27</f>
        <v>2640878.0086318795</v>
      </c>
      <c r="G27" s="15">
        <f>G26+D27</f>
        <v>59121.991368120536</v>
      </c>
    </row>
    <row r="28" spans="1:12" x14ac:dyDescent="0.25">
      <c r="A28" s="13">
        <v>3</v>
      </c>
      <c r="B28" s="14">
        <v>45597</v>
      </c>
      <c r="C28" s="15">
        <f>$D$23</f>
        <v>32849.951455522045</v>
      </c>
      <c r="D28" s="16">
        <f>C28-E28</f>
        <v>26336.833850491686</v>
      </c>
      <c r="E28" s="17">
        <f t="shared" ref="E28:E91" si="0">F27*$D$20</f>
        <v>6513.1176050303584</v>
      </c>
      <c r="F28" s="16">
        <f>F27-D28</f>
        <v>2614541.1747813877</v>
      </c>
      <c r="G28" s="15">
        <f t="shared" ref="G28:G91" si="1">G27+D28</f>
        <v>85458.825218612226</v>
      </c>
    </row>
    <row r="29" spans="1:12" x14ac:dyDescent="0.25">
      <c r="A29" s="13">
        <v>4</v>
      </c>
      <c r="B29" s="14">
        <v>45627</v>
      </c>
      <c r="C29" s="15">
        <f t="shared" ref="C29:C94" si="2">$D$23</f>
        <v>32849.951455522045</v>
      </c>
      <c r="D29" s="16">
        <f t="shared" ref="D29:D94" si="3">C29-E29</f>
        <v>26401.787587715338</v>
      </c>
      <c r="E29" s="17">
        <f t="shared" si="0"/>
        <v>6448.1638678067056</v>
      </c>
      <c r="F29" s="16">
        <f t="shared" ref="F29:F92" si="4">F28-D29</f>
        <v>2588139.3871936724</v>
      </c>
      <c r="G29" s="15">
        <f t="shared" si="1"/>
        <v>111860.61280632757</v>
      </c>
    </row>
    <row r="30" spans="1:12" x14ac:dyDescent="0.25">
      <c r="A30" s="13">
        <v>5</v>
      </c>
      <c r="B30" s="14">
        <v>45658</v>
      </c>
      <c r="C30" s="15">
        <f t="shared" si="2"/>
        <v>32849.951455522045</v>
      </c>
      <c r="D30" s="16">
        <f t="shared" si="3"/>
        <v>26466.901518377705</v>
      </c>
      <c r="E30" s="17">
        <f t="shared" si="0"/>
        <v>6383.0499371443411</v>
      </c>
      <c r="F30" s="16">
        <f t="shared" si="4"/>
        <v>2561672.4856752949</v>
      </c>
      <c r="G30" s="15">
        <f t="shared" si="1"/>
        <v>138327.51432470526</v>
      </c>
    </row>
    <row r="31" spans="1:12" x14ac:dyDescent="0.25">
      <c r="A31" s="13">
        <v>6</v>
      </c>
      <c r="B31" s="14">
        <v>45689</v>
      </c>
      <c r="C31" s="15">
        <f t="shared" si="2"/>
        <v>32849.951455522045</v>
      </c>
      <c r="D31" s="16">
        <f t="shared" si="3"/>
        <v>26532.176037559017</v>
      </c>
      <c r="E31" s="17">
        <f t="shared" si="0"/>
        <v>6317.7754179630274</v>
      </c>
      <c r="F31" s="16">
        <f t="shared" si="4"/>
        <v>2535140.3096377361</v>
      </c>
      <c r="G31" s="15">
        <f t="shared" si="1"/>
        <v>164859.69036226429</v>
      </c>
    </row>
    <row r="32" spans="1:12" x14ac:dyDescent="0.25">
      <c r="A32" s="13">
        <v>7</v>
      </c>
      <c r="B32" s="14">
        <v>45717</v>
      </c>
      <c r="C32" s="15">
        <f t="shared" si="2"/>
        <v>32849.951455522045</v>
      </c>
      <c r="D32" s="16">
        <f t="shared" si="3"/>
        <v>26597.61154131389</v>
      </c>
      <c r="E32" s="17">
        <f t="shared" si="0"/>
        <v>6252.3399142081562</v>
      </c>
      <c r="F32" s="16">
        <f t="shared" si="4"/>
        <v>2508542.698096422</v>
      </c>
      <c r="G32" s="15">
        <f t="shared" si="1"/>
        <v>191457.30190357816</v>
      </c>
    </row>
    <row r="33" spans="1:7" x14ac:dyDescent="0.25">
      <c r="A33" s="13">
        <v>8</v>
      </c>
      <c r="B33" s="14">
        <v>45748</v>
      </c>
      <c r="C33" s="15">
        <f t="shared" si="2"/>
        <v>32849.951455522045</v>
      </c>
      <c r="D33" s="16">
        <f t="shared" si="3"/>
        <v>26663.208426673707</v>
      </c>
      <c r="E33" s="17">
        <f t="shared" si="0"/>
        <v>6186.7430288483374</v>
      </c>
      <c r="F33" s="16">
        <f t="shared" si="4"/>
        <v>2481879.4896697481</v>
      </c>
      <c r="G33" s="15">
        <f t="shared" si="1"/>
        <v>218120.51033025188</v>
      </c>
    </row>
    <row r="34" spans="1:7" x14ac:dyDescent="0.25">
      <c r="A34" s="13">
        <v>9</v>
      </c>
      <c r="B34" s="14">
        <v>45778</v>
      </c>
      <c r="C34" s="15">
        <f t="shared" si="2"/>
        <v>32849.951455522045</v>
      </c>
      <c r="D34" s="16">
        <f t="shared" si="3"/>
        <v>26728.967091649047</v>
      </c>
      <c r="E34" s="17">
        <f t="shared" si="0"/>
        <v>6120.984363872999</v>
      </c>
      <c r="F34" s="16">
        <f t="shared" si="4"/>
        <v>2455150.5225780993</v>
      </c>
      <c r="G34" s="15">
        <f t="shared" si="1"/>
        <v>244849.47742190093</v>
      </c>
    </row>
    <row r="35" spans="1:7" x14ac:dyDescent="0.25">
      <c r="A35" s="13">
        <v>10</v>
      </c>
      <c r="B35" s="14">
        <v>45809</v>
      </c>
      <c r="C35" s="15">
        <f t="shared" si="2"/>
        <v>32849.951455522045</v>
      </c>
      <c r="D35" s="16">
        <f t="shared" si="3"/>
        <v>26794.88793523208</v>
      </c>
      <c r="E35" s="17">
        <f t="shared" si="0"/>
        <v>6055.0635202899657</v>
      </c>
      <c r="F35" s="16">
        <f t="shared" si="4"/>
        <v>2428355.6346428674</v>
      </c>
      <c r="G35" s="15">
        <f t="shared" si="1"/>
        <v>271644.36535713298</v>
      </c>
    </row>
    <row r="36" spans="1:7" x14ac:dyDescent="0.25">
      <c r="A36" s="13">
        <v>11</v>
      </c>
      <c r="B36" s="14">
        <v>45839</v>
      </c>
      <c r="C36" s="15">
        <f t="shared" si="2"/>
        <v>32849.951455522045</v>
      </c>
      <c r="D36" s="16">
        <f t="shared" si="3"/>
        <v>26860.971357399008</v>
      </c>
      <c r="E36" s="17">
        <f t="shared" si="0"/>
        <v>5988.9800981230383</v>
      </c>
      <c r="F36" s="16">
        <f t="shared" si="4"/>
        <v>2401494.6632854682</v>
      </c>
      <c r="G36" s="15">
        <f t="shared" si="1"/>
        <v>298505.33671453199</v>
      </c>
    </row>
    <row r="37" spans="1:7" x14ac:dyDescent="0.25">
      <c r="A37" s="13">
        <v>12</v>
      </c>
      <c r="B37" s="14">
        <v>45870</v>
      </c>
      <c r="C37" s="15">
        <f t="shared" si="2"/>
        <v>32849.951455522045</v>
      </c>
      <c r="D37" s="16">
        <f t="shared" si="3"/>
        <v>26927.217759112475</v>
      </c>
      <c r="E37" s="17">
        <f t="shared" si="0"/>
        <v>5922.7336964095693</v>
      </c>
      <c r="F37" s="16">
        <f t="shared" si="4"/>
        <v>2374567.4455263559</v>
      </c>
      <c r="G37" s="15">
        <f t="shared" si="1"/>
        <v>325432.55447364447</v>
      </c>
    </row>
    <row r="38" spans="1:7" x14ac:dyDescent="0.25">
      <c r="A38" s="13">
        <v>13</v>
      </c>
      <c r="B38" s="14">
        <v>45901</v>
      </c>
      <c r="C38" s="15">
        <f t="shared" si="2"/>
        <v>32849.951455522045</v>
      </c>
      <c r="D38" s="16">
        <f t="shared" si="3"/>
        <v>26993.627542324015</v>
      </c>
      <c r="E38" s="17">
        <f t="shared" si="0"/>
        <v>5856.3239131980317</v>
      </c>
      <c r="F38" s="16">
        <f t="shared" si="4"/>
        <v>2347573.817984032</v>
      </c>
      <c r="G38" s="15">
        <f t="shared" si="1"/>
        <v>352426.18201596849</v>
      </c>
    </row>
    <row r="39" spans="1:7" x14ac:dyDescent="0.25">
      <c r="A39" s="13">
        <v>14</v>
      </c>
      <c r="B39" s="14">
        <v>45931</v>
      </c>
      <c r="C39" s="15">
        <f t="shared" si="2"/>
        <v>32849.951455522045</v>
      </c>
      <c r="D39" s="16">
        <f t="shared" si="3"/>
        <v>27060.201109976471</v>
      </c>
      <c r="E39" s="17">
        <f t="shared" si="0"/>
        <v>5789.7503455455744</v>
      </c>
      <c r="F39" s="16">
        <f t="shared" si="4"/>
        <v>2320513.6168740555</v>
      </c>
      <c r="G39" s="15">
        <f t="shared" si="1"/>
        <v>379486.38312594494</v>
      </c>
    </row>
    <row r="40" spans="1:7" x14ac:dyDescent="0.25">
      <c r="A40" s="13">
        <v>15</v>
      </c>
      <c r="B40" s="14">
        <v>45962</v>
      </c>
      <c r="C40" s="15">
        <f t="shared" si="2"/>
        <v>32849.951455522045</v>
      </c>
      <c r="D40" s="16">
        <f t="shared" si="3"/>
        <v>27126.938866006465</v>
      </c>
      <c r="E40" s="17">
        <f t="shared" si="0"/>
        <v>5723.0125895155807</v>
      </c>
      <c r="F40" s="16">
        <f t="shared" si="4"/>
        <v>2293386.6780080488</v>
      </c>
      <c r="G40" s="15">
        <f t="shared" si="1"/>
        <v>406613.32199195138</v>
      </c>
    </row>
    <row r="41" spans="1:7" x14ac:dyDescent="0.25">
      <c r="A41" s="13">
        <v>16</v>
      </c>
      <c r="B41" s="14">
        <v>45992</v>
      </c>
      <c r="C41" s="15">
        <f t="shared" si="2"/>
        <v>32849.951455522045</v>
      </c>
      <c r="D41" s="16">
        <f t="shared" si="3"/>
        <v>27193.841215346827</v>
      </c>
      <c r="E41" s="17">
        <f t="shared" si="0"/>
        <v>5656.1102401752178</v>
      </c>
      <c r="F41" s="16">
        <f t="shared" si="4"/>
        <v>2266192.8367927019</v>
      </c>
      <c r="G41" s="15">
        <f t="shared" si="1"/>
        <v>433807.1632072982</v>
      </c>
    </row>
    <row r="42" spans="1:7" x14ac:dyDescent="0.25">
      <c r="A42" s="13">
        <v>17</v>
      </c>
      <c r="B42" s="14">
        <v>46023</v>
      </c>
      <c r="C42" s="15">
        <f t="shared" si="2"/>
        <v>32849.951455522045</v>
      </c>
      <c r="D42" s="16">
        <f t="shared" si="3"/>
        <v>27260.908563929064</v>
      </c>
      <c r="E42" s="17">
        <f t="shared" si="0"/>
        <v>5589.0428915929815</v>
      </c>
      <c r="F42" s="16">
        <f t="shared" si="4"/>
        <v>2238931.9282287727</v>
      </c>
      <c r="G42" s="15">
        <f t="shared" si="1"/>
        <v>461068.07177122729</v>
      </c>
    </row>
    <row r="43" spans="1:7" x14ac:dyDescent="0.25">
      <c r="A43" s="13">
        <v>18</v>
      </c>
      <c r="B43" s="14">
        <v>46054</v>
      </c>
      <c r="C43" s="15">
        <f t="shared" si="2"/>
        <v>32849.951455522045</v>
      </c>
      <c r="D43" s="16">
        <f t="shared" si="3"/>
        <v>27328.141318685815</v>
      </c>
      <c r="E43" s="17">
        <f t="shared" si="0"/>
        <v>5521.8101368362286</v>
      </c>
      <c r="F43" s="16">
        <f t="shared" si="4"/>
        <v>2211603.7869100869</v>
      </c>
      <c r="G43" s="15">
        <f t="shared" si="1"/>
        <v>488396.21308991313</v>
      </c>
    </row>
    <row r="44" spans="1:7" x14ac:dyDescent="0.25">
      <c r="A44" s="13">
        <v>19</v>
      </c>
      <c r="B44" s="14">
        <v>46082</v>
      </c>
      <c r="C44" s="15">
        <f t="shared" si="2"/>
        <v>32849.951455522045</v>
      </c>
      <c r="D44" s="16">
        <f t="shared" si="3"/>
        <v>27395.539887553336</v>
      </c>
      <c r="E44" s="17">
        <f t="shared" si="0"/>
        <v>5454.4115679687102</v>
      </c>
      <c r="F44" s="16">
        <f t="shared" si="4"/>
        <v>2184208.2470225333</v>
      </c>
      <c r="G44" s="15">
        <f t="shared" si="1"/>
        <v>515791.75297746644</v>
      </c>
    </row>
    <row r="45" spans="1:7" x14ac:dyDescent="0.25">
      <c r="A45" s="13">
        <v>20</v>
      </c>
      <c r="B45" s="14">
        <v>46113</v>
      </c>
      <c r="C45" s="15">
        <f t="shared" si="2"/>
        <v>32849.951455522045</v>
      </c>
      <c r="D45" s="16">
        <f t="shared" si="3"/>
        <v>27463.104679473949</v>
      </c>
      <c r="E45" s="17">
        <f t="shared" si="0"/>
        <v>5386.8467760480971</v>
      </c>
      <c r="F45" s="16">
        <f t="shared" si="4"/>
        <v>2156745.1423430592</v>
      </c>
      <c r="G45" s="15">
        <f t="shared" si="1"/>
        <v>543254.85765694035</v>
      </c>
    </row>
    <row r="46" spans="1:7" x14ac:dyDescent="0.25">
      <c r="A46" s="13">
        <v>21</v>
      </c>
      <c r="B46" s="14">
        <v>46143</v>
      </c>
      <c r="C46" s="15">
        <f t="shared" si="2"/>
        <v>32849.951455522045</v>
      </c>
      <c r="D46" s="16">
        <f t="shared" si="3"/>
        <v>27530.836104398546</v>
      </c>
      <c r="E46" s="17">
        <f t="shared" si="0"/>
        <v>5319.1153511234979</v>
      </c>
      <c r="F46" s="16">
        <f t="shared" si="4"/>
        <v>2129214.3062386606</v>
      </c>
      <c r="G46" s="15">
        <f t="shared" si="1"/>
        <v>570785.69376133895</v>
      </c>
    </row>
    <row r="47" spans="1:7" x14ac:dyDescent="0.25">
      <c r="A47" s="13">
        <v>22</v>
      </c>
      <c r="B47" s="14">
        <v>46174</v>
      </c>
      <c r="C47" s="15">
        <f t="shared" si="2"/>
        <v>32849.951455522045</v>
      </c>
      <c r="D47" s="16">
        <f t="shared" si="3"/>
        <v>27598.734573289072</v>
      </c>
      <c r="E47" s="17">
        <f t="shared" si="0"/>
        <v>5251.2168822329731</v>
      </c>
      <c r="F47" s="16">
        <f t="shared" si="4"/>
        <v>2101615.5716653713</v>
      </c>
      <c r="G47" s="15">
        <f t="shared" si="1"/>
        <v>598384.428334628</v>
      </c>
    </row>
    <row r="48" spans="1:7" x14ac:dyDescent="0.25">
      <c r="A48" s="13">
        <v>23</v>
      </c>
      <c r="B48" s="14">
        <v>46204</v>
      </c>
      <c r="C48" s="15">
        <f t="shared" si="2"/>
        <v>32849.951455522045</v>
      </c>
      <c r="D48" s="16">
        <f t="shared" si="3"/>
        <v>27666.800498121007</v>
      </c>
      <c r="E48" s="17">
        <f t="shared" si="0"/>
        <v>5183.150957401037</v>
      </c>
      <c r="F48" s="16">
        <f t="shared" si="4"/>
        <v>2073948.7711672504</v>
      </c>
      <c r="G48" s="15">
        <f t="shared" si="1"/>
        <v>626051.22883274895</v>
      </c>
    </row>
    <row r="49" spans="1:7" x14ac:dyDescent="0.25">
      <c r="A49" s="13">
        <v>24</v>
      </c>
      <c r="B49" s="14">
        <v>46235</v>
      </c>
      <c r="C49" s="15">
        <f t="shared" si="2"/>
        <v>32849.951455522045</v>
      </c>
      <c r="D49" s="16">
        <f t="shared" si="3"/>
        <v>27735.034291885881</v>
      </c>
      <c r="E49" s="17">
        <f t="shared" si="0"/>
        <v>5114.9171636361643</v>
      </c>
      <c r="F49" s="16">
        <f t="shared" si="4"/>
        <v>2046213.7368753646</v>
      </c>
      <c r="G49" s="15">
        <f t="shared" si="1"/>
        <v>653786.26312463486</v>
      </c>
    </row>
    <row r="50" spans="1:7" x14ac:dyDescent="0.25">
      <c r="A50" s="13">
        <v>25</v>
      </c>
      <c r="B50" s="14">
        <v>46266</v>
      </c>
      <c r="C50" s="15">
        <f t="shared" si="2"/>
        <v>32849.951455522045</v>
      </c>
      <c r="D50" s="16">
        <f t="shared" si="3"/>
        <v>27803.436368593764</v>
      </c>
      <c r="E50" s="17">
        <f t="shared" si="0"/>
        <v>5046.5150869282807</v>
      </c>
      <c r="F50" s="16">
        <f t="shared" si="4"/>
        <v>2018410.3005067708</v>
      </c>
      <c r="G50" s="15">
        <f t="shared" si="1"/>
        <v>681589.69949322857</v>
      </c>
    </row>
    <row r="51" spans="1:7" x14ac:dyDescent="0.25">
      <c r="A51" s="13">
        <v>26</v>
      </c>
      <c r="B51" s="14">
        <v>46296</v>
      </c>
      <c r="C51" s="15">
        <f t="shared" si="2"/>
        <v>32849.951455522045</v>
      </c>
      <c r="D51" s="16">
        <f t="shared" si="3"/>
        <v>27872.007143275798</v>
      </c>
      <c r="E51" s="17">
        <f t="shared" si="0"/>
        <v>4977.944312246249</v>
      </c>
      <c r="F51" s="16">
        <f t="shared" si="4"/>
        <v>1990538.293363495</v>
      </c>
      <c r="G51" s="15">
        <f t="shared" si="1"/>
        <v>709461.70663650439</v>
      </c>
    </row>
    <row r="52" spans="1:7" x14ac:dyDescent="0.25">
      <c r="A52" s="13">
        <v>27</v>
      </c>
      <c r="B52" s="14">
        <v>46327</v>
      </c>
      <c r="C52" s="15">
        <f t="shared" si="2"/>
        <v>32849.951455522045</v>
      </c>
      <c r="D52" s="16">
        <f t="shared" si="3"/>
        <v>27940.747031986692</v>
      </c>
      <c r="E52" s="17">
        <f t="shared" si="0"/>
        <v>4909.2044235353551</v>
      </c>
      <c r="F52" s="16">
        <f t="shared" si="4"/>
        <v>1962597.5463315083</v>
      </c>
      <c r="G52" s="15">
        <f t="shared" si="1"/>
        <v>737402.4536684911</v>
      </c>
    </row>
    <row r="53" spans="1:7" x14ac:dyDescent="0.25">
      <c r="A53" s="13">
        <v>28</v>
      </c>
      <c r="B53" s="14">
        <v>46357</v>
      </c>
      <c r="C53" s="15">
        <f t="shared" si="2"/>
        <v>32849.951455522045</v>
      </c>
      <c r="D53" s="16">
        <f t="shared" si="3"/>
        <v>28009.656451807263</v>
      </c>
      <c r="E53" s="17">
        <f t="shared" si="0"/>
        <v>4840.295003714783</v>
      </c>
      <c r="F53" s="16">
        <f t="shared" si="4"/>
        <v>1934587.889879701</v>
      </c>
      <c r="G53" s="15">
        <f t="shared" si="1"/>
        <v>765412.11012029834</v>
      </c>
    </row>
    <row r="54" spans="1:7" x14ac:dyDescent="0.25">
      <c r="A54" s="13">
        <v>29</v>
      </c>
      <c r="B54" s="14">
        <v>46388</v>
      </c>
      <c r="C54" s="15">
        <f t="shared" si="2"/>
        <v>32849.951455522045</v>
      </c>
      <c r="D54" s="16">
        <f t="shared" si="3"/>
        <v>28078.735820846967</v>
      </c>
      <c r="E54" s="17">
        <f t="shared" si="0"/>
        <v>4771.2156346750789</v>
      </c>
      <c r="F54" s="16">
        <f t="shared" si="4"/>
        <v>1906509.1540588541</v>
      </c>
      <c r="G54" s="15">
        <f t="shared" si="1"/>
        <v>793490.84594114532</v>
      </c>
    </row>
    <row r="55" spans="1:7" x14ac:dyDescent="0.25">
      <c r="A55" s="13">
        <v>30</v>
      </c>
      <c r="B55" s="14">
        <v>46419</v>
      </c>
      <c r="C55" s="15">
        <f t="shared" si="2"/>
        <v>32849.951455522045</v>
      </c>
      <c r="D55" s="16">
        <f t="shared" si="3"/>
        <v>28147.985558246422</v>
      </c>
      <c r="E55" s="17">
        <f t="shared" si="0"/>
        <v>4701.9658972756242</v>
      </c>
      <c r="F55" s="16">
        <f t="shared" si="4"/>
        <v>1878361.1685006076</v>
      </c>
      <c r="G55" s="15">
        <f t="shared" si="1"/>
        <v>821638.8314993917</v>
      </c>
    </row>
    <row r="56" spans="1:7" x14ac:dyDescent="0.25">
      <c r="A56" s="13">
        <v>31</v>
      </c>
      <c r="B56" s="14">
        <v>46447</v>
      </c>
      <c r="C56" s="15">
        <f t="shared" si="2"/>
        <v>32849.951455522045</v>
      </c>
      <c r="D56" s="16">
        <f t="shared" si="3"/>
        <v>28217.406084179966</v>
      </c>
      <c r="E56" s="17">
        <f t="shared" si="0"/>
        <v>4632.5453713420802</v>
      </c>
      <c r="F56" s="16">
        <f t="shared" si="4"/>
        <v>1850143.7624164277</v>
      </c>
      <c r="G56" s="15">
        <f t="shared" si="1"/>
        <v>849856.2375835717</v>
      </c>
    </row>
    <row r="57" spans="1:7" x14ac:dyDescent="0.25">
      <c r="A57" s="13">
        <v>32</v>
      </c>
      <c r="B57" s="14">
        <v>46478</v>
      </c>
      <c r="C57" s="15">
        <f t="shared" si="2"/>
        <v>32849.951455522045</v>
      </c>
      <c r="D57" s="16">
        <f t="shared" si="3"/>
        <v>28286.997819858196</v>
      </c>
      <c r="E57" s="17">
        <f t="shared" si="0"/>
        <v>4562.9536356638491</v>
      </c>
      <c r="F57" s="16">
        <f t="shared" si="4"/>
        <v>1821856.7645965696</v>
      </c>
      <c r="G57" s="15">
        <f t="shared" si="1"/>
        <v>878143.23540342995</v>
      </c>
    </row>
    <row r="58" spans="1:7" x14ac:dyDescent="0.25">
      <c r="A58" s="13">
        <v>33</v>
      </c>
      <c r="B58" s="14">
        <v>46508</v>
      </c>
      <c r="C58" s="15">
        <f t="shared" si="2"/>
        <v>32849.951455522045</v>
      </c>
      <c r="D58" s="16">
        <f t="shared" si="3"/>
        <v>28356.76118753053</v>
      </c>
      <c r="E58" s="17">
        <f t="shared" si="0"/>
        <v>4493.1902679915129</v>
      </c>
      <c r="F58" s="16">
        <f t="shared" si="4"/>
        <v>1793500.003409039</v>
      </c>
      <c r="G58" s="15">
        <f t="shared" si="1"/>
        <v>906499.99659096054</v>
      </c>
    </row>
    <row r="59" spans="1:7" x14ac:dyDescent="0.25">
      <c r="A59" s="13">
        <v>34</v>
      </c>
      <c r="B59" s="14">
        <v>46539</v>
      </c>
      <c r="C59" s="15">
        <f t="shared" si="2"/>
        <v>32849.951455522045</v>
      </c>
      <c r="D59" s="16">
        <f t="shared" si="3"/>
        <v>28426.696610487772</v>
      </c>
      <c r="E59" s="17">
        <f t="shared" si="0"/>
        <v>4423.2548450342711</v>
      </c>
      <c r="F59" s="16">
        <f t="shared" si="4"/>
        <v>1765073.3067985512</v>
      </c>
      <c r="G59" s="15">
        <f t="shared" si="1"/>
        <v>934926.6932014483</v>
      </c>
    </row>
    <row r="60" spans="1:7" x14ac:dyDescent="0.25">
      <c r="A60" s="13">
        <v>35</v>
      </c>
      <c r="B60" s="14">
        <v>46569</v>
      </c>
      <c r="C60" s="15">
        <f t="shared" si="2"/>
        <v>32849.951455522045</v>
      </c>
      <c r="D60" s="16">
        <f t="shared" si="3"/>
        <v>28496.804513064668</v>
      </c>
      <c r="E60" s="17">
        <f t="shared" si="0"/>
        <v>4353.1469424573779</v>
      </c>
      <c r="F60" s="16">
        <f t="shared" si="4"/>
        <v>1736576.5022854866</v>
      </c>
      <c r="G60" s="15">
        <f t="shared" si="1"/>
        <v>963423.49771451298</v>
      </c>
    </row>
    <row r="61" spans="1:7" x14ac:dyDescent="0.25">
      <c r="A61" s="13">
        <v>36</v>
      </c>
      <c r="B61" s="14">
        <v>46600</v>
      </c>
      <c r="C61" s="15">
        <f t="shared" si="2"/>
        <v>32849.951455522045</v>
      </c>
      <c r="D61" s="16">
        <f t="shared" si="3"/>
        <v>28567.085320642487</v>
      </c>
      <c r="E61" s="17">
        <f t="shared" si="0"/>
        <v>4282.8661348795595</v>
      </c>
      <c r="F61" s="16">
        <f t="shared" si="4"/>
        <v>1708009.4169648441</v>
      </c>
      <c r="G61" s="15">
        <f t="shared" si="1"/>
        <v>991990.58303515543</v>
      </c>
    </row>
    <row r="62" spans="1:7" x14ac:dyDescent="0.25">
      <c r="A62" s="13">
        <v>37</v>
      </c>
      <c r="B62" s="14">
        <v>46631</v>
      </c>
      <c r="C62" s="15">
        <f t="shared" si="2"/>
        <v>32849.951455522045</v>
      </c>
      <c r="D62" s="16">
        <f t="shared" si="3"/>
        <v>28637.539459651605</v>
      </c>
      <c r="E62" s="17">
        <f t="shared" si="0"/>
        <v>4212.4119958704377</v>
      </c>
      <c r="F62" s="16">
        <f t="shared" si="4"/>
        <v>1679371.8775051925</v>
      </c>
      <c r="G62" s="15">
        <f t="shared" si="1"/>
        <v>1020628.122494807</v>
      </c>
    </row>
    <row r="63" spans="1:7" x14ac:dyDescent="0.25">
      <c r="A63" s="13">
        <v>38</v>
      </c>
      <c r="B63" s="14">
        <v>46661</v>
      </c>
      <c r="C63" s="15">
        <f t="shared" si="2"/>
        <v>32849.951455522045</v>
      </c>
      <c r="D63" s="16">
        <f t="shared" si="3"/>
        <v>28708.167357574101</v>
      </c>
      <c r="E63" s="17">
        <f t="shared" si="0"/>
        <v>4141.7840979479452</v>
      </c>
      <c r="F63" s="16">
        <f t="shared" si="4"/>
        <v>1650663.7101476183</v>
      </c>
      <c r="G63" s="15">
        <f t="shared" si="1"/>
        <v>1049336.2898523812</v>
      </c>
    </row>
    <row r="64" spans="1:7" x14ac:dyDescent="0.25">
      <c r="A64" s="13">
        <v>39</v>
      </c>
      <c r="B64" s="14">
        <v>46692</v>
      </c>
      <c r="C64" s="15">
        <f t="shared" si="2"/>
        <v>32849.951455522045</v>
      </c>
      <c r="D64" s="16">
        <f t="shared" si="3"/>
        <v>28778.96944294632</v>
      </c>
      <c r="E64" s="17">
        <f t="shared" si="0"/>
        <v>4070.9820125757246</v>
      </c>
      <c r="F64" s="16">
        <f t="shared" si="4"/>
        <v>1621884.7407046719</v>
      </c>
      <c r="G64" s="15">
        <f t="shared" si="1"/>
        <v>1078115.2592953276</v>
      </c>
    </row>
    <row r="65" spans="1:7" x14ac:dyDescent="0.25">
      <c r="A65" s="13">
        <v>40</v>
      </c>
      <c r="B65" s="14">
        <v>46722</v>
      </c>
      <c r="C65" s="15">
        <f t="shared" si="2"/>
        <v>32849.951455522045</v>
      </c>
      <c r="D65" s="16">
        <f t="shared" si="3"/>
        <v>28849.946145361511</v>
      </c>
      <c r="E65" s="17">
        <f t="shared" si="0"/>
        <v>4000.0053101605349</v>
      </c>
      <c r="F65" s="16">
        <f t="shared" si="4"/>
        <v>1593034.7945593104</v>
      </c>
      <c r="G65" s="15">
        <f t="shared" si="1"/>
        <v>1106965.2054406891</v>
      </c>
    </row>
    <row r="66" spans="1:7" x14ac:dyDescent="0.25">
      <c r="A66" s="13">
        <v>41</v>
      </c>
      <c r="B66" s="14">
        <v>46753</v>
      </c>
      <c r="C66" s="15">
        <f t="shared" si="2"/>
        <v>32849.951455522045</v>
      </c>
      <c r="D66" s="16">
        <f t="shared" si="3"/>
        <v>28921.097895472405</v>
      </c>
      <c r="E66" s="17">
        <f t="shared" si="0"/>
        <v>3928.8535600496402</v>
      </c>
      <c r="F66" s="16">
        <f t="shared" si="4"/>
        <v>1564113.6966638381</v>
      </c>
      <c r="G66" s="15">
        <f t="shared" si="1"/>
        <v>1135886.3033361614</v>
      </c>
    </row>
    <row r="67" spans="1:7" x14ac:dyDescent="0.25">
      <c r="A67" s="13">
        <v>42</v>
      </c>
      <c r="B67" s="14">
        <v>46784</v>
      </c>
      <c r="C67" s="15">
        <f t="shared" si="2"/>
        <v>32849.951455522045</v>
      </c>
      <c r="D67" s="16">
        <f t="shared" si="3"/>
        <v>28992.425124993842</v>
      </c>
      <c r="E67" s="17">
        <f t="shared" si="0"/>
        <v>3857.526330528201</v>
      </c>
      <c r="F67" s="16">
        <f t="shared" si="4"/>
        <v>1535121.2715388443</v>
      </c>
      <c r="G67" s="15">
        <f t="shared" si="1"/>
        <v>1164878.7284611552</v>
      </c>
    </row>
    <row r="68" spans="1:7" x14ac:dyDescent="0.25">
      <c r="A68" s="13">
        <v>43</v>
      </c>
      <c r="B68" s="14">
        <v>46813</v>
      </c>
      <c r="C68" s="15">
        <f t="shared" si="2"/>
        <v>32849.951455522045</v>
      </c>
      <c r="D68" s="16">
        <f t="shared" si="3"/>
        <v>29063.928266705392</v>
      </c>
      <c r="E68" s="17">
        <f t="shared" si="0"/>
        <v>3786.0231888166513</v>
      </c>
      <c r="F68" s="16">
        <f t="shared" si="4"/>
        <v>1506057.3432721389</v>
      </c>
      <c r="G68" s="15">
        <f t="shared" si="1"/>
        <v>1193942.6567278607</v>
      </c>
    </row>
    <row r="69" spans="1:7" x14ac:dyDescent="0.25">
      <c r="A69" s="13">
        <v>44</v>
      </c>
      <c r="B69" s="14">
        <v>46844</v>
      </c>
      <c r="C69" s="15">
        <f t="shared" si="2"/>
        <v>32849.951455522045</v>
      </c>
      <c r="D69" s="16">
        <f t="shared" si="3"/>
        <v>29135.607754453973</v>
      </c>
      <c r="E69" s="17">
        <f t="shared" si="0"/>
        <v>3714.3437010680727</v>
      </c>
      <c r="F69" s="16">
        <f t="shared" si="4"/>
        <v>1476921.7355176848</v>
      </c>
      <c r="G69" s="15">
        <f t="shared" si="1"/>
        <v>1223078.2644823147</v>
      </c>
    </row>
    <row r="70" spans="1:7" x14ac:dyDescent="0.25">
      <c r="A70" s="13">
        <v>45</v>
      </c>
      <c r="B70" s="14">
        <v>46874</v>
      </c>
      <c r="C70" s="15">
        <f t="shared" si="2"/>
        <v>32849.951455522045</v>
      </c>
      <c r="D70" s="16">
        <f t="shared" si="3"/>
        <v>29207.464023156477</v>
      </c>
      <c r="E70" s="17">
        <f t="shared" si="0"/>
        <v>3642.4874323655658</v>
      </c>
      <c r="F70" s="16">
        <f t="shared" si="4"/>
        <v>1447714.2714945283</v>
      </c>
      <c r="G70" s="15">
        <f t="shared" si="1"/>
        <v>1252285.7285054713</v>
      </c>
    </row>
    <row r="71" spans="1:7" x14ac:dyDescent="0.25">
      <c r="A71" s="13">
        <v>46</v>
      </c>
      <c r="B71" s="14">
        <v>46905</v>
      </c>
      <c r="C71" s="15">
        <f t="shared" si="2"/>
        <v>32849.951455522045</v>
      </c>
      <c r="D71" s="16">
        <f t="shared" si="3"/>
        <v>29279.497508802437</v>
      </c>
      <c r="E71" s="17">
        <f t="shared" si="0"/>
        <v>3570.4539467196073</v>
      </c>
      <c r="F71" s="16">
        <f t="shared" si="4"/>
        <v>1418434.7739857258</v>
      </c>
      <c r="G71" s="15">
        <f t="shared" si="1"/>
        <v>1281565.2260142737</v>
      </c>
    </row>
    <row r="72" spans="1:7" x14ac:dyDescent="0.25">
      <c r="A72" s="13">
        <v>47</v>
      </c>
      <c r="B72" s="14">
        <v>46935</v>
      </c>
      <c r="C72" s="15">
        <f t="shared" si="2"/>
        <v>32849.951455522045</v>
      </c>
      <c r="D72" s="16">
        <f t="shared" si="3"/>
        <v>29351.708648456639</v>
      </c>
      <c r="E72" s="17">
        <f t="shared" si="0"/>
        <v>3498.2428070654069</v>
      </c>
      <c r="F72" s="16">
        <f t="shared" si="4"/>
        <v>1389083.0653372691</v>
      </c>
      <c r="G72" s="15">
        <f t="shared" si="1"/>
        <v>1310916.9346627304</v>
      </c>
    </row>
    <row r="73" spans="1:7" x14ac:dyDescent="0.25">
      <c r="A73" s="13">
        <v>48</v>
      </c>
      <c r="B73" s="14">
        <v>46966</v>
      </c>
      <c r="C73" s="15">
        <f t="shared" si="2"/>
        <v>32849.951455522045</v>
      </c>
      <c r="D73" s="16">
        <f t="shared" si="3"/>
        <v>29424.09788026179</v>
      </c>
      <c r="E73" s="17">
        <f t="shared" si="0"/>
        <v>3425.8535752602534</v>
      </c>
      <c r="F73" s="16">
        <f t="shared" si="4"/>
        <v>1359658.9674570074</v>
      </c>
      <c r="G73" s="15">
        <f t="shared" si="1"/>
        <v>1340341.0325429922</v>
      </c>
    </row>
    <row r="74" spans="1:7" x14ac:dyDescent="0.25">
      <c r="A74" s="13">
        <v>49</v>
      </c>
      <c r="B74" s="14">
        <v>46997</v>
      </c>
      <c r="C74" s="15">
        <f t="shared" si="2"/>
        <v>32849.951455522045</v>
      </c>
      <c r="D74" s="16">
        <f t="shared" si="3"/>
        <v>29496.665643441185</v>
      </c>
      <c r="E74" s="17">
        <f t="shared" si="0"/>
        <v>3353.2858120808587</v>
      </c>
      <c r="F74" s="16">
        <f t="shared" si="4"/>
        <v>1330162.3018135661</v>
      </c>
      <c r="G74" s="15">
        <f t="shared" si="1"/>
        <v>1369837.6981864334</v>
      </c>
    </row>
    <row r="75" spans="1:7" x14ac:dyDescent="0.25">
      <c r="A75" s="13">
        <v>50</v>
      </c>
      <c r="B75" s="14">
        <v>47027</v>
      </c>
      <c r="C75" s="15">
        <f t="shared" si="2"/>
        <v>32849.951455522045</v>
      </c>
      <c r="D75" s="16">
        <f t="shared" si="3"/>
        <v>29569.412378301353</v>
      </c>
      <c r="E75" s="17">
        <f t="shared" si="0"/>
        <v>3280.5390772206911</v>
      </c>
      <c r="F75" s="16">
        <f t="shared" si="4"/>
        <v>1300592.8894352647</v>
      </c>
      <c r="G75" s="15">
        <f t="shared" si="1"/>
        <v>1399407.1105647348</v>
      </c>
    </row>
    <row r="76" spans="1:7" x14ac:dyDescent="0.25">
      <c r="A76" s="13">
        <v>51</v>
      </c>
      <c r="B76" s="14">
        <v>47058</v>
      </c>
      <c r="C76" s="15">
        <f t="shared" si="2"/>
        <v>32849.951455522045</v>
      </c>
      <c r="D76" s="16">
        <f t="shared" si="3"/>
        <v>29642.33852623474</v>
      </c>
      <c r="E76" s="17">
        <f t="shared" si="0"/>
        <v>3207.6129292873038</v>
      </c>
      <c r="F76" s="16">
        <f t="shared" si="4"/>
        <v>1270950.55090903</v>
      </c>
      <c r="G76" s="15">
        <f t="shared" si="1"/>
        <v>1429049.4490909695</v>
      </c>
    </row>
    <row r="77" spans="1:7" x14ac:dyDescent="0.25">
      <c r="A77" s="13">
        <v>52</v>
      </c>
      <c r="B77" s="14">
        <v>47088</v>
      </c>
      <c r="C77" s="15">
        <f t="shared" si="2"/>
        <v>32849.951455522045</v>
      </c>
      <c r="D77" s="16">
        <f t="shared" si="3"/>
        <v>29715.444529722387</v>
      </c>
      <c r="E77" s="17">
        <f t="shared" si="0"/>
        <v>3134.5069257996583</v>
      </c>
      <c r="F77" s="16">
        <f t="shared" si="4"/>
        <v>1241235.1063793076</v>
      </c>
      <c r="G77" s="15">
        <f t="shared" si="1"/>
        <v>1458764.893620692</v>
      </c>
    </row>
    <row r="78" spans="1:7" x14ac:dyDescent="0.25">
      <c r="A78" s="13">
        <v>53</v>
      </c>
      <c r="B78" s="14">
        <v>47119</v>
      </c>
      <c r="C78" s="15">
        <f t="shared" si="2"/>
        <v>32849.951455522045</v>
      </c>
      <c r="D78" s="16">
        <f t="shared" si="3"/>
        <v>29788.730832336609</v>
      </c>
      <c r="E78" s="17">
        <f t="shared" si="0"/>
        <v>3061.220623185437</v>
      </c>
      <c r="F78" s="16">
        <f t="shared" si="4"/>
        <v>1211446.3755469709</v>
      </c>
      <c r="G78" s="15">
        <f t="shared" si="1"/>
        <v>1488553.6244530287</v>
      </c>
    </row>
    <row r="79" spans="1:7" x14ac:dyDescent="0.25">
      <c r="A79" s="13">
        <v>54</v>
      </c>
      <c r="B79" s="14">
        <v>47150</v>
      </c>
      <c r="C79" s="15">
        <f t="shared" si="2"/>
        <v>32849.951455522045</v>
      </c>
      <c r="D79" s="16">
        <f t="shared" si="3"/>
        <v>29862.197878743689</v>
      </c>
      <c r="E79" s="17">
        <f t="shared" si="0"/>
        <v>2987.7535767783538</v>
      </c>
      <c r="F79" s="16">
        <f t="shared" si="4"/>
        <v>1181584.1776682271</v>
      </c>
      <c r="G79" s="15">
        <f t="shared" si="1"/>
        <v>1518415.8223317724</v>
      </c>
    </row>
    <row r="80" spans="1:7" x14ac:dyDescent="0.25">
      <c r="A80" s="13">
        <v>55</v>
      </c>
      <c r="B80" s="14">
        <v>47178</v>
      </c>
      <c r="C80" s="15">
        <f t="shared" si="2"/>
        <v>32849.951455522045</v>
      </c>
      <c r="D80" s="16">
        <f t="shared" si="3"/>
        <v>29935.846114706586</v>
      </c>
      <c r="E80" s="17">
        <f t="shared" si="0"/>
        <v>2914.1053408154571</v>
      </c>
      <c r="F80" s="16">
        <f t="shared" si="4"/>
        <v>1151648.3315535206</v>
      </c>
      <c r="G80" s="15">
        <f t="shared" si="1"/>
        <v>1548351.6684464789</v>
      </c>
    </row>
    <row r="81" spans="1:7" x14ac:dyDescent="0.25">
      <c r="A81" s="13">
        <v>56</v>
      </c>
      <c r="B81" s="14">
        <v>47209</v>
      </c>
      <c r="C81" s="15">
        <f t="shared" si="2"/>
        <v>32849.951455522045</v>
      </c>
      <c r="D81" s="16">
        <f t="shared" si="3"/>
        <v>30009.675987087623</v>
      </c>
      <c r="E81" s="17">
        <f t="shared" si="0"/>
        <v>2840.2754684344218</v>
      </c>
      <c r="F81" s="16">
        <f t="shared" si="4"/>
        <v>1121638.655566433</v>
      </c>
      <c r="G81" s="15">
        <f t="shared" si="1"/>
        <v>1578361.3444335666</v>
      </c>
    </row>
    <row r="82" spans="1:7" x14ac:dyDescent="0.25">
      <c r="A82" s="13">
        <v>57</v>
      </c>
      <c r="B82" s="14">
        <v>47239</v>
      </c>
      <c r="C82" s="15">
        <f t="shared" si="2"/>
        <v>32849.951455522045</v>
      </c>
      <c r="D82" s="16">
        <f t="shared" si="3"/>
        <v>30083.687943851204</v>
      </c>
      <c r="E82" s="17">
        <f t="shared" si="0"/>
        <v>2766.2635116708398</v>
      </c>
      <c r="F82" s="16">
        <f t="shared" si="4"/>
        <v>1091554.9676225819</v>
      </c>
      <c r="G82" s="15">
        <f t="shared" si="1"/>
        <v>1608445.0323774177</v>
      </c>
    </row>
    <row r="83" spans="1:7" x14ac:dyDescent="0.25">
      <c r="A83" s="13">
        <v>58</v>
      </c>
      <c r="B83" s="14">
        <v>47270</v>
      </c>
      <c r="C83" s="15">
        <f t="shared" si="2"/>
        <v>32849.951455522045</v>
      </c>
      <c r="D83" s="16">
        <f t="shared" si="3"/>
        <v>30157.882434066541</v>
      </c>
      <c r="E83" s="17">
        <f t="shared" si="0"/>
        <v>2692.0690214555029</v>
      </c>
      <c r="F83" s="16">
        <f t="shared" si="4"/>
        <v>1061397.0851885153</v>
      </c>
      <c r="G83" s="15">
        <f t="shared" si="1"/>
        <v>1638602.9148114843</v>
      </c>
    </row>
    <row r="84" spans="1:7" x14ac:dyDescent="0.25">
      <c r="A84" s="13">
        <v>59</v>
      </c>
      <c r="B84" s="14">
        <v>47300</v>
      </c>
      <c r="C84" s="15">
        <f t="shared" si="2"/>
        <v>32849.951455522045</v>
      </c>
      <c r="D84" s="16">
        <f t="shared" si="3"/>
        <v>30232.259907910367</v>
      </c>
      <c r="E84" s="17">
        <f t="shared" si="0"/>
        <v>2617.691547611676</v>
      </c>
      <c r="F84" s="16">
        <f t="shared" si="4"/>
        <v>1031164.8252806049</v>
      </c>
      <c r="G84" s="15">
        <f t="shared" si="1"/>
        <v>1668835.1747193947</v>
      </c>
    </row>
    <row r="85" spans="1:7" x14ac:dyDescent="0.25">
      <c r="A85" s="13">
        <v>60</v>
      </c>
      <c r="B85" s="14">
        <v>47331</v>
      </c>
      <c r="C85" s="15">
        <f t="shared" si="2"/>
        <v>32849.951455522045</v>
      </c>
      <c r="D85" s="16">
        <f t="shared" si="3"/>
        <v>30306.820816669679</v>
      </c>
      <c r="E85" s="17">
        <f t="shared" si="0"/>
        <v>2543.1306388523681</v>
      </c>
      <c r="F85" s="16">
        <f t="shared" si="4"/>
        <v>1000858.0044639352</v>
      </c>
      <c r="G85" s="15">
        <f t="shared" si="1"/>
        <v>1699141.9955360643</v>
      </c>
    </row>
    <row r="86" spans="1:7" x14ac:dyDescent="0.25">
      <c r="A86" s="13">
        <v>61</v>
      </c>
      <c r="B86" s="14">
        <v>47362</v>
      </c>
      <c r="C86" s="15">
        <f t="shared" si="2"/>
        <v>32849.951455522045</v>
      </c>
      <c r="D86" s="16">
        <f t="shared" si="3"/>
        <v>30381.565612744453</v>
      </c>
      <c r="E86" s="17">
        <f t="shared" si="0"/>
        <v>2468.3858427775913</v>
      </c>
      <c r="F86" s="16">
        <f t="shared" si="4"/>
        <v>970476.43885119073</v>
      </c>
      <c r="G86" s="15">
        <f t="shared" si="1"/>
        <v>1729523.5611488088</v>
      </c>
    </row>
    <row r="87" spans="1:7" x14ac:dyDescent="0.25">
      <c r="A87" s="13">
        <v>62</v>
      </c>
      <c r="B87" s="14">
        <v>47392</v>
      </c>
      <c r="C87" s="15">
        <f t="shared" si="2"/>
        <v>32849.951455522045</v>
      </c>
      <c r="D87" s="16">
        <f t="shared" si="3"/>
        <v>30456.494749650425</v>
      </c>
      <c r="E87" s="17">
        <f t="shared" si="0"/>
        <v>2393.4567058716184</v>
      </c>
      <c r="F87" s="16">
        <f t="shared" si="4"/>
        <v>940019.94410154026</v>
      </c>
      <c r="G87" s="15">
        <f t="shared" si="1"/>
        <v>1759980.0558984592</v>
      </c>
    </row>
    <row r="88" spans="1:7" x14ac:dyDescent="0.25">
      <c r="A88" s="13">
        <v>63</v>
      </c>
      <c r="B88" s="14">
        <v>47423</v>
      </c>
      <c r="C88" s="15">
        <f t="shared" si="2"/>
        <v>32849.951455522045</v>
      </c>
      <c r="D88" s="16">
        <f t="shared" si="3"/>
        <v>30531.608682021815</v>
      </c>
      <c r="E88" s="17">
        <f t="shared" si="0"/>
        <v>2318.3427735002297</v>
      </c>
      <c r="F88" s="16">
        <f t="shared" si="4"/>
        <v>909488.33541951841</v>
      </c>
      <c r="G88" s="15">
        <f t="shared" si="1"/>
        <v>1790511.6645804809</v>
      </c>
    </row>
    <row r="89" spans="1:7" x14ac:dyDescent="0.25">
      <c r="A89" s="13">
        <v>64</v>
      </c>
      <c r="B89" s="14">
        <v>47453</v>
      </c>
      <c r="C89" s="15">
        <f t="shared" si="2"/>
        <v>32849.951455522045</v>
      </c>
      <c r="D89" s="16">
        <f t="shared" si="3"/>
        <v>30606.907865614092</v>
      </c>
      <c r="E89" s="17">
        <f t="shared" si="0"/>
        <v>2243.0435899079544</v>
      </c>
      <c r="F89" s="16">
        <f t="shared" si="4"/>
        <v>878881.42755390436</v>
      </c>
      <c r="G89" s="15">
        <f t="shared" si="1"/>
        <v>1821118.5724460951</v>
      </c>
    </row>
    <row r="90" spans="1:7" x14ac:dyDescent="0.25">
      <c r="A90" s="13">
        <v>65</v>
      </c>
      <c r="B90" s="14">
        <v>47484</v>
      </c>
      <c r="C90" s="15">
        <f t="shared" si="2"/>
        <v>32849.951455522045</v>
      </c>
      <c r="D90" s="16">
        <f t="shared" si="3"/>
        <v>30682.392757306738</v>
      </c>
      <c r="E90" s="17">
        <f t="shared" si="0"/>
        <v>2167.5586982153063</v>
      </c>
      <c r="F90" s="16">
        <f t="shared" si="4"/>
        <v>848199.03479659767</v>
      </c>
      <c r="G90" s="15">
        <f t="shared" si="1"/>
        <v>1851800.9652034019</v>
      </c>
    </row>
    <row r="91" spans="1:7" x14ac:dyDescent="0.25">
      <c r="A91" s="13">
        <v>66</v>
      </c>
      <c r="B91" s="14">
        <v>47515</v>
      </c>
      <c r="C91" s="15">
        <f t="shared" si="2"/>
        <v>32849.951455522045</v>
      </c>
      <c r="D91" s="16">
        <f t="shared" si="3"/>
        <v>30758.063815106034</v>
      </c>
      <c r="E91" s="17">
        <f t="shared" si="0"/>
        <v>2091.8876404160114</v>
      </c>
      <c r="F91" s="16">
        <f t="shared" si="4"/>
        <v>817440.97098149161</v>
      </c>
      <c r="G91" s="15">
        <f t="shared" si="1"/>
        <v>1882559.0290185078</v>
      </c>
    </row>
    <row r="92" spans="1:7" x14ac:dyDescent="0.25">
      <c r="A92" s="13">
        <v>67</v>
      </c>
      <c r="B92" s="14">
        <v>47543</v>
      </c>
      <c r="C92" s="15">
        <f t="shared" si="2"/>
        <v>32849.951455522045</v>
      </c>
      <c r="D92" s="16">
        <f t="shared" si="3"/>
        <v>30833.921498147818</v>
      </c>
      <c r="E92" s="17">
        <f t="shared" ref="E92:E98" si="5">F91*$D$20</f>
        <v>2016.0299573742277</v>
      </c>
      <c r="F92" s="16">
        <f t="shared" si="4"/>
        <v>786607.04948334384</v>
      </c>
      <c r="G92" s="15">
        <f t="shared" ref="G92:G98" si="6">G91+D92</f>
        <v>1913392.9505166556</v>
      </c>
    </row>
    <row r="93" spans="1:7" x14ac:dyDescent="0.25">
      <c r="A93" s="13">
        <v>68</v>
      </c>
      <c r="B93" s="14">
        <v>47574</v>
      </c>
      <c r="C93" s="15">
        <f t="shared" si="2"/>
        <v>32849.951455522045</v>
      </c>
      <c r="D93" s="16">
        <f t="shared" si="3"/>
        <v>30909.966266700285</v>
      </c>
      <c r="E93" s="17">
        <f t="shared" si="5"/>
        <v>1939.9851888217611</v>
      </c>
      <c r="F93" s="16">
        <f t="shared" ref="F93:F98" si="7">F92-D93</f>
        <v>755697.08321664354</v>
      </c>
      <c r="G93" s="15">
        <f t="shared" si="6"/>
        <v>1944302.9167833559</v>
      </c>
    </row>
    <row r="94" spans="1:7" x14ac:dyDescent="0.25">
      <c r="A94" s="13">
        <v>69</v>
      </c>
      <c r="B94" s="14">
        <v>47604</v>
      </c>
      <c r="C94" s="15">
        <f t="shared" si="2"/>
        <v>32849.951455522045</v>
      </c>
      <c r="D94" s="16">
        <f t="shared" si="3"/>
        <v>30986.198582166773</v>
      </c>
      <c r="E94" s="17">
        <f t="shared" si="5"/>
        <v>1863.7528733552715</v>
      </c>
      <c r="F94" s="16">
        <f t="shared" si="7"/>
        <v>724710.88463447674</v>
      </c>
      <c r="G94" s="15">
        <f t="shared" si="6"/>
        <v>1975289.1153655227</v>
      </c>
    </row>
    <row r="95" spans="1:7" x14ac:dyDescent="0.25">
      <c r="A95" s="13">
        <v>70</v>
      </c>
      <c r="B95" s="14">
        <v>47635</v>
      </c>
      <c r="C95" s="15">
        <f t="shared" ref="C95:C97" si="8">$D$23</f>
        <v>32849.951455522045</v>
      </c>
      <c r="D95" s="16">
        <f t="shared" ref="D95:D98" si="9">C95-E95</f>
        <v>31062.61890708857</v>
      </c>
      <c r="E95" s="17">
        <f t="shared" si="5"/>
        <v>1787.3325484334741</v>
      </c>
      <c r="F95" s="16">
        <f t="shared" si="7"/>
        <v>693648.26572738821</v>
      </c>
      <c r="G95" s="15">
        <f t="shared" si="6"/>
        <v>2006351.7342726113</v>
      </c>
    </row>
    <row r="96" spans="1:7" x14ac:dyDescent="0.25">
      <c r="A96" s="13">
        <v>71</v>
      </c>
      <c r="B96" s="14">
        <v>47665</v>
      </c>
      <c r="C96" s="15">
        <f t="shared" si="8"/>
        <v>32849.951455522045</v>
      </c>
      <c r="D96" s="16">
        <f t="shared" si="9"/>
        <v>31139.227705147714</v>
      </c>
      <c r="E96" s="17">
        <f t="shared" si="5"/>
        <v>1710.7237503743327</v>
      </c>
      <c r="F96" s="16">
        <f t="shared" si="7"/>
        <v>662509.03802224051</v>
      </c>
      <c r="G96" s="15">
        <f t="shared" si="6"/>
        <v>2037490.9619777591</v>
      </c>
    </row>
    <row r="97" spans="1:7" x14ac:dyDescent="0.25">
      <c r="A97" s="13">
        <v>72</v>
      </c>
      <c r="B97" s="14">
        <v>47696</v>
      </c>
      <c r="C97" s="15">
        <f t="shared" si="8"/>
        <v>32849.951455522045</v>
      </c>
      <c r="D97" s="16">
        <f t="shared" si="9"/>
        <v>31216.025441169801</v>
      </c>
      <c r="E97" s="17">
        <f t="shared" si="5"/>
        <v>1633.9260143522454</v>
      </c>
      <c r="F97" s="16">
        <f t="shared" si="7"/>
        <v>631293.01258107065</v>
      </c>
      <c r="G97" s="15">
        <f t="shared" si="6"/>
        <v>2068706.9874189289</v>
      </c>
    </row>
    <row r="98" spans="1:7" x14ac:dyDescent="0.25">
      <c r="A98" s="13">
        <v>73</v>
      </c>
      <c r="B98" s="14">
        <v>47727</v>
      </c>
      <c r="C98" s="15">
        <f>$D$23+D14</f>
        <v>632849.9514555221</v>
      </c>
      <c r="D98" s="16">
        <f t="shared" si="9"/>
        <v>631293.01258112688</v>
      </c>
      <c r="E98" s="17">
        <f t="shared" si="5"/>
        <v>1556.9388743952254</v>
      </c>
      <c r="F98" s="16">
        <f t="shared" si="7"/>
        <v>-5.6228600442409515E-8</v>
      </c>
      <c r="G98" s="15">
        <f t="shared" si="6"/>
        <v>2700000.0000000559</v>
      </c>
    </row>
    <row r="99" spans="1:7" x14ac:dyDescent="0.25">
      <c r="A99" s="13"/>
      <c r="B99" s="14"/>
      <c r="C99" s="15"/>
      <c r="D99" s="18">
        <f>SUM(D26:D98)</f>
        <v>2700000.0000000559</v>
      </c>
      <c r="E99" s="18">
        <f>SUM(E26:E98)</f>
        <v>298046.45625305397</v>
      </c>
      <c r="F99" s="16"/>
      <c r="G99" s="15"/>
    </row>
    <row r="102" spans="1:7" ht="15" customHeight="1" x14ac:dyDescent="0.25"/>
    <row r="103" spans="1:7" ht="15" customHeight="1" thickBot="1" x14ac:dyDescent="0.3"/>
    <row r="104" spans="1:7" ht="15" customHeight="1" x14ac:dyDescent="0.25">
      <c r="B104" s="28" t="s">
        <v>18</v>
      </c>
      <c r="C104" s="29"/>
      <c r="D104" s="29"/>
      <c r="E104" s="29"/>
      <c r="F104" s="29"/>
      <c r="G104" s="30"/>
    </row>
    <row r="105" spans="1:7" ht="15" customHeight="1" x14ac:dyDescent="0.25">
      <c r="B105" s="31"/>
      <c r="C105" s="32"/>
      <c r="D105" s="32"/>
      <c r="E105" s="32"/>
      <c r="F105" s="32"/>
      <c r="G105" s="33"/>
    </row>
    <row r="106" spans="1:7" ht="15.75" thickBot="1" x14ac:dyDescent="0.3">
      <c r="B106" s="34"/>
      <c r="C106" s="35"/>
      <c r="D106" s="35"/>
      <c r="E106" s="35"/>
      <c r="F106" s="35"/>
      <c r="G106" s="36"/>
    </row>
    <row r="109" spans="1:7" ht="15.75" x14ac:dyDescent="0.25">
      <c r="B109" s="40" t="s">
        <v>19</v>
      </c>
      <c r="C109" s="40"/>
      <c r="D109" s="40"/>
      <c r="E109" s="40" t="s">
        <v>20</v>
      </c>
      <c r="F109" s="40"/>
      <c r="G109" s="40"/>
    </row>
    <row r="110" spans="1:7" ht="15" customHeight="1" x14ac:dyDescent="0.25">
      <c r="B110" s="37" t="s">
        <v>22</v>
      </c>
      <c r="C110" s="37"/>
      <c r="D110" s="37"/>
      <c r="E110" s="38" t="s">
        <v>21</v>
      </c>
      <c r="F110" s="39"/>
      <c r="G110" s="39"/>
    </row>
    <row r="111" spans="1:7" ht="92.25" customHeight="1" x14ac:dyDescent="0.25">
      <c r="B111" s="37"/>
      <c r="C111" s="37"/>
      <c r="D111" s="37"/>
      <c r="E111" s="39"/>
      <c r="F111" s="39"/>
      <c r="G111" s="39"/>
    </row>
    <row r="112" spans="1:7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</sheetData>
  <mergeCells count="6">
    <mergeCell ref="C3:H7"/>
    <mergeCell ref="B104:G106"/>
    <mergeCell ref="B110:D111"/>
    <mergeCell ref="E110:G111"/>
    <mergeCell ref="B109:D109"/>
    <mergeCell ref="E109:G1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08FD-D87E-4961-830C-44EF7E7D9DA5}">
  <dimension ref="C1:H23"/>
  <sheetViews>
    <sheetView workbookViewId="0">
      <selection activeCell="D14" sqref="D14"/>
    </sheetView>
  </sheetViews>
  <sheetFormatPr defaultRowHeight="15" x14ac:dyDescent="0.25"/>
  <cols>
    <col min="3" max="3" width="28.28515625" customWidth="1"/>
    <col min="4" max="4" width="21" customWidth="1"/>
    <col min="8" max="8" width="36.140625" customWidth="1"/>
  </cols>
  <sheetData>
    <row r="1" spans="3:8" ht="15.75" thickBot="1" x14ac:dyDescent="0.3"/>
    <row r="2" spans="3:8" x14ac:dyDescent="0.25">
      <c r="C2" s="28" t="s">
        <v>18</v>
      </c>
      <c r="D2" s="29"/>
      <c r="E2" s="29"/>
      <c r="F2" s="29"/>
      <c r="G2" s="29"/>
      <c r="H2" s="30"/>
    </row>
    <row r="3" spans="3:8" x14ac:dyDescent="0.25">
      <c r="C3" s="31"/>
      <c r="D3" s="32"/>
      <c r="E3" s="32"/>
      <c r="F3" s="32"/>
      <c r="G3" s="32"/>
      <c r="H3" s="33"/>
    </row>
    <row r="4" spans="3:8" ht="15.75" thickBot="1" x14ac:dyDescent="0.3">
      <c r="C4" s="34"/>
      <c r="D4" s="35"/>
      <c r="E4" s="35"/>
      <c r="F4" s="35"/>
      <c r="G4" s="35"/>
      <c r="H4" s="36"/>
    </row>
    <row r="9" spans="3:8" x14ac:dyDescent="0.25">
      <c r="C9" s="2" t="s">
        <v>1</v>
      </c>
      <c r="D9" s="3">
        <v>3000000</v>
      </c>
    </row>
    <row r="10" spans="3:8" x14ac:dyDescent="0.25">
      <c r="C10" t="s">
        <v>2</v>
      </c>
      <c r="D10" s="4">
        <v>5</v>
      </c>
    </row>
    <row r="11" spans="3:8" x14ac:dyDescent="0.25">
      <c r="C11" t="s">
        <v>3</v>
      </c>
      <c r="D11" s="5">
        <v>0</v>
      </c>
    </row>
    <row r="12" spans="3:8" x14ac:dyDescent="0.25">
      <c r="C12" t="s">
        <v>4</v>
      </c>
      <c r="D12" s="5">
        <v>0</v>
      </c>
    </row>
    <row r="13" spans="3:8" x14ac:dyDescent="0.25">
      <c r="C13" t="s">
        <v>5</v>
      </c>
      <c r="D13" s="7">
        <v>0.03</v>
      </c>
    </row>
    <row r="14" spans="3:8" x14ac:dyDescent="0.25">
      <c r="C14" t="s">
        <v>6</v>
      </c>
      <c r="D14" s="5">
        <v>3000</v>
      </c>
    </row>
    <row r="16" spans="3:8" x14ac:dyDescent="0.25">
      <c r="C16" s="2" t="s">
        <v>7</v>
      </c>
    </row>
    <row r="18" spans="3:5" x14ac:dyDescent="0.25">
      <c r="C18" t="s">
        <v>8</v>
      </c>
      <c r="D18" s="8">
        <f>(1+D13)^(1/12)-1</f>
        <v>2.4662697723036864E-3</v>
      </c>
    </row>
    <row r="19" spans="3:5" x14ac:dyDescent="0.25">
      <c r="C19" t="s">
        <v>9</v>
      </c>
      <c r="D19" s="9">
        <f>D10*12</f>
        <v>60</v>
      </c>
      <c r="E19" t="s">
        <v>10</v>
      </c>
    </row>
    <row r="21" spans="3:5" x14ac:dyDescent="0.25">
      <c r="C21" t="s">
        <v>11</v>
      </c>
      <c r="D21" s="10">
        <f>(D9-D11-(D12*(1+D18)^-D19))/(((1+D18)*(1-(1+D18)^(-61))/D18))</f>
        <v>52902.490677402304</v>
      </c>
    </row>
    <row r="22" spans="3:5" x14ac:dyDescent="0.25">
      <c r="D22" s="41">
        <f>D21*D19</f>
        <v>3174149.440644138</v>
      </c>
    </row>
    <row r="23" spans="3:5" x14ac:dyDescent="0.25">
      <c r="C23" t="s">
        <v>23</v>
      </c>
      <c r="D23" s="41">
        <f>D22-D9</f>
        <v>174149.44064413803</v>
      </c>
    </row>
  </sheetData>
  <mergeCells count="1">
    <mergeCell ref="C2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0C53-C15D-459E-8FC2-622E1BD7F7F2}">
  <dimension ref="B3:G11"/>
  <sheetViews>
    <sheetView tabSelected="1" workbookViewId="0">
      <selection activeCell="I17" sqref="I17"/>
    </sheetView>
  </sheetViews>
  <sheetFormatPr defaultRowHeight="15" x14ac:dyDescent="0.25"/>
  <cols>
    <col min="2" max="2" width="25.7109375" customWidth="1"/>
    <col min="3" max="3" width="18.5703125" customWidth="1"/>
    <col min="5" max="5" width="27.7109375" customWidth="1"/>
    <col min="6" max="6" width="25.28515625" customWidth="1"/>
  </cols>
  <sheetData>
    <row r="3" spans="2:7" x14ac:dyDescent="0.25">
      <c r="B3" s="42" t="s">
        <v>27</v>
      </c>
      <c r="C3" s="42"/>
      <c r="E3" s="42" t="s">
        <v>28</v>
      </c>
      <c r="F3" s="42"/>
    </row>
    <row r="4" spans="2:7" x14ac:dyDescent="0.25">
      <c r="B4" s="43" t="s">
        <v>24</v>
      </c>
      <c r="C4" s="44">
        <v>3000000</v>
      </c>
      <c r="E4" s="43" t="s">
        <v>24</v>
      </c>
      <c r="F4" s="44">
        <v>3000000</v>
      </c>
    </row>
    <row r="5" spans="2:7" x14ac:dyDescent="0.25">
      <c r="B5" s="43" t="s">
        <v>29</v>
      </c>
      <c r="C5" s="5">
        <v>3000</v>
      </c>
      <c r="E5" t="s">
        <v>6</v>
      </c>
      <c r="F5" s="5">
        <v>3000</v>
      </c>
    </row>
    <row r="6" spans="2:7" x14ac:dyDescent="0.25">
      <c r="B6" s="43" t="s">
        <v>2</v>
      </c>
      <c r="C6" s="47">
        <v>5</v>
      </c>
      <c r="E6" t="s">
        <v>3</v>
      </c>
      <c r="F6" s="5">
        <v>300000</v>
      </c>
    </row>
    <row r="7" spans="2:7" x14ac:dyDescent="0.25">
      <c r="B7" s="43" t="s">
        <v>25</v>
      </c>
      <c r="C7" s="44">
        <f>Renting!D23</f>
        <v>174149.44064413803</v>
      </c>
      <c r="E7" t="s">
        <v>4</v>
      </c>
      <c r="F7" s="5">
        <v>600000</v>
      </c>
    </row>
    <row r="8" spans="2:7" x14ac:dyDescent="0.25">
      <c r="B8" s="45" t="s">
        <v>26</v>
      </c>
      <c r="C8" s="46">
        <f>SUM(C5:C7)</f>
        <v>177154.44064413803</v>
      </c>
      <c r="E8" t="s">
        <v>2</v>
      </c>
      <c r="F8" s="4">
        <v>6</v>
      </c>
    </row>
    <row r="9" spans="2:7" x14ac:dyDescent="0.25">
      <c r="E9" t="s">
        <v>11</v>
      </c>
      <c r="F9" s="48">
        <v>32849.951455522045</v>
      </c>
    </row>
    <row r="10" spans="2:7" x14ac:dyDescent="0.25">
      <c r="E10" s="43" t="s">
        <v>25</v>
      </c>
      <c r="F10" s="44">
        <f>leasing!E99</f>
        <v>298046.45625305397</v>
      </c>
      <c r="G10" t="s">
        <v>30</v>
      </c>
    </row>
    <row r="11" spans="2:7" x14ac:dyDescent="0.25">
      <c r="E11" s="45" t="s">
        <v>31</v>
      </c>
      <c r="F11" s="46">
        <f>SUM(leasing!E27:E85)</f>
        <v>271855.09179525875</v>
      </c>
      <c r="G11" t="s">
        <v>32</v>
      </c>
    </row>
  </sheetData>
  <mergeCells count="2">
    <mergeCell ref="B3:C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leasing</vt:lpstr>
      <vt:lpstr>Renting</vt:lpstr>
      <vt:lpstr>Comparativa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i Carreró</dc:creator>
  <cp:lastModifiedBy>Oriol puig i Carreró</cp:lastModifiedBy>
  <dcterms:created xsi:type="dcterms:W3CDTF">2024-03-20T18:46:20Z</dcterms:created>
  <dcterms:modified xsi:type="dcterms:W3CDTF">2024-03-27T07:43:06Z</dcterms:modified>
</cp:coreProperties>
</file>