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10" documentId="8_{A7DC6246-1FEF-4748-8D55-A7C9DEA4C808}" xr6:coauthVersionLast="47" xr6:coauthVersionMax="47" xr10:uidLastSave="{7AA9FB0E-7A66-4E09-887F-725043C3DABA}"/>
  <bookViews>
    <workbookView xWindow="-120" yWindow="-120" windowWidth="29040" windowHeight="15720" activeTab="3" xr2:uid="{00000000-000D-0000-FFFF-FFFF00000000}"/>
  </bookViews>
  <sheets>
    <sheet name="Americano" sheetId="1" r:id="rId1"/>
    <sheet name="Italiano" sheetId="2" r:id="rId2"/>
    <sheet name="Frances fijo" sheetId="3" r:id="rId3"/>
    <sheet name="Frances variab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0" i="4" l="1"/>
  <c r="F55" i="4"/>
  <c r="C53" i="4"/>
  <c r="E53" i="4" s="1"/>
  <c r="C52" i="4"/>
  <c r="E52" i="4" s="1"/>
  <c r="E51" i="4"/>
  <c r="C55" i="4" s="1"/>
  <c r="C61" i="4" s="1"/>
  <c r="C51" i="4"/>
  <c r="D48" i="4"/>
  <c r="E61" i="4" l="1"/>
  <c r="D61" i="4" s="1"/>
  <c r="C62" i="4"/>
  <c r="G61" i="4" l="1"/>
  <c r="F61" i="4"/>
  <c r="C63" i="4"/>
  <c r="C64" i="4" l="1"/>
  <c r="E62" i="4"/>
  <c r="D62" i="4" s="1"/>
  <c r="F62" i="4" s="1"/>
  <c r="G62" i="4"/>
  <c r="F63" i="4" l="1"/>
  <c r="E63" i="4"/>
  <c r="D63" i="4" s="1"/>
  <c r="G63" i="4"/>
  <c r="F64" i="4" l="1"/>
  <c r="E64" i="4"/>
  <c r="D64" i="4" s="1"/>
  <c r="G64" i="4"/>
  <c r="E65" i="4" l="1"/>
  <c r="C56" i="4"/>
  <c r="C65" i="4" s="1"/>
  <c r="C66" i="4" l="1"/>
  <c r="D65" i="4"/>
  <c r="G65" i="4" l="1"/>
  <c r="F65" i="4"/>
  <c r="C67" i="4"/>
  <c r="C68" i="4" l="1"/>
  <c r="E66" i="4"/>
  <c r="D66" i="4" s="1"/>
  <c r="F66" i="4"/>
  <c r="G66" i="4"/>
  <c r="E67" i="4" l="1"/>
  <c r="D67" i="4" s="1"/>
  <c r="G67" i="4" s="1"/>
  <c r="F67" i="4" l="1"/>
  <c r="E68" i="4" l="1"/>
  <c r="D68" i="4" s="1"/>
  <c r="G68" i="4" s="1"/>
  <c r="F68" i="4" l="1"/>
  <c r="E69" i="4" l="1"/>
  <c r="C57" i="4"/>
  <c r="C69" i="4" s="1"/>
  <c r="D69" i="4" l="1"/>
  <c r="C70" i="4"/>
  <c r="C71" i="4" l="1"/>
  <c r="G69" i="4"/>
  <c r="F69" i="4"/>
  <c r="C72" i="4" l="1"/>
  <c r="E70" i="4"/>
  <c r="D70" i="4" s="1"/>
  <c r="F70" i="4" s="1"/>
  <c r="G70" i="4"/>
  <c r="E71" i="4" l="1"/>
  <c r="D71" i="4" s="1"/>
  <c r="F71" i="4" s="1"/>
  <c r="C73" i="4"/>
  <c r="E72" i="4" l="1"/>
  <c r="D72" i="4" s="1"/>
  <c r="F72" i="4" s="1"/>
  <c r="C74" i="4"/>
  <c r="G71" i="4"/>
  <c r="G72" i="4" s="1"/>
  <c r="E73" i="4" l="1"/>
  <c r="D73" i="4" s="1"/>
  <c r="F73" i="4" s="1"/>
  <c r="G73" i="4"/>
  <c r="C75" i="4"/>
  <c r="E74" i="4" l="1"/>
  <c r="D74" i="4" s="1"/>
  <c r="F74" i="4"/>
  <c r="C76" i="4"/>
  <c r="G74" i="4"/>
  <c r="C77" i="4" l="1"/>
  <c r="E75" i="4"/>
  <c r="D75" i="4" s="1"/>
  <c r="G75" i="4" s="1"/>
  <c r="F75" i="4" l="1"/>
  <c r="C78" i="4"/>
  <c r="C79" i="4" l="1"/>
  <c r="E76" i="4"/>
  <c r="D76" i="4" s="1"/>
  <c r="G76" i="4" s="1"/>
  <c r="C80" i="4" l="1"/>
  <c r="F76" i="4"/>
  <c r="C81" i="4" l="1"/>
  <c r="E77" i="4"/>
  <c r="D77" i="4" s="1"/>
  <c r="G77" i="4" s="1"/>
  <c r="F77" i="4" l="1"/>
  <c r="C82" i="4"/>
  <c r="C83" i="4" l="1"/>
  <c r="E78" i="4"/>
  <c r="D78" i="4" s="1"/>
  <c r="G78" i="4" s="1"/>
  <c r="F78" i="4" l="1"/>
  <c r="C84" i="4"/>
  <c r="C85" i="4" l="1"/>
  <c r="E79" i="4"/>
  <c r="D79" i="4" s="1"/>
  <c r="G79" i="4" s="1"/>
  <c r="F79" i="4" l="1"/>
  <c r="C86" i="4"/>
  <c r="E80" i="4" l="1"/>
  <c r="D80" i="4" s="1"/>
  <c r="G80" i="4" s="1"/>
  <c r="C87" i="4"/>
  <c r="C88" i="4" l="1"/>
  <c r="F80" i="4"/>
  <c r="E81" i="4" l="1"/>
  <c r="D81" i="4" s="1"/>
  <c r="G81" i="4" s="1"/>
  <c r="C89" i="4"/>
  <c r="C90" i="4" l="1"/>
  <c r="F81" i="4"/>
  <c r="E82" i="4" l="1"/>
  <c r="D82" i="4" s="1"/>
  <c r="G82" i="4" s="1"/>
  <c r="F82" i="4"/>
  <c r="C91" i="4"/>
  <c r="C92" i="4" l="1"/>
  <c r="E83" i="4"/>
  <c r="D83" i="4" s="1"/>
  <c r="F83" i="4" s="1"/>
  <c r="E84" i="4" l="1"/>
  <c r="D84" i="4" s="1"/>
  <c r="F84" i="4" s="1"/>
  <c r="G83" i="4"/>
  <c r="G84" i="4" s="1"/>
  <c r="C93" i="4"/>
  <c r="E85" i="4" l="1"/>
  <c r="D85" i="4" s="1"/>
  <c r="F85" i="4" s="1"/>
  <c r="C94" i="4"/>
  <c r="G85" i="4"/>
  <c r="E86" i="4" l="1"/>
  <c r="D86" i="4" s="1"/>
  <c r="F86" i="4" s="1"/>
  <c r="G86" i="4"/>
  <c r="C95" i="4"/>
  <c r="E87" i="4" l="1"/>
  <c r="D87" i="4" s="1"/>
  <c r="F87" i="4" s="1"/>
  <c r="C96" i="4"/>
  <c r="G87" i="4"/>
  <c r="E88" i="4" l="1"/>
  <c r="D88" i="4" s="1"/>
  <c r="F88" i="4" s="1"/>
  <c r="G88" i="4"/>
  <c r="C97" i="4"/>
  <c r="E89" i="4" l="1"/>
  <c r="D89" i="4" s="1"/>
  <c r="F89" i="4" s="1"/>
  <c r="C98" i="4"/>
  <c r="G89" i="4"/>
  <c r="E90" i="4" l="1"/>
  <c r="D90" i="4" s="1"/>
  <c r="F90" i="4"/>
  <c r="C99" i="4"/>
  <c r="G90" i="4"/>
  <c r="C100" i="4" l="1"/>
  <c r="E91" i="4"/>
  <c r="D91" i="4" s="1"/>
  <c r="G91" i="4" s="1"/>
  <c r="F91" i="4" l="1"/>
  <c r="C101" i="4"/>
  <c r="C102" i="4" l="1"/>
  <c r="E92" i="4"/>
  <c r="D92" i="4" s="1"/>
  <c r="G92" i="4" s="1"/>
  <c r="F92" i="4" l="1"/>
  <c r="C103" i="4"/>
  <c r="C104" i="4" l="1"/>
  <c r="E93" i="4"/>
  <c r="D93" i="4" s="1"/>
  <c r="G93" i="4" s="1"/>
  <c r="F93" i="4" l="1"/>
  <c r="C105" i="4"/>
  <c r="C106" i="4" l="1"/>
  <c r="E94" i="4"/>
  <c r="D94" i="4" s="1"/>
  <c r="G94" i="4" s="1"/>
  <c r="F94" i="4" l="1"/>
  <c r="C107" i="4"/>
  <c r="C108" i="4" l="1"/>
  <c r="E95" i="4"/>
  <c r="D95" i="4" s="1"/>
  <c r="G95" i="4" s="1"/>
  <c r="F95" i="4"/>
  <c r="E96" i="4" l="1"/>
  <c r="D96" i="4" s="1"/>
  <c r="F96" i="4" s="1"/>
  <c r="G96" i="4"/>
  <c r="C109" i="4"/>
  <c r="E97" i="4" l="1"/>
  <c r="D97" i="4" s="1"/>
  <c r="F97" i="4"/>
  <c r="C110" i="4"/>
  <c r="G97" i="4"/>
  <c r="C111" i="4" l="1"/>
  <c r="E98" i="4"/>
  <c r="D98" i="4" s="1"/>
  <c r="G98" i="4" s="1"/>
  <c r="F98" i="4"/>
  <c r="E99" i="4" l="1"/>
  <c r="D99" i="4" s="1"/>
  <c r="G99" i="4" s="1"/>
  <c r="C112" i="4"/>
  <c r="C113" i="4" l="1"/>
  <c r="F99" i="4"/>
  <c r="E100" i="4" l="1"/>
  <c r="D100" i="4" s="1"/>
  <c r="G100" i="4" s="1"/>
  <c r="C114" i="4"/>
  <c r="C115" i="4" l="1"/>
  <c r="F100" i="4"/>
  <c r="E101" i="4" l="1"/>
  <c r="D101" i="4" s="1"/>
  <c r="G101" i="4" s="1"/>
  <c r="C116" i="4"/>
  <c r="C117" i="4" l="1"/>
  <c r="F101" i="4"/>
  <c r="E102" i="4" l="1"/>
  <c r="D102" i="4" s="1"/>
  <c r="G102" i="4" s="1"/>
  <c r="C118" i="4"/>
  <c r="C119" i="4" l="1"/>
  <c r="F102" i="4"/>
  <c r="E103" i="4" l="1"/>
  <c r="D103" i="4" s="1"/>
  <c r="G103" i="4" s="1"/>
  <c r="F103" i="4"/>
  <c r="C120" i="4"/>
  <c r="E104" i="4" l="1"/>
  <c r="D104" i="4" s="1"/>
  <c r="F104" i="4" s="1"/>
  <c r="G104" i="4"/>
  <c r="E105" i="4" l="1"/>
  <c r="D105" i="4" s="1"/>
  <c r="F105" i="4" s="1"/>
  <c r="G105" i="4"/>
  <c r="E106" i="4" l="1"/>
  <c r="D106" i="4" s="1"/>
  <c r="F106" i="4" s="1"/>
  <c r="E107" i="4" l="1"/>
  <c r="D107" i="4" s="1"/>
  <c r="F107" i="4"/>
  <c r="G106" i="4"/>
  <c r="G107" i="4" s="1"/>
  <c r="E108" i="4" l="1"/>
  <c r="D108" i="4" s="1"/>
  <c r="G108" i="4" s="1"/>
  <c r="F108" i="4" l="1"/>
  <c r="E109" i="4" l="1"/>
  <c r="D109" i="4" s="1"/>
  <c r="G109" i="4" s="1"/>
  <c r="F109" i="4" l="1"/>
  <c r="E110" i="4" l="1"/>
  <c r="D110" i="4" s="1"/>
  <c r="G110" i="4" s="1"/>
  <c r="F110" i="4" l="1"/>
  <c r="F57" i="3"/>
  <c r="E58" i="3" s="1"/>
  <c r="C50" i="3"/>
  <c r="C53" i="3" s="1"/>
  <c r="C58" i="3" s="1"/>
  <c r="E111" i="4" l="1"/>
  <c r="D111" i="4" s="1"/>
  <c r="G111" i="4" s="1"/>
  <c r="D58" i="3"/>
  <c r="G58" i="3" s="1"/>
  <c r="C59" i="3"/>
  <c r="F58" i="3"/>
  <c r="F111" i="4" l="1"/>
  <c r="C60" i="3"/>
  <c r="E59" i="3"/>
  <c r="D59" i="3" s="1"/>
  <c r="E112" i="4" l="1"/>
  <c r="D112" i="4" s="1"/>
  <c r="G112" i="4" s="1"/>
  <c r="F112" i="4"/>
  <c r="F59" i="3"/>
  <c r="G59" i="3"/>
  <c r="C61" i="3"/>
  <c r="E113" i="4" l="1"/>
  <c r="D113" i="4" s="1"/>
  <c r="F113" i="4" s="1"/>
  <c r="C62" i="3"/>
  <c r="E60" i="3"/>
  <c r="E114" i="4" l="1"/>
  <c r="D114" i="4" s="1"/>
  <c r="F114" i="4"/>
  <c r="G113" i="4"/>
  <c r="G114" i="4" s="1"/>
  <c r="D60" i="3"/>
  <c r="C63" i="3"/>
  <c r="G115" i="4" l="1"/>
  <c r="E115" i="4"/>
  <c r="D115" i="4" s="1"/>
  <c r="F115" i="4" s="1"/>
  <c r="C64" i="3"/>
  <c r="G60" i="3"/>
  <c r="F60" i="3"/>
  <c r="E116" i="4" l="1"/>
  <c r="D116" i="4" s="1"/>
  <c r="F116" i="4"/>
  <c r="G116" i="4"/>
  <c r="F61" i="3"/>
  <c r="E61" i="3"/>
  <c r="D61" i="3" s="1"/>
  <c r="C65" i="3"/>
  <c r="G61" i="3"/>
  <c r="E117" i="4" l="1"/>
  <c r="D117" i="4" s="1"/>
  <c r="G117" i="4" s="1"/>
  <c r="E62" i="3"/>
  <c r="D62" i="3" s="1"/>
  <c r="F62" i="3" s="1"/>
  <c r="G62" i="3"/>
  <c r="C66" i="3"/>
  <c r="F117" i="4" l="1"/>
  <c r="E63" i="3"/>
  <c r="D63" i="3" s="1"/>
  <c r="F63" i="3" s="1"/>
  <c r="G63" i="3"/>
  <c r="C67" i="3"/>
  <c r="E118" i="4" l="1"/>
  <c r="D118" i="4" s="1"/>
  <c r="G118" i="4" s="1"/>
  <c r="E64" i="3"/>
  <c r="D64" i="3" s="1"/>
  <c r="F64" i="3" s="1"/>
  <c r="C68" i="3"/>
  <c r="G64" i="3"/>
  <c r="F118" i="4" l="1"/>
  <c r="E65" i="3"/>
  <c r="D65" i="3" s="1"/>
  <c r="F65" i="3" s="1"/>
  <c r="G65" i="3"/>
  <c r="C69" i="3"/>
  <c r="E119" i="4" l="1"/>
  <c r="D119" i="4" s="1"/>
  <c r="G119" i="4" s="1"/>
  <c r="E66" i="3"/>
  <c r="D66" i="3" s="1"/>
  <c r="F66" i="3"/>
  <c r="C70" i="3"/>
  <c r="G66" i="3"/>
  <c r="F119" i="4" l="1"/>
  <c r="C71" i="3"/>
  <c r="E67" i="3"/>
  <c r="D67" i="3" s="1"/>
  <c r="G67" i="3" s="1"/>
  <c r="E120" i="4" l="1"/>
  <c r="D120" i="4" s="1"/>
  <c r="G120" i="4" s="1"/>
  <c r="F67" i="3"/>
  <c r="C72" i="3"/>
  <c r="F120" i="4" l="1"/>
  <c r="F68" i="3"/>
  <c r="E68" i="3"/>
  <c r="D68" i="3" s="1"/>
  <c r="G68" i="3" s="1"/>
  <c r="C73" i="3"/>
  <c r="F69" i="3" l="1"/>
  <c r="E69" i="3"/>
  <c r="D69" i="3" s="1"/>
  <c r="C74" i="3"/>
  <c r="G69" i="3"/>
  <c r="C75" i="3" l="1"/>
  <c r="E70" i="3"/>
  <c r="D70" i="3" s="1"/>
  <c r="G70" i="3" s="1"/>
  <c r="F70" i="3" l="1"/>
  <c r="C76" i="3"/>
  <c r="C77" i="3" l="1"/>
  <c r="E71" i="3"/>
  <c r="D71" i="3" s="1"/>
  <c r="G71" i="3" s="1"/>
  <c r="F71" i="3" l="1"/>
  <c r="C78" i="3"/>
  <c r="C79" i="3" l="1"/>
  <c r="E72" i="3"/>
  <c r="D72" i="3" s="1"/>
  <c r="G72" i="3" s="1"/>
  <c r="F72" i="3" l="1"/>
  <c r="C80" i="3"/>
  <c r="C81" i="3" l="1"/>
  <c r="E73" i="3"/>
  <c r="D73" i="3" s="1"/>
  <c r="G73" i="3" s="1"/>
  <c r="F73" i="3" l="1"/>
  <c r="C82" i="3"/>
  <c r="C83" i="3" l="1"/>
  <c r="E74" i="3"/>
  <c r="D74" i="3" s="1"/>
  <c r="G74" i="3" s="1"/>
  <c r="F74" i="3" l="1"/>
  <c r="C84" i="3"/>
  <c r="C85" i="3" l="1"/>
  <c r="E75" i="3"/>
  <c r="D75" i="3" s="1"/>
  <c r="G75" i="3" s="1"/>
  <c r="F75" i="3" l="1"/>
  <c r="C86" i="3"/>
  <c r="C87" i="3" l="1"/>
  <c r="E76" i="3"/>
  <c r="D76" i="3" s="1"/>
  <c r="G76" i="3" s="1"/>
  <c r="F76" i="3" l="1"/>
  <c r="C88" i="3"/>
  <c r="C89" i="3" l="1"/>
  <c r="E77" i="3"/>
  <c r="D77" i="3" s="1"/>
  <c r="G77" i="3" s="1"/>
  <c r="F77" i="3" l="1"/>
  <c r="C90" i="3"/>
  <c r="C91" i="3" l="1"/>
  <c r="E78" i="3"/>
  <c r="D78" i="3" s="1"/>
  <c r="G78" i="3" s="1"/>
  <c r="F78" i="3" l="1"/>
  <c r="C92" i="3"/>
  <c r="C93" i="3" l="1"/>
  <c r="E79" i="3"/>
  <c r="D79" i="3" s="1"/>
  <c r="G79" i="3" s="1"/>
  <c r="F79" i="3" l="1"/>
  <c r="C94" i="3"/>
  <c r="C95" i="3" l="1"/>
  <c r="E80" i="3"/>
  <c r="D80" i="3" s="1"/>
  <c r="G80" i="3" s="1"/>
  <c r="F80" i="3" l="1"/>
  <c r="C96" i="3"/>
  <c r="E81" i="3" l="1"/>
  <c r="D81" i="3" s="1"/>
  <c r="G81" i="3" s="1"/>
  <c r="F81" i="3"/>
  <c r="C97" i="3"/>
  <c r="E82" i="3" l="1"/>
  <c r="D82" i="3" s="1"/>
  <c r="F82" i="3" s="1"/>
  <c r="C98" i="3"/>
  <c r="G82" i="3"/>
  <c r="E83" i="3" l="1"/>
  <c r="D83" i="3" s="1"/>
  <c r="F83" i="3" s="1"/>
  <c r="C99" i="3"/>
  <c r="F84" i="3" l="1"/>
  <c r="E84" i="3"/>
  <c r="D84" i="3" s="1"/>
  <c r="C100" i="3"/>
  <c r="G83" i="3"/>
  <c r="G84" i="3" s="1"/>
  <c r="C101" i="3" l="1"/>
  <c r="E85" i="3"/>
  <c r="D85" i="3" s="1"/>
  <c r="G85" i="3" s="1"/>
  <c r="F85" i="3" l="1"/>
  <c r="C102" i="3"/>
  <c r="E86" i="3" l="1"/>
  <c r="D86" i="3" s="1"/>
  <c r="G86" i="3" s="1"/>
  <c r="F86" i="3"/>
  <c r="C103" i="3"/>
  <c r="E87" i="3" l="1"/>
  <c r="D87" i="3" s="1"/>
  <c r="F87" i="3" s="1"/>
  <c r="C104" i="3"/>
  <c r="E88" i="3" l="1"/>
  <c r="D88" i="3" s="1"/>
  <c r="F88" i="3" s="1"/>
  <c r="C105" i="3"/>
  <c r="G87" i="3"/>
  <c r="G88" i="3" s="1"/>
  <c r="E89" i="3" l="1"/>
  <c r="D89" i="3" s="1"/>
  <c r="F89" i="3" s="1"/>
  <c r="C106" i="3"/>
  <c r="G89" i="3"/>
  <c r="E90" i="3" l="1"/>
  <c r="D90" i="3" s="1"/>
  <c r="F90" i="3"/>
  <c r="G90" i="3"/>
  <c r="C107" i="3"/>
  <c r="C108" i="3" l="1"/>
  <c r="E91" i="3"/>
  <c r="D91" i="3" s="1"/>
  <c r="G91" i="3" s="1"/>
  <c r="F91" i="3" l="1"/>
  <c r="C109" i="3"/>
  <c r="C110" i="3" l="1"/>
  <c r="E92" i="3"/>
  <c r="D92" i="3" s="1"/>
  <c r="G92" i="3" s="1"/>
  <c r="F92" i="3" l="1"/>
  <c r="C111" i="3"/>
  <c r="C112" i="3" l="1"/>
  <c r="E93" i="3"/>
  <c r="D93" i="3" s="1"/>
  <c r="G93" i="3" s="1"/>
  <c r="F93" i="3" l="1"/>
  <c r="C113" i="3"/>
  <c r="C114" i="3" l="1"/>
  <c r="E94" i="3"/>
  <c r="D94" i="3" s="1"/>
  <c r="G94" i="3" s="1"/>
  <c r="F94" i="3" l="1"/>
  <c r="C115" i="3"/>
  <c r="C116" i="3" l="1"/>
  <c r="E95" i="3"/>
  <c r="D95" i="3" s="1"/>
  <c r="G95" i="3" s="1"/>
  <c r="F95" i="3" l="1"/>
  <c r="C117" i="3"/>
  <c r="C118" i="3" l="1"/>
  <c r="E96" i="3"/>
  <c r="D96" i="3" s="1"/>
  <c r="G96" i="3" s="1"/>
  <c r="F96" i="3" l="1"/>
  <c r="C119" i="3"/>
  <c r="C120" i="3" l="1"/>
  <c r="E97" i="3"/>
  <c r="D97" i="3" s="1"/>
  <c r="G97" i="3" s="1"/>
  <c r="F97" i="3" l="1"/>
  <c r="C121" i="3"/>
  <c r="C122" i="3" l="1"/>
  <c r="E98" i="3"/>
  <c r="D98" i="3" s="1"/>
  <c r="G98" i="3" s="1"/>
  <c r="F98" i="3" l="1"/>
  <c r="C123" i="3"/>
  <c r="C124" i="3" l="1"/>
  <c r="E99" i="3"/>
  <c r="D99" i="3" s="1"/>
  <c r="G99" i="3" s="1"/>
  <c r="F99" i="3" l="1"/>
  <c r="C125" i="3"/>
  <c r="C126" i="3" l="1"/>
  <c r="E100" i="3"/>
  <c r="D100" i="3" s="1"/>
  <c r="G100" i="3" s="1"/>
  <c r="F100" i="3" l="1"/>
  <c r="C127" i="3"/>
  <c r="C128" i="3" l="1"/>
  <c r="E101" i="3"/>
  <c r="D101" i="3" s="1"/>
  <c r="G101" i="3" s="1"/>
  <c r="F101" i="3" l="1"/>
  <c r="C129" i="3"/>
  <c r="C130" i="3" l="1"/>
  <c r="E102" i="3"/>
  <c r="D102" i="3" s="1"/>
  <c r="G102" i="3" s="1"/>
  <c r="F102" i="3" l="1"/>
  <c r="C131" i="3"/>
  <c r="C132" i="3" l="1"/>
  <c r="E103" i="3"/>
  <c r="D103" i="3" s="1"/>
  <c r="G103" i="3" s="1"/>
  <c r="F103" i="3" l="1"/>
  <c r="C133" i="3"/>
  <c r="C134" i="3" l="1"/>
  <c r="E104" i="3"/>
  <c r="D104" i="3" s="1"/>
  <c r="G104" i="3" s="1"/>
  <c r="F104" i="3" l="1"/>
  <c r="C135" i="3"/>
  <c r="C136" i="3" l="1"/>
  <c r="E105" i="3"/>
  <c r="D105" i="3" s="1"/>
  <c r="G105" i="3" s="1"/>
  <c r="F105" i="3" l="1"/>
  <c r="C137" i="3"/>
  <c r="C138" i="3" l="1"/>
  <c r="E106" i="3"/>
  <c r="D106" i="3" s="1"/>
  <c r="G106" i="3" s="1"/>
  <c r="F106" i="3" l="1"/>
  <c r="C139" i="3"/>
  <c r="C140" i="3" l="1"/>
  <c r="E107" i="3"/>
  <c r="D107" i="3" s="1"/>
  <c r="G107" i="3" s="1"/>
  <c r="F107" i="3" l="1"/>
  <c r="C141" i="3"/>
  <c r="C142" i="3" l="1"/>
  <c r="E108" i="3"/>
  <c r="D108" i="3" s="1"/>
  <c r="G108" i="3" s="1"/>
  <c r="F108" i="3" l="1"/>
  <c r="C143" i="3"/>
  <c r="C144" i="3" l="1"/>
  <c r="E109" i="3"/>
  <c r="D109" i="3" s="1"/>
  <c r="G109" i="3" s="1"/>
  <c r="F109" i="3" l="1"/>
  <c r="C145" i="3"/>
  <c r="C146" i="3" l="1"/>
  <c r="E110" i="3"/>
  <c r="D110" i="3" s="1"/>
  <c r="G110" i="3" s="1"/>
  <c r="F110" i="3" l="1"/>
  <c r="C147" i="3"/>
  <c r="C148" i="3" l="1"/>
  <c r="E111" i="3"/>
  <c r="D111" i="3" s="1"/>
  <c r="G111" i="3" s="1"/>
  <c r="F111" i="3" l="1"/>
  <c r="C149" i="3"/>
  <c r="C150" i="3" l="1"/>
  <c r="E112" i="3"/>
  <c r="D112" i="3" s="1"/>
  <c r="G112" i="3" s="1"/>
  <c r="F112" i="3" l="1"/>
  <c r="C151" i="3"/>
  <c r="C152" i="3" l="1"/>
  <c r="E113" i="3"/>
  <c r="D113" i="3" s="1"/>
  <c r="G113" i="3" s="1"/>
  <c r="F113" i="3" l="1"/>
  <c r="C153" i="3"/>
  <c r="C154" i="3" l="1"/>
  <c r="E114" i="3"/>
  <c r="D114" i="3" s="1"/>
  <c r="G114" i="3" s="1"/>
  <c r="F114" i="3"/>
  <c r="E115" i="3" l="1"/>
  <c r="D115" i="3" s="1"/>
  <c r="F115" i="3" s="1"/>
  <c r="C155" i="3"/>
  <c r="E116" i="3" l="1"/>
  <c r="D116" i="3" s="1"/>
  <c r="F116" i="3" s="1"/>
  <c r="C156" i="3"/>
  <c r="G115" i="3"/>
  <c r="E117" i="3" l="1"/>
  <c r="D117" i="3" s="1"/>
  <c r="F117" i="3" s="1"/>
  <c r="G116" i="3"/>
  <c r="G117" i="3" s="1"/>
  <c r="C157" i="3"/>
  <c r="E118" i="3" l="1"/>
  <c r="D118" i="3" s="1"/>
  <c r="F118" i="3"/>
  <c r="G118" i="3"/>
  <c r="C158" i="3"/>
  <c r="C159" i="3" l="1"/>
  <c r="E119" i="3"/>
  <c r="D119" i="3" s="1"/>
  <c r="G119" i="3" s="1"/>
  <c r="F119" i="3" l="1"/>
  <c r="C160" i="3"/>
  <c r="C161" i="3" l="1"/>
  <c r="E120" i="3"/>
  <c r="D120" i="3" s="1"/>
  <c r="G120" i="3" s="1"/>
  <c r="F120" i="3" l="1"/>
  <c r="C162" i="3"/>
  <c r="C163" i="3" l="1"/>
  <c r="E121" i="3"/>
  <c r="D121" i="3" s="1"/>
  <c r="G121" i="3" s="1"/>
  <c r="F121" i="3" l="1"/>
  <c r="C164" i="3"/>
  <c r="C165" i="3" l="1"/>
  <c r="E122" i="3"/>
  <c r="D122" i="3" s="1"/>
  <c r="G122" i="3" s="1"/>
  <c r="F122" i="3"/>
  <c r="E123" i="3" l="1"/>
  <c r="D123" i="3" s="1"/>
  <c r="F123" i="3" s="1"/>
  <c r="G123" i="3"/>
  <c r="C166" i="3"/>
  <c r="E124" i="3" l="1"/>
  <c r="D124" i="3" s="1"/>
  <c r="F124" i="3"/>
  <c r="C167" i="3"/>
  <c r="G124" i="3"/>
  <c r="E125" i="3" l="1"/>
  <c r="D125" i="3" s="1"/>
  <c r="G125" i="3" s="1"/>
  <c r="C168" i="3"/>
  <c r="C169" i="3" l="1"/>
  <c r="F125" i="3"/>
  <c r="E126" i="3" l="1"/>
  <c r="D126" i="3" s="1"/>
  <c r="G126" i="3" s="1"/>
  <c r="F126" i="3"/>
  <c r="C170" i="3"/>
  <c r="E127" i="3" l="1"/>
  <c r="D127" i="3" s="1"/>
  <c r="F127" i="3" s="1"/>
  <c r="C171" i="3"/>
  <c r="G127" i="3"/>
  <c r="E128" i="3" l="1"/>
  <c r="D128" i="3" s="1"/>
  <c r="F128" i="3" s="1"/>
  <c r="G128" i="3"/>
  <c r="C172" i="3"/>
  <c r="E129" i="3" l="1"/>
  <c r="D129" i="3" s="1"/>
  <c r="F129" i="3" s="1"/>
  <c r="C173" i="3"/>
  <c r="G129" i="3"/>
  <c r="E130" i="3" l="1"/>
  <c r="D130" i="3" s="1"/>
  <c r="F130" i="3"/>
  <c r="G130" i="3"/>
  <c r="C174" i="3"/>
  <c r="C175" i="3" l="1"/>
  <c r="E131" i="3"/>
  <c r="D131" i="3" s="1"/>
  <c r="G131" i="3" s="1"/>
  <c r="F131" i="3" l="1"/>
  <c r="C176" i="3"/>
  <c r="C177" i="3" l="1"/>
  <c r="E132" i="3"/>
  <c r="D132" i="3" s="1"/>
  <c r="G132" i="3" s="1"/>
  <c r="F132" i="3" l="1"/>
  <c r="C178" i="3"/>
  <c r="C179" i="3" l="1"/>
  <c r="E133" i="3"/>
  <c r="D133" i="3" s="1"/>
  <c r="G133" i="3" s="1"/>
  <c r="F133" i="3" l="1"/>
  <c r="C180" i="3"/>
  <c r="C181" i="3" l="1"/>
  <c r="E134" i="3"/>
  <c r="D134" i="3" s="1"/>
  <c r="G134" i="3" s="1"/>
  <c r="F134" i="3"/>
  <c r="E135" i="3" l="1"/>
  <c r="D135" i="3" s="1"/>
  <c r="F135" i="3" s="1"/>
  <c r="G135" i="3"/>
  <c r="C182" i="3"/>
  <c r="E136" i="3" l="1"/>
  <c r="D136" i="3" s="1"/>
  <c r="F136" i="3" s="1"/>
  <c r="C183" i="3"/>
  <c r="G136" i="3"/>
  <c r="E137" i="3" l="1"/>
  <c r="D137" i="3" s="1"/>
  <c r="F137" i="3" s="1"/>
  <c r="G137" i="3"/>
  <c r="C184" i="3"/>
  <c r="E138" i="3" l="1"/>
  <c r="D138" i="3" s="1"/>
  <c r="F138" i="3"/>
  <c r="C185" i="3"/>
  <c r="G138" i="3"/>
  <c r="C186" i="3" l="1"/>
  <c r="E139" i="3"/>
  <c r="D139" i="3" s="1"/>
  <c r="G139" i="3" s="1"/>
  <c r="F139" i="3" l="1"/>
  <c r="C187" i="3"/>
  <c r="C188" i="3" l="1"/>
  <c r="E140" i="3"/>
  <c r="D140" i="3" s="1"/>
  <c r="G140" i="3" s="1"/>
  <c r="F140" i="3"/>
  <c r="E141" i="3" l="1"/>
  <c r="D141" i="3" s="1"/>
  <c r="F141" i="3" s="1"/>
  <c r="G141" i="3"/>
  <c r="C189" i="3"/>
  <c r="E142" i="3" l="1"/>
  <c r="D142" i="3" s="1"/>
  <c r="F142" i="3"/>
  <c r="C190" i="3"/>
  <c r="G142" i="3"/>
  <c r="C191" i="3" l="1"/>
  <c r="E143" i="3"/>
  <c r="D143" i="3" s="1"/>
  <c r="G143" i="3" s="1"/>
  <c r="F143" i="3" l="1"/>
  <c r="C192" i="3"/>
  <c r="C193" i="3" l="1"/>
  <c r="E144" i="3"/>
  <c r="D144" i="3" s="1"/>
  <c r="G144" i="3" s="1"/>
  <c r="F144" i="3" l="1"/>
  <c r="C194" i="3"/>
  <c r="C195" i="3" l="1"/>
  <c r="E145" i="3"/>
  <c r="D145" i="3" s="1"/>
  <c r="G145" i="3" s="1"/>
  <c r="C196" i="3" l="1"/>
  <c r="F145" i="3"/>
  <c r="E146" i="3" l="1"/>
  <c r="D146" i="3" s="1"/>
  <c r="G146" i="3" s="1"/>
  <c r="F146" i="3"/>
  <c r="C197" i="3"/>
  <c r="E147" i="3" l="1"/>
  <c r="D147" i="3" s="1"/>
  <c r="F147" i="3" s="1"/>
  <c r="C198" i="3"/>
  <c r="G147" i="3"/>
  <c r="E148" i="3" l="1"/>
  <c r="D148" i="3" s="1"/>
  <c r="F148" i="3" s="1"/>
  <c r="C199" i="3"/>
  <c r="G148" i="3"/>
  <c r="E149" i="3" l="1"/>
  <c r="D149" i="3" s="1"/>
  <c r="F149" i="3" s="1"/>
  <c r="C200" i="3"/>
  <c r="G149" i="3"/>
  <c r="E150" i="3" l="1"/>
  <c r="D150" i="3" s="1"/>
  <c r="F150" i="3" s="1"/>
  <c r="G150" i="3"/>
  <c r="C201" i="3"/>
  <c r="E151" i="3" l="1"/>
  <c r="D151" i="3" s="1"/>
  <c r="F151" i="3" s="1"/>
  <c r="C202" i="3"/>
  <c r="E152" i="3" l="1"/>
  <c r="D152" i="3" s="1"/>
  <c r="F152" i="3" s="1"/>
  <c r="G151" i="3"/>
  <c r="G152" i="3" s="1"/>
  <c r="C203" i="3"/>
  <c r="E153" i="3" l="1"/>
  <c r="D153" i="3" s="1"/>
  <c r="F153" i="3" s="1"/>
  <c r="C204" i="3"/>
  <c r="G153" i="3"/>
  <c r="E154" i="3" l="1"/>
  <c r="D154" i="3" s="1"/>
  <c r="F154" i="3"/>
  <c r="G154" i="3"/>
  <c r="C205" i="3"/>
  <c r="C206" i="3" l="1"/>
  <c r="E155" i="3"/>
  <c r="D155" i="3" s="1"/>
  <c r="G155" i="3" s="1"/>
  <c r="F155" i="3" l="1"/>
  <c r="C207" i="3"/>
  <c r="C208" i="3" l="1"/>
  <c r="E156" i="3"/>
  <c r="D156" i="3" s="1"/>
  <c r="G156" i="3" s="1"/>
  <c r="F156" i="3" l="1"/>
  <c r="C209" i="3"/>
  <c r="E157" i="3" l="1"/>
  <c r="D157" i="3" s="1"/>
  <c r="G157" i="3" s="1"/>
  <c r="C210" i="3"/>
  <c r="C211" i="3" l="1"/>
  <c r="F157" i="3"/>
  <c r="E158" i="3" l="1"/>
  <c r="D158" i="3" s="1"/>
  <c r="G158" i="3" s="1"/>
  <c r="F158" i="3"/>
  <c r="C212" i="3"/>
  <c r="C213" i="3" l="1"/>
  <c r="E159" i="3"/>
  <c r="D159" i="3" s="1"/>
  <c r="F159" i="3" s="1"/>
  <c r="E160" i="3" l="1"/>
  <c r="D160" i="3" s="1"/>
  <c r="F160" i="3" s="1"/>
  <c r="G159" i="3"/>
  <c r="G160" i="3" s="1"/>
  <c r="C214" i="3"/>
  <c r="E161" i="3" l="1"/>
  <c r="D161" i="3" s="1"/>
  <c r="F161" i="3" s="1"/>
  <c r="C215" i="3"/>
  <c r="E162" i="3" l="1"/>
  <c r="D162" i="3" s="1"/>
  <c r="F162" i="3" s="1"/>
  <c r="G161" i="3"/>
  <c r="G162" i="3" s="1"/>
  <c r="C216" i="3"/>
  <c r="E163" i="3" l="1"/>
  <c r="D163" i="3" s="1"/>
  <c r="F163" i="3" s="1"/>
  <c r="C217" i="3"/>
  <c r="G163" i="3"/>
  <c r="E164" i="3" l="1"/>
  <c r="D164" i="3" s="1"/>
  <c r="F164" i="3" s="1"/>
  <c r="C218" i="3"/>
  <c r="E165" i="3" l="1"/>
  <c r="D165" i="3" s="1"/>
  <c r="F165" i="3" s="1"/>
  <c r="C219" i="3"/>
  <c r="G164" i="3"/>
  <c r="G165" i="3" s="1"/>
  <c r="E166" i="3" l="1"/>
  <c r="D166" i="3" s="1"/>
  <c r="F166" i="3" s="1"/>
  <c r="C220" i="3"/>
  <c r="G166" i="3"/>
  <c r="E167" i="3" l="1"/>
  <c r="D167" i="3" s="1"/>
  <c r="F167" i="3"/>
  <c r="G167" i="3"/>
  <c r="C221" i="3"/>
  <c r="C222" i="3" l="1"/>
  <c r="E168" i="3"/>
  <c r="D168" i="3" s="1"/>
  <c r="G168" i="3" s="1"/>
  <c r="F168" i="3" l="1"/>
  <c r="C223" i="3"/>
  <c r="C224" i="3" l="1"/>
  <c r="E169" i="3"/>
  <c r="D169" i="3" s="1"/>
  <c r="G169" i="3" s="1"/>
  <c r="F169" i="3" l="1"/>
  <c r="C225" i="3"/>
  <c r="C226" i="3" l="1"/>
  <c r="E170" i="3"/>
  <c r="D170" i="3" s="1"/>
  <c r="G170" i="3" s="1"/>
  <c r="F170" i="3"/>
  <c r="E171" i="3" l="1"/>
  <c r="D171" i="3" s="1"/>
  <c r="F171" i="3" s="1"/>
  <c r="G171" i="3"/>
  <c r="C227" i="3"/>
  <c r="E172" i="3" l="1"/>
  <c r="D172" i="3" s="1"/>
  <c r="F172" i="3"/>
  <c r="C228" i="3"/>
  <c r="G172" i="3"/>
  <c r="C229" i="3" l="1"/>
  <c r="E173" i="3"/>
  <c r="D173" i="3" s="1"/>
  <c r="G173" i="3" s="1"/>
  <c r="F173" i="3" l="1"/>
  <c r="C230" i="3"/>
  <c r="C231" i="3" l="1"/>
  <c r="E174" i="3"/>
  <c r="D174" i="3" s="1"/>
  <c r="G174" i="3" s="1"/>
  <c r="F174" i="3" l="1"/>
  <c r="C232" i="3"/>
  <c r="C233" i="3" l="1"/>
  <c r="E175" i="3"/>
  <c r="D175" i="3" s="1"/>
  <c r="G175" i="3" s="1"/>
  <c r="F175" i="3" l="1"/>
  <c r="C234" i="3"/>
  <c r="C235" i="3" l="1"/>
  <c r="E176" i="3"/>
  <c r="D176" i="3" s="1"/>
  <c r="G176" i="3" s="1"/>
  <c r="F176" i="3" l="1"/>
  <c r="C236" i="3"/>
  <c r="C237" i="3" l="1"/>
  <c r="E177" i="3"/>
  <c r="D177" i="3" s="1"/>
  <c r="G177" i="3" s="1"/>
  <c r="F177" i="3"/>
  <c r="E178" i="3" l="1"/>
  <c r="D178" i="3" s="1"/>
  <c r="F178" i="3"/>
  <c r="G178" i="3"/>
  <c r="C238" i="3"/>
  <c r="C239" i="3" l="1"/>
  <c r="E179" i="3"/>
  <c r="D179" i="3" s="1"/>
  <c r="G179" i="3" s="1"/>
  <c r="F179" i="3" l="1"/>
  <c r="C240" i="3"/>
  <c r="C241" i="3" l="1"/>
  <c r="E180" i="3"/>
  <c r="D180" i="3" s="1"/>
  <c r="G180" i="3" s="1"/>
  <c r="F180" i="3" l="1"/>
  <c r="C242" i="3"/>
  <c r="C243" i="3" l="1"/>
  <c r="E181" i="3"/>
  <c r="D181" i="3" s="1"/>
  <c r="G181" i="3" s="1"/>
  <c r="F181" i="3" l="1"/>
  <c r="C244" i="3"/>
  <c r="C245" i="3" l="1"/>
  <c r="E182" i="3"/>
  <c r="D182" i="3" s="1"/>
  <c r="G182" i="3" s="1"/>
  <c r="F182" i="3"/>
  <c r="E183" i="3" l="1"/>
  <c r="D183" i="3" s="1"/>
  <c r="F183" i="3"/>
  <c r="G183" i="3"/>
  <c r="C246" i="3"/>
  <c r="C247" i="3" l="1"/>
  <c r="E184" i="3"/>
  <c r="D184" i="3" s="1"/>
  <c r="G184" i="3" s="1"/>
  <c r="F184" i="3" l="1"/>
  <c r="C248" i="3"/>
  <c r="C249" i="3" l="1"/>
  <c r="E185" i="3"/>
  <c r="D185" i="3" s="1"/>
  <c r="G185" i="3" s="1"/>
  <c r="F185" i="3" l="1"/>
  <c r="C250" i="3"/>
  <c r="C251" i="3" l="1"/>
  <c r="E186" i="3"/>
  <c r="D186" i="3" s="1"/>
  <c r="G186" i="3" s="1"/>
  <c r="F186" i="3"/>
  <c r="E187" i="3" l="1"/>
  <c r="D187" i="3" s="1"/>
  <c r="F187" i="3" s="1"/>
  <c r="G187" i="3"/>
  <c r="C252" i="3"/>
  <c r="E188" i="3" l="1"/>
  <c r="D188" i="3" s="1"/>
  <c r="F188" i="3"/>
  <c r="C253" i="3"/>
  <c r="G188" i="3"/>
  <c r="C254" i="3" l="1"/>
  <c r="E189" i="3"/>
  <c r="D189" i="3" s="1"/>
  <c r="G189" i="3" s="1"/>
  <c r="F189" i="3" l="1"/>
  <c r="C255" i="3"/>
  <c r="C256" i="3" l="1"/>
  <c r="E190" i="3"/>
  <c r="D190" i="3" s="1"/>
  <c r="G190" i="3" s="1"/>
  <c r="F190" i="3" l="1"/>
  <c r="C257" i="3"/>
  <c r="C258" i="3" l="1"/>
  <c r="E191" i="3"/>
  <c r="D191" i="3" s="1"/>
  <c r="G191" i="3" s="1"/>
  <c r="F191" i="3" l="1"/>
  <c r="C259" i="3"/>
  <c r="C260" i="3" l="1"/>
  <c r="E192" i="3"/>
  <c r="D192" i="3" s="1"/>
  <c r="G192" i="3" s="1"/>
  <c r="F192" i="3" l="1"/>
  <c r="C261" i="3"/>
  <c r="C262" i="3" l="1"/>
  <c r="E193" i="3"/>
  <c r="D193" i="3" s="1"/>
  <c r="G193" i="3" s="1"/>
  <c r="F193" i="3" l="1"/>
  <c r="C263" i="3"/>
  <c r="C264" i="3" l="1"/>
  <c r="E194" i="3"/>
  <c r="D194" i="3" s="1"/>
  <c r="G194" i="3" s="1"/>
  <c r="F194" i="3"/>
  <c r="E195" i="3" l="1"/>
  <c r="D195" i="3" s="1"/>
  <c r="F195" i="3" s="1"/>
  <c r="C265" i="3"/>
  <c r="E196" i="3" l="1"/>
  <c r="D196" i="3" s="1"/>
  <c r="F196" i="3" s="1"/>
  <c r="C266" i="3"/>
  <c r="G195" i="3"/>
  <c r="G196" i="3" s="1"/>
  <c r="E197" i="3" l="1"/>
  <c r="D197" i="3" s="1"/>
  <c r="F197" i="3" s="1"/>
  <c r="C267" i="3"/>
  <c r="E198" i="3" l="1"/>
  <c r="D198" i="3" s="1"/>
  <c r="F198" i="3"/>
  <c r="C268" i="3"/>
  <c r="G197" i="3"/>
  <c r="G198" i="3" s="1"/>
  <c r="E199" i="3" l="1"/>
  <c r="D199" i="3" s="1"/>
  <c r="G199" i="3" s="1"/>
  <c r="C269" i="3"/>
  <c r="C270" i="3" l="1"/>
  <c r="F199" i="3"/>
  <c r="E200" i="3" l="1"/>
  <c r="D200" i="3" s="1"/>
  <c r="G200" i="3" s="1"/>
  <c r="C271" i="3"/>
  <c r="C272" i="3" l="1"/>
  <c r="F200" i="3"/>
  <c r="E201" i="3" l="1"/>
  <c r="D201" i="3" s="1"/>
  <c r="G201" i="3" s="1"/>
  <c r="C273" i="3"/>
  <c r="C274" i="3" l="1"/>
  <c r="F201" i="3"/>
  <c r="E202" i="3" l="1"/>
  <c r="D202" i="3" s="1"/>
  <c r="G202" i="3" s="1"/>
  <c r="F202" i="3"/>
  <c r="C275" i="3"/>
  <c r="C276" i="3" l="1"/>
  <c r="E203" i="3"/>
  <c r="D203" i="3" s="1"/>
  <c r="G203" i="3" s="1"/>
  <c r="F203" i="3" l="1"/>
  <c r="C277" i="3"/>
  <c r="C278" i="3" l="1"/>
  <c r="E204" i="3"/>
  <c r="D204" i="3" s="1"/>
  <c r="G204" i="3" s="1"/>
  <c r="F204" i="3" l="1"/>
  <c r="C279" i="3"/>
  <c r="C280" i="3" l="1"/>
  <c r="E205" i="3"/>
  <c r="D205" i="3" s="1"/>
  <c r="G205" i="3" s="1"/>
  <c r="F205" i="3" l="1"/>
  <c r="C281" i="3"/>
  <c r="C282" i="3" l="1"/>
  <c r="E206" i="3"/>
  <c r="D206" i="3" s="1"/>
  <c r="G206" i="3" s="1"/>
  <c r="F206" i="3" l="1"/>
  <c r="C283" i="3"/>
  <c r="C284" i="3" l="1"/>
  <c r="E207" i="3"/>
  <c r="D207" i="3" s="1"/>
  <c r="G207" i="3" s="1"/>
  <c r="F207" i="3" l="1"/>
  <c r="C285" i="3"/>
  <c r="C286" i="3" l="1"/>
  <c r="E208" i="3"/>
  <c r="D208" i="3" s="1"/>
  <c r="G208" i="3" s="1"/>
  <c r="F208" i="3" l="1"/>
  <c r="C287" i="3"/>
  <c r="C288" i="3" l="1"/>
  <c r="E209" i="3"/>
  <c r="D209" i="3" s="1"/>
  <c r="G209" i="3" s="1"/>
  <c r="F209" i="3" l="1"/>
  <c r="C289" i="3"/>
  <c r="C290" i="3" l="1"/>
  <c r="E210" i="3"/>
  <c r="D210" i="3" s="1"/>
  <c r="G210" i="3" s="1"/>
  <c r="F210" i="3" l="1"/>
  <c r="C291" i="3"/>
  <c r="C292" i="3" l="1"/>
  <c r="E211" i="3"/>
  <c r="D211" i="3" s="1"/>
  <c r="G211" i="3" s="1"/>
  <c r="F211" i="3" l="1"/>
  <c r="C293" i="3"/>
  <c r="C294" i="3" l="1"/>
  <c r="E212" i="3"/>
  <c r="D212" i="3" s="1"/>
  <c r="G212" i="3" s="1"/>
  <c r="F212" i="3" l="1"/>
  <c r="C295" i="3"/>
  <c r="C296" i="3" l="1"/>
  <c r="E213" i="3"/>
  <c r="D213" i="3" s="1"/>
  <c r="G213" i="3" s="1"/>
  <c r="F213" i="3" l="1"/>
  <c r="C297" i="3"/>
  <c r="C298" i="3" l="1"/>
  <c r="E214" i="3"/>
  <c r="D214" i="3" s="1"/>
  <c r="G214" i="3" s="1"/>
  <c r="F214" i="3"/>
  <c r="E215" i="3" l="1"/>
  <c r="D215" i="3" s="1"/>
  <c r="F215" i="3" s="1"/>
  <c r="E216" i="3" l="1"/>
  <c r="D216" i="3" s="1"/>
  <c r="F216" i="3" s="1"/>
  <c r="G215" i="3"/>
  <c r="G216" i="3" s="1"/>
  <c r="E217" i="3" l="1"/>
  <c r="D217" i="3" s="1"/>
  <c r="F217" i="3" s="1"/>
  <c r="G217" i="3"/>
  <c r="E218" i="3" l="1"/>
  <c r="D218" i="3" s="1"/>
  <c r="F218" i="3" s="1"/>
  <c r="G218" i="3"/>
  <c r="E219" i="3" l="1"/>
  <c r="D219" i="3" s="1"/>
  <c r="F219" i="3" s="1"/>
  <c r="E220" i="3" l="1"/>
  <c r="D220" i="3" s="1"/>
  <c r="F220" i="3" s="1"/>
  <c r="G219" i="3"/>
  <c r="G220" i="3" s="1"/>
  <c r="E221" i="3" l="1"/>
  <c r="D221" i="3" s="1"/>
  <c r="F221" i="3" s="1"/>
  <c r="G221" i="3"/>
  <c r="E222" i="3" l="1"/>
  <c r="D222" i="3" s="1"/>
  <c r="F222" i="3"/>
  <c r="G222" i="3"/>
  <c r="E223" i="3" l="1"/>
  <c r="D223" i="3" s="1"/>
  <c r="G223" i="3" s="1"/>
  <c r="F223" i="3" l="1"/>
  <c r="E224" i="3" l="1"/>
  <c r="D224" i="3" s="1"/>
  <c r="G224" i="3" s="1"/>
  <c r="F224" i="3" l="1"/>
  <c r="E225" i="3" l="1"/>
  <c r="D225" i="3" s="1"/>
  <c r="G225" i="3" s="1"/>
  <c r="F225" i="3" l="1"/>
  <c r="E226" i="3" l="1"/>
  <c r="D226" i="3" s="1"/>
  <c r="G226" i="3" s="1"/>
  <c r="F226" i="3"/>
  <c r="E227" i="3" l="1"/>
  <c r="D227" i="3" s="1"/>
  <c r="F227" i="3" s="1"/>
  <c r="G227" i="3"/>
  <c r="E228" i="3" l="1"/>
  <c r="D228" i="3" s="1"/>
  <c r="F228" i="3" s="1"/>
  <c r="E229" i="3" l="1"/>
  <c r="D229" i="3" s="1"/>
  <c r="F229" i="3" s="1"/>
  <c r="G228" i="3"/>
  <c r="G229" i="3" s="1"/>
  <c r="E230" i="3" l="1"/>
  <c r="D230" i="3" s="1"/>
  <c r="F230" i="3"/>
  <c r="G230" i="3"/>
  <c r="E231" i="3" l="1"/>
  <c r="D231" i="3" s="1"/>
  <c r="G231" i="3" s="1"/>
  <c r="F231" i="3" l="1"/>
  <c r="E232" i="3" l="1"/>
  <c r="D232" i="3" s="1"/>
  <c r="G232" i="3" s="1"/>
  <c r="F232" i="3" l="1"/>
  <c r="E233" i="3" l="1"/>
  <c r="D233" i="3" s="1"/>
  <c r="G233" i="3" s="1"/>
  <c r="F233" i="3" l="1"/>
  <c r="E234" i="3" l="1"/>
  <c r="D234" i="3" s="1"/>
  <c r="G234" i="3" s="1"/>
  <c r="F234" i="3"/>
  <c r="E235" i="3" l="1"/>
  <c r="D235" i="3" s="1"/>
  <c r="F235" i="3" s="1"/>
  <c r="G235" i="3"/>
  <c r="E236" i="3" l="1"/>
  <c r="D236" i="3" s="1"/>
  <c r="F236" i="3" s="1"/>
  <c r="G236" i="3"/>
  <c r="E237" i="3" l="1"/>
  <c r="D237" i="3" s="1"/>
  <c r="F237" i="3" s="1"/>
  <c r="E238" i="3" l="1"/>
  <c r="D238" i="3" s="1"/>
  <c r="F238" i="3"/>
  <c r="G237" i="3"/>
  <c r="G238" i="3" s="1"/>
  <c r="E239" i="3" l="1"/>
  <c r="D239" i="3" s="1"/>
  <c r="G239" i="3" s="1"/>
  <c r="F239" i="3" l="1"/>
  <c r="E240" i="3" l="1"/>
  <c r="D240" i="3" s="1"/>
  <c r="G240" i="3" s="1"/>
  <c r="F240" i="3" l="1"/>
  <c r="E241" i="3" l="1"/>
  <c r="D241" i="3" s="1"/>
  <c r="G241" i="3" s="1"/>
  <c r="F241" i="3" l="1"/>
  <c r="E242" i="3" l="1"/>
  <c r="D242" i="3" s="1"/>
  <c r="G242" i="3" s="1"/>
  <c r="F242" i="3"/>
  <c r="E243" i="3" l="1"/>
  <c r="D243" i="3" s="1"/>
  <c r="F243" i="3" s="1"/>
  <c r="G243" i="3"/>
  <c r="E244" i="3" l="1"/>
  <c r="D244" i="3" s="1"/>
  <c r="F244" i="3"/>
  <c r="G244" i="3"/>
  <c r="E245" i="3" l="1"/>
  <c r="D245" i="3" s="1"/>
  <c r="G245" i="3" s="1"/>
  <c r="F245" i="3" l="1"/>
  <c r="E246" i="3" l="1"/>
  <c r="D246" i="3" s="1"/>
  <c r="G246" i="3" s="1"/>
  <c r="F246" i="3"/>
  <c r="E247" i="3" l="1"/>
  <c r="D247" i="3" s="1"/>
  <c r="F247" i="3"/>
  <c r="G247" i="3"/>
  <c r="E248" i="3" l="1"/>
  <c r="D248" i="3" s="1"/>
  <c r="G248" i="3" s="1"/>
  <c r="F248" i="3" l="1"/>
  <c r="E249" i="3" l="1"/>
  <c r="D249" i="3" s="1"/>
  <c r="G249" i="3" s="1"/>
  <c r="F249" i="3" l="1"/>
  <c r="E250" i="3" l="1"/>
  <c r="D250" i="3" s="1"/>
  <c r="G250" i="3" s="1"/>
  <c r="F250" i="3"/>
  <c r="E251" i="3" l="1"/>
  <c r="D251" i="3" s="1"/>
  <c r="F251" i="3" s="1"/>
  <c r="E252" i="3" l="1"/>
  <c r="D252" i="3" s="1"/>
  <c r="F252" i="3" s="1"/>
  <c r="G251" i="3"/>
  <c r="G252" i="3" s="1"/>
  <c r="E253" i="3" l="1"/>
  <c r="D253" i="3" s="1"/>
  <c r="F253" i="3" s="1"/>
  <c r="G253" i="3"/>
  <c r="E254" i="3" l="1"/>
  <c r="D254" i="3" s="1"/>
  <c r="F254" i="3"/>
  <c r="G254" i="3"/>
  <c r="E255" i="3" l="1"/>
  <c r="D255" i="3" s="1"/>
  <c r="G255" i="3" s="1"/>
  <c r="F255" i="3" l="1"/>
  <c r="E256" i="3" l="1"/>
  <c r="D256" i="3" s="1"/>
  <c r="G256" i="3" s="1"/>
  <c r="F256" i="3" l="1"/>
  <c r="E257" i="3" l="1"/>
  <c r="D257" i="3" s="1"/>
  <c r="G257" i="3" s="1"/>
  <c r="F257" i="3" l="1"/>
  <c r="E258" i="3" l="1"/>
  <c r="D258" i="3" s="1"/>
  <c r="G258" i="3" s="1"/>
  <c r="F258" i="3" l="1"/>
  <c r="E259" i="3" l="1"/>
  <c r="D259" i="3" s="1"/>
  <c r="G259" i="3" s="1"/>
  <c r="F259" i="3" l="1"/>
  <c r="E260" i="3" l="1"/>
  <c r="D260" i="3" s="1"/>
  <c r="G260" i="3" s="1"/>
  <c r="F260" i="3" l="1"/>
  <c r="E261" i="3" l="1"/>
  <c r="D261" i="3" s="1"/>
  <c r="G261" i="3" s="1"/>
  <c r="F261" i="3" l="1"/>
  <c r="E262" i="3" l="1"/>
  <c r="D262" i="3" s="1"/>
  <c r="G262" i="3" s="1"/>
  <c r="F262" i="3"/>
  <c r="E263" i="3" l="1"/>
  <c r="D263" i="3" s="1"/>
  <c r="F263" i="3" s="1"/>
  <c r="G263" i="3"/>
  <c r="E264" i="3" l="1"/>
  <c r="D264" i="3" s="1"/>
  <c r="F264" i="3" s="1"/>
  <c r="E265" i="3" l="1"/>
  <c r="D265" i="3" s="1"/>
  <c r="F265" i="3" s="1"/>
  <c r="G264" i="3"/>
  <c r="E266" i="3" l="1"/>
  <c r="D266" i="3" s="1"/>
  <c r="F266" i="3"/>
  <c r="G265" i="3"/>
  <c r="G266" i="3" s="1"/>
  <c r="E267" i="3" l="1"/>
  <c r="D267" i="3" s="1"/>
  <c r="F267" i="3" s="1"/>
  <c r="G267" i="3"/>
  <c r="F268" i="3" l="1"/>
  <c r="E268" i="3"/>
  <c r="D268" i="3" s="1"/>
  <c r="G268" i="3" s="1"/>
  <c r="E269" i="3" l="1"/>
  <c r="D269" i="3" s="1"/>
  <c r="G269" i="3" s="1"/>
  <c r="F269" i="3" l="1"/>
  <c r="E270" i="3" l="1"/>
  <c r="D270" i="3" s="1"/>
  <c r="G270" i="3" s="1"/>
  <c r="F270" i="3"/>
  <c r="E271" i="3" l="1"/>
  <c r="D271" i="3" s="1"/>
  <c r="F271" i="3" s="1"/>
  <c r="E272" i="3" l="1"/>
  <c r="D272" i="3" s="1"/>
  <c r="F272" i="3" s="1"/>
  <c r="G271" i="3"/>
  <c r="G272" i="3" s="1"/>
  <c r="E273" i="3" l="1"/>
  <c r="D273" i="3" s="1"/>
  <c r="F273" i="3" s="1"/>
  <c r="G273" i="3"/>
  <c r="E274" i="3" l="1"/>
  <c r="D274" i="3" s="1"/>
  <c r="F274" i="3"/>
  <c r="G274" i="3"/>
  <c r="E275" i="3" l="1"/>
  <c r="D275" i="3" s="1"/>
  <c r="G275" i="3" s="1"/>
  <c r="F275" i="3" l="1"/>
  <c r="E276" i="3" l="1"/>
  <c r="D276" i="3" s="1"/>
  <c r="G276" i="3" s="1"/>
  <c r="F276" i="3" l="1"/>
  <c r="E277" i="3" l="1"/>
  <c r="D277" i="3" s="1"/>
  <c r="G277" i="3" s="1"/>
  <c r="F277" i="3" l="1"/>
  <c r="E278" i="3" l="1"/>
  <c r="D278" i="3" s="1"/>
  <c r="G278" i="3" s="1"/>
  <c r="F278" i="3"/>
  <c r="E279" i="3" l="1"/>
  <c r="D279" i="3" s="1"/>
  <c r="F279" i="3"/>
  <c r="G279" i="3"/>
  <c r="E280" i="3" l="1"/>
  <c r="D280" i="3" s="1"/>
  <c r="G280" i="3" s="1"/>
  <c r="F280" i="3" l="1"/>
  <c r="E281" i="3" l="1"/>
  <c r="D281" i="3" s="1"/>
  <c r="G281" i="3" s="1"/>
  <c r="F281" i="3" l="1"/>
  <c r="E282" i="3" l="1"/>
  <c r="D282" i="3" s="1"/>
  <c r="G282" i="3" s="1"/>
  <c r="F282" i="3"/>
  <c r="E283" i="3" l="1"/>
  <c r="D283" i="3" s="1"/>
  <c r="F283" i="3" s="1"/>
  <c r="G283" i="3"/>
  <c r="E284" i="3" l="1"/>
  <c r="D284" i="3" s="1"/>
  <c r="F284" i="3" s="1"/>
  <c r="G284" i="3"/>
  <c r="E285" i="3" l="1"/>
  <c r="D285" i="3" s="1"/>
  <c r="F285" i="3" s="1"/>
  <c r="E286" i="3" l="1"/>
  <c r="D286" i="3" s="1"/>
  <c r="F286" i="3"/>
  <c r="G285" i="3"/>
  <c r="G286" i="3" s="1"/>
  <c r="E287" i="3" l="1"/>
  <c r="D287" i="3" s="1"/>
  <c r="G287" i="3" s="1"/>
  <c r="F287" i="3" l="1"/>
  <c r="E288" i="3" l="1"/>
  <c r="D288" i="3" s="1"/>
  <c r="G288" i="3" s="1"/>
  <c r="F288" i="3" l="1"/>
  <c r="E289" i="3" l="1"/>
  <c r="D289" i="3" s="1"/>
  <c r="G289" i="3" s="1"/>
  <c r="F289" i="3" l="1"/>
  <c r="E290" i="3" l="1"/>
  <c r="D290" i="3" s="1"/>
  <c r="G290" i="3" s="1"/>
  <c r="F290" i="3"/>
  <c r="E291" i="3" l="1"/>
  <c r="D291" i="3" s="1"/>
  <c r="F291" i="3" s="1"/>
  <c r="E292" i="3" l="1"/>
  <c r="D292" i="3" s="1"/>
  <c r="F292" i="3" s="1"/>
  <c r="G291" i="3"/>
  <c r="G292" i="3" s="1"/>
  <c r="E293" i="3" l="1"/>
  <c r="D293" i="3" s="1"/>
  <c r="F293" i="3" s="1"/>
  <c r="G293" i="3"/>
  <c r="E294" i="3" l="1"/>
  <c r="D294" i="3" s="1"/>
  <c r="F294" i="3"/>
  <c r="G294" i="3"/>
  <c r="E295" i="3" l="1"/>
  <c r="D295" i="3" s="1"/>
  <c r="F295" i="3" s="1"/>
  <c r="G295" i="3"/>
  <c r="E296" i="3" l="1"/>
  <c r="D296" i="3" s="1"/>
  <c r="F296" i="3" s="1"/>
  <c r="G296" i="3"/>
  <c r="E297" i="3" l="1"/>
  <c r="E298" i="3" l="1"/>
  <c r="D297" i="3"/>
  <c r="F297" i="3" l="1"/>
  <c r="G297" i="3"/>
  <c r="G298" i="3"/>
  <c r="D284" i="2" l="1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F190" i="2" s="1"/>
  <c r="E191" i="2" s="1"/>
  <c r="G189" i="2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F189" i="2"/>
  <c r="D189" i="2"/>
  <c r="D185" i="2"/>
  <c r="D184" i="2"/>
  <c r="D183" i="2"/>
  <c r="D182" i="2"/>
  <c r="D181" i="2"/>
  <c r="D180" i="2"/>
  <c r="D179" i="2"/>
  <c r="D178" i="2"/>
  <c r="E189" i="2" s="1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E78" i="2"/>
  <c r="D78" i="2"/>
  <c r="C78" i="2" l="1"/>
  <c r="D174" i="2"/>
  <c r="G78" i="2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F78" i="2"/>
  <c r="C191" i="2"/>
  <c r="C189" i="2"/>
  <c r="F191" i="2"/>
  <c r="D285" i="2"/>
  <c r="E190" i="2"/>
  <c r="C190" i="2" s="1"/>
  <c r="F79" i="2" l="1"/>
  <c r="E79" i="2"/>
  <c r="E192" i="2"/>
  <c r="C192" i="2" s="1"/>
  <c r="F192" i="2"/>
  <c r="E80" i="2" l="1"/>
  <c r="C80" i="2" s="1"/>
  <c r="F80" i="2"/>
  <c r="F193" i="2"/>
  <c r="E193" i="2"/>
  <c r="C79" i="2"/>
  <c r="C193" i="2" l="1"/>
  <c r="F81" i="2"/>
  <c r="E81" i="2"/>
  <c r="F194" i="2"/>
  <c r="E194" i="2"/>
  <c r="C194" i="2" s="1"/>
  <c r="E195" i="2" l="1"/>
  <c r="C195" i="2" s="1"/>
  <c r="F195" i="2"/>
  <c r="C81" i="2"/>
  <c r="F82" i="2"/>
  <c r="E82" i="2"/>
  <c r="C82" i="2" s="1"/>
  <c r="F83" i="2" l="1"/>
  <c r="E83" i="2"/>
  <c r="C83" i="2" s="1"/>
  <c r="F196" i="2"/>
  <c r="E196" i="2"/>
  <c r="C196" i="2" s="1"/>
  <c r="F197" i="2" l="1"/>
  <c r="E197" i="2"/>
  <c r="C197" i="2" s="1"/>
  <c r="E84" i="2"/>
  <c r="C84" i="2" s="1"/>
  <c r="F84" i="2"/>
  <c r="F85" i="2" l="1"/>
  <c r="E85" i="2"/>
  <c r="C85" i="2" s="1"/>
  <c r="E198" i="2"/>
  <c r="C198" i="2" s="1"/>
  <c r="F198" i="2"/>
  <c r="E86" i="2" l="1"/>
  <c r="C86" i="2" s="1"/>
  <c r="F86" i="2"/>
  <c r="E199" i="2"/>
  <c r="C199" i="2" s="1"/>
  <c r="F199" i="2"/>
  <c r="F87" i="2" l="1"/>
  <c r="E87" i="2"/>
  <c r="C87" i="2" s="1"/>
  <c r="E200" i="2"/>
  <c r="C200" i="2" s="1"/>
  <c r="F200" i="2"/>
  <c r="F201" i="2" l="1"/>
  <c r="E201" i="2"/>
  <c r="C201" i="2" s="1"/>
  <c r="E88" i="2"/>
  <c r="C88" i="2" s="1"/>
  <c r="F88" i="2"/>
  <c r="F89" i="2" l="1"/>
  <c r="E89" i="2"/>
  <c r="C89" i="2" s="1"/>
  <c r="E202" i="2"/>
  <c r="C202" i="2" s="1"/>
  <c r="F202" i="2"/>
  <c r="F203" i="2" l="1"/>
  <c r="E203" i="2"/>
  <c r="C203" i="2" s="1"/>
  <c r="F90" i="2"/>
  <c r="E90" i="2"/>
  <c r="C90" i="2" s="1"/>
  <c r="F91" i="2" l="1"/>
  <c r="E91" i="2"/>
  <c r="C91" i="2" s="1"/>
  <c r="F204" i="2"/>
  <c r="E204" i="2"/>
  <c r="C204" i="2" s="1"/>
  <c r="F205" i="2" l="1"/>
  <c r="E205" i="2"/>
  <c r="C205" i="2" s="1"/>
  <c r="E92" i="2"/>
  <c r="C92" i="2" s="1"/>
  <c r="F92" i="2"/>
  <c r="F93" i="2" l="1"/>
  <c r="E93" i="2"/>
  <c r="C93" i="2" s="1"/>
  <c r="E206" i="2"/>
  <c r="C206" i="2" s="1"/>
  <c r="F206" i="2"/>
  <c r="E207" i="2" l="1"/>
  <c r="C207" i="2" s="1"/>
  <c r="F207" i="2"/>
  <c r="F94" i="2"/>
  <c r="E94" i="2"/>
  <c r="C94" i="2" s="1"/>
  <c r="F95" i="2" l="1"/>
  <c r="E95" i="2"/>
  <c r="C95" i="2" s="1"/>
  <c r="E208" i="2"/>
  <c r="C208" i="2" s="1"/>
  <c r="F208" i="2"/>
  <c r="F209" i="2" l="1"/>
  <c r="E209" i="2"/>
  <c r="C209" i="2" s="1"/>
  <c r="E96" i="2"/>
  <c r="C96" i="2" s="1"/>
  <c r="F96" i="2"/>
  <c r="F97" i="2" l="1"/>
  <c r="E97" i="2"/>
  <c r="C97" i="2" s="1"/>
  <c r="E210" i="2"/>
  <c r="C210" i="2" s="1"/>
  <c r="F210" i="2"/>
  <c r="E211" i="2" l="1"/>
  <c r="C211" i="2" s="1"/>
  <c r="F211" i="2"/>
  <c r="F98" i="2"/>
  <c r="E98" i="2"/>
  <c r="C98" i="2" s="1"/>
  <c r="F212" i="2" l="1"/>
  <c r="E212" i="2"/>
  <c r="C212" i="2" s="1"/>
  <c r="F99" i="2"/>
  <c r="E99" i="2"/>
  <c r="C99" i="2" s="1"/>
  <c r="E100" i="2" l="1"/>
  <c r="C100" i="2" s="1"/>
  <c r="F100" i="2"/>
  <c r="F213" i="2"/>
  <c r="E213" i="2"/>
  <c r="C213" i="2" s="1"/>
  <c r="F101" i="2" l="1"/>
  <c r="E101" i="2"/>
  <c r="C101" i="2" s="1"/>
  <c r="F214" i="2"/>
  <c r="E214" i="2"/>
  <c r="C214" i="2" s="1"/>
  <c r="E215" i="2" l="1"/>
  <c r="C215" i="2" s="1"/>
  <c r="F215" i="2"/>
  <c r="E102" i="2"/>
  <c r="C102" i="2" s="1"/>
  <c r="F102" i="2"/>
  <c r="F103" i="2" l="1"/>
  <c r="E103" i="2"/>
  <c r="C103" i="2" s="1"/>
  <c r="E216" i="2"/>
  <c r="C216" i="2" s="1"/>
  <c r="F216" i="2"/>
  <c r="F217" i="2" l="1"/>
  <c r="E217" i="2"/>
  <c r="C217" i="2" s="1"/>
  <c r="F104" i="2"/>
  <c r="E104" i="2"/>
  <c r="C104" i="2" s="1"/>
  <c r="E105" i="2" l="1"/>
  <c r="C105" i="2" s="1"/>
  <c r="F105" i="2"/>
  <c r="E218" i="2"/>
  <c r="C218" i="2" s="1"/>
  <c r="F218" i="2"/>
  <c r="E219" i="2" l="1"/>
  <c r="C219" i="2" s="1"/>
  <c r="F219" i="2"/>
  <c r="E106" i="2"/>
  <c r="C106" i="2" s="1"/>
  <c r="F106" i="2"/>
  <c r="E107" i="2" l="1"/>
  <c r="C107" i="2" s="1"/>
  <c r="F107" i="2"/>
  <c r="F220" i="2"/>
  <c r="E220" i="2"/>
  <c r="C220" i="2" s="1"/>
  <c r="F221" i="2" l="1"/>
  <c r="E221" i="2"/>
  <c r="C221" i="2" s="1"/>
  <c r="F108" i="2"/>
  <c r="E108" i="2"/>
  <c r="C108" i="2" s="1"/>
  <c r="F109" i="2" l="1"/>
  <c r="E109" i="2"/>
  <c r="C109" i="2" s="1"/>
  <c r="F222" i="2"/>
  <c r="E222" i="2"/>
  <c r="C222" i="2" s="1"/>
  <c r="F223" i="2" l="1"/>
  <c r="E223" i="2"/>
  <c r="C223" i="2" s="1"/>
  <c r="F110" i="2"/>
  <c r="E110" i="2"/>
  <c r="C110" i="2" s="1"/>
  <c r="F111" i="2" l="1"/>
  <c r="E111" i="2"/>
  <c r="C111" i="2" s="1"/>
  <c r="F224" i="2"/>
  <c r="E224" i="2"/>
  <c r="C224" i="2" s="1"/>
  <c r="F225" i="2" l="1"/>
  <c r="E225" i="2"/>
  <c r="C225" i="2" s="1"/>
  <c r="F112" i="2"/>
  <c r="E112" i="2"/>
  <c r="C112" i="2" s="1"/>
  <c r="E113" i="2" l="1"/>
  <c r="C113" i="2" s="1"/>
  <c r="F113" i="2"/>
  <c r="E226" i="2"/>
  <c r="C226" i="2" s="1"/>
  <c r="F226" i="2"/>
  <c r="E227" i="2" l="1"/>
  <c r="C227" i="2" s="1"/>
  <c r="F227" i="2"/>
  <c r="E114" i="2"/>
  <c r="C114" i="2" s="1"/>
  <c r="F114" i="2"/>
  <c r="E115" i="2" l="1"/>
  <c r="C115" i="2" s="1"/>
  <c r="F115" i="2"/>
  <c r="F228" i="2"/>
  <c r="E228" i="2"/>
  <c r="C228" i="2" s="1"/>
  <c r="F229" i="2" l="1"/>
  <c r="E229" i="2"/>
  <c r="C229" i="2" s="1"/>
  <c r="F116" i="2"/>
  <c r="E116" i="2"/>
  <c r="C116" i="2" s="1"/>
  <c r="F117" i="2" l="1"/>
  <c r="E117" i="2"/>
  <c r="C117" i="2" s="1"/>
  <c r="F230" i="2"/>
  <c r="E230" i="2"/>
  <c r="C230" i="2" s="1"/>
  <c r="F231" i="2" l="1"/>
  <c r="E231" i="2"/>
  <c r="C231" i="2" s="1"/>
  <c r="E118" i="2"/>
  <c r="C118" i="2" s="1"/>
  <c r="F118" i="2"/>
  <c r="F119" i="2" l="1"/>
  <c r="E119" i="2"/>
  <c r="C119" i="2" s="1"/>
  <c r="F232" i="2"/>
  <c r="E232" i="2"/>
  <c r="C232" i="2" s="1"/>
  <c r="F233" i="2" l="1"/>
  <c r="E233" i="2"/>
  <c r="C233" i="2" s="1"/>
  <c r="F120" i="2"/>
  <c r="E120" i="2"/>
  <c r="C120" i="2" s="1"/>
  <c r="E121" i="2" l="1"/>
  <c r="C121" i="2" s="1"/>
  <c r="F121" i="2"/>
  <c r="E234" i="2"/>
  <c r="C234" i="2" s="1"/>
  <c r="F234" i="2"/>
  <c r="E235" i="2" l="1"/>
  <c r="C235" i="2" s="1"/>
  <c r="F235" i="2"/>
  <c r="E122" i="2"/>
  <c r="C122" i="2" s="1"/>
  <c r="F122" i="2"/>
  <c r="E123" i="2" l="1"/>
  <c r="C123" i="2" s="1"/>
  <c r="F123" i="2"/>
  <c r="F236" i="2"/>
  <c r="E236" i="2"/>
  <c r="C236" i="2" s="1"/>
  <c r="F237" i="2" l="1"/>
  <c r="E237" i="2"/>
  <c r="C237" i="2" s="1"/>
  <c r="F124" i="2"/>
  <c r="E124" i="2"/>
  <c r="C124" i="2" s="1"/>
  <c r="F125" i="2" l="1"/>
  <c r="E125" i="2"/>
  <c r="C125" i="2" s="1"/>
  <c r="F238" i="2"/>
  <c r="E238" i="2"/>
  <c r="C238" i="2" s="1"/>
  <c r="F239" i="2" l="1"/>
  <c r="E239" i="2"/>
  <c r="C239" i="2" s="1"/>
  <c r="F126" i="2"/>
  <c r="E126" i="2"/>
  <c r="C126" i="2" s="1"/>
  <c r="F127" i="2" l="1"/>
  <c r="E127" i="2"/>
  <c r="C127" i="2" s="1"/>
  <c r="F240" i="2"/>
  <c r="E240" i="2"/>
  <c r="C240" i="2" s="1"/>
  <c r="F241" i="2" l="1"/>
  <c r="E241" i="2"/>
  <c r="C241" i="2" s="1"/>
  <c r="F128" i="2"/>
  <c r="E128" i="2"/>
  <c r="C128" i="2" s="1"/>
  <c r="E129" i="2" l="1"/>
  <c r="C129" i="2" s="1"/>
  <c r="F129" i="2"/>
  <c r="E242" i="2"/>
  <c r="C242" i="2" s="1"/>
  <c r="F242" i="2"/>
  <c r="E243" i="2" l="1"/>
  <c r="C243" i="2" s="1"/>
  <c r="F243" i="2"/>
  <c r="E130" i="2"/>
  <c r="C130" i="2" s="1"/>
  <c r="F130" i="2"/>
  <c r="F244" i="2" l="1"/>
  <c r="E244" i="2"/>
  <c r="C244" i="2" s="1"/>
  <c r="E131" i="2"/>
  <c r="C131" i="2" s="1"/>
  <c r="F131" i="2"/>
  <c r="F132" i="2" l="1"/>
  <c r="E132" i="2"/>
  <c r="C132" i="2" s="1"/>
  <c r="F245" i="2"/>
  <c r="E245" i="2"/>
  <c r="C245" i="2" s="1"/>
  <c r="F246" i="2" l="1"/>
  <c r="E246" i="2"/>
  <c r="C246" i="2" s="1"/>
  <c r="F133" i="2"/>
  <c r="E133" i="2"/>
  <c r="C133" i="2" s="1"/>
  <c r="F134" i="2" l="1"/>
  <c r="E134" i="2"/>
  <c r="C134" i="2" s="1"/>
  <c r="F247" i="2"/>
  <c r="E247" i="2"/>
  <c r="C247" i="2" s="1"/>
  <c r="F248" i="2" l="1"/>
  <c r="E248" i="2"/>
  <c r="C248" i="2" s="1"/>
  <c r="F135" i="2"/>
  <c r="E135" i="2"/>
  <c r="C135" i="2" s="1"/>
  <c r="F136" i="2" l="1"/>
  <c r="E136" i="2"/>
  <c r="C136" i="2" s="1"/>
  <c r="F249" i="2"/>
  <c r="E249" i="2"/>
  <c r="C249" i="2" s="1"/>
  <c r="E250" i="2" l="1"/>
  <c r="C250" i="2" s="1"/>
  <c r="F250" i="2"/>
  <c r="E137" i="2"/>
  <c r="C137" i="2" s="1"/>
  <c r="F137" i="2"/>
  <c r="E251" i="2" l="1"/>
  <c r="C251" i="2" s="1"/>
  <c r="F251" i="2"/>
  <c r="E138" i="2"/>
  <c r="C138" i="2" s="1"/>
  <c r="F138" i="2"/>
  <c r="E139" i="2" l="1"/>
  <c r="C139" i="2" s="1"/>
  <c r="F139" i="2"/>
  <c r="F252" i="2"/>
  <c r="E252" i="2"/>
  <c r="C252" i="2" s="1"/>
  <c r="F253" i="2" l="1"/>
  <c r="E253" i="2"/>
  <c r="C253" i="2" s="1"/>
  <c r="F140" i="2"/>
  <c r="E140" i="2"/>
  <c r="C140" i="2" s="1"/>
  <c r="F141" i="2" l="1"/>
  <c r="E141" i="2"/>
  <c r="C141" i="2" s="1"/>
  <c r="F254" i="2"/>
  <c r="E254" i="2"/>
  <c r="C254" i="2" s="1"/>
  <c r="E255" i="2" l="1"/>
  <c r="C255" i="2" s="1"/>
  <c r="F255" i="2"/>
  <c r="F142" i="2"/>
  <c r="E142" i="2"/>
  <c r="C142" i="2" s="1"/>
  <c r="F143" i="2" l="1"/>
  <c r="E143" i="2"/>
  <c r="C143" i="2" s="1"/>
  <c r="F256" i="2"/>
  <c r="E256" i="2"/>
  <c r="C256" i="2" s="1"/>
  <c r="F257" i="2" l="1"/>
  <c r="E257" i="2"/>
  <c r="C257" i="2" s="1"/>
  <c r="F144" i="2"/>
  <c r="E144" i="2"/>
  <c r="C144" i="2" s="1"/>
  <c r="E258" i="2" l="1"/>
  <c r="C258" i="2" s="1"/>
  <c r="F258" i="2"/>
  <c r="E145" i="2"/>
  <c r="C145" i="2" s="1"/>
  <c r="F145" i="2"/>
  <c r="E146" i="2" l="1"/>
  <c r="C146" i="2" s="1"/>
  <c r="F146" i="2"/>
  <c r="E259" i="2"/>
  <c r="C259" i="2" s="1"/>
  <c r="F259" i="2"/>
  <c r="F260" i="2" l="1"/>
  <c r="E260" i="2"/>
  <c r="C260" i="2" s="1"/>
  <c r="E147" i="2"/>
  <c r="C147" i="2" s="1"/>
  <c r="F147" i="2"/>
  <c r="F148" i="2" l="1"/>
  <c r="E148" i="2"/>
  <c r="C148" i="2" s="1"/>
  <c r="F261" i="2"/>
  <c r="E261" i="2"/>
  <c r="C261" i="2" s="1"/>
  <c r="F262" i="2" l="1"/>
  <c r="E262" i="2"/>
  <c r="C262" i="2" s="1"/>
  <c r="F149" i="2"/>
  <c r="E149" i="2"/>
  <c r="C149" i="2" s="1"/>
  <c r="E150" i="2" l="1"/>
  <c r="C150" i="2" s="1"/>
  <c r="F150" i="2"/>
  <c r="E263" i="2"/>
  <c r="C263" i="2" s="1"/>
  <c r="F263" i="2"/>
  <c r="F151" i="2" l="1"/>
  <c r="E151" i="2"/>
  <c r="C151" i="2" s="1"/>
  <c r="F264" i="2"/>
  <c r="E264" i="2"/>
  <c r="C264" i="2" s="1"/>
  <c r="F265" i="2" l="1"/>
  <c r="E265" i="2"/>
  <c r="C265" i="2" s="1"/>
  <c r="F152" i="2"/>
  <c r="E152" i="2"/>
  <c r="C152" i="2" s="1"/>
  <c r="E153" i="2" l="1"/>
  <c r="C153" i="2" s="1"/>
  <c r="F153" i="2"/>
  <c r="E266" i="2"/>
  <c r="C266" i="2" s="1"/>
  <c r="F266" i="2"/>
  <c r="E154" i="2" l="1"/>
  <c r="C154" i="2" s="1"/>
  <c r="F154" i="2"/>
  <c r="E267" i="2"/>
  <c r="C267" i="2" s="1"/>
  <c r="F267" i="2"/>
  <c r="E268" i="2" l="1"/>
  <c r="C268" i="2" s="1"/>
  <c r="F268" i="2"/>
  <c r="E155" i="2"/>
  <c r="C155" i="2" s="1"/>
  <c r="F155" i="2"/>
  <c r="F269" i="2" l="1"/>
  <c r="E269" i="2"/>
  <c r="C269" i="2" s="1"/>
  <c r="F156" i="2"/>
  <c r="E156" i="2"/>
  <c r="C156" i="2" s="1"/>
  <c r="F157" i="2" l="1"/>
  <c r="E157" i="2"/>
  <c r="C157" i="2" s="1"/>
  <c r="F270" i="2"/>
  <c r="E270" i="2"/>
  <c r="C270" i="2" s="1"/>
  <c r="F271" i="2" l="1"/>
  <c r="E271" i="2"/>
  <c r="C271" i="2" s="1"/>
  <c r="F158" i="2"/>
  <c r="E158" i="2"/>
  <c r="C158" i="2" s="1"/>
  <c r="F159" i="2" l="1"/>
  <c r="E159" i="2"/>
  <c r="C159" i="2" s="1"/>
  <c r="F272" i="2"/>
  <c r="E272" i="2"/>
  <c r="C272" i="2" s="1"/>
  <c r="F273" i="2" l="1"/>
  <c r="E273" i="2"/>
  <c r="C273" i="2" s="1"/>
  <c r="F160" i="2"/>
  <c r="E160" i="2"/>
  <c r="C160" i="2" s="1"/>
  <c r="E161" i="2" l="1"/>
  <c r="C161" i="2" s="1"/>
  <c r="F161" i="2"/>
  <c r="E274" i="2"/>
  <c r="C274" i="2" s="1"/>
  <c r="F274" i="2"/>
  <c r="E275" i="2" l="1"/>
  <c r="C275" i="2" s="1"/>
  <c r="F275" i="2"/>
  <c r="E162" i="2"/>
  <c r="C162" i="2" s="1"/>
  <c r="F162" i="2"/>
  <c r="E163" i="2" l="1"/>
  <c r="C163" i="2" s="1"/>
  <c r="F163" i="2"/>
  <c r="E276" i="2"/>
  <c r="C276" i="2" s="1"/>
  <c r="F276" i="2"/>
  <c r="F277" i="2" l="1"/>
  <c r="E277" i="2"/>
  <c r="C277" i="2" s="1"/>
  <c r="F164" i="2"/>
  <c r="E164" i="2"/>
  <c r="C164" i="2" s="1"/>
  <c r="F165" i="2" l="1"/>
  <c r="E165" i="2"/>
  <c r="C165" i="2" s="1"/>
  <c r="F278" i="2"/>
  <c r="E278" i="2"/>
  <c r="C278" i="2" s="1"/>
  <c r="E279" i="2" l="1"/>
  <c r="C279" i="2" s="1"/>
  <c r="F279" i="2"/>
  <c r="F166" i="2"/>
  <c r="E166" i="2"/>
  <c r="C166" i="2" s="1"/>
  <c r="F167" i="2" l="1"/>
  <c r="E167" i="2"/>
  <c r="C167" i="2" s="1"/>
  <c r="F280" i="2"/>
  <c r="E280" i="2"/>
  <c r="C280" i="2" s="1"/>
  <c r="F281" i="2" l="1"/>
  <c r="E281" i="2"/>
  <c r="C281" i="2" s="1"/>
  <c r="F168" i="2"/>
  <c r="E168" i="2"/>
  <c r="C168" i="2" s="1"/>
  <c r="E169" i="2" l="1"/>
  <c r="C169" i="2" s="1"/>
  <c r="F169" i="2"/>
  <c r="E282" i="2"/>
  <c r="C282" i="2" s="1"/>
  <c r="F282" i="2"/>
  <c r="E283" i="2" l="1"/>
  <c r="C283" i="2" s="1"/>
  <c r="F283" i="2"/>
  <c r="E170" i="2"/>
  <c r="C170" i="2" s="1"/>
  <c r="F170" i="2"/>
  <c r="E171" i="2" l="1"/>
  <c r="C171" i="2" s="1"/>
  <c r="F171" i="2"/>
  <c r="F284" i="2"/>
  <c r="E284" i="2"/>
  <c r="F172" i="2" l="1"/>
  <c r="E172" i="2"/>
  <c r="C172" i="2" s="1"/>
  <c r="C284" i="2"/>
  <c r="E285" i="2"/>
  <c r="F173" i="2" l="1"/>
  <c r="E173" i="2"/>
  <c r="C173" i="2" l="1"/>
  <c r="E174" i="2"/>
  <c r="C96" i="1"/>
  <c r="G31" i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F31" i="1"/>
  <c r="E32" i="1" s="1"/>
  <c r="C32" i="1" s="1"/>
  <c r="E31" i="1"/>
  <c r="C31" i="1" s="1"/>
  <c r="F32" i="1" l="1"/>
  <c r="F33" i="1" l="1"/>
  <c r="E33" i="1"/>
  <c r="C33" i="1" s="1"/>
  <c r="E34" i="1" l="1"/>
  <c r="C34" i="1" s="1"/>
  <c r="F34" i="1"/>
  <c r="F35" i="1" l="1"/>
  <c r="E35" i="1"/>
  <c r="C35" i="1" s="1"/>
  <c r="E36" i="1" l="1"/>
  <c r="C36" i="1" s="1"/>
  <c r="F36" i="1"/>
  <c r="F37" i="1" l="1"/>
  <c r="E37" i="1"/>
  <c r="C37" i="1" s="1"/>
  <c r="E38" i="1" l="1"/>
  <c r="C38" i="1" s="1"/>
  <c r="F38" i="1"/>
  <c r="F39" i="1" l="1"/>
  <c r="E39" i="1"/>
  <c r="C39" i="1" s="1"/>
  <c r="E40" i="1" l="1"/>
  <c r="C40" i="1" s="1"/>
  <c r="F40" i="1"/>
  <c r="F41" i="1" l="1"/>
  <c r="E41" i="1"/>
  <c r="C41" i="1" s="1"/>
  <c r="E42" i="1" l="1"/>
  <c r="C42" i="1" s="1"/>
  <c r="F42" i="1"/>
  <c r="F43" i="1" l="1"/>
  <c r="E43" i="1"/>
  <c r="C43" i="1" s="1"/>
  <c r="E44" i="1" l="1"/>
  <c r="C44" i="1" s="1"/>
  <c r="F44" i="1"/>
  <c r="F45" i="1" l="1"/>
  <c r="E45" i="1"/>
  <c r="C45" i="1" s="1"/>
  <c r="E46" i="1" l="1"/>
  <c r="C46" i="1" s="1"/>
  <c r="F46" i="1"/>
  <c r="F47" i="1" l="1"/>
  <c r="E47" i="1"/>
  <c r="C47" i="1" s="1"/>
  <c r="E48" i="1" l="1"/>
  <c r="C48" i="1" s="1"/>
  <c r="F48" i="1"/>
  <c r="F49" i="1" l="1"/>
  <c r="E49" i="1"/>
  <c r="C49" i="1" s="1"/>
  <c r="E50" i="1" l="1"/>
  <c r="C50" i="1" s="1"/>
  <c r="F50" i="1"/>
  <c r="F51" i="1" l="1"/>
  <c r="E51" i="1"/>
  <c r="C51" i="1" s="1"/>
  <c r="E52" i="1" l="1"/>
  <c r="C52" i="1" s="1"/>
  <c r="F52" i="1"/>
  <c r="F53" i="1" l="1"/>
  <c r="E53" i="1"/>
  <c r="C53" i="1" s="1"/>
  <c r="E54" i="1" l="1"/>
  <c r="C54" i="1" s="1"/>
  <c r="F54" i="1"/>
  <c r="F55" i="1" l="1"/>
  <c r="E55" i="1"/>
  <c r="C55" i="1" s="1"/>
  <c r="E56" i="1" l="1"/>
  <c r="C56" i="1" s="1"/>
  <c r="F56" i="1"/>
  <c r="F57" i="1" l="1"/>
  <c r="E57" i="1"/>
  <c r="C57" i="1" s="1"/>
  <c r="E58" i="1" l="1"/>
  <c r="C58" i="1" s="1"/>
  <c r="F58" i="1"/>
  <c r="F59" i="1" l="1"/>
  <c r="E59" i="1"/>
  <c r="C59" i="1" s="1"/>
  <c r="E60" i="1" l="1"/>
  <c r="C60" i="1" s="1"/>
  <c r="F60" i="1"/>
  <c r="F61" i="1" l="1"/>
  <c r="E61" i="1"/>
  <c r="C61" i="1" s="1"/>
  <c r="E62" i="1" l="1"/>
  <c r="C62" i="1" s="1"/>
  <c r="F62" i="1"/>
  <c r="F63" i="1" l="1"/>
  <c r="E63" i="1"/>
  <c r="C63" i="1" s="1"/>
  <c r="E64" i="1" l="1"/>
  <c r="C64" i="1" s="1"/>
  <c r="F64" i="1"/>
  <c r="F65" i="1" l="1"/>
  <c r="E65" i="1"/>
  <c r="C65" i="1" s="1"/>
  <c r="E66" i="1" l="1"/>
  <c r="C66" i="1" s="1"/>
  <c r="F66" i="1"/>
  <c r="F67" i="1" l="1"/>
  <c r="E67" i="1"/>
  <c r="C67" i="1" s="1"/>
  <c r="E68" i="1" l="1"/>
  <c r="C68" i="1" s="1"/>
  <c r="C94" i="1" s="1"/>
  <c r="F68" i="1"/>
  <c r="F69" i="1" l="1"/>
  <c r="E69" i="1"/>
  <c r="C69" i="1" s="1"/>
  <c r="E70" i="1" l="1"/>
  <c r="C70" i="1" s="1"/>
  <c r="F70" i="1"/>
  <c r="F71" i="1" l="1"/>
  <c r="E71" i="1"/>
  <c r="C71" i="1" s="1"/>
  <c r="E72" i="1" l="1"/>
  <c r="C72" i="1" s="1"/>
  <c r="F72" i="1"/>
  <c r="F73" i="1" l="1"/>
  <c r="E73" i="1"/>
  <c r="C73" i="1" s="1"/>
  <c r="E74" i="1" l="1"/>
  <c r="C74" i="1" s="1"/>
  <c r="F74" i="1"/>
  <c r="F75" i="1" l="1"/>
  <c r="E75" i="1"/>
  <c r="C75" i="1" s="1"/>
  <c r="E76" i="1" l="1"/>
  <c r="C76" i="1" s="1"/>
  <c r="F76" i="1"/>
  <c r="F77" i="1" l="1"/>
  <c r="E77" i="1"/>
  <c r="C77" i="1" s="1"/>
  <c r="E78" i="1" l="1"/>
  <c r="C78" i="1" s="1"/>
  <c r="F78" i="1"/>
  <c r="F79" i="1" l="1"/>
  <c r="E79" i="1"/>
  <c r="C79" i="1" s="1"/>
  <c r="E80" i="1" l="1"/>
  <c r="C80" i="1" s="1"/>
  <c r="F80" i="1"/>
  <c r="F81" i="1" l="1"/>
  <c r="E81" i="1"/>
  <c r="C81" i="1" s="1"/>
  <c r="E82" i="1" l="1"/>
  <c r="C82" i="1" s="1"/>
  <c r="F82" i="1"/>
  <c r="F83" i="1" l="1"/>
  <c r="E83" i="1"/>
  <c r="C83" i="1" s="1"/>
  <c r="E84" i="1" l="1"/>
  <c r="C84" i="1" s="1"/>
  <c r="F84" i="1"/>
  <c r="F85" i="1" l="1"/>
  <c r="E85" i="1"/>
  <c r="C85" i="1" s="1"/>
  <c r="E86" i="1" l="1"/>
  <c r="C86" i="1" s="1"/>
  <c r="F86" i="1"/>
  <c r="F87" i="1" l="1"/>
  <c r="E87" i="1"/>
  <c r="C87" i="1" s="1"/>
  <c r="E88" i="1" l="1"/>
  <c r="C88" i="1" s="1"/>
  <c r="F88" i="1"/>
  <c r="F89" i="1" l="1"/>
  <c r="E89" i="1"/>
  <c r="C89" i="1" s="1"/>
</calcChain>
</file>

<file path=xl/sharedStrings.xml><?xml version="1.0" encoding="utf-8"?>
<sst xmlns="http://schemas.openxmlformats.org/spreadsheetml/2006/main" count="107" uniqueCount="77">
  <si>
    <t>Una empresa ha contratado un préstamo de 10 millones el 13 de julio del año 202X con un vencimiento a 5 años y un tipo de interés nominal del</t>
  </si>
  <si>
    <t>3%. Dicho préstamo tendrá un vencimiento único a final de la vida del préstamo mientras que sus intereses se liquidarán mensualmente.</t>
  </si>
  <si>
    <t>Se pide.</t>
  </si>
  <si>
    <t>a) Realizar el cuadro de amortización del préstamo</t>
  </si>
  <si>
    <t>b) Indicar qué importe habrá pagado la empresa el 30 de septiembre del 202X+3.</t>
  </si>
  <si>
    <t>a)</t>
  </si>
  <si>
    <t>Cuadro de amortización</t>
  </si>
  <si>
    <t>Fecha</t>
  </si>
  <si>
    <t>Cuota a pagar</t>
  </si>
  <si>
    <t>Cuota de amortización</t>
  </si>
  <si>
    <t>Cuota de interés</t>
  </si>
  <si>
    <t>Capital pendiente</t>
  </si>
  <si>
    <t>Capital amortizado</t>
  </si>
  <si>
    <t>b)</t>
  </si>
  <si>
    <t>Importe pagado a 30 de septiembre de X+3</t>
  </si>
  <si>
    <t>Importe pagado</t>
  </si>
  <si>
    <t>Todo son intereses</t>
  </si>
  <si>
    <t>Importe</t>
  </si>
  <si>
    <t>Una empresa de transporte necesita renovar su flota de camiones para sus operaciones. Por este motivo el Director</t>
  </si>
  <si>
    <t>Financiero ha hablado con un banco para que le facilite un préstamo por importe de 700 mil euros.</t>
  </si>
  <si>
    <t>Este préstamo se firmará con las siguientes caracterísiticas:</t>
  </si>
  <si>
    <t>- Devolución de cuotas de amortización mensuales constantes durante los 8 años que dura el préstamo.</t>
  </si>
  <si>
    <t>- Tipo de interés nominal fijo del 1,5% anual pagadero mensualmente.</t>
  </si>
  <si>
    <t>De esta forma, el Director financiero nos solicita que le hagamos el cuadro de amortización del préstamo y que le</t>
  </si>
  <si>
    <t>indiquemos cuantos intereses tendríamos que pagar por toda la operación.</t>
  </si>
  <si>
    <t>Además, el Director Financiero ha acudido a otra entidad financiera y le han hecho una oferta que mantiene las mismas</t>
  </si>
  <si>
    <t>caracteristicas del préstamo anterior pero en la que el tipo de interés nominal no es fijo sino que se convierte en variable de EURIBOR</t>
  </si>
  <si>
    <t>más un diferencial del 0,5% que se irá revisando cada año, por lo que el Director Financiero nos solicita que le hagamos</t>
  </si>
  <si>
    <t>el cuadro de amortiación de este nuevo préstamo para poder analizar cuál de los dos solicitar.</t>
  </si>
  <si>
    <t>Nota: el tipo de del EURIBOR a fecha de firma es del 0,35% y la estimación del Director Financiero es que el EURIBOR</t>
  </si>
  <si>
    <t>empeorará a razón del 0,15% anual.</t>
  </si>
  <si>
    <t>Cuadro de amortización a tipo fijo</t>
  </si>
  <si>
    <t>Tipo de interés anual firma</t>
  </si>
  <si>
    <t>Tipo de interes anual año 1</t>
  </si>
  <si>
    <t>Tipo de interes anual año 2</t>
  </si>
  <si>
    <t>Tipo de interes anual año 3</t>
  </si>
  <si>
    <t>Tipo de interes anual año 4</t>
  </si>
  <si>
    <t>Tipo de interes anual año 5</t>
  </si>
  <si>
    <t>Tipo de interes anual año 6</t>
  </si>
  <si>
    <t>Tipo de interes anual año 7</t>
  </si>
  <si>
    <t>La empresa Fran, S.A. tiene previsto cambiar la situación de sus instalaciones para lo que está</t>
  </si>
  <si>
    <t>analizando la posibilidad de adquirir una nave en un polígono industrial cercano. Para ello,</t>
  </si>
  <si>
    <t>esta buscando la forma de financiar el coste de la misma que se estima en 1,5 millones de euros.</t>
  </si>
  <si>
    <t>Un banco le ha ofrecido un préstamo con sistema de amortización francés y un tipo de interés nominal</t>
  </si>
  <si>
    <t>del 2,2% fijo durante los 20 años de duración del préstamo. Las cuotas a pagar de este préstamo</t>
  </si>
  <si>
    <t>serán mensuales.</t>
  </si>
  <si>
    <t>Se pide calcular el cuadro de amortización del préstamo, así como calcular los intereses.</t>
  </si>
  <si>
    <t>Cuantía inicial (C0)</t>
  </si>
  <si>
    <t>Interes anuales</t>
  </si>
  <si>
    <t>Número de cuotas</t>
  </si>
  <si>
    <t>mensuales</t>
  </si>
  <si>
    <t>Nº de cuotas</t>
  </si>
  <si>
    <t>Cuota de interes</t>
  </si>
  <si>
    <t>Capital vivo</t>
  </si>
  <si>
    <t>Hace más de 2 años, la empresa F2, S.A. firmó un contrato de préstamo hipotecario por la compra</t>
  </si>
  <si>
    <t>de sus oficinas por importe inicial de 900.000 euros.</t>
  </si>
  <si>
    <t>Este préstamo sigue un sistema de amortización francés con un tipo de interés nominal de EURIBOR más</t>
  </si>
  <si>
    <t>un diferencial del 0,65% durante los 15 años de vigencia del mismo. Este tipo de interés será revisable</t>
  </si>
  <si>
    <t>anualmente y las cuotas a pagar del préstamo tendrán una periodicidad trimestral.</t>
  </si>
  <si>
    <t>Se pide calcular el cuadro de amortización del préstamo actualizado, sabiendo que el EURIBOR se</t>
  </si>
  <si>
    <t>fijaba en el 0,72% en el momento de la firma del contrato, en 0,98% en la fecha de revisión del</t>
  </si>
  <si>
    <t>primer año y en el 1,11% en la fecha de revisión del segundo año.</t>
  </si>
  <si>
    <t>Capital inicial</t>
  </si>
  <si>
    <t>Periodo</t>
  </si>
  <si>
    <t>15 años</t>
  </si>
  <si>
    <t>trimestres</t>
  </si>
  <si>
    <t>Tipo de interés:</t>
  </si>
  <si>
    <t>Para el primer año</t>
  </si>
  <si>
    <t>Anual</t>
  </si>
  <si>
    <t>Trimestrales</t>
  </si>
  <si>
    <t>Para el segundo año</t>
  </si>
  <si>
    <t>Resto de años</t>
  </si>
  <si>
    <t>Cuota a pagar el primer año</t>
  </si>
  <si>
    <t>Cuota a pagar el segundo año</t>
  </si>
  <si>
    <t>Cuota a pagar el tecer año</t>
  </si>
  <si>
    <t>Nº de periodos</t>
  </si>
  <si>
    <t>Cuota de amortizac.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</si>
</sst>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d/m"/>
    <numFmt numFmtId="165" formatCode="dd/mm"/>
  </numFmts>
  <fonts count="5" x14ac:knownFonts="1">
    <font>
      <sz val="10"/>
      <color rgb="FF000000"/>
      <name val="Arial"/>
    </font>
    <font>
      <sz val="11"/>
      <color rgb="FF000000"/>
      <name val="Calibri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0" borderId="1" xfId="0" applyNumberFormat="1" applyFont="1" applyBorder="1"/>
    <xf numFmtId="4" fontId="2" fillId="0" borderId="2" xfId="0" applyNumberFormat="1" applyFont="1" applyBorder="1"/>
    <xf numFmtId="4" fontId="2" fillId="0" borderId="3" xfId="0" applyNumberFormat="1" applyFont="1" applyBorder="1"/>
    <xf numFmtId="16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0" fontId="0" fillId="0" borderId="0" xfId="0"/>
    <xf numFmtId="4" fontId="4" fillId="0" borderId="4" xfId="0" applyNumberFormat="1" applyFont="1" applyBorder="1"/>
    <xf numFmtId="10" fontId="2" fillId="0" borderId="0" xfId="0" applyNumberFormat="1" applyFont="1"/>
    <xf numFmtId="0" fontId="4" fillId="0" borderId="0" xfId="0" applyFont="1"/>
    <xf numFmtId="4" fontId="4" fillId="0" borderId="0" xfId="0" applyNumberFormat="1" applyFont="1"/>
    <xf numFmtId="0" fontId="2" fillId="0" borderId="1" xfId="0" applyFont="1" applyBorder="1"/>
    <xf numFmtId="165" fontId="2" fillId="0" borderId="2" xfId="0" applyNumberFormat="1" applyFont="1" applyBorder="1"/>
    <xf numFmtId="9" fontId="2" fillId="0" borderId="5" xfId="1" applyFont="1" applyFill="1" applyBorder="1"/>
    <xf numFmtId="165" fontId="2" fillId="0" borderId="0" xfId="0" applyNumberFormat="1" applyFont="1"/>
    <xf numFmtId="14" fontId="1" fillId="0" borderId="0" xfId="0" applyNumberFormat="1" applyFont="1"/>
    <xf numFmtId="8" fontId="0" fillId="0" borderId="0" xfId="0" applyNumberFormat="1"/>
    <xf numFmtId="0" fontId="2" fillId="0" borderId="4" xfId="0" applyFont="1" applyBorder="1" applyAlignment="1">
      <alignment horizontal="center"/>
    </xf>
    <xf numFmtId="164" fontId="2" fillId="0" borderId="2" xfId="0" applyNumberFormat="1" applyFont="1" applyBorder="1"/>
    <xf numFmtId="0" fontId="2" fillId="2" borderId="1" xfId="0" applyFont="1" applyFill="1" applyBorder="1"/>
    <xf numFmtId="164" fontId="2" fillId="2" borderId="2" xfId="0" applyNumberFormat="1" applyFont="1" applyFill="1" applyBorder="1"/>
    <xf numFmtId="4" fontId="2" fillId="2" borderId="2" xfId="0" applyNumberFormat="1" applyFont="1" applyFill="1" applyBorder="1"/>
    <xf numFmtId="4" fontId="2" fillId="2" borderId="3" xfId="0" applyNumberFormat="1" applyFont="1" applyFill="1" applyBorder="1"/>
    <xf numFmtId="0" fontId="2" fillId="3" borderId="1" xfId="0" applyFont="1" applyFill="1" applyBorder="1"/>
    <xf numFmtId="164" fontId="2" fillId="3" borderId="2" xfId="0" applyNumberFormat="1" applyFont="1" applyFill="1" applyBorder="1"/>
    <xf numFmtId="4" fontId="2" fillId="3" borderId="2" xfId="0" applyNumberFormat="1" applyFont="1" applyFill="1" applyBorder="1"/>
    <xf numFmtId="4" fontId="2" fillId="3" borderId="3" xfId="0" applyNumberFormat="1" applyFont="1" applyFill="1" applyBorder="1"/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1</xdr:row>
      <xdr:rowOff>45720</xdr:rowOff>
    </xdr:from>
    <xdr:ext cx="5086350" cy="32766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1080" y="243840"/>
          <a:ext cx="5086350" cy="32766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362450" cy="315277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CF980579-41E3-4C7E-AE7F-34E1317928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4362450" cy="3152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17</xdr:row>
      <xdr:rowOff>152400</xdr:rowOff>
    </xdr:from>
    <xdr:ext cx="4219575" cy="3295650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5E0CA18E-4717-4F81-8403-84B9C1360EB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2025" y="3552825"/>
          <a:ext cx="4219575" cy="32956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35</xdr:row>
      <xdr:rowOff>47625</xdr:rowOff>
    </xdr:from>
    <xdr:ext cx="4019550" cy="31432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3E6F0CD6-E865-4761-A78F-E28F51D1BE7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62025" y="7048500"/>
          <a:ext cx="4019550" cy="31432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600575" cy="29718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6C7562B4-9BBA-4280-946B-2D982BE081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4600575" cy="2971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6438900" cy="35242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73D55807-DFE0-4605-BA68-D6D07255F1C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2025" y="3600450"/>
          <a:ext cx="6438900" cy="35242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476750" cy="2876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90F250B5-A5C1-4BF6-95A7-36A94A645B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4476750" cy="2876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6238875" cy="348615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E4548DBC-8C61-4E35-8259-5FDA3C1582C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2025" y="3200400"/>
          <a:ext cx="6238875" cy="3486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9:K96"/>
  <sheetViews>
    <sheetView topLeftCell="A31" workbookViewId="0">
      <selection activeCell="E21" sqref="E21"/>
    </sheetView>
  </sheetViews>
  <sheetFormatPr defaultColWidth="14.42578125" defaultRowHeight="15.75" customHeight="1" x14ac:dyDescent="0.2"/>
  <cols>
    <col min="3" max="3" width="16.85546875" customWidth="1"/>
    <col min="4" max="4" width="20.85546875" customWidth="1"/>
    <col min="5" max="5" width="17.7109375" customWidth="1"/>
    <col min="6" max="6" width="19" customWidth="1"/>
    <col min="7" max="7" width="18.7109375" customWidth="1"/>
  </cols>
  <sheetData>
    <row r="19" spans="1:11" ht="15.75" customHeight="1" x14ac:dyDescent="0.25">
      <c r="B19" s="11" t="s">
        <v>0</v>
      </c>
      <c r="C19" s="12"/>
      <c r="D19" s="12"/>
      <c r="E19" s="12"/>
      <c r="F19" s="12"/>
      <c r="G19" s="12"/>
      <c r="H19" s="12"/>
      <c r="I19" s="12"/>
      <c r="J19" s="12"/>
      <c r="K19" s="12"/>
    </row>
    <row r="20" spans="1:11" ht="15.75" customHeight="1" x14ac:dyDescent="0.25">
      <c r="B20" s="11" t="s">
        <v>1</v>
      </c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15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" x14ac:dyDescent="0.25">
      <c r="B22" s="1" t="s">
        <v>2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ht="15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" x14ac:dyDescent="0.25">
      <c r="B24" s="11" t="s">
        <v>3</v>
      </c>
      <c r="C24" s="12"/>
      <c r="D24" s="12"/>
      <c r="E24" s="12"/>
      <c r="F24" s="1"/>
      <c r="G24" s="1"/>
      <c r="H24" s="1"/>
      <c r="I24" s="1"/>
      <c r="J24" s="1"/>
      <c r="K24" s="1"/>
    </row>
    <row r="25" spans="1:11" ht="15" x14ac:dyDescent="0.25">
      <c r="B25" s="11" t="s">
        <v>4</v>
      </c>
      <c r="C25" s="12"/>
      <c r="D25" s="12"/>
      <c r="E25" s="12"/>
      <c r="F25" s="12"/>
      <c r="G25" s="12"/>
      <c r="H25" s="12"/>
      <c r="I25" s="1"/>
      <c r="J25" s="1"/>
      <c r="K25" s="1"/>
    </row>
    <row r="26" spans="1:11" ht="15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" x14ac:dyDescent="0.25">
      <c r="A27" s="2" t="s">
        <v>5</v>
      </c>
      <c r="B27" s="1" t="s">
        <v>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2.75" x14ac:dyDescent="0.2">
      <c r="B29" s="3" t="s">
        <v>7</v>
      </c>
      <c r="C29" s="4" t="s">
        <v>8</v>
      </c>
      <c r="D29" s="4" t="s">
        <v>9</v>
      </c>
      <c r="E29" s="4" t="s">
        <v>10</v>
      </c>
      <c r="F29" s="4" t="s">
        <v>11</v>
      </c>
      <c r="G29" s="5" t="s">
        <v>12</v>
      </c>
    </row>
    <row r="30" spans="1:11" ht="12.75" x14ac:dyDescent="0.2">
      <c r="B30" s="6">
        <v>44390</v>
      </c>
      <c r="C30" s="7"/>
      <c r="D30" s="7"/>
      <c r="E30" s="7"/>
      <c r="F30" s="7">
        <v>10000000</v>
      </c>
      <c r="G30" s="8"/>
    </row>
    <row r="31" spans="1:11" ht="12.75" x14ac:dyDescent="0.2">
      <c r="B31" s="6">
        <v>44421</v>
      </c>
      <c r="C31" s="7">
        <f t="shared" ref="C31:C89" si="0">D31+E31</f>
        <v>25000</v>
      </c>
      <c r="D31" s="7">
        <v>0</v>
      </c>
      <c r="E31" s="7">
        <f t="shared" ref="E31:E89" si="1">F30*(3%/12)</f>
        <v>25000</v>
      </c>
      <c r="F31" s="7">
        <f t="shared" ref="F31:F89" si="2">F30-D31</f>
        <v>10000000</v>
      </c>
      <c r="G31" s="8">
        <f t="shared" ref="G31:G89" si="3">D31+G30</f>
        <v>0</v>
      </c>
    </row>
    <row r="32" spans="1:11" ht="12.75" x14ac:dyDescent="0.2">
      <c r="B32" s="6">
        <v>44452</v>
      </c>
      <c r="C32" s="7">
        <f t="shared" si="0"/>
        <v>25000</v>
      </c>
      <c r="D32" s="7">
        <v>0</v>
      </c>
      <c r="E32" s="7">
        <f t="shared" si="1"/>
        <v>25000</v>
      </c>
      <c r="F32" s="7">
        <f t="shared" si="2"/>
        <v>10000000</v>
      </c>
      <c r="G32" s="8">
        <f t="shared" si="3"/>
        <v>0</v>
      </c>
    </row>
    <row r="33" spans="2:7" ht="12.75" x14ac:dyDescent="0.2">
      <c r="B33" s="6">
        <v>44482</v>
      </c>
      <c r="C33" s="7">
        <f t="shared" si="0"/>
        <v>25000</v>
      </c>
      <c r="D33" s="7">
        <v>0</v>
      </c>
      <c r="E33" s="7">
        <f t="shared" si="1"/>
        <v>25000</v>
      </c>
      <c r="F33" s="7">
        <f t="shared" si="2"/>
        <v>10000000</v>
      </c>
      <c r="G33" s="8">
        <f t="shared" si="3"/>
        <v>0</v>
      </c>
    </row>
    <row r="34" spans="2:7" ht="12.75" x14ac:dyDescent="0.2">
      <c r="B34" s="6">
        <v>44513</v>
      </c>
      <c r="C34" s="7">
        <f t="shared" si="0"/>
        <v>25000</v>
      </c>
      <c r="D34" s="7">
        <v>0</v>
      </c>
      <c r="E34" s="7">
        <f t="shared" si="1"/>
        <v>25000</v>
      </c>
      <c r="F34" s="7">
        <f t="shared" si="2"/>
        <v>10000000</v>
      </c>
      <c r="G34" s="8">
        <f t="shared" si="3"/>
        <v>0</v>
      </c>
    </row>
    <row r="35" spans="2:7" ht="12.75" x14ac:dyDescent="0.2">
      <c r="B35" s="6">
        <v>44543</v>
      </c>
      <c r="C35" s="7">
        <f t="shared" si="0"/>
        <v>25000</v>
      </c>
      <c r="D35" s="7">
        <v>0</v>
      </c>
      <c r="E35" s="7">
        <f t="shared" si="1"/>
        <v>25000</v>
      </c>
      <c r="F35" s="7">
        <f t="shared" si="2"/>
        <v>10000000</v>
      </c>
      <c r="G35" s="8">
        <f t="shared" si="3"/>
        <v>0</v>
      </c>
    </row>
    <row r="36" spans="2:7" ht="12.75" x14ac:dyDescent="0.2">
      <c r="B36" s="6">
        <v>44574</v>
      </c>
      <c r="C36" s="7">
        <f t="shared" si="0"/>
        <v>25000</v>
      </c>
      <c r="D36" s="7">
        <v>0</v>
      </c>
      <c r="E36" s="7">
        <f t="shared" si="1"/>
        <v>25000</v>
      </c>
      <c r="F36" s="7">
        <f t="shared" si="2"/>
        <v>10000000</v>
      </c>
      <c r="G36" s="8">
        <f t="shared" si="3"/>
        <v>0</v>
      </c>
    </row>
    <row r="37" spans="2:7" ht="12.75" x14ac:dyDescent="0.2">
      <c r="B37" s="6">
        <v>44605</v>
      </c>
      <c r="C37" s="7">
        <f t="shared" si="0"/>
        <v>25000</v>
      </c>
      <c r="D37" s="7">
        <v>0</v>
      </c>
      <c r="E37" s="7">
        <f t="shared" si="1"/>
        <v>25000</v>
      </c>
      <c r="F37" s="7">
        <f t="shared" si="2"/>
        <v>10000000</v>
      </c>
      <c r="G37" s="8">
        <f t="shared" si="3"/>
        <v>0</v>
      </c>
    </row>
    <row r="38" spans="2:7" ht="12.75" x14ac:dyDescent="0.2">
      <c r="B38" s="6">
        <v>44633</v>
      </c>
      <c r="C38" s="7">
        <f t="shared" si="0"/>
        <v>25000</v>
      </c>
      <c r="D38" s="7">
        <v>0</v>
      </c>
      <c r="E38" s="7">
        <f t="shared" si="1"/>
        <v>25000</v>
      </c>
      <c r="F38" s="7">
        <f t="shared" si="2"/>
        <v>10000000</v>
      </c>
      <c r="G38" s="8">
        <f t="shared" si="3"/>
        <v>0</v>
      </c>
    </row>
    <row r="39" spans="2:7" ht="12.75" x14ac:dyDescent="0.2">
      <c r="B39" s="6">
        <v>44664</v>
      </c>
      <c r="C39" s="7">
        <f t="shared" si="0"/>
        <v>25000</v>
      </c>
      <c r="D39" s="7">
        <v>0</v>
      </c>
      <c r="E39" s="7">
        <f t="shared" si="1"/>
        <v>25000</v>
      </c>
      <c r="F39" s="7">
        <f t="shared" si="2"/>
        <v>10000000</v>
      </c>
      <c r="G39" s="8">
        <f t="shared" si="3"/>
        <v>0</v>
      </c>
    </row>
    <row r="40" spans="2:7" ht="12.75" x14ac:dyDescent="0.2">
      <c r="B40" s="6">
        <v>44694</v>
      </c>
      <c r="C40" s="7">
        <f t="shared" si="0"/>
        <v>25000</v>
      </c>
      <c r="D40" s="7">
        <v>0</v>
      </c>
      <c r="E40" s="7">
        <f t="shared" si="1"/>
        <v>25000</v>
      </c>
      <c r="F40" s="7">
        <f t="shared" si="2"/>
        <v>10000000</v>
      </c>
      <c r="G40" s="8">
        <f t="shared" si="3"/>
        <v>0</v>
      </c>
    </row>
    <row r="41" spans="2:7" ht="12.75" x14ac:dyDescent="0.2">
      <c r="B41" s="6">
        <v>44725</v>
      </c>
      <c r="C41" s="7">
        <f t="shared" si="0"/>
        <v>25000</v>
      </c>
      <c r="D41" s="7">
        <v>0</v>
      </c>
      <c r="E41" s="7">
        <f t="shared" si="1"/>
        <v>25000</v>
      </c>
      <c r="F41" s="7">
        <f t="shared" si="2"/>
        <v>10000000</v>
      </c>
      <c r="G41" s="8">
        <f t="shared" si="3"/>
        <v>0</v>
      </c>
    </row>
    <row r="42" spans="2:7" ht="12.75" x14ac:dyDescent="0.2">
      <c r="B42" s="6">
        <v>44755</v>
      </c>
      <c r="C42" s="7">
        <f t="shared" si="0"/>
        <v>25000</v>
      </c>
      <c r="D42" s="7">
        <v>0</v>
      </c>
      <c r="E42" s="7">
        <f t="shared" si="1"/>
        <v>25000</v>
      </c>
      <c r="F42" s="7">
        <f t="shared" si="2"/>
        <v>10000000</v>
      </c>
      <c r="G42" s="8">
        <f t="shared" si="3"/>
        <v>0</v>
      </c>
    </row>
    <row r="43" spans="2:7" ht="12.75" x14ac:dyDescent="0.2">
      <c r="B43" s="6">
        <v>44786</v>
      </c>
      <c r="C43" s="7">
        <f t="shared" si="0"/>
        <v>25000</v>
      </c>
      <c r="D43" s="7">
        <v>0</v>
      </c>
      <c r="E43" s="7">
        <f t="shared" si="1"/>
        <v>25000</v>
      </c>
      <c r="F43" s="7">
        <f t="shared" si="2"/>
        <v>10000000</v>
      </c>
      <c r="G43" s="8">
        <f t="shared" si="3"/>
        <v>0</v>
      </c>
    </row>
    <row r="44" spans="2:7" ht="12.75" x14ac:dyDescent="0.2">
      <c r="B44" s="6">
        <v>44817</v>
      </c>
      <c r="C44" s="7">
        <f t="shared" si="0"/>
        <v>25000</v>
      </c>
      <c r="D44" s="7">
        <v>0</v>
      </c>
      <c r="E44" s="7">
        <f t="shared" si="1"/>
        <v>25000</v>
      </c>
      <c r="F44" s="7">
        <f t="shared" si="2"/>
        <v>10000000</v>
      </c>
      <c r="G44" s="8">
        <f t="shared" si="3"/>
        <v>0</v>
      </c>
    </row>
    <row r="45" spans="2:7" ht="12.75" x14ac:dyDescent="0.2">
      <c r="B45" s="6">
        <v>44847</v>
      </c>
      <c r="C45" s="7">
        <f t="shared" si="0"/>
        <v>25000</v>
      </c>
      <c r="D45" s="7">
        <v>0</v>
      </c>
      <c r="E45" s="7">
        <f t="shared" si="1"/>
        <v>25000</v>
      </c>
      <c r="F45" s="7">
        <f t="shared" si="2"/>
        <v>10000000</v>
      </c>
      <c r="G45" s="8">
        <f t="shared" si="3"/>
        <v>0</v>
      </c>
    </row>
    <row r="46" spans="2:7" ht="12.75" x14ac:dyDescent="0.2">
      <c r="B46" s="6">
        <v>44878</v>
      </c>
      <c r="C46" s="7">
        <f t="shared" si="0"/>
        <v>25000</v>
      </c>
      <c r="D46" s="7">
        <v>0</v>
      </c>
      <c r="E46" s="7">
        <f t="shared" si="1"/>
        <v>25000</v>
      </c>
      <c r="F46" s="7">
        <f t="shared" si="2"/>
        <v>10000000</v>
      </c>
      <c r="G46" s="8">
        <f t="shared" si="3"/>
        <v>0</v>
      </c>
    </row>
    <row r="47" spans="2:7" ht="12.75" x14ac:dyDescent="0.2">
      <c r="B47" s="6">
        <v>44908</v>
      </c>
      <c r="C47" s="7">
        <f t="shared" si="0"/>
        <v>25000</v>
      </c>
      <c r="D47" s="7">
        <v>0</v>
      </c>
      <c r="E47" s="7">
        <f t="shared" si="1"/>
        <v>25000</v>
      </c>
      <c r="F47" s="7">
        <f t="shared" si="2"/>
        <v>10000000</v>
      </c>
      <c r="G47" s="8">
        <f t="shared" si="3"/>
        <v>0</v>
      </c>
    </row>
    <row r="48" spans="2:7" ht="12.75" x14ac:dyDescent="0.2">
      <c r="B48" s="6">
        <v>44939</v>
      </c>
      <c r="C48" s="7">
        <f t="shared" si="0"/>
        <v>25000</v>
      </c>
      <c r="D48" s="7">
        <v>0</v>
      </c>
      <c r="E48" s="7">
        <f t="shared" si="1"/>
        <v>25000</v>
      </c>
      <c r="F48" s="7">
        <f t="shared" si="2"/>
        <v>10000000</v>
      </c>
      <c r="G48" s="8">
        <f t="shared" si="3"/>
        <v>0</v>
      </c>
    </row>
    <row r="49" spans="2:7" ht="12.75" x14ac:dyDescent="0.2">
      <c r="B49" s="6">
        <v>44970</v>
      </c>
      <c r="C49" s="7">
        <f t="shared" si="0"/>
        <v>25000</v>
      </c>
      <c r="D49" s="7">
        <v>0</v>
      </c>
      <c r="E49" s="7">
        <f t="shared" si="1"/>
        <v>25000</v>
      </c>
      <c r="F49" s="7">
        <f t="shared" si="2"/>
        <v>10000000</v>
      </c>
      <c r="G49" s="8">
        <f t="shared" si="3"/>
        <v>0</v>
      </c>
    </row>
    <row r="50" spans="2:7" ht="12.75" x14ac:dyDescent="0.2">
      <c r="B50" s="6">
        <v>44998</v>
      </c>
      <c r="C50" s="7">
        <f t="shared" si="0"/>
        <v>25000</v>
      </c>
      <c r="D50" s="7">
        <v>0</v>
      </c>
      <c r="E50" s="7">
        <f t="shared" si="1"/>
        <v>25000</v>
      </c>
      <c r="F50" s="7">
        <f t="shared" si="2"/>
        <v>10000000</v>
      </c>
      <c r="G50" s="8">
        <f t="shared" si="3"/>
        <v>0</v>
      </c>
    </row>
    <row r="51" spans="2:7" ht="12.75" x14ac:dyDescent="0.2">
      <c r="B51" s="6">
        <v>45029</v>
      </c>
      <c r="C51" s="7">
        <f t="shared" si="0"/>
        <v>25000</v>
      </c>
      <c r="D51" s="7">
        <v>0</v>
      </c>
      <c r="E51" s="7">
        <f t="shared" si="1"/>
        <v>25000</v>
      </c>
      <c r="F51" s="7">
        <f t="shared" si="2"/>
        <v>10000000</v>
      </c>
      <c r="G51" s="8">
        <f t="shared" si="3"/>
        <v>0</v>
      </c>
    </row>
    <row r="52" spans="2:7" ht="12.75" x14ac:dyDescent="0.2">
      <c r="B52" s="6">
        <v>45059</v>
      </c>
      <c r="C52" s="7">
        <f t="shared" si="0"/>
        <v>25000</v>
      </c>
      <c r="D52" s="7">
        <v>0</v>
      </c>
      <c r="E52" s="7">
        <f t="shared" si="1"/>
        <v>25000</v>
      </c>
      <c r="F52" s="7">
        <f t="shared" si="2"/>
        <v>10000000</v>
      </c>
      <c r="G52" s="8">
        <f t="shared" si="3"/>
        <v>0</v>
      </c>
    </row>
    <row r="53" spans="2:7" ht="12.75" x14ac:dyDescent="0.2">
      <c r="B53" s="6">
        <v>45090</v>
      </c>
      <c r="C53" s="7">
        <f t="shared" si="0"/>
        <v>25000</v>
      </c>
      <c r="D53" s="7">
        <v>0</v>
      </c>
      <c r="E53" s="7">
        <f t="shared" si="1"/>
        <v>25000</v>
      </c>
      <c r="F53" s="7">
        <f t="shared" si="2"/>
        <v>10000000</v>
      </c>
      <c r="G53" s="8">
        <f t="shared" si="3"/>
        <v>0</v>
      </c>
    </row>
    <row r="54" spans="2:7" ht="12.75" x14ac:dyDescent="0.2">
      <c r="B54" s="6">
        <v>45120</v>
      </c>
      <c r="C54" s="7">
        <f t="shared" si="0"/>
        <v>25000</v>
      </c>
      <c r="D54" s="7">
        <v>0</v>
      </c>
      <c r="E54" s="7">
        <f t="shared" si="1"/>
        <v>25000</v>
      </c>
      <c r="F54" s="7">
        <f t="shared" si="2"/>
        <v>10000000</v>
      </c>
      <c r="G54" s="8">
        <f t="shared" si="3"/>
        <v>0</v>
      </c>
    </row>
    <row r="55" spans="2:7" ht="12.75" x14ac:dyDescent="0.2">
      <c r="B55" s="6">
        <v>45151</v>
      </c>
      <c r="C55" s="7">
        <f t="shared" si="0"/>
        <v>25000</v>
      </c>
      <c r="D55" s="7">
        <v>0</v>
      </c>
      <c r="E55" s="7">
        <f t="shared" si="1"/>
        <v>25000</v>
      </c>
      <c r="F55" s="7">
        <f t="shared" si="2"/>
        <v>10000000</v>
      </c>
      <c r="G55" s="8">
        <f t="shared" si="3"/>
        <v>0</v>
      </c>
    </row>
    <row r="56" spans="2:7" ht="12.75" x14ac:dyDescent="0.2">
      <c r="B56" s="6">
        <v>45182</v>
      </c>
      <c r="C56" s="7">
        <f t="shared" si="0"/>
        <v>25000</v>
      </c>
      <c r="D56" s="7">
        <v>0</v>
      </c>
      <c r="E56" s="7">
        <f t="shared" si="1"/>
        <v>25000</v>
      </c>
      <c r="F56" s="7">
        <f t="shared" si="2"/>
        <v>10000000</v>
      </c>
      <c r="G56" s="8">
        <f t="shared" si="3"/>
        <v>0</v>
      </c>
    </row>
    <row r="57" spans="2:7" ht="12.75" x14ac:dyDescent="0.2">
      <c r="B57" s="6">
        <v>45212</v>
      </c>
      <c r="C57" s="7">
        <f t="shared" si="0"/>
        <v>25000</v>
      </c>
      <c r="D57" s="7">
        <v>0</v>
      </c>
      <c r="E57" s="7">
        <f t="shared" si="1"/>
        <v>25000</v>
      </c>
      <c r="F57" s="7">
        <f t="shared" si="2"/>
        <v>10000000</v>
      </c>
      <c r="G57" s="8">
        <f t="shared" si="3"/>
        <v>0</v>
      </c>
    </row>
    <row r="58" spans="2:7" ht="12.75" x14ac:dyDescent="0.2">
      <c r="B58" s="6">
        <v>45243</v>
      </c>
      <c r="C58" s="7">
        <f t="shared" si="0"/>
        <v>25000</v>
      </c>
      <c r="D58" s="7">
        <v>0</v>
      </c>
      <c r="E58" s="7">
        <f t="shared" si="1"/>
        <v>25000</v>
      </c>
      <c r="F58" s="7">
        <f t="shared" si="2"/>
        <v>10000000</v>
      </c>
      <c r="G58" s="8">
        <f t="shared" si="3"/>
        <v>0</v>
      </c>
    </row>
    <row r="59" spans="2:7" ht="12.75" x14ac:dyDescent="0.2">
      <c r="B59" s="6">
        <v>45273</v>
      </c>
      <c r="C59" s="7">
        <f t="shared" si="0"/>
        <v>25000</v>
      </c>
      <c r="D59" s="7">
        <v>0</v>
      </c>
      <c r="E59" s="7">
        <f t="shared" si="1"/>
        <v>25000</v>
      </c>
      <c r="F59" s="7">
        <f t="shared" si="2"/>
        <v>10000000</v>
      </c>
      <c r="G59" s="8">
        <f t="shared" si="3"/>
        <v>0</v>
      </c>
    </row>
    <row r="60" spans="2:7" ht="12.75" x14ac:dyDescent="0.2">
      <c r="B60" s="6">
        <v>45304</v>
      </c>
      <c r="C60" s="7">
        <f t="shared" si="0"/>
        <v>25000</v>
      </c>
      <c r="D60" s="7">
        <v>0</v>
      </c>
      <c r="E60" s="7">
        <f t="shared" si="1"/>
        <v>25000</v>
      </c>
      <c r="F60" s="7">
        <f t="shared" si="2"/>
        <v>10000000</v>
      </c>
      <c r="G60" s="8">
        <f t="shared" si="3"/>
        <v>0</v>
      </c>
    </row>
    <row r="61" spans="2:7" ht="12.75" x14ac:dyDescent="0.2">
      <c r="B61" s="6">
        <v>45335</v>
      </c>
      <c r="C61" s="7">
        <f t="shared" si="0"/>
        <v>25000</v>
      </c>
      <c r="D61" s="7">
        <v>0</v>
      </c>
      <c r="E61" s="7">
        <f t="shared" si="1"/>
        <v>25000</v>
      </c>
      <c r="F61" s="7">
        <f t="shared" si="2"/>
        <v>10000000</v>
      </c>
      <c r="G61" s="8">
        <f t="shared" si="3"/>
        <v>0</v>
      </c>
    </row>
    <row r="62" spans="2:7" ht="12.75" x14ac:dyDescent="0.2">
      <c r="B62" s="6">
        <v>45364</v>
      </c>
      <c r="C62" s="7">
        <f t="shared" si="0"/>
        <v>25000</v>
      </c>
      <c r="D62" s="7">
        <v>0</v>
      </c>
      <c r="E62" s="7">
        <f t="shared" si="1"/>
        <v>25000</v>
      </c>
      <c r="F62" s="7">
        <f t="shared" si="2"/>
        <v>10000000</v>
      </c>
      <c r="G62" s="8">
        <f t="shared" si="3"/>
        <v>0</v>
      </c>
    </row>
    <row r="63" spans="2:7" ht="12.75" x14ac:dyDescent="0.2">
      <c r="B63" s="6">
        <v>45395</v>
      </c>
      <c r="C63" s="7">
        <f t="shared" si="0"/>
        <v>25000</v>
      </c>
      <c r="D63" s="7">
        <v>0</v>
      </c>
      <c r="E63" s="7">
        <f t="shared" si="1"/>
        <v>25000</v>
      </c>
      <c r="F63" s="7">
        <f t="shared" si="2"/>
        <v>10000000</v>
      </c>
      <c r="G63" s="8">
        <f t="shared" si="3"/>
        <v>0</v>
      </c>
    </row>
    <row r="64" spans="2:7" ht="12.75" x14ac:dyDescent="0.2">
      <c r="B64" s="6">
        <v>45425</v>
      </c>
      <c r="C64" s="7">
        <f t="shared" si="0"/>
        <v>25000</v>
      </c>
      <c r="D64" s="7">
        <v>0</v>
      </c>
      <c r="E64" s="7">
        <f t="shared" si="1"/>
        <v>25000</v>
      </c>
      <c r="F64" s="7">
        <f t="shared" si="2"/>
        <v>10000000</v>
      </c>
      <c r="G64" s="8">
        <f t="shared" si="3"/>
        <v>0</v>
      </c>
    </row>
    <row r="65" spans="2:7" ht="12.75" x14ac:dyDescent="0.2">
      <c r="B65" s="6">
        <v>45456</v>
      </c>
      <c r="C65" s="7">
        <f t="shared" si="0"/>
        <v>25000</v>
      </c>
      <c r="D65" s="7">
        <v>0</v>
      </c>
      <c r="E65" s="7">
        <f t="shared" si="1"/>
        <v>25000</v>
      </c>
      <c r="F65" s="7">
        <f t="shared" si="2"/>
        <v>10000000</v>
      </c>
      <c r="G65" s="8">
        <f t="shared" si="3"/>
        <v>0</v>
      </c>
    </row>
    <row r="66" spans="2:7" ht="12.75" x14ac:dyDescent="0.2">
      <c r="B66" s="6">
        <v>45486</v>
      </c>
      <c r="C66" s="7">
        <f t="shared" si="0"/>
        <v>25000</v>
      </c>
      <c r="D66" s="7">
        <v>0</v>
      </c>
      <c r="E66" s="7">
        <f t="shared" si="1"/>
        <v>25000</v>
      </c>
      <c r="F66" s="7">
        <f t="shared" si="2"/>
        <v>10000000</v>
      </c>
      <c r="G66" s="8">
        <f t="shared" si="3"/>
        <v>0</v>
      </c>
    </row>
    <row r="67" spans="2:7" ht="12.75" x14ac:dyDescent="0.2">
      <c r="B67" s="6">
        <v>45517</v>
      </c>
      <c r="C67" s="7">
        <f t="shared" si="0"/>
        <v>25000</v>
      </c>
      <c r="D67" s="7">
        <v>0</v>
      </c>
      <c r="E67" s="7">
        <f t="shared" si="1"/>
        <v>25000</v>
      </c>
      <c r="F67" s="7">
        <f t="shared" si="2"/>
        <v>10000000</v>
      </c>
      <c r="G67" s="8">
        <f t="shared" si="3"/>
        <v>0</v>
      </c>
    </row>
    <row r="68" spans="2:7" ht="12.75" x14ac:dyDescent="0.2">
      <c r="B68" s="6">
        <v>45548</v>
      </c>
      <c r="C68" s="7">
        <f t="shared" si="0"/>
        <v>25000</v>
      </c>
      <c r="D68" s="7">
        <v>0</v>
      </c>
      <c r="E68" s="7">
        <f t="shared" si="1"/>
        <v>25000</v>
      </c>
      <c r="F68" s="7">
        <f t="shared" si="2"/>
        <v>10000000</v>
      </c>
      <c r="G68" s="8">
        <f t="shared" si="3"/>
        <v>0</v>
      </c>
    </row>
    <row r="69" spans="2:7" ht="12.75" x14ac:dyDescent="0.2">
      <c r="B69" s="6">
        <v>45578</v>
      </c>
      <c r="C69" s="7">
        <f t="shared" si="0"/>
        <v>25000</v>
      </c>
      <c r="D69" s="7">
        <v>0</v>
      </c>
      <c r="E69" s="7">
        <f t="shared" si="1"/>
        <v>25000</v>
      </c>
      <c r="F69" s="7">
        <f t="shared" si="2"/>
        <v>10000000</v>
      </c>
      <c r="G69" s="8">
        <f t="shared" si="3"/>
        <v>0</v>
      </c>
    </row>
    <row r="70" spans="2:7" ht="12.75" x14ac:dyDescent="0.2">
      <c r="B70" s="6">
        <v>45609</v>
      </c>
      <c r="C70" s="7">
        <f t="shared" si="0"/>
        <v>25000</v>
      </c>
      <c r="D70" s="7">
        <v>0</v>
      </c>
      <c r="E70" s="7">
        <f t="shared" si="1"/>
        <v>25000</v>
      </c>
      <c r="F70" s="7">
        <f t="shared" si="2"/>
        <v>10000000</v>
      </c>
      <c r="G70" s="8">
        <f t="shared" si="3"/>
        <v>0</v>
      </c>
    </row>
    <row r="71" spans="2:7" ht="12.75" x14ac:dyDescent="0.2">
      <c r="B71" s="6">
        <v>45639</v>
      </c>
      <c r="C71" s="7">
        <f t="shared" si="0"/>
        <v>25000</v>
      </c>
      <c r="D71" s="7">
        <v>0</v>
      </c>
      <c r="E71" s="7">
        <f t="shared" si="1"/>
        <v>25000</v>
      </c>
      <c r="F71" s="7">
        <f t="shared" si="2"/>
        <v>10000000</v>
      </c>
      <c r="G71" s="8">
        <f t="shared" si="3"/>
        <v>0</v>
      </c>
    </row>
    <row r="72" spans="2:7" ht="12.75" x14ac:dyDescent="0.2">
      <c r="B72" s="6">
        <v>45670</v>
      </c>
      <c r="C72" s="7">
        <f t="shared" si="0"/>
        <v>25000</v>
      </c>
      <c r="D72" s="7">
        <v>0</v>
      </c>
      <c r="E72" s="7">
        <f t="shared" si="1"/>
        <v>25000</v>
      </c>
      <c r="F72" s="7">
        <f t="shared" si="2"/>
        <v>10000000</v>
      </c>
      <c r="G72" s="8">
        <f t="shared" si="3"/>
        <v>0</v>
      </c>
    </row>
    <row r="73" spans="2:7" ht="12.75" x14ac:dyDescent="0.2">
      <c r="B73" s="6">
        <v>45701</v>
      </c>
      <c r="C73" s="7">
        <f t="shared" si="0"/>
        <v>25000</v>
      </c>
      <c r="D73" s="7">
        <v>0</v>
      </c>
      <c r="E73" s="7">
        <f t="shared" si="1"/>
        <v>25000</v>
      </c>
      <c r="F73" s="7">
        <f t="shared" si="2"/>
        <v>10000000</v>
      </c>
      <c r="G73" s="8">
        <f t="shared" si="3"/>
        <v>0</v>
      </c>
    </row>
    <row r="74" spans="2:7" ht="12.75" x14ac:dyDescent="0.2">
      <c r="B74" s="6">
        <v>45729</v>
      </c>
      <c r="C74" s="7">
        <f t="shared" si="0"/>
        <v>25000</v>
      </c>
      <c r="D74" s="7">
        <v>0</v>
      </c>
      <c r="E74" s="7">
        <f t="shared" si="1"/>
        <v>25000</v>
      </c>
      <c r="F74" s="7">
        <f t="shared" si="2"/>
        <v>10000000</v>
      </c>
      <c r="G74" s="8">
        <f t="shared" si="3"/>
        <v>0</v>
      </c>
    </row>
    <row r="75" spans="2:7" ht="12.75" x14ac:dyDescent="0.2">
      <c r="B75" s="6">
        <v>45760</v>
      </c>
      <c r="C75" s="7">
        <f t="shared" si="0"/>
        <v>25000</v>
      </c>
      <c r="D75" s="7">
        <v>0</v>
      </c>
      <c r="E75" s="7">
        <f t="shared" si="1"/>
        <v>25000</v>
      </c>
      <c r="F75" s="7">
        <f t="shared" si="2"/>
        <v>10000000</v>
      </c>
      <c r="G75" s="8">
        <f t="shared" si="3"/>
        <v>0</v>
      </c>
    </row>
    <row r="76" spans="2:7" ht="12.75" x14ac:dyDescent="0.2">
      <c r="B76" s="6">
        <v>45790</v>
      </c>
      <c r="C76" s="7">
        <f t="shared" si="0"/>
        <v>25000</v>
      </c>
      <c r="D76" s="7">
        <v>0</v>
      </c>
      <c r="E76" s="7">
        <f t="shared" si="1"/>
        <v>25000</v>
      </c>
      <c r="F76" s="7">
        <f t="shared" si="2"/>
        <v>10000000</v>
      </c>
      <c r="G76" s="8">
        <f t="shared" si="3"/>
        <v>0</v>
      </c>
    </row>
    <row r="77" spans="2:7" ht="12.75" x14ac:dyDescent="0.2">
      <c r="B77" s="6">
        <v>45821</v>
      </c>
      <c r="C77" s="7">
        <f t="shared" si="0"/>
        <v>25000</v>
      </c>
      <c r="D77" s="7">
        <v>0</v>
      </c>
      <c r="E77" s="7">
        <f t="shared" si="1"/>
        <v>25000</v>
      </c>
      <c r="F77" s="7">
        <f t="shared" si="2"/>
        <v>10000000</v>
      </c>
      <c r="G77" s="8">
        <f t="shared" si="3"/>
        <v>0</v>
      </c>
    </row>
    <row r="78" spans="2:7" ht="12.75" x14ac:dyDescent="0.2">
      <c r="B78" s="6">
        <v>45851</v>
      </c>
      <c r="C78" s="7">
        <f t="shared" si="0"/>
        <v>25000</v>
      </c>
      <c r="D78" s="7">
        <v>0</v>
      </c>
      <c r="E78" s="7">
        <f t="shared" si="1"/>
        <v>25000</v>
      </c>
      <c r="F78" s="7">
        <f t="shared" si="2"/>
        <v>10000000</v>
      </c>
      <c r="G78" s="8">
        <f t="shared" si="3"/>
        <v>0</v>
      </c>
    </row>
    <row r="79" spans="2:7" ht="12.75" x14ac:dyDescent="0.2">
      <c r="B79" s="6">
        <v>45882</v>
      </c>
      <c r="C79" s="7">
        <f t="shared" si="0"/>
        <v>25000</v>
      </c>
      <c r="D79" s="7">
        <v>0</v>
      </c>
      <c r="E79" s="7">
        <f t="shared" si="1"/>
        <v>25000</v>
      </c>
      <c r="F79" s="7">
        <f t="shared" si="2"/>
        <v>10000000</v>
      </c>
      <c r="G79" s="8">
        <f t="shared" si="3"/>
        <v>0</v>
      </c>
    </row>
    <row r="80" spans="2:7" ht="12.75" x14ac:dyDescent="0.2">
      <c r="B80" s="6">
        <v>45913</v>
      </c>
      <c r="C80" s="7">
        <f t="shared" si="0"/>
        <v>25000</v>
      </c>
      <c r="D80" s="7">
        <v>0</v>
      </c>
      <c r="E80" s="7">
        <f t="shared" si="1"/>
        <v>25000</v>
      </c>
      <c r="F80" s="7">
        <f t="shared" si="2"/>
        <v>10000000</v>
      </c>
      <c r="G80" s="8">
        <f t="shared" si="3"/>
        <v>0</v>
      </c>
    </row>
    <row r="81" spans="1:7" ht="12.75" x14ac:dyDescent="0.2">
      <c r="B81" s="6">
        <v>45943</v>
      </c>
      <c r="C81" s="7">
        <f t="shared" si="0"/>
        <v>25000</v>
      </c>
      <c r="D81" s="7">
        <v>0</v>
      </c>
      <c r="E81" s="7">
        <f t="shared" si="1"/>
        <v>25000</v>
      </c>
      <c r="F81" s="7">
        <f t="shared" si="2"/>
        <v>10000000</v>
      </c>
      <c r="G81" s="8">
        <f t="shared" si="3"/>
        <v>0</v>
      </c>
    </row>
    <row r="82" spans="1:7" ht="12.75" x14ac:dyDescent="0.2">
      <c r="B82" s="6">
        <v>45974</v>
      </c>
      <c r="C82" s="7">
        <f t="shared" si="0"/>
        <v>25000</v>
      </c>
      <c r="D82" s="7">
        <v>0</v>
      </c>
      <c r="E82" s="7">
        <f t="shared" si="1"/>
        <v>25000</v>
      </c>
      <c r="F82" s="7">
        <f t="shared" si="2"/>
        <v>10000000</v>
      </c>
      <c r="G82" s="8">
        <f t="shared" si="3"/>
        <v>0</v>
      </c>
    </row>
    <row r="83" spans="1:7" ht="12.75" x14ac:dyDescent="0.2">
      <c r="B83" s="6">
        <v>46004</v>
      </c>
      <c r="C83" s="7">
        <f t="shared" si="0"/>
        <v>25000</v>
      </c>
      <c r="D83" s="7">
        <v>0</v>
      </c>
      <c r="E83" s="7">
        <f t="shared" si="1"/>
        <v>25000</v>
      </c>
      <c r="F83" s="7">
        <f t="shared" si="2"/>
        <v>10000000</v>
      </c>
      <c r="G83" s="8">
        <f t="shared" si="3"/>
        <v>0</v>
      </c>
    </row>
    <row r="84" spans="1:7" ht="12.75" x14ac:dyDescent="0.2">
      <c r="B84" s="6">
        <v>46035</v>
      </c>
      <c r="C84" s="7">
        <f t="shared" si="0"/>
        <v>25000</v>
      </c>
      <c r="D84" s="7">
        <v>0</v>
      </c>
      <c r="E84" s="7">
        <f t="shared" si="1"/>
        <v>25000</v>
      </c>
      <c r="F84" s="7">
        <f t="shared" si="2"/>
        <v>10000000</v>
      </c>
      <c r="G84" s="8">
        <f t="shared" si="3"/>
        <v>0</v>
      </c>
    </row>
    <row r="85" spans="1:7" ht="12.75" x14ac:dyDescent="0.2">
      <c r="B85" s="6">
        <v>46066</v>
      </c>
      <c r="C85" s="7">
        <f t="shared" si="0"/>
        <v>25000</v>
      </c>
      <c r="D85" s="7">
        <v>0</v>
      </c>
      <c r="E85" s="7">
        <f t="shared" si="1"/>
        <v>25000</v>
      </c>
      <c r="F85" s="7">
        <f t="shared" si="2"/>
        <v>10000000</v>
      </c>
      <c r="G85" s="8">
        <f t="shared" si="3"/>
        <v>0</v>
      </c>
    </row>
    <row r="86" spans="1:7" ht="12.75" x14ac:dyDescent="0.2">
      <c r="B86" s="6">
        <v>46094</v>
      </c>
      <c r="C86" s="7">
        <f t="shared" si="0"/>
        <v>25000</v>
      </c>
      <c r="D86" s="7">
        <v>0</v>
      </c>
      <c r="E86" s="7">
        <f t="shared" si="1"/>
        <v>25000</v>
      </c>
      <c r="F86" s="7">
        <f t="shared" si="2"/>
        <v>10000000</v>
      </c>
      <c r="G86" s="8">
        <f t="shared" si="3"/>
        <v>0</v>
      </c>
    </row>
    <row r="87" spans="1:7" ht="12.75" x14ac:dyDescent="0.2">
      <c r="B87" s="6">
        <v>46125</v>
      </c>
      <c r="C87" s="7">
        <f t="shared" si="0"/>
        <v>25000</v>
      </c>
      <c r="D87" s="7">
        <v>0</v>
      </c>
      <c r="E87" s="7">
        <f t="shared" si="1"/>
        <v>25000</v>
      </c>
      <c r="F87" s="7">
        <f t="shared" si="2"/>
        <v>10000000</v>
      </c>
      <c r="G87" s="8">
        <f t="shared" si="3"/>
        <v>0</v>
      </c>
    </row>
    <row r="88" spans="1:7" ht="12.75" x14ac:dyDescent="0.2">
      <c r="B88" s="6">
        <v>46155</v>
      </c>
      <c r="C88" s="7">
        <f t="shared" si="0"/>
        <v>25000</v>
      </c>
      <c r="D88" s="7">
        <v>0</v>
      </c>
      <c r="E88" s="7">
        <f t="shared" si="1"/>
        <v>25000</v>
      </c>
      <c r="F88" s="7">
        <f t="shared" si="2"/>
        <v>10000000</v>
      </c>
      <c r="G88" s="8">
        <f t="shared" si="3"/>
        <v>0</v>
      </c>
    </row>
    <row r="89" spans="1:7" ht="12.75" x14ac:dyDescent="0.2">
      <c r="B89" s="6">
        <v>46186</v>
      </c>
      <c r="C89" s="7">
        <f t="shared" si="0"/>
        <v>10025000</v>
      </c>
      <c r="D89" s="7">
        <v>10000000</v>
      </c>
      <c r="E89" s="7">
        <f t="shared" si="1"/>
        <v>25000</v>
      </c>
      <c r="F89" s="7">
        <f t="shared" si="2"/>
        <v>0</v>
      </c>
      <c r="G89" s="8">
        <f t="shared" si="3"/>
        <v>10000000</v>
      </c>
    </row>
    <row r="90" spans="1:7" ht="12.75" x14ac:dyDescent="0.2">
      <c r="B90" s="9"/>
    </row>
    <row r="92" spans="1:7" ht="12.75" x14ac:dyDescent="0.2">
      <c r="A92" s="2" t="s">
        <v>13</v>
      </c>
      <c r="B92" s="2" t="s">
        <v>14</v>
      </c>
    </row>
    <row r="94" spans="1:7" ht="12.75" x14ac:dyDescent="0.2">
      <c r="B94" s="2" t="s">
        <v>15</v>
      </c>
      <c r="C94" s="10">
        <f>SUM(C30:C68)</f>
        <v>950000</v>
      </c>
      <c r="D94" s="2" t="s">
        <v>16</v>
      </c>
    </row>
    <row r="96" spans="1:7" ht="12.75" x14ac:dyDescent="0.2">
      <c r="B96" s="2" t="s">
        <v>17</v>
      </c>
      <c r="C96" s="10">
        <f>25000*(2+12+12+12)</f>
        <v>950000</v>
      </c>
    </row>
  </sheetData>
  <mergeCells count="4">
    <mergeCell ref="B19:K19"/>
    <mergeCell ref="B20:K20"/>
    <mergeCell ref="B24:E24"/>
    <mergeCell ref="B25:H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DB65-D76E-44F3-A7E3-4224A0B7CDC1}">
  <dimension ref="A54:I285"/>
  <sheetViews>
    <sheetView workbookViewId="0">
      <selection activeCell="G11" sqref="G11"/>
    </sheetView>
  </sheetViews>
  <sheetFormatPr defaultColWidth="14.42578125" defaultRowHeight="15.75" customHeight="1" x14ac:dyDescent="0.2"/>
  <cols>
    <col min="4" max="4" width="20" customWidth="1"/>
    <col min="5" max="5" width="15.7109375" customWidth="1"/>
    <col min="6" max="6" width="16.140625" customWidth="1"/>
    <col min="7" max="7" width="17.7109375" customWidth="1"/>
  </cols>
  <sheetData>
    <row r="54" spans="1:9" ht="15.75" customHeight="1" x14ac:dyDescent="0.25">
      <c r="A54" s="1"/>
      <c r="B54" s="11" t="s">
        <v>18</v>
      </c>
      <c r="C54" s="12"/>
      <c r="D54" s="12"/>
      <c r="E54" s="12"/>
      <c r="F54" s="12"/>
      <c r="G54" s="12"/>
      <c r="H54" s="12"/>
      <c r="I54" s="12"/>
    </row>
    <row r="55" spans="1:9" ht="15.75" customHeight="1" x14ac:dyDescent="0.25">
      <c r="A55" s="1"/>
      <c r="B55" s="11" t="s">
        <v>19</v>
      </c>
      <c r="C55" s="12"/>
      <c r="D55" s="12"/>
      <c r="E55" s="12"/>
      <c r="F55" s="12"/>
      <c r="G55" s="12"/>
      <c r="H55" s="12"/>
      <c r="I55" s="12"/>
    </row>
    <row r="56" spans="1: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.75" customHeight="1" x14ac:dyDescent="0.25">
      <c r="A57" s="1"/>
      <c r="B57" s="11" t="s">
        <v>20</v>
      </c>
      <c r="C57" s="12"/>
      <c r="D57" s="12"/>
      <c r="E57" s="12"/>
      <c r="F57" s="12"/>
      <c r="G57" s="1"/>
      <c r="H57" s="1"/>
      <c r="I57" s="1"/>
    </row>
    <row r="58" spans="1: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5.75" customHeight="1" x14ac:dyDescent="0.25">
      <c r="A59" s="1"/>
      <c r="B59" s="11" t="s">
        <v>21</v>
      </c>
      <c r="C59" s="12"/>
      <c r="D59" s="12"/>
      <c r="E59" s="12"/>
      <c r="F59" s="12"/>
      <c r="G59" s="12"/>
      <c r="H59" s="12"/>
      <c r="I59" s="12"/>
    </row>
    <row r="60" spans="1:9" ht="15.75" customHeight="1" x14ac:dyDescent="0.25">
      <c r="A60" s="1"/>
      <c r="B60" s="11" t="s">
        <v>22</v>
      </c>
      <c r="C60" s="12"/>
      <c r="D60" s="12"/>
      <c r="E60" s="12"/>
      <c r="F60" s="12"/>
      <c r="G60" s="1"/>
      <c r="H60" s="1"/>
      <c r="I60" s="1"/>
    </row>
    <row r="61" spans="1: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5.75" customHeight="1" x14ac:dyDescent="0.25">
      <c r="A62" s="1" t="s">
        <v>5</v>
      </c>
      <c r="B62" s="11" t="s">
        <v>23</v>
      </c>
      <c r="C62" s="12"/>
      <c r="D62" s="12"/>
      <c r="E62" s="12"/>
      <c r="F62" s="12"/>
      <c r="G62" s="12"/>
      <c r="H62" s="12"/>
      <c r="I62" s="12"/>
    </row>
    <row r="63" spans="1:9" ht="15.75" customHeight="1" x14ac:dyDescent="0.25">
      <c r="A63" s="1"/>
      <c r="B63" s="11" t="s">
        <v>24</v>
      </c>
      <c r="C63" s="12"/>
      <c r="D63" s="12"/>
      <c r="E63" s="12"/>
      <c r="F63" s="12"/>
      <c r="G63" s="12"/>
      <c r="H63" s="1"/>
      <c r="I63" s="1"/>
    </row>
    <row r="64" spans="1: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5.75" customHeight="1" x14ac:dyDescent="0.25">
      <c r="A66" s="1" t="s">
        <v>13</v>
      </c>
      <c r="B66" s="11" t="s">
        <v>25</v>
      </c>
      <c r="C66" s="12"/>
      <c r="D66" s="12"/>
      <c r="E66" s="12"/>
      <c r="F66" s="12"/>
      <c r="G66" s="12"/>
      <c r="H66" s="12"/>
      <c r="I66" s="12"/>
    </row>
    <row r="67" spans="1:9" ht="15.75" customHeight="1" x14ac:dyDescent="0.25">
      <c r="A67" s="1"/>
      <c r="B67" s="11" t="s">
        <v>26</v>
      </c>
      <c r="C67" s="12"/>
      <c r="D67" s="12"/>
      <c r="E67" s="12"/>
      <c r="F67" s="12"/>
      <c r="G67" s="12"/>
      <c r="H67" s="12"/>
      <c r="I67" s="12"/>
    </row>
    <row r="68" spans="1:9" ht="15.75" customHeight="1" x14ac:dyDescent="0.25">
      <c r="A68" s="1"/>
      <c r="B68" s="11" t="s">
        <v>27</v>
      </c>
      <c r="C68" s="12"/>
      <c r="D68" s="12"/>
      <c r="E68" s="12"/>
      <c r="F68" s="12"/>
      <c r="G68" s="12"/>
      <c r="H68" s="12"/>
      <c r="I68" s="12"/>
    </row>
    <row r="69" spans="1:9" ht="15.75" customHeight="1" x14ac:dyDescent="0.25">
      <c r="A69" s="1"/>
      <c r="B69" s="11" t="s">
        <v>28</v>
      </c>
      <c r="C69" s="12"/>
      <c r="D69" s="12"/>
      <c r="E69" s="12"/>
      <c r="F69" s="12"/>
      <c r="G69" s="12"/>
      <c r="H69" s="12"/>
      <c r="I69" s="12"/>
    </row>
    <row r="70" spans="1: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5.75" customHeight="1" x14ac:dyDescent="0.25">
      <c r="A71" s="1"/>
      <c r="B71" s="11" t="s">
        <v>29</v>
      </c>
      <c r="C71" s="12"/>
      <c r="D71" s="12"/>
      <c r="E71" s="12"/>
      <c r="F71" s="12"/>
      <c r="G71" s="12"/>
      <c r="H71" s="12"/>
      <c r="I71" s="12"/>
    </row>
    <row r="72" spans="1:9" ht="15.75" customHeight="1" x14ac:dyDescent="0.25">
      <c r="A72" s="1"/>
      <c r="B72" s="11" t="s">
        <v>30</v>
      </c>
      <c r="C72" s="12"/>
      <c r="D72" s="12"/>
      <c r="E72" s="1"/>
      <c r="F72" s="1"/>
      <c r="G72" s="1"/>
      <c r="H72" s="1"/>
      <c r="I72" s="1"/>
    </row>
    <row r="73" spans="1: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2.75" x14ac:dyDescent="0.2">
      <c r="A74" s="2" t="s">
        <v>5</v>
      </c>
      <c r="B74" s="2" t="s">
        <v>31</v>
      </c>
    </row>
    <row r="76" spans="1:9" ht="12.75" x14ac:dyDescent="0.2">
      <c r="B76" s="3" t="s">
        <v>7</v>
      </c>
      <c r="C76" s="4" t="s">
        <v>8</v>
      </c>
      <c r="D76" s="4" t="s">
        <v>9</v>
      </c>
      <c r="E76" s="4" t="s">
        <v>10</v>
      </c>
      <c r="F76" s="4" t="s">
        <v>11</v>
      </c>
      <c r="G76" s="5" t="s">
        <v>12</v>
      </c>
    </row>
    <row r="77" spans="1:9" ht="12.75" x14ac:dyDescent="0.2">
      <c r="B77" s="6">
        <v>44378</v>
      </c>
      <c r="C77" s="7"/>
      <c r="D77" s="7"/>
      <c r="E77" s="7"/>
      <c r="F77" s="7">
        <v>700000</v>
      </c>
      <c r="G77" s="8"/>
    </row>
    <row r="78" spans="1:9" ht="12.75" x14ac:dyDescent="0.2">
      <c r="B78" s="6">
        <v>44409</v>
      </c>
      <c r="C78" s="7">
        <f t="shared" ref="C78:C173" si="0">D78+E78</f>
        <v>8166.666666666667</v>
      </c>
      <c r="D78" s="7">
        <f t="shared" ref="D78:D173" si="1">700000/(8*12)</f>
        <v>7291.666666666667</v>
      </c>
      <c r="E78" s="7">
        <f t="shared" ref="E78:E173" si="2">F77*(1.5%/12)</f>
        <v>875</v>
      </c>
      <c r="F78" s="7">
        <f t="shared" ref="F78:F141" si="3">F77-D78</f>
        <v>692708.33333333337</v>
      </c>
      <c r="G78" s="8">
        <f t="shared" ref="G78:G141" si="4">G77+D78</f>
        <v>7291.666666666667</v>
      </c>
    </row>
    <row r="79" spans="1:9" ht="12.75" x14ac:dyDescent="0.2">
      <c r="B79" s="6">
        <v>44440</v>
      </c>
      <c r="C79" s="7">
        <f t="shared" si="0"/>
        <v>8157.5520833333339</v>
      </c>
      <c r="D79" s="7">
        <f t="shared" si="1"/>
        <v>7291.666666666667</v>
      </c>
      <c r="E79" s="7">
        <f t="shared" si="2"/>
        <v>865.88541666666674</v>
      </c>
      <c r="F79" s="7">
        <f t="shared" si="3"/>
        <v>685416.66666666674</v>
      </c>
      <c r="G79" s="8">
        <f t="shared" si="4"/>
        <v>14583.333333333334</v>
      </c>
    </row>
    <row r="80" spans="1:9" ht="12.75" x14ac:dyDescent="0.2">
      <c r="B80" s="6">
        <v>44470</v>
      </c>
      <c r="C80" s="7">
        <f t="shared" si="0"/>
        <v>8148.4375</v>
      </c>
      <c r="D80" s="7">
        <f t="shared" si="1"/>
        <v>7291.666666666667</v>
      </c>
      <c r="E80" s="7">
        <f t="shared" si="2"/>
        <v>856.77083333333348</v>
      </c>
      <c r="F80" s="7">
        <f t="shared" si="3"/>
        <v>678125.00000000012</v>
      </c>
      <c r="G80" s="8">
        <f t="shared" si="4"/>
        <v>21875</v>
      </c>
    </row>
    <row r="81" spans="2:7" ht="12.75" x14ac:dyDescent="0.2">
      <c r="B81" s="6">
        <v>44501</v>
      </c>
      <c r="C81" s="7">
        <f t="shared" si="0"/>
        <v>8139.322916666667</v>
      </c>
      <c r="D81" s="7">
        <f t="shared" si="1"/>
        <v>7291.666666666667</v>
      </c>
      <c r="E81" s="7">
        <f t="shared" si="2"/>
        <v>847.65625000000011</v>
      </c>
      <c r="F81" s="7">
        <f t="shared" si="3"/>
        <v>670833.33333333349</v>
      </c>
      <c r="G81" s="8">
        <f t="shared" si="4"/>
        <v>29166.666666666668</v>
      </c>
    </row>
    <row r="82" spans="2:7" ht="12.75" x14ac:dyDescent="0.2">
      <c r="B82" s="6">
        <v>44531</v>
      </c>
      <c r="C82" s="7">
        <f t="shared" si="0"/>
        <v>8130.2083333333339</v>
      </c>
      <c r="D82" s="7">
        <f t="shared" si="1"/>
        <v>7291.666666666667</v>
      </c>
      <c r="E82" s="7">
        <f t="shared" si="2"/>
        <v>838.54166666666686</v>
      </c>
      <c r="F82" s="7">
        <f t="shared" si="3"/>
        <v>663541.66666666686</v>
      </c>
      <c r="G82" s="8">
        <f t="shared" si="4"/>
        <v>36458.333333333336</v>
      </c>
    </row>
    <row r="83" spans="2:7" ht="12.75" x14ac:dyDescent="0.2">
      <c r="B83" s="6">
        <v>44562</v>
      </c>
      <c r="C83" s="7">
        <f t="shared" si="0"/>
        <v>8121.0937500000009</v>
      </c>
      <c r="D83" s="7">
        <f t="shared" si="1"/>
        <v>7291.666666666667</v>
      </c>
      <c r="E83" s="7">
        <f t="shared" si="2"/>
        <v>829.4270833333336</v>
      </c>
      <c r="F83" s="7">
        <f t="shared" si="3"/>
        <v>656250.00000000023</v>
      </c>
      <c r="G83" s="8">
        <f t="shared" si="4"/>
        <v>43750</v>
      </c>
    </row>
    <row r="84" spans="2:7" ht="12.75" x14ac:dyDescent="0.2">
      <c r="B84" s="6">
        <v>44593</v>
      </c>
      <c r="C84" s="7">
        <f t="shared" si="0"/>
        <v>8111.979166666667</v>
      </c>
      <c r="D84" s="7">
        <f t="shared" si="1"/>
        <v>7291.666666666667</v>
      </c>
      <c r="E84" s="7">
        <f t="shared" si="2"/>
        <v>820.31250000000034</v>
      </c>
      <c r="F84" s="7">
        <f t="shared" si="3"/>
        <v>648958.3333333336</v>
      </c>
      <c r="G84" s="8">
        <f t="shared" si="4"/>
        <v>51041.666666666664</v>
      </c>
    </row>
    <row r="85" spans="2:7" ht="12.75" x14ac:dyDescent="0.2">
      <c r="B85" s="6">
        <v>44621</v>
      </c>
      <c r="C85" s="7">
        <f t="shared" si="0"/>
        <v>8102.8645833333339</v>
      </c>
      <c r="D85" s="7">
        <f t="shared" si="1"/>
        <v>7291.666666666667</v>
      </c>
      <c r="E85" s="7">
        <f t="shared" si="2"/>
        <v>811.19791666666697</v>
      </c>
      <c r="F85" s="7">
        <f t="shared" si="3"/>
        <v>641666.66666666698</v>
      </c>
      <c r="G85" s="8">
        <f t="shared" si="4"/>
        <v>58333.333333333328</v>
      </c>
    </row>
    <row r="86" spans="2:7" ht="12.75" x14ac:dyDescent="0.2">
      <c r="B86" s="6">
        <v>44652</v>
      </c>
      <c r="C86" s="7">
        <f t="shared" si="0"/>
        <v>8093.7500000000009</v>
      </c>
      <c r="D86" s="7">
        <f t="shared" si="1"/>
        <v>7291.666666666667</v>
      </c>
      <c r="E86" s="7">
        <f t="shared" si="2"/>
        <v>802.08333333333371</v>
      </c>
      <c r="F86" s="7">
        <f t="shared" si="3"/>
        <v>634375.00000000035</v>
      </c>
      <c r="G86" s="8">
        <f t="shared" si="4"/>
        <v>65625</v>
      </c>
    </row>
    <row r="87" spans="2:7" ht="12.75" x14ac:dyDescent="0.2">
      <c r="B87" s="6">
        <v>44682</v>
      </c>
      <c r="C87" s="7">
        <f t="shared" si="0"/>
        <v>8084.6354166666679</v>
      </c>
      <c r="D87" s="7">
        <f t="shared" si="1"/>
        <v>7291.666666666667</v>
      </c>
      <c r="E87" s="7">
        <f t="shared" si="2"/>
        <v>792.96875000000045</v>
      </c>
      <c r="F87" s="7">
        <f t="shared" si="3"/>
        <v>627083.33333333372</v>
      </c>
      <c r="G87" s="8">
        <f t="shared" si="4"/>
        <v>72916.666666666672</v>
      </c>
    </row>
    <row r="88" spans="2:7" ht="12.75" x14ac:dyDescent="0.2">
      <c r="B88" s="6">
        <v>44713</v>
      </c>
      <c r="C88" s="7">
        <f t="shared" si="0"/>
        <v>8075.5208333333339</v>
      </c>
      <c r="D88" s="7">
        <f t="shared" si="1"/>
        <v>7291.666666666667</v>
      </c>
      <c r="E88" s="7">
        <f t="shared" si="2"/>
        <v>783.8541666666672</v>
      </c>
      <c r="F88" s="7">
        <f t="shared" si="3"/>
        <v>619791.66666666709</v>
      </c>
      <c r="G88" s="8">
        <f t="shared" si="4"/>
        <v>80208.333333333343</v>
      </c>
    </row>
    <row r="89" spans="2:7" ht="12.75" x14ac:dyDescent="0.2">
      <c r="B89" s="6">
        <v>44743</v>
      </c>
      <c r="C89" s="7">
        <f t="shared" si="0"/>
        <v>8066.4062500000009</v>
      </c>
      <c r="D89" s="7">
        <f t="shared" si="1"/>
        <v>7291.666666666667</v>
      </c>
      <c r="E89" s="7">
        <f t="shared" si="2"/>
        <v>774.73958333333394</v>
      </c>
      <c r="F89" s="7">
        <f t="shared" si="3"/>
        <v>612500.00000000047</v>
      </c>
      <c r="G89" s="8">
        <f t="shared" si="4"/>
        <v>87500.000000000015</v>
      </c>
    </row>
    <row r="90" spans="2:7" ht="12.75" x14ac:dyDescent="0.2">
      <c r="B90" s="6">
        <v>44774</v>
      </c>
      <c r="C90" s="7">
        <f t="shared" si="0"/>
        <v>8057.2916666666679</v>
      </c>
      <c r="D90" s="7">
        <f t="shared" si="1"/>
        <v>7291.666666666667</v>
      </c>
      <c r="E90" s="7">
        <f t="shared" si="2"/>
        <v>765.62500000000057</v>
      </c>
      <c r="F90" s="7">
        <f t="shared" si="3"/>
        <v>605208.33333333384</v>
      </c>
      <c r="G90" s="8">
        <f t="shared" si="4"/>
        <v>94791.666666666686</v>
      </c>
    </row>
    <row r="91" spans="2:7" ht="12.75" x14ac:dyDescent="0.2">
      <c r="B91" s="6">
        <v>44805</v>
      </c>
      <c r="C91" s="7">
        <f t="shared" si="0"/>
        <v>8048.1770833333339</v>
      </c>
      <c r="D91" s="7">
        <f t="shared" si="1"/>
        <v>7291.666666666667</v>
      </c>
      <c r="E91" s="7">
        <f t="shared" si="2"/>
        <v>756.51041666666731</v>
      </c>
      <c r="F91" s="7">
        <f t="shared" si="3"/>
        <v>597916.66666666721</v>
      </c>
      <c r="G91" s="8">
        <f t="shared" si="4"/>
        <v>102083.33333333336</v>
      </c>
    </row>
    <row r="92" spans="2:7" ht="12.75" x14ac:dyDescent="0.2">
      <c r="B92" s="6">
        <v>44835</v>
      </c>
      <c r="C92" s="7">
        <f t="shared" si="0"/>
        <v>8039.0625000000009</v>
      </c>
      <c r="D92" s="7">
        <f t="shared" si="1"/>
        <v>7291.666666666667</v>
      </c>
      <c r="E92" s="7">
        <f t="shared" si="2"/>
        <v>747.39583333333405</v>
      </c>
      <c r="F92" s="7">
        <f t="shared" si="3"/>
        <v>590625.00000000058</v>
      </c>
      <c r="G92" s="8">
        <f t="shared" si="4"/>
        <v>109375.00000000003</v>
      </c>
    </row>
    <row r="93" spans="2:7" ht="12.75" x14ac:dyDescent="0.2">
      <c r="B93" s="6">
        <v>44866</v>
      </c>
      <c r="C93" s="7">
        <f t="shared" si="0"/>
        <v>8029.9479166666679</v>
      </c>
      <c r="D93" s="7">
        <f t="shared" si="1"/>
        <v>7291.666666666667</v>
      </c>
      <c r="E93" s="7">
        <f t="shared" si="2"/>
        <v>738.2812500000008</v>
      </c>
      <c r="F93" s="7">
        <f t="shared" si="3"/>
        <v>583333.33333333395</v>
      </c>
      <c r="G93" s="8">
        <f t="shared" si="4"/>
        <v>116666.6666666667</v>
      </c>
    </row>
    <row r="94" spans="2:7" ht="12.75" x14ac:dyDescent="0.2">
      <c r="B94" s="6">
        <v>44896</v>
      </c>
      <c r="C94" s="7">
        <f t="shared" si="0"/>
        <v>8020.8333333333339</v>
      </c>
      <c r="D94" s="7">
        <f t="shared" si="1"/>
        <v>7291.666666666667</v>
      </c>
      <c r="E94" s="7">
        <f t="shared" si="2"/>
        <v>729.16666666666742</v>
      </c>
      <c r="F94" s="7">
        <f t="shared" si="3"/>
        <v>576041.66666666733</v>
      </c>
      <c r="G94" s="8">
        <f t="shared" si="4"/>
        <v>123958.33333333337</v>
      </c>
    </row>
    <row r="95" spans="2:7" ht="12.75" x14ac:dyDescent="0.2">
      <c r="B95" s="6">
        <v>44927</v>
      </c>
      <c r="C95" s="7">
        <f t="shared" si="0"/>
        <v>8011.7187500000009</v>
      </c>
      <c r="D95" s="7">
        <f t="shared" si="1"/>
        <v>7291.666666666667</v>
      </c>
      <c r="E95" s="7">
        <f t="shared" si="2"/>
        <v>720.05208333333417</v>
      </c>
      <c r="F95" s="7">
        <f t="shared" si="3"/>
        <v>568750.0000000007</v>
      </c>
      <c r="G95" s="8">
        <f t="shared" si="4"/>
        <v>131250.00000000003</v>
      </c>
    </row>
    <row r="96" spans="2:7" ht="12.75" x14ac:dyDescent="0.2">
      <c r="B96" s="6">
        <v>44958</v>
      </c>
      <c r="C96" s="7">
        <f t="shared" si="0"/>
        <v>8002.6041666666679</v>
      </c>
      <c r="D96" s="7">
        <f t="shared" si="1"/>
        <v>7291.666666666667</v>
      </c>
      <c r="E96" s="7">
        <f t="shared" si="2"/>
        <v>710.93750000000091</v>
      </c>
      <c r="F96" s="7">
        <f t="shared" si="3"/>
        <v>561458.33333333407</v>
      </c>
      <c r="G96" s="8">
        <f t="shared" si="4"/>
        <v>138541.66666666669</v>
      </c>
    </row>
    <row r="97" spans="2:7" ht="12.75" x14ac:dyDescent="0.2">
      <c r="B97" s="6">
        <v>44986</v>
      </c>
      <c r="C97" s="7">
        <f t="shared" si="0"/>
        <v>7993.4895833333348</v>
      </c>
      <c r="D97" s="7">
        <f t="shared" si="1"/>
        <v>7291.666666666667</v>
      </c>
      <c r="E97" s="7">
        <f t="shared" si="2"/>
        <v>701.82291666666765</v>
      </c>
      <c r="F97" s="7">
        <f t="shared" si="3"/>
        <v>554166.66666666744</v>
      </c>
      <c r="G97" s="8">
        <f t="shared" si="4"/>
        <v>145833.33333333334</v>
      </c>
    </row>
    <row r="98" spans="2:7" ht="12.75" x14ac:dyDescent="0.2">
      <c r="B98" s="6">
        <v>45017</v>
      </c>
      <c r="C98" s="7">
        <f t="shared" si="0"/>
        <v>7984.3750000000009</v>
      </c>
      <c r="D98" s="7">
        <f t="shared" si="1"/>
        <v>7291.666666666667</v>
      </c>
      <c r="E98" s="7">
        <f t="shared" si="2"/>
        <v>692.70833333333428</v>
      </c>
      <c r="F98" s="7">
        <f t="shared" si="3"/>
        <v>546875.00000000081</v>
      </c>
      <c r="G98" s="8">
        <f t="shared" si="4"/>
        <v>153125</v>
      </c>
    </row>
    <row r="99" spans="2:7" ht="12.75" x14ac:dyDescent="0.2">
      <c r="B99" s="6">
        <v>45047</v>
      </c>
      <c r="C99" s="7">
        <f t="shared" si="0"/>
        <v>7975.2604166666679</v>
      </c>
      <c r="D99" s="7">
        <f t="shared" si="1"/>
        <v>7291.666666666667</v>
      </c>
      <c r="E99" s="7">
        <f t="shared" si="2"/>
        <v>683.59375000000102</v>
      </c>
      <c r="F99" s="7">
        <f t="shared" si="3"/>
        <v>539583.33333333419</v>
      </c>
      <c r="G99" s="8">
        <f t="shared" si="4"/>
        <v>160416.66666666666</v>
      </c>
    </row>
    <row r="100" spans="2:7" ht="12.75" x14ac:dyDescent="0.2">
      <c r="B100" s="6">
        <v>45078</v>
      </c>
      <c r="C100" s="7">
        <f t="shared" si="0"/>
        <v>7966.1458333333348</v>
      </c>
      <c r="D100" s="7">
        <f t="shared" si="1"/>
        <v>7291.666666666667</v>
      </c>
      <c r="E100" s="7">
        <f t="shared" si="2"/>
        <v>674.47916666666777</v>
      </c>
      <c r="F100" s="7">
        <f t="shared" si="3"/>
        <v>532291.66666666756</v>
      </c>
      <c r="G100" s="8">
        <f t="shared" si="4"/>
        <v>167708.33333333331</v>
      </c>
    </row>
    <row r="101" spans="2:7" ht="12.75" x14ac:dyDescent="0.2">
      <c r="B101" s="6">
        <v>45108</v>
      </c>
      <c r="C101" s="7">
        <f t="shared" si="0"/>
        <v>7957.0312500000018</v>
      </c>
      <c r="D101" s="7">
        <f t="shared" si="1"/>
        <v>7291.666666666667</v>
      </c>
      <c r="E101" s="7">
        <f t="shared" si="2"/>
        <v>665.36458333333451</v>
      </c>
      <c r="F101" s="7">
        <f t="shared" si="3"/>
        <v>525000.00000000093</v>
      </c>
      <c r="G101" s="8">
        <f t="shared" si="4"/>
        <v>174999.99999999997</v>
      </c>
    </row>
    <row r="102" spans="2:7" ht="12.75" x14ac:dyDescent="0.2">
      <c r="B102" s="6">
        <v>45139</v>
      </c>
      <c r="C102" s="7">
        <f t="shared" si="0"/>
        <v>7947.9166666666679</v>
      </c>
      <c r="D102" s="7">
        <f t="shared" si="1"/>
        <v>7291.666666666667</v>
      </c>
      <c r="E102" s="7">
        <f t="shared" si="2"/>
        <v>656.25000000000114</v>
      </c>
      <c r="F102" s="7">
        <f t="shared" si="3"/>
        <v>517708.33333333425</v>
      </c>
      <c r="G102" s="8">
        <f t="shared" si="4"/>
        <v>182291.66666666663</v>
      </c>
    </row>
    <row r="103" spans="2:7" ht="12.75" x14ac:dyDescent="0.2">
      <c r="B103" s="6">
        <v>45170</v>
      </c>
      <c r="C103" s="7">
        <f t="shared" si="0"/>
        <v>7938.8020833333348</v>
      </c>
      <c r="D103" s="7">
        <f t="shared" si="1"/>
        <v>7291.666666666667</v>
      </c>
      <c r="E103" s="7">
        <f t="shared" si="2"/>
        <v>647.13541666666777</v>
      </c>
      <c r="F103" s="7">
        <f t="shared" si="3"/>
        <v>510416.66666666756</v>
      </c>
      <c r="G103" s="8">
        <f t="shared" si="4"/>
        <v>189583.33333333328</v>
      </c>
    </row>
    <row r="104" spans="2:7" ht="12.75" x14ac:dyDescent="0.2">
      <c r="B104" s="6">
        <v>45200</v>
      </c>
      <c r="C104" s="7">
        <f t="shared" si="0"/>
        <v>7929.6875000000018</v>
      </c>
      <c r="D104" s="7">
        <f t="shared" si="1"/>
        <v>7291.666666666667</v>
      </c>
      <c r="E104" s="7">
        <f t="shared" si="2"/>
        <v>638.02083333333451</v>
      </c>
      <c r="F104" s="7">
        <f t="shared" si="3"/>
        <v>503125.00000000087</v>
      </c>
      <c r="G104" s="8">
        <f t="shared" si="4"/>
        <v>196874.99999999994</v>
      </c>
    </row>
    <row r="105" spans="2:7" ht="12.75" x14ac:dyDescent="0.2">
      <c r="B105" s="6">
        <v>45231</v>
      </c>
      <c r="C105" s="7">
        <f t="shared" si="0"/>
        <v>7920.5729166666679</v>
      </c>
      <c r="D105" s="7">
        <f t="shared" si="1"/>
        <v>7291.666666666667</v>
      </c>
      <c r="E105" s="7">
        <f t="shared" si="2"/>
        <v>628.90625000000114</v>
      </c>
      <c r="F105" s="7">
        <f t="shared" si="3"/>
        <v>495833.33333333419</v>
      </c>
      <c r="G105" s="8">
        <f t="shared" si="4"/>
        <v>204166.6666666666</v>
      </c>
    </row>
    <row r="106" spans="2:7" ht="12.75" x14ac:dyDescent="0.2">
      <c r="B106" s="6">
        <v>45261</v>
      </c>
      <c r="C106" s="7">
        <f t="shared" si="0"/>
        <v>7911.4583333333348</v>
      </c>
      <c r="D106" s="7">
        <f t="shared" si="1"/>
        <v>7291.666666666667</v>
      </c>
      <c r="E106" s="7">
        <f t="shared" si="2"/>
        <v>619.79166666666777</v>
      </c>
      <c r="F106" s="7">
        <f t="shared" si="3"/>
        <v>488541.6666666675</v>
      </c>
      <c r="G106" s="8">
        <f t="shared" si="4"/>
        <v>211458.33333333326</v>
      </c>
    </row>
    <row r="107" spans="2:7" ht="12.75" x14ac:dyDescent="0.2">
      <c r="B107" s="6">
        <v>45292</v>
      </c>
      <c r="C107" s="7">
        <f t="shared" si="0"/>
        <v>7902.3437500000018</v>
      </c>
      <c r="D107" s="7">
        <f t="shared" si="1"/>
        <v>7291.666666666667</v>
      </c>
      <c r="E107" s="7">
        <f t="shared" si="2"/>
        <v>610.67708333333439</v>
      </c>
      <c r="F107" s="7">
        <f t="shared" si="3"/>
        <v>481250.00000000081</v>
      </c>
      <c r="G107" s="8">
        <f t="shared" si="4"/>
        <v>218749.99999999991</v>
      </c>
    </row>
    <row r="108" spans="2:7" ht="12.75" x14ac:dyDescent="0.2">
      <c r="B108" s="6">
        <v>45323</v>
      </c>
      <c r="C108" s="7">
        <f t="shared" si="0"/>
        <v>7893.2291666666679</v>
      </c>
      <c r="D108" s="7">
        <f t="shared" si="1"/>
        <v>7291.666666666667</v>
      </c>
      <c r="E108" s="7">
        <f t="shared" si="2"/>
        <v>601.56250000000102</v>
      </c>
      <c r="F108" s="7">
        <f t="shared" si="3"/>
        <v>473958.33333333413</v>
      </c>
      <c r="G108" s="8">
        <f t="shared" si="4"/>
        <v>226041.66666666657</v>
      </c>
    </row>
    <row r="109" spans="2:7" ht="12.75" x14ac:dyDescent="0.2">
      <c r="B109" s="6">
        <v>45352</v>
      </c>
      <c r="C109" s="7">
        <f t="shared" si="0"/>
        <v>7884.1145833333348</v>
      </c>
      <c r="D109" s="7">
        <f t="shared" si="1"/>
        <v>7291.666666666667</v>
      </c>
      <c r="E109" s="7">
        <f t="shared" si="2"/>
        <v>592.44791666666765</v>
      </c>
      <c r="F109" s="7">
        <f t="shared" si="3"/>
        <v>466666.66666666744</v>
      </c>
      <c r="G109" s="8">
        <f t="shared" si="4"/>
        <v>233333.33333333323</v>
      </c>
    </row>
    <row r="110" spans="2:7" ht="12.75" x14ac:dyDescent="0.2">
      <c r="B110" s="6">
        <v>45383</v>
      </c>
      <c r="C110" s="7">
        <f t="shared" si="0"/>
        <v>7875.0000000000009</v>
      </c>
      <c r="D110" s="7">
        <f t="shared" si="1"/>
        <v>7291.666666666667</v>
      </c>
      <c r="E110" s="7">
        <f t="shared" si="2"/>
        <v>583.33333333333428</v>
      </c>
      <c r="F110" s="7">
        <f t="shared" si="3"/>
        <v>459375.00000000076</v>
      </c>
      <c r="G110" s="8">
        <f t="shared" si="4"/>
        <v>240624.99999999988</v>
      </c>
    </row>
    <row r="111" spans="2:7" ht="12.75" x14ac:dyDescent="0.2">
      <c r="B111" s="6">
        <v>45413</v>
      </c>
      <c r="C111" s="7">
        <f t="shared" si="0"/>
        <v>7865.8854166666679</v>
      </c>
      <c r="D111" s="7">
        <f t="shared" si="1"/>
        <v>7291.666666666667</v>
      </c>
      <c r="E111" s="7">
        <f t="shared" si="2"/>
        <v>574.21875000000091</v>
      </c>
      <c r="F111" s="7">
        <f t="shared" si="3"/>
        <v>452083.33333333407</v>
      </c>
      <c r="G111" s="8">
        <f t="shared" si="4"/>
        <v>247916.66666666654</v>
      </c>
    </row>
    <row r="112" spans="2:7" ht="12.75" x14ac:dyDescent="0.2">
      <c r="B112" s="6">
        <v>45444</v>
      </c>
      <c r="C112" s="7">
        <f t="shared" si="0"/>
        <v>7856.7708333333348</v>
      </c>
      <c r="D112" s="7">
        <f t="shared" si="1"/>
        <v>7291.666666666667</v>
      </c>
      <c r="E112" s="7">
        <f t="shared" si="2"/>
        <v>565.10416666666765</v>
      </c>
      <c r="F112" s="7">
        <f t="shared" si="3"/>
        <v>444791.66666666738</v>
      </c>
      <c r="G112" s="8">
        <f t="shared" si="4"/>
        <v>255208.3333333332</v>
      </c>
    </row>
    <row r="113" spans="2:7" ht="12.75" x14ac:dyDescent="0.2">
      <c r="B113" s="6">
        <v>45474</v>
      </c>
      <c r="C113" s="7">
        <f t="shared" si="0"/>
        <v>7847.6562500000009</v>
      </c>
      <c r="D113" s="7">
        <f t="shared" si="1"/>
        <v>7291.666666666667</v>
      </c>
      <c r="E113" s="7">
        <f t="shared" si="2"/>
        <v>555.98958333333428</v>
      </c>
      <c r="F113" s="7">
        <f t="shared" si="3"/>
        <v>437500.0000000007</v>
      </c>
      <c r="G113" s="8">
        <f t="shared" si="4"/>
        <v>262499.99999999988</v>
      </c>
    </row>
    <row r="114" spans="2:7" ht="12.75" x14ac:dyDescent="0.2">
      <c r="B114" s="6">
        <v>45505</v>
      </c>
      <c r="C114" s="7">
        <f t="shared" si="0"/>
        <v>7838.5416666666679</v>
      </c>
      <c r="D114" s="7">
        <f t="shared" si="1"/>
        <v>7291.666666666667</v>
      </c>
      <c r="E114" s="7">
        <f t="shared" si="2"/>
        <v>546.87500000000091</v>
      </c>
      <c r="F114" s="7">
        <f t="shared" si="3"/>
        <v>430208.33333333401</v>
      </c>
      <c r="G114" s="8">
        <f t="shared" si="4"/>
        <v>269791.66666666657</v>
      </c>
    </row>
    <row r="115" spans="2:7" ht="12.75" x14ac:dyDescent="0.2">
      <c r="B115" s="6">
        <v>45536</v>
      </c>
      <c r="C115" s="7">
        <f t="shared" si="0"/>
        <v>7829.4270833333348</v>
      </c>
      <c r="D115" s="7">
        <f t="shared" si="1"/>
        <v>7291.666666666667</v>
      </c>
      <c r="E115" s="7">
        <f t="shared" si="2"/>
        <v>537.76041666666754</v>
      </c>
      <c r="F115" s="7">
        <f t="shared" si="3"/>
        <v>422916.66666666733</v>
      </c>
      <c r="G115" s="8">
        <f t="shared" si="4"/>
        <v>277083.33333333326</v>
      </c>
    </row>
    <row r="116" spans="2:7" ht="12.75" x14ac:dyDescent="0.2">
      <c r="B116" s="6">
        <v>45566</v>
      </c>
      <c r="C116" s="7">
        <f t="shared" si="0"/>
        <v>7820.3125000000009</v>
      </c>
      <c r="D116" s="7">
        <f t="shared" si="1"/>
        <v>7291.666666666667</v>
      </c>
      <c r="E116" s="7">
        <f t="shared" si="2"/>
        <v>528.64583333333417</v>
      </c>
      <c r="F116" s="7">
        <f t="shared" si="3"/>
        <v>415625.00000000064</v>
      </c>
      <c r="G116" s="8">
        <f t="shared" si="4"/>
        <v>284374.99999999994</v>
      </c>
    </row>
    <row r="117" spans="2:7" ht="12.75" x14ac:dyDescent="0.2">
      <c r="B117" s="6">
        <v>45597</v>
      </c>
      <c r="C117" s="7">
        <f t="shared" si="0"/>
        <v>7811.1979166666679</v>
      </c>
      <c r="D117" s="7">
        <f t="shared" si="1"/>
        <v>7291.666666666667</v>
      </c>
      <c r="E117" s="7">
        <f t="shared" si="2"/>
        <v>519.5312500000008</v>
      </c>
      <c r="F117" s="7">
        <f t="shared" si="3"/>
        <v>408333.33333333395</v>
      </c>
      <c r="G117" s="8">
        <f t="shared" si="4"/>
        <v>291666.66666666663</v>
      </c>
    </row>
    <row r="118" spans="2:7" ht="12.75" x14ac:dyDescent="0.2">
      <c r="B118" s="6">
        <v>45627</v>
      </c>
      <c r="C118" s="7">
        <f t="shared" si="0"/>
        <v>7802.0833333333348</v>
      </c>
      <c r="D118" s="7">
        <f t="shared" si="1"/>
        <v>7291.666666666667</v>
      </c>
      <c r="E118" s="7">
        <f t="shared" si="2"/>
        <v>510.41666666666748</v>
      </c>
      <c r="F118" s="7">
        <f t="shared" si="3"/>
        <v>401041.66666666727</v>
      </c>
      <c r="G118" s="8">
        <f t="shared" si="4"/>
        <v>298958.33333333331</v>
      </c>
    </row>
    <row r="119" spans="2:7" ht="12.75" x14ac:dyDescent="0.2">
      <c r="B119" s="6">
        <v>45658</v>
      </c>
      <c r="C119" s="7">
        <f t="shared" si="0"/>
        <v>7792.9687500000009</v>
      </c>
      <c r="D119" s="7">
        <f t="shared" si="1"/>
        <v>7291.666666666667</v>
      </c>
      <c r="E119" s="7">
        <f t="shared" si="2"/>
        <v>501.30208333333411</v>
      </c>
      <c r="F119" s="7">
        <f t="shared" si="3"/>
        <v>393750.00000000058</v>
      </c>
      <c r="G119" s="8">
        <f t="shared" si="4"/>
        <v>306250</v>
      </c>
    </row>
    <row r="120" spans="2:7" ht="12.75" x14ac:dyDescent="0.2">
      <c r="B120" s="6">
        <v>45689</v>
      </c>
      <c r="C120" s="7">
        <f t="shared" si="0"/>
        <v>7783.8541666666679</v>
      </c>
      <c r="D120" s="7">
        <f t="shared" si="1"/>
        <v>7291.666666666667</v>
      </c>
      <c r="E120" s="7">
        <f t="shared" si="2"/>
        <v>492.18750000000074</v>
      </c>
      <c r="F120" s="7">
        <f t="shared" si="3"/>
        <v>386458.3333333339</v>
      </c>
      <c r="G120" s="8">
        <f t="shared" si="4"/>
        <v>313541.66666666669</v>
      </c>
    </row>
    <row r="121" spans="2:7" ht="12.75" x14ac:dyDescent="0.2">
      <c r="B121" s="6">
        <v>45717</v>
      </c>
      <c r="C121" s="7">
        <f t="shared" si="0"/>
        <v>7774.7395833333339</v>
      </c>
      <c r="D121" s="7">
        <f t="shared" si="1"/>
        <v>7291.666666666667</v>
      </c>
      <c r="E121" s="7">
        <f t="shared" si="2"/>
        <v>483.07291666666737</v>
      </c>
      <c r="F121" s="7">
        <f t="shared" si="3"/>
        <v>379166.66666666721</v>
      </c>
      <c r="G121" s="8">
        <f t="shared" si="4"/>
        <v>320833.33333333337</v>
      </c>
    </row>
    <row r="122" spans="2:7" ht="12.75" x14ac:dyDescent="0.2">
      <c r="B122" s="6">
        <v>45748</v>
      </c>
      <c r="C122" s="7">
        <f t="shared" si="0"/>
        <v>7765.6250000000009</v>
      </c>
      <c r="D122" s="7">
        <f t="shared" si="1"/>
        <v>7291.666666666667</v>
      </c>
      <c r="E122" s="7">
        <f t="shared" si="2"/>
        <v>473.958333333334</v>
      </c>
      <c r="F122" s="7">
        <f t="shared" si="3"/>
        <v>371875.00000000052</v>
      </c>
      <c r="G122" s="8">
        <f t="shared" si="4"/>
        <v>328125.00000000006</v>
      </c>
    </row>
    <row r="123" spans="2:7" ht="12.75" x14ac:dyDescent="0.2">
      <c r="B123" s="6">
        <v>45778</v>
      </c>
      <c r="C123" s="7">
        <f t="shared" si="0"/>
        <v>7756.5104166666679</v>
      </c>
      <c r="D123" s="7">
        <f t="shared" si="1"/>
        <v>7291.666666666667</v>
      </c>
      <c r="E123" s="7">
        <f t="shared" si="2"/>
        <v>464.84375000000068</v>
      </c>
      <c r="F123" s="7">
        <f t="shared" si="3"/>
        <v>364583.33333333384</v>
      </c>
      <c r="G123" s="8">
        <f t="shared" si="4"/>
        <v>335416.66666666674</v>
      </c>
    </row>
    <row r="124" spans="2:7" ht="12.75" x14ac:dyDescent="0.2">
      <c r="B124" s="6">
        <v>45809</v>
      </c>
      <c r="C124" s="7">
        <f t="shared" si="0"/>
        <v>7747.3958333333339</v>
      </c>
      <c r="D124" s="7">
        <f t="shared" si="1"/>
        <v>7291.666666666667</v>
      </c>
      <c r="E124" s="7">
        <f t="shared" si="2"/>
        <v>455.72916666666731</v>
      </c>
      <c r="F124" s="7">
        <f t="shared" si="3"/>
        <v>357291.66666666715</v>
      </c>
      <c r="G124" s="8">
        <f t="shared" si="4"/>
        <v>342708.33333333343</v>
      </c>
    </row>
    <row r="125" spans="2:7" ht="12.75" x14ac:dyDescent="0.2">
      <c r="B125" s="6">
        <v>45839</v>
      </c>
      <c r="C125" s="7">
        <f t="shared" si="0"/>
        <v>7738.2812500000009</v>
      </c>
      <c r="D125" s="7">
        <f t="shared" si="1"/>
        <v>7291.666666666667</v>
      </c>
      <c r="E125" s="7">
        <f t="shared" si="2"/>
        <v>446.61458333333394</v>
      </c>
      <c r="F125" s="7">
        <f t="shared" si="3"/>
        <v>350000.00000000047</v>
      </c>
      <c r="G125" s="8">
        <f t="shared" si="4"/>
        <v>350000.00000000012</v>
      </c>
    </row>
    <row r="126" spans="2:7" ht="12.75" x14ac:dyDescent="0.2">
      <c r="B126" s="6">
        <v>45870</v>
      </c>
      <c r="C126" s="7">
        <f t="shared" si="0"/>
        <v>7729.1666666666679</v>
      </c>
      <c r="D126" s="7">
        <f t="shared" si="1"/>
        <v>7291.666666666667</v>
      </c>
      <c r="E126" s="7">
        <f t="shared" si="2"/>
        <v>437.50000000000057</v>
      </c>
      <c r="F126" s="7">
        <f t="shared" si="3"/>
        <v>342708.33333333378</v>
      </c>
      <c r="G126" s="8">
        <f t="shared" si="4"/>
        <v>357291.6666666668</v>
      </c>
    </row>
    <row r="127" spans="2:7" ht="12.75" x14ac:dyDescent="0.2">
      <c r="B127" s="6">
        <v>45901</v>
      </c>
      <c r="C127" s="7">
        <f t="shared" si="0"/>
        <v>7720.0520833333339</v>
      </c>
      <c r="D127" s="7">
        <f t="shared" si="1"/>
        <v>7291.666666666667</v>
      </c>
      <c r="E127" s="7">
        <f t="shared" si="2"/>
        <v>428.38541666666725</v>
      </c>
      <c r="F127" s="7">
        <f t="shared" si="3"/>
        <v>335416.66666666709</v>
      </c>
      <c r="G127" s="8">
        <f t="shared" si="4"/>
        <v>364583.33333333349</v>
      </c>
    </row>
    <row r="128" spans="2:7" ht="12.75" x14ac:dyDescent="0.2">
      <c r="B128" s="6">
        <v>45931</v>
      </c>
      <c r="C128" s="7">
        <f t="shared" si="0"/>
        <v>7710.9375000000009</v>
      </c>
      <c r="D128" s="7">
        <f t="shared" si="1"/>
        <v>7291.666666666667</v>
      </c>
      <c r="E128" s="7">
        <f t="shared" si="2"/>
        <v>419.27083333333388</v>
      </c>
      <c r="F128" s="7">
        <f t="shared" si="3"/>
        <v>328125.00000000041</v>
      </c>
      <c r="G128" s="8">
        <f t="shared" si="4"/>
        <v>371875.00000000017</v>
      </c>
    </row>
    <row r="129" spans="2:7" ht="12.75" x14ac:dyDescent="0.2">
      <c r="B129" s="6">
        <v>45962</v>
      </c>
      <c r="C129" s="7">
        <f t="shared" si="0"/>
        <v>7701.8229166666679</v>
      </c>
      <c r="D129" s="7">
        <f t="shared" si="1"/>
        <v>7291.666666666667</v>
      </c>
      <c r="E129" s="7">
        <f t="shared" si="2"/>
        <v>410.15625000000051</v>
      </c>
      <c r="F129" s="7">
        <f t="shared" si="3"/>
        <v>320833.33333333372</v>
      </c>
      <c r="G129" s="8">
        <f t="shared" si="4"/>
        <v>379166.66666666686</v>
      </c>
    </row>
    <row r="130" spans="2:7" ht="12.75" x14ac:dyDescent="0.2">
      <c r="B130" s="6">
        <v>45992</v>
      </c>
      <c r="C130" s="7">
        <f t="shared" si="0"/>
        <v>7692.7083333333339</v>
      </c>
      <c r="D130" s="7">
        <f t="shared" si="1"/>
        <v>7291.666666666667</v>
      </c>
      <c r="E130" s="7">
        <f t="shared" si="2"/>
        <v>401.04166666666714</v>
      </c>
      <c r="F130" s="7">
        <f t="shared" si="3"/>
        <v>313541.66666666704</v>
      </c>
      <c r="G130" s="8">
        <f t="shared" si="4"/>
        <v>386458.33333333355</v>
      </c>
    </row>
    <row r="131" spans="2:7" ht="12.75" x14ac:dyDescent="0.2">
      <c r="B131" s="6">
        <v>46023</v>
      </c>
      <c r="C131" s="7">
        <f t="shared" si="0"/>
        <v>7683.5937500000009</v>
      </c>
      <c r="D131" s="7">
        <f t="shared" si="1"/>
        <v>7291.666666666667</v>
      </c>
      <c r="E131" s="7">
        <f t="shared" si="2"/>
        <v>391.92708333333383</v>
      </c>
      <c r="F131" s="7">
        <f t="shared" si="3"/>
        <v>306250.00000000035</v>
      </c>
      <c r="G131" s="8">
        <f t="shared" si="4"/>
        <v>393750.00000000023</v>
      </c>
    </row>
    <row r="132" spans="2:7" ht="12.75" x14ac:dyDescent="0.2">
      <c r="B132" s="6">
        <v>46054</v>
      </c>
      <c r="C132" s="7">
        <f t="shared" si="0"/>
        <v>7674.4791666666679</v>
      </c>
      <c r="D132" s="7">
        <f t="shared" si="1"/>
        <v>7291.666666666667</v>
      </c>
      <c r="E132" s="7">
        <f t="shared" si="2"/>
        <v>382.81250000000045</v>
      </c>
      <c r="F132" s="7">
        <f t="shared" si="3"/>
        <v>298958.33333333366</v>
      </c>
      <c r="G132" s="8">
        <f t="shared" si="4"/>
        <v>401041.66666666692</v>
      </c>
    </row>
    <row r="133" spans="2:7" ht="12.75" x14ac:dyDescent="0.2">
      <c r="B133" s="6">
        <v>46082</v>
      </c>
      <c r="C133" s="7">
        <f t="shared" si="0"/>
        <v>7665.3645833333339</v>
      </c>
      <c r="D133" s="7">
        <f t="shared" si="1"/>
        <v>7291.666666666667</v>
      </c>
      <c r="E133" s="7">
        <f t="shared" si="2"/>
        <v>373.69791666666708</v>
      </c>
      <c r="F133" s="7">
        <f t="shared" si="3"/>
        <v>291666.66666666698</v>
      </c>
      <c r="G133" s="8">
        <f t="shared" si="4"/>
        <v>408333.3333333336</v>
      </c>
    </row>
    <row r="134" spans="2:7" ht="12.75" x14ac:dyDescent="0.2">
      <c r="B134" s="6">
        <v>46113</v>
      </c>
      <c r="C134" s="7">
        <f t="shared" si="0"/>
        <v>7656.2500000000009</v>
      </c>
      <c r="D134" s="7">
        <f t="shared" si="1"/>
        <v>7291.666666666667</v>
      </c>
      <c r="E134" s="7">
        <f t="shared" si="2"/>
        <v>364.58333333333371</v>
      </c>
      <c r="F134" s="7">
        <f t="shared" si="3"/>
        <v>284375.00000000029</v>
      </c>
      <c r="G134" s="8">
        <f t="shared" si="4"/>
        <v>415625.00000000029</v>
      </c>
    </row>
    <row r="135" spans="2:7" ht="12.75" x14ac:dyDescent="0.2">
      <c r="B135" s="6">
        <v>46143</v>
      </c>
      <c r="C135" s="7">
        <f t="shared" si="0"/>
        <v>7647.135416666667</v>
      </c>
      <c r="D135" s="7">
        <f t="shared" si="1"/>
        <v>7291.666666666667</v>
      </c>
      <c r="E135" s="7">
        <f t="shared" si="2"/>
        <v>355.4687500000004</v>
      </c>
      <c r="F135" s="7">
        <f t="shared" si="3"/>
        <v>277083.3333333336</v>
      </c>
      <c r="G135" s="8">
        <f t="shared" si="4"/>
        <v>422916.66666666698</v>
      </c>
    </row>
    <row r="136" spans="2:7" ht="12.75" x14ac:dyDescent="0.2">
      <c r="B136" s="6">
        <v>46174</v>
      </c>
      <c r="C136" s="7">
        <f t="shared" si="0"/>
        <v>7638.0208333333339</v>
      </c>
      <c r="D136" s="7">
        <f t="shared" si="1"/>
        <v>7291.666666666667</v>
      </c>
      <c r="E136" s="7">
        <f t="shared" si="2"/>
        <v>346.35416666666703</v>
      </c>
      <c r="F136" s="7">
        <f t="shared" si="3"/>
        <v>269791.66666666692</v>
      </c>
      <c r="G136" s="8">
        <f t="shared" si="4"/>
        <v>430208.33333333366</v>
      </c>
    </row>
    <row r="137" spans="2:7" ht="12.75" x14ac:dyDescent="0.2">
      <c r="B137" s="6">
        <v>46204</v>
      </c>
      <c r="C137" s="7">
        <f t="shared" si="0"/>
        <v>7628.9062500000009</v>
      </c>
      <c r="D137" s="7">
        <f t="shared" si="1"/>
        <v>7291.666666666667</v>
      </c>
      <c r="E137" s="7">
        <f t="shared" si="2"/>
        <v>337.23958333333366</v>
      </c>
      <c r="F137" s="7">
        <f t="shared" si="3"/>
        <v>262500.00000000023</v>
      </c>
      <c r="G137" s="8">
        <f t="shared" si="4"/>
        <v>437500.00000000035</v>
      </c>
    </row>
    <row r="138" spans="2:7" ht="12.75" x14ac:dyDescent="0.2">
      <c r="B138" s="6">
        <v>46235</v>
      </c>
      <c r="C138" s="7">
        <f t="shared" si="0"/>
        <v>7619.791666666667</v>
      </c>
      <c r="D138" s="7">
        <f t="shared" si="1"/>
        <v>7291.666666666667</v>
      </c>
      <c r="E138" s="7">
        <f t="shared" si="2"/>
        <v>328.12500000000028</v>
      </c>
      <c r="F138" s="7">
        <f t="shared" si="3"/>
        <v>255208.33333333358</v>
      </c>
      <c r="G138" s="8">
        <f t="shared" si="4"/>
        <v>444791.66666666704</v>
      </c>
    </row>
    <row r="139" spans="2:7" ht="12.75" x14ac:dyDescent="0.2">
      <c r="B139" s="6">
        <v>46266</v>
      </c>
      <c r="C139" s="7">
        <f t="shared" si="0"/>
        <v>7610.6770833333339</v>
      </c>
      <c r="D139" s="7">
        <f t="shared" si="1"/>
        <v>7291.666666666667</v>
      </c>
      <c r="E139" s="7">
        <f t="shared" si="2"/>
        <v>319.01041666666697</v>
      </c>
      <c r="F139" s="7">
        <f t="shared" si="3"/>
        <v>247916.66666666692</v>
      </c>
      <c r="G139" s="8">
        <f t="shared" si="4"/>
        <v>452083.33333333372</v>
      </c>
    </row>
    <row r="140" spans="2:7" ht="12.75" x14ac:dyDescent="0.2">
      <c r="B140" s="6">
        <v>46296</v>
      </c>
      <c r="C140" s="7">
        <f t="shared" si="0"/>
        <v>7601.5625000000009</v>
      </c>
      <c r="D140" s="7">
        <f t="shared" si="1"/>
        <v>7291.666666666667</v>
      </c>
      <c r="E140" s="7">
        <f t="shared" si="2"/>
        <v>309.89583333333366</v>
      </c>
      <c r="F140" s="7">
        <f t="shared" si="3"/>
        <v>240625.00000000026</v>
      </c>
      <c r="G140" s="8">
        <f t="shared" si="4"/>
        <v>459375.00000000041</v>
      </c>
    </row>
    <row r="141" spans="2:7" ht="12.75" x14ac:dyDescent="0.2">
      <c r="B141" s="6">
        <v>46327</v>
      </c>
      <c r="C141" s="7">
        <f t="shared" si="0"/>
        <v>7592.447916666667</v>
      </c>
      <c r="D141" s="7">
        <f t="shared" si="1"/>
        <v>7291.666666666667</v>
      </c>
      <c r="E141" s="7">
        <f t="shared" si="2"/>
        <v>300.78125000000034</v>
      </c>
      <c r="F141" s="7">
        <f t="shared" si="3"/>
        <v>233333.3333333336</v>
      </c>
      <c r="G141" s="8">
        <f t="shared" si="4"/>
        <v>466666.66666666709</v>
      </c>
    </row>
    <row r="142" spans="2:7" ht="12.75" x14ac:dyDescent="0.2">
      <c r="B142" s="6">
        <v>46357</v>
      </c>
      <c r="C142" s="7">
        <f t="shared" si="0"/>
        <v>7583.3333333333339</v>
      </c>
      <c r="D142" s="7">
        <f t="shared" si="1"/>
        <v>7291.666666666667</v>
      </c>
      <c r="E142" s="7">
        <f t="shared" si="2"/>
        <v>291.66666666666703</v>
      </c>
      <c r="F142" s="7">
        <f t="shared" ref="F142:F173" si="5">F141-D142</f>
        <v>226041.66666666695</v>
      </c>
      <c r="G142" s="8">
        <f t="shared" ref="G142:G173" si="6">G141+D142</f>
        <v>473958.33333333378</v>
      </c>
    </row>
    <row r="143" spans="2:7" ht="12.75" x14ac:dyDescent="0.2">
      <c r="B143" s="6">
        <v>46388</v>
      </c>
      <c r="C143" s="7">
        <f t="shared" si="0"/>
        <v>7574.2187500000009</v>
      </c>
      <c r="D143" s="7">
        <f t="shared" si="1"/>
        <v>7291.666666666667</v>
      </c>
      <c r="E143" s="7">
        <f t="shared" si="2"/>
        <v>282.55208333333371</v>
      </c>
      <c r="F143" s="7">
        <f t="shared" si="5"/>
        <v>218750.00000000029</v>
      </c>
      <c r="G143" s="8">
        <f t="shared" si="6"/>
        <v>481250.00000000047</v>
      </c>
    </row>
    <row r="144" spans="2:7" ht="12.75" x14ac:dyDescent="0.2">
      <c r="B144" s="6">
        <v>46419</v>
      </c>
      <c r="C144" s="7">
        <f t="shared" si="0"/>
        <v>7565.104166666667</v>
      </c>
      <c r="D144" s="7">
        <f t="shared" si="1"/>
        <v>7291.666666666667</v>
      </c>
      <c r="E144" s="7">
        <f t="shared" si="2"/>
        <v>273.43750000000034</v>
      </c>
      <c r="F144" s="7">
        <f t="shared" si="5"/>
        <v>211458.33333333363</v>
      </c>
      <c r="G144" s="8">
        <f t="shared" si="6"/>
        <v>488541.66666666715</v>
      </c>
    </row>
    <row r="145" spans="2:7" ht="12.75" x14ac:dyDescent="0.2">
      <c r="B145" s="6">
        <v>46447</v>
      </c>
      <c r="C145" s="7">
        <f t="shared" si="0"/>
        <v>7555.9895833333339</v>
      </c>
      <c r="D145" s="7">
        <f t="shared" si="1"/>
        <v>7291.666666666667</v>
      </c>
      <c r="E145" s="7">
        <f t="shared" si="2"/>
        <v>264.32291666666703</v>
      </c>
      <c r="F145" s="7">
        <f t="shared" si="5"/>
        <v>204166.66666666698</v>
      </c>
      <c r="G145" s="8">
        <f t="shared" si="6"/>
        <v>495833.33333333384</v>
      </c>
    </row>
    <row r="146" spans="2:7" ht="12.75" x14ac:dyDescent="0.2">
      <c r="B146" s="6">
        <v>46478</v>
      </c>
      <c r="C146" s="7">
        <f t="shared" si="0"/>
        <v>7546.8750000000009</v>
      </c>
      <c r="D146" s="7">
        <f t="shared" si="1"/>
        <v>7291.666666666667</v>
      </c>
      <c r="E146" s="7">
        <f t="shared" si="2"/>
        <v>255.20833333333374</v>
      </c>
      <c r="F146" s="7">
        <f t="shared" si="5"/>
        <v>196875.00000000032</v>
      </c>
      <c r="G146" s="8">
        <f t="shared" si="6"/>
        <v>503125.00000000052</v>
      </c>
    </row>
    <row r="147" spans="2:7" ht="12.75" x14ac:dyDescent="0.2">
      <c r="B147" s="6">
        <v>46508</v>
      </c>
      <c r="C147" s="7">
        <f t="shared" si="0"/>
        <v>7537.760416666667</v>
      </c>
      <c r="D147" s="7">
        <f t="shared" si="1"/>
        <v>7291.666666666667</v>
      </c>
      <c r="E147" s="7">
        <f t="shared" si="2"/>
        <v>246.0937500000004</v>
      </c>
      <c r="F147" s="7">
        <f t="shared" si="5"/>
        <v>189583.33333333366</v>
      </c>
      <c r="G147" s="8">
        <f t="shared" si="6"/>
        <v>510416.66666666721</v>
      </c>
    </row>
    <row r="148" spans="2:7" ht="12.75" x14ac:dyDescent="0.2">
      <c r="B148" s="6">
        <v>46539</v>
      </c>
      <c r="C148" s="7">
        <f t="shared" si="0"/>
        <v>7528.6458333333339</v>
      </c>
      <c r="D148" s="7">
        <f t="shared" si="1"/>
        <v>7291.666666666667</v>
      </c>
      <c r="E148" s="7">
        <f t="shared" si="2"/>
        <v>236.97916666666708</v>
      </c>
      <c r="F148" s="7">
        <f t="shared" si="5"/>
        <v>182291.66666666701</v>
      </c>
      <c r="G148" s="8">
        <f t="shared" si="6"/>
        <v>517708.3333333339</v>
      </c>
    </row>
    <row r="149" spans="2:7" ht="12.75" x14ac:dyDescent="0.2">
      <c r="B149" s="6">
        <v>46569</v>
      </c>
      <c r="C149" s="7">
        <f t="shared" si="0"/>
        <v>7519.5312500000009</v>
      </c>
      <c r="D149" s="7">
        <f t="shared" si="1"/>
        <v>7291.666666666667</v>
      </c>
      <c r="E149" s="7">
        <f t="shared" si="2"/>
        <v>227.86458333333377</v>
      </c>
      <c r="F149" s="7">
        <f t="shared" si="5"/>
        <v>175000.00000000035</v>
      </c>
      <c r="G149" s="8">
        <f t="shared" si="6"/>
        <v>525000.00000000058</v>
      </c>
    </row>
    <row r="150" spans="2:7" ht="12.75" x14ac:dyDescent="0.2">
      <c r="B150" s="6">
        <v>46600</v>
      </c>
      <c r="C150" s="7">
        <f t="shared" si="0"/>
        <v>7510.4166666666679</v>
      </c>
      <c r="D150" s="7">
        <f t="shared" si="1"/>
        <v>7291.666666666667</v>
      </c>
      <c r="E150" s="7">
        <f t="shared" si="2"/>
        <v>218.75000000000045</v>
      </c>
      <c r="F150" s="7">
        <f t="shared" si="5"/>
        <v>167708.33333333369</v>
      </c>
      <c r="G150" s="8">
        <f t="shared" si="6"/>
        <v>532291.66666666721</v>
      </c>
    </row>
    <row r="151" spans="2:7" ht="12.75" x14ac:dyDescent="0.2">
      <c r="B151" s="6">
        <v>46631</v>
      </c>
      <c r="C151" s="7">
        <f t="shared" si="0"/>
        <v>7501.3020833333339</v>
      </c>
      <c r="D151" s="7">
        <f t="shared" si="1"/>
        <v>7291.666666666667</v>
      </c>
      <c r="E151" s="7">
        <f t="shared" si="2"/>
        <v>209.63541666666711</v>
      </c>
      <c r="F151" s="7">
        <f t="shared" si="5"/>
        <v>160416.66666666704</v>
      </c>
      <c r="G151" s="8">
        <f t="shared" si="6"/>
        <v>539583.33333333384</v>
      </c>
    </row>
    <row r="152" spans="2:7" ht="12.75" x14ac:dyDescent="0.2">
      <c r="B152" s="6">
        <v>46661</v>
      </c>
      <c r="C152" s="7">
        <f t="shared" si="0"/>
        <v>7492.1875000000009</v>
      </c>
      <c r="D152" s="7">
        <f t="shared" si="1"/>
        <v>7291.666666666667</v>
      </c>
      <c r="E152" s="7">
        <f t="shared" si="2"/>
        <v>200.5208333333338</v>
      </c>
      <c r="F152" s="7">
        <f t="shared" si="5"/>
        <v>153125.00000000038</v>
      </c>
      <c r="G152" s="8">
        <f t="shared" si="6"/>
        <v>546875.00000000047</v>
      </c>
    </row>
    <row r="153" spans="2:7" ht="12.75" x14ac:dyDescent="0.2">
      <c r="B153" s="6">
        <v>46692</v>
      </c>
      <c r="C153" s="7">
        <f t="shared" si="0"/>
        <v>7483.0729166666679</v>
      </c>
      <c r="D153" s="7">
        <f t="shared" si="1"/>
        <v>7291.666666666667</v>
      </c>
      <c r="E153" s="7">
        <f t="shared" si="2"/>
        <v>191.40625000000048</v>
      </c>
      <c r="F153" s="7">
        <f t="shared" si="5"/>
        <v>145833.33333333372</v>
      </c>
      <c r="G153" s="8">
        <f t="shared" si="6"/>
        <v>554166.66666666709</v>
      </c>
    </row>
    <row r="154" spans="2:7" ht="12.75" x14ac:dyDescent="0.2">
      <c r="B154" s="6">
        <v>46722</v>
      </c>
      <c r="C154" s="7">
        <f t="shared" si="0"/>
        <v>7473.9583333333339</v>
      </c>
      <c r="D154" s="7">
        <f t="shared" si="1"/>
        <v>7291.666666666667</v>
      </c>
      <c r="E154" s="7">
        <f t="shared" si="2"/>
        <v>182.29166666666717</v>
      </c>
      <c r="F154" s="7">
        <f t="shared" si="5"/>
        <v>138541.66666666706</v>
      </c>
      <c r="G154" s="8">
        <f t="shared" si="6"/>
        <v>561458.33333333372</v>
      </c>
    </row>
    <row r="155" spans="2:7" ht="12.75" x14ac:dyDescent="0.2">
      <c r="B155" s="6">
        <v>46753</v>
      </c>
      <c r="C155" s="7">
        <f t="shared" si="0"/>
        <v>7464.8437500000009</v>
      </c>
      <c r="D155" s="7">
        <f t="shared" si="1"/>
        <v>7291.666666666667</v>
      </c>
      <c r="E155" s="7">
        <f t="shared" si="2"/>
        <v>173.17708333333383</v>
      </c>
      <c r="F155" s="7">
        <f t="shared" si="5"/>
        <v>131250.00000000041</v>
      </c>
      <c r="G155" s="8">
        <f t="shared" si="6"/>
        <v>568750.00000000035</v>
      </c>
    </row>
    <row r="156" spans="2:7" ht="12.75" x14ac:dyDescent="0.2">
      <c r="B156" s="6">
        <v>46784</v>
      </c>
      <c r="C156" s="7">
        <f t="shared" si="0"/>
        <v>7455.7291666666679</v>
      </c>
      <c r="D156" s="7">
        <f t="shared" si="1"/>
        <v>7291.666666666667</v>
      </c>
      <c r="E156" s="7">
        <f t="shared" si="2"/>
        <v>164.06250000000051</v>
      </c>
      <c r="F156" s="7">
        <f t="shared" si="5"/>
        <v>123958.33333333374</v>
      </c>
      <c r="G156" s="8">
        <f t="shared" si="6"/>
        <v>576041.66666666698</v>
      </c>
    </row>
    <row r="157" spans="2:7" ht="12.75" x14ac:dyDescent="0.2">
      <c r="B157" s="6">
        <v>46813</v>
      </c>
      <c r="C157" s="7">
        <f t="shared" si="0"/>
        <v>7446.6145833333339</v>
      </c>
      <c r="D157" s="7">
        <f t="shared" si="1"/>
        <v>7291.666666666667</v>
      </c>
      <c r="E157" s="7">
        <f t="shared" si="2"/>
        <v>154.94791666666717</v>
      </c>
      <c r="F157" s="7">
        <f t="shared" si="5"/>
        <v>116666.66666666706</v>
      </c>
      <c r="G157" s="8">
        <f t="shared" si="6"/>
        <v>583333.3333333336</v>
      </c>
    </row>
    <row r="158" spans="2:7" ht="12.75" x14ac:dyDescent="0.2">
      <c r="B158" s="6">
        <v>46844</v>
      </c>
      <c r="C158" s="7">
        <f t="shared" si="0"/>
        <v>7437.5000000000009</v>
      </c>
      <c r="D158" s="7">
        <f t="shared" si="1"/>
        <v>7291.666666666667</v>
      </c>
      <c r="E158" s="7">
        <f t="shared" si="2"/>
        <v>145.83333333333383</v>
      </c>
      <c r="F158" s="7">
        <f t="shared" si="5"/>
        <v>109375.00000000039</v>
      </c>
      <c r="G158" s="8">
        <f t="shared" si="6"/>
        <v>590625.00000000023</v>
      </c>
    </row>
    <row r="159" spans="2:7" ht="12.75" x14ac:dyDescent="0.2">
      <c r="B159" s="6">
        <v>46874</v>
      </c>
      <c r="C159" s="7">
        <f t="shared" si="0"/>
        <v>7428.3854166666679</v>
      </c>
      <c r="D159" s="7">
        <f t="shared" si="1"/>
        <v>7291.666666666667</v>
      </c>
      <c r="E159" s="7">
        <f t="shared" si="2"/>
        <v>136.71875000000048</v>
      </c>
      <c r="F159" s="7">
        <f t="shared" si="5"/>
        <v>102083.33333333372</v>
      </c>
      <c r="G159" s="8">
        <f t="shared" si="6"/>
        <v>597916.66666666686</v>
      </c>
    </row>
    <row r="160" spans="2:7" ht="12.75" x14ac:dyDescent="0.2">
      <c r="B160" s="6">
        <v>46905</v>
      </c>
      <c r="C160" s="7">
        <f t="shared" si="0"/>
        <v>7419.2708333333339</v>
      </c>
      <c r="D160" s="7">
        <f t="shared" si="1"/>
        <v>7291.666666666667</v>
      </c>
      <c r="E160" s="7">
        <f t="shared" si="2"/>
        <v>127.60416666666715</v>
      </c>
      <c r="F160" s="7">
        <f t="shared" si="5"/>
        <v>94791.66666666705</v>
      </c>
      <c r="G160" s="8">
        <f t="shared" si="6"/>
        <v>605208.33333333349</v>
      </c>
    </row>
    <row r="161" spans="2:7" ht="12.75" x14ac:dyDescent="0.2">
      <c r="B161" s="6">
        <v>46935</v>
      </c>
      <c r="C161" s="7">
        <f t="shared" si="0"/>
        <v>7410.1562500000009</v>
      </c>
      <c r="D161" s="7">
        <f t="shared" si="1"/>
        <v>7291.666666666667</v>
      </c>
      <c r="E161" s="7">
        <f t="shared" si="2"/>
        <v>118.48958333333381</v>
      </c>
      <c r="F161" s="7">
        <f t="shared" si="5"/>
        <v>87500.000000000378</v>
      </c>
      <c r="G161" s="8">
        <f t="shared" si="6"/>
        <v>612500.00000000012</v>
      </c>
    </row>
    <row r="162" spans="2:7" ht="12.75" x14ac:dyDescent="0.2">
      <c r="B162" s="6">
        <v>46966</v>
      </c>
      <c r="C162" s="7">
        <f t="shared" si="0"/>
        <v>7401.0416666666679</v>
      </c>
      <c r="D162" s="7">
        <f t="shared" si="1"/>
        <v>7291.666666666667</v>
      </c>
      <c r="E162" s="7">
        <f t="shared" si="2"/>
        <v>109.37500000000047</v>
      </c>
      <c r="F162" s="7">
        <f t="shared" si="5"/>
        <v>80208.333333333707</v>
      </c>
      <c r="G162" s="8">
        <f t="shared" si="6"/>
        <v>619791.66666666674</v>
      </c>
    </row>
    <row r="163" spans="2:7" ht="12.75" x14ac:dyDescent="0.2">
      <c r="B163" s="6">
        <v>46997</v>
      </c>
      <c r="C163" s="7">
        <f t="shared" si="0"/>
        <v>7391.9270833333339</v>
      </c>
      <c r="D163" s="7">
        <f t="shared" si="1"/>
        <v>7291.666666666667</v>
      </c>
      <c r="E163" s="7">
        <f t="shared" si="2"/>
        <v>100.26041666666714</v>
      </c>
      <c r="F163" s="7">
        <f t="shared" si="5"/>
        <v>72916.666666667035</v>
      </c>
      <c r="G163" s="8">
        <f t="shared" si="6"/>
        <v>627083.33333333337</v>
      </c>
    </row>
    <row r="164" spans="2:7" ht="12.75" x14ac:dyDescent="0.2">
      <c r="B164" s="6">
        <v>47027</v>
      </c>
      <c r="C164" s="7">
        <f t="shared" si="0"/>
        <v>7382.8125000000009</v>
      </c>
      <c r="D164" s="7">
        <f t="shared" si="1"/>
        <v>7291.666666666667</v>
      </c>
      <c r="E164" s="7">
        <f t="shared" si="2"/>
        <v>91.145833333333798</v>
      </c>
      <c r="F164" s="7">
        <f t="shared" si="5"/>
        <v>65625.000000000364</v>
      </c>
      <c r="G164" s="8">
        <f t="shared" si="6"/>
        <v>634375</v>
      </c>
    </row>
    <row r="165" spans="2:7" ht="12.75" x14ac:dyDescent="0.2">
      <c r="B165" s="6">
        <v>47058</v>
      </c>
      <c r="C165" s="7">
        <f t="shared" si="0"/>
        <v>7373.6979166666679</v>
      </c>
      <c r="D165" s="7">
        <f t="shared" si="1"/>
        <v>7291.666666666667</v>
      </c>
      <c r="E165" s="7">
        <f t="shared" si="2"/>
        <v>82.031250000000455</v>
      </c>
      <c r="F165" s="7">
        <f t="shared" si="5"/>
        <v>58333.3333333337</v>
      </c>
      <c r="G165" s="8">
        <f t="shared" si="6"/>
        <v>641666.66666666663</v>
      </c>
    </row>
    <row r="166" spans="2:7" ht="12.75" x14ac:dyDescent="0.2">
      <c r="B166" s="6">
        <v>47088</v>
      </c>
      <c r="C166" s="7">
        <f t="shared" si="0"/>
        <v>7364.5833333333339</v>
      </c>
      <c r="D166" s="7">
        <f t="shared" si="1"/>
        <v>7291.666666666667</v>
      </c>
      <c r="E166" s="7">
        <f t="shared" si="2"/>
        <v>72.916666666667126</v>
      </c>
      <c r="F166" s="7">
        <f t="shared" si="5"/>
        <v>51041.666666667035</v>
      </c>
      <c r="G166" s="8">
        <f t="shared" si="6"/>
        <v>648958.33333333326</v>
      </c>
    </row>
    <row r="167" spans="2:7" ht="12.75" x14ac:dyDescent="0.2">
      <c r="B167" s="6">
        <v>47119</v>
      </c>
      <c r="C167" s="7">
        <f t="shared" si="0"/>
        <v>7355.4687500000009</v>
      </c>
      <c r="D167" s="7">
        <f t="shared" si="1"/>
        <v>7291.666666666667</v>
      </c>
      <c r="E167" s="7">
        <f t="shared" si="2"/>
        <v>63.802083333333798</v>
      </c>
      <c r="F167" s="7">
        <f t="shared" si="5"/>
        <v>43750.000000000371</v>
      </c>
      <c r="G167" s="8">
        <f t="shared" si="6"/>
        <v>656249.99999999988</v>
      </c>
    </row>
    <row r="168" spans="2:7" ht="12.75" x14ac:dyDescent="0.2">
      <c r="B168" s="6">
        <v>47150</v>
      </c>
      <c r="C168" s="7">
        <f t="shared" si="0"/>
        <v>7346.3541666666679</v>
      </c>
      <c r="D168" s="7">
        <f t="shared" si="1"/>
        <v>7291.666666666667</v>
      </c>
      <c r="E168" s="7">
        <f t="shared" si="2"/>
        <v>54.687500000000462</v>
      </c>
      <c r="F168" s="7">
        <f t="shared" si="5"/>
        <v>36458.333333333707</v>
      </c>
      <c r="G168" s="8">
        <f t="shared" si="6"/>
        <v>663541.66666666651</v>
      </c>
    </row>
    <row r="169" spans="2:7" ht="12.75" x14ac:dyDescent="0.2">
      <c r="B169" s="6">
        <v>47178</v>
      </c>
      <c r="C169" s="7">
        <f t="shared" si="0"/>
        <v>7337.2395833333339</v>
      </c>
      <c r="D169" s="7">
        <f t="shared" si="1"/>
        <v>7291.666666666667</v>
      </c>
      <c r="E169" s="7">
        <f t="shared" si="2"/>
        <v>45.572916666667133</v>
      </c>
      <c r="F169" s="7">
        <f t="shared" si="5"/>
        <v>29166.666666667039</v>
      </c>
      <c r="G169" s="8">
        <f t="shared" si="6"/>
        <v>670833.33333333314</v>
      </c>
    </row>
    <row r="170" spans="2:7" ht="12.75" x14ac:dyDescent="0.2">
      <c r="B170" s="6">
        <v>47209</v>
      </c>
      <c r="C170" s="7">
        <f t="shared" si="0"/>
        <v>7328.1250000000009</v>
      </c>
      <c r="D170" s="7">
        <f t="shared" si="1"/>
        <v>7291.666666666667</v>
      </c>
      <c r="E170" s="7">
        <f t="shared" si="2"/>
        <v>36.458333333333798</v>
      </c>
      <c r="F170" s="7">
        <f t="shared" si="5"/>
        <v>21875.000000000371</v>
      </c>
      <c r="G170" s="8">
        <f t="shared" si="6"/>
        <v>678124.99999999977</v>
      </c>
    </row>
    <row r="171" spans="2:7" ht="12.75" x14ac:dyDescent="0.2">
      <c r="B171" s="6">
        <v>47239</v>
      </c>
      <c r="C171" s="7">
        <f t="shared" si="0"/>
        <v>7319.0104166666679</v>
      </c>
      <c r="D171" s="7">
        <f t="shared" si="1"/>
        <v>7291.666666666667</v>
      </c>
      <c r="E171" s="7">
        <f t="shared" si="2"/>
        <v>27.343750000000465</v>
      </c>
      <c r="F171" s="7">
        <f t="shared" si="5"/>
        <v>14583.333333333703</v>
      </c>
      <c r="G171" s="8">
        <f t="shared" si="6"/>
        <v>685416.6666666664</v>
      </c>
    </row>
    <row r="172" spans="2:7" ht="12.75" x14ac:dyDescent="0.2">
      <c r="B172" s="6">
        <v>47270</v>
      </c>
      <c r="C172" s="7">
        <f t="shared" si="0"/>
        <v>7309.8958333333339</v>
      </c>
      <c r="D172" s="7">
        <f t="shared" si="1"/>
        <v>7291.666666666667</v>
      </c>
      <c r="E172" s="7">
        <f t="shared" si="2"/>
        <v>18.22916666666713</v>
      </c>
      <c r="F172" s="7">
        <f t="shared" si="5"/>
        <v>7291.6666666670362</v>
      </c>
      <c r="G172" s="8">
        <f t="shared" si="6"/>
        <v>692708.33333333302</v>
      </c>
    </row>
    <row r="173" spans="2:7" ht="12.75" x14ac:dyDescent="0.2">
      <c r="B173" s="6">
        <v>47300</v>
      </c>
      <c r="C173" s="7">
        <f t="shared" si="0"/>
        <v>7300.7812500000009</v>
      </c>
      <c r="D173" s="7">
        <f t="shared" si="1"/>
        <v>7291.666666666667</v>
      </c>
      <c r="E173" s="7">
        <f t="shared" si="2"/>
        <v>9.1145833333337958</v>
      </c>
      <c r="F173" s="7">
        <f t="shared" si="5"/>
        <v>3.6925484891980886E-10</v>
      </c>
      <c r="G173" s="8">
        <f t="shared" si="6"/>
        <v>699999.99999999965</v>
      </c>
    </row>
    <row r="174" spans="2:7" ht="12.75" x14ac:dyDescent="0.2">
      <c r="B174" s="9"/>
      <c r="D174" s="10">
        <f t="shared" ref="D174:E174" si="7">SUM(D78:D173)</f>
        <v>699999.99999999965</v>
      </c>
      <c r="E174" s="13">
        <f t="shared" si="7"/>
        <v>42437.500000000044</v>
      </c>
    </row>
    <row r="177" spans="1:7" ht="12.75" x14ac:dyDescent="0.2">
      <c r="A177" s="2" t="s">
        <v>13</v>
      </c>
    </row>
    <row r="178" spans="1:7" ht="12.75" x14ac:dyDescent="0.2">
      <c r="B178" s="2" t="s">
        <v>32</v>
      </c>
      <c r="D178" s="14">
        <f>0.5%+0.35%</f>
        <v>8.5000000000000006E-3</v>
      </c>
    </row>
    <row r="179" spans="1:7" ht="12.75" x14ac:dyDescent="0.2">
      <c r="B179" s="2" t="s">
        <v>33</v>
      </c>
      <c r="D179" s="14">
        <f>0.5%+0.35%+(0.15%*1)</f>
        <v>0.01</v>
      </c>
    </row>
    <row r="180" spans="1:7" ht="12.75" x14ac:dyDescent="0.2">
      <c r="B180" s="2" t="s">
        <v>34</v>
      </c>
      <c r="D180" s="14">
        <f>0.5%+0.35%+(0.15%*2)</f>
        <v>1.15E-2</v>
      </c>
    </row>
    <row r="181" spans="1:7" ht="12.75" x14ac:dyDescent="0.2">
      <c r="B181" s="2" t="s">
        <v>35</v>
      </c>
      <c r="D181" s="14">
        <f>0.5%+0.35%+(0.15%*3)</f>
        <v>1.3000000000000001E-2</v>
      </c>
    </row>
    <row r="182" spans="1:7" ht="12.75" x14ac:dyDescent="0.2">
      <c r="B182" s="2" t="s">
        <v>36</v>
      </c>
      <c r="D182" s="14">
        <f>0.5%+0.35%+(0.15%*4)</f>
        <v>1.4500000000000001E-2</v>
      </c>
    </row>
    <row r="183" spans="1:7" ht="12.75" x14ac:dyDescent="0.2">
      <c r="B183" s="2" t="s">
        <v>37</v>
      </c>
      <c r="D183" s="14">
        <f>0.5%+0.35%+(0.15%*5)</f>
        <v>1.6E-2</v>
      </c>
    </row>
    <row r="184" spans="1:7" ht="12.75" x14ac:dyDescent="0.2">
      <c r="B184" s="2" t="s">
        <v>38</v>
      </c>
      <c r="D184" s="14">
        <f>0.5%+0.35%+(0.15%*6)</f>
        <v>1.7500000000000002E-2</v>
      </c>
    </row>
    <row r="185" spans="1:7" ht="12.75" x14ac:dyDescent="0.2">
      <c r="B185" s="2" t="s">
        <v>39</v>
      </c>
      <c r="D185" s="14">
        <f>0.5%+0.35%+(0.15%*7)</f>
        <v>1.9000000000000003E-2</v>
      </c>
    </row>
    <row r="187" spans="1:7" ht="12.75" x14ac:dyDescent="0.2">
      <c r="B187" s="3" t="s">
        <v>7</v>
      </c>
      <c r="C187" s="4" t="s">
        <v>8</v>
      </c>
      <c r="D187" s="4" t="s">
        <v>9</v>
      </c>
      <c r="E187" s="4" t="s">
        <v>10</v>
      </c>
      <c r="F187" s="4" t="s">
        <v>11</v>
      </c>
      <c r="G187" s="5" t="s">
        <v>12</v>
      </c>
    </row>
    <row r="188" spans="1:7" ht="12.75" x14ac:dyDescent="0.2">
      <c r="B188" s="6">
        <v>44378</v>
      </c>
      <c r="C188" s="7"/>
      <c r="D188" s="7"/>
      <c r="E188" s="7"/>
      <c r="F188" s="7">
        <v>700000</v>
      </c>
      <c r="G188" s="8"/>
    </row>
    <row r="189" spans="1:7" ht="12.75" x14ac:dyDescent="0.2">
      <c r="A189" s="2">
        <v>1</v>
      </c>
      <c r="B189" s="6">
        <v>44409</v>
      </c>
      <c r="C189" s="7">
        <f t="shared" ref="C189:C284" si="8">D189+E189</f>
        <v>7787.5</v>
      </c>
      <c r="D189" s="7">
        <f t="shared" ref="D189:D284" si="9">700000/(8*12)</f>
        <v>7291.666666666667</v>
      </c>
      <c r="E189" s="7">
        <f t="shared" ref="E189:E200" si="10">F188*$D$178/12</f>
        <v>495.83333333333331</v>
      </c>
      <c r="F189" s="7">
        <f t="shared" ref="F189:F252" si="11">F188-D189</f>
        <v>692708.33333333337</v>
      </c>
      <c r="G189" s="8">
        <f t="shared" ref="G189:G252" si="12">G188+D189</f>
        <v>7291.666666666667</v>
      </c>
    </row>
    <row r="190" spans="1:7" ht="12.75" x14ac:dyDescent="0.2">
      <c r="A190" s="2">
        <v>2</v>
      </c>
      <c r="B190" s="6">
        <v>44440</v>
      </c>
      <c r="C190" s="7">
        <f t="shared" si="8"/>
        <v>7782.3350694444453</v>
      </c>
      <c r="D190" s="7">
        <f t="shared" si="9"/>
        <v>7291.666666666667</v>
      </c>
      <c r="E190" s="7">
        <f t="shared" si="10"/>
        <v>490.66840277777783</v>
      </c>
      <c r="F190" s="7">
        <f t="shared" si="11"/>
        <v>685416.66666666674</v>
      </c>
      <c r="G190" s="8">
        <f t="shared" si="12"/>
        <v>14583.333333333334</v>
      </c>
    </row>
    <row r="191" spans="1:7" ht="12.75" x14ac:dyDescent="0.2">
      <c r="A191" s="2">
        <v>3</v>
      </c>
      <c r="B191" s="6">
        <v>44470</v>
      </c>
      <c r="C191" s="7">
        <f t="shared" si="8"/>
        <v>7777.1701388888896</v>
      </c>
      <c r="D191" s="7">
        <f t="shared" si="9"/>
        <v>7291.666666666667</v>
      </c>
      <c r="E191" s="7">
        <f t="shared" si="10"/>
        <v>485.50347222222234</v>
      </c>
      <c r="F191" s="7">
        <f t="shared" si="11"/>
        <v>678125.00000000012</v>
      </c>
      <c r="G191" s="8">
        <f t="shared" si="12"/>
        <v>21875</v>
      </c>
    </row>
    <row r="192" spans="1:7" ht="12.75" x14ac:dyDescent="0.2">
      <c r="A192" s="2">
        <v>4</v>
      </c>
      <c r="B192" s="6">
        <v>44501</v>
      </c>
      <c r="C192" s="7">
        <f t="shared" si="8"/>
        <v>7772.0052083333339</v>
      </c>
      <c r="D192" s="7">
        <f t="shared" si="9"/>
        <v>7291.666666666667</v>
      </c>
      <c r="E192" s="7">
        <f t="shared" si="10"/>
        <v>480.3385416666668</v>
      </c>
      <c r="F192" s="7">
        <f t="shared" si="11"/>
        <v>670833.33333333349</v>
      </c>
      <c r="G192" s="8">
        <f t="shared" si="12"/>
        <v>29166.666666666668</v>
      </c>
    </row>
    <row r="193" spans="1:7" ht="12.75" x14ac:dyDescent="0.2">
      <c r="A193" s="2">
        <v>5</v>
      </c>
      <c r="B193" s="6">
        <v>44531</v>
      </c>
      <c r="C193" s="7">
        <f t="shared" si="8"/>
        <v>7766.8402777777783</v>
      </c>
      <c r="D193" s="7">
        <f t="shared" si="9"/>
        <v>7291.666666666667</v>
      </c>
      <c r="E193" s="7">
        <f t="shared" si="10"/>
        <v>475.17361111111126</v>
      </c>
      <c r="F193" s="7">
        <f t="shared" si="11"/>
        <v>663541.66666666686</v>
      </c>
      <c r="G193" s="8">
        <f t="shared" si="12"/>
        <v>36458.333333333336</v>
      </c>
    </row>
    <row r="194" spans="1:7" ht="12.75" x14ac:dyDescent="0.2">
      <c r="A194" s="2">
        <v>6</v>
      </c>
      <c r="B194" s="6">
        <v>44562</v>
      </c>
      <c r="C194" s="7">
        <f t="shared" si="8"/>
        <v>7761.6753472222226</v>
      </c>
      <c r="D194" s="7">
        <f t="shared" si="9"/>
        <v>7291.666666666667</v>
      </c>
      <c r="E194" s="7">
        <f t="shared" si="10"/>
        <v>470.00868055555571</v>
      </c>
      <c r="F194" s="7">
        <f t="shared" si="11"/>
        <v>656250.00000000023</v>
      </c>
      <c r="G194" s="8">
        <f t="shared" si="12"/>
        <v>43750</v>
      </c>
    </row>
    <row r="195" spans="1:7" ht="12.75" x14ac:dyDescent="0.2">
      <c r="A195" s="2">
        <v>7</v>
      </c>
      <c r="B195" s="6">
        <v>44593</v>
      </c>
      <c r="C195" s="7">
        <f t="shared" si="8"/>
        <v>7756.510416666667</v>
      </c>
      <c r="D195" s="7">
        <f t="shared" si="9"/>
        <v>7291.666666666667</v>
      </c>
      <c r="E195" s="7">
        <f t="shared" si="10"/>
        <v>464.84375000000023</v>
      </c>
      <c r="F195" s="7">
        <f t="shared" si="11"/>
        <v>648958.3333333336</v>
      </c>
      <c r="G195" s="8">
        <f t="shared" si="12"/>
        <v>51041.666666666664</v>
      </c>
    </row>
    <row r="196" spans="1:7" ht="12.75" x14ac:dyDescent="0.2">
      <c r="A196" s="2">
        <v>8</v>
      </c>
      <c r="B196" s="6">
        <v>44621</v>
      </c>
      <c r="C196" s="7">
        <f t="shared" si="8"/>
        <v>7751.3454861111113</v>
      </c>
      <c r="D196" s="7">
        <f t="shared" si="9"/>
        <v>7291.666666666667</v>
      </c>
      <c r="E196" s="7">
        <f t="shared" si="10"/>
        <v>459.67881944444463</v>
      </c>
      <c r="F196" s="7">
        <f t="shared" si="11"/>
        <v>641666.66666666698</v>
      </c>
      <c r="G196" s="8">
        <f t="shared" si="12"/>
        <v>58333.333333333328</v>
      </c>
    </row>
    <row r="197" spans="1:7" ht="12.75" x14ac:dyDescent="0.2">
      <c r="A197" s="2">
        <v>9</v>
      </c>
      <c r="B197" s="6">
        <v>44652</v>
      </c>
      <c r="C197" s="7">
        <f t="shared" si="8"/>
        <v>7746.1805555555566</v>
      </c>
      <c r="D197" s="7">
        <f t="shared" si="9"/>
        <v>7291.666666666667</v>
      </c>
      <c r="E197" s="7">
        <f t="shared" si="10"/>
        <v>454.51388888888914</v>
      </c>
      <c r="F197" s="7">
        <f t="shared" si="11"/>
        <v>634375.00000000035</v>
      </c>
      <c r="G197" s="8">
        <f t="shared" si="12"/>
        <v>65625</v>
      </c>
    </row>
    <row r="198" spans="1:7" ht="12.75" x14ac:dyDescent="0.2">
      <c r="A198" s="2">
        <v>10</v>
      </c>
      <c r="B198" s="6">
        <v>44682</v>
      </c>
      <c r="C198" s="7">
        <f t="shared" si="8"/>
        <v>7741.0156250000009</v>
      </c>
      <c r="D198" s="7">
        <f t="shared" si="9"/>
        <v>7291.666666666667</v>
      </c>
      <c r="E198" s="7">
        <f t="shared" si="10"/>
        <v>449.34895833333366</v>
      </c>
      <c r="F198" s="7">
        <f t="shared" si="11"/>
        <v>627083.33333333372</v>
      </c>
      <c r="G198" s="8">
        <f t="shared" si="12"/>
        <v>72916.666666666672</v>
      </c>
    </row>
    <row r="199" spans="1:7" ht="12.75" x14ac:dyDescent="0.2">
      <c r="A199" s="2">
        <v>11</v>
      </c>
      <c r="B199" s="6">
        <v>44713</v>
      </c>
      <c r="C199" s="7">
        <f t="shared" si="8"/>
        <v>7735.8506944444453</v>
      </c>
      <c r="D199" s="7">
        <f t="shared" si="9"/>
        <v>7291.666666666667</v>
      </c>
      <c r="E199" s="7">
        <f t="shared" si="10"/>
        <v>444.18402777777806</v>
      </c>
      <c r="F199" s="7">
        <f t="shared" si="11"/>
        <v>619791.66666666709</v>
      </c>
      <c r="G199" s="8">
        <f t="shared" si="12"/>
        <v>80208.333333333343</v>
      </c>
    </row>
    <row r="200" spans="1:7" ht="12.75" x14ac:dyDescent="0.2">
      <c r="A200" s="2">
        <v>12</v>
      </c>
      <c r="B200" s="6">
        <v>44743</v>
      </c>
      <c r="C200" s="7">
        <f t="shared" si="8"/>
        <v>7730.6857638888896</v>
      </c>
      <c r="D200" s="7">
        <f t="shared" si="9"/>
        <v>7291.666666666667</v>
      </c>
      <c r="E200" s="7">
        <f t="shared" si="10"/>
        <v>439.01909722222257</v>
      </c>
      <c r="F200" s="7">
        <f t="shared" si="11"/>
        <v>612500.00000000047</v>
      </c>
      <c r="G200" s="8">
        <f t="shared" si="12"/>
        <v>87500.000000000015</v>
      </c>
    </row>
    <row r="201" spans="1:7" ht="12.75" x14ac:dyDescent="0.2">
      <c r="A201" s="2">
        <v>13</v>
      </c>
      <c r="B201" s="6">
        <v>44774</v>
      </c>
      <c r="C201" s="7">
        <f t="shared" si="8"/>
        <v>7802.0833333333339</v>
      </c>
      <c r="D201" s="7">
        <f t="shared" si="9"/>
        <v>7291.666666666667</v>
      </c>
      <c r="E201" s="7">
        <f t="shared" ref="E201:E212" si="13">F200*$D$179/12</f>
        <v>510.41666666666703</v>
      </c>
      <c r="F201" s="7">
        <f t="shared" si="11"/>
        <v>605208.33333333384</v>
      </c>
      <c r="G201" s="8">
        <f t="shared" si="12"/>
        <v>94791.666666666686</v>
      </c>
    </row>
    <row r="202" spans="1:7" ht="12.75" x14ac:dyDescent="0.2">
      <c r="A202" s="2">
        <v>14</v>
      </c>
      <c r="B202" s="6">
        <v>44805</v>
      </c>
      <c r="C202" s="7">
        <f t="shared" si="8"/>
        <v>7796.0069444444453</v>
      </c>
      <c r="D202" s="7">
        <f t="shared" si="9"/>
        <v>7291.666666666667</v>
      </c>
      <c r="E202" s="7">
        <f t="shared" si="13"/>
        <v>504.34027777777823</v>
      </c>
      <c r="F202" s="7">
        <f t="shared" si="11"/>
        <v>597916.66666666721</v>
      </c>
      <c r="G202" s="8">
        <f t="shared" si="12"/>
        <v>102083.33333333336</v>
      </c>
    </row>
    <row r="203" spans="1:7" ht="12.75" x14ac:dyDescent="0.2">
      <c r="A203" s="2">
        <v>15</v>
      </c>
      <c r="B203" s="6">
        <v>44835</v>
      </c>
      <c r="C203" s="7">
        <f t="shared" si="8"/>
        <v>7789.9305555555566</v>
      </c>
      <c r="D203" s="7">
        <f t="shared" si="9"/>
        <v>7291.666666666667</v>
      </c>
      <c r="E203" s="7">
        <f t="shared" si="13"/>
        <v>498.26388888888937</v>
      </c>
      <c r="F203" s="7">
        <f t="shared" si="11"/>
        <v>590625.00000000058</v>
      </c>
      <c r="G203" s="8">
        <f t="shared" si="12"/>
        <v>109375.00000000003</v>
      </c>
    </row>
    <row r="204" spans="1:7" ht="12.75" x14ac:dyDescent="0.2">
      <c r="A204" s="2">
        <v>16</v>
      </c>
      <c r="B204" s="6">
        <v>44866</v>
      </c>
      <c r="C204" s="7">
        <f t="shared" si="8"/>
        <v>7783.8541666666679</v>
      </c>
      <c r="D204" s="7">
        <f t="shared" si="9"/>
        <v>7291.666666666667</v>
      </c>
      <c r="E204" s="7">
        <f t="shared" si="13"/>
        <v>492.18750000000051</v>
      </c>
      <c r="F204" s="7">
        <f t="shared" si="11"/>
        <v>583333.33333333395</v>
      </c>
      <c r="G204" s="8">
        <f t="shared" si="12"/>
        <v>116666.6666666667</v>
      </c>
    </row>
    <row r="205" spans="1:7" ht="12.75" x14ac:dyDescent="0.2">
      <c r="A205" s="2">
        <v>17</v>
      </c>
      <c r="B205" s="6">
        <v>44896</v>
      </c>
      <c r="C205" s="7">
        <f t="shared" si="8"/>
        <v>7777.7777777777783</v>
      </c>
      <c r="D205" s="7">
        <f t="shared" si="9"/>
        <v>7291.666666666667</v>
      </c>
      <c r="E205" s="7">
        <f t="shared" si="13"/>
        <v>486.1111111111116</v>
      </c>
      <c r="F205" s="7">
        <f t="shared" si="11"/>
        <v>576041.66666666733</v>
      </c>
      <c r="G205" s="8">
        <f t="shared" si="12"/>
        <v>123958.33333333337</v>
      </c>
    </row>
    <row r="206" spans="1:7" ht="12.75" x14ac:dyDescent="0.2">
      <c r="A206" s="2">
        <v>18</v>
      </c>
      <c r="B206" s="6">
        <v>44927</v>
      </c>
      <c r="C206" s="7">
        <f t="shared" si="8"/>
        <v>7771.7013888888896</v>
      </c>
      <c r="D206" s="7">
        <f t="shared" si="9"/>
        <v>7291.666666666667</v>
      </c>
      <c r="E206" s="7">
        <f t="shared" si="13"/>
        <v>480.0347222222228</v>
      </c>
      <c r="F206" s="7">
        <f t="shared" si="11"/>
        <v>568750.0000000007</v>
      </c>
      <c r="G206" s="8">
        <f t="shared" si="12"/>
        <v>131250.00000000003</v>
      </c>
    </row>
    <row r="207" spans="1:7" ht="12.75" x14ac:dyDescent="0.2">
      <c r="A207" s="2">
        <v>19</v>
      </c>
      <c r="B207" s="6">
        <v>44958</v>
      </c>
      <c r="C207" s="7">
        <f t="shared" si="8"/>
        <v>7765.6250000000009</v>
      </c>
      <c r="D207" s="7">
        <f t="shared" si="9"/>
        <v>7291.666666666667</v>
      </c>
      <c r="E207" s="7">
        <f t="shared" si="13"/>
        <v>473.95833333333394</v>
      </c>
      <c r="F207" s="7">
        <f t="shared" si="11"/>
        <v>561458.33333333407</v>
      </c>
      <c r="G207" s="8">
        <f t="shared" si="12"/>
        <v>138541.66666666669</v>
      </c>
    </row>
    <row r="208" spans="1:7" ht="12.75" x14ac:dyDescent="0.2">
      <c r="A208" s="2">
        <v>20</v>
      </c>
      <c r="B208" s="6">
        <v>44986</v>
      </c>
      <c r="C208" s="7">
        <f t="shared" si="8"/>
        <v>7759.5486111111122</v>
      </c>
      <c r="D208" s="7">
        <f t="shared" si="9"/>
        <v>7291.666666666667</v>
      </c>
      <c r="E208" s="7">
        <f t="shared" si="13"/>
        <v>467.88194444444508</v>
      </c>
      <c r="F208" s="7">
        <f t="shared" si="11"/>
        <v>554166.66666666744</v>
      </c>
      <c r="G208" s="8">
        <f t="shared" si="12"/>
        <v>145833.33333333334</v>
      </c>
    </row>
    <row r="209" spans="1:7" ht="12.75" x14ac:dyDescent="0.2">
      <c r="A209" s="2">
        <v>21</v>
      </c>
      <c r="B209" s="6">
        <v>45017</v>
      </c>
      <c r="C209" s="7">
        <f t="shared" si="8"/>
        <v>7753.4722222222235</v>
      </c>
      <c r="D209" s="7">
        <f t="shared" si="9"/>
        <v>7291.666666666667</v>
      </c>
      <c r="E209" s="7">
        <f t="shared" si="13"/>
        <v>461.80555555555617</v>
      </c>
      <c r="F209" s="7">
        <f t="shared" si="11"/>
        <v>546875.00000000081</v>
      </c>
      <c r="G209" s="8">
        <f t="shared" si="12"/>
        <v>153125</v>
      </c>
    </row>
    <row r="210" spans="1:7" ht="12.75" x14ac:dyDescent="0.2">
      <c r="A210" s="2">
        <v>22</v>
      </c>
      <c r="B210" s="6">
        <v>45047</v>
      </c>
      <c r="C210" s="7">
        <f t="shared" si="8"/>
        <v>7747.3958333333339</v>
      </c>
      <c r="D210" s="7">
        <f t="shared" si="9"/>
        <v>7291.666666666667</v>
      </c>
      <c r="E210" s="7">
        <f t="shared" si="13"/>
        <v>455.72916666666737</v>
      </c>
      <c r="F210" s="7">
        <f t="shared" si="11"/>
        <v>539583.33333333419</v>
      </c>
      <c r="G210" s="8">
        <f t="shared" si="12"/>
        <v>160416.66666666666</v>
      </c>
    </row>
    <row r="211" spans="1:7" ht="12.75" x14ac:dyDescent="0.2">
      <c r="A211" s="2">
        <v>23</v>
      </c>
      <c r="B211" s="6">
        <v>45078</v>
      </c>
      <c r="C211" s="7">
        <f t="shared" si="8"/>
        <v>7741.3194444444453</v>
      </c>
      <c r="D211" s="7">
        <f t="shared" si="9"/>
        <v>7291.666666666667</v>
      </c>
      <c r="E211" s="7">
        <f t="shared" si="13"/>
        <v>449.65277777777851</v>
      </c>
      <c r="F211" s="7">
        <f t="shared" si="11"/>
        <v>532291.66666666756</v>
      </c>
      <c r="G211" s="8">
        <f t="shared" si="12"/>
        <v>167708.33333333331</v>
      </c>
    </row>
    <row r="212" spans="1:7" ht="12.75" x14ac:dyDescent="0.2">
      <c r="A212" s="2">
        <v>24</v>
      </c>
      <c r="B212" s="6">
        <v>45108</v>
      </c>
      <c r="C212" s="7">
        <f t="shared" si="8"/>
        <v>7735.2430555555566</v>
      </c>
      <c r="D212" s="7">
        <f t="shared" si="9"/>
        <v>7291.666666666667</v>
      </c>
      <c r="E212" s="7">
        <f t="shared" si="13"/>
        <v>443.57638888888965</v>
      </c>
      <c r="F212" s="7">
        <f t="shared" si="11"/>
        <v>525000.00000000093</v>
      </c>
      <c r="G212" s="8">
        <f t="shared" si="12"/>
        <v>174999.99999999997</v>
      </c>
    </row>
    <row r="213" spans="1:7" ht="12.75" x14ac:dyDescent="0.2">
      <c r="A213" s="2">
        <v>25</v>
      </c>
      <c r="B213" s="6">
        <v>45139</v>
      </c>
      <c r="C213" s="7">
        <f t="shared" si="8"/>
        <v>7794.7916666666679</v>
      </c>
      <c r="D213" s="7">
        <f t="shared" si="9"/>
        <v>7291.666666666667</v>
      </c>
      <c r="E213" s="7">
        <f t="shared" ref="E213:E224" si="14">F212*$D$180/12</f>
        <v>503.12500000000091</v>
      </c>
      <c r="F213" s="7">
        <f t="shared" si="11"/>
        <v>517708.33333333425</v>
      </c>
      <c r="G213" s="8">
        <f t="shared" si="12"/>
        <v>182291.66666666663</v>
      </c>
    </row>
    <row r="214" spans="1:7" ht="12.75" x14ac:dyDescent="0.2">
      <c r="A214" s="2">
        <v>26</v>
      </c>
      <c r="B214" s="6">
        <v>45170</v>
      </c>
      <c r="C214" s="7">
        <f t="shared" si="8"/>
        <v>7787.8038194444453</v>
      </c>
      <c r="D214" s="7">
        <f t="shared" si="9"/>
        <v>7291.666666666667</v>
      </c>
      <c r="E214" s="7">
        <f t="shared" si="14"/>
        <v>496.13715277777868</v>
      </c>
      <c r="F214" s="7">
        <f t="shared" si="11"/>
        <v>510416.66666666756</v>
      </c>
      <c r="G214" s="8">
        <f t="shared" si="12"/>
        <v>189583.33333333328</v>
      </c>
    </row>
    <row r="215" spans="1:7" ht="12.75" x14ac:dyDescent="0.2">
      <c r="A215" s="2">
        <v>27</v>
      </c>
      <c r="B215" s="6">
        <v>45200</v>
      </c>
      <c r="C215" s="7">
        <f t="shared" si="8"/>
        <v>7780.8159722222235</v>
      </c>
      <c r="D215" s="7">
        <f t="shared" si="9"/>
        <v>7291.666666666667</v>
      </c>
      <c r="E215" s="7">
        <f t="shared" si="14"/>
        <v>489.1493055555564</v>
      </c>
      <c r="F215" s="7">
        <f t="shared" si="11"/>
        <v>503125.00000000087</v>
      </c>
      <c r="G215" s="8">
        <f t="shared" si="12"/>
        <v>196874.99999999994</v>
      </c>
    </row>
    <row r="216" spans="1:7" ht="12.75" x14ac:dyDescent="0.2">
      <c r="A216" s="2">
        <v>28</v>
      </c>
      <c r="B216" s="6">
        <v>45231</v>
      </c>
      <c r="C216" s="7">
        <f t="shared" si="8"/>
        <v>7773.8281250000009</v>
      </c>
      <c r="D216" s="7">
        <f t="shared" si="9"/>
        <v>7291.666666666667</v>
      </c>
      <c r="E216" s="7">
        <f t="shared" si="14"/>
        <v>482.16145833333417</v>
      </c>
      <c r="F216" s="7">
        <f t="shared" si="11"/>
        <v>495833.33333333419</v>
      </c>
      <c r="G216" s="8">
        <f t="shared" si="12"/>
        <v>204166.6666666666</v>
      </c>
    </row>
    <row r="217" spans="1:7" ht="12.75" x14ac:dyDescent="0.2">
      <c r="A217" s="2">
        <v>29</v>
      </c>
      <c r="B217" s="6">
        <v>45261</v>
      </c>
      <c r="C217" s="7">
        <f t="shared" si="8"/>
        <v>7766.8402777777792</v>
      </c>
      <c r="D217" s="7">
        <f t="shared" si="9"/>
        <v>7291.666666666667</v>
      </c>
      <c r="E217" s="7">
        <f t="shared" si="14"/>
        <v>475.17361111111194</v>
      </c>
      <c r="F217" s="7">
        <f t="shared" si="11"/>
        <v>488541.6666666675</v>
      </c>
      <c r="G217" s="8">
        <f t="shared" si="12"/>
        <v>211458.33333333326</v>
      </c>
    </row>
    <row r="218" spans="1:7" ht="12.75" x14ac:dyDescent="0.2">
      <c r="A218" s="2">
        <v>30</v>
      </c>
      <c r="B218" s="6">
        <v>45292</v>
      </c>
      <c r="C218" s="7">
        <f t="shared" si="8"/>
        <v>7759.8524305555566</v>
      </c>
      <c r="D218" s="7">
        <f t="shared" si="9"/>
        <v>7291.666666666667</v>
      </c>
      <c r="E218" s="7">
        <f t="shared" si="14"/>
        <v>468.18576388888965</v>
      </c>
      <c r="F218" s="7">
        <f t="shared" si="11"/>
        <v>481250.00000000081</v>
      </c>
      <c r="G218" s="8">
        <f t="shared" si="12"/>
        <v>218749.99999999991</v>
      </c>
    </row>
    <row r="219" spans="1:7" ht="12.75" x14ac:dyDescent="0.2">
      <c r="A219" s="2">
        <v>31</v>
      </c>
      <c r="B219" s="6">
        <v>45323</v>
      </c>
      <c r="C219" s="7">
        <f t="shared" si="8"/>
        <v>7752.8645833333339</v>
      </c>
      <c r="D219" s="7">
        <f t="shared" si="9"/>
        <v>7291.666666666667</v>
      </c>
      <c r="E219" s="7">
        <f t="shared" si="14"/>
        <v>461.19791666666742</v>
      </c>
      <c r="F219" s="7">
        <f t="shared" si="11"/>
        <v>473958.33333333413</v>
      </c>
      <c r="G219" s="8">
        <f t="shared" si="12"/>
        <v>226041.66666666657</v>
      </c>
    </row>
    <row r="220" spans="1:7" ht="12.75" x14ac:dyDescent="0.2">
      <c r="A220" s="2">
        <v>32</v>
      </c>
      <c r="B220" s="6">
        <v>45352</v>
      </c>
      <c r="C220" s="7">
        <f t="shared" si="8"/>
        <v>7745.8767361111122</v>
      </c>
      <c r="D220" s="7">
        <f t="shared" si="9"/>
        <v>7291.666666666667</v>
      </c>
      <c r="E220" s="7">
        <f t="shared" si="14"/>
        <v>454.2100694444452</v>
      </c>
      <c r="F220" s="7">
        <f t="shared" si="11"/>
        <v>466666.66666666744</v>
      </c>
      <c r="G220" s="8">
        <f t="shared" si="12"/>
        <v>233333.33333333323</v>
      </c>
    </row>
    <row r="221" spans="1:7" ht="12.75" x14ac:dyDescent="0.2">
      <c r="A221" s="2">
        <v>33</v>
      </c>
      <c r="B221" s="6">
        <v>45383</v>
      </c>
      <c r="C221" s="7">
        <f t="shared" si="8"/>
        <v>7738.8888888888896</v>
      </c>
      <c r="D221" s="7">
        <f t="shared" si="9"/>
        <v>7291.666666666667</v>
      </c>
      <c r="E221" s="7">
        <f t="shared" si="14"/>
        <v>447.22222222222291</v>
      </c>
      <c r="F221" s="7">
        <f t="shared" si="11"/>
        <v>459375.00000000076</v>
      </c>
      <c r="G221" s="8">
        <f t="shared" si="12"/>
        <v>240624.99999999988</v>
      </c>
    </row>
    <row r="222" spans="1:7" ht="12.75" x14ac:dyDescent="0.2">
      <c r="A222" s="2">
        <v>34</v>
      </c>
      <c r="B222" s="6">
        <v>45413</v>
      </c>
      <c r="C222" s="7">
        <f t="shared" si="8"/>
        <v>7731.9010416666679</v>
      </c>
      <c r="D222" s="7">
        <f t="shared" si="9"/>
        <v>7291.666666666667</v>
      </c>
      <c r="E222" s="7">
        <f t="shared" si="14"/>
        <v>440.23437500000068</v>
      </c>
      <c r="F222" s="7">
        <f t="shared" si="11"/>
        <v>452083.33333333407</v>
      </c>
      <c r="G222" s="8">
        <f t="shared" si="12"/>
        <v>247916.66666666654</v>
      </c>
    </row>
    <row r="223" spans="1:7" ht="12.75" x14ac:dyDescent="0.2">
      <c r="A223" s="2">
        <v>35</v>
      </c>
      <c r="B223" s="6">
        <v>45444</v>
      </c>
      <c r="C223" s="7">
        <f t="shared" si="8"/>
        <v>7724.9131944444453</v>
      </c>
      <c r="D223" s="7">
        <f t="shared" si="9"/>
        <v>7291.666666666667</v>
      </c>
      <c r="E223" s="7">
        <f t="shared" si="14"/>
        <v>433.24652777777851</v>
      </c>
      <c r="F223" s="7">
        <f t="shared" si="11"/>
        <v>444791.66666666738</v>
      </c>
      <c r="G223" s="8">
        <f t="shared" si="12"/>
        <v>255208.3333333332</v>
      </c>
    </row>
    <row r="224" spans="1:7" ht="12.75" x14ac:dyDescent="0.2">
      <c r="A224" s="2">
        <v>36</v>
      </c>
      <c r="B224" s="6">
        <v>45474</v>
      </c>
      <c r="C224" s="7">
        <f t="shared" si="8"/>
        <v>7717.9253472222235</v>
      </c>
      <c r="D224" s="7">
        <f t="shared" si="9"/>
        <v>7291.666666666667</v>
      </c>
      <c r="E224" s="7">
        <f t="shared" si="14"/>
        <v>426.25868055555628</v>
      </c>
      <c r="F224" s="7">
        <f t="shared" si="11"/>
        <v>437500.0000000007</v>
      </c>
      <c r="G224" s="8">
        <f t="shared" si="12"/>
        <v>262499.99999999988</v>
      </c>
    </row>
    <row r="225" spans="1:7" ht="12.75" x14ac:dyDescent="0.2">
      <c r="A225" s="2">
        <v>37</v>
      </c>
      <c r="B225" s="6">
        <v>45505</v>
      </c>
      <c r="C225" s="7">
        <f t="shared" si="8"/>
        <v>7765.6250000000009</v>
      </c>
      <c r="D225" s="7">
        <f t="shared" si="9"/>
        <v>7291.666666666667</v>
      </c>
      <c r="E225" s="7">
        <f t="shared" ref="E225:E236" si="15">F224*$D$181/12</f>
        <v>473.95833333333417</v>
      </c>
      <c r="F225" s="7">
        <f t="shared" si="11"/>
        <v>430208.33333333401</v>
      </c>
      <c r="G225" s="8">
        <f t="shared" si="12"/>
        <v>269791.66666666657</v>
      </c>
    </row>
    <row r="226" spans="1:7" ht="12.75" x14ac:dyDescent="0.2">
      <c r="A226" s="2">
        <v>38</v>
      </c>
      <c r="B226" s="6">
        <v>45536</v>
      </c>
      <c r="C226" s="7">
        <f t="shared" si="8"/>
        <v>7757.7256944444453</v>
      </c>
      <c r="D226" s="7">
        <f t="shared" si="9"/>
        <v>7291.666666666667</v>
      </c>
      <c r="E226" s="7">
        <f t="shared" si="15"/>
        <v>466.05902777777857</v>
      </c>
      <c r="F226" s="7">
        <f t="shared" si="11"/>
        <v>422916.66666666733</v>
      </c>
      <c r="G226" s="8">
        <f t="shared" si="12"/>
        <v>277083.33333333326</v>
      </c>
    </row>
    <row r="227" spans="1:7" ht="12.75" x14ac:dyDescent="0.2">
      <c r="A227" s="2">
        <v>39</v>
      </c>
      <c r="B227" s="6">
        <v>45566</v>
      </c>
      <c r="C227" s="7">
        <f t="shared" si="8"/>
        <v>7749.8263888888896</v>
      </c>
      <c r="D227" s="7">
        <f t="shared" si="9"/>
        <v>7291.666666666667</v>
      </c>
      <c r="E227" s="7">
        <f t="shared" si="15"/>
        <v>458.15972222222302</v>
      </c>
      <c r="F227" s="7">
        <f t="shared" si="11"/>
        <v>415625.00000000064</v>
      </c>
      <c r="G227" s="8">
        <f t="shared" si="12"/>
        <v>284374.99999999994</v>
      </c>
    </row>
    <row r="228" spans="1:7" ht="12.75" x14ac:dyDescent="0.2">
      <c r="A228" s="2">
        <v>40</v>
      </c>
      <c r="B228" s="6">
        <v>45597</v>
      </c>
      <c r="C228" s="7">
        <f t="shared" si="8"/>
        <v>7741.9270833333339</v>
      </c>
      <c r="D228" s="7">
        <f t="shared" si="9"/>
        <v>7291.666666666667</v>
      </c>
      <c r="E228" s="7">
        <f t="shared" si="15"/>
        <v>450.26041666666742</v>
      </c>
      <c r="F228" s="7">
        <f t="shared" si="11"/>
        <v>408333.33333333395</v>
      </c>
      <c r="G228" s="8">
        <f t="shared" si="12"/>
        <v>291666.66666666663</v>
      </c>
    </row>
    <row r="229" spans="1:7" ht="12.75" x14ac:dyDescent="0.2">
      <c r="A229" s="2">
        <v>41</v>
      </c>
      <c r="B229" s="6">
        <v>45627</v>
      </c>
      <c r="C229" s="7">
        <f t="shared" si="8"/>
        <v>7734.0277777777792</v>
      </c>
      <c r="D229" s="7">
        <f t="shared" si="9"/>
        <v>7291.666666666667</v>
      </c>
      <c r="E229" s="7">
        <f t="shared" si="15"/>
        <v>442.36111111111182</v>
      </c>
      <c r="F229" s="7">
        <f t="shared" si="11"/>
        <v>401041.66666666727</v>
      </c>
      <c r="G229" s="8">
        <f t="shared" si="12"/>
        <v>298958.33333333331</v>
      </c>
    </row>
    <row r="230" spans="1:7" ht="12.75" x14ac:dyDescent="0.2">
      <c r="A230" s="2">
        <v>42</v>
      </c>
      <c r="B230" s="6">
        <v>45658</v>
      </c>
      <c r="C230" s="7">
        <f t="shared" si="8"/>
        <v>7726.1284722222235</v>
      </c>
      <c r="D230" s="7">
        <f t="shared" si="9"/>
        <v>7291.666666666667</v>
      </c>
      <c r="E230" s="7">
        <f t="shared" si="15"/>
        <v>434.46180555555628</v>
      </c>
      <c r="F230" s="7">
        <f t="shared" si="11"/>
        <v>393750.00000000058</v>
      </c>
      <c r="G230" s="8">
        <f t="shared" si="12"/>
        <v>306250</v>
      </c>
    </row>
    <row r="231" spans="1:7" ht="12.75" x14ac:dyDescent="0.2">
      <c r="A231" s="2">
        <v>43</v>
      </c>
      <c r="B231" s="6">
        <v>45689</v>
      </c>
      <c r="C231" s="7">
        <f t="shared" si="8"/>
        <v>7718.2291666666679</v>
      </c>
      <c r="D231" s="7">
        <f t="shared" si="9"/>
        <v>7291.666666666667</v>
      </c>
      <c r="E231" s="7">
        <f t="shared" si="15"/>
        <v>426.56250000000068</v>
      </c>
      <c r="F231" s="7">
        <f t="shared" si="11"/>
        <v>386458.3333333339</v>
      </c>
      <c r="G231" s="8">
        <f t="shared" si="12"/>
        <v>313541.66666666669</v>
      </c>
    </row>
    <row r="232" spans="1:7" ht="12.75" x14ac:dyDescent="0.2">
      <c r="A232" s="2">
        <v>44</v>
      </c>
      <c r="B232" s="6">
        <v>45717</v>
      </c>
      <c r="C232" s="7">
        <f t="shared" si="8"/>
        <v>7710.3298611111122</v>
      </c>
      <c r="D232" s="7">
        <f t="shared" si="9"/>
        <v>7291.666666666667</v>
      </c>
      <c r="E232" s="7">
        <f t="shared" si="15"/>
        <v>418.66319444444508</v>
      </c>
      <c r="F232" s="7">
        <f t="shared" si="11"/>
        <v>379166.66666666721</v>
      </c>
      <c r="G232" s="8">
        <f t="shared" si="12"/>
        <v>320833.33333333337</v>
      </c>
    </row>
    <row r="233" spans="1:7" ht="12.75" x14ac:dyDescent="0.2">
      <c r="A233" s="2">
        <v>45</v>
      </c>
      <c r="B233" s="6">
        <v>45748</v>
      </c>
      <c r="C233" s="7">
        <f t="shared" si="8"/>
        <v>7702.4305555555566</v>
      </c>
      <c r="D233" s="7">
        <f t="shared" si="9"/>
        <v>7291.666666666667</v>
      </c>
      <c r="E233" s="7">
        <f t="shared" si="15"/>
        <v>410.76388888888954</v>
      </c>
      <c r="F233" s="7">
        <f t="shared" si="11"/>
        <v>371875.00000000052</v>
      </c>
      <c r="G233" s="8">
        <f t="shared" si="12"/>
        <v>328125.00000000006</v>
      </c>
    </row>
    <row r="234" spans="1:7" ht="12.75" x14ac:dyDescent="0.2">
      <c r="A234" s="2">
        <v>46</v>
      </c>
      <c r="B234" s="6">
        <v>45778</v>
      </c>
      <c r="C234" s="7">
        <f t="shared" si="8"/>
        <v>7694.5312500000009</v>
      </c>
      <c r="D234" s="7">
        <f t="shared" si="9"/>
        <v>7291.666666666667</v>
      </c>
      <c r="E234" s="7">
        <f t="shared" si="15"/>
        <v>402.86458333333394</v>
      </c>
      <c r="F234" s="7">
        <f t="shared" si="11"/>
        <v>364583.33333333384</v>
      </c>
      <c r="G234" s="8">
        <f t="shared" si="12"/>
        <v>335416.66666666674</v>
      </c>
    </row>
    <row r="235" spans="1:7" ht="12.75" x14ac:dyDescent="0.2">
      <c r="A235" s="2">
        <v>47</v>
      </c>
      <c r="B235" s="6">
        <v>45809</v>
      </c>
      <c r="C235" s="7">
        <f t="shared" si="8"/>
        <v>7686.6319444444453</v>
      </c>
      <c r="D235" s="7">
        <f t="shared" si="9"/>
        <v>7291.666666666667</v>
      </c>
      <c r="E235" s="7">
        <f t="shared" si="15"/>
        <v>394.96527777777834</v>
      </c>
      <c r="F235" s="7">
        <f t="shared" si="11"/>
        <v>357291.66666666715</v>
      </c>
      <c r="G235" s="8">
        <f t="shared" si="12"/>
        <v>342708.33333333343</v>
      </c>
    </row>
    <row r="236" spans="1:7" ht="12.75" x14ac:dyDescent="0.2">
      <c r="A236" s="2">
        <v>48</v>
      </c>
      <c r="B236" s="6">
        <v>45839</v>
      </c>
      <c r="C236" s="7">
        <f t="shared" si="8"/>
        <v>7678.7326388888896</v>
      </c>
      <c r="D236" s="7">
        <f t="shared" si="9"/>
        <v>7291.666666666667</v>
      </c>
      <c r="E236" s="7">
        <f t="shared" si="15"/>
        <v>387.0659722222228</v>
      </c>
      <c r="F236" s="7">
        <f t="shared" si="11"/>
        <v>350000.00000000047</v>
      </c>
      <c r="G236" s="8">
        <f t="shared" si="12"/>
        <v>350000.00000000012</v>
      </c>
    </row>
    <row r="237" spans="1:7" ht="12.75" x14ac:dyDescent="0.2">
      <c r="A237" s="2">
        <v>49</v>
      </c>
      <c r="B237" s="6">
        <v>45870</v>
      </c>
      <c r="C237" s="7">
        <f t="shared" si="8"/>
        <v>7714.5833333333339</v>
      </c>
      <c r="D237" s="7">
        <f t="shared" si="9"/>
        <v>7291.666666666667</v>
      </c>
      <c r="E237" s="7">
        <f t="shared" ref="E237:E248" si="16">F236*$D$182/12</f>
        <v>422.91666666666725</v>
      </c>
      <c r="F237" s="7">
        <f t="shared" si="11"/>
        <v>342708.33333333378</v>
      </c>
      <c r="G237" s="8">
        <f t="shared" si="12"/>
        <v>357291.6666666668</v>
      </c>
    </row>
    <row r="238" spans="1:7" ht="12.75" x14ac:dyDescent="0.2">
      <c r="A238" s="2">
        <v>50</v>
      </c>
      <c r="B238" s="6">
        <v>45901</v>
      </c>
      <c r="C238" s="7">
        <f t="shared" si="8"/>
        <v>7705.7725694444453</v>
      </c>
      <c r="D238" s="7">
        <f t="shared" si="9"/>
        <v>7291.666666666667</v>
      </c>
      <c r="E238" s="7">
        <f t="shared" si="16"/>
        <v>414.10590277777834</v>
      </c>
      <c r="F238" s="7">
        <f t="shared" si="11"/>
        <v>335416.66666666709</v>
      </c>
      <c r="G238" s="8">
        <f t="shared" si="12"/>
        <v>364583.33333333349</v>
      </c>
    </row>
    <row r="239" spans="1:7" ht="12.75" x14ac:dyDescent="0.2">
      <c r="A239" s="2">
        <v>51</v>
      </c>
      <c r="B239" s="6">
        <v>45931</v>
      </c>
      <c r="C239" s="7">
        <f t="shared" si="8"/>
        <v>7696.9618055555566</v>
      </c>
      <c r="D239" s="7">
        <f t="shared" si="9"/>
        <v>7291.666666666667</v>
      </c>
      <c r="E239" s="7">
        <f t="shared" si="16"/>
        <v>405.29513888888943</v>
      </c>
      <c r="F239" s="7">
        <f t="shared" si="11"/>
        <v>328125.00000000041</v>
      </c>
      <c r="G239" s="8">
        <f t="shared" si="12"/>
        <v>371875.00000000017</v>
      </c>
    </row>
    <row r="240" spans="1:7" ht="12.75" x14ac:dyDescent="0.2">
      <c r="A240" s="2">
        <v>52</v>
      </c>
      <c r="B240" s="6">
        <v>45962</v>
      </c>
      <c r="C240" s="7">
        <f t="shared" si="8"/>
        <v>7688.1510416666679</v>
      </c>
      <c r="D240" s="7">
        <f t="shared" si="9"/>
        <v>7291.666666666667</v>
      </c>
      <c r="E240" s="7">
        <f t="shared" si="16"/>
        <v>396.48437500000051</v>
      </c>
      <c r="F240" s="7">
        <f t="shared" si="11"/>
        <v>320833.33333333372</v>
      </c>
      <c r="G240" s="8">
        <f t="shared" si="12"/>
        <v>379166.66666666686</v>
      </c>
    </row>
    <row r="241" spans="1:7" ht="12.75" x14ac:dyDescent="0.2">
      <c r="A241" s="2">
        <v>53</v>
      </c>
      <c r="B241" s="6">
        <v>45992</v>
      </c>
      <c r="C241" s="7">
        <f t="shared" si="8"/>
        <v>7679.3402777777783</v>
      </c>
      <c r="D241" s="7">
        <f t="shared" si="9"/>
        <v>7291.666666666667</v>
      </c>
      <c r="E241" s="7">
        <f t="shared" si="16"/>
        <v>387.6736111111116</v>
      </c>
      <c r="F241" s="7">
        <f t="shared" si="11"/>
        <v>313541.66666666704</v>
      </c>
      <c r="G241" s="8">
        <f t="shared" si="12"/>
        <v>386458.33333333355</v>
      </c>
    </row>
    <row r="242" spans="1:7" ht="12.75" x14ac:dyDescent="0.2">
      <c r="A242" s="2">
        <v>54</v>
      </c>
      <c r="B242" s="6">
        <v>46023</v>
      </c>
      <c r="C242" s="7">
        <f t="shared" si="8"/>
        <v>7670.5295138888896</v>
      </c>
      <c r="D242" s="7">
        <f t="shared" si="9"/>
        <v>7291.666666666667</v>
      </c>
      <c r="E242" s="7">
        <f t="shared" si="16"/>
        <v>378.86284722222268</v>
      </c>
      <c r="F242" s="7">
        <f t="shared" si="11"/>
        <v>306250.00000000035</v>
      </c>
      <c r="G242" s="8">
        <f t="shared" si="12"/>
        <v>393750.00000000023</v>
      </c>
    </row>
    <row r="243" spans="1:7" ht="12.75" x14ac:dyDescent="0.2">
      <c r="A243" s="2">
        <v>55</v>
      </c>
      <c r="B243" s="6">
        <v>46054</v>
      </c>
      <c r="C243" s="7">
        <f t="shared" si="8"/>
        <v>7661.7187500000009</v>
      </c>
      <c r="D243" s="7">
        <f t="shared" si="9"/>
        <v>7291.666666666667</v>
      </c>
      <c r="E243" s="7">
        <f t="shared" si="16"/>
        <v>370.05208333333377</v>
      </c>
      <c r="F243" s="7">
        <f t="shared" si="11"/>
        <v>298958.33333333366</v>
      </c>
      <c r="G243" s="8">
        <f t="shared" si="12"/>
        <v>401041.66666666692</v>
      </c>
    </row>
    <row r="244" spans="1:7" ht="12.75" x14ac:dyDescent="0.2">
      <c r="A244" s="2">
        <v>56</v>
      </c>
      <c r="B244" s="6">
        <v>46082</v>
      </c>
      <c r="C244" s="7">
        <f t="shared" si="8"/>
        <v>7652.9079861111122</v>
      </c>
      <c r="D244" s="7">
        <f t="shared" si="9"/>
        <v>7291.666666666667</v>
      </c>
      <c r="E244" s="7">
        <f t="shared" si="16"/>
        <v>361.24131944444485</v>
      </c>
      <c r="F244" s="7">
        <f t="shared" si="11"/>
        <v>291666.66666666698</v>
      </c>
      <c r="G244" s="8">
        <f t="shared" si="12"/>
        <v>408333.3333333336</v>
      </c>
    </row>
    <row r="245" spans="1:7" ht="12.75" x14ac:dyDescent="0.2">
      <c r="A245" s="2">
        <v>57</v>
      </c>
      <c r="B245" s="6">
        <v>46113</v>
      </c>
      <c r="C245" s="7">
        <f t="shared" si="8"/>
        <v>7644.0972222222226</v>
      </c>
      <c r="D245" s="7">
        <f t="shared" si="9"/>
        <v>7291.666666666667</v>
      </c>
      <c r="E245" s="7">
        <f t="shared" si="16"/>
        <v>352.43055555555594</v>
      </c>
      <c r="F245" s="7">
        <f t="shared" si="11"/>
        <v>284375.00000000029</v>
      </c>
      <c r="G245" s="8">
        <f t="shared" si="12"/>
        <v>415625.00000000029</v>
      </c>
    </row>
    <row r="246" spans="1:7" ht="12.75" x14ac:dyDescent="0.2">
      <c r="A246" s="2">
        <v>58</v>
      </c>
      <c r="B246" s="6">
        <v>46143</v>
      </c>
      <c r="C246" s="7">
        <f t="shared" si="8"/>
        <v>7635.2864583333339</v>
      </c>
      <c r="D246" s="7">
        <f t="shared" si="9"/>
        <v>7291.666666666667</v>
      </c>
      <c r="E246" s="7">
        <f t="shared" si="16"/>
        <v>343.61979166666703</v>
      </c>
      <c r="F246" s="7">
        <f t="shared" si="11"/>
        <v>277083.3333333336</v>
      </c>
      <c r="G246" s="8">
        <f t="shared" si="12"/>
        <v>422916.66666666698</v>
      </c>
    </row>
    <row r="247" spans="1:7" ht="12.75" x14ac:dyDescent="0.2">
      <c r="A247" s="2">
        <v>59</v>
      </c>
      <c r="B247" s="6">
        <v>46174</v>
      </c>
      <c r="C247" s="7">
        <f t="shared" si="8"/>
        <v>7626.4756944444453</v>
      </c>
      <c r="D247" s="7">
        <f t="shared" si="9"/>
        <v>7291.666666666667</v>
      </c>
      <c r="E247" s="7">
        <f t="shared" si="16"/>
        <v>334.80902777777811</v>
      </c>
      <c r="F247" s="7">
        <f t="shared" si="11"/>
        <v>269791.66666666692</v>
      </c>
      <c r="G247" s="8">
        <f t="shared" si="12"/>
        <v>430208.33333333366</v>
      </c>
    </row>
    <row r="248" spans="1:7" ht="12.75" x14ac:dyDescent="0.2">
      <c r="A248" s="2">
        <v>60</v>
      </c>
      <c r="B248" s="6">
        <v>46204</v>
      </c>
      <c r="C248" s="7">
        <f t="shared" si="8"/>
        <v>7617.6649305555566</v>
      </c>
      <c r="D248" s="7">
        <f t="shared" si="9"/>
        <v>7291.666666666667</v>
      </c>
      <c r="E248" s="7">
        <f t="shared" si="16"/>
        <v>325.9982638888892</v>
      </c>
      <c r="F248" s="7">
        <f t="shared" si="11"/>
        <v>262500.00000000023</v>
      </c>
      <c r="G248" s="8">
        <f t="shared" si="12"/>
        <v>437500.00000000035</v>
      </c>
    </row>
    <row r="249" spans="1:7" ht="12.75" x14ac:dyDescent="0.2">
      <c r="A249" s="2">
        <v>61</v>
      </c>
      <c r="B249" s="6">
        <v>46235</v>
      </c>
      <c r="C249" s="7">
        <f t="shared" si="8"/>
        <v>7641.666666666667</v>
      </c>
      <c r="D249" s="7">
        <f t="shared" si="9"/>
        <v>7291.666666666667</v>
      </c>
      <c r="E249" s="7">
        <f t="shared" ref="E249:E260" si="17">F248*$D$183/12</f>
        <v>350.00000000000028</v>
      </c>
      <c r="F249" s="7">
        <f t="shared" si="11"/>
        <v>255208.33333333358</v>
      </c>
      <c r="G249" s="8">
        <f t="shared" si="12"/>
        <v>444791.66666666704</v>
      </c>
    </row>
    <row r="250" spans="1:7" ht="12.75" x14ac:dyDescent="0.2">
      <c r="A250" s="2">
        <v>62</v>
      </c>
      <c r="B250" s="6">
        <v>46266</v>
      </c>
      <c r="C250" s="7">
        <f t="shared" si="8"/>
        <v>7631.9444444444453</v>
      </c>
      <c r="D250" s="7">
        <f t="shared" si="9"/>
        <v>7291.666666666667</v>
      </c>
      <c r="E250" s="7">
        <f t="shared" si="17"/>
        <v>340.27777777777811</v>
      </c>
      <c r="F250" s="7">
        <f t="shared" si="11"/>
        <v>247916.66666666692</v>
      </c>
      <c r="G250" s="8">
        <f t="shared" si="12"/>
        <v>452083.33333333372</v>
      </c>
    </row>
    <row r="251" spans="1:7" ht="12.75" x14ac:dyDescent="0.2">
      <c r="A251" s="2">
        <v>63</v>
      </c>
      <c r="B251" s="6">
        <v>46296</v>
      </c>
      <c r="C251" s="7">
        <f t="shared" si="8"/>
        <v>7622.2222222222226</v>
      </c>
      <c r="D251" s="7">
        <f t="shared" si="9"/>
        <v>7291.666666666667</v>
      </c>
      <c r="E251" s="7">
        <f t="shared" si="17"/>
        <v>330.55555555555588</v>
      </c>
      <c r="F251" s="7">
        <f t="shared" si="11"/>
        <v>240625.00000000026</v>
      </c>
      <c r="G251" s="8">
        <f t="shared" si="12"/>
        <v>459375.00000000041</v>
      </c>
    </row>
    <row r="252" spans="1:7" ht="12.75" x14ac:dyDescent="0.2">
      <c r="A252" s="2">
        <v>64</v>
      </c>
      <c r="B252" s="6">
        <v>46327</v>
      </c>
      <c r="C252" s="7">
        <f t="shared" si="8"/>
        <v>7612.5000000000009</v>
      </c>
      <c r="D252" s="7">
        <f t="shared" si="9"/>
        <v>7291.666666666667</v>
      </c>
      <c r="E252" s="7">
        <f t="shared" si="17"/>
        <v>320.83333333333366</v>
      </c>
      <c r="F252" s="7">
        <f t="shared" si="11"/>
        <v>233333.3333333336</v>
      </c>
      <c r="G252" s="8">
        <f t="shared" si="12"/>
        <v>466666.66666666709</v>
      </c>
    </row>
    <row r="253" spans="1:7" ht="12.75" x14ac:dyDescent="0.2">
      <c r="A253" s="2">
        <v>65</v>
      </c>
      <c r="B253" s="6">
        <v>46357</v>
      </c>
      <c r="C253" s="7">
        <f t="shared" si="8"/>
        <v>7602.7777777777783</v>
      </c>
      <c r="D253" s="7">
        <f t="shared" si="9"/>
        <v>7291.666666666667</v>
      </c>
      <c r="E253" s="7">
        <f t="shared" si="17"/>
        <v>311.11111111111148</v>
      </c>
      <c r="F253" s="7">
        <f t="shared" ref="F253:F284" si="18">F252-D253</f>
        <v>226041.66666666695</v>
      </c>
      <c r="G253" s="8">
        <f t="shared" ref="G253:G284" si="19">G252+D253</f>
        <v>473958.33333333378</v>
      </c>
    </row>
    <row r="254" spans="1:7" ht="12.75" x14ac:dyDescent="0.2">
      <c r="A254" s="2">
        <v>66</v>
      </c>
      <c r="B254" s="6">
        <v>46388</v>
      </c>
      <c r="C254" s="7">
        <f t="shared" si="8"/>
        <v>7593.0555555555566</v>
      </c>
      <c r="D254" s="7">
        <f t="shared" si="9"/>
        <v>7291.666666666667</v>
      </c>
      <c r="E254" s="7">
        <f t="shared" si="17"/>
        <v>301.38888888888926</v>
      </c>
      <c r="F254" s="7">
        <f t="shared" si="18"/>
        <v>218750.00000000029</v>
      </c>
      <c r="G254" s="8">
        <f t="shared" si="19"/>
        <v>481250.00000000047</v>
      </c>
    </row>
    <row r="255" spans="1:7" ht="12.75" x14ac:dyDescent="0.2">
      <c r="A255" s="2">
        <v>67</v>
      </c>
      <c r="B255" s="6">
        <v>46419</v>
      </c>
      <c r="C255" s="7">
        <f t="shared" si="8"/>
        <v>7583.3333333333339</v>
      </c>
      <c r="D255" s="7">
        <f t="shared" si="9"/>
        <v>7291.666666666667</v>
      </c>
      <c r="E255" s="7">
        <f t="shared" si="17"/>
        <v>291.66666666666703</v>
      </c>
      <c r="F255" s="7">
        <f t="shared" si="18"/>
        <v>211458.33333333363</v>
      </c>
      <c r="G255" s="8">
        <f t="shared" si="19"/>
        <v>488541.66666666715</v>
      </c>
    </row>
    <row r="256" spans="1:7" ht="12.75" x14ac:dyDescent="0.2">
      <c r="A256" s="2">
        <v>68</v>
      </c>
      <c r="B256" s="6">
        <v>46447</v>
      </c>
      <c r="C256" s="7">
        <f t="shared" si="8"/>
        <v>7573.6111111111122</v>
      </c>
      <c r="D256" s="7">
        <f t="shared" si="9"/>
        <v>7291.666666666667</v>
      </c>
      <c r="E256" s="7">
        <f t="shared" si="17"/>
        <v>281.94444444444485</v>
      </c>
      <c r="F256" s="7">
        <f t="shared" si="18"/>
        <v>204166.66666666698</v>
      </c>
      <c r="G256" s="8">
        <f t="shared" si="19"/>
        <v>495833.33333333384</v>
      </c>
    </row>
    <row r="257" spans="1:7" ht="12.75" x14ac:dyDescent="0.2">
      <c r="A257" s="2">
        <v>69</v>
      </c>
      <c r="B257" s="6">
        <v>46478</v>
      </c>
      <c r="C257" s="7">
        <f t="shared" si="8"/>
        <v>7563.8888888888896</v>
      </c>
      <c r="D257" s="7">
        <f t="shared" si="9"/>
        <v>7291.666666666667</v>
      </c>
      <c r="E257" s="7">
        <f t="shared" si="17"/>
        <v>272.22222222222263</v>
      </c>
      <c r="F257" s="7">
        <f t="shared" si="18"/>
        <v>196875.00000000032</v>
      </c>
      <c r="G257" s="8">
        <f t="shared" si="19"/>
        <v>503125.00000000052</v>
      </c>
    </row>
    <row r="258" spans="1:7" ht="12.75" x14ac:dyDescent="0.2">
      <c r="A258" s="2">
        <v>70</v>
      </c>
      <c r="B258" s="6">
        <v>46508</v>
      </c>
      <c r="C258" s="7">
        <f t="shared" si="8"/>
        <v>7554.166666666667</v>
      </c>
      <c r="D258" s="7">
        <f t="shared" si="9"/>
        <v>7291.666666666667</v>
      </c>
      <c r="E258" s="7">
        <f t="shared" si="17"/>
        <v>262.5000000000004</v>
      </c>
      <c r="F258" s="7">
        <f t="shared" si="18"/>
        <v>189583.33333333366</v>
      </c>
      <c r="G258" s="8">
        <f t="shared" si="19"/>
        <v>510416.66666666721</v>
      </c>
    </row>
    <row r="259" spans="1:7" ht="12.75" x14ac:dyDescent="0.2">
      <c r="A259" s="2">
        <v>71</v>
      </c>
      <c r="B259" s="6">
        <v>46539</v>
      </c>
      <c r="C259" s="7">
        <f t="shared" si="8"/>
        <v>7544.4444444444453</v>
      </c>
      <c r="D259" s="7">
        <f t="shared" si="9"/>
        <v>7291.666666666667</v>
      </c>
      <c r="E259" s="7">
        <f t="shared" si="17"/>
        <v>252.7777777777782</v>
      </c>
      <c r="F259" s="7">
        <f t="shared" si="18"/>
        <v>182291.66666666701</v>
      </c>
      <c r="G259" s="8">
        <f t="shared" si="19"/>
        <v>517708.3333333339</v>
      </c>
    </row>
    <row r="260" spans="1:7" ht="12.75" x14ac:dyDescent="0.2">
      <c r="A260" s="2">
        <v>72</v>
      </c>
      <c r="B260" s="6">
        <v>46569</v>
      </c>
      <c r="C260" s="7">
        <f t="shared" si="8"/>
        <v>7534.7222222222226</v>
      </c>
      <c r="D260" s="7">
        <f t="shared" si="9"/>
        <v>7291.666666666667</v>
      </c>
      <c r="E260" s="7">
        <f t="shared" si="17"/>
        <v>243.055555555556</v>
      </c>
      <c r="F260" s="7">
        <f t="shared" si="18"/>
        <v>175000.00000000035</v>
      </c>
      <c r="G260" s="8">
        <f t="shared" si="19"/>
        <v>525000.00000000058</v>
      </c>
    </row>
    <row r="261" spans="1:7" ht="12.75" x14ac:dyDescent="0.2">
      <c r="A261" s="2">
        <v>73</v>
      </c>
      <c r="B261" s="6">
        <v>46600</v>
      </c>
      <c r="C261" s="7">
        <f t="shared" si="8"/>
        <v>7546.8750000000009</v>
      </c>
      <c r="D261" s="7">
        <f t="shared" si="9"/>
        <v>7291.666666666667</v>
      </c>
      <c r="E261" s="7">
        <f t="shared" ref="E261:E272" si="20">F260*$D$184/12</f>
        <v>255.20833333333385</v>
      </c>
      <c r="F261" s="7">
        <f t="shared" si="18"/>
        <v>167708.33333333369</v>
      </c>
      <c r="G261" s="8">
        <f t="shared" si="19"/>
        <v>532291.66666666721</v>
      </c>
    </row>
    <row r="262" spans="1:7" ht="12.75" x14ac:dyDescent="0.2">
      <c r="A262" s="2">
        <v>74</v>
      </c>
      <c r="B262" s="6">
        <v>46631</v>
      </c>
      <c r="C262" s="7">
        <f t="shared" si="8"/>
        <v>7536.2413194444453</v>
      </c>
      <c r="D262" s="7">
        <f t="shared" si="9"/>
        <v>7291.666666666667</v>
      </c>
      <c r="E262" s="7">
        <f t="shared" si="20"/>
        <v>244.57465277777831</v>
      </c>
      <c r="F262" s="7">
        <f t="shared" si="18"/>
        <v>160416.66666666704</v>
      </c>
      <c r="G262" s="8">
        <f t="shared" si="19"/>
        <v>539583.33333333384</v>
      </c>
    </row>
    <row r="263" spans="1:7" ht="12.75" x14ac:dyDescent="0.2">
      <c r="A263" s="2">
        <v>75</v>
      </c>
      <c r="B263" s="6">
        <v>46661</v>
      </c>
      <c r="C263" s="7">
        <f t="shared" si="8"/>
        <v>7525.6076388888896</v>
      </c>
      <c r="D263" s="7">
        <f t="shared" si="9"/>
        <v>7291.666666666667</v>
      </c>
      <c r="E263" s="7">
        <f t="shared" si="20"/>
        <v>233.94097222222277</v>
      </c>
      <c r="F263" s="7">
        <f t="shared" si="18"/>
        <v>153125.00000000038</v>
      </c>
      <c r="G263" s="8">
        <f t="shared" si="19"/>
        <v>546875.00000000047</v>
      </c>
    </row>
    <row r="264" spans="1:7" ht="12.75" x14ac:dyDescent="0.2">
      <c r="A264" s="2">
        <v>76</v>
      </c>
      <c r="B264" s="6">
        <v>46692</v>
      </c>
      <c r="C264" s="7">
        <f t="shared" si="8"/>
        <v>7514.9739583333339</v>
      </c>
      <c r="D264" s="7">
        <f t="shared" si="9"/>
        <v>7291.666666666667</v>
      </c>
      <c r="E264" s="7">
        <f t="shared" si="20"/>
        <v>223.30729166666723</v>
      </c>
      <c r="F264" s="7">
        <f t="shared" si="18"/>
        <v>145833.33333333372</v>
      </c>
      <c r="G264" s="8">
        <f t="shared" si="19"/>
        <v>554166.66666666709</v>
      </c>
    </row>
    <row r="265" spans="1:7" ht="12.75" x14ac:dyDescent="0.2">
      <c r="A265" s="2">
        <v>77</v>
      </c>
      <c r="B265" s="6">
        <v>46722</v>
      </c>
      <c r="C265" s="7">
        <f t="shared" si="8"/>
        <v>7504.3402777777783</v>
      </c>
      <c r="D265" s="7">
        <f t="shared" si="9"/>
        <v>7291.666666666667</v>
      </c>
      <c r="E265" s="7">
        <f t="shared" si="20"/>
        <v>212.67361111111168</v>
      </c>
      <c r="F265" s="7">
        <f t="shared" si="18"/>
        <v>138541.66666666706</v>
      </c>
      <c r="G265" s="8">
        <f t="shared" si="19"/>
        <v>561458.33333333372</v>
      </c>
    </row>
    <row r="266" spans="1:7" ht="12.75" x14ac:dyDescent="0.2">
      <c r="A266" s="2">
        <v>78</v>
      </c>
      <c r="B266" s="6">
        <v>46753</v>
      </c>
      <c r="C266" s="7">
        <f t="shared" si="8"/>
        <v>7493.7065972222235</v>
      </c>
      <c r="D266" s="7">
        <f t="shared" si="9"/>
        <v>7291.666666666667</v>
      </c>
      <c r="E266" s="7">
        <f t="shared" si="20"/>
        <v>202.03993055555614</v>
      </c>
      <c r="F266" s="7">
        <f t="shared" si="18"/>
        <v>131250.00000000041</v>
      </c>
      <c r="G266" s="8">
        <f t="shared" si="19"/>
        <v>568750.00000000035</v>
      </c>
    </row>
    <row r="267" spans="1:7" ht="12.75" x14ac:dyDescent="0.2">
      <c r="A267" s="2">
        <v>79</v>
      </c>
      <c r="B267" s="6">
        <v>46784</v>
      </c>
      <c r="C267" s="7">
        <f t="shared" si="8"/>
        <v>7483.0729166666679</v>
      </c>
      <c r="D267" s="7">
        <f t="shared" si="9"/>
        <v>7291.666666666667</v>
      </c>
      <c r="E267" s="7">
        <f t="shared" si="20"/>
        <v>191.4062500000006</v>
      </c>
      <c r="F267" s="7">
        <f t="shared" si="18"/>
        <v>123958.33333333374</v>
      </c>
      <c r="G267" s="8">
        <f t="shared" si="19"/>
        <v>576041.66666666698</v>
      </c>
    </row>
    <row r="268" spans="1:7" ht="12.75" x14ac:dyDescent="0.2">
      <c r="A268" s="2">
        <v>80</v>
      </c>
      <c r="B268" s="6">
        <v>46813</v>
      </c>
      <c r="C268" s="7">
        <f t="shared" si="8"/>
        <v>7472.4392361111122</v>
      </c>
      <c r="D268" s="7">
        <f t="shared" si="9"/>
        <v>7291.666666666667</v>
      </c>
      <c r="E268" s="7">
        <f t="shared" si="20"/>
        <v>180.77256944444505</v>
      </c>
      <c r="F268" s="7">
        <f t="shared" si="18"/>
        <v>116666.66666666706</v>
      </c>
      <c r="G268" s="8">
        <f t="shared" si="19"/>
        <v>583333.3333333336</v>
      </c>
    </row>
    <row r="269" spans="1:7" ht="12.75" x14ac:dyDescent="0.2">
      <c r="A269" s="2">
        <v>81</v>
      </c>
      <c r="B269" s="6">
        <v>46844</v>
      </c>
      <c r="C269" s="7">
        <f t="shared" si="8"/>
        <v>7461.8055555555566</v>
      </c>
      <c r="D269" s="7">
        <f t="shared" si="9"/>
        <v>7291.666666666667</v>
      </c>
      <c r="E269" s="7">
        <f t="shared" si="20"/>
        <v>170.13888888888948</v>
      </c>
      <c r="F269" s="7">
        <f t="shared" si="18"/>
        <v>109375.00000000039</v>
      </c>
      <c r="G269" s="8">
        <f t="shared" si="19"/>
        <v>590625.00000000023</v>
      </c>
    </row>
    <row r="270" spans="1:7" ht="12.75" x14ac:dyDescent="0.2">
      <c r="A270" s="2">
        <v>82</v>
      </c>
      <c r="B270" s="6">
        <v>46874</v>
      </c>
      <c r="C270" s="7">
        <f t="shared" si="8"/>
        <v>7451.1718750000009</v>
      </c>
      <c r="D270" s="7">
        <f t="shared" si="9"/>
        <v>7291.666666666667</v>
      </c>
      <c r="E270" s="7">
        <f t="shared" si="20"/>
        <v>159.50520833333391</v>
      </c>
      <c r="F270" s="7">
        <f t="shared" si="18"/>
        <v>102083.33333333372</v>
      </c>
      <c r="G270" s="8">
        <f t="shared" si="19"/>
        <v>597916.66666666686</v>
      </c>
    </row>
    <row r="271" spans="1:7" ht="12.75" x14ac:dyDescent="0.2">
      <c r="A271" s="2">
        <v>83</v>
      </c>
      <c r="B271" s="6">
        <v>46905</v>
      </c>
      <c r="C271" s="7">
        <f t="shared" si="8"/>
        <v>7440.5381944444453</v>
      </c>
      <c r="D271" s="7">
        <f t="shared" si="9"/>
        <v>7291.666666666667</v>
      </c>
      <c r="E271" s="7">
        <f t="shared" si="20"/>
        <v>148.87152777777837</v>
      </c>
      <c r="F271" s="7">
        <f t="shared" si="18"/>
        <v>94791.66666666705</v>
      </c>
      <c r="G271" s="8">
        <f t="shared" si="19"/>
        <v>605208.33333333349</v>
      </c>
    </row>
    <row r="272" spans="1:7" ht="12.75" x14ac:dyDescent="0.2">
      <c r="A272" s="2">
        <v>84</v>
      </c>
      <c r="B272" s="6">
        <v>46935</v>
      </c>
      <c r="C272" s="7">
        <f t="shared" si="8"/>
        <v>7429.9045138888896</v>
      </c>
      <c r="D272" s="7">
        <f t="shared" si="9"/>
        <v>7291.666666666667</v>
      </c>
      <c r="E272" s="7">
        <f t="shared" si="20"/>
        <v>138.2378472222228</v>
      </c>
      <c r="F272" s="7">
        <f t="shared" si="18"/>
        <v>87500.000000000378</v>
      </c>
      <c r="G272" s="8">
        <f t="shared" si="19"/>
        <v>612500.00000000012</v>
      </c>
    </row>
    <row r="273" spans="1:7" ht="12.75" x14ac:dyDescent="0.2">
      <c r="A273" s="2">
        <v>85</v>
      </c>
      <c r="B273" s="6">
        <v>46966</v>
      </c>
      <c r="C273" s="7">
        <f t="shared" si="8"/>
        <v>7430.2083333333339</v>
      </c>
      <c r="D273" s="7">
        <f t="shared" si="9"/>
        <v>7291.666666666667</v>
      </c>
      <c r="E273" s="7">
        <f t="shared" ref="E273:E284" si="21">F272*$D$185/12</f>
        <v>138.54166666666728</v>
      </c>
      <c r="F273" s="7">
        <f t="shared" si="18"/>
        <v>80208.333333333707</v>
      </c>
      <c r="G273" s="8">
        <f t="shared" si="19"/>
        <v>619791.66666666674</v>
      </c>
    </row>
    <row r="274" spans="1:7" ht="12.75" x14ac:dyDescent="0.2">
      <c r="A274" s="2">
        <v>86</v>
      </c>
      <c r="B274" s="6">
        <v>46997</v>
      </c>
      <c r="C274" s="7">
        <f t="shared" si="8"/>
        <v>7418.6631944444453</v>
      </c>
      <c r="D274" s="7">
        <f t="shared" si="9"/>
        <v>7291.666666666667</v>
      </c>
      <c r="E274" s="7">
        <f t="shared" si="21"/>
        <v>126.9965277777784</v>
      </c>
      <c r="F274" s="7">
        <f t="shared" si="18"/>
        <v>72916.666666667035</v>
      </c>
      <c r="G274" s="8">
        <f t="shared" si="19"/>
        <v>627083.33333333337</v>
      </c>
    </row>
    <row r="275" spans="1:7" ht="12.75" x14ac:dyDescent="0.2">
      <c r="A275" s="2">
        <v>87</v>
      </c>
      <c r="B275" s="6">
        <v>47027</v>
      </c>
      <c r="C275" s="7">
        <f t="shared" si="8"/>
        <v>7407.1180555555566</v>
      </c>
      <c r="D275" s="7">
        <f t="shared" si="9"/>
        <v>7291.666666666667</v>
      </c>
      <c r="E275" s="7">
        <f t="shared" si="21"/>
        <v>115.45138888888948</v>
      </c>
      <c r="F275" s="7">
        <f t="shared" si="18"/>
        <v>65625.000000000364</v>
      </c>
      <c r="G275" s="8">
        <f t="shared" si="19"/>
        <v>634375</v>
      </c>
    </row>
    <row r="276" spans="1:7" ht="12.75" x14ac:dyDescent="0.2">
      <c r="A276" s="2">
        <v>88</v>
      </c>
      <c r="B276" s="6">
        <v>47058</v>
      </c>
      <c r="C276" s="7">
        <f t="shared" si="8"/>
        <v>7395.5729166666679</v>
      </c>
      <c r="D276" s="7">
        <f t="shared" si="9"/>
        <v>7291.666666666667</v>
      </c>
      <c r="E276" s="7">
        <f t="shared" si="21"/>
        <v>103.90625000000058</v>
      </c>
      <c r="F276" s="7">
        <f t="shared" si="18"/>
        <v>58333.3333333337</v>
      </c>
      <c r="G276" s="8">
        <f t="shared" si="19"/>
        <v>641666.66666666663</v>
      </c>
    </row>
    <row r="277" spans="1:7" ht="12.75" x14ac:dyDescent="0.2">
      <c r="A277" s="2">
        <v>89</v>
      </c>
      <c r="B277" s="6">
        <v>47088</v>
      </c>
      <c r="C277" s="7">
        <f t="shared" si="8"/>
        <v>7384.0277777777783</v>
      </c>
      <c r="D277" s="7">
        <f t="shared" si="9"/>
        <v>7291.666666666667</v>
      </c>
      <c r="E277" s="7">
        <f t="shared" si="21"/>
        <v>92.361111111111711</v>
      </c>
      <c r="F277" s="7">
        <f t="shared" si="18"/>
        <v>51041.666666667035</v>
      </c>
      <c r="G277" s="8">
        <f t="shared" si="19"/>
        <v>648958.33333333326</v>
      </c>
    </row>
    <row r="278" spans="1:7" ht="12.75" x14ac:dyDescent="0.2">
      <c r="A278" s="2">
        <v>90</v>
      </c>
      <c r="B278" s="6">
        <v>47119</v>
      </c>
      <c r="C278" s="7">
        <f t="shared" si="8"/>
        <v>7372.4826388888896</v>
      </c>
      <c r="D278" s="7">
        <f t="shared" si="9"/>
        <v>7291.666666666667</v>
      </c>
      <c r="E278" s="7">
        <f t="shared" si="21"/>
        <v>80.815972222222811</v>
      </c>
      <c r="F278" s="7">
        <f t="shared" si="18"/>
        <v>43750.000000000371</v>
      </c>
      <c r="G278" s="8">
        <f t="shared" si="19"/>
        <v>656249.99999999988</v>
      </c>
    </row>
    <row r="279" spans="1:7" ht="12.75" x14ac:dyDescent="0.2">
      <c r="A279" s="2">
        <v>91</v>
      </c>
      <c r="B279" s="6">
        <v>47150</v>
      </c>
      <c r="C279" s="7">
        <f t="shared" si="8"/>
        <v>7360.9375000000009</v>
      </c>
      <c r="D279" s="7">
        <f t="shared" si="9"/>
        <v>7291.666666666667</v>
      </c>
      <c r="E279" s="7">
        <f t="shared" si="21"/>
        <v>69.270833333333925</v>
      </c>
      <c r="F279" s="7">
        <f t="shared" si="18"/>
        <v>36458.333333333707</v>
      </c>
      <c r="G279" s="8">
        <f t="shared" si="19"/>
        <v>663541.66666666651</v>
      </c>
    </row>
    <row r="280" spans="1:7" ht="12.75" x14ac:dyDescent="0.2">
      <c r="A280" s="2">
        <v>92</v>
      </c>
      <c r="B280" s="6">
        <v>47178</v>
      </c>
      <c r="C280" s="7">
        <f t="shared" si="8"/>
        <v>7349.3923611111122</v>
      </c>
      <c r="D280" s="7">
        <f t="shared" si="9"/>
        <v>7291.666666666667</v>
      </c>
      <c r="E280" s="7">
        <f t="shared" si="21"/>
        <v>57.725694444445047</v>
      </c>
      <c r="F280" s="7">
        <f t="shared" si="18"/>
        <v>29166.666666667039</v>
      </c>
      <c r="G280" s="8">
        <f t="shared" si="19"/>
        <v>670833.33333333314</v>
      </c>
    </row>
    <row r="281" spans="1:7" ht="12.75" x14ac:dyDescent="0.2">
      <c r="A281" s="2">
        <v>93</v>
      </c>
      <c r="B281" s="6">
        <v>47209</v>
      </c>
      <c r="C281" s="7">
        <f t="shared" si="8"/>
        <v>7337.8472222222235</v>
      </c>
      <c r="D281" s="7">
        <f t="shared" si="9"/>
        <v>7291.666666666667</v>
      </c>
      <c r="E281" s="7">
        <f t="shared" si="21"/>
        <v>46.180555555556147</v>
      </c>
      <c r="F281" s="7">
        <f t="shared" si="18"/>
        <v>21875.000000000371</v>
      </c>
      <c r="G281" s="8">
        <f t="shared" si="19"/>
        <v>678124.99999999977</v>
      </c>
    </row>
    <row r="282" spans="1:7" ht="12.75" x14ac:dyDescent="0.2">
      <c r="A282" s="2">
        <v>94</v>
      </c>
      <c r="B282" s="6">
        <v>47239</v>
      </c>
      <c r="C282" s="7">
        <f t="shared" si="8"/>
        <v>7326.3020833333339</v>
      </c>
      <c r="D282" s="7">
        <f t="shared" si="9"/>
        <v>7291.666666666667</v>
      </c>
      <c r="E282" s="7">
        <f t="shared" si="21"/>
        <v>34.635416666667261</v>
      </c>
      <c r="F282" s="7">
        <f t="shared" si="18"/>
        <v>14583.333333333703</v>
      </c>
      <c r="G282" s="8">
        <f t="shared" si="19"/>
        <v>685416.6666666664</v>
      </c>
    </row>
    <row r="283" spans="1:7" ht="12.75" x14ac:dyDescent="0.2">
      <c r="A283" s="2">
        <v>95</v>
      </c>
      <c r="B283" s="6">
        <v>47270</v>
      </c>
      <c r="C283" s="7">
        <f t="shared" si="8"/>
        <v>7314.7569444444453</v>
      </c>
      <c r="D283" s="7">
        <f t="shared" si="9"/>
        <v>7291.666666666667</v>
      </c>
      <c r="E283" s="7">
        <f t="shared" si="21"/>
        <v>23.090277777778368</v>
      </c>
      <c r="F283" s="7">
        <f t="shared" si="18"/>
        <v>7291.6666666670362</v>
      </c>
      <c r="G283" s="8">
        <f t="shared" si="19"/>
        <v>692708.33333333302</v>
      </c>
    </row>
    <row r="284" spans="1:7" ht="12.75" x14ac:dyDescent="0.2">
      <c r="A284" s="2">
        <v>96</v>
      </c>
      <c r="B284" s="6">
        <v>47300</v>
      </c>
      <c r="C284" s="7">
        <f t="shared" si="8"/>
        <v>7303.2118055555566</v>
      </c>
      <c r="D284" s="7">
        <f t="shared" si="9"/>
        <v>7291.666666666667</v>
      </c>
      <c r="E284" s="7">
        <f t="shared" si="21"/>
        <v>11.545138888889475</v>
      </c>
      <c r="F284" s="7">
        <f t="shared" si="18"/>
        <v>3.6925484891980886E-10</v>
      </c>
      <c r="G284" s="8">
        <f t="shared" si="19"/>
        <v>699999.99999999965</v>
      </c>
    </row>
    <row r="285" spans="1:7" ht="12.75" x14ac:dyDescent="0.2">
      <c r="B285" s="9"/>
      <c r="D285" s="10">
        <f t="shared" ref="D285:E285" si="22">SUM(D189:D284)</f>
        <v>699999.99999999965</v>
      </c>
      <c r="E285" s="13">
        <f t="shared" si="22"/>
        <v>33388.541666666708</v>
      </c>
    </row>
  </sheetData>
  <mergeCells count="13">
    <mergeCell ref="B72:D72"/>
    <mergeCell ref="B63:G63"/>
    <mergeCell ref="B66:I66"/>
    <mergeCell ref="B67:I67"/>
    <mergeCell ref="B68:I68"/>
    <mergeCell ref="B69:I69"/>
    <mergeCell ref="B71:I71"/>
    <mergeCell ref="B54:I54"/>
    <mergeCell ref="B55:I55"/>
    <mergeCell ref="B57:F57"/>
    <mergeCell ref="B59:I59"/>
    <mergeCell ref="B60:F60"/>
    <mergeCell ref="B62:I6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77FD-9943-4CB9-9AFC-C06C184DE104}">
  <dimension ref="A38:I308"/>
  <sheetViews>
    <sheetView workbookViewId="0">
      <selection activeCell="I17" sqref="I17"/>
    </sheetView>
  </sheetViews>
  <sheetFormatPr defaultColWidth="14.42578125" defaultRowHeight="15.75" customHeight="1" x14ac:dyDescent="0.2"/>
  <cols>
    <col min="2" max="2" width="18.85546875" customWidth="1"/>
    <col min="4" max="4" width="21.28515625" customWidth="1"/>
    <col min="5" max="5" width="16.7109375" customWidth="1"/>
    <col min="7" max="7" width="17.140625" customWidth="1"/>
  </cols>
  <sheetData>
    <row r="38" spans="2:9" ht="15.75" customHeight="1" x14ac:dyDescent="0.25">
      <c r="B38" s="11" t="s">
        <v>40</v>
      </c>
      <c r="C38" s="12"/>
      <c r="D38" s="12"/>
      <c r="E38" s="12"/>
      <c r="F38" s="12"/>
      <c r="G38" s="12"/>
      <c r="H38" s="12"/>
      <c r="I38" s="12"/>
    </row>
    <row r="39" spans="2:9" ht="15.75" customHeight="1" x14ac:dyDescent="0.25">
      <c r="B39" s="11" t="s">
        <v>41</v>
      </c>
      <c r="C39" s="12"/>
      <c r="D39" s="12"/>
      <c r="E39" s="12"/>
      <c r="F39" s="12"/>
      <c r="G39" s="12"/>
      <c r="H39" s="12"/>
      <c r="I39" s="12"/>
    </row>
    <row r="40" spans="2:9" ht="15.75" customHeight="1" x14ac:dyDescent="0.25">
      <c r="B40" s="11" t="s">
        <v>42</v>
      </c>
      <c r="C40" s="12"/>
      <c r="D40" s="12"/>
      <c r="E40" s="12"/>
      <c r="F40" s="12"/>
      <c r="G40" s="12"/>
      <c r="H40" s="12"/>
      <c r="I40" s="12"/>
    </row>
    <row r="41" spans="2:9" ht="15.75" customHeight="1" x14ac:dyDescent="0.25">
      <c r="B41" s="1"/>
      <c r="C41" s="1"/>
      <c r="D41" s="1"/>
      <c r="E41" s="1"/>
      <c r="F41" s="1"/>
      <c r="G41" s="1"/>
      <c r="H41" s="1"/>
      <c r="I41" s="1"/>
    </row>
    <row r="42" spans="2:9" ht="15.75" customHeight="1" x14ac:dyDescent="0.25">
      <c r="B42" s="11" t="s">
        <v>43</v>
      </c>
      <c r="C42" s="12"/>
      <c r="D42" s="12"/>
      <c r="E42" s="12"/>
      <c r="F42" s="12"/>
      <c r="G42" s="12"/>
      <c r="H42" s="12"/>
      <c r="I42" s="12"/>
    </row>
    <row r="43" spans="2:9" ht="15.75" customHeight="1" x14ac:dyDescent="0.25">
      <c r="B43" s="1" t="s">
        <v>44</v>
      </c>
      <c r="C43" s="1"/>
      <c r="D43" s="1"/>
      <c r="E43" s="1"/>
      <c r="F43" s="1"/>
      <c r="G43" s="1"/>
      <c r="H43" s="1"/>
      <c r="I43" s="1"/>
    </row>
    <row r="44" spans="2:9" ht="15.75" customHeight="1" x14ac:dyDescent="0.25">
      <c r="B44" s="1" t="s">
        <v>45</v>
      </c>
      <c r="C44" s="1"/>
      <c r="D44" s="1"/>
      <c r="E44" s="1"/>
      <c r="F44" s="1"/>
      <c r="G44" s="1"/>
      <c r="H44" s="1"/>
      <c r="I44" s="1"/>
    </row>
    <row r="45" spans="2:9" ht="15.75" customHeight="1" x14ac:dyDescent="0.25">
      <c r="B45" s="1"/>
      <c r="C45" s="1"/>
      <c r="D45" s="1"/>
      <c r="E45" s="1"/>
      <c r="F45" s="1"/>
      <c r="G45" s="1"/>
      <c r="H45" s="1"/>
      <c r="I45" s="1"/>
    </row>
    <row r="46" spans="2:9" ht="15.75" customHeight="1" x14ac:dyDescent="0.25">
      <c r="B46" s="11" t="s">
        <v>46</v>
      </c>
      <c r="C46" s="12"/>
      <c r="D46" s="12"/>
      <c r="E46" s="12"/>
      <c r="F46" s="12"/>
      <c r="G46" s="12"/>
      <c r="H46" s="12"/>
      <c r="I46" s="1"/>
    </row>
    <row r="48" spans="2:9" ht="12.75" x14ac:dyDescent="0.2">
      <c r="B48" s="2" t="s">
        <v>47</v>
      </c>
      <c r="C48" s="10">
        <v>1500000</v>
      </c>
    </row>
    <row r="49" spans="1:9" ht="12.75" x14ac:dyDescent="0.2">
      <c r="B49" s="2" t="s">
        <v>48</v>
      </c>
      <c r="C49" s="14">
        <v>2.1999999999999999E-2</v>
      </c>
    </row>
    <row r="50" spans="1:9" ht="12.75" x14ac:dyDescent="0.2">
      <c r="B50" s="2" t="s">
        <v>49</v>
      </c>
      <c r="C50" s="2">
        <f>20*12</f>
        <v>240</v>
      </c>
      <c r="D50" s="2" t="s">
        <v>50</v>
      </c>
    </row>
    <row r="53" spans="1:9" ht="12.75" x14ac:dyDescent="0.2">
      <c r="B53" s="15" t="s">
        <v>8</v>
      </c>
      <c r="C53" s="16">
        <f>C48*((C49/12)/(1-(1+(C49/12))^-C50))</f>
        <v>7731.1454562502995</v>
      </c>
    </row>
    <row r="56" spans="1:9" ht="12.75" x14ac:dyDescent="0.2">
      <c r="A56" s="3" t="s">
        <v>51</v>
      </c>
      <c r="B56" s="3" t="s">
        <v>7</v>
      </c>
      <c r="C56" s="4" t="s">
        <v>8</v>
      </c>
      <c r="D56" s="4" t="s">
        <v>9</v>
      </c>
      <c r="E56" s="4" t="s">
        <v>52</v>
      </c>
      <c r="F56" s="4" t="s">
        <v>53</v>
      </c>
      <c r="G56" s="5" t="s">
        <v>12</v>
      </c>
    </row>
    <row r="57" spans="1:9" ht="12.75" x14ac:dyDescent="0.2">
      <c r="A57" s="17"/>
      <c r="B57" s="18">
        <v>44440</v>
      </c>
      <c r="C57" s="7"/>
      <c r="D57" s="7"/>
      <c r="E57" s="7"/>
      <c r="F57" s="7">
        <f>C48</f>
        <v>1500000</v>
      </c>
      <c r="G57" s="8"/>
    </row>
    <row r="58" spans="1:9" ht="12.75" x14ac:dyDescent="0.2">
      <c r="A58" s="17">
        <v>1</v>
      </c>
      <c r="B58" s="18">
        <v>44470</v>
      </c>
      <c r="C58" s="7">
        <f>C53</f>
        <v>7731.1454562502995</v>
      </c>
      <c r="D58" s="7">
        <f t="shared" ref="D58:D297" si="0">C58-E58</f>
        <v>4981.1454562502995</v>
      </c>
      <c r="E58" s="7">
        <f t="shared" ref="E58:E297" si="1">F57*($C$49/12)</f>
        <v>2750</v>
      </c>
      <c r="F58" s="7">
        <f t="shared" ref="F58:F121" si="2">F57-D58</f>
        <v>1495018.8545437497</v>
      </c>
      <c r="G58" s="8">
        <f t="shared" ref="G58:G121" si="3">G57+D58</f>
        <v>4981.1454562502995</v>
      </c>
      <c r="I58" s="14"/>
    </row>
    <row r="59" spans="1:9" ht="12.75" x14ac:dyDescent="0.2">
      <c r="A59" s="17">
        <v>2</v>
      </c>
      <c r="B59" s="18">
        <v>44501</v>
      </c>
      <c r="C59" s="7">
        <f t="shared" ref="C59:C122" si="4">C58</f>
        <v>7731.1454562502995</v>
      </c>
      <c r="D59" s="7">
        <f t="shared" si="0"/>
        <v>4990.2775562534252</v>
      </c>
      <c r="E59" s="7">
        <f t="shared" si="1"/>
        <v>2740.8678999968743</v>
      </c>
      <c r="F59" s="7">
        <f t="shared" si="2"/>
        <v>1490028.5769874963</v>
      </c>
      <c r="G59" s="8">
        <f t="shared" si="3"/>
        <v>9971.4230125037247</v>
      </c>
    </row>
    <row r="60" spans="1:9" ht="12.75" x14ac:dyDescent="0.2">
      <c r="A60" s="17">
        <v>3</v>
      </c>
      <c r="B60" s="18">
        <v>44531</v>
      </c>
      <c r="C60" s="7">
        <f t="shared" si="4"/>
        <v>7731.1454562502995</v>
      </c>
      <c r="D60" s="7">
        <f t="shared" si="0"/>
        <v>4999.4263984398895</v>
      </c>
      <c r="E60" s="7">
        <f t="shared" si="1"/>
        <v>2731.71905781041</v>
      </c>
      <c r="F60" s="7">
        <f t="shared" si="2"/>
        <v>1485029.1505890565</v>
      </c>
      <c r="G60" s="8">
        <f t="shared" si="3"/>
        <v>14970.849410943614</v>
      </c>
    </row>
    <row r="61" spans="1:9" ht="12.75" x14ac:dyDescent="0.2">
      <c r="A61" s="17">
        <v>4</v>
      </c>
      <c r="B61" s="18">
        <v>44562</v>
      </c>
      <c r="C61" s="7">
        <f t="shared" si="4"/>
        <v>7731.1454562502995</v>
      </c>
      <c r="D61" s="7">
        <f t="shared" si="0"/>
        <v>5008.5920135036959</v>
      </c>
      <c r="E61" s="7">
        <f t="shared" si="1"/>
        <v>2722.5534427466037</v>
      </c>
      <c r="F61" s="7">
        <f t="shared" si="2"/>
        <v>1480020.5585755529</v>
      </c>
      <c r="G61" s="8">
        <f t="shared" si="3"/>
        <v>19979.441424447308</v>
      </c>
    </row>
    <row r="62" spans="1:9" ht="12.75" x14ac:dyDescent="0.2">
      <c r="A62" s="17">
        <v>5</v>
      </c>
      <c r="B62" s="18">
        <v>44593</v>
      </c>
      <c r="C62" s="7">
        <f t="shared" si="4"/>
        <v>7731.1454562502995</v>
      </c>
      <c r="D62" s="7">
        <f t="shared" si="0"/>
        <v>5017.7744321951195</v>
      </c>
      <c r="E62" s="7">
        <f t="shared" si="1"/>
        <v>2713.3710240551804</v>
      </c>
      <c r="F62" s="7">
        <f t="shared" si="2"/>
        <v>1475002.7841433578</v>
      </c>
      <c r="G62" s="8">
        <f t="shared" si="3"/>
        <v>24997.215856642426</v>
      </c>
    </row>
    <row r="63" spans="1:9" ht="12.75" x14ac:dyDescent="0.2">
      <c r="A63" s="17">
        <v>6</v>
      </c>
      <c r="B63" s="18">
        <v>44621</v>
      </c>
      <c r="C63" s="7">
        <f t="shared" si="4"/>
        <v>7731.1454562502995</v>
      </c>
      <c r="D63" s="7">
        <f t="shared" si="0"/>
        <v>5026.9736853208105</v>
      </c>
      <c r="E63" s="7">
        <f t="shared" si="1"/>
        <v>2704.1717709294894</v>
      </c>
      <c r="F63" s="7">
        <f t="shared" si="2"/>
        <v>1469975.8104580371</v>
      </c>
      <c r="G63" s="8">
        <f t="shared" si="3"/>
        <v>30024.189541963235</v>
      </c>
    </row>
    <row r="64" spans="1:9" ht="12.75" x14ac:dyDescent="0.2">
      <c r="A64" s="17">
        <v>7</v>
      </c>
      <c r="B64" s="18">
        <v>44652</v>
      </c>
      <c r="C64" s="7">
        <f t="shared" si="4"/>
        <v>7731.1454562502995</v>
      </c>
      <c r="D64" s="7">
        <f t="shared" si="0"/>
        <v>5036.1898037438987</v>
      </c>
      <c r="E64" s="7">
        <f t="shared" si="1"/>
        <v>2694.9556525064013</v>
      </c>
      <c r="F64" s="7">
        <f t="shared" si="2"/>
        <v>1464939.6206542931</v>
      </c>
      <c r="G64" s="8">
        <f t="shared" si="3"/>
        <v>35060.37934570713</v>
      </c>
    </row>
    <row r="65" spans="1:7" ht="12.75" x14ac:dyDescent="0.2">
      <c r="A65" s="17">
        <v>8</v>
      </c>
      <c r="B65" s="18">
        <v>44682</v>
      </c>
      <c r="C65" s="7">
        <f t="shared" si="4"/>
        <v>7731.1454562502995</v>
      </c>
      <c r="D65" s="7">
        <f t="shared" si="0"/>
        <v>5045.4228183840951</v>
      </c>
      <c r="E65" s="7">
        <f t="shared" si="1"/>
        <v>2685.722637866204</v>
      </c>
      <c r="F65" s="7">
        <f t="shared" si="2"/>
        <v>1459894.197835909</v>
      </c>
      <c r="G65" s="8">
        <f t="shared" si="3"/>
        <v>40105.802164091227</v>
      </c>
    </row>
    <row r="66" spans="1:7" ht="12.75" x14ac:dyDescent="0.2">
      <c r="A66" s="17">
        <v>9</v>
      </c>
      <c r="B66" s="18">
        <v>44713</v>
      </c>
      <c r="C66" s="7">
        <f t="shared" si="4"/>
        <v>7731.1454562502995</v>
      </c>
      <c r="D66" s="7">
        <f t="shared" si="0"/>
        <v>5054.6727602177998</v>
      </c>
      <c r="E66" s="7">
        <f t="shared" si="1"/>
        <v>2676.4726960324997</v>
      </c>
      <c r="F66" s="7">
        <f t="shared" si="2"/>
        <v>1454839.5250756913</v>
      </c>
      <c r="G66" s="8">
        <f t="shared" si="3"/>
        <v>45160.474924309026</v>
      </c>
    </row>
    <row r="67" spans="1:7" ht="12.75" x14ac:dyDescent="0.2">
      <c r="A67" s="17">
        <v>10</v>
      </c>
      <c r="B67" s="18">
        <v>44743</v>
      </c>
      <c r="C67" s="7">
        <f t="shared" si="4"/>
        <v>7731.1454562502995</v>
      </c>
      <c r="D67" s="7">
        <f t="shared" si="0"/>
        <v>5063.939660278199</v>
      </c>
      <c r="E67" s="7">
        <f t="shared" si="1"/>
        <v>2667.2057959721005</v>
      </c>
      <c r="F67" s="7">
        <f t="shared" si="2"/>
        <v>1449775.5854154131</v>
      </c>
      <c r="G67" s="8">
        <f t="shared" si="3"/>
        <v>50224.414584587226</v>
      </c>
    </row>
    <row r="68" spans="1:7" ht="12.75" x14ac:dyDescent="0.2">
      <c r="A68" s="17">
        <v>11</v>
      </c>
      <c r="B68" s="18">
        <v>44774</v>
      </c>
      <c r="C68" s="7">
        <f t="shared" si="4"/>
        <v>7731.1454562502995</v>
      </c>
      <c r="D68" s="7">
        <f t="shared" si="0"/>
        <v>5073.2235496553749</v>
      </c>
      <c r="E68" s="7">
        <f t="shared" si="1"/>
        <v>2657.9219065949242</v>
      </c>
      <c r="F68" s="7">
        <f t="shared" si="2"/>
        <v>1444702.3618657577</v>
      </c>
      <c r="G68" s="8">
        <f t="shared" si="3"/>
        <v>55297.638134242603</v>
      </c>
    </row>
    <row r="69" spans="1:7" ht="12.75" x14ac:dyDescent="0.2">
      <c r="A69" s="17">
        <v>12</v>
      </c>
      <c r="B69" s="18">
        <v>44805</v>
      </c>
      <c r="C69" s="7">
        <f t="shared" si="4"/>
        <v>7731.1454562502995</v>
      </c>
      <c r="D69" s="7">
        <f t="shared" si="0"/>
        <v>5082.5244594964106</v>
      </c>
      <c r="E69" s="7">
        <f t="shared" si="1"/>
        <v>2648.6209967538889</v>
      </c>
      <c r="F69" s="7">
        <f t="shared" si="2"/>
        <v>1439619.8374062614</v>
      </c>
      <c r="G69" s="8">
        <f t="shared" si="3"/>
        <v>60380.162593739013</v>
      </c>
    </row>
    <row r="70" spans="1:7" ht="12.75" x14ac:dyDescent="0.2">
      <c r="A70" s="17">
        <v>13</v>
      </c>
      <c r="B70" s="18">
        <v>44835</v>
      </c>
      <c r="C70" s="7">
        <f t="shared" si="4"/>
        <v>7731.1454562502995</v>
      </c>
      <c r="D70" s="7">
        <f t="shared" si="0"/>
        <v>5091.8424210054873</v>
      </c>
      <c r="E70" s="7">
        <f t="shared" si="1"/>
        <v>2639.3030352448122</v>
      </c>
      <c r="F70" s="7">
        <f t="shared" si="2"/>
        <v>1434527.9949852559</v>
      </c>
      <c r="G70" s="8">
        <f t="shared" si="3"/>
        <v>65472.0050147445</v>
      </c>
    </row>
    <row r="71" spans="1:7" ht="12.75" x14ac:dyDescent="0.2">
      <c r="A71" s="17">
        <v>14</v>
      </c>
      <c r="B71" s="18">
        <v>44866</v>
      </c>
      <c r="C71" s="7">
        <f t="shared" si="4"/>
        <v>7731.1454562502995</v>
      </c>
      <c r="D71" s="7">
        <f t="shared" si="0"/>
        <v>5101.1774654439978</v>
      </c>
      <c r="E71" s="7">
        <f t="shared" si="1"/>
        <v>2629.9679908063022</v>
      </c>
      <c r="F71" s="7">
        <f t="shared" si="2"/>
        <v>1429426.8175198119</v>
      </c>
      <c r="G71" s="8">
        <f t="shared" si="3"/>
        <v>70573.182480188494</v>
      </c>
    </row>
    <row r="72" spans="1:7" ht="12.75" x14ac:dyDescent="0.2">
      <c r="A72" s="17">
        <v>15</v>
      </c>
      <c r="B72" s="18">
        <v>44896</v>
      </c>
      <c r="C72" s="7">
        <f t="shared" si="4"/>
        <v>7731.1454562502995</v>
      </c>
      <c r="D72" s="7">
        <f t="shared" si="0"/>
        <v>5110.5296241306442</v>
      </c>
      <c r="E72" s="7">
        <f t="shared" si="1"/>
        <v>2620.6158321196554</v>
      </c>
      <c r="F72" s="7">
        <f t="shared" si="2"/>
        <v>1424316.2878956813</v>
      </c>
      <c r="G72" s="8">
        <f t="shared" si="3"/>
        <v>75683.712104319144</v>
      </c>
    </row>
    <row r="73" spans="1:7" ht="12.75" x14ac:dyDescent="0.2">
      <c r="A73" s="17">
        <v>16</v>
      </c>
      <c r="B73" s="18">
        <v>44927</v>
      </c>
      <c r="C73" s="7">
        <f t="shared" si="4"/>
        <v>7731.1454562502995</v>
      </c>
      <c r="D73" s="7">
        <f t="shared" si="0"/>
        <v>5119.8989284415511</v>
      </c>
      <c r="E73" s="7">
        <f t="shared" si="1"/>
        <v>2611.2465278087489</v>
      </c>
      <c r="F73" s="7">
        <f t="shared" si="2"/>
        <v>1419196.3889672398</v>
      </c>
      <c r="G73" s="8">
        <f t="shared" si="3"/>
        <v>80803.611032760702</v>
      </c>
    </row>
    <row r="74" spans="1:7" ht="12.75" x14ac:dyDescent="0.2">
      <c r="A74" s="17">
        <v>17</v>
      </c>
      <c r="B74" s="18">
        <v>44958</v>
      </c>
      <c r="C74" s="7">
        <f t="shared" si="4"/>
        <v>7731.1454562502995</v>
      </c>
      <c r="D74" s="7">
        <f t="shared" si="0"/>
        <v>5129.2854098103599</v>
      </c>
      <c r="E74" s="7">
        <f t="shared" si="1"/>
        <v>2601.8600464399397</v>
      </c>
      <c r="F74" s="7">
        <f t="shared" si="2"/>
        <v>1414067.1035574295</v>
      </c>
      <c r="G74" s="8">
        <f t="shared" si="3"/>
        <v>85932.896442571058</v>
      </c>
    </row>
    <row r="75" spans="1:7" ht="12.75" x14ac:dyDescent="0.2">
      <c r="A75" s="17">
        <v>18</v>
      </c>
      <c r="B75" s="18">
        <v>44986</v>
      </c>
      <c r="C75" s="7">
        <f t="shared" si="4"/>
        <v>7731.1454562502995</v>
      </c>
      <c r="D75" s="7">
        <f t="shared" si="0"/>
        <v>5138.6890997283454</v>
      </c>
      <c r="E75" s="7">
        <f t="shared" si="1"/>
        <v>2592.4563565219541</v>
      </c>
      <c r="F75" s="7">
        <f t="shared" si="2"/>
        <v>1408928.4144577011</v>
      </c>
      <c r="G75" s="8">
        <f t="shared" si="3"/>
        <v>91071.585542299406</v>
      </c>
    </row>
    <row r="76" spans="1:7" ht="12.75" x14ac:dyDescent="0.2">
      <c r="A76" s="17">
        <v>19</v>
      </c>
      <c r="B76" s="18">
        <v>45017</v>
      </c>
      <c r="C76" s="7">
        <f t="shared" si="4"/>
        <v>7731.1454562502995</v>
      </c>
      <c r="D76" s="7">
        <f t="shared" si="0"/>
        <v>5148.1100297445137</v>
      </c>
      <c r="E76" s="7">
        <f t="shared" si="1"/>
        <v>2583.0354265057854</v>
      </c>
      <c r="F76" s="7">
        <f t="shared" si="2"/>
        <v>1403780.3044279567</v>
      </c>
      <c r="G76" s="8">
        <f t="shared" si="3"/>
        <v>96219.695572043915</v>
      </c>
    </row>
    <row r="77" spans="1:7" ht="12.75" x14ac:dyDescent="0.2">
      <c r="A77" s="17">
        <v>20</v>
      </c>
      <c r="B77" s="18">
        <v>45047</v>
      </c>
      <c r="C77" s="7">
        <f t="shared" si="4"/>
        <v>7731.1454562502995</v>
      </c>
      <c r="D77" s="7">
        <f t="shared" si="0"/>
        <v>5157.5482314657129</v>
      </c>
      <c r="E77" s="7">
        <f t="shared" si="1"/>
        <v>2573.5972247845871</v>
      </c>
      <c r="F77" s="7">
        <f t="shared" si="2"/>
        <v>1398622.756196491</v>
      </c>
      <c r="G77" s="8">
        <f t="shared" si="3"/>
        <v>101377.24380350963</v>
      </c>
    </row>
    <row r="78" spans="1:7" ht="12.75" x14ac:dyDescent="0.2">
      <c r="A78" s="17">
        <v>21</v>
      </c>
      <c r="B78" s="18">
        <v>45078</v>
      </c>
      <c r="C78" s="7">
        <f t="shared" si="4"/>
        <v>7731.1454562502995</v>
      </c>
      <c r="D78" s="7">
        <f t="shared" si="0"/>
        <v>5167.0037365567332</v>
      </c>
      <c r="E78" s="7">
        <f t="shared" si="1"/>
        <v>2564.1417196935668</v>
      </c>
      <c r="F78" s="7">
        <f t="shared" si="2"/>
        <v>1393455.7524599342</v>
      </c>
      <c r="G78" s="8">
        <f t="shared" si="3"/>
        <v>106544.24754006637</v>
      </c>
    </row>
    <row r="79" spans="1:7" ht="12.75" x14ac:dyDescent="0.2">
      <c r="A79" s="17">
        <v>22</v>
      </c>
      <c r="B79" s="18">
        <v>45108</v>
      </c>
      <c r="C79" s="7">
        <f t="shared" si="4"/>
        <v>7731.1454562502995</v>
      </c>
      <c r="D79" s="7">
        <f t="shared" si="0"/>
        <v>5176.4765767404206</v>
      </c>
      <c r="E79" s="7">
        <f t="shared" si="1"/>
        <v>2554.6688795098794</v>
      </c>
      <c r="F79" s="7">
        <f t="shared" si="2"/>
        <v>1388279.2758831938</v>
      </c>
      <c r="G79" s="8">
        <f t="shared" si="3"/>
        <v>111720.72411680678</v>
      </c>
    </row>
    <row r="80" spans="1:7" ht="12.75" x14ac:dyDescent="0.2">
      <c r="A80" s="17">
        <v>23</v>
      </c>
      <c r="B80" s="18">
        <v>45139</v>
      </c>
      <c r="C80" s="7">
        <f t="shared" si="4"/>
        <v>7731.1454562502995</v>
      </c>
      <c r="D80" s="7">
        <f t="shared" si="0"/>
        <v>5185.9667837977777</v>
      </c>
      <c r="E80" s="7">
        <f t="shared" si="1"/>
        <v>2545.1786724525218</v>
      </c>
      <c r="F80" s="7">
        <f t="shared" si="2"/>
        <v>1383093.309099396</v>
      </c>
      <c r="G80" s="8">
        <f t="shared" si="3"/>
        <v>116906.69090060456</v>
      </c>
    </row>
    <row r="81" spans="1:7" ht="12.75" x14ac:dyDescent="0.2">
      <c r="A81" s="17">
        <v>24</v>
      </c>
      <c r="B81" s="18">
        <v>45170</v>
      </c>
      <c r="C81" s="7">
        <f t="shared" si="4"/>
        <v>7731.1454562502995</v>
      </c>
      <c r="D81" s="7">
        <f t="shared" si="0"/>
        <v>5195.4743895680731</v>
      </c>
      <c r="E81" s="7">
        <f t="shared" si="1"/>
        <v>2535.671066682226</v>
      </c>
      <c r="F81" s="7">
        <f t="shared" si="2"/>
        <v>1377897.834709828</v>
      </c>
      <c r="G81" s="8">
        <f t="shared" si="3"/>
        <v>122102.16529017263</v>
      </c>
    </row>
    <row r="82" spans="1:7" ht="12.75" x14ac:dyDescent="0.2">
      <c r="A82" s="17">
        <v>25</v>
      </c>
      <c r="B82" s="18">
        <v>45200</v>
      </c>
      <c r="C82" s="7">
        <f t="shared" si="4"/>
        <v>7731.1454562502995</v>
      </c>
      <c r="D82" s="7">
        <f t="shared" si="0"/>
        <v>5204.9994259489486</v>
      </c>
      <c r="E82" s="7">
        <f t="shared" si="1"/>
        <v>2526.1460303013514</v>
      </c>
      <c r="F82" s="7">
        <f t="shared" si="2"/>
        <v>1372692.835283879</v>
      </c>
      <c r="G82" s="8">
        <f t="shared" si="3"/>
        <v>127307.16471612158</v>
      </c>
    </row>
    <row r="83" spans="1:7" ht="12.75" x14ac:dyDescent="0.2">
      <c r="A83" s="17">
        <v>26</v>
      </c>
      <c r="B83" s="18">
        <v>45231</v>
      </c>
      <c r="C83" s="7">
        <f t="shared" si="4"/>
        <v>7731.1454562502995</v>
      </c>
      <c r="D83" s="7">
        <f t="shared" si="0"/>
        <v>5214.5419248965209</v>
      </c>
      <c r="E83" s="7">
        <f t="shared" si="1"/>
        <v>2516.6035313537782</v>
      </c>
      <c r="F83" s="7">
        <f t="shared" si="2"/>
        <v>1367478.2933589825</v>
      </c>
      <c r="G83" s="8">
        <f t="shared" si="3"/>
        <v>132521.7066410181</v>
      </c>
    </row>
    <row r="84" spans="1:7" ht="12.75" x14ac:dyDescent="0.2">
      <c r="A84" s="17">
        <v>27</v>
      </c>
      <c r="B84" s="18">
        <v>45261</v>
      </c>
      <c r="C84" s="7">
        <f t="shared" si="4"/>
        <v>7731.1454562502995</v>
      </c>
      <c r="D84" s="7">
        <f t="shared" si="0"/>
        <v>5224.1019184254983</v>
      </c>
      <c r="E84" s="7">
        <f t="shared" si="1"/>
        <v>2507.0435378248012</v>
      </c>
      <c r="F84" s="7">
        <f t="shared" si="2"/>
        <v>1362254.1914405571</v>
      </c>
      <c r="G84" s="8">
        <f t="shared" si="3"/>
        <v>137745.8085594436</v>
      </c>
    </row>
    <row r="85" spans="1:7" ht="12.75" x14ac:dyDescent="0.2">
      <c r="A85" s="17">
        <v>28</v>
      </c>
      <c r="B85" s="18">
        <v>45292</v>
      </c>
      <c r="C85" s="7">
        <f t="shared" si="4"/>
        <v>7731.1454562502995</v>
      </c>
      <c r="D85" s="7">
        <f t="shared" si="0"/>
        <v>5233.6794386092788</v>
      </c>
      <c r="E85" s="7">
        <f t="shared" si="1"/>
        <v>2497.4660176410212</v>
      </c>
      <c r="F85" s="7">
        <f t="shared" si="2"/>
        <v>1357020.512001948</v>
      </c>
      <c r="G85" s="8">
        <f t="shared" si="3"/>
        <v>142979.48799805288</v>
      </c>
    </row>
    <row r="86" spans="1:7" ht="12.75" x14ac:dyDescent="0.2">
      <c r="A86" s="17">
        <v>29</v>
      </c>
      <c r="B86" s="18">
        <v>45323</v>
      </c>
      <c r="C86" s="7">
        <f t="shared" si="4"/>
        <v>7731.1454562502995</v>
      </c>
      <c r="D86" s="7">
        <f t="shared" si="0"/>
        <v>5243.274517580061</v>
      </c>
      <c r="E86" s="7">
        <f t="shared" si="1"/>
        <v>2487.870938670238</v>
      </c>
      <c r="F86" s="7">
        <f t="shared" si="2"/>
        <v>1351777.2374843678</v>
      </c>
      <c r="G86" s="8">
        <f t="shared" si="3"/>
        <v>148222.76251563293</v>
      </c>
    </row>
    <row r="87" spans="1:7" ht="12.75" x14ac:dyDescent="0.2">
      <c r="A87" s="17">
        <v>30</v>
      </c>
      <c r="B87" s="18">
        <v>45352</v>
      </c>
      <c r="C87" s="7">
        <f t="shared" si="4"/>
        <v>7731.1454562502995</v>
      </c>
      <c r="D87" s="7">
        <f t="shared" si="0"/>
        <v>5252.8871875289587</v>
      </c>
      <c r="E87" s="7">
        <f t="shared" si="1"/>
        <v>2478.2582687213408</v>
      </c>
      <c r="F87" s="7">
        <f t="shared" si="2"/>
        <v>1346524.3502968389</v>
      </c>
      <c r="G87" s="8">
        <f t="shared" si="3"/>
        <v>153475.64970316188</v>
      </c>
    </row>
    <row r="88" spans="1:7" ht="12.75" x14ac:dyDescent="0.2">
      <c r="A88" s="17">
        <v>31</v>
      </c>
      <c r="B88" s="18">
        <v>45383</v>
      </c>
      <c r="C88" s="7">
        <f t="shared" si="4"/>
        <v>7731.1454562502995</v>
      </c>
      <c r="D88" s="7">
        <f t="shared" si="0"/>
        <v>5262.5174807060948</v>
      </c>
      <c r="E88" s="7">
        <f t="shared" si="1"/>
        <v>2468.6279755442047</v>
      </c>
      <c r="F88" s="7">
        <f t="shared" si="2"/>
        <v>1341261.8328161328</v>
      </c>
      <c r="G88" s="8">
        <f t="shared" si="3"/>
        <v>158738.16718386798</v>
      </c>
    </row>
    <row r="89" spans="1:7" ht="12.75" x14ac:dyDescent="0.2">
      <c r="A89" s="17">
        <v>32</v>
      </c>
      <c r="B89" s="18">
        <v>45413</v>
      </c>
      <c r="C89" s="7">
        <f t="shared" si="4"/>
        <v>7731.1454562502995</v>
      </c>
      <c r="D89" s="7">
        <f t="shared" si="0"/>
        <v>5272.1654294207228</v>
      </c>
      <c r="E89" s="7">
        <f t="shared" si="1"/>
        <v>2458.9800268295767</v>
      </c>
      <c r="F89" s="7">
        <f t="shared" si="2"/>
        <v>1335989.667386712</v>
      </c>
      <c r="G89" s="8">
        <f t="shared" si="3"/>
        <v>164010.33261328869</v>
      </c>
    </row>
    <row r="90" spans="1:7" ht="12.75" x14ac:dyDescent="0.2">
      <c r="A90" s="17">
        <v>33</v>
      </c>
      <c r="B90" s="18">
        <v>45444</v>
      </c>
      <c r="C90" s="7">
        <f t="shared" si="4"/>
        <v>7731.1454562502995</v>
      </c>
      <c r="D90" s="7">
        <f t="shared" si="0"/>
        <v>5281.8310660413281</v>
      </c>
      <c r="E90" s="7">
        <f t="shared" si="1"/>
        <v>2449.3143902089719</v>
      </c>
      <c r="F90" s="7">
        <f t="shared" si="2"/>
        <v>1330707.8363206708</v>
      </c>
      <c r="G90" s="8">
        <f t="shared" si="3"/>
        <v>169292.16367933003</v>
      </c>
    </row>
    <row r="91" spans="1:7" ht="12.75" x14ac:dyDescent="0.2">
      <c r="A91" s="17">
        <v>34</v>
      </c>
      <c r="B91" s="18">
        <v>45474</v>
      </c>
      <c r="C91" s="7">
        <f t="shared" si="4"/>
        <v>7731.1454562502995</v>
      </c>
      <c r="D91" s="7">
        <f t="shared" si="0"/>
        <v>5291.5144229957368</v>
      </c>
      <c r="E91" s="7">
        <f t="shared" si="1"/>
        <v>2439.6310332545631</v>
      </c>
      <c r="F91" s="7">
        <f t="shared" si="2"/>
        <v>1325416.3218976751</v>
      </c>
      <c r="G91" s="8">
        <f t="shared" si="3"/>
        <v>174583.67810232576</v>
      </c>
    </row>
    <row r="92" spans="1:7" ht="12.75" x14ac:dyDescent="0.2">
      <c r="A92" s="17">
        <v>35</v>
      </c>
      <c r="B92" s="18">
        <v>45505</v>
      </c>
      <c r="C92" s="7">
        <f t="shared" si="4"/>
        <v>7731.1454562502995</v>
      </c>
      <c r="D92" s="7">
        <f t="shared" si="0"/>
        <v>5301.215532771228</v>
      </c>
      <c r="E92" s="7">
        <f t="shared" si="1"/>
        <v>2429.929923479071</v>
      </c>
      <c r="F92" s="7">
        <f t="shared" si="2"/>
        <v>1320115.1063649037</v>
      </c>
      <c r="G92" s="8">
        <f t="shared" si="3"/>
        <v>179884.89363509699</v>
      </c>
    </row>
    <row r="93" spans="1:7" ht="12.75" x14ac:dyDescent="0.2">
      <c r="A93" s="17">
        <v>36</v>
      </c>
      <c r="B93" s="18">
        <v>45536</v>
      </c>
      <c r="C93" s="7">
        <f t="shared" si="4"/>
        <v>7731.1454562502995</v>
      </c>
      <c r="D93" s="7">
        <f t="shared" si="0"/>
        <v>5310.9344279146426</v>
      </c>
      <c r="E93" s="7">
        <f t="shared" si="1"/>
        <v>2420.2110283356569</v>
      </c>
      <c r="F93" s="7">
        <f t="shared" si="2"/>
        <v>1314804.1719369891</v>
      </c>
      <c r="G93" s="8">
        <f t="shared" si="3"/>
        <v>185195.82806301164</v>
      </c>
    </row>
    <row r="94" spans="1:7" ht="12.75" x14ac:dyDescent="0.2">
      <c r="A94" s="17">
        <v>37</v>
      </c>
      <c r="B94" s="18">
        <v>45566</v>
      </c>
      <c r="C94" s="7">
        <f t="shared" si="4"/>
        <v>7731.1454562502995</v>
      </c>
      <c r="D94" s="7">
        <f t="shared" si="0"/>
        <v>5320.671141032486</v>
      </c>
      <c r="E94" s="7">
        <f t="shared" si="1"/>
        <v>2410.4743152178135</v>
      </c>
      <c r="F94" s="7">
        <f t="shared" si="2"/>
        <v>1309483.5007959565</v>
      </c>
      <c r="G94" s="8">
        <f t="shared" si="3"/>
        <v>190516.49920404411</v>
      </c>
    </row>
    <row r="95" spans="1:7" ht="12.75" x14ac:dyDescent="0.2">
      <c r="A95" s="17">
        <v>38</v>
      </c>
      <c r="B95" s="18">
        <v>45597</v>
      </c>
      <c r="C95" s="7">
        <f t="shared" si="4"/>
        <v>7731.1454562502995</v>
      </c>
      <c r="D95" s="7">
        <f t="shared" si="0"/>
        <v>5330.425704791046</v>
      </c>
      <c r="E95" s="7">
        <f t="shared" si="1"/>
        <v>2400.7197514592535</v>
      </c>
      <c r="F95" s="7">
        <f t="shared" si="2"/>
        <v>1304153.0750911655</v>
      </c>
      <c r="G95" s="8">
        <f t="shared" si="3"/>
        <v>195846.92490883515</v>
      </c>
    </row>
    <row r="96" spans="1:7" ht="12.75" x14ac:dyDescent="0.2">
      <c r="A96" s="17">
        <v>39</v>
      </c>
      <c r="B96" s="18">
        <v>45627</v>
      </c>
      <c r="C96" s="7">
        <f t="shared" si="4"/>
        <v>7731.1454562502995</v>
      </c>
      <c r="D96" s="7">
        <f t="shared" si="0"/>
        <v>5340.1981519164965</v>
      </c>
      <c r="E96" s="7">
        <f t="shared" si="1"/>
        <v>2390.9473043338035</v>
      </c>
      <c r="F96" s="7">
        <f t="shared" si="2"/>
        <v>1298812.876939249</v>
      </c>
      <c r="G96" s="8">
        <f t="shared" si="3"/>
        <v>201187.12306075165</v>
      </c>
    </row>
    <row r="97" spans="1:7" ht="12.75" x14ac:dyDescent="0.2">
      <c r="A97" s="17">
        <v>40</v>
      </c>
      <c r="B97" s="18">
        <v>45658</v>
      </c>
      <c r="C97" s="7">
        <f t="shared" si="4"/>
        <v>7731.1454562502995</v>
      </c>
      <c r="D97" s="7">
        <f t="shared" si="0"/>
        <v>5349.9885151950093</v>
      </c>
      <c r="E97" s="7">
        <f t="shared" si="1"/>
        <v>2381.1569410552897</v>
      </c>
      <c r="F97" s="7">
        <f t="shared" si="2"/>
        <v>1293462.888424054</v>
      </c>
      <c r="G97" s="8">
        <f t="shared" si="3"/>
        <v>206537.11157594665</v>
      </c>
    </row>
    <row r="98" spans="1:7" ht="12.75" x14ac:dyDescent="0.2">
      <c r="A98" s="17">
        <v>41</v>
      </c>
      <c r="B98" s="18">
        <v>45689</v>
      </c>
      <c r="C98" s="7">
        <f t="shared" si="4"/>
        <v>7731.1454562502995</v>
      </c>
      <c r="D98" s="7">
        <f t="shared" si="0"/>
        <v>5359.7968274728673</v>
      </c>
      <c r="E98" s="7">
        <f t="shared" si="1"/>
        <v>2371.3486287774322</v>
      </c>
      <c r="F98" s="7">
        <f t="shared" si="2"/>
        <v>1288103.091596581</v>
      </c>
      <c r="G98" s="8">
        <f t="shared" si="3"/>
        <v>211896.90840341951</v>
      </c>
    </row>
    <row r="99" spans="1:7" ht="12.75" x14ac:dyDescent="0.2">
      <c r="A99" s="17">
        <v>42</v>
      </c>
      <c r="B99" s="18">
        <v>45717</v>
      </c>
      <c r="C99" s="7">
        <f t="shared" si="4"/>
        <v>7731.1454562502995</v>
      </c>
      <c r="D99" s="7">
        <f t="shared" si="0"/>
        <v>5369.6231216565675</v>
      </c>
      <c r="E99" s="7">
        <f t="shared" si="1"/>
        <v>2361.522334593732</v>
      </c>
      <c r="F99" s="7">
        <f t="shared" si="2"/>
        <v>1282733.4684749246</v>
      </c>
      <c r="G99" s="8">
        <f t="shared" si="3"/>
        <v>217266.53152507608</v>
      </c>
    </row>
    <row r="100" spans="1:7" ht="12.75" x14ac:dyDescent="0.2">
      <c r="A100" s="17">
        <v>43</v>
      </c>
      <c r="B100" s="18">
        <v>45748</v>
      </c>
      <c r="C100" s="7">
        <f t="shared" si="4"/>
        <v>7731.1454562502995</v>
      </c>
      <c r="D100" s="7">
        <f t="shared" si="0"/>
        <v>5379.467430712938</v>
      </c>
      <c r="E100" s="7">
        <f t="shared" si="1"/>
        <v>2351.6780255373615</v>
      </c>
      <c r="F100" s="7">
        <f t="shared" si="2"/>
        <v>1277354.0010442117</v>
      </c>
      <c r="G100" s="8">
        <f t="shared" si="3"/>
        <v>222645.99895578902</v>
      </c>
    </row>
    <row r="101" spans="1:7" ht="12.75" x14ac:dyDescent="0.2">
      <c r="A101" s="17">
        <v>44</v>
      </c>
      <c r="B101" s="18">
        <v>45778</v>
      </c>
      <c r="C101" s="7">
        <f t="shared" si="4"/>
        <v>7731.1454562502995</v>
      </c>
      <c r="D101" s="7">
        <f t="shared" si="0"/>
        <v>5389.329787669245</v>
      </c>
      <c r="E101" s="7">
        <f t="shared" si="1"/>
        <v>2341.8156685810545</v>
      </c>
      <c r="F101" s="7">
        <f t="shared" si="2"/>
        <v>1271964.6712565424</v>
      </c>
      <c r="G101" s="8">
        <f t="shared" si="3"/>
        <v>228035.32874345826</v>
      </c>
    </row>
    <row r="102" spans="1:7" ht="12.75" x14ac:dyDescent="0.2">
      <c r="A102" s="17">
        <v>45</v>
      </c>
      <c r="B102" s="18">
        <v>45809</v>
      </c>
      <c r="C102" s="7">
        <f t="shared" si="4"/>
        <v>7731.1454562502995</v>
      </c>
      <c r="D102" s="7">
        <f t="shared" si="0"/>
        <v>5399.2102256133057</v>
      </c>
      <c r="E102" s="7">
        <f t="shared" si="1"/>
        <v>2331.9352306369942</v>
      </c>
      <c r="F102" s="7">
        <f t="shared" si="2"/>
        <v>1266565.4610309291</v>
      </c>
      <c r="G102" s="8">
        <f t="shared" si="3"/>
        <v>233434.53896907155</v>
      </c>
    </row>
    <row r="103" spans="1:7" ht="12.75" x14ac:dyDescent="0.2">
      <c r="A103" s="17">
        <v>46</v>
      </c>
      <c r="B103" s="18">
        <v>45839</v>
      </c>
      <c r="C103" s="7">
        <f t="shared" si="4"/>
        <v>7731.1454562502995</v>
      </c>
      <c r="D103" s="7">
        <f t="shared" si="0"/>
        <v>5409.1087776935965</v>
      </c>
      <c r="E103" s="7">
        <f t="shared" si="1"/>
        <v>2322.0366785567035</v>
      </c>
      <c r="F103" s="7">
        <f t="shared" si="2"/>
        <v>1261156.3522532354</v>
      </c>
      <c r="G103" s="8">
        <f t="shared" si="3"/>
        <v>238843.64774676514</v>
      </c>
    </row>
    <row r="104" spans="1:7" ht="12.75" x14ac:dyDescent="0.2">
      <c r="A104" s="17">
        <v>47</v>
      </c>
      <c r="B104" s="18">
        <v>45870</v>
      </c>
      <c r="C104" s="7">
        <f t="shared" si="4"/>
        <v>7731.1454562502995</v>
      </c>
      <c r="D104" s="7">
        <f t="shared" si="0"/>
        <v>5419.0254771193686</v>
      </c>
      <c r="E104" s="7">
        <f t="shared" si="1"/>
        <v>2312.1199791309314</v>
      </c>
      <c r="F104" s="7">
        <f t="shared" si="2"/>
        <v>1255737.3267761162</v>
      </c>
      <c r="G104" s="8">
        <f t="shared" si="3"/>
        <v>244262.67322388451</v>
      </c>
    </row>
    <row r="105" spans="1:7" ht="12.75" x14ac:dyDescent="0.2">
      <c r="A105" s="17">
        <v>48</v>
      </c>
      <c r="B105" s="18">
        <v>45901</v>
      </c>
      <c r="C105" s="7">
        <f t="shared" si="4"/>
        <v>7731.1454562502995</v>
      </c>
      <c r="D105" s="7">
        <f t="shared" si="0"/>
        <v>5428.9603571607531</v>
      </c>
      <c r="E105" s="7">
        <f t="shared" si="1"/>
        <v>2302.1850990895464</v>
      </c>
      <c r="F105" s="7">
        <f t="shared" si="2"/>
        <v>1250308.3664189554</v>
      </c>
      <c r="G105" s="8">
        <f t="shared" si="3"/>
        <v>249691.63358104526</v>
      </c>
    </row>
    <row r="106" spans="1:7" ht="12.75" x14ac:dyDescent="0.2">
      <c r="A106" s="17">
        <v>49</v>
      </c>
      <c r="B106" s="18">
        <v>45931</v>
      </c>
      <c r="C106" s="7">
        <f t="shared" si="4"/>
        <v>7731.1454562502995</v>
      </c>
      <c r="D106" s="7">
        <f t="shared" si="0"/>
        <v>5438.913451148881</v>
      </c>
      <c r="E106" s="7">
        <f t="shared" si="1"/>
        <v>2292.2320051014181</v>
      </c>
      <c r="F106" s="7">
        <f t="shared" si="2"/>
        <v>1244869.4529678065</v>
      </c>
      <c r="G106" s="8">
        <f t="shared" si="3"/>
        <v>255130.54703219415</v>
      </c>
    </row>
    <row r="107" spans="1:7" ht="12.75" x14ac:dyDescent="0.2">
      <c r="A107" s="17">
        <v>50</v>
      </c>
      <c r="B107" s="18">
        <v>45962</v>
      </c>
      <c r="C107" s="7">
        <f t="shared" si="4"/>
        <v>7731.1454562502995</v>
      </c>
      <c r="D107" s="7">
        <f t="shared" si="0"/>
        <v>5448.8847924759875</v>
      </c>
      <c r="E107" s="7">
        <f t="shared" si="1"/>
        <v>2282.260663774312</v>
      </c>
      <c r="F107" s="7">
        <f t="shared" si="2"/>
        <v>1239420.5681753305</v>
      </c>
      <c r="G107" s="8">
        <f t="shared" si="3"/>
        <v>260579.43182467014</v>
      </c>
    </row>
    <row r="108" spans="1:7" ht="12.75" x14ac:dyDescent="0.2">
      <c r="A108" s="17">
        <v>51</v>
      </c>
      <c r="B108" s="18">
        <v>45992</v>
      </c>
      <c r="C108" s="7">
        <f t="shared" si="4"/>
        <v>7731.1454562502995</v>
      </c>
      <c r="D108" s="7">
        <f t="shared" si="0"/>
        <v>5458.874414595527</v>
      </c>
      <c r="E108" s="7">
        <f t="shared" si="1"/>
        <v>2272.2710416547725</v>
      </c>
      <c r="F108" s="7">
        <f t="shared" si="2"/>
        <v>1233961.693760735</v>
      </c>
      <c r="G108" s="8">
        <f t="shared" si="3"/>
        <v>266038.30623926566</v>
      </c>
    </row>
    <row r="109" spans="1:7" ht="12.75" x14ac:dyDescent="0.2">
      <c r="A109" s="17">
        <v>52</v>
      </c>
      <c r="B109" s="18">
        <v>46023</v>
      </c>
      <c r="C109" s="7">
        <f t="shared" si="4"/>
        <v>7731.1454562502995</v>
      </c>
      <c r="D109" s="7">
        <f t="shared" si="0"/>
        <v>5468.8823510222855</v>
      </c>
      <c r="E109" s="7">
        <f t="shared" si="1"/>
        <v>2262.263105228014</v>
      </c>
      <c r="F109" s="7">
        <f t="shared" si="2"/>
        <v>1228492.8114097128</v>
      </c>
      <c r="G109" s="8">
        <f t="shared" si="3"/>
        <v>271507.18859028793</v>
      </c>
    </row>
    <row r="110" spans="1:7" ht="12.75" x14ac:dyDescent="0.2">
      <c r="A110" s="17">
        <v>53</v>
      </c>
      <c r="B110" s="18">
        <v>46054</v>
      </c>
      <c r="C110" s="7">
        <f t="shared" si="4"/>
        <v>7731.1454562502995</v>
      </c>
      <c r="D110" s="7">
        <f t="shared" si="0"/>
        <v>5478.9086353324928</v>
      </c>
      <c r="E110" s="7">
        <f t="shared" si="1"/>
        <v>2252.2368209178067</v>
      </c>
      <c r="F110" s="7">
        <f t="shared" si="2"/>
        <v>1223013.9027743803</v>
      </c>
      <c r="G110" s="8">
        <f t="shared" si="3"/>
        <v>276986.09722562041</v>
      </c>
    </row>
    <row r="111" spans="1:7" ht="12.75" x14ac:dyDescent="0.2">
      <c r="A111" s="17">
        <v>54</v>
      </c>
      <c r="B111" s="18">
        <v>46082</v>
      </c>
      <c r="C111" s="7">
        <f t="shared" si="4"/>
        <v>7731.1454562502995</v>
      </c>
      <c r="D111" s="7">
        <f t="shared" si="0"/>
        <v>5488.953301163936</v>
      </c>
      <c r="E111" s="7">
        <f t="shared" si="1"/>
        <v>2242.192155086364</v>
      </c>
      <c r="F111" s="7">
        <f t="shared" si="2"/>
        <v>1217524.9494732164</v>
      </c>
      <c r="G111" s="8">
        <f t="shared" si="3"/>
        <v>282475.05052678433</v>
      </c>
    </row>
    <row r="112" spans="1:7" ht="12.75" x14ac:dyDescent="0.2">
      <c r="A112" s="17">
        <v>55</v>
      </c>
      <c r="B112" s="18">
        <v>46113</v>
      </c>
      <c r="C112" s="7">
        <f t="shared" si="4"/>
        <v>7731.1454562502995</v>
      </c>
      <c r="D112" s="7">
        <f t="shared" si="0"/>
        <v>5499.0163822160694</v>
      </c>
      <c r="E112" s="7">
        <f t="shared" si="1"/>
        <v>2232.1290740342301</v>
      </c>
      <c r="F112" s="7">
        <f t="shared" si="2"/>
        <v>1212025.9330910004</v>
      </c>
      <c r="G112" s="8">
        <f t="shared" si="3"/>
        <v>287974.06690900039</v>
      </c>
    </row>
    <row r="113" spans="1:7" ht="12.75" x14ac:dyDescent="0.2">
      <c r="A113" s="17">
        <v>56</v>
      </c>
      <c r="B113" s="18">
        <v>46143</v>
      </c>
      <c r="C113" s="7">
        <f t="shared" si="4"/>
        <v>7731.1454562502995</v>
      </c>
      <c r="D113" s="7">
        <f t="shared" si="0"/>
        <v>5509.0979122501321</v>
      </c>
      <c r="E113" s="7">
        <f t="shared" si="1"/>
        <v>2222.0475440001674</v>
      </c>
      <c r="F113" s="7">
        <f t="shared" si="2"/>
        <v>1206516.8351787503</v>
      </c>
      <c r="G113" s="8">
        <f t="shared" si="3"/>
        <v>293483.16482125054</v>
      </c>
    </row>
    <row r="114" spans="1:7" ht="12.75" x14ac:dyDescent="0.2">
      <c r="A114" s="17">
        <v>57</v>
      </c>
      <c r="B114" s="18">
        <v>46174</v>
      </c>
      <c r="C114" s="7">
        <f t="shared" si="4"/>
        <v>7731.1454562502995</v>
      </c>
      <c r="D114" s="7">
        <f t="shared" si="0"/>
        <v>5519.1979250892573</v>
      </c>
      <c r="E114" s="7">
        <f t="shared" si="1"/>
        <v>2211.9475311610422</v>
      </c>
      <c r="F114" s="7">
        <f t="shared" si="2"/>
        <v>1200997.6372536612</v>
      </c>
      <c r="G114" s="8">
        <f t="shared" si="3"/>
        <v>299002.36274633982</v>
      </c>
    </row>
    <row r="115" spans="1:7" ht="12.75" x14ac:dyDescent="0.2">
      <c r="A115" s="17">
        <v>58</v>
      </c>
      <c r="B115" s="18">
        <v>46204</v>
      </c>
      <c r="C115" s="7">
        <f t="shared" si="4"/>
        <v>7731.1454562502995</v>
      </c>
      <c r="D115" s="7">
        <f t="shared" si="0"/>
        <v>5529.3164546185872</v>
      </c>
      <c r="E115" s="7">
        <f t="shared" si="1"/>
        <v>2201.8290016317119</v>
      </c>
      <c r="F115" s="7">
        <f t="shared" si="2"/>
        <v>1195468.3207990425</v>
      </c>
      <c r="G115" s="8">
        <f t="shared" si="3"/>
        <v>304531.6792009584</v>
      </c>
    </row>
    <row r="116" spans="1:7" ht="12.75" x14ac:dyDescent="0.2">
      <c r="A116" s="17">
        <v>59</v>
      </c>
      <c r="B116" s="18">
        <v>46235</v>
      </c>
      <c r="C116" s="7">
        <f t="shared" si="4"/>
        <v>7731.1454562502995</v>
      </c>
      <c r="D116" s="7">
        <f t="shared" si="0"/>
        <v>5539.4535347853889</v>
      </c>
      <c r="E116" s="7">
        <f t="shared" si="1"/>
        <v>2191.691921464911</v>
      </c>
      <c r="F116" s="7">
        <f t="shared" si="2"/>
        <v>1189928.867264257</v>
      </c>
      <c r="G116" s="8">
        <f t="shared" si="3"/>
        <v>310071.13273574377</v>
      </c>
    </row>
    <row r="117" spans="1:7" ht="12.75" x14ac:dyDescent="0.2">
      <c r="A117" s="17">
        <v>60</v>
      </c>
      <c r="B117" s="18">
        <v>46266</v>
      </c>
      <c r="C117" s="7">
        <f t="shared" si="4"/>
        <v>7731.1454562502995</v>
      </c>
      <c r="D117" s="7">
        <f t="shared" si="0"/>
        <v>5549.609199599161</v>
      </c>
      <c r="E117" s="7">
        <f t="shared" si="1"/>
        <v>2181.536256651138</v>
      </c>
      <c r="F117" s="7">
        <f t="shared" si="2"/>
        <v>1184379.2580646579</v>
      </c>
      <c r="G117" s="8">
        <f t="shared" si="3"/>
        <v>315620.74193534296</v>
      </c>
    </row>
    <row r="118" spans="1:7" ht="12.75" x14ac:dyDescent="0.2">
      <c r="A118" s="17">
        <v>61</v>
      </c>
      <c r="B118" s="18">
        <v>46296</v>
      </c>
      <c r="C118" s="7">
        <f t="shared" si="4"/>
        <v>7731.1454562502995</v>
      </c>
      <c r="D118" s="7">
        <f t="shared" si="0"/>
        <v>5559.7834831317596</v>
      </c>
      <c r="E118" s="7">
        <f t="shared" si="1"/>
        <v>2171.3619731185395</v>
      </c>
      <c r="F118" s="7">
        <f t="shared" si="2"/>
        <v>1178819.4745815261</v>
      </c>
      <c r="G118" s="8">
        <f t="shared" si="3"/>
        <v>321180.52541847469</v>
      </c>
    </row>
    <row r="119" spans="1:7" ht="12.75" x14ac:dyDescent="0.2">
      <c r="A119" s="17">
        <v>62</v>
      </c>
      <c r="B119" s="18">
        <v>46327</v>
      </c>
      <c r="C119" s="7">
        <f t="shared" si="4"/>
        <v>7731.1454562502995</v>
      </c>
      <c r="D119" s="7">
        <f t="shared" si="0"/>
        <v>5569.9764195175012</v>
      </c>
      <c r="E119" s="7">
        <f t="shared" si="1"/>
        <v>2161.1690367327978</v>
      </c>
      <c r="F119" s="7">
        <f t="shared" si="2"/>
        <v>1173249.4981620086</v>
      </c>
      <c r="G119" s="8">
        <f t="shared" si="3"/>
        <v>326750.50183799217</v>
      </c>
    </row>
    <row r="120" spans="1:7" ht="12.75" x14ac:dyDescent="0.2">
      <c r="A120" s="17">
        <v>63</v>
      </c>
      <c r="B120" s="18">
        <v>46357</v>
      </c>
      <c r="C120" s="7">
        <f t="shared" si="4"/>
        <v>7731.1454562502995</v>
      </c>
      <c r="D120" s="7">
        <f t="shared" si="0"/>
        <v>5580.1880429532839</v>
      </c>
      <c r="E120" s="7">
        <f t="shared" si="1"/>
        <v>2150.9574132970156</v>
      </c>
      <c r="F120" s="7">
        <f t="shared" si="2"/>
        <v>1167669.3101190552</v>
      </c>
      <c r="G120" s="8">
        <f t="shared" si="3"/>
        <v>332330.68988094543</v>
      </c>
    </row>
    <row r="121" spans="1:7" ht="12.75" x14ac:dyDescent="0.2">
      <c r="A121" s="17">
        <v>64</v>
      </c>
      <c r="B121" s="18">
        <v>46388</v>
      </c>
      <c r="C121" s="7">
        <f t="shared" si="4"/>
        <v>7731.1454562502995</v>
      </c>
      <c r="D121" s="7">
        <f t="shared" si="0"/>
        <v>5590.4183876986981</v>
      </c>
      <c r="E121" s="7">
        <f t="shared" si="1"/>
        <v>2140.7270685516014</v>
      </c>
      <c r="F121" s="7">
        <f t="shared" si="2"/>
        <v>1162078.8917313565</v>
      </c>
      <c r="G121" s="8">
        <f t="shared" si="3"/>
        <v>337921.10826864414</v>
      </c>
    </row>
    <row r="122" spans="1:7" ht="12.75" x14ac:dyDescent="0.2">
      <c r="A122" s="17">
        <v>65</v>
      </c>
      <c r="B122" s="18">
        <v>46419</v>
      </c>
      <c r="C122" s="7">
        <f t="shared" si="4"/>
        <v>7731.1454562502995</v>
      </c>
      <c r="D122" s="7">
        <f t="shared" si="0"/>
        <v>5600.6674880761457</v>
      </c>
      <c r="E122" s="7">
        <f t="shared" si="1"/>
        <v>2130.4779681741534</v>
      </c>
      <c r="F122" s="7">
        <f t="shared" ref="F122:F185" si="5">F121-D122</f>
        <v>1156478.2242432802</v>
      </c>
      <c r="G122" s="8">
        <f t="shared" ref="G122:G185" si="6">G121+D122</f>
        <v>343521.77575672028</v>
      </c>
    </row>
    <row r="123" spans="1:7" ht="12.75" x14ac:dyDescent="0.2">
      <c r="A123" s="17">
        <v>66</v>
      </c>
      <c r="B123" s="18">
        <v>46447</v>
      </c>
      <c r="C123" s="7">
        <f t="shared" ref="C123:C186" si="7">C122</f>
        <v>7731.1454562502995</v>
      </c>
      <c r="D123" s="7">
        <f t="shared" si="0"/>
        <v>5610.9353784709529</v>
      </c>
      <c r="E123" s="7">
        <f t="shared" si="1"/>
        <v>2120.2100777793471</v>
      </c>
      <c r="F123" s="7">
        <f t="shared" si="5"/>
        <v>1150867.2888648093</v>
      </c>
      <c r="G123" s="8">
        <f t="shared" si="6"/>
        <v>349132.71113519126</v>
      </c>
    </row>
    <row r="124" spans="1:7" ht="12.75" x14ac:dyDescent="0.2">
      <c r="A124" s="17">
        <v>67</v>
      </c>
      <c r="B124" s="18">
        <v>46478</v>
      </c>
      <c r="C124" s="7">
        <f t="shared" si="7"/>
        <v>7731.1454562502995</v>
      </c>
      <c r="D124" s="7">
        <f t="shared" si="0"/>
        <v>5621.222093331482</v>
      </c>
      <c r="E124" s="7">
        <f t="shared" si="1"/>
        <v>2109.923362918817</v>
      </c>
      <c r="F124" s="7">
        <f t="shared" si="5"/>
        <v>1145246.0667714779</v>
      </c>
      <c r="G124" s="8">
        <f t="shared" si="6"/>
        <v>354753.93322852277</v>
      </c>
    </row>
    <row r="125" spans="1:7" ht="12.75" x14ac:dyDescent="0.2">
      <c r="A125" s="17">
        <v>68</v>
      </c>
      <c r="B125" s="18">
        <v>46508</v>
      </c>
      <c r="C125" s="7">
        <f t="shared" si="7"/>
        <v>7731.1454562502995</v>
      </c>
      <c r="D125" s="7">
        <f t="shared" si="0"/>
        <v>5631.5276671692573</v>
      </c>
      <c r="E125" s="7">
        <f t="shared" si="1"/>
        <v>2099.6177890810427</v>
      </c>
      <c r="F125" s="7">
        <f t="shared" si="5"/>
        <v>1139614.5391043087</v>
      </c>
      <c r="G125" s="8">
        <f t="shared" si="6"/>
        <v>360385.46089569206</v>
      </c>
    </row>
    <row r="126" spans="1:7" ht="12.75" x14ac:dyDescent="0.2">
      <c r="A126" s="17">
        <v>69</v>
      </c>
      <c r="B126" s="18">
        <v>46539</v>
      </c>
      <c r="C126" s="7">
        <f t="shared" si="7"/>
        <v>7731.1454562502995</v>
      </c>
      <c r="D126" s="7">
        <f t="shared" si="0"/>
        <v>5641.8521345590671</v>
      </c>
      <c r="E126" s="7">
        <f t="shared" si="1"/>
        <v>2089.2933216912324</v>
      </c>
      <c r="F126" s="7">
        <f t="shared" si="5"/>
        <v>1133972.6869697496</v>
      </c>
      <c r="G126" s="8">
        <f t="shared" si="6"/>
        <v>366027.31303025113</v>
      </c>
    </row>
    <row r="127" spans="1:7" ht="12.75" x14ac:dyDescent="0.2">
      <c r="A127" s="17">
        <v>70</v>
      </c>
      <c r="B127" s="18">
        <v>46569</v>
      </c>
      <c r="C127" s="7">
        <f t="shared" si="7"/>
        <v>7731.1454562502995</v>
      </c>
      <c r="D127" s="7">
        <f t="shared" si="0"/>
        <v>5652.1955301390917</v>
      </c>
      <c r="E127" s="7">
        <f t="shared" si="1"/>
        <v>2078.9499261112078</v>
      </c>
      <c r="F127" s="7">
        <f t="shared" si="5"/>
        <v>1128320.4914396105</v>
      </c>
      <c r="G127" s="8">
        <f t="shared" si="6"/>
        <v>371679.50856039021</v>
      </c>
    </row>
    <row r="128" spans="1:7" ht="12.75" x14ac:dyDescent="0.2">
      <c r="A128" s="17">
        <v>71</v>
      </c>
      <c r="B128" s="18">
        <v>46600</v>
      </c>
      <c r="C128" s="7">
        <f t="shared" si="7"/>
        <v>7731.1454562502995</v>
      </c>
      <c r="D128" s="7">
        <f t="shared" si="0"/>
        <v>5662.5578886110143</v>
      </c>
      <c r="E128" s="7">
        <f t="shared" si="1"/>
        <v>2068.5875676392857</v>
      </c>
      <c r="F128" s="7">
        <f t="shared" si="5"/>
        <v>1122657.9335509995</v>
      </c>
      <c r="G128" s="8">
        <f t="shared" si="6"/>
        <v>377342.0664490012</v>
      </c>
    </row>
    <row r="129" spans="1:7" ht="12.75" x14ac:dyDescent="0.2">
      <c r="A129" s="17">
        <v>72</v>
      </c>
      <c r="B129" s="18">
        <v>46631</v>
      </c>
      <c r="C129" s="7">
        <f t="shared" si="7"/>
        <v>7731.1454562502995</v>
      </c>
      <c r="D129" s="7">
        <f t="shared" si="0"/>
        <v>5672.9392447401333</v>
      </c>
      <c r="E129" s="7">
        <f t="shared" si="1"/>
        <v>2058.2062115101658</v>
      </c>
      <c r="F129" s="7">
        <f t="shared" si="5"/>
        <v>1116984.9943062593</v>
      </c>
      <c r="G129" s="8">
        <f t="shared" si="6"/>
        <v>383015.00569374132</v>
      </c>
    </row>
    <row r="130" spans="1:7" ht="12.75" x14ac:dyDescent="0.2">
      <c r="A130" s="17">
        <v>73</v>
      </c>
      <c r="B130" s="18">
        <v>46661</v>
      </c>
      <c r="C130" s="7">
        <f t="shared" si="7"/>
        <v>7731.1454562502995</v>
      </c>
      <c r="D130" s="7">
        <f t="shared" si="0"/>
        <v>5683.3396333554911</v>
      </c>
      <c r="E130" s="7">
        <f t="shared" si="1"/>
        <v>2047.8058228948087</v>
      </c>
      <c r="F130" s="7">
        <f t="shared" si="5"/>
        <v>1111301.6546729039</v>
      </c>
      <c r="G130" s="8">
        <f t="shared" si="6"/>
        <v>388698.34532709682</v>
      </c>
    </row>
    <row r="131" spans="1:7" ht="12.75" x14ac:dyDescent="0.2">
      <c r="A131" s="17">
        <v>74</v>
      </c>
      <c r="B131" s="18">
        <v>46692</v>
      </c>
      <c r="C131" s="7">
        <f t="shared" si="7"/>
        <v>7731.1454562502995</v>
      </c>
      <c r="D131" s="7">
        <f t="shared" si="0"/>
        <v>5693.7590893499755</v>
      </c>
      <c r="E131" s="7">
        <f t="shared" si="1"/>
        <v>2037.3863669003238</v>
      </c>
      <c r="F131" s="7">
        <f t="shared" si="5"/>
        <v>1105607.8955835539</v>
      </c>
      <c r="G131" s="8">
        <f t="shared" si="6"/>
        <v>394392.10441644682</v>
      </c>
    </row>
    <row r="132" spans="1:7" ht="12.75" x14ac:dyDescent="0.2">
      <c r="A132" s="17">
        <v>75</v>
      </c>
      <c r="B132" s="18">
        <v>46722</v>
      </c>
      <c r="C132" s="7">
        <f t="shared" si="7"/>
        <v>7731.1454562502995</v>
      </c>
      <c r="D132" s="7">
        <f t="shared" si="0"/>
        <v>5704.1976476804502</v>
      </c>
      <c r="E132" s="7">
        <f t="shared" si="1"/>
        <v>2026.9478085698488</v>
      </c>
      <c r="F132" s="7">
        <f t="shared" si="5"/>
        <v>1099903.6979358734</v>
      </c>
      <c r="G132" s="8">
        <f t="shared" si="6"/>
        <v>400096.30206412729</v>
      </c>
    </row>
    <row r="133" spans="1:7" ht="12.75" x14ac:dyDescent="0.2">
      <c r="A133" s="17">
        <v>76</v>
      </c>
      <c r="B133" s="18">
        <v>46753</v>
      </c>
      <c r="C133" s="7">
        <f t="shared" si="7"/>
        <v>7731.1454562502995</v>
      </c>
      <c r="D133" s="7">
        <f t="shared" si="0"/>
        <v>5714.6553433678655</v>
      </c>
      <c r="E133" s="7">
        <f t="shared" si="1"/>
        <v>2016.4901128824345</v>
      </c>
      <c r="F133" s="7">
        <f t="shared" si="5"/>
        <v>1094189.0425925055</v>
      </c>
      <c r="G133" s="8">
        <f t="shared" si="6"/>
        <v>405810.95740749518</v>
      </c>
    </row>
    <row r="134" spans="1:7" ht="12.75" x14ac:dyDescent="0.2">
      <c r="A134" s="17">
        <v>77</v>
      </c>
      <c r="B134" s="18">
        <v>46784</v>
      </c>
      <c r="C134" s="7">
        <f t="shared" si="7"/>
        <v>7731.1454562502995</v>
      </c>
      <c r="D134" s="7">
        <f t="shared" si="0"/>
        <v>5725.1322114973727</v>
      </c>
      <c r="E134" s="7">
        <f t="shared" si="1"/>
        <v>2006.0132447529265</v>
      </c>
      <c r="F134" s="7">
        <f t="shared" si="5"/>
        <v>1088463.9103810082</v>
      </c>
      <c r="G134" s="8">
        <f t="shared" si="6"/>
        <v>411536.08961899253</v>
      </c>
    </row>
    <row r="135" spans="1:7" ht="12.75" x14ac:dyDescent="0.2">
      <c r="A135" s="17">
        <v>78</v>
      </c>
      <c r="B135" s="18">
        <v>46813</v>
      </c>
      <c r="C135" s="7">
        <f t="shared" si="7"/>
        <v>7731.1454562502995</v>
      </c>
      <c r="D135" s="7">
        <f t="shared" si="0"/>
        <v>5735.6282872184511</v>
      </c>
      <c r="E135" s="7">
        <f t="shared" si="1"/>
        <v>1995.5171690318482</v>
      </c>
      <c r="F135" s="7">
        <f t="shared" si="5"/>
        <v>1082728.2820937897</v>
      </c>
      <c r="G135" s="8">
        <f t="shared" si="6"/>
        <v>417271.71790621098</v>
      </c>
    </row>
    <row r="136" spans="1:7" ht="12.75" x14ac:dyDescent="0.2">
      <c r="A136" s="17">
        <v>79</v>
      </c>
      <c r="B136" s="18">
        <v>46844</v>
      </c>
      <c r="C136" s="7">
        <f t="shared" si="7"/>
        <v>7731.1454562502995</v>
      </c>
      <c r="D136" s="7">
        <f t="shared" si="0"/>
        <v>5746.1436057450182</v>
      </c>
      <c r="E136" s="7">
        <f t="shared" si="1"/>
        <v>1985.001850505281</v>
      </c>
      <c r="F136" s="7">
        <f t="shared" si="5"/>
        <v>1076982.1384880447</v>
      </c>
      <c r="G136" s="8">
        <f t="shared" si="6"/>
        <v>423017.86151195597</v>
      </c>
    </row>
    <row r="137" spans="1:7" ht="12.75" x14ac:dyDescent="0.2">
      <c r="A137" s="17">
        <v>80</v>
      </c>
      <c r="B137" s="18">
        <v>46874</v>
      </c>
      <c r="C137" s="7">
        <f t="shared" si="7"/>
        <v>7731.1454562502995</v>
      </c>
      <c r="D137" s="7">
        <f t="shared" si="0"/>
        <v>5756.6782023555506</v>
      </c>
      <c r="E137" s="7">
        <f t="shared" si="1"/>
        <v>1974.4672538947486</v>
      </c>
      <c r="F137" s="7">
        <f t="shared" si="5"/>
        <v>1071225.4602856892</v>
      </c>
      <c r="G137" s="8">
        <f t="shared" si="6"/>
        <v>428774.53971431154</v>
      </c>
    </row>
    <row r="138" spans="1:7" ht="12.75" x14ac:dyDescent="0.2">
      <c r="A138" s="17">
        <v>81</v>
      </c>
      <c r="B138" s="18">
        <v>46905</v>
      </c>
      <c r="C138" s="7">
        <f t="shared" si="7"/>
        <v>7731.1454562502995</v>
      </c>
      <c r="D138" s="7">
        <f t="shared" si="0"/>
        <v>5767.2321123932024</v>
      </c>
      <c r="E138" s="7">
        <f t="shared" si="1"/>
        <v>1963.9133438570968</v>
      </c>
      <c r="F138" s="7">
        <f t="shared" si="5"/>
        <v>1065458.228173296</v>
      </c>
      <c r="G138" s="8">
        <f t="shared" si="6"/>
        <v>434541.77182670473</v>
      </c>
    </row>
    <row r="139" spans="1:7" ht="12.75" x14ac:dyDescent="0.2">
      <c r="A139" s="17">
        <v>82</v>
      </c>
      <c r="B139" s="18">
        <v>46935</v>
      </c>
      <c r="C139" s="7">
        <f t="shared" si="7"/>
        <v>7731.1454562502995</v>
      </c>
      <c r="D139" s="7">
        <f t="shared" si="0"/>
        <v>5777.8053712659239</v>
      </c>
      <c r="E139" s="7">
        <f t="shared" si="1"/>
        <v>1953.3400849843758</v>
      </c>
      <c r="F139" s="7">
        <f t="shared" si="5"/>
        <v>1059680.4228020301</v>
      </c>
      <c r="G139" s="8">
        <f t="shared" si="6"/>
        <v>440319.57719797065</v>
      </c>
    </row>
    <row r="140" spans="1:7" ht="12.75" x14ac:dyDescent="0.2">
      <c r="A140" s="17">
        <v>83</v>
      </c>
      <c r="B140" s="18">
        <v>46966</v>
      </c>
      <c r="C140" s="7">
        <f t="shared" si="7"/>
        <v>7731.1454562502995</v>
      </c>
      <c r="D140" s="7">
        <f t="shared" si="0"/>
        <v>5788.3980144465777</v>
      </c>
      <c r="E140" s="7">
        <f t="shared" si="1"/>
        <v>1942.7474418037218</v>
      </c>
      <c r="F140" s="7">
        <f t="shared" si="5"/>
        <v>1053892.0247875836</v>
      </c>
      <c r="G140" s="8">
        <f t="shared" si="6"/>
        <v>446107.97521241725</v>
      </c>
    </row>
    <row r="141" spans="1:7" ht="12.75" x14ac:dyDescent="0.2">
      <c r="A141" s="17">
        <v>84</v>
      </c>
      <c r="B141" s="18">
        <v>46997</v>
      </c>
      <c r="C141" s="7">
        <f t="shared" si="7"/>
        <v>7731.1454562502995</v>
      </c>
      <c r="D141" s="7">
        <f t="shared" si="0"/>
        <v>5799.0100774730627</v>
      </c>
      <c r="E141" s="7">
        <f t="shared" si="1"/>
        <v>1932.1353787772366</v>
      </c>
      <c r="F141" s="7">
        <f t="shared" si="5"/>
        <v>1048093.0147101106</v>
      </c>
      <c r="G141" s="8">
        <f t="shared" si="6"/>
        <v>451906.98528989032</v>
      </c>
    </row>
    <row r="142" spans="1:7" ht="12.75" x14ac:dyDescent="0.2">
      <c r="A142" s="17">
        <v>85</v>
      </c>
      <c r="B142" s="18">
        <v>47027</v>
      </c>
      <c r="C142" s="7">
        <f t="shared" si="7"/>
        <v>7731.1454562502995</v>
      </c>
      <c r="D142" s="7">
        <f t="shared" si="0"/>
        <v>5809.6415959484302</v>
      </c>
      <c r="E142" s="7">
        <f t="shared" si="1"/>
        <v>1921.5038603018695</v>
      </c>
      <c r="F142" s="7">
        <f t="shared" si="5"/>
        <v>1042283.3731141621</v>
      </c>
      <c r="G142" s="8">
        <f t="shared" si="6"/>
        <v>457716.62688583875</v>
      </c>
    </row>
    <row r="143" spans="1:7" ht="12.75" x14ac:dyDescent="0.2">
      <c r="A143" s="17">
        <v>86</v>
      </c>
      <c r="B143" s="18">
        <v>47058</v>
      </c>
      <c r="C143" s="7">
        <f t="shared" si="7"/>
        <v>7731.1454562502995</v>
      </c>
      <c r="D143" s="7">
        <f t="shared" si="0"/>
        <v>5820.2926055410026</v>
      </c>
      <c r="E143" s="7">
        <f t="shared" si="1"/>
        <v>1910.8528507092972</v>
      </c>
      <c r="F143" s="7">
        <f t="shared" si="5"/>
        <v>1036463.0805086212</v>
      </c>
      <c r="G143" s="8">
        <f t="shared" si="6"/>
        <v>463536.91949137975</v>
      </c>
    </row>
    <row r="144" spans="1:7" ht="12.75" x14ac:dyDescent="0.2">
      <c r="A144" s="17">
        <v>87</v>
      </c>
      <c r="B144" s="18">
        <v>47088</v>
      </c>
      <c r="C144" s="7">
        <f t="shared" si="7"/>
        <v>7731.1454562502995</v>
      </c>
      <c r="D144" s="7">
        <f t="shared" si="0"/>
        <v>5830.9631419844936</v>
      </c>
      <c r="E144" s="7">
        <f t="shared" si="1"/>
        <v>1900.1823142658054</v>
      </c>
      <c r="F144" s="7">
        <f t="shared" si="5"/>
        <v>1030632.1173666366</v>
      </c>
      <c r="G144" s="8">
        <f t="shared" si="6"/>
        <v>469367.88263336424</v>
      </c>
    </row>
    <row r="145" spans="1:7" ht="12.75" x14ac:dyDescent="0.2">
      <c r="A145" s="17">
        <v>88</v>
      </c>
      <c r="B145" s="18">
        <v>47119</v>
      </c>
      <c r="C145" s="7">
        <f t="shared" si="7"/>
        <v>7731.1454562502995</v>
      </c>
      <c r="D145" s="7">
        <f t="shared" si="0"/>
        <v>5841.6532410781329</v>
      </c>
      <c r="E145" s="7">
        <f t="shared" si="1"/>
        <v>1889.4922151721671</v>
      </c>
      <c r="F145" s="7">
        <f t="shared" si="5"/>
        <v>1024790.4641255585</v>
      </c>
      <c r="G145" s="8">
        <f t="shared" si="6"/>
        <v>475209.53587444237</v>
      </c>
    </row>
    <row r="146" spans="1:7" ht="12.75" x14ac:dyDescent="0.2">
      <c r="A146" s="17">
        <v>89</v>
      </c>
      <c r="B146" s="18">
        <v>47150</v>
      </c>
      <c r="C146" s="7">
        <f t="shared" si="7"/>
        <v>7731.1454562502995</v>
      </c>
      <c r="D146" s="7">
        <f t="shared" si="0"/>
        <v>5852.362938686776</v>
      </c>
      <c r="E146" s="7">
        <f t="shared" si="1"/>
        <v>1878.7825175635239</v>
      </c>
      <c r="F146" s="7">
        <f t="shared" si="5"/>
        <v>1018938.1011868718</v>
      </c>
      <c r="G146" s="8">
        <f t="shared" si="6"/>
        <v>481061.89881312917</v>
      </c>
    </row>
    <row r="147" spans="1:7" ht="12.75" x14ac:dyDescent="0.2">
      <c r="A147" s="17">
        <v>90</v>
      </c>
      <c r="B147" s="18">
        <v>47178</v>
      </c>
      <c r="C147" s="7">
        <f t="shared" si="7"/>
        <v>7731.1454562502995</v>
      </c>
      <c r="D147" s="7">
        <f t="shared" si="0"/>
        <v>5863.0922707410346</v>
      </c>
      <c r="E147" s="7">
        <f t="shared" si="1"/>
        <v>1868.0531855092649</v>
      </c>
      <c r="F147" s="7">
        <f t="shared" si="5"/>
        <v>1013075.0089161308</v>
      </c>
      <c r="G147" s="8">
        <f t="shared" si="6"/>
        <v>486924.99108387018</v>
      </c>
    </row>
    <row r="148" spans="1:7" ht="12.75" x14ac:dyDescent="0.2">
      <c r="A148" s="17">
        <v>91</v>
      </c>
      <c r="B148" s="18">
        <v>47209</v>
      </c>
      <c r="C148" s="7">
        <f t="shared" si="7"/>
        <v>7731.1454562502995</v>
      </c>
      <c r="D148" s="7">
        <f t="shared" si="0"/>
        <v>5873.8412732373927</v>
      </c>
      <c r="E148" s="7">
        <f t="shared" si="1"/>
        <v>1857.3041830129064</v>
      </c>
      <c r="F148" s="7">
        <f t="shared" si="5"/>
        <v>1007201.1676428934</v>
      </c>
      <c r="G148" s="8">
        <f t="shared" si="6"/>
        <v>492798.83235710755</v>
      </c>
    </row>
    <row r="149" spans="1:7" ht="12.75" x14ac:dyDescent="0.2">
      <c r="A149" s="17">
        <v>92</v>
      </c>
      <c r="B149" s="18">
        <v>47239</v>
      </c>
      <c r="C149" s="7">
        <f t="shared" si="7"/>
        <v>7731.1454562502995</v>
      </c>
      <c r="D149" s="7">
        <f t="shared" si="0"/>
        <v>5884.6099822383285</v>
      </c>
      <c r="E149" s="7">
        <f t="shared" si="1"/>
        <v>1846.5354740119712</v>
      </c>
      <c r="F149" s="7">
        <f t="shared" si="5"/>
        <v>1001316.557660655</v>
      </c>
      <c r="G149" s="8">
        <f t="shared" si="6"/>
        <v>498683.44233934587</v>
      </c>
    </row>
    <row r="150" spans="1:7" ht="12.75" x14ac:dyDescent="0.2">
      <c r="A150" s="17">
        <v>93</v>
      </c>
      <c r="B150" s="18">
        <v>47270</v>
      </c>
      <c r="C150" s="7">
        <f t="shared" si="7"/>
        <v>7731.1454562502995</v>
      </c>
      <c r="D150" s="7">
        <f t="shared" si="0"/>
        <v>5895.3984338724322</v>
      </c>
      <c r="E150" s="7">
        <f t="shared" si="1"/>
        <v>1835.7470223778676</v>
      </c>
      <c r="F150" s="7">
        <f t="shared" si="5"/>
        <v>995421.15922678262</v>
      </c>
      <c r="G150" s="8">
        <f t="shared" si="6"/>
        <v>504578.84077321831</v>
      </c>
    </row>
    <row r="151" spans="1:7" ht="12.75" x14ac:dyDescent="0.2">
      <c r="A151" s="17">
        <v>94</v>
      </c>
      <c r="B151" s="18">
        <v>47300</v>
      </c>
      <c r="C151" s="7">
        <f t="shared" si="7"/>
        <v>7731.1454562502995</v>
      </c>
      <c r="D151" s="7">
        <f t="shared" si="0"/>
        <v>5906.2066643345315</v>
      </c>
      <c r="E151" s="7">
        <f t="shared" si="1"/>
        <v>1824.9387919157682</v>
      </c>
      <c r="F151" s="7">
        <f t="shared" si="5"/>
        <v>989514.9525624481</v>
      </c>
      <c r="G151" s="8">
        <f t="shared" si="6"/>
        <v>510485.04743755283</v>
      </c>
    </row>
    <row r="152" spans="1:7" ht="12.75" x14ac:dyDescent="0.2">
      <c r="A152" s="17">
        <v>95</v>
      </c>
      <c r="B152" s="18">
        <v>47331</v>
      </c>
      <c r="C152" s="7">
        <f t="shared" si="7"/>
        <v>7731.1454562502995</v>
      </c>
      <c r="D152" s="7">
        <f t="shared" si="0"/>
        <v>5917.034709885811</v>
      </c>
      <c r="E152" s="7">
        <f t="shared" si="1"/>
        <v>1814.1107463644883</v>
      </c>
      <c r="F152" s="7">
        <f t="shared" si="5"/>
        <v>983597.91785256227</v>
      </c>
      <c r="G152" s="8">
        <f t="shared" si="6"/>
        <v>516402.08214743866</v>
      </c>
    </row>
    <row r="153" spans="1:7" ht="12.75" x14ac:dyDescent="0.2">
      <c r="A153" s="17">
        <v>96</v>
      </c>
      <c r="B153" s="18">
        <v>47362</v>
      </c>
      <c r="C153" s="7">
        <f t="shared" si="7"/>
        <v>7731.1454562502995</v>
      </c>
      <c r="D153" s="7">
        <f t="shared" si="0"/>
        <v>5927.8826068539356</v>
      </c>
      <c r="E153" s="7">
        <f t="shared" si="1"/>
        <v>1803.2628493963641</v>
      </c>
      <c r="F153" s="7">
        <f t="shared" si="5"/>
        <v>977670.03524570831</v>
      </c>
      <c r="G153" s="8">
        <f t="shared" si="6"/>
        <v>522329.96475429263</v>
      </c>
    </row>
    <row r="154" spans="1:7" ht="12.75" x14ac:dyDescent="0.2">
      <c r="A154" s="17">
        <v>97</v>
      </c>
      <c r="B154" s="18">
        <v>47392</v>
      </c>
      <c r="C154" s="7">
        <f t="shared" si="7"/>
        <v>7731.1454562502995</v>
      </c>
      <c r="D154" s="7">
        <f t="shared" si="0"/>
        <v>5938.750391633168</v>
      </c>
      <c r="E154" s="7">
        <f t="shared" si="1"/>
        <v>1792.3950646171318</v>
      </c>
      <c r="F154" s="7">
        <f t="shared" si="5"/>
        <v>971731.28485407517</v>
      </c>
      <c r="G154" s="8">
        <f t="shared" si="6"/>
        <v>528268.71514592576</v>
      </c>
    </row>
    <row r="155" spans="1:7" ht="12.75" x14ac:dyDescent="0.2">
      <c r="A155" s="17">
        <v>98</v>
      </c>
      <c r="B155" s="18">
        <v>47423</v>
      </c>
      <c r="C155" s="7">
        <f t="shared" si="7"/>
        <v>7731.1454562502995</v>
      </c>
      <c r="D155" s="7">
        <f t="shared" si="0"/>
        <v>5949.6381006844949</v>
      </c>
      <c r="E155" s="7">
        <f t="shared" si="1"/>
        <v>1781.5073555658043</v>
      </c>
      <c r="F155" s="7">
        <f t="shared" si="5"/>
        <v>965781.64675339067</v>
      </c>
      <c r="G155" s="8">
        <f t="shared" si="6"/>
        <v>534218.35324661026</v>
      </c>
    </row>
    <row r="156" spans="1:7" ht="12.75" x14ac:dyDescent="0.2">
      <c r="A156" s="17">
        <v>99</v>
      </c>
      <c r="B156" s="18">
        <v>47453</v>
      </c>
      <c r="C156" s="7">
        <f t="shared" si="7"/>
        <v>7731.1454562502995</v>
      </c>
      <c r="D156" s="7">
        <f t="shared" si="0"/>
        <v>5960.5457705357503</v>
      </c>
      <c r="E156" s="7">
        <f t="shared" si="1"/>
        <v>1770.5996857145494</v>
      </c>
      <c r="F156" s="7">
        <f t="shared" si="5"/>
        <v>959821.10098285496</v>
      </c>
      <c r="G156" s="8">
        <f t="shared" si="6"/>
        <v>540178.89901714597</v>
      </c>
    </row>
    <row r="157" spans="1:7" ht="12.75" x14ac:dyDescent="0.2">
      <c r="A157" s="17">
        <v>100</v>
      </c>
      <c r="B157" s="18">
        <v>47484</v>
      </c>
      <c r="C157" s="7">
        <f t="shared" si="7"/>
        <v>7731.1454562502995</v>
      </c>
      <c r="D157" s="7">
        <f t="shared" si="0"/>
        <v>5971.4734377817322</v>
      </c>
      <c r="E157" s="7">
        <f t="shared" si="1"/>
        <v>1759.6720184685673</v>
      </c>
      <c r="F157" s="7">
        <f t="shared" si="5"/>
        <v>953849.62754507328</v>
      </c>
      <c r="G157" s="8">
        <f t="shared" si="6"/>
        <v>546150.37245492765</v>
      </c>
    </row>
    <row r="158" spans="1:7" ht="12.75" x14ac:dyDescent="0.2">
      <c r="A158" s="17">
        <v>101</v>
      </c>
      <c r="B158" s="18">
        <v>47515</v>
      </c>
      <c r="C158" s="7">
        <f t="shared" si="7"/>
        <v>7731.1454562502995</v>
      </c>
      <c r="D158" s="7">
        <f t="shared" si="0"/>
        <v>5982.421139084332</v>
      </c>
      <c r="E158" s="7">
        <f t="shared" si="1"/>
        <v>1748.7243171659677</v>
      </c>
      <c r="F158" s="7">
        <f t="shared" si="5"/>
        <v>947867.20640598889</v>
      </c>
      <c r="G158" s="8">
        <f t="shared" si="6"/>
        <v>552132.79359401204</v>
      </c>
    </row>
    <row r="159" spans="1:7" ht="12.75" x14ac:dyDescent="0.2">
      <c r="A159" s="17">
        <v>102</v>
      </c>
      <c r="B159" s="18">
        <v>47543</v>
      </c>
      <c r="C159" s="7">
        <f t="shared" si="7"/>
        <v>7731.1454562502995</v>
      </c>
      <c r="D159" s="7">
        <f t="shared" si="0"/>
        <v>5993.388911172653</v>
      </c>
      <c r="E159" s="7">
        <f t="shared" si="1"/>
        <v>1737.7565450776463</v>
      </c>
      <c r="F159" s="7">
        <f t="shared" si="5"/>
        <v>941873.81749481626</v>
      </c>
      <c r="G159" s="8">
        <f t="shared" si="6"/>
        <v>558126.18250518467</v>
      </c>
    </row>
    <row r="160" spans="1:7" ht="12.75" x14ac:dyDescent="0.2">
      <c r="A160" s="17">
        <v>103</v>
      </c>
      <c r="B160" s="18">
        <v>47574</v>
      </c>
      <c r="C160" s="7">
        <f t="shared" si="7"/>
        <v>7731.1454562502995</v>
      </c>
      <c r="D160" s="7">
        <f t="shared" si="0"/>
        <v>6004.3767908431364</v>
      </c>
      <c r="E160" s="7">
        <f t="shared" si="1"/>
        <v>1726.7686654071631</v>
      </c>
      <c r="F160" s="7">
        <f t="shared" si="5"/>
        <v>935869.44070397317</v>
      </c>
      <c r="G160" s="8">
        <f t="shared" si="6"/>
        <v>564130.55929602776</v>
      </c>
    </row>
    <row r="161" spans="1:7" ht="12.75" x14ac:dyDescent="0.2">
      <c r="A161" s="17">
        <v>104</v>
      </c>
      <c r="B161" s="18">
        <v>47604</v>
      </c>
      <c r="C161" s="7">
        <f t="shared" si="7"/>
        <v>7731.1454562502995</v>
      </c>
      <c r="D161" s="7">
        <f t="shared" si="0"/>
        <v>6015.3848149596815</v>
      </c>
      <c r="E161" s="7">
        <f t="shared" si="1"/>
        <v>1715.7606412906175</v>
      </c>
      <c r="F161" s="7">
        <f t="shared" si="5"/>
        <v>929854.05588901346</v>
      </c>
      <c r="G161" s="8">
        <f t="shared" si="6"/>
        <v>570145.94411098748</v>
      </c>
    </row>
    <row r="162" spans="1:7" ht="12.75" x14ac:dyDescent="0.2">
      <c r="A162" s="17">
        <v>105</v>
      </c>
      <c r="B162" s="18">
        <v>47635</v>
      </c>
      <c r="C162" s="7">
        <f t="shared" si="7"/>
        <v>7731.1454562502995</v>
      </c>
      <c r="D162" s="7">
        <f t="shared" si="0"/>
        <v>6026.4130204537751</v>
      </c>
      <c r="E162" s="7">
        <f t="shared" si="1"/>
        <v>1704.7324357965247</v>
      </c>
      <c r="F162" s="7">
        <f t="shared" si="5"/>
        <v>923827.64286855969</v>
      </c>
      <c r="G162" s="8">
        <f t="shared" si="6"/>
        <v>576172.35713144124</v>
      </c>
    </row>
    <row r="163" spans="1:7" ht="12.75" x14ac:dyDescent="0.2">
      <c r="A163" s="17">
        <v>106</v>
      </c>
      <c r="B163" s="18">
        <v>47665</v>
      </c>
      <c r="C163" s="7">
        <f t="shared" si="7"/>
        <v>7731.1454562502995</v>
      </c>
      <c r="D163" s="7">
        <f t="shared" si="0"/>
        <v>6037.4614443246064</v>
      </c>
      <c r="E163" s="7">
        <f t="shared" si="1"/>
        <v>1693.6840119256926</v>
      </c>
      <c r="F163" s="7">
        <f t="shared" si="5"/>
        <v>917790.18142423511</v>
      </c>
      <c r="G163" s="8">
        <f t="shared" si="6"/>
        <v>582209.81857576582</v>
      </c>
    </row>
    <row r="164" spans="1:7" ht="12.75" x14ac:dyDescent="0.2">
      <c r="A164" s="17">
        <v>107</v>
      </c>
      <c r="B164" s="18">
        <v>47696</v>
      </c>
      <c r="C164" s="7">
        <f t="shared" si="7"/>
        <v>7731.1454562502995</v>
      </c>
      <c r="D164" s="7">
        <f t="shared" si="0"/>
        <v>6048.5301236392015</v>
      </c>
      <c r="E164" s="7">
        <f t="shared" si="1"/>
        <v>1682.6153326110978</v>
      </c>
      <c r="F164" s="7">
        <f t="shared" si="5"/>
        <v>911741.65130059596</v>
      </c>
      <c r="G164" s="8">
        <f t="shared" si="6"/>
        <v>588258.34869940497</v>
      </c>
    </row>
    <row r="165" spans="1:7" ht="12.75" x14ac:dyDescent="0.2">
      <c r="A165" s="17">
        <v>108</v>
      </c>
      <c r="B165" s="18">
        <v>47727</v>
      </c>
      <c r="C165" s="7">
        <f t="shared" si="7"/>
        <v>7731.1454562502995</v>
      </c>
      <c r="D165" s="7">
        <f t="shared" si="0"/>
        <v>6059.6190955325401</v>
      </c>
      <c r="E165" s="7">
        <f t="shared" si="1"/>
        <v>1671.5263607177592</v>
      </c>
      <c r="F165" s="7">
        <f t="shared" si="5"/>
        <v>905682.03220506338</v>
      </c>
      <c r="G165" s="8">
        <f t="shared" si="6"/>
        <v>594317.96779493755</v>
      </c>
    </row>
    <row r="166" spans="1:7" ht="12.75" x14ac:dyDescent="0.2">
      <c r="A166" s="17">
        <v>109</v>
      </c>
      <c r="B166" s="18">
        <v>47757</v>
      </c>
      <c r="C166" s="7">
        <f t="shared" si="7"/>
        <v>7731.1454562502995</v>
      </c>
      <c r="D166" s="7">
        <f t="shared" si="0"/>
        <v>6070.7283972076839</v>
      </c>
      <c r="E166" s="7">
        <f t="shared" si="1"/>
        <v>1660.4170590426161</v>
      </c>
      <c r="F166" s="7">
        <f t="shared" si="5"/>
        <v>899611.3038078557</v>
      </c>
      <c r="G166" s="8">
        <f t="shared" si="6"/>
        <v>600388.69619214523</v>
      </c>
    </row>
    <row r="167" spans="1:7" ht="12.75" x14ac:dyDescent="0.2">
      <c r="A167" s="17">
        <v>110</v>
      </c>
      <c r="B167" s="18">
        <v>47788</v>
      </c>
      <c r="C167" s="7">
        <f t="shared" si="7"/>
        <v>7731.1454562502995</v>
      </c>
      <c r="D167" s="7">
        <f t="shared" si="0"/>
        <v>6081.8580659358977</v>
      </c>
      <c r="E167" s="7">
        <f t="shared" si="1"/>
        <v>1649.287390314402</v>
      </c>
      <c r="F167" s="7">
        <f t="shared" si="5"/>
        <v>893529.4457419198</v>
      </c>
      <c r="G167" s="8">
        <f t="shared" si="6"/>
        <v>606470.55425808113</v>
      </c>
    </row>
    <row r="168" spans="1:7" ht="12.75" x14ac:dyDescent="0.2">
      <c r="A168" s="17">
        <v>111</v>
      </c>
      <c r="B168" s="18">
        <v>47818</v>
      </c>
      <c r="C168" s="7">
        <f t="shared" si="7"/>
        <v>7731.1454562502995</v>
      </c>
      <c r="D168" s="7">
        <f t="shared" si="0"/>
        <v>6093.0081390567802</v>
      </c>
      <c r="E168" s="7">
        <f t="shared" si="1"/>
        <v>1638.1373171935195</v>
      </c>
      <c r="F168" s="7">
        <f t="shared" si="5"/>
        <v>887436.43760286306</v>
      </c>
      <c r="G168" s="8">
        <f t="shared" si="6"/>
        <v>612563.56239713787</v>
      </c>
    </row>
    <row r="169" spans="1:7" ht="12.75" x14ac:dyDescent="0.2">
      <c r="A169" s="17">
        <v>112</v>
      </c>
      <c r="B169" s="18">
        <v>47849</v>
      </c>
      <c r="C169" s="7">
        <f t="shared" si="7"/>
        <v>7731.1454562502995</v>
      </c>
      <c r="D169" s="7">
        <f t="shared" si="0"/>
        <v>6104.1786539783843</v>
      </c>
      <c r="E169" s="7">
        <f t="shared" si="1"/>
        <v>1626.9668022719156</v>
      </c>
      <c r="F169" s="7">
        <f t="shared" si="5"/>
        <v>881332.25894888467</v>
      </c>
      <c r="G169" s="8">
        <f t="shared" si="6"/>
        <v>618667.74105111626</v>
      </c>
    </row>
    <row r="170" spans="1:7" ht="12.75" x14ac:dyDescent="0.2">
      <c r="A170" s="17">
        <v>113</v>
      </c>
      <c r="B170" s="18">
        <v>47880</v>
      </c>
      <c r="C170" s="7">
        <f t="shared" si="7"/>
        <v>7731.1454562502995</v>
      </c>
      <c r="D170" s="7">
        <f t="shared" si="0"/>
        <v>6115.3696481773441</v>
      </c>
      <c r="E170" s="7">
        <f t="shared" si="1"/>
        <v>1615.7758080729552</v>
      </c>
      <c r="F170" s="7">
        <f t="shared" si="5"/>
        <v>875216.88930070738</v>
      </c>
      <c r="G170" s="8">
        <f t="shared" si="6"/>
        <v>624783.11069929355</v>
      </c>
    </row>
    <row r="171" spans="1:7" ht="12.75" x14ac:dyDescent="0.2">
      <c r="A171" s="17">
        <v>114</v>
      </c>
      <c r="B171" s="18">
        <v>47908</v>
      </c>
      <c r="C171" s="7">
        <f t="shared" si="7"/>
        <v>7731.1454562502995</v>
      </c>
      <c r="D171" s="7">
        <f t="shared" si="0"/>
        <v>6126.5811591990023</v>
      </c>
      <c r="E171" s="7">
        <f t="shared" si="1"/>
        <v>1604.5642970512968</v>
      </c>
      <c r="F171" s="7">
        <f t="shared" si="5"/>
        <v>869090.30814150837</v>
      </c>
      <c r="G171" s="8">
        <f t="shared" si="6"/>
        <v>630909.69185849256</v>
      </c>
    </row>
    <row r="172" spans="1:7" ht="12.75" x14ac:dyDescent="0.2">
      <c r="A172" s="17">
        <v>115</v>
      </c>
      <c r="B172" s="18">
        <v>47939</v>
      </c>
      <c r="C172" s="7">
        <f t="shared" si="7"/>
        <v>7731.1454562502995</v>
      </c>
      <c r="D172" s="7">
        <f t="shared" si="0"/>
        <v>6137.8132246575342</v>
      </c>
      <c r="E172" s="7">
        <f t="shared" si="1"/>
        <v>1593.3322315927653</v>
      </c>
      <c r="F172" s="7">
        <f t="shared" si="5"/>
        <v>862952.49491685082</v>
      </c>
      <c r="G172" s="8">
        <f t="shared" si="6"/>
        <v>637047.50508315011</v>
      </c>
    </row>
    <row r="173" spans="1:7" ht="12.75" x14ac:dyDescent="0.2">
      <c r="A173" s="17">
        <v>116</v>
      </c>
      <c r="B173" s="18">
        <v>47969</v>
      </c>
      <c r="C173" s="7">
        <f t="shared" si="7"/>
        <v>7731.1454562502995</v>
      </c>
      <c r="D173" s="7">
        <f t="shared" si="0"/>
        <v>6149.0658822360729</v>
      </c>
      <c r="E173" s="7">
        <f t="shared" si="1"/>
        <v>1582.0795740142264</v>
      </c>
      <c r="F173" s="7">
        <f t="shared" si="5"/>
        <v>856803.4290346147</v>
      </c>
      <c r="G173" s="8">
        <f t="shared" si="6"/>
        <v>643196.57096538623</v>
      </c>
    </row>
    <row r="174" spans="1:7" ht="12.75" x14ac:dyDescent="0.2">
      <c r="A174" s="17">
        <v>117</v>
      </c>
      <c r="B174" s="18">
        <v>48000</v>
      </c>
      <c r="C174" s="7">
        <f t="shared" si="7"/>
        <v>7731.1454562502995</v>
      </c>
      <c r="D174" s="7">
        <f t="shared" si="0"/>
        <v>6160.3391696868393</v>
      </c>
      <c r="E174" s="7">
        <f t="shared" si="1"/>
        <v>1570.8062865634602</v>
      </c>
      <c r="F174" s="7">
        <f t="shared" si="5"/>
        <v>850643.08986492781</v>
      </c>
      <c r="G174" s="8">
        <f t="shared" si="6"/>
        <v>649356.91013507312</v>
      </c>
    </row>
    <row r="175" spans="1:7" ht="12.75" x14ac:dyDescent="0.2">
      <c r="A175" s="17">
        <v>118</v>
      </c>
      <c r="B175" s="18">
        <v>48030</v>
      </c>
      <c r="C175" s="7">
        <f t="shared" si="7"/>
        <v>7731.1454562502995</v>
      </c>
      <c r="D175" s="7">
        <f t="shared" si="0"/>
        <v>6171.6331248312654</v>
      </c>
      <c r="E175" s="7">
        <f t="shared" si="1"/>
        <v>1559.5123314190344</v>
      </c>
      <c r="F175" s="7">
        <f t="shared" si="5"/>
        <v>844471.45674009656</v>
      </c>
      <c r="G175" s="8">
        <f t="shared" si="6"/>
        <v>655528.54325990437</v>
      </c>
    </row>
    <row r="176" spans="1:7" ht="12.75" x14ac:dyDescent="0.2">
      <c r="A176" s="17">
        <v>119</v>
      </c>
      <c r="B176" s="18">
        <v>48061</v>
      </c>
      <c r="C176" s="7">
        <f t="shared" si="7"/>
        <v>7731.1454562502995</v>
      </c>
      <c r="D176" s="7">
        <f t="shared" si="0"/>
        <v>6182.9477855601226</v>
      </c>
      <c r="E176" s="7">
        <f t="shared" si="1"/>
        <v>1548.1976706901769</v>
      </c>
      <c r="F176" s="7">
        <f t="shared" si="5"/>
        <v>838288.5089545364</v>
      </c>
      <c r="G176" s="8">
        <f t="shared" si="6"/>
        <v>661711.49104546453</v>
      </c>
    </row>
    <row r="177" spans="1:7" ht="12.75" x14ac:dyDescent="0.2">
      <c r="A177" s="17">
        <v>120</v>
      </c>
      <c r="B177" s="18">
        <v>48092</v>
      </c>
      <c r="C177" s="7">
        <f t="shared" si="7"/>
        <v>7731.1454562502995</v>
      </c>
      <c r="D177" s="7">
        <f t="shared" si="0"/>
        <v>6194.2831898336499</v>
      </c>
      <c r="E177" s="7">
        <f t="shared" si="1"/>
        <v>1536.8622664166501</v>
      </c>
      <c r="F177" s="7">
        <f t="shared" si="5"/>
        <v>832094.22576470277</v>
      </c>
      <c r="G177" s="8">
        <f t="shared" si="6"/>
        <v>667905.77423529816</v>
      </c>
    </row>
    <row r="178" spans="1:7" ht="12.75" x14ac:dyDescent="0.2">
      <c r="A178" s="17">
        <v>121</v>
      </c>
      <c r="B178" s="18">
        <v>48122</v>
      </c>
      <c r="C178" s="7">
        <f t="shared" si="7"/>
        <v>7731.1454562502995</v>
      </c>
      <c r="D178" s="7">
        <f t="shared" si="0"/>
        <v>6205.6393756816778</v>
      </c>
      <c r="E178" s="7">
        <f t="shared" si="1"/>
        <v>1525.5060805686217</v>
      </c>
      <c r="F178" s="7">
        <f t="shared" si="5"/>
        <v>825888.58638902113</v>
      </c>
      <c r="G178" s="8">
        <f t="shared" si="6"/>
        <v>674111.4136109798</v>
      </c>
    </row>
    <row r="179" spans="1:7" ht="12.75" x14ac:dyDescent="0.2">
      <c r="A179" s="17">
        <v>122</v>
      </c>
      <c r="B179" s="18">
        <v>48153</v>
      </c>
      <c r="C179" s="7">
        <f t="shared" si="7"/>
        <v>7731.1454562502995</v>
      </c>
      <c r="D179" s="7">
        <f t="shared" si="0"/>
        <v>6217.0163812037608</v>
      </c>
      <c r="E179" s="7">
        <f t="shared" si="1"/>
        <v>1514.1290750465387</v>
      </c>
      <c r="F179" s="7">
        <f t="shared" si="5"/>
        <v>819671.57000781735</v>
      </c>
      <c r="G179" s="8">
        <f t="shared" si="6"/>
        <v>680328.42999218358</v>
      </c>
    </row>
    <row r="180" spans="1:7" ht="12.75" x14ac:dyDescent="0.2">
      <c r="A180" s="17">
        <v>123</v>
      </c>
      <c r="B180" s="18">
        <v>48183</v>
      </c>
      <c r="C180" s="7">
        <f t="shared" si="7"/>
        <v>7731.1454562502995</v>
      </c>
      <c r="D180" s="7">
        <f t="shared" si="0"/>
        <v>6228.4142445693014</v>
      </c>
      <c r="E180" s="7">
        <f t="shared" si="1"/>
        <v>1502.7312116809985</v>
      </c>
      <c r="F180" s="7">
        <f t="shared" si="5"/>
        <v>813443.1557632481</v>
      </c>
      <c r="G180" s="8">
        <f t="shared" si="6"/>
        <v>686556.84423675283</v>
      </c>
    </row>
    <row r="181" spans="1:7" ht="12.75" x14ac:dyDescent="0.2">
      <c r="A181" s="17">
        <v>124</v>
      </c>
      <c r="B181" s="18">
        <v>48214</v>
      </c>
      <c r="C181" s="7">
        <f t="shared" si="7"/>
        <v>7731.1454562502995</v>
      </c>
      <c r="D181" s="7">
        <f t="shared" si="0"/>
        <v>6239.8330040176779</v>
      </c>
      <c r="E181" s="7">
        <f t="shared" si="1"/>
        <v>1491.3124522326216</v>
      </c>
      <c r="F181" s="7">
        <f t="shared" si="5"/>
        <v>807203.32275923039</v>
      </c>
      <c r="G181" s="8">
        <f t="shared" si="6"/>
        <v>692796.67724077054</v>
      </c>
    </row>
    <row r="182" spans="1:7" ht="12.75" x14ac:dyDescent="0.2">
      <c r="A182" s="17">
        <v>125</v>
      </c>
      <c r="B182" s="18">
        <v>48245</v>
      </c>
      <c r="C182" s="7">
        <f t="shared" si="7"/>
        <v>7731.1454562502995</v>
      </c>
      <c r="D182" s="7">
        <f t="shared" si="0"/>
        <v>6251.2726978583769</v>
      </c>
      <c r="E182" s="7">
        <f t="shared" si="1"/>
        <v>1479.8727583919224</v>
      </c>
      <c r="F182" s="7">
        <f t="shared" si="5"/>
        <v>800952.05006137199</v>
      </c>
      <c r="G182" s="8">
        <f t="shared" si="6"/>
        <v>699047.94993862894</v>
      </c>
    </row>
    <row r="183" spans="1:7" ht="12.75" x14ac:dyDescent="0.2">
      <c r="A183" s="17">
        <v>126</v>
      </c>
      <c r="B183" s="18">
        <v>48274</v>
      </c>
      <c r="C183" s="7">
        <f t="shared" si="7"/>
        <v>7731.1454562502995</v>
      </c>
      <c r="D183" s="7">
        <f t="shared" si="0"/>
        <v>6262.733364471118</v>
      </c>
      <c r="E183" s="7">
        <f t="shared" si="1"/>
        <v>1468.412091779182</v>
      </c>
      <c r="F183" s="7">
        <f t="shared" si="5"/>
        <v>794689.31669690087</v>
      </c>
      <c r="G183" s="8">
        <f t="shared" si="6"/>
        <v>705310.68330310006</v>
      </c>
    </row>
    <row r="184" spans="1:7" ht="12.75" x14ac:dyDescent="0.2">
      <c r="A184" s="17">
        <v>127</v>
      </c>
      <c r="B184" s="18">
        <v>48305</v>
      </c>
      <c r="C184" s="7">
        <f t="shared" si="7"/>
        <v>7731.1454562502995</v>
      </c>
      <c r="D184" s="7">
        <f t="shared" si="0"/>
        <v>6274.2150423059811</v>
      </c>
      <c r="E184" s="7">
        <f t="shared" si="1"/>
        <v>1456.9304139443182</v>
      </c>
      <c r="F184" s="7">
        <f t="shared" si="5"/>
        <v>788415.10165459488</v>
      </c>
      <c r="G184" s="8">
        <f t="shared" si="6"/>
        <v>711584.89834540605</v>
      </c>
    </row>
    <row r="185" spans="1:7" ht="12.75" x14ac:dyDescent="0.2">
      <c r="A185" s="17">
        <v>128</v>
      </c>
      <c r="B185" s="18">
        <v>48335</v>
      </c>
      <c r="C185" s="7">
        <f t="shared" si="7"/>
        <v>7731.1454562502995</v>
      </c>
      <c r="D185" s="7">
        <f t="shared" si="0"/>
        <v>6285.7177698835421</v>
      </c>
      <c r="E185" s="7">
        <f t="shared" si="1"/>
        <v>1445.4276863667571</v>
      </c>
      <c r="F185" s="7">
        <f t="shared" si="5"/>
        <v>782129.38388471131</v>
      </c>
      <c r="G185" s="8">
        <f t="shared" si="6"/>
        <v>717870.61611528962</v>
      </c>
    </row>
    <row r="186" spans="1:7" ht="12.75" x14ac:dyDescent="0.2">
      <c r="A186" s="17">
        <v>129</v>
      </c>
      <c r="B186" s="18">
        <v>48366</v>
      </c>
      <c r="C186" s="7">
        <f t="shared" si="7"/>
        <v>7731.1454562502995</v>
      </c>
      <c r="D186" s="7">
        <f t="shared" si="0"/>
        <v>6297.2415857949954</v>
      </c>
      <c r="E186" s="7">
        <f t="shared" si="1"/>
        <v>1433.9038704553041</v>
      </c>
      <c r="F186" s="7">
        <f t="shared" ref="F186:F249" si="8">F185-D186</f>
        <v>775832.14229891635</v>
      </c>
      <c r="G186" s="8">
        <f t="shared" ref="G186:G249" si="9">G185+D186</f>
        <v>724167.85770108458</v>
      </c>
    </row>
    <row r="187" spans="1:7" ht="12.75" x14ac:dyDescent="0.2">
      <c r="A187" s="17">
        <v>130</v>
      </c>
      <c r="B187" s="18">
        <v>48396</v>
      </c>
      <c r="C187" s="7">
        <f t="shared" ref="C187:C250" si="10">C186</f>
        <v>7731.1454562502995</v>
      </c>
      <c r="D187" s="7">
        <f t="shared" si="0"/>
        <v>6308.786528702286</v>
      </c>
      <c r="E187" s="7">
        <f t="shared" si="1"/>
        <v>1422.3589275480133</v>
      </c>
      <c r="F187" s="7">
        <f t="shared" si="8"/>
        <v>769523.35577021411</v>
      </c>
      <c r="G187" s="8">
        <f t="shared" si="9"/>
        <v>730476.64422978682</v>
      </c>
    </row>
    <row r="188" spans="1:7" ht="12.75" x14ac:dyDescent="0.2">
      <c r="A188" s="17">
        <v>131</v>
      </c>
      <c r="B188" s="18">
        <v>48427</v>
      </c>
      <c r="C188" s="7">
        <f t="shared" si="10"/>
        <v>7731.1454562502995</v>
      </c>
      <c r="D188" s="7">
        <f t="shared" si="0"/>
        <v>6320.3526373382401</v>
      </c>
      <c r="E188" s="7">
        <f t="shared" si="1"/>
        <v>1410.7928189120591</v>
      </c>
      <c r="F188" s="7">
        <f t="shared" si="8"/>
        <v>763203.00313287589</v>
      </c>
      <c r="G188" s="8">
        <f t="shared" si="9"/>
        <v>736796.99686712504</v>
      </c>
    </row>
    <row r="189" spans="1:7" ht="12.75" x14ac:dyDescent="0.2">
      <c r="A189" s="17">
        <v>132</v>
      </c>
      <c r="B189" s="18">
        <v>48458</v>
      </c>
      <c r="C189" s="7">
        <f t="shared" si="10"/>
        <v>7731.1454562502995</v>
      </c>
      <c r="D189" s="7">
        <f t="shared" si="0"/>
        <v>6331.939950506694</v>
      </c>
      <c r="E189" s="7">
        <f t="shared" si="1"/>
        <v>1399.2055057436057</v>
      </c>
      <c r="F189" s="7">
        <f t="shared" si="8"/>
        <v>756871.06318236922</v>
      </c>
      <c r="G189" s="8">
        <f t="shared" si="9"/>
        <v>743128.93681763171</v>
      </c>
    </row>
    <row r="190" spans="1:7" ht="12.75" x14ac:dyDescent="0.2">
      <c r="A190" s="17">
        <v>133</v>
      </c>
      <c r="B190" s="18">
        <v>48488</v>
      </c>
      <c r="C190" s="7">
        <f t="shared" si="10"/>
        <v>7731.1454562502995</v>
      </c>
      <c r="D190" s="7">
        <f t="shared" si="0"/>
        <v>6343.5485070826226</v>
      </c>
      <c r="E190" s="7">
        <f t="shared" si="1"/>
        <v>1387.5969491676769</v>
      </c>
      <c r="F190" s="7">
        <f t="shared" si="8"/>
        <v>750527.5146752866</v>
      </c>
      <c r="G190" s="8">
        <f t="shared" si="9"/>
        <v>749472.48532471433</v>
      </c>
    </row>
    <row r="191" spans="1:7" ht="12.75" x14ac:dyDescent="0.2">
      <c r="A191" s="17">
        <v>134</v>
      </c>
      <c r="B191" s="18">
        <v>48519</v>
      </c>
      <c r="C191" s="7">
        <f t="shared" si="10"/>
        <v>7731.1454562502995</v>
      </c>
      <c r="D191" s="7">
        <f t="shared" si="0"/>
        <v>6355.1783460122742</v>
      </c>
      <c r="E191" s="7">
        <f t="shared" si="1"/>
        <v>1375.9671102380255</v>
      </c>
      <c r="F191" s="7">
        <f t="shared" si="8"/>
        <v>744172.33632927435</v>
      </c>
      <c r="G191" s="8">
        <f t="shared" si="9"/>
        <v>755827.66367072659</v>
      </c>
    </row>
    <row r="192" spans="1:7" ht="12.75" x14ac:dyDescent="0.2">
      <c r="A192" s="17">
        <v>135</v>
      </c>
      <c r="B192" s="18">
        <v>48549</v>
      </c>
      <c r="C192" s="7">
        <f t="shared" si="10"/>
        <v>7731.1454562502995</v>
      </c>
      <c r="D192" s="7">
        <f t="shared" si="0"/>
        <v>6366.8295063132964</v>
      </c>
      <c r="E192" s="7">
        <f t="shared" si="1"/>
        <v>1364.3159499370029</v>
      </c>
      <c r="F192" s="7">
        <f t="shared" si="8"/>
        <v>737805.50682296103</v>
      </c>
      <c r="G192" s="8">
        <f t="shared" si="9"/>
        <v>762194.4931770399</v>
      </c>
    </row>
    <row r="193" spans="1:7" ht="12.75" x14ac:dyDescent="0.2">
      <c r="A193" s="17">
        <v>136</v>
      </c>
      <c r="B193" s="18">
        <v>48580</v>
      </c>
      <c r="C193" s="7">
        <f t="shared" si="10"/>
        <v>7731.1454562502995</v>
      </c>
      <c r="D193" s="7">
        <f t="shared" si="0"/>
        <v>6378.502027074871</v>
      </c>
      <c r="E193" s="7">
        <f t="shared" si="1"/>
        <v>1352.6434291754285</v>
      </c>
      <c r="F193" s="7">
        <f t="shared" si="8"/>
        <v>731427.00479588611</v>
      </c>
      <c r="G193" s="8">
        <f t="shared" si="9"/>
        <v>768572.99520411482</v>
      </c>
    </row>
    <row r="194" spans="1:7" ht="12.75" x14ac:dyDescent="0.2">
      <c r="A194" s="17">
        <v>137</v>
      </c>
      <c r="B194" s="18">
        <v>48611</v>
      </c>
      <c r="C194" s="7">
        <f t="shared" si="10"/>
        <v>7731.1454562502995</v>
      </c>
      <c r="D194" s="7">
        <f t="shared" si="0"/>
        <v>6390.1959474578416</v>
      </c>
      <c r="E194" s="7">
        <f t="shared" si="1"/>
        <v>1340.9495087924579</v>
      </c>
      <c r="F194" s="7">
        <f t="shared" si="8"/>
        <v>725036.80884842831</v>
      </c>
      <c r="G194" s="8">
        <f t="shared" si="9"/>
        <v>774963.19115157262</v>
      </c>
    </row>
    <row r="195" spans="1:7" ht="12.75" x14ac:dyDescent="0.2">
      <c r="A195" s="17">
        <v>138</v>
      </c>
      <c r="B195" s="18">
        <v>48639</v>
      </c>
      <c r="C195" s="7">
        <f t="shared" si="10"/>
        <v>7731.1454562502995</v>
      </c>
      <c r="D195" s="7">
        <f t="shared" si="0"/>
        <v>6401.9113066948476</v>
      </c>
      <c r="E195" s="7">
        <f t="shared" si="1"/>
        <v>1329.2341495554519</v>
      </c>
      <c r="F195" s="7">
        <f t="shared" si="8"/>
        <v>718634.89754173346</v>
      </c>
      <c r="G195" s="8">
        <f t="shared" si="9"/>
        <v>781365.10245826747</v>
      </c>
    </row>
    <row r="196" spans="1:7" ht="12.75" x14ac:dyDescent="0.2">
      <c r="A196" s="17">
        <v>139</v>
      </c>
      <c r="B196" s="18">
        <v>48670</v>
      </c>
      <c r="C196" s="7">
        <f t="shared" si="10"/>
        <v>7731.1454562502995</v>
      </c>
      <c r="D196" s="7">
        <f t="shared" si="0"/>
        <v>6413.6481440904554</v>
      </c>
      <c r="E196" s="7">
        <f t="shared" si="1"/>
        <v>1317.4973121598446</v>
      </c>
      <c r="F196" s="7">
        <f t="shared" si="8"/>
        <v>712221.24939764303</v>
      </c>
      <c r="G196" s="8">
        <f t="shared" si="9"/>
        <v>787778.7506023579</v>
      </c>
    </row>
    <row r="197" spans="1:7" ht="12.75" x14ac:dyDescent="0.2">
      <c r="A197" s="17">
        <v>140</v>
      </c>
      <c r="B197" s="18">
        <v>48700</v>
      </c>
      <c r="C197" s="7">
        <f t="shared" si="10"/>
        <v>7731.1454562502995</v>
      </c>
      <c r="D197" s="7">
        <f t="shared" si="0"/>
        <v>6425.4064990212873</v>
      </c>
      <c r="E197" s="7">
        <f t="shared" si="1"/>
        <v>1305.7389572290122</v>
      </c>
      <c r="F197" s="7">
        <f t="shared" si="8"/>
        <v>705795.84289862169</v>
      </c>
      <c r="G197" s="8">
        <f t="shared" si="9"/>
        <v>794204.15710137924</v>
      </c>
    </row>
    <row r="198" spans="1:7" ht="12.75" x14ac:dyDescent="0.2">
      <c r="A198" s="17">
        <v>141</v>
      </c>
      <c r="B198" s="18">
        <v>48731</v>
      </c>
      <c r="C198" s="7">
        <f t="shared" si="10"/>
        <v>7731.1454562502995</v>
      </c>
      <c r="D198" s="7">
        <f t="shared" si="0"/>
        <v>6437.1864109361595</v>
      </c>
      <c r="E198" s="7">
        <f t="shared" si="1"/>
        <v>1293.9590453141398</v>
      </c>
      <c r="F198" s="7">
        <f t="shared" si="8"/>
        <v>699358.65648768551</v>
      </c>
      <c r="G198" s="8">
        <f t="shared" si="9"/>
        <v>800641.34351231542</v>
      </c>
    </row>
    <row r="199" spans="1:7" ht="12.75" x14ac:dyDescent="0.2">
      <c r="A199" s="17">
        <v>142</v>
      </c>
      <c r="B199" s="18">
        <v>48761</v>
      </c>
      <c r="C199" s="7">
        <f t="shared" si="10"/>
        <v>7731.1454562502995</v>
      </c>
      <c r="D199" s="7">
        <f t="shared" si="0"/>
        <v>6448.9879193562092</v>
      </c>
      <c r="E199" s="7">
        <f t="shared" si="1"/>
        <v>1282.1575368940901</v>
      </c>
      <c r="F199" s="7">
        <f t="shared" si="8"/>
        <v>692909.6685683293</v>
      </c>
      <c r="G199" s="8">
        <f t="shared" si="9"/>
        <v>807090.33143167163</v>
      </c>
    </row>
    <row r="200" spans="1:7" ht="12.75" x14ac:dyDescent="0.2">
      <c r="A200" s="17">
        <v>143</v>
      </c>
      <c r="B200" s="18">
        <v>48792</v>
      </c>
      <c r="C200" s="7">
        <f t="shared" si="10"/>
        <v>7731.1454562502995</v>
      </c>
      <c r="D200" s="7">
        <f t="shared" si="0"/>
        <v>6460.8110638750295</v>
      </c>
      <c r="E200" s="7">
        <f t="shared" si="1"/>
        <v>1270.3343923752705</v>
      </c>
      <c r="F200" s="7">
        <f t="shared" si="8"/>
        <v>686448.85750445432</v>
      </c>
      <c r="G200" s="8">
        <f t="shared" si="9"/>
        <v>813551.14249554661</v>
      </c>
    </row>
    <row r="201" spans="1:7" ht="12.75" x14ac:dyDescent="0.2">
      <c r="A201" s="17">
        <v>144</v>
      </c>
      <c r="B201" s="18">
        <v>48823</v>
      </c>
      <c r="C201" s="7">
        <f t="shared" si="10"/>
        <v>7731.1454562502995</v>
      </c>
      <c r="D201" s="7">
        <f t="shared" si="0"/>
        <v>6472.6558841587994</v>
      </c>
      <c r="E201" s="7">
        <f t="shared" si="1"/>
        <v>1258.4895720914997</v>
      </c>
      <c r="F201" s="7">
        <f t="shared" si="8"/>
        <v>679976.20162029553</v>
      </c>
      <c r="G201" s="8">
        <f t="shared" si="9"/>
        <v>820023.7983797054</v>
      </c>
    </row>
    <row r="202" spans="1:7" ht="12.75" x14ac:dyDescent="0.2">
      <c r="A202" s="17">
        <v>145</v>
      </c>
      <c r="B202" s="18">
        <v>48853</v>
      </c>
      <c r="C202" s="7">
        <f t="shared" si="10"/>
        <v>7731.1454562502995</v>
      </c>
      <c r="D202" s="7">
        <f t="shared" si="0"/>
        <v>6484.5224199464246</v>
      </c>
      <c r="E202" s="7">
        <f t="shared" si="1"/>
        <v>1246.6230363038751</v>
      </c>
      <c r="F202" s="7">
        <f t="shared" si="8"/>
        <v>673491.67920034914</v>
      </c>
      <c r="G202" s="8">
        <f t="shared" si="9"/>
        <v>826508.32079965179</v>
      </c>
    </row>
    <row r="203" spans="1:7" ht="12.75" x14ac:dyDescent="0.2">
      <c r="A203" s="17">
        <v>146</v>
      </c>
      <c r="B203" s="18">
        <v>48884</v>
      </c>
      <c r="C203" s="7">
        <f t="shared" si="10"/>
        <v>7731.1454562502995</v>
      </c>
      <c r="D203" s="7">
        <f t="shared" si="0"/>
        <v>6496.4107110496598</v>
      </c>
      <c r="E203" s="7">
        <f t="shared" si="1"/>
        <v>1234.73474520064</v>
      </c>
      <c r="F203" s="7">
        <f t="shared" si="8"/>
        <v>666995.26848929946</v>
      </c>
      <c r="G203" s="8">
        <f t="shared" si="9"/>
        <v>833004.73151070147</v>
      </c>
    </row>
    <row r="204" spans="1:7" ht="12.75" x14ac:dyDescent="0.2">
      <c r="A204" s="17">
        <v>147</v>
      </c>
      <c r="B204" s="18">
        <v>48914</v>
      </c>
      <c r="C204" s="7">
        <f t="shared" si="10"/>
        <v>7731.1454562502995</v>
      </c>
      <c r="D204" s="7">
        <f t="shared" si="0"/>
        <v>6508.3207973532508</v>
      </c>
      <c r="E204" s="7">
        <f t="shared" si="1"/>
        <v>1222.8246588970489</v>
      </c>
      <c r="F204" s="7">
        <f t="shared" si="8"/>
        <v>660486.94769194617</v>
      </c>
      <c r="G204" s="8">
        <f t="shared" si="9"/>
        <v>839513.05230805476</v>
      </c>
    </row>
    <row r="205" spans="1:7" ht="12.75" x14ac:dyDescent="0.2">
      <c r="A205" s="17">
        <v>148</v>
      </c>
      <c r="B205" s="18">
        <v>48945</v>
      </c>
      <c r="C205" s="7">
        <f t="shared" si="10"/>
        <v>7731.1454562502995</v>
      </c>
      <c r="D205" s="7">
        <f t="shared" si="0"/>
        <v>6520.2527188150652</v>
      </c>
      <c r="E205" s="7">
        <f t="shared" si="1"/>
        <v>1210.8927374352347</v>
      </c>
      <c r="F205" s="7">
        <f t="shared" si="8"/>
        <v>653966.69497313106</v>
      </c>
      <c r="G205" s="8">
        <f t="shared" si="9"/>
        <v>846033.30502686987</v>
      </c>
    </row>
    <row r="206" spans="1:7" ht="12.75" x14ac:dyDescent="0.2">
      <c r="A206" s="17">
        <v>149</v>
      </c>
      <c r="B206" s="18">
        <v>48976</v>
      </c>
      <c r="C206" s="7">
        <f t="shared" si="10"/>
        <v>7731.1454562502995</v>
      </c>
      <c r="D206" s="7">
        <f t="shared" si="0"/>
        <v>6532.2065154662259</v>
      </c>
      <c r="E206" s="7">
        <f t="shared" si="1"/>
        <v>1198.9389407840736</v>
      </c>
      <c r="F206" s="7">
        <f t="shared" si="8"/>
        <v>647434.48845766485</v>
      </c>
      <c r="G206" s="8">
        <f t="shared" si="9"/>
        <v>852565.51154233608</v>
      </c>
    </row>
    <row r="207" spans="1:7" ht="12.75" x14ac:dyDescent="0.2">
      <c r="A207" s="17">
        <v>150</v>
      </c>
      <c r="B207" s="18">
        <v>49004</v>
      </c>
      <c r="C207" s="7">
        <f t="shared" si="10"/>
        <v>7731.1454562502995</v>
      </c>
      <c r="D207" s="7">
        <f t="shared" si="0"/>
        <v>6544.1822274112474</v>
      </c>
      <c r="E207" s="7">
        <f t="shared" si="1"/>
        <v>1186.9632288390521</v>
      </c>
      <c r="F207" s="7">
        <f t="shared" si="8"/>
        <v>640890.30623025366</v>
      </c>
      <c r="G207" s="8">
        <f t="shared" si="9"/>
        <v>859109.69376974727</v>
      </c>
    </row>
    <row r="208" spans="1:7" ht="12.75" x14ac:dyDescent="0.2">
      <c r="A208" s="17">
        <v>151</v>
      </c>
      <c r="B208" s="18">
        <v>49035</v>
      </c>
      <c r="C208" s="7">
        <f t="shared" si="10"/>
        <v>7731.1454562502995</v>
      </c>
      <c r="D208" s="7">
        <f t="shared" si="0"/>
        <v>6556.1798948281676</v>
      </c>
      <c r="E208" s="7">
        <f t="shared" si="1"/>
        <v>1174.9655614221317</v>
      </c>
      <c r="F208" s="7">
        <f t="shared" si="8"/>
        <v>634334.12633542554</v>
      </c>
      <c r="G208" s="8">
        <f t="shared" si="9"/>
        <v>865665.8736645754</v>
      </c>
    </row>
    <row r="209" spans="1:7" ht="12.75" x14ac:dyDescent="0.2">
      <c r="A209" s="17">
        <v>152</v>
      </c>
      <c r="B209" s="18">
        <v>49065</v>
      </c>
      <c r="C209" s="7">
        <f t="shared" si="10"/>
        <v>7731.1454562502995</v>
      </c>
      <c r="D209" s="7">
        <f t="shared" si="0"/>
        <v>6568.1995579686863</v>
      </c>
      <c r="E209" s="7">
        <f t="shared" si="1"/>
        <v>1162.9458982816134</v>
      </c>
      <c r="F209" s="7">
        <f t="shared" si="8"/>
        <v>627765.92677745689</v>
      </c>
      <c r="G209" s="8">
        <f t="shared" si="9"/>
        <v>872234.07322254404</v>
      </c>
    </row>
    <row r="210" spans="1:7" ht="12.75" x14ac:dyDescent="0.2">
      <c r="A210" s="17">
        <v>153</v>
      </c>
      <c r="B210" s="18">
        <v>49096</v>
      </c>
      <c r="C210" s="7">
        <f t="shared" si="10"/>
        <v>7731.1454562502995</v>
      </c>
      <c r="D210" s="7">
        <f t="shared" si="0"/>
        <v>6580.2412571582954</v>
      </c>
      <c r="E210" s="7">
        <f t="shared" si="1"/>
        <v>1150.9041990920043</v>
      </c>
      <c r="F210" s="7">
        <f t="shared" si="8"/>
        <v>621185.68552029855</v>
      </c>
      <c r="G210" s="8">
        <f t="shared" si="9"/>
        <v>878814.31447970239</v>
      </c>
    </row>
    <row r="211" spans="1:7" ht="12.75" x14ac:dyDescent="0.2">
      <c r="A211" s="17">
        <v>154</v>
      </c>
      <c r="B211" s="18">
        <v>49126</v>
      </c>
      <c r="C211" s="7">
        <f t="shared" si="10"/>
        <v>7731.1454562502995</v>
      </c>
      <c r="D211" s="7">
        <f t="shared" si="0"/>
        <v>6592.3050327964193</v>
      </c>
      <c r="E211" s="7">
        <f t="shared" si="1"/>
        <v>1138.8404234538807</v>
      </c>
      <c r="F211" s="7">
        <f t="shared" si="8"/>
        <v>614593.38048750209</v>
      </c>
      <c r="G211" s="8">
        <f t="shared" si="9"/>
        <v>885406.61951249884</v>
      </c>
    </row>
    <row r="212" spans="1:7" ht="12.75" x14ac:dyDescent="0.2">
      <c r="A212" s="17">
        <v>155</v>
      </c>
      <c r="B212" s="18">
        <v>49157</v>
      </c>
      <c r="C212" s="7">
        <f t="shared" si="10"/>
        <v>7731.1454562502995</v>
      </c>
      <c r="D212" s="7">
        <f t="shared" si="0"/>
        <v>6604.3909253565453</v>
      </c>
      <c r="E212" s="7">
        <f t="shared" si="1"/>
        <v>1126.7545308937538</v>
      </c>
      <c r="F212" s="7">
        <f t="shared" si="8"/>
        <v>607988.98956214555</v>
      </c>
      <c r="G212" s="8">
        <f t="shared" si="9"/>
        <v>892011.01043785538</v>
      </c>
    </row>
    <row r="213" spans="1:7" ht="12.75" x14ac:dyDescent="0.2">
      <c r="A213" s="17">
        <v>156</v>
      </c>
      <c r="B213" s="18">
        <v>49188</v>
      </c>
      <c r="C213" s="7">
        <f t="shared" si="10"/>
        <v>7731.1454562502995</v>
      </c>
      <c r="D213" s="7">
        <f t="shared" si="0"/>
        <v>6616.4989753863665</v>
      </c>
      <c r="E213" s="7">
        <f t="shared" si="1"/>
        <v>1114.6464808639334</v>
      </c>
      <c r="F213" s="7">
        <f t="shared" si="8"/>
        <v>601372.49058675917</v>
      </c>
      <c r="G213" s="8">
        <f t="shared" si="9"/>
        <v>898627.50941324176</v>
      </c>
    </row>
    <row r="214" spans="1:7" ht="12.75" x14ac:dyDescent="0.2">
      <c r="A214" s="17">
        <v>157</v>
      </c>
      <c r="B214" s="18">
        <v>49218</v>
      </c>
      <c r="C214" s="7">
        <f t="shared" si="10"/>
        <v>7731.1454562502995</v>
      </c>
      <c r="D214" s="7">
        <f t="shared" si="0"/>
        <v>6628.6292235079072</v>
      </c>
      <c r="E214" s="7">
        <f t="shared" si="1"/>
        <v>1102.5162327423918</v>
      </c>
      <c r="F214" s="7">
        <f t="shared" si="8"/>
        <v>594743.86136325123</v>
      </c>
      <c r="G214" s="8">
        <f t="shared" si="9"/>
        <v>905256.1386367497</v>
      </c>
    </row>
    <row r="215" spans="1:7" ht="12.75" x14ac:dyDescent="0.2">
      <c r="A215" s="17">
        <v>158</v>
      </c>
      <c r="B215" s="18">
        <v>49249</v>
      </c>
      <c r="C215" s="7">
        <f t="shared" si="10"/>
        <v>7731.1454562502995</v>
      </c>
      <c r="D215" s="7">
        <f t="shared" si="0"/>
        <v>6640.781710417672</v>
      </c>
      <c r="E215" s="7">
        <f t="shared" si="1"/>
        <v>1090.3637458326273</v>
      </c>
      <c r="F215" s="7">
        <f t="shared" si="8"/>
        <v>588103.07965283352</v>
      </c>
      <c r="G215" s="8">
        <f t="shared" si="9"/>
        <v>911896.92034716741</v>
      </c>
    </row>
    <row r="216" spans="1:7" ht="12.75" x14ac:dyDescent="0.2">
      <c r="A216" s="17">
        <v>159</v>
      </c>
      <c r="B216" s="18">
        <v>49279</v>
      </c>
      <c r="C216" s="7">
        <f t="shared" si="10"/>
        <v>7731.1454562502995</v>
      </c>
      <c r="D216" s="7">
        <f t="shared" si="0"/>
        <v>6652.9564768867713</v>
      </c>
      <c r="E216" s="7">
        <f t="shared" si="1"/>
        <v>1078.188979363528</v>
      </c>
      <c r="F216" s="7">
        <f t="shared" si="8"/>
        <v>581450.12317594676</v>
      </c>
      <c r="G216" s="8">
        <f t="shared" si="9"/>
        <v>918549.87682405417</v>
      </c>
    </row>
    <row r="217" spans="1:7" ht="12.75" x14ac:dyDescent="0.2">
      <c r="A217" s="17">
        <v>160</v>
      </c>
      <c r="B217" s="18">
        <v>49310</v>
      </c>
      <c r="C217" s="7">
        <f t="shared" si="10"/>
        <v>7731.1454562502995</v>
      </c>
      <c r="D217" s="7">
        <f t="shared" si="0"/>
        <v>6665.1535637610641</v>
      </c>
      <c r="E217" s="7">
        <f t="shared" si="1"/>
        <v>1065.9918924892356</v>
      </c>
      <c r="F217" s="7">
        <f t="shared" si="8"/>
        <v>574784.96961218573</v>
      </c>
      <c r="G217" s="8">
        <f t="shared" si="9"/>
        <v>925215.0303878152</v>
      </c>
    </row>
    <row r="218" spans="1:7" ht="12.75" x14ac:dyDescent="0.2">
      <c r="A218" s="17">
        <v>161</v>
      </c>
      <c r="B218" s="18">
        <v>49341</v>
      </c>
      <c r="C218" s="7">
        <f t="shared" si="10"/>
        <v>7731.1454562502995</v>
      </c>
      <c r="D218" s="7">
        <f t="shared" si="0"/>
        <v>6677.3730119612919</v>
      </c>
      <c r="E218" s="7">
        <f t="shared" si="1"/>
        <v>1053.7724442890071</v>
      </c>
      <c r="F218" s="7">
        <f t="shared" si="8"/>
        <v>568107.59660022438</v>
      </c>
      <c r="G218" s="8">
        <f t="shared" si="9"/>
        <v>931892.40339977655</v>
      </c>
    </row>
    <row r="219" spans="1:7" ht="12.75" x14ac:dyDescent="0.2">
      <c r="A219" s="17">
        <v>162</v>
      </c>
      <c r="B219" s="18">
        <v>49369</v>
      </c>
      <c r="C219" s="7">
        <f t="shared" si="10"/>
        <v>7731.1454562502995</v>
      </c>
      <c r="D219" s="7">
        <f t="shared" si="0"/>
        <v>6689.6148624832213</v>
      </c>
      <c r="E219" s="7">
        <f t="shared" si="1"/>
        <v>1041.530593767078</v>
      </c>
      <c r="F219" s="7">
        <f t="shared" si="8"/>
        <v>561417.98173774115</v>
      </c>
      <c r="G219" s="8">
        <f t="shared" si="9"/>
        <v>938582.01826225978</v>
      </c>
    </row>
    <row r="220" spans="1:7" ht="12.75" x14ac:dyDescent="0.2">
      <c r="A220" s="17">
        <v>163</v>
      </c>
      <c r="B220" s="18">
        <v>49400</v>
      </c>
      <c r="C220" s="7">
        <f t="shared" si="10"/>
        <v>7731.1454562502995</v>
      </c>
      <c r="D220" s="7">
        <f t="shared" si="0"/>
        <v>6701.8791563977738</v>
      </c>
      <c r="E220" s="7">
        <f t="shared" si="1"/>
        <v>1029.2662998525254</v>
      </c>
      <c r="F220" s="7">
        <f t="shared" si="8"/>
        <v>554716.10258134338</v>
      </c>
      <c r="G220" s="8">
        <f t="shared" si="9"/>
        <v>945283.89741865755</v>
      </c>
    </row>
    <row r="221" spans="1:7" ht="12.75" x14ac:dyDescent="0.2">
      <c r="A221" s="17">
        <v>164</v>
      </c>
      <c r="B221" s="18">
        <v>49430</v>
      </c>
      <c r="C221" s="7">
        <f t="shared" si="10"/>
        <v>7731.1454562502995</v>
      </c>
      <c r="D221" s="7">
        <f t="shared" si="0"/>
        <v>6714.1659348511703</v>
      </c>
      <c r="E221" s="7">
        <f t="shared" si="1"/>
        <v>1016.9795213991296</v>
      </c>
      <c r="F221" s="7">
        <f t="shared" si="8"/>
        <v>548001.93664649222</v>
      </c>
      <c r="G221" s="8">
        <f t="shared" si="9"/>
        <v>951998.06335350871</v>
      </c>
    </row>
    <row r="222" spans="1:7" ht="12.75" x14ac:dyDescent="0.2">
      <c r="A222" s="17">
        <v>165</v>
      </c>
      <c r="B222" s="18">
        <v>49461</v>
      </c>
      <c r="C222" s="7">
        <f t="shared" si="10"/>
        <v>7731.1454562502995</v>
      </c>
      <c r="D222" s="7">
        <f t="shared" si="0"/>
        <v>6726.4752390650638</v>
      </c>
      <c r="E222" s="7">
        <f t="shared" si="1"/>
        <v>1004.6702171852357</v>
      </c>
      <c r="F222" s="7">
        <f t="shared" si="8"/>
        <v>541275.46140742721</v>
      </c>
      <c r="G222" s="8">
        <f t="shared" si="9"/>
        <v>958724.53859257372</v>
      </c>
    </row>
    <row r="223" spans="1:7" ht="12.75" x14ac:dyDescent="0.2">
      <c r="A223" s="17">
        <v>166</v>
      </c>
      <c r="B223" s="18">
        <v>49491</v>
      </c>
      <c r="C223" s="7">
        <f t="shared" si="10"/>
        <v>7731.1454562502995</v>
      </c>
      <c r="D223" s="7">
        <f t="shared" si="0"/>
        <v>6738.8071103366829</v>
      </c>
      <c r="E223" s="7">
        <f t="shared" si="1"/>
        <v>992.33834591361654</v>
      </c>
      <c r="F223" s="7">
        <f t="shared" si="8"/>
        <v>534536.65429709048</v>
      </c>
      <c r="G223" s="8">
        <f t="shared" si="9"/>
        <v>965463.34570291045</v>
      </c>
    </row>
    <row r="224" spans="1:7" ht="12.75" x14ac:dyDescent="0.2">
      <c r="A224" s="17">
        <v>167</v>
      </c>
      <c r="B224" s="18">
        <v>49522</v>
      </c>
      <c r="C224" s="7">
        <f t="shared" si="10"/>
        <v>7731.1454562502995</v>
      </c>
      <c r="D224" s="7">
        <f t="shared" si="0"/>
        <v>6751.161590038967</v>
      </c>
      <c r="E224" s="7">
        <f t="shared" si="1"/>
        <v>979.9838662113325</v>
      </c>
      <c r="F224" s="7">
        <f t="shared" si="8"/>
        <v>527785.49270705157</v>
      </c>
      <c r="G224" s="8">
        <f t="shared" si="9"/>
        <v>972214.50729294936</v>
      </c>
    </row>
    <row r="225" spans="1:7" ht="12.75" x14ac:dyDescent="0.2">
      <c r="A225" s="17">
        <v>168</v>
      </c>
      <c r="B225" s="18">
        <v>49553</v>
      </c>
      <c r="C225" s="7">
        <f t="shared" si="10"/>
        <v>7731.1454562502995</v>
      </c>
      <c r="D225" s="7">
        <f t="shared" si="0"/>
        <v>6763.5387196207048</v>
      </c>
      <c r="E225" s="7">
        <f t="shared" si="1"/>
        <v>967.60673662959448</v>
      </c>
      <c r="F225" s="7">
        <f t="shared" si="8"/>
        <v>521021.95398743084</v>
      </c>
      <c r="G225" s="8">
        <f t="shared" si="9"/>
        <v>978978.04601257003</v>
      </c>
    </row>
    <row r="226" spans="1:7" ht="12.75" x14ac:dyDescent="0.2">
      <c r="A226" s="17">
        <v>169</v>
      </c>
      <c r="B226" s="18">
        <v>49583</v>
      </c>
      <c r="C226" s="7">
        <f t="shared" si="10"/>
        <v>7731.1454562502995</v>
      </c>
      <c r="D226" s="7">
        <f t="shared" si="0"/>
        <v>6775.9385406066758</v>
      </c>
      <c r="E226" s="7">
        <f t="shared" si="1"/>
        <v>955.20691564362323</v>
      </c>
      <c r="F226" s="7">
        <f t="shared" si="8"/>
        <v>514246.01544682414</v>
      </c>
      <c r="G226" s="8">
        <f t="shared" si="9"/>
        <v>985753.98455317668</v>
      </c>
    </row>
    <row r="227" spans="1:7" ht="12.75" x14ac:dyDescent="0.2">
      <c r="A227" s="17">
        <v>170</v>
      </c>
      <c r="B227" s="18">
        <v>49614</v>
      </c>
      <c r="C227" s="7">
        <f t="shared" si="10"/>
        <v>7731.1454562502995</v>
      </c>
      <c r="D227" s="7">
        <f t="shared" si="0"/>
        <v>6788.3610945977889</v>
      </c>
      <c r="E227" s="7">
        <f t="shared" si="1"/>
        <v>942.78436165251094</v>
      </c>
      <c r="F227" s="7">
        <f t="shared" si="8"/>
        <v>507457.65435222635</v>
      </c>
      <c r="G227" s="8">
        <f t="shared" si="9"/>
        <v>992542.34564777452</v>
      </c>
    </row>
    <row r="228" spans="1:7" ht="12.75" x14ac:dyDescent="0.2">
      <c r="A228" s="17">
        <v>171</v>
      </c>
      <c r="B228" s="18">
        <v>49644</v>
      </c>
      <c r="C228" s="7">
        <f t="shared" si="10"/>
        <v>7731.1454562502995</v>
      </c>
      <c r="D228" s="7">
        <f t="shared" si="0"/>
        <v>6800.8064232712177</v>
      </c>
      <c r="E228" s="7">
        <f t="shared" si="1"/>
        <v>930.33903297908159</v>
      </c>
      <c r="F228" s="7">
        <f t="shared" si="8"/>
        <v>500656.84792895516</v>
      </c>
      <c r="G228" s="8">
        <f t="shared" si="9"/>
        <v>999343.15207104571</v>
      </c>
    </row>
    <row r="229" spans="1:7" ht="12.75" x14ac:dyDescent="0.2">
      <c r="A229" s="17">
        <v>172</v>
      </c>
      <c r="B229" s="18">
        <v>49675</v>
      </c>
      <c r="C229" s="7">
        <f t="shared" si="10"/>
        <v>7731.1454562502995</v>
      </c>
      <c r="D229" s="7">
        <f t="shared" si="0"/>
        <v>6813.2745683805488</v>
      </c>
      <c r="E229" s="7">
        <f t="shared" si="1"/>
        <v>917.87088786975107</v>
      </c>
      <c r="F229" s="7">
        <f t="shared" si="8"/>
        <v>493843.57336057461</v>
      </c>
      <c r="G229" s="8">
        <f t="shared" si="9"/>
        <v>1006156.4266394263</v>
      </c>
    </row>
    <row r="230" spans="1:7" ht="12.75" x14ac:dyDescent="0.2">
      <c r="A230" s="17">
        <v>173</v>
      </c>
      <c r="B230" s="18">
        <v>49706</v>
      </c>
      <c r="C230" s="7">
        <f t="shared" si="10"/>
        <v>7731.1454562502995</v>
      </c>
      <c r="D230" s="7">
        <f t="shared" si="0"/>
        <v>6825.7655717559128</v>
      </c>
      <c r="E230" s="7">
        <f t="shared" si="1"/>
        <v>905.37988449438672</v>
      </c>
      <c r="F230" s="7">
        <f t="shared" si="8"/>
        <v>487017.80778881867</v>
      </c>
      <c r="G230" s="8">
        <f t="shared" si="9"/>
        <v>1012982.1922111822</v>
      </c>
    </row>
    <row r="231" spans="1:7" ht="12.75" x14ac:dyDescent="0.2">
      <c r="A231" s="17">
        <v>174</v>
      </c>
      <c r="B231" s="18">
        <v>49735</v>
      </c>
      <c r="C231" s="7">
        <f t="shared" si="10"/>
        <v>7731.1454562502995</v>
      </c>
      <c r="D231" s="7">
        <f t="shared" si="0"/>
        <v>6838.2794753041317</v>
      </c>
      <c r="E231" s="7">
        <f t="shared" si="1"/>
        <v>892.8659809461675</v>
      </c>
      <c r="F231" s="7">
        <f t="shared" si="8"/>
        <v>480179.52831351454</v>
      </c>
      <c r="G231" s="8">
        <f t="shared" si="9"/>
        <v>1019820.4716864864</v>
      </c>
    </row>
    <row r="232" spans="1:7" ht="12.75" x14ac:dyDescent="0.2">
      <c r="A232" s="17">
        <v>175</v>
      </c>
      <c r="B232" s="18">
        <v>49766</v>
      </c>
      <c r="C232" s="7">
        <f t="shared" si="10"/>
        <v>7731.1454562502995</v>
      </c>
      <c r="D232" s="7">
        <f t="shared" si="0"/>
        <v>6850.816321008856</v>
      </c>
      <c r="E232" s="7">
        <f t="shared" si="1"/>
        <v>880.32913524144328</v>
      </c>
      <c r="F232" s="7">
        <f t="shared" si="8"/>
        <v>473328.7119925057</v>
      </c>
      <c r="G232" s="8">
        <f t="shared" si="9"/>
        <v>1026671.2880074952</v>
      </c>
    </row>
    <row r="233" spans="1:7" ht="12.75" x14ac:dyDescent="0.2">
      <c r="A233" s="17">
        <v>176</v>
      </c>
      <c r="B233" s="18">
        <v>49796</v>
      </c>
      <c r="C233" s="7">
        <f t="shared" si="10"/>
        <v>7731.1454562502995</v>
      </c>
      <c r="D233" s="7">
        <f t="shared" si="0"/>
        <v>6863.376150930706</v>
      </c>
      <c r="E233" s="7">
        <f t="shared" si="1"/>
        <v>867.76930531959374</v>
      </c>
      <c r="F233" s="7">
        <f t="shared" si="8"/>
        <v>466465.335841575</v>
      </c>
      <c r="G233" s="8">
        <f t="shared" si="9"/>
        <v>1033534.6641584259</v>
      </c>
    </row>
    <row r="234" spans="1:7" ht="12.75" x14ac:dyDescent="0.2">
      <c r="A234" s="17">
        <v>177</v>
      </c>
      <c r="B234" s="18">
        <v>49827</v>
      </c>
      <c r="C234" s="7">
        <f t="shared" si="10"/>
        <v>7731.1454562502995</v>
      </c>
      <c r="D234" s="7">
        <f t="shared" si="0"/>
        <v>6875.9590072074116</v>
      </c>
      <c r="E234" s="7">
        <f t="shared" si="1"/>
        <v>855.18644904288749</v>
      </c>
      <c r="F234" s="7">
        <f t="shared" si="8"/>
        <v>459589.37683436758</v>
      </c>
      <c r="G234" s="8">
        <f t="shared" si="9"/>
        <v>1040410.6231656333</v>
      </c>
    </row>
    <row r="235" spans="1:7" ht="12.75" x14ac:dyDescent="0.2">
      <c r="A235" s="17">
        <v>178</v>
      </c>
      <c r="B235" s="18">
        <v>49857</v>
      </c>
      <c r="C235" s="7">
        <f t="shared" si="10"/>
        <v>7731.1454562502995</v>
      </c>
      <c r="D235" s="7">
        <f t="shared" si="0"/>
        <v>6888.5649320539587</v>
      </c>
      <c r="E235" s="7">
        <f t="shared" si="1"/>
        <v>842.58052419634055</v>
      </c>
      <c r="F235" s="7">
        <f t="shared" si="8"/>
        <v>452700.81190231361</v>
      </c>
      <c r="G235" s="8">
        <f t="shared" si="9"/>
        <v>1047299.1880976872</v>
      </c>
    </row>
    <row r="236" spans="1:7" ht="12.75" x14ac:dyDescent="0.2">
      <c r="A236" s="17">
        <v>179</v>
      </c>
      <c r="B236" s="18">
        <v>49888</v>
      </c>
      <c r="C236" s="7">
        <f t="shared" si="10"/>
        <v>7731.1454562502995</v>
      </c>
      <c r="D236" s="7">
        <f t="shared" si="0"/>
        <v>6901.1939677627242</v>
      </c>
      <c r="E236" s="7">
        <f t="shared" si="1"/>
        <v>829.95148848757492</v>
      </c>
      <c r="F236" s="7">
        <f t="shared" si="8"/>
        <v>445799.61793455086</v>
      </c>
      <c r="G236" s="8">
        <f t="shared" si="9"/>
        <v>1054200.3820654498</v>
      </c>
    </row>
    <row r="237" spans="1:7" ht="12.75" x14ac:dyDescent="0.2">
      <c r="A237" s="17">
        <v>180</v>
      </c>
      <c r="B237" s="18">
        <v>49919</v>
      </c>
      <c r="C237" s="7">
        <f t="shared" si="10"/>
        <v>7731.1454562502995</v>
      </c>
      <c r="D237" s="7">
        <f t="shared" si="0"/>
        <v>6913.8461567036229</v>
      </c>
      <c r="E237" s="7">
        <f t="shared" si="1"/>
        <v>817.29929954667659</v>
      </c>
      <c r="F237" s="7">
        <f t="shared" si="8"/>
        <v>438885.77177784726</v>
      </c>
      <c r="G237" s="8">
        <f t="shared" si="9"/>
        <v>1061114.2282221534</v>
      </c>
    </row>
    <row r="238" spans="1:7" ht="12.75" x14ac:dyDescent="0.2">
      <c r="A238" s="17">
        <v>181</v>
      </c>
      <c r="B238" s="18">
        <v>49949</v>
      </c>
      <c r="C238" s="7">
        <f t="shared" si="10"/>
        <v>7731.1454562502995</v>
      </c>
      <c r="D238" s="7">
        <f t="shared" si="0"/>
        <v>6926.5215413242458</v>
      </c>
      <c r="E238" s="7">
        <f t="shared" si="1"/>
        <v>804.62391492605332</v>
      </c>
      <c r="F238" s="7">
        <f t="shared" si="8"/>
        <v>431959.25023652299</v>
      </c>
      <c r="G238" s="8">
        <f t="shared" si="9"/>
        <v>1068040.7497634776</v>
      </c>
    </row>
    <row r="239" spans="1:7" ht="12.75" x14ac:dyDescent="0.2">
      <c r="A239" s="17">
        <v>182</v>
      </c>
      <c r="B239" s="18">
        <v>49980</v>
      </c>
      <c r="C239" s="7">
        <f t="shared" si="10"/>
        <v>7731.1454562502995</v>
      </c>
      <c r="D239" s="7">
        <f t="shared" si="0"/>
        <v>6939.2201641500069</v>
      </c>
      <c r="E239" s="7">
        <f t="shared" si="1"/>
        <v>791.92529210029215</v>
      </c>
      <c r="F239" s="7">
        <f t="shared" si="8"/>
        <v>425020.03007237299</v>
      </c>
      <c r="G239" s="8">
        <f t="shared" si="9"/>
        <v>1074979.9699276276</v>
      </c>
    </row>
    <row r="240" spans="1:7" ht="12.75" x14ac:dyDescent="0.2">
      <c r="A240" s="17">
        <v>183</v>
      </c>
      <c r="B240" s="18">
        <v>50010</v>
      </c>
      <c r="C240" s="7">
        <f t="shared" si="10"/>
        <v>7731.1454562502995</v>
      </c>
      <c r="D240" s="7">
        <f t="shared" si="0"/>
        <v>6951.9420677842827</v>
      </c>
      <c r="E240" s="7">
        <f t="shared" si="1"/>
        <v>779.20338846601715</v>
      </c>
      <c r="F240" s="7">
        <f t="shared" si="8"/>
        <v>418068.08800458873</v>
      </c>
      <c r="G240" s="8">
        <f t="shared" si="9"/>
        <v>1081931.9119954119</v>
      </c>
    </row>
    <row r="241" spans="1:7" ht="12.75" x14ac:dyDescent="0.2">
      <c r="A241" s="17">
        <v>184</v>
      </c>
      <c r="B241" s="18">
        <v>50041</v>
      </c>
      <c r="C241" s="7">
        <f t="shared" si="10"/>
        <v>7731.1454562502995</v>
      </c>
      <c r="D241" s="7">
        <f t="shared" si="0"/>
        <v>6964.6872949085537</v>
      </c>
      <c r="E241" s="7">
        <f t="shared" si="1"/>
        <v>766.45816134174595</v>
      </c>
      <c r="F241" s="7">
        <f t="shared" si="8"/>
        <v>411103.40070968017</v>
      </c>
      <c r="G241" s="8">
        <f t="shared" si="9"/>
        <v>1088896.5992903204</v>
      </c>
    </row>
    <row r="242" spans="1:7" ht="12.75" x14ac:dyDescent="0.2">
      <c r="A242" s="17">
        <v>185</v>
      </c>
      <c r="B242" s="18">
        <v>50072</v>
      </c>
      <c r="C242" s="7">
        <f t="shared" si="10"/>
        <v>7731.1454562502995</v>
      </c>
      <c r="D242" s="7">
        <f t="shared" si="0"/>
        <v>6977.4558882825522</v>
      </c>
      <c r="E242" s="7">
        <f t="shared" si="1"/>
        <v>753.68956796774694</v>
      </c>
      <c r="F242" s="7">
        <f t="shared" si="8"/>
        <v>404125.9448213976</v>
      </c>
      <c r="G242" s="8">
        <f t="shared" si="9"/>
        <v>1095874.0551786029</v>
      </c>
    </row>
    <row r="243" spans="1:7" ht="12.75" x14ac:dyDescent="0.2">
      <c r="A243" s="17">
        <v>186</v>
      </c>
      <c r="B243" s="18">
        <v>50100</v>
      </c>
      <c r="C243" s="7">
        <f t="shared" si="10"/>
        <v>7731.1454562502995</v>
      </c>
      <c r="D243" s="7">
        <f t="shared" si="0"/>
        <v>6990.2478907444038</v>
      </c>
      <c r="E243" s="7">
        <f t="shared" si="1"/>
        <v>740.89756550589561</v>
      </c>
      <c r="F243" s="7">
        <f t="shared" si="8"/>
        <v>397135.69693065318</v>
      </c>
      <c r="G243" s="8">
        <f t="shared" si="9"/>
        <v>1102864.3030693473</v>
      </c>
    </row>
    <row r="244" spans="1:7" ht="12.75" x14ac:dyDescent="0.2">
      <c r="A244" s="17">
        <v>187</v>
      </c>
      <c r="B244" s="18">
        <v>50131</v>
      </c>
      <c r="C244" s="7">
        <f t="shared" si="10"/>
        <v>7731.1454562502995</v>
      </c>
      <c r="D244" s="7">
        <f t="shared" si="0"/>
        <v>7003.0633452107686</v>
      </c>
      <c r="E244" s="7">
        <f t="shared" si="1"/>
        <v>728.08211103953079</v>
      </c>
      <c r="F244" s="7">
        <f t="shared" si="8"/>
        <v>390132.63358544244</v>
      </c>
      <c r="G244" s="8">
        <f t="shared" si="9"/>
        <v>1109867.3664145581</v>
      </c>
    </row>
    <row r="245" spans="1:7" ht="12.75" x14ac:dyDescent="0.2">
      <c r="A245" s="17">
        <v>188</v>
      </c>
      <c r="B245" s="18">
        <v>50161</v>
      </c>
      <c r="C245" s="7">
        <f t="shared" si="10"/>
        <v>7731.1454562502995</v>
      </c>
      <c r="D245" s="7">
        <f t="shared" si="0"/>
        <v>7015.9022946769883</v>
      </c>
      <c r="E245" s="7">
        <f t="shared" si="1"/>
        <v>715.24316157331111</v>
      </c>
      <c r="F245" s="7">
        <f t="shared" si="8"/>
        <v>383116.73129076546</v>
      </c>
      <c r="G245" s="8">
        <f t="shared" si="9"/>
        <v>1116883.2687092351</v>
      </c>
    </row>
    <row r="246" spans="1:7" ht="12.75" x14ac:dyDescent="0.2">
      <c r="A246" s="17">
        <v>189</v>
      </c>
      <c r="B246" s="18">
        <v>50192</v>
      </c>
      <c r="C246" s="7">
        <f t="shared" si="10"/>
        <v>7731.1454562502995</v>
      </c>
      <c r="D246" s="7">
        <f t="shared" si="0"/>
        <v>7028.7647822172294</v>
      </c>
      <c r="E246" s="7">
        <f t="shared" si="1"/>
        <v>702.38067403307002</v>
      </c>
      <c r="F246" s="7">
        <f t="shared" si="8"/>
        <v>376087.96650854824</v>
      </c>
      <c r="G246" s="8">
        <f t="shared" si="9"/>
        <v>1123912.0334914525</v>
      </c>
    </row>
    <row r="247" spans="1:7" ht="12.75" x14ac:dyDescent="0.2">
      <c r="A247" s="17">
        <v>190</v>
      </c>
      <c r="B247" s="18">
        <v>50222</v>
      </c>
      <c r="C247" s="7">
        <f t="shared" si="10"/>
        <v>7731.1454562502995</v>
      </c>
      <c r="D247" s="7">
        <f t="shared" si="0"/>
        <v>7041.6508509846281</v>
      </c>
      <c r="E247" s="7">
        <f t="shared" si="1"/>
        <v>689.49460526567179</v>
      </c>
      <c r="F247" s="7">
        <f t="shared" si="8"/>
        <v>369046.31565756362</v>
      </c>
      <c r="G247" s="8">
        <f t="shared" si="9"/>
        <v>1130953.6843424372</v>
      </c>
    </row>
    <row r="248" spans="1:7" ht="12.75" x14ac:dyDescent="0.2">
      <c r="A248" s="17">
        <v>191</v>
      </c>
      <c r="B248" s="18">
        <v>50253</v>
      </c>
      <c r="C248" s="7">
        <f t="shared" si="10"/>
        <v>7731.1454562502995</v>
      </c>
      <c r="D248" s="7">
        <f t="shared" si="0"/>
        <v>7054.5605442114329</v>
      </c>
      <c r="E248" s="7">
        <f t="shared" si="1"/>
        <v>676.58491203886661</v>
      </c>
      <c r="F248" s="7">
        <f t="shared" si="8"/>
        <v>361991.75511335221</v>
      </c>
      <c r="G248" s="8">
        <f t="shared" si="9"/>
        <v>1138008.2448866486</v>
      </c>
    </row>
    <row r="249" spans="1:7" ht="12.75" x14ac:dyDescent="0.2">
      <c r="A249" s="17">
        <v>192</v>
      </c>
      <c r="B249" s="18">
        <v>50284</v>
      </c>
      <c r="C249" s="7">
        <f t="shared" si="10"/>
        <v>7731.1454562502995</v>
      </c>
      <c r="D249" s="7">
        <f t="shared" si="0"/>
        <v>7067.493905209154</v>
      </c>
      <c r="E249" s="7">
        <f t="shared" si="1"/>
        <v>663.65155104114569</v>
      </c>
      <c r="F249" s="7">
        <f t="shared" si="8"/>
        <v>354924.26120814303</v>
      </c>
      <c r="G249" s="8">
        <f t="shared" si="9"/>
        <v>1145075.7387918578</v>
      </c>
    </row>
    <row r="250" spans="1:7" ht="12.75" x14ac:dyDescent="0.2">
      <c r="A250" s="17">
        <v>193</v>
      </c>
      <c r="B250" s="18">
        <v>50314</v>
      </c>
      <c r="C250" s="7">
        <f t="shared" si="10"/>
        <v>7731.1454562502995</v>
      </c>
      <c r="D250" s="7">
        <f t="shared" si="0"/>
        <v>7080.4509773687041</v>
      </c>
      <c r="E250" s="7">
        <f t="shared" si="1"/>
        <v>650.6944788815955</v>
      </c>
      <c r="F250" s="7">
        <f t="shared" ref="F250:F297" si="11">F249-D250</f>
        <v>347843.81023077434</v>
      </c>
      <c r="G250" s="8">
        <f t="shared" ref="G250:G297" si="12">G249+D250</f>
        <v>1152156.1897692266</v>
      </c>
    </row>
    <row r="251" spans="1:7" ht="12.75" x14ac:dyDescent="0.2">
      <c r="A251" s="17">
        <v>194</v>
      </c>
      <c r="B251" s="18">
        <v>50345</v>
      </c>
      <c r="C251" s="7">
        <f t="shared" ref="C251:C297" si="13">C250</f>
        <v>7731.1454562502995</v>
      </c>
      <c r="D251" s="7">
        <f t="shared" si="0"/>
        <v>7093.4318041605466</v>
      </c>
      <c r="E251" s="7">
        <f t="shared" si="1"/>
        <v>637.71365208975294</v>
      </c>
      <c r="F251" s="7">
        <f t="shared" si="11"/>
        <v>340750.37842661381</v>
      </c>
      <c r="G251" s="8">
        <f t="shared" si="12"/>
        <v>1159249.6215733872</v>
      </c>
    </row>
    <row r="252" spans="1:7" ht="12.75" x14ac:dyDescent="0.2">
      <c r="A252" s="17">
        <v>195</v>
      </c>
      <c r="B252" s="18">
        <v>50375</v>
      </c>
      <c r="C252" s="7">
        <f t="shared" si="13"/>
        <v>7731.1454562502995</v>
      </c>
      <c r="D252" s="7">
        <f t="shared" si="0"/>
        <v>7106.4364291348411</v>
      </c>
      <c r="E252" s="7">
        <f t="shared" si="1"/>
        <v>624.70902711545864</v>
      </c>
      <c r="F252" s="7">
        <f t="shared" si="11"/>
        <v>333643.94199747895</v>
      </c>
      <c r="G252" s="8">
        <f t="shared" si="12"/>
        <v>1166356.058002522</v>
      </c>
    </row>
    <row r="253" spans="1:7" ht="12.75" x14ac:dyDescent="0.2">
      <c r="A253" s="17">
        <v>196</v>
      </c>
      <c r="B253" s="18">
        <v>50406</v>
      </c>
      <c r="C253" s="7">
        <f t="shared" si="13"/>
        <v>7731.1454562502995</v>
      </c>
      <c r="D253" s="7">
        <f t="shared" si="0"/>
        <v>7119.4648959215883</v>
      </c>
      <c r="E253" s="7">
        <f t="shared" si="1"/>
        <v>611.68056032871141</v>
      </c>
      <c r="F253" s="7">
        <f t="shared" si="11"/>
        <v>326524.47710155736</v>
      </c>
      <c r="G253" s="8">
        <f t="shared" si="12"/>
        <v>1173475.5228984435</v>
      </c>
    </row>
    <row r="254" spans="1:7" ht="12.75" x14ac:dyDescent="0.2">
      <c r="A254" s="17">
        <v>197</v>
      </c>
      <c r="B254" s="18">
        <v>50437</v>
      </c>
      <c r="C254" s="7">
        <f t="shared" si="13"/>
        <v>7731.1454562502995</v>
      </c>
      <c r="D254" s="7">
        <f t="shared" si="0"/>
        <v>7132.517248230778</v>
      </c>
      <c r="E254" s="7">
        <f t="shared" si="1"/>
        <v>598.62820801952182</v>
      </c>
      <c r="F254" s="7">
        <f t="shared" si="11"/>
        <v>319391.95985332661</v>
      </c>
      <c r="G254" s="8">
        <f t="shared" si="12"/>
        <v>1180608.0401466743</v>
      </c>
    </row>
    <row r="255" spans="1:7" ht="12.75" x14ac:dyDescent="0.2">
      <c r="A255" s="17">
        <v>198</v>
      </c>
      <c r="B255" s="18">
        <v>50465</v>
      </c>
      <c r="C255" s="7">
        <f t="shared" si="13"/>
        <v>7731.1454562502995</v>
      </c>
      <c r="D255" s="7">
        <f t="shared" si="0"/>
        <v>7145.5935298525337</v>
      </c>
      <c r="E255" s="7">
        <f t="shared" si="1"/>
        <v>585.55192639776544</v>
      </c>
      <c r="F255" s="7">
        <f t="shared" si="11"/>
        <v>312246.3663234741</v>
      </c>
      <c r="G255" s="8">
        <f t="shared" si="12"/>
        <v>1187753.6336765268</v>
      </c>
    </row>
    <row r="256" spans="1:7" ht="12.75" x14ac:dyDescent="0.2">
      <c r="A256" s="17">
        <v>199</v>
      </c>
      <c r="B256" s="18">
        <v>50496</v>
      </c>
      <c r="C256" s="7">
        <f t="shared" si="13"/>
        <v>7731.1454562502995</v>
      </c>
      <c r="D256" s="7">
        <f t="shared" si="0"/>
        <v>7158.6937846572637</v>
      </c>
      <c r="E256" s="7">
        <f t="shared" si="1"/>
        <v>572.45167159303583</v>
      </c>
      <c r="F256" s="7">
        <f t="shared" si="11"/>
        <v>305087.67253881681</v>
      </c>
      <c r="G256" s="8">
        <f t="shared" si="12"/>
        <v>1194912.327461184</v>
      </c>
    </row>
    <row r="257" spans="1:7" ht="12.75" x14ac:dyDescent="0.2">
      <c r="A257" s="17">
        <v>200</v>
      </c>
      <c r="B257" s="18">
        <v>50526</v>
      </c>
      <c r="C257" s="7">
        <f t="shared" si="13"/>
        <v>7731.1454562502995</v>
      </c>
      <c r="D257" s="7">
        <f t="shared" si="0"/>
        <v>7171.8180565958019</v>
      </c>
      <c r="E257" s="7">
        <f t="shared" si="1"/>
        <v>559.32739965449753</v>
      </c>
      <c r="F257" s="7">
        <f t="shared" si="11"/>
        <v>297915.85448222101</v>
      </c>
      <c r="G257" s="8">
        <f t="shared" si="12"/>
        <v>1202084.1455177797</v>
      </c>
    </row>
    <row r="258" spans="1:7" ht="12.75" x14ac:dyDescent="0.2">
      <c r="A258" s="17">
        <v>201</v>
      </c>
      <c r="B258" s="18">
        <v>50557</v>
      </c>
      <c r="C258" s="7">
        <f t="shared" si="13"/>
        <v>7731.1454562502995</v>
      </c>
      <c r="D258" s="7">
        <f t="shared" si="0"/>
        <v>7184.9663896995608</v>
      </c>
      <c r="E258" s="7">
        <f t="shared" si="1"/>
        <v>546.17906655073853</v>
      </c>
      <c r="F258" s="7">
        <f t="shared" si="11"/>
        <v>290730.88809252146</v>
      </c>
      <c r="G258" s="8">
        <f t="shared" si="12"/>
        <v>1209269.1119074794</v>
      </c>
    </row>
    <row r="259" spans="1:7" ht="12.75" x14ac:dyDescent="0.2">
      <c r="A259" s="17">
        <v>202</v>
      </c>
      <c r="B259" s="18">
        <v>50587</v>
      </c>
      <c r="C259" s="7">
        <f t="shared" si="13"/>
        <v>7731.1454562502995</v>
      </c>
      <c r="D259" s="7">
        <f t="shared" si="0"/>
        <v>7198.1388280806768</v>
      </c>
      <c r="E259" s="7">
        <f t="shared" si="1"/>
        <v>533.00662816962267</v>
      </c>
      <c r="F259" s="7">
        <f t="shared" si="11"/>
        <v>283532.74926444079</v>
      </c>
      <c r="G259" s="8">
        <f t="shared" si="12"/>
        <v>1216467.25073556</v>
      </c>
    </row>
    <row r="260" spans="1:7" ht="12.75" x14ac:dyDescent="0.2">
      <c r="A260" s="17">
        <v>203</v>
      </c>
      <c r="B260" s="18">
        <v>50618</v>
      </c>
      <c r="C260" s="7">
        <f t="shared" si="13"/>
        <v>7731.1454562502995</v>
      </c>
      <c r="D260" s="7">
        <f t="shared" si="0"/>
        <v>7211.335415932158</v>
      </c>
      <c r="E260" s="7">
        <f t="shared" si="1"/>
        <v>519.81004031814143</v>
      </c>
      <c r="F260" s="7">
        <f t="shared" si="11"/>
        <v>276321.41384850862</v>
      </c>
      <c r="G260" s="8">
        <f t="shared" si="12"/>
        <v>1223678.5861514921</v>
      </c>
    </row>
    <row r="261" spans="1:7" ht="12.75" x14ac:dyDescent="0.2">
      <c r="A261" s="17">
        <v>204</v>
      </c>
      <c r="B261" s="18">
        <v>50649</v>
      </c>
      <c r="C261" s="7">
        <f t="shared" si="13"/>
        <v>7731.1454562502995</v>
      </c>
      <c r="D261" s="7">
        <f t="shared" si="0"/>
        <v>7224.5561975280334</v>
      </c>
      <c r="E261" s="7">
        <f t="shared" si="1"/>
        <v>506.58925872226581</v>
      </c>
      <c r="F261" s="7">
        <f t="shared" si="11"/>
        <v>269096.85765098059</v>
      </c>
      <c r="G261" s="8">
        <f t="shared" si="12"/>
        <v>1230903.1423490201</v>
      </c>
    </row>
    <row r="262" spans="1:7" ht="12.75" x14ac:dyDescent="0.2">
      <c r="A262" s="17">
        <v>205</v>
      </c>
      <c r="B262" s="18">
        <v>50679</v>
      </c>
      <c r="C262" s="7">
        <f t="shared" si="13"/>
        <v>7731.1454562502995</v>
      </c>
      <c r="D262" s="7">
        <f t="shared" si="0"/>
        <v>7237.8012172235021</v>
      </c>
      <c r="E262" s="7">
        <f t="shared" si="1"/>
        <v>493.34423902679771</v>
      </c>
      <c r="F262" s="7">
        <f t="shared" si="11"/>
        <v>261859.0564337571</v>
      </c>
      <c r="G262" s="8">
        <f t="shared" si="12"/>
        <v>1238140.9435662436</v>
      </c>
    </row>
    <row r="263" spans="1:7" ht="12.75" x14ac:dyDescent="0.2">
      <c r="A263" s="17">
        <v>206</v>
      </c>
      <c r="B263" s="18">
        <v>50710</v>
      </c>
      <c r="C263" s="7">
        <f t="shared" si="13"/>
        <v>7731.1454562502995</v>
      </c>
      <c r="D263" s="7">
        <f t="shared" si="0"/>
        <v>7251.0705194550783</v>
      </c>
      <c r="E263" s="7">
        <f t="shared" si="1"/>
        <v>480.07493679522133</v>
      </c>
      <c r="F263" s="7">
        <f t="shared" si="11"/>
        <v>254607.98591430203</v>
      </c>
      <c r="G263" s="8">
        <f t="shared" si="12"/>
        <v>1245392.0140856986</v>
      </c>
    </row>
    <row r="264" spans="1:7" ht="12.75" x14ac:dyDescent="0.2">
      <c r="A264" s="17">
        <v>207</v>
      </c>
      <c r="B264" s="18">
        <v>50740</v>
      </c>
      <c r="C264" s="7">
        <f t="shared" si="13"/>
        <v>7731.1454562502995</v>
      </c>
      <c r="D264" s="7">
        <f t="shared" si="0"/>
        <v>7264.3641487407458</v>
      </c>
      <c r="E264" s="7">
        <f t="shared" si="1"/>
        <v>466.7813075095537</v>
      </c>
      <c r="F264" s="7">
        <f t="shared" si="11"/>
        <v>247343.62176556129</v>
      </c>
      <c r="G264" s="8">
        <f t="shared" si="12"/>
        <v>1252656.3782344393</v>
      </c>
    </row>
    <row r="265" spans="1:7" ht="12.75" x14ac:dyDescent="0.2">
      <c r="A265" s="17">
        <v>208</v>
      </c>
      <c r="B265" s="18">
        <v>50771</v>
      </c>
      <c r="C265" s="7">
        <f t="shared" si="13"/>
        <v>7731.1454562502995</v>
      </c>
      <c r="D265" s="7">
        <f t="shared" si="0"/>
        <v>7277.682149680104</v>
      </c>
      <c r="E265" s="7">
        <f t="shared" si="1"/>
        <v>453.4633065701957</v>
      </c>
      <c r="F265" s="7">
        <f t="shared" si="11"/>
        <v>240065.93961588119</v>
      </c>
      <c r="G265" s="8">
        <f t="shared" si="12"/>
        <v>1259934.0603841194</v>
      </c>
    </row>
    <row r="266" spans="1:7" ht="12.75" x14ac:dyDescent="0.2">
      <c r="A266" s="17">
        <v>209</v>
      </c>
      <c r="B266" s="18">
        <v>50802</v>
      </c>
      <c r="C266" s="7">
        <f t="shared" si="13"/>
        <v>7731.1454562502995</v>
      </c>
      <c r="D266" s="7">
        <f t="shared" si="0"/>
        <v>7291.0245669545175</v>
      </c>
      <c r="E266" s="7">
        <f t="shared" si="1"/>
        <v>440.12088929578215</v>
      </c>
      <c r="F266" s="7">
        <f t="shared" si="11"/>
        <v>232774.91504892666</v>
      </c>
      <c r="G266" s="8">
        <f t="shared" si="12"/>
        <v>1267225.0849510739</v>
      </c>
    </row>
    <row r="267" spans="1:7" ht="12.75" x14ac:dyDescent="0.2">
      <c r="A267" s="17">
        <v>210</v>
      </c>
      <c r="B267" s="18">
        <v>50830</v>
      </c>
      <c r="C267" s="7">
        <f t="shared" si="13"/>
        <v>7731.1454562502995</v>
      </c>
      <c r="D267" s="7">
        <f t="shared" si="0"/>
        <v>7304.3914453272673</v>
      </c>
      <c r="E267" s="7">
        <f t="shared" si="1"/>
        <v>426.75401092303218</v>
      </c>
      <c r="F267" s="7">
        <f t="shared" si="11"/>
        <v>225470.5236035994</v>
      </c>
      <c r="G267" s="8">
        <f t="shared" si="12"/>
        <v>1274529.4763964012</v>
      </c>
    </row>
    <row r="268" spans="1:7" ht="12.75" x14ac:dyDescent="0.2">
      <c r="A268" s="17">
        <v>211</v>
      </c>
      <c r="B268" s="18">
        <v>50861</v>
      </c>
      <c r="C268" s="7">
        <f t="shared" si="13"/>
        <v>7731.1454562502995</v>
      </c>
      <c r="D268" s="7">
        <f t="shared" si="0"/>
        <v>7317.782829643701</v>
      </c>
      <c r="E268" s="7">
        <f t="shared" si="1"/>
        <v>413.36262660659889</v>
      </c>
      <c r="F268" s="7">
        <f t="shared" si="11"/>
        <v>218152.74077395571</v>
      </c>
      <c r="G268" s="8">
        <f t="shared" si="12"/>
        <v>1281847.2592260449</v>
      </c>
    </row>
    <row r="269" spans="1:7" ht="12.75" x14ac:dyDescent="0.2">
      <c r="A269" s="17">
        <v>212</v>
      </c>
      <c r="B269" s="18">
        <v>50891</v>
      </c>
      <c r="C269" s="7">
        <f t="shared" si="13"/>
        <v>7731.1454562502995</v>
      </c>
      <c r="D269" s="7">
        <f t="shared" si="0"/>
        <v>7331.1987648313807</v>
      </c>
      <c r="E269" s="7">
        <f t="shared" si="1"/>
        <v>399.94669141891882</v>
      </c>
      <c r="F269" s="7">
        <f t="shared" si="11"/>
        <v>210821.54200912433</v>
      </c>
      <c r="G269" s="8">
        <f t="shared" si="12"/>
        <v>1289178.4579908762</v>
      </c>
    </row>
    <row r="270" spans="1:7" ht="12.75" x14ac:dyDescent="0.2">
      <c r="A270" s="17">
        <v>213</v>
      </c>
      <c r="B270" s="18">
        <v>50922</v>
      </c>
      <c r="C270" s="7">
        <f t="shared" si="13"/>
        <v>7731.1454562502995</v>
      </c>
      <c r="D270" s="7">
        <f t="shared" si="0"/>
        <v>7344.6392959002387</v>
      </c>
      <c r="E270" s="7">
        <f t="shared" si="1"/>
        <v>386.50616035006124</v>
      </c>
      <c r="F270" s="7">
        <f t="shared" si="11"/>
        <v>203476.90271322409</v>
      </c>
      <c r="G270" s="8">
        <f t="shared" si="12"/>
        <v>1296523.0972867764</v>
      </c>
    </row>
    <row r="271" spans="1:7" ht="12.75" x14ac:dyDescent="0.2">
      <c r="A271" s="17">
        <v>214</v>
      </c>
      <c r="B271" s="18">
        <v>50952</v>
      </c>
      <c r="C271" s="7">
        <f t="shared" si="13"/>
        <v>7731.1454562502995</v>
      </c>
      <c r="D271" s="7">
        <f t="shared" si="0"/>
        <v>7358.1044679427223</v>
      </c>
      <c r="E271" s="7">
        <f t="shared" si="1"/>
        <v>373.04098830757749</v>
      </c>
      <c r="F271" s="7">
        <f t="shared" si="11"/>
        <v>196118.79824528136</v>
      </c>
      <c r="G271" s="8">
        <f t="shared" si="12"/>
        <v>1303881.201754719</v>
      </c>
    </row>
    <row r="272" spans="1:7" ht="12.75" x14ac:dyDescent="0.2">
      <c r="A272" s="17">
        <v>215</v>
      </c>
      <c r="B272" s="18">
        <v>50983</v>
      </c>
      <c r="C272" s="7">
        <f t="shared" si="13"/>
        <v>7731.1454562502995</v>
      </c>
      <c r="D272" s="7">
        <f t="shared" si="0"/>
        <v>7371.5943261339507</v>
      </c>
      <c r="E272" s="7">
        <f t="shared" si="1"/>
        <v>359.55113011634916</v>
      </c>
      <c r="F272" s="7">
        <f t="shared" si="11"/>
        <v>188747.2039191474</v>
      </c>
      <c r="G272" s="8">
        <f t="shared" si="12"/>
        <v>1311252.7960808529</v>
      </c>
    </row>
    <row r="273" spans="1:7" ht="12.75" x14ac:dyDescent="0.2">
      <c r="A273" s="17">
        <v>216</v>
      </c>
      <c r="B273" s="18">
        <v>51014</v>
      </c>
      <c r="C273" s="7">
        <f t="shared" si="13"/>
        <v>7731.1454562502995</v>
      </c>
      <c r="D273" s="7">
        <f t="shared" si="0"/>
        <v>7385.1089157318629</v>
      </c>
      <c r="E273" s="7">
        <f t="shared" si="1"/>
        <v>346.03654051843688</v>
      </c>
      <c r="F273" s="7">
        <f t="shared" si="11"/>
        <v>181362.09500341554</v>
      </c>
      <c r="G273" s="8">
        <f t="shared" si="12"/>
        <v>1318637.9049965846</v>
      </c>
    </row>
    <row r="274" spans="1:7" ht="12.75" x14ac:dyDescent="0.2">
      <c r="A274" s="17">
        <v>217</v>
      </c>
      <c r="B274" s="18">
        <v>51044</v>
      </c>
      <c r="C274" s="7">
        <f t="shared" si="13"/>
        <v>7731.1454562502995</v>
      </c>
      <c r="D274" s="7">
        <f t="shared" si="0"/>
        <v>7398.6482820773708</v>
      </c>
      <c r="E274" s="7">
        <f t="shared" si="1"/>
        <v>332.49717417292851</v>
      </c>
      <c r="F274" s="7">
        <f t="shared" si="11"/>
        <v>173963.44672133817</v>
      </c>
      <c r="G274" s="8">
        <f t="shared" si="12"/>
        <v>1326036.553278662</v>
      </c>
    </row>
    <row r="275" spans="1:7" ht="12.75" x14ac:dyDescent="0.2">
      <c r="A275" s="17">
        <v>218</v>
      </c>
      <c r="B275" s="18">
        <v>51075</v>
      </c>
      <c r="C275" s="7">
        <f t="shared" si="13"/>
        <v>7731.1454562502995</v>
      </c>
      <c r="D275" s="7">
        <f t="shared" si="0"/>
        <v>7412.2124705945125</v>
      </c>
      <c r="E275" s="7">
        <f t="shared" si="1"/>
        <v>318.93298565578664</v>
      </c>
      <c r="F275" s="7">
        <f t="shared" si="11"/>
        <v>166551.23425074367</v>
      </c>
      <c r="G275" s="8">
        <f t="shared" si="12"/>
        <v>1333448.7657492566</v>
      </c>
    </row>
    <row r="276" spans="1:7" ht="12.75" x14ac:dyDescent="0.2">
      <c r="A276" s="17">
        <v>219</v>
      </c>
      <c r="B276" s="18">
        <v>51105</v>
      </c>
      <c r="C276" s="7">
        <f t="shared" si="13"/>
        <v>7731.1454562502995</v>
      </c>
      <c r="D276" s="7">
        <f t="shared" si="0"/>
        <v>7425.801526790603</v>
      </c>
      <c r="E276" s="7">
        <f t="shared" si="1"/>
        <v>305.34392945969671</v>
      </c>
      <c r="F276" s="7">
        <f t="shared" si="11"/>
        <v>159125.43272395307</v>
      </c>
      <c r="G276" s="8">
        <f t="shared" si="12"/>
        <v>1340874.5672760473</v>
      </c>
    </row>
    <row r="277" spans="1:7" ht="12.75" x14ac:dyDescent="0.2">
      <c r="A277" s="17">
        <v>220</v>
      </c>
      <c r="B277" s="18">
        <v>51136</v>
      </c>
      <c r="C277" s="7">
        <f t="shared" si="13"/>
        <v>7731.1454562502995</v>
      </c>
      <c r="D277" s="7">
        <f t="shared" si="0"/>
        <v>7439.4154962563853</v>
      </c>
      <c r="E277" s="7">
        <f t="shared" si="1"/>
        <v>291.72995999391395</v>
      </c>
      <c r="F277" s="7">
        <f t="shared" si="11"/>
        <v>151686.01722769669</v>
      </c>
      <c r="G277" s="8">
        <f t="shared" si="12"/>
        <v>1348313.9827723037</v>
      </c>
    </row>
    <row r="278" spans="1:7" ht="12.75" x14ac:dyDescent="0.2">
      <c r="A278" s="17">
        <v>221</v>
      </c>
      <c r="B278" s="18">
        <v>51167</v>
      </c>
      <c r="C278" s="7">
        <f t="shared" si="13"/>
        <v>7731.1454562502995</v>
      </c>
      <c r="D278" s="7">
        <f t="shared" si="0"/>
        <v>7453.0544246661884</v>
      </c>
      <c r="E278" s="7">
        <f t="shared" si="1"/>
        <v>278.09103158411062</v>
      </c>
      <c r="F278" s="7">
        <f t="shared" si="11"/>
        <v>144232.9628030305</v>
      </c>
      <c r="G278" s="8">
        <f t="shared" si="12"/>
        <v>1355767.0371969698</v>
      </c>
    </row>
    <row r="279" spans="1:7" ht="12.75" x14ac:dyDescent="0.2">
      <c r="A279" s="17">
        <v>222</v>
      </c>
      <c r="B279" s="18">
        <v>51196</v>
      </c>
      <c r="C279" s="7">
        <f t="shared" si="13"/>
        <v>7731.1454562502995</v>
      </c>
      <c r="D279" s="7">
        <f t="shared" si="0"/>
        <v>7466.718357778077</v>
      </c>
      <c r="E279" s="7">
        <f t="shared" si="1"/>
        <v>264.42709847222261</v>
      </c>
      <c r="F279" s="7">
        <f t="shared" si="11"/>
        <v>136766.24444525244</v>
      </c>
      <c r="G279" s="8">
        <f t="shared" si="12"/>
        <v>1363233.755554748</v>
      </c>
    </row>
    <row r="280" spans="1:7" ht="12.75" x14ac:dyDescent="0.2">
      <c r="A280" s="17">
        <v>223</v>
      </c>
      <c r="B280" s="18">
        <v>51227</v>
      </c>
      <c r="C280" s="7">
        <f t="shared" si="13"/>
        <v>7731.1454562502995</v>
      </c>
      <c r="D280" s="7">
        <f t="shared" si="0"/>
        <v>7480.4073414340037</v>
      </c>
      <c r="E280" s="7">
        <f t="shared" si="1"/>
        <v>250.73811481629613</v>
      </c>
      <c r="F280" s="7">
        <f t="shared" si="11"/>
        <v>129285.83710381843</v>
      </c>
      <c r="G280" s="8">
        <f t="shared" si="12"/>
        <v>1370714.1628961819</v>
      </c>
    </row>
    <row r="281" spans="1:7" ht="12.75" x14ac:dyDescent="0.2">
      <c r="A281" s="17">
        <v>224</v>
      </c>
      <c r="B281" s="18">
        <v>51257</v>
      </c>
      <c r="C281" s="7">
        <f t="shared" si="13"/>
        <v>7731.1454562502995</v>
      </c>
      <c r="D281" s="7">
        <f t="shared" si="0"/>
        <v>7494.1214215599657</v>
      </c>
      <c r="E281" s="7">
        <f t="shared" si="1"/>
        <v>237.02403469033379</v>
      </c>
      <c r="F281" s="7">
        <f t="shared" si="11"/>
        <v>121791.71568225847</v>
      </c>
      <c r="G281" s="8">
        <f t="shared" si="12"/>
        <v>1378208.2843177419</v>
      </c>
    </row>
    <row r="282" spans="1:7" ht="12.75" x14ac:dyDescent="0.2">
      <c r="A282" s="17">
        <v>225</v>
      </c>
      <c r="B282" s="18">
        <v>51288</v>
      </c>
      <c r="C282" s="7">
        <f t="shared" si="13"/>
        <v>7731.1454562502995</v>
      </c>
      <c r="D282" s="7">
        <f t="shared" si="0"/>
        <v>7507.8606441661586</v>
      </c>
      <c r="E282" s="7">
        <f t="shared" si="1"/>
        <v>223.28481208414053</v>
      </c>
      <c r="F282" s="7">
        <f t="shared" si="11"/>
        <v>114283.85503809231</v>
      </c>
      <c r="G282" s="8">
        <f t="shared" si="12"/>
        <v>1385716.144961908</v>
      </c>
    </row>
    <row r="283" spans="1:7" ht="12.75" x14ac:dyDescent="0.2">
      <c r="A283" s="17">
        <v>226</v>
      </c>
      <c r="B283" s="18">
        <v>51318</v>
      </c>
      <c r="C283" s="7">
        <f t="shared" si="13"/>
        <v>7731.1454562502995</v>
      </c>
      <c r="D283" s="7">
        <f t="shared" si="0"/>
        <v>7521.62505534713</v>
      </c>
      <c r="E283" s="7">
        <f t="shared" si="1"/>
        <v>209.52040090316925</v>
      </c>
      <c r="F283" s="7">
        <f t="shared" si="11"/>
        <v>106762.22998274518</v>
      </c>
      <c r="G283" s="8">
        <f t="shared" si="12"/>
        <v>1393237.7700172551</v>
      </c>
    </row>
    <row r="284" spans="1:7" ht="12.75" x14ac:dyDescent="0.2">
      <c r="A284" s="17">
        <v>227</v>
      </c>
      <c r="B284" s="18">
        <v>51349</v>
      </c>
      <c r="C284" s="7">
        <f t="shared" si="13"/>
        <v>7731.1454562502995</v>
      </c>
      <c r="D284" s="7">
        <f t="shared" si="0"/>
        <v>7535.414701281933</v>
      </c>
      <c r="E284" s="7">
        <f t="shared" si="1"/>
        <v>195.73075496836617</v>
      </c>
      <c r="F284" s="7">
        <f t="shared" si="11"/>
        <v>99226.815281463249</v>
      </c>
      <c r="G284" s="8">
        <f t="shared" si="12"/>
        <v>1400773.1847185371</v>
      </c>
    </row>
    <row r="285" spans="1:7" ht="12.75" x14ac:dyDescent="0.2">
      <c r="A285" s="17">
        <v>228</v>
      </c>
      <c r="B285" s="18">
        <v>51380</v>
      </c>
      <c r="C285" s="7">
        <f t="shared" si="13"/>
        <v>7731.1454562502995</v>
      </c>
      <c r="D285" s="7">
        <f t="shared" si="0"/>
        <v>7549.2296282342832</v>
      </c>
      <c r="E285" s="7">
        <f t="shared" si="1"/>
        <v>181.91582801601595</v>
      </c>
      <c r="F285" s="7">
        <f t="shared" si="11"/>
        <v>91677.585653228962</v>
      </c>
      <c r="G285" s="8">
        <f t="shared" si="12"/>
        <v>1408322.4143467713</v>
      </c>
    </row>
    <row r="286" spans="1:7" ht="12.75" x14ac:dyDescent="0.2">
      <c r="A286" s="17">
        <v>229</v>
      </c>
      <c r="B286" s="18">
        <v>51410</v>
      </c>
      <c r="C286" s="7">
        <f t="shared" si="13"/>
        <v>7731.1454562502995</v>
      </c>
      <c r="D286" s="7">
        <f t="shared" si="0"/>
        <v>7563.0698825527134</v>
      </c>
      <c r="E286" s="7">
        <f t="shared" si="1"/>
        <v>168.07557369758644</v>
      </c>
      <c r="F286" s="7">
        <f t="shared" si="11"/>
        <v>84114.515770676255</v>
      </c>
      <c r="G286" s="8">
        <f t="shared" si="12"/>
        <v>1415885.4842293239</v>
      </c>
    </row>
    <row r="287" spans="1:7" ht="12.75" x14ac:dyDescent="0.2">
      <c r="A287" s="17">
        <v>230</v>
      </c>
      <c r="B287" s="18">
        <v>51441</v>
      </c>
      <c r="C287" s="7">
        <f t="shared" si="13"/>
        <v>7731.1454562502995</v>
      </c>
      <c r="D287" s="7">
        <f t="shared" si="0"/>
        <v>7576.9355106707262</v>
      </c>
      <c r="E287" s="7">
        <f t="shared" si="1"/>
        <v>154.20994557957314</v>
      </c>
      <c r="F287" s="7">
        <f t="shared" si="11"/>
        <v>76537.580260005532</v>
      </c>
      <c r="G287" s="8">
        <f t="shared" si="12"/>
        <v>1423462.4197399947</v>
      </c>
    </row>
    <row r="288" spans="1:7" ht="12.75" x14ac:dyDescent="0.2">
      <c r="A288" s="17">
        <v>231</v>
      </c>
      <c r="B288" s="18">
        <v>51471</v>
      </c>
      <c r="C288" s="7">
        <f t="shared" si="13"/>
        <v>7731.1454562502995</v>
      </c>
      <c r="D288" s="7">
        <f t="shared" si="0"/>
        <v>7590.8265591069558</v>
      </c>
      <c r="E288" s="7">
        <f t="shared" si="1"/>
        <v>140.31889714334346</v>
      </c>
      <c r="F288" s="7">
        <f t="shared" si="11"/>
        <v>68946.753700898582</v>
      </c>
      <c r="G288" s="8">
        <f t="shared" si="12"/>
        <v>1431053.2462991017</v>
      </c>
    </row>
    <row r="289" spans="1:7" ht="12.75" x14ac:dyDescent="0.2">
      <c r="A289" s="17">
        <v>232</v>
      </c>
      <c r="B289" s="18">
        <v>51502</v>
      </c>
      <c r="C289" s="7">
        <f t="shared" si="13"/>
        <v>7731.1454562502995</v>
      </c>
      <c r="D289" s="7">
        <f t="shared" si="0"/>
        <v>7604.7430744653184</v>
      </c>
      <c r="E289" s="7">
        <f t="shared" si="1"/>
        <v>126.40238178498073</v>
      </c>
      <c r="F289" s="7">
        <f t="shared" si="11"/>
        <v>61342.010626433264</v>
      </c>
      <c r="G289" s="8">
        <f t="shared" si="12"/>
        <v>1438657.989373567</v>
      </c>
    </row>
    <row r="290" spans="1:7" ht="12.75" x14ac:dyDescent="0.2">
      <c r="A290" s="17">
        <v>233</v>
      </c>
      <c r="B290" s="18">
        <v>51533</v>
      </c>
      <c r="C290" s="7">
        <f t="shared" si="13"/>
        <v>7731.1454562502995</v>
      </c>
      <c r="D290" s="7">
        <f t="shared" si="0"/>
        <v>7618.6851034351721</v>
      </c>
      <c r="E290" s="7">
        <f t="shared" si="1"/>
        <v>112.46035281512765</v>
      </c>
      <c r="F290" s="7">
        <f t="shared" si="11"/>
        <v>53723.325522998093</v>
      </c>
      <c r="G290" s="8">
        <f t="shared" si="12"/>
        <v>1446276.6744770021</v>
      </c>
    </row>
    <row r="291" spans="1:7" ht="12.75" x14ac:dyDescent="0.2">
      <c r="A291" s="17">
        <v>234</v>
      </c>
      <c r="B291" s="18">
        <v>51561</v>
      </c>
      <c r="C291" s="7">
        <f t="shared" si="13"/>
        <v>7731.1454562502995</v>
      </c>
      <c r="D291" s="7">
        <f t="shared" si="0"/>
        <v>7632.6526927914692</v>
      </c>
      <c r="E291" s="7">
        <f t="shared" si="1"/>
        <v>98.492763458829842</v>
      </c>
      <c r="F291" s="7">
        <f t="shared" si="11"/>
        <v>46090.672830206626</v>
      </c>
      <c r="G291" s="8">
        <f t="shared" si="12"/>
        <v>1453909.3271697937</v>
      </c>
    </row>
    <row r="292" spans="1:7" ht="12.75" x14ac:dyDescent="0.2">
      <c r="A292" s="17">
        <v>235</v>
      </c>
      <c r="B292" s="18">
        <v>51592</v>
      </c>
      <c r="C292" s="7">
        <f t="shared" si="13"/>
        <v>7731.1454562502995</v>
      </c>
      <c r="D292" s="7">
        <f t="shared" si="0"/>
        <v>7646.6458893949202</v>
      </c>
      <c r="E292" s="7">
        <f t="shared" si="1"/>
        <v>84.499566855378816</v>
      </c>
      <c r="F292" s="7">
        <f t="shared" si="11"/>
        <v>38444.026940811702</v>
      </c>
      <c r="G292" s="8">
        <f t="shared" si="12"/>
        <v>1461555.9730591886</v>
      </c>
    </row>
    <row r="293" spans="1:7" ht="12.75" x14ac:dyDescent="0.2">
      <c r="A293" s="17">
        <v>236</v>
      </c>
      <c r="B293" s="18">
        <v>51622</v>
      </c>
      <c r="C293" s="7">
        <f t="shared" si="13"/>
        <v>7731.1454562502995</v>
      </c>
      <c r="D293" s="7">
        <f t="shared" si="0"/>
        <v>7660.6647401921446</v>
      </c>
      <c r="E293" s="7">
        <f t="shared" si="1"/>
        <v>70.480716058154783</v>
      </c>
      <c r="F293" s="7">
        <f t="shared" si="11"/>
        <v>30783.362200619558</v>
      </c>
      <c r="G293" s="8">
        <f t="shared" si="12"/>
        <v>1469216.6377993808</v>
      </c>
    </row>
    <row r="294" spans="1:7" ht="12.75" x14ac:dyDescent="0.2">
      <c r="A294" s="17">
        <v>237</v>
      </c>
      <c r="B294" s="18">
        <v>51653</v>
      </c>
      <c r="C294" s="7">
        <f t="shared" si="13"/>
        <v>7731.1454562502995</v>
      </c>
      <c r="D294" s="7">
        <f t="shared" si="0"/>
        <v>7674.7092922158299</v>
      </c>
      <c r="E294" s="7">
        <f t="shared" si="1"/>
        <v>56.436164034469186</v>
      </c>
      <c r="F294" s="7">
        <f t="shared" si="11"/>
        <v>23108.652908403728</v>
      </c>
      <c r="G294" s="8">
        <f t="shared" si="12"/>
        <v>1476891.3470915966</v>
      </c>
    </row>
    <row r="295" spans="1:7" ht="12.75" x14ac:dyDescent="0.2">
      <c r="A295" s="17">
        <v>238</v>
      </c>
      <c r="B295" s="18">
        <v>51683</v>
      </c>
      <c r="C295" s="7">
        <f t="shared" si="13"/>
        <v>7731.1454562502995</v>
      </c>
      <c r="D295" s="7">
        <f t="shared" si="0"/>
        <v>7688.7795925848923</v>
      </c>
      <c r="E295" s="7">
        <f t="shared" si="1"/>
        <v>42.365863665406835</v>
      </c>
      <c r="F295" s="7">
        <f t="shared" si="11"/>
        <v>15419.873315818837</v>
      </c>
      <c r="G295" s="8">
        <f t="shared" si="12"/>
        <v>1484580.1266841814</v>
      </c>
    </row>
    <row r="296" spans="1:7" ht="12.75" x14ac:dyDescent="0.2">
      <c r="A296" s="17">
        <v>239</v>
      </c>
      <c r="B296" s="18">
        <v>51714</v>
      </c>
      <c r="C296" s="7">
        <f t="shared" si="13"/>
        <v>7731.1454562502995</v>
      </c>
      <c r="D296" s="7">
        <f t="shared" si="0"/>
        <v>7702.8756885046314</v>
      </c>
      <c r="E296" s="7">
        <f t="shared" si="1"/>
        <v>28.269767745667867</v>
      </c>
      <c r="F296" s="7">
        <f t="shared" si="11"/>
        <v>7716.9976273142056</v>
      </c>
      <c r="G296" s="8">
        <f t="shared" si="12"/>
        <v>1492283.0023726861</v>
      </c>
    </row>
    <row r="297" spans="1:7" ht="12.75" x14ac:dyDescent="0.2">
      <c r="A297" s="17">
        <v>240</v>
      </c>
      <c r="B297" s="18">
        <v>51745</v>
      </c>
      <c r="C297" s="7">
        <f t="shared" si="13"/>
        <v>7731.1454562502995</v>
      </c>
      <c r="D297" s="7">
        <f t="shared" si="0"/>
        <v>7716.99762726689</v>
      </c>
      <c r="E297" s="7">
        <f t="shared" si="1"/>
        <v>14.147828983409378</v>
      </c>
      <c r="F297" s="7">
        <f t="shared" si="11"/>
        <v>4.7315552365034819E-8</v>
      </c>
      <c r="G297" s="8">
        <f t="shared" si="12"/>
        <v>1499999.999999953</v>
      </c>
    </row>
    <row r="298" spans="1:7" ht="12.75" x14ac:dyDescent="0.2">
      <c r="B298" s="9"/>
      <c r="C298" s="13">
        <f>SUM(C58:C297)</f>
        <v>1855474.9095000701</v>
      </c>
      <c r="E298" s="13">
        <f>SUM(E58:E297)</f>
        <v>355474.90950011788</v>
      </c>
      <c r="G298" s="19">
        <f>E298/G297</f>
        <v>0.23698327300008601</v>
      </c>
    </row>
    <row r="299" spans="1:7" ht="12.75" x14ac:dyDescent="0.2">
      <c r="B299" s="20"/>
    </row>
    <row r="300" spans="1:7" ht="12.75" x14ac:dyDescent="0.2">
      <c r="B300" s="9"/>
    </row>
    <row r="301" spans="1:7" ht="12.75" x14ac:dyDescent="0.2">
      <c r="B301" s="20"/>
    </row>
    <row r="302" spans="1:7" ht="12.75" x14ac:dyDescent="0.2">
      <c r="B302" s="9"/>
    </row>
    <row r="303" spans="1:7" ht="12.75" x14ac:dyDescent="0.2">
      <c r="B303" s="20"/>
    </row>
    <row r="304" spans="1:7" ht="12.75" x14ac:dyDescent="0.2">
      <c r="B304" s="9"/>
    </row>
    <row r="305" spans="2:2" ht="12.75" x14ac:dyDescent="0.2">
      <c r="B305" s="20"/>
    </row>
    <row r="306" spans="2:2" ht="12.75" x14ac:dyDescent="0.2">
      <c r="B306" s="9"/>
    </row>
    <row r="307" spans="2:2" ht="12.75" x14ac:dyDescent="0.2">
      <c r="B307" s="20"/>
    </row>
    <row r="308" spans="2:2" ht="12.75" x14ac:dyDescent="0.2">
      <c r="B308" s="9"/>
    </row>
  </sheetData>
  <mergeCells count="5">
    <mergeCell ref="B38:I38"/>
    <mergeCell ref="B39:I39"/>
    <mergeCell ref="B40:I40"/>
    <mergeCell ref="B42:I42"/>
    <mergeCell ref="B46:H4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65D6-4645-4CD2-BD71-4CDE7F9433F9}">
  <dimension ref="A36:I120"/>
  <sheetViews>
    <sheetView tabSelected="1" workbookViewId="0">
      <selection activeCell="F7" sqref="F7"/>
    </sheetView>
  </sheetViews>
  <sheetFormatPr defaultColWidth="14.42578125" defaultRowHeight="15.75" customHeight="1" x14ac:dyDescent="0.2"/>
  <cols>
    <col min="2" max="2" width="25" customWidth="1"/>
    <col min="4" max="4" width="20.7109375" customWidth="1"/>
    <col min="5" max="5" width="15.85546875" customWidth="1"/>
    <col min="7" max="7" width="18.85546875" customWidth="1"/>
  </cols>
  <sheetData>
    <row r="36" spans="2:9" ht="15.75" customHeight="1" x14ac:dyDescent="0.25">
      <c r="B36" s="11" t="s">
        <v>54</v>
      </c>
      <c r="C36" s="12"/>
      <c r="D36" s="12"/>
      <c r="E36" s="12"/>
      <c r="F36" s="12"/>
      <c r="G36" s="12"/>
      <c r="H36" s="12"/>
      <c r="I36" s="12"/>
    </row>
    <row r="37" spans="2:9" ht="15.75" customHeight="1" x14ac:dyDescent="0.25">
      <c r="B37" s="11" t="s">
        <v>55</v>
      </c>
      <c r="C37" s="12"/>
      <c r="D37" s="12"/>
      <c r="E37" s="12"/>
      <c r="F37" s="12"/>
      <c r="G37" s="12"/>
      <c r="H37" s="12"/>
      <c r="I37" s="12"/>
    </row>
    <row r="38" spans="2:9" ht="15.75" customHeight="1" x14ac:dyDescent="0.25">
      <c r="B38" s="11"/>
      <c r="C38" s="12"/>
      <c r="D38" s="12"/>
      <c r="E38" s="12"/>
      <c r="F38" s="12"/>
      <c r="G38" s="12"/>
      <c r="H38" s="12"/>
      <c r="I38" s="12"/>
    </row>
    <row r="39" spans="2:9" ht="15.75" customHeight="1" x14ac:dyDescent="0.25">
      <c r="B39" s="1" t="s">
        <v>56</v>
      </c>
      <c r="C39" s="21"/>
      <c r="D39" s="21"/>
      <c r="E39" s="21"/>
      <c r="F39" s="21"/>
      <c r="G39" s="21"/>
      <c r="H39" s="21"/>
      <c r="I39" s="21"/>
    </row>
    <row r="40" spans="2:9" ht="15.75" customHeight="1" x14ac:dyDescent="0.25">
      <c r="B40" s="11" t="s">
        <v>57</v>
      </c>
      <c r="C40" s="12"/>
      <c r="D40" s="12"/>
      <c r="E40" s="12"/>
      <c r="F40" s="12"/>
      <c r="G40" s="12"/>
      <c r="H40" s="12"/>
      <c r="I40" s="12"/>
    </row>
    <row r="41" spans="2:9" ht="15.75" customHeight="1" x14ac:dyDescent="0.25">
      <c r="B41" s="1" t="s">
        <v>58</v>
      </c>
      <c r="C41" s="1"/>
      <c r="D41" s="1"/>
      <c r="E41" s="1"/>
      <c r="F41" s="1"/>
      <c r="G41" s="1"/>
      <c r="H41" s="1"/>
      <c r="I41" s="1"/>
    </row>
    <row r="42" spans="2:9" ht="15.75" customHeight="1" x14ac:dyDescent="0.25">
      <c r="B42" s="11"/>
      <c r="C42" s="12"/>
      <c r="D42" s="12"/>
      <c r="E42" s="12"/>
      <c r="F42" s="12"/>
      <c r="G42" s="1"/>
      <c r="H42" s="1"/>
      <c r="I42" s="1"/>
    </row>
    <row r="43" spans="2:9" ht="15.75" customHeight="1" x14ac:dyDescent="0.25">
      <c r="B43" s="11" t="s">
        <v>59</v>
      </c>
      <c r="C43" s="12"/>
      <c r="D43" s="12"/>
      <c r="E43" s="12"/>
      <c r="F43" s="12"/>
      <c r="G43" s="12"/>
      <c r="H43" s="12"/>
      <c r="I43" s="1"/>
    </row>
    <row r="44" spans="2:9" ht="12.75" x14ac:dyDescent="0.2">
      <c r="B44" s="2" t="s">
        <v>60</v>
      </c>
    </row>
    <row r="45" spans="2:9" ht="12.75" x14ac:dyDescent="0.2">
      <c r="B45" s="2" t="s">
        <v>61</v>
      </c>
    </row>
    <row r="47" spans="2:9" ht="12.75" x14ac:dyDescent="0.2">
      <c r="B47" s="2" t="s">
        <v>62</v>
      </c>
      <c r="C47" s="10">
        <v>900000</v>
      </c>
    </row>
    <row r="48" spans="2:9" ht="12.75" x14ac:dyDescent="0.2">
      <c r="B48" s="2" t="s">
        <v>63</v>
      </c>
      <c r="C48" s="2" t="s">
        <v>64</v>
      </c>
      <c r="D48" s="2">
        <f>15*4</f>
        <v>60</v>
      </c>
      <c r="E48" s="2" t="s">
        <v>65</v>
      </c>
    </row>
    <row r="49" spans="1:7" ht="12.75" x14ac:dyDescent="0.2">
      <c r="B49" s="2" t="s">
        <v>66</v>
      </c>
    </row>
    <row r="51" spans="1:7" ht="12.75" x14ac:dyDescent="0.2">
      <c r="B51" s="2" t="s">
        <v>67</v>
      </c>
      <c r="C51" s="14">
        <f>0.72%+0.65%</f>
        <v>1.37E-2</v>
      </c>
      <c r="D51" s="2" t="s">
        <v>68</v>
      </c>
      <c r="E51" s="14">
        <f t="shared" ref="E51:E53" si="0">C51/4</f>
        <v>3.4250000000000001E-3</v>
      </c>
      <c r="F51" s="2" t="s">
        <v>69</v>
      </c>
    </row>
    <row r="52" spans="1:7" ht="12.75" x14ac:dyDescent="0.2">
      <c r="B52" s="2" t="s">
        <v>70</v>
      </c>
      <c r="C52" s="14">
        <f>0.98%+0.65%</f>
        <v>1.6300000000000002E-2</v>
      </c>
      <c r="D52" s="2" t="s">
        <v>68</v>
      </c>
      <c r="E52" s="14">
        <f t="shared" si="0"/>
        <v>4.0750000000000005E-3</v>
      </c>
      <c r="F52" s="2" t="s">
        <v>69</v>
      </c>
    </row>
    <row r="53" spans="1:7" ht="12.75" x14ac:dyDescent="0.2">
      <c r="B53" s="2" t="s">
        <v>71</v>
      </c>
      <c r="C53" s="14">
        <f>1.11%+0.65%</f>
        <v>1.7600000000000001E-2</v>
      </c>
      <c r="D53" s="2" t="s">
        <v>68</v>
      </c>
      <c r="E53" s="14">
        <f t="shared" si="0"/>
        <v>4.4000000000000003E-3</v>
      </c>
      <c r="F53" s="2" t="s">
        <v>69</v>
      </c>
    </row>
    <row r="55" spans="1:7" ht="12.75" x14ac:dyDescent="0.2">
      <c r="B55" s="2" t="s">
        <v>72</v>
      </c>
      <c r="C55" s="10">
        <f>C47*(E51/(1-(1+E51)^-D48))</f>
        <v>16619.583554106612</v>
      </c>
      <c r="F55" s="22">
        <f>PPMT(C51,7,90,F60,0)</f>
        <v>-5567.7874176941468</v>
      </c>
    </row>
    <row r="56" spans="1:7" ht="12.75" x14ac:dyDescent="0.2">
      <c r="B56" s="2" t="s">
        <v>73</v>
      </c>
      <c r="C56" s="10">
        <f>F64*(E52/(1-(1+E52)^-(D48-A64)))</f>
        <v>16918.450433227426</v>
      </c>
    </row>
    <row r="57" spans="1:7" ht="12.75" x14ac:dyDescent="0.2">
      <c r="B57" s="2" t="s">
        <v>74</v>
      </c>
      <c r="C57" s="10">
        <f>F68*(E53/(1-(1+E53)^-(D48-A68)))</f>
        <v>17058.914749127271</v>
      </c>
    </row>
    <row r="59" spans="1:7" ht="12.75" x14ac:dyDescent="0.2">
      <c r="A59" s="23" t="s">
        <v>75</v>
      </c>
      <c r="B59" s="23" t="s">
        <v>7</v>
      </c>
      <c r="C59" s="23" t="s">
        <v>8</v>
      </c>
      <c r="D59" s="23" t="s">
        <v>76</v>
      </c>
      <c r="E59" s="23" t="s">
        <v>52</v>
      </c>
      <c r="F59" s="23" t="s">
        <v>53</v>
      </c>
      <c r="G59" s="23" t="s">
        <v>12</v>
      </c>
    </row>
    <row r="60" spans="1:7" ht="12.75" x14ac:dyDescent="0.2">
      <c r="A60" s="17">
        <v>0</v>
      </c>
      <c r="B60" s="24">
        <v>44287</v>
      </c>
      <c r="C60" s="7"/>
      <c r="D60" s="7"/>
      <c r="E60" s="7"/>
      <c r="F60" s="7">
        <f>C47</f>
        <v>900000</v>
      </c>
      <c r="G60" s="8"/>
    </row>
    <row r="61" spans="1:7" ht="12.75" x14ac:dyDescent="0.2">
      <c r="A61" s="25">
        <v>1</v>
      </c>
      <c r="B61" s="26">
        <v>44378</v>
      </c>
      <c r="C61" s="27">
        <f>C55</f>
        <v>16619.583554106612</v>
      </c>
      <c r="D61" s="27">
        <f t="shared" ref="D61:D120" si="1">C61-E61</f>
        <v>13537.083554106612</v>
      </c>
      <c r="E61" s="27">
        <f t="shared" ref="E61:E64" si="2">F60*$E$51</f>
        <v>3082.5</v>
      </c>
      <c r="F61" s="27">
        <f t="shared" ref="F61:F120" si="3">F60-D61</f>
        <v>886462.91644589335</v>
      </c>
      <c r="G61" s="28">
        <f t="shared" ref="G61:G120" si="4">G60+D61</f>
        <v>13537.083554106612</v>
      </c>
    </row>
    <row r="62" spans="1:7" ht="12.75" x14ac:dyDescent="0.2">
      <c r="A62" s="25">
        <v>2</v>
      </c>
      <c r="B62" s="26">
        <v>44470</v>
      </c>
      <c r="C62" s="27">
        <f t="shared" ref="C62:C64" si="5">C61</f>
        <v>16619.583554106612</v>
      </c>
      <c r="D62" s="27">
        <f t="shared" si="1"/>
        <v>13583.448065279426</v>
      </c>
      <c r="E62" s="27">
        <f t="shared" si="2"/>
        <v>3036.1354888271849</v>
      </c>
      <c r="F62" s="27">
        <f t="shared" si="3"/>
        <v>872879.46838061395</v>
      </c>
      <c r="G62" s="28">
        <f t="shared" si="4"/>
        <v>27120.531619386038</v>
      </c>
    </row>
    <row r="63" spans="1:7" ht="12.75" x14ac:dyDescent="0.2">
      <c r="A63" s="25">
        <v>3</v>
      </c>
      <c r="B63" s="26">
        <v>44562</v>
      </c>
      <c r="C63" s="27">
        <f t="shared" si="5"/>
        <v>16619.583554106612</v>
      </c>
      <c r="D63" s="27">
        <f t="shared" si="1"/>
        <v>13629.971374903009</v>
      </c>
      <c r="E63" s="27">
        <f t="shared" si="2"/>
        <v>2989.6121792036029</v>
      </c>
      <c r="F63" s="27">
        <f t="shared" si="3"/>
        <v>859249.49700571096</v>
      </c>
      <c r="G63" s="28">
        <f t="shared" si="4"/>
        <v>40750.502994289047</v>
      </c>
    </row>
    <row r="64" spans="1:7" ht="12.75" x14ac:dyDescent="0.2">
      <c r="A64" s="25">
        <v>4</v>
      </c>
      <c r="B64" s="26">
        <v>44652</v>
      </c>
      <c r="C64" s="27">
        <f t="shared" si="5"/>
        <v>16619.583554106612</v>
      </c>
      <c r="D64" s="27">
        <f t="shared" si="1"/>
        <v>13676.654026862052</v>
      </c>
      <c r="E64" s="27">
        <f t="shared" si="2"/>
        <v>2942.9295272445602</v>
      </c>
      <c r="F64" s="27">
        <f t="shared" si="3"/>
        <v>845572.84297884896</v>
      </c>
      <c r="G64" s="28">
        <f t="shared" si="4"/>
        <v>54427.157021151099</v>
      </c>
    </row>
    <row r="65" spans="1:7" ht="12.75" x14ac:dyDescent="0.2">
      <c r="A65" s="29">
        <v>5</v>
      </c>
      <c r="B65" s="30">
        <v>44743</v>
      </c>
      <c r="C65" s="31">
        <f>C56</f>
        <v>16918.450433227426</v>
      </c>
      <c r="D65" s="31">
        <f t="shared" si="1"/>
        <v>13472.741098088616</v>
      </c>
      <c r="E65" s="31">
        <f t="shared" ref="E65:E68" si="6">F64*$E$52</f>
        <v>3445.7093351388098</v>
      </c>
      <c r="F65" s="31">
        <f t="shared" si="3"/>
        <v>832100.1018807604</v>
      </c>
      <c r="G65" s="32">
        <f t="shared" si="4"/>
        <v>67899.898119239719</v>
      </c>
    </row>
    <row r="66" spans="1:7" ht="12.75" x14ac:dyDescent="0.2">
      <c r="A66" s="29">
        <v>6</v>
      </c>
      <c r="B66" s="30">
        <v>44835</v>
      </c>
      <c r="C66" s="31">
        <f t="shared" ref="C66:C68" si="7">C65</f>
        <v>16918.450433227426</v>
      </c>
      <c r="D66" s="31">
        <f t="shared" si="1"/>
        <v>13527.642518063327</v>
      </c>
      <c r="E66" s="31">
        <f t="shared" si="6"/>
        <v>3390.8079151640991</v>
      </c>
      <c r="F66" s="31">
        <f t="shared" si="3"/>
        <v>818572.45936269709</v>
      </c>
      <c r="G66" s="32">
        <f t="shared" si="4"/>
        <v>81427.540637303042</v>
      </c>
    </row>
    <row r="67" spans="1:7" ht="12.75" x14ac:dyDescent="0.2">
      <c r="A67" s="29">
        <v>7</v>
      </c>
      <c r="B67" s="30">
        <v>44927</v>
      </c>
      <c r="C67" s="31">
        <f t="shared" si="7"/>
        <v>16918.450433227426</v>
      </c>
      <c r="D67" s="31">
        <f t="shared" si="1"/>
        <v>13582.767661324435</v>
      </c>
      <c r="E67" s="31">
        <f t="shared" si="6"/>
        <v>3335.6827719029911</v>
      </c>
      <c r="F67" s="31">
        <f t="shared" si="3"/>
        <v>804989.69170137262</v>
      </c>
      <c r="G67" s="32">
        <f t="shared" si="4"/>
        <v>95010.308298627482</v>
      </c>
    </row>
    <row r="68" spans="1:7" ht="12.75" x14ac:dyDescent="0.2">
      <c r="A68" s="29">
        <v>8</v>
      </c>
      <c r="B68" s="30">
        <v>45017</v>
      </c>
      <c r="C68" s="31">
        <f t="shared" si="7"/>
        <v>16918.450433227426</v>
      </c>
      <c r="D68" s="31">
        <f t="shared" si="1"/>
        <v>13638.117439544332</v>
      </c>
      <c r="E68" s="31">
        <f t="shared" si="6"/>
        <v>3280.3329936830937</v>
      </c>
      <c r="F68" s="31">
        <f t="shared" si="3"/>
        <v>791351.57426182833</v>
      </c>
      <c r="G68" s="32">
        <f t="shared" si="4"/>
        <v>108648.42573817182</v>
      </c>
    </row>
    <row r="69" spans="1:7" ht="12.75" x14ac:dyDescent="0.2">
      <c r="A69" s="17">
        <v>9</v>
      </c>
      <c r="B69" s="24">
        <v>45108</v>
      </c>
      <c r="C69" s="7">
        <f>C57</f>
        <v>17058.914749127271</v>
      </c>
      <c r="D69" s="7">
        <f t="shared" si="1"/>
        <v>13576.967822375225</v>
      </c>
      <c r="E69" s="7">
        <f t="shared" ref="E69:E120" si="8">F68*$E$53</f>
        <v>3481.9469267520449</v>
      </c>
      <c r="F69" s="7">
        <f t="shared" si="3"/>
        <v>777774.60643945308</v>
      </c>
      <c r="G69" s="8">
        <f t="shared" si="4"/>
        <v>122225.39356054705</v>
      </c>
    </row>
    <row r="70" spans="1:7" ht="12.75" x14ac:dyDescent="0.2">
      <c r="A70" s="17">
        <v>10</v>
      </c>
      <c r="B70" s="24">
        <v>45200</v>
      </c>
      <c r="C70" s="7">
        <f t="shared" ref="C70:C120" si="9">C69</f>
        <v>17058.914749127271</v>
      </c>
      <c r="D70" s="7">
        <f t="shared" si="1"/>
        <v>13636.706480793677</v>
      </c>
      <c r="E70" s="7">
        <f t="shared" si="8"/>
        <v>3422.2082683335939</v>
      </c>
      <c r="F70" s="7">
        <f t="shared" si="3"/>
        <v>764137.89995865943</v>
      </c>
      <c r="G70" s="8">
        <f t="shared" si="4"/>
        <v>135862.10004134072</v>
      </c>
    </row>
    <row r="71" spans="1:7" ht="12.75" x14ac:dyDescent="0.2">
      <c r="A71" s="17">
        <v>11</v>
      </c>
      <c r="B71" s="24">
        <v>45292</v>
      </c>
      <c r="C71" s="7">
        <f t="shared" si="9"/>
        <v>17058.914749127271</v>
      </c>
      <c r="D71" s="7">
        <f t="shared" si="1"/>
        <v>13696.707989309169</v>
      </c>
      <c r="E71" s="7">
        <f t="shared" si="8"/>
        <v>3362.2067598181015</v>
      </c>
      <c r="F71" s="7">
        <f t="shared" si="3"/>
        <v>750441.19196935021</v>
      </c>
      <c r="G71" s="8">
        <f t="shared" si="4"/>
        <v>149558.80803064987</v>
      </c>
    </row>
    <row r="72" spans="1:7" ht="12.75" x14ac:dyDescent="0.2">
      <c r="A72" s="17">
        <v>12</v>
      </c>
      <c r="B72" s="24">
        <v>45383</v>
      </c>
      <c r="C72" s="7">
        <f t="shared" si="9"/>
        <v>17058.914749127271</v>
      </c>
      <c r="D72" s="7">
        <f t="shared" si="1"/>
        <v>13756.97350446213</v>
      </c>
      <c r="E72" s="7">
        <f t="shared" si="8"/>
        <v>3301.9412446651413</v>
      </c>
      <c r="F72" s="7">
        <f t="shared" si="3"/>
        <v>736684.21846488805</v>
      </c>
      <c r="G72" s="8">
        <f t="shared" si="4"/>
        <v>163315.78153511201</v>
      </c>
    </row>
    <row r="73" spans="1:7" ht="12.75" x14ac:dyDescent="0.2">
      <c r="A73" s="17">
        <v>13</v>
      </c>
      <c r="B73" s="24">
        <v>45474</v>
      </c>
      <c r="C73" s="7">
        <f t="shared" si="9"/>
        <v>17058.914749127271</v>
      </c>
      <c r="D73" s="7">
        <f t="shared" si="1"/>
        <v>13817.504187881763</v>
      </c>
      <c r="E73" s="7">
        <f t="shared" si="8"/>
        <v>3241.4105612455078</v>
      </c>
      <c r="F73" s="7">
        <f t="shared" si="3"/>
        <v>722866.71427700634</v>
      </c>
      <c r="G73" s="8">
        <f t="shared" si="4"/>
        <v>177133.28572299378</v>
      </c>
    </row>
    <row r="74" spans="1:7" ht="12.75" x14ac:dyDescent="0.2">
      <c r="A74" s="17">
        <v>14</v>
      </c>
      <c r="B74" s="24">
        <v>45566</v>
      </c>
      <c r="C74" s="7">
        <f t="shared" si="9"/>
        <v>17058.914749127271</v>
      </c>
      <c r="D74" s="7">
        <f t="shared" si="1"/>
        <v>13878.301206308442</v>
      </c>
      <c r="E74" s="7">
        <f t="shared" si="8"/>
        <v>3180.6135428188281</v>
      </c>
      <c r="F74" s="7">
        <f t="shared" si="3"/>
        <v>708988.41307069792</v>
      </c>
      <c r="G74" s="8">
        <f t="shared" si="4"/>
        <v>191011.58692930223</v>
      </c>
    </row>
    <row r="75" spans="1:7" ht="12.75" x14ac:dyDescent="0.2">
      <c r="A75" s="17">
        <v>15</v>
      </c>
      <c r="B75" s="24">
        <v>45658</v>
      </c>
      <c r="C75" s="7">
        <f t="shared" si="9"/>
        <v>17058.914749127271</v>
      </c>
      <c r="D75" s="7">
        <f t="shared" si="1"/>
        <v>13939.365731616199</v>
      </c>
      <c r="E75" s="7">
        <f t="shared" si="8"/>
        <v>3119.5490175110708</v>
      </c>
      <c r="F75" s="7">
        <f t="shared" si="3"/>
        <v>695049.04733908176</v>
      </c>
      <c r="G75" s="8">
        <f t="shared" si="4"/>
        <v>204950.95266091841</v>
      </c>
    </row>
    <row r="76" spans="1:7" ht="12.75" x14ac:dyDescent="0.2">
      <c r="A76" s="17">
        <v>16</v>
      </c>
      <c r="B76" s="24">
        <v>45748</v>
      </c>
      <c r="C76" s="7">
        <f t="shared" si="9"/>
        <v>17058.914749127271</v>
      </c>
      <c r="D76" s="7">
        <f t="shared" si="1"/>
        <v>14000.698940835311</v>
      </c>
      <c r="E76" s="7">
        <f t="shared" si="8"/>
        <v>3058.21580829196</v>
      </c>
      <c r="F76" s="7">
        <f t="shared" si="3"/>
        <v>681048.34839824645</v>
      </c>
      <c r="G76" s="8">
        <f t="shared" si="4"/>
        <v>218951.65160175372</v>
      </c>
    </row>
    <row r="77" spans="1:7" ht="12.75" x14ac:dyDescent="0.2">
      <c r="A77" s="17">
        <v>17</v>
      </c>
      <c r="B77" s="24">
        <v>45839</v>
      </c>
      <c r="C77" s="7">
        <f t="shared" si="9"/>
        <v>17058.914749127271</v>
      </c>
      <c r="D77" s="7">
        <f t="shared" si="1"/>
        <v>14062.302016174986</v>
      </c>
      <c r="E77" s="7">
        <f t="shared" si="8"/>
        <v>2996.6127329522847</v>
      </c>
      <c r="F77" s="7">
        <f t="shared" si="3"/>
        <v>666986.04638207145</v>
      </c>
      <c r="G77" s="8">
        <f t="shared" si="4"/>
        <v>233013.9536179287</v>
      </c>
    </row>
    <row r="78" spans="1:7" ht="12.75" x14ac:dyDescent="0.2">
      <c r="A78" s="17">
        <v>18</v>
      </c>
      <c r="B78" s="24">
        <v>45931</v>
      </c>
      <c r="C78" s="7">
        <f t="shared" si="9"/>
        <v>17058.914749127271</v>
      </c>
      <c r="D78" s="7">
        <f t="shared" si="1"/>
        <v>14124.176145046156</v>
      </c>
      <c r="E78" s="7">
        <f t="shared" si="8"/>
        <v>2934.7386040811148</v>
      </c>
      <c r="F78" s="7">
        <f t="shared" si="3"/>
        <v>652861.87023702532</v>
      </c>
      <c r="G78" s="8">
        <f t="shared" si="4"/>
        <v>247138.12976297486</v>
      </c>
    </row>
    <row r="79" spans="1:7" ht="12.75" x14ac:dyDescent="0.2">
      <c r="A79" s="17">
        <v>19</v>
      </c>
      <c r="B79" s="24">
        <v>46023</v>
      </c>
      <c r="C79" s="7">
        <f t="shared" si="9"/>
        <v>17058.914749127271</v>
      </c>
      <c r="D79" s="7">
        <f t="shared" si="1"/>
        <v>14186.322520084359</v>
      </c>
      <c r="E79" s="7">
        <f t="shared" si="8"/>
        <v>2872.5922290429116</v>
      </c>
      <c r="F79" s="7">
        <f t="shared" si="3"/>
        <v>638675.54771694099</v>
      </c>
      <c r="G79" s="8">
        <f t="shared" si="4"/>
        <v>261324.45228305922</v>
      </c>
    </row>
    <row r="80" spans="1:7" ht="12.75" x14ac:dyDescent="0.2">
      <c r="A80" s="17">
        <v>20</v>
      </c>
      <c r="B80" s="24">
        <v>46113</v>
      </c>
      <c r="C80" s="7">
        <f t="shared" si="9"/>
        <v>17058.914749127271</v>
      </c>
      <c r="D80" s="7">
        <f t="shared" si="1"/>
        <v>14248.74233917273</v>
      </c>
      <c r="E80" s="7">
        <f t="shared" si="8"/>
        <v>2810.1724099545404</v>
      </c>
      <c r="F80" s="7">
        <f t="shared" si="3"/>
        <v>624426.80537776824</v>
      </c>
      <c r="G80" s="8">
        <f t="shared" si="4"/>
        <v>275573.19462223194</v>
      </c>
    </row>
    <row r="81" spans="1:7" ht="12.75" x14ac:dyDescent="0.2">
      <c r="A81" s="17">
        <v>21</v>
      </c>
      <c r="B81" s="24">
        <v>46204</v>
      </c>
      <c r="C81" s="7">
        <f t="shared" si="9"/>
        <v>17058.914749127271</v>
      </c>
      <c r="D81" s="7">
        <f t="shared" si="1"/>
        <v>14311.436805465091</v>
      </c>
      <c r="E81" s="7">
        <f t="shared" si="8"/>
        <v>2747.4779436621802</v>
      </c>
      <c r="F81" s="7">
        <f t="shared" si="3"/>
        <v>610115.36857230309</v>
      </c>
      <c r="G81" s="8">
        <f t="shared" si="4"/>
        <v>289884.63142769702</v>
      </c>
    </row>
    <row r="82" spans="1:7" ht="12.75" x14ac:dyDescent="0.2">
      <c r="A82" s="17">
        <v>22</v>
      </c>
      <c r="B82" s="24">
        <v>46296</v>
      </c>
      <c r="C82" s="7">
        <f t="shared" si="9"/>
        <v>17058.914749127271</v>
      </c>
      <c r="D82" s="7">
        <f t="shared" si="1"/>
        <v>14374.407127409137</v>
      </c>
      <c r="E82" s="7">
        <f t="shared" si="8"/>
        <v>2684.5076217181336</v>
      </c>
      <c r="F82" s="7">
        <f t="shared" si="3"/>
        <v>595740.96144489397</v>
      </c>
      <c r="G82" s="8">
        <f t="shared" si="4"/>
        <v>304259.03855510615</v>
      </c>
    </row>
    <row r="83" spans="1:7" ht="12.75" x14ac:dyDescent="0.2">
      <c r="A83" s="17">
        <v>23</v>
      </c>
      <c r="B83" s="24">
        <v>46388</v>
      </c>
      <c r="C83" s="7">
        <f t="shared" si="9"/>
        <v>17058.914749127271</v>
      </c>
      <c r="D83" s="7">
        <f t="shared" si="1"/>
        <v>14437.654518769737</v>
      </c>
      <c r="E83" s="7">
        <f t="shared" si="8"/>
        <v>2621.2602303575336</v>
      </c>
      <c r="F83" s="7">
        <f t="shared" si="3"/>
        <v>581303.30692612426</v>
      </c>
      <c r="G83" s="8">
        <f t="shared" si="4"/>
        <v>318696.69307387591</v>
      </c>
    </row>
    <row r="84" spans="1:7" ht="12.75" x14ac:dyDescent="0.2">
      <c r="A84" s="17">
        <v>24</v>
      </c>
      <c r="B84" s="24">
        <v>46478</v>
      </c>
      <c r="C84" s="7">
        <f t="shared" si="9"/>
        <v>17058.914749127271</v>
      </c>
      <c r="D84" s="7">
        <f t="shared" si="1"/>
        <v>14501.180198652324</v>
      </c>
      <c r="E84" s="7">
        <f t="shared" si="8"/>
        <v>2557.7345504749469</v>
      </c>
      <c r="F84" s="7">
        <f t="shared" si="3"/>
        <v>566802.12672747194</v>
      </c>
      <c r="G84" s="8">
        <f t="shared" si="4"/>
        <v>333197.87327252823</v>
      </c>
    </row>
    <row r="85" spans="1:7" ht="12.75" x14ac:dyDescent="0.2">
      <c r="A85" s="17">
        <v>25</v>
      </c>
      <c r="B85" s="24">
        <v>46569</v>
      </c>
      <c r="C85" s="7">
        <f t="shared" si="9"/>
        <v>17058.914749127271</v>
      </c>
      <c r="D85" s="7">
        <f t="shared" si="1"/>
        <v>14564.985391526394</v>
      </c>
      <c r="E85" s="7">
        <f t="shared" si="8"/>
        <v>2493.9293576008768</v>
      </c>
      <c r="F85" s="7">
        <f t="shared" si="3"/>
        <v>552237.14133594558</v>
      </c>
      <c r="G85" s="8">
        <f t="shared" si="4"/>
        <v>347762.8586640546</v>
      </c>
    </row>
    <row r="86" spans="1:7" ht="12.75" x14ac:dyDescent="0.2">
      <c r="A86" s="17">
        <v>26</v>
      </c>
      <c r="B86" s="24">
        <v>46661</v>
      </c>
      <c r="C86" s="7">
        <f t="shared" si="9"/>
        <v>17058.914749127271</v>
      </c>
      <c r="D86" s="7">
        <f t="shared" si="1"/>
        <v>14629.07132724911</v>
      </c>
      <c r="E86" s="7">
        <f t="shared" si="8"/>
        <v>2429.8434218781608</v>
      </c>
      <c r="F86" s="7">
        <f t="shared" si="3"/>
        <v>537608.07000869652</v>
      </c>
      <c r="G86" s="8">
        <f t="shared" si="4"/>
        <v>362391.92999130371</v>
      </c>
    </row>
    <row r="87" spans="1:7" ht="12.75" x14ac:dyDescent="0.2">
      <c r="A87" s="17">
        <v>27</v>
      </c>
      <c r="B87" s="24">
        <v>46753</v>
      </c>
      <c r="C87" s="7">
        <f t="shared" si="9"/>
        <v>17058.914749127271</v>
      </c>
      <c r="D87" s="7">
        <f t="shared" si="1"/>
        <v>14693.439241089007</v>
      </c>
      <c r="E87" s="7">
        <f t="shared" si="8"/>
        <v>2365.4755080382647</v>
      </c>
      <c r="F87" s="7">
        <f t="shared" si="3"/>
        <v>522914.63076760754</v>
      </c>
      <c r="G87" s="8">
        <f t="shared" si="4"/>
        <v>377085.3692323927</v>
      </c>
    </row>
    <row r="88" spans="1:7" ht="12.75" x14ac:dyDescent="0.2">
      <c r="A88" s="17">
        <v>28</v>
      </c>
      <c r="B88" s="24">
        <v>46844</v>
      </c>
      <c r="C88" s="7">
        <f t="shared" si="9"/>
        <v>17058.914749127271</v>
      </c>
      <c r="D88" s="7">
        <f t="shared" si="1"/>
        <v>14758.090373749797</v>
      </c>
      <c r="E88" s="7">
        <f t="shared" si="8"/>
        <v>2300.8243753774732</v>
      </c>
      <c r="F88" s="7">
        <f t="shared" si="3"/>
        <v>508156.54039385775</v>
      </c>
      <c r="G88" s="8">
        <f t="shared" si="4"/>
        <v>391843.45960614248</v>
      </c>
    </row>
    <row r="89" spans="1:7" ht="12.75" x14ac:dyDescent="0.2">
      <c r="A89" s="17">
        <v>29</v>
      </c>
      <c r="B89" s="24">
        <v>46935</v>
      </c>
      <c r="C89" s="7">
        <f t="shared" si="9"/>
        <v>17058.914749127271</v>
      </c>
      <c r="D89" s="7">
        <f t="shared" si="1"/>
        <v>14823.025971394296</v>
      </c>
      <c r="E89" s="7">
        <f t="shared" si="8"/>
        <v>2235.8887777329742</v>
      </c>
      <c r="F89" s="7">
        <f t="shared" si="3"/>
        <v>493333.51442246343</v>
      </c>
      <c r="G89" s="8">
        <f t="shared" si="4"/>
        <v>406666.48557753681</v>
      </c>
    </row>
    <row r="90" spans="1:7" ht="12.75" x14ac:dyDescent="0.2">
      <c r="A90" s="17">
        <v>30</v>
      </c>
      <c r="B90" s="24">
        <v>47027</v>
      </c>
      <c r="C90" s="7">
        <f t="shared" si="9"/>
        <v>17058.914749127271</v>
      </c>
      <c r="D90" s="7">
        <f t="shared" si="1"/>
        <v>14888.247285668431</v>
      </c>
      <c r="E90" s="7">
        <f t="shared" si="8"/>
        <v>2170.6674634588394</v>
      </c>
      <c r="F90" s="7">
        <f t="shared" si="3"/>
        <v>478445.26713679498</v>
      </c>
      <c r="G90" s="8">
        <f t="shared" si="4"/>
        <v>421554.73286320525</v>
      </c>
    </row>
    <row r="91" spans="1:7" ht="12.75" x14ac:dyDescent="0.2">
      <c r="A91" s="17">
        <v>31</v>
      </c>
      <c r="B91" s="24">
        <v>47119</v>
      </c>
      <c r="C91" s="7">
        <f t="shared" si="9"/>
        <v>17058.914749127271</v>
      </c>
      <c r="D91" s="7">
        <f t="shared" si="1"/>
        <v>14953.755573725372</v>
      </c>
      <c r="E91" s="7">
        <f t="shared" si="8"/>
        <v>2105.1591754018982</v>
      </c>
      <c r="F91" s="7">
        <f t="shared" si="3"/>
        <v>463491.51156306959</v>
      </c>
      <c r="G91" s="8">
        <f t="shared" si="4"/>
        <v>436508.48843693064</v>
      </c>
    </row>
    <row r="92" spans="1:7" ht="12.75" x14ac:dyDescent="0.2">
      <c r="A92" s="17">
        <v>32</v>
      </c>
      <c r="B92" s="24">
        <v>47209</v>
      </c>
      <c r="C92" s="7">
        <f t="shared" si="9"/>
        <v>17058.914749127271</v>
      </c>
      <c r="D92" s="7">
        <f t="shared" si="1"/>
        <v>15019.552098249764</v>
      </c>
      <c r="E92" s="7">
        <f t="shared" si="8"/>
        <v>2039.3626508775064</v>
      </c>
      <c r="F92" s="7">
        <f t="shared" si="3"/>
        <v>448471.95946481981</v>
      </c>
      <c r="G92" s="8">
        <f t="shared" si="4"/>
        <v>451528.04053518042</v>
      </c>
    </row>
    <row r="93" spans="1:7" ht="12.75" x14ac:dyDescent="0.2">
      <c r="A93" s="17">
        <v>33</v>
      </c>
      <c r="B93" s="24">
        <v>47300</v>
      </c>
      <c r="C93" s="7">
        <f t="shared" si="9"/>
        <v>17058.914749127271</v>
      </c>
      <c r="D93" s="7">
        <f t="shared" si="1"/>
        <v>15085.638127482063</v>
      </c>
      <c r="E93" s="7">
        <f t="shared" si="8"/>
        <v>1973.2766216452073</v>
      </c>
      <c r="F93" s="7">
        <f t="shared" si="3"/>
        <v>433386.32133733772</v>
      </c>
      <c r="G93" s="8">
        <f t="shared" si="4"/>
        <v>466613.67866266251</v>
      </c>
    </row>
    <row r="94" spans="1:7" ht="12.75" x14ac:dyDescent="0.2">
      <c r="A94" s="17">
        <v>34</v>
      </c>
      <c r="B94" s="24">
        <v>47392</v>
      </c>
      <c r="C94" s="7">
        <f t="shared" si="9"/>
        <v>17058.914749127271</v>
      </c>
      <c r="D94" s="7">
        <f t="shared" si="1"/>
        <v>15152.014935242985</v>
      </c>
      <c r="E94" s="7">
        <f t="shared" si="8"/>
        <v>1906.899813884286</v>
      </c>
      <c r="F94" s="7">
        <f t="shared" si="3"/>
        <v>418234.30640209472</v>
      </c>
      <c r="G94" s="8">
        <f t="shared" si="4"/>
        <v>481765.69359790551</v>
      </c>
    </row>
    <row r="95" spans="1:7" ht="12.75" x14ac:dyDescent="0.2">
      <c r="A95" s="17">
        <v>35</v>
      </c>
      <c r="B95" s="24">
        <v>47484</v>
      </c>
      <c r="C95" s="7">
        <f t="shared" si="9"/>
        <v>17058.914749127271</v>
      </c>
      <c r="D95" s="7">
        <f t="shared" si="1"/>
        <v>15218.683800958053</v>
      </c>
      <c r="E95" s="7">
        <f t="shared" si="8"/>
        <v>1840.2309481692168</v>
      </c>
      <c r="F95" s="7">
        <f t="shared" si="3"/>
        <v>403015.62260113668</v>
      </c>
      <c r="G95" s="8">
        <f t="shared" si="4"/>
        <v>496984.37739886355</v>
      </c>
    </row>
    <row r="96" spans="1:7" ht="12.75" x14ac:dyDescent="0.2">
      <c r="A96" s="17">
        <v>36</v>
      </c>
      <c r="B96" s="24">
        <v>47574</v>
      </c>
      <c r="C96" s="7">
        <f t="shared" si="9"/>
        <v>17058.914749127271</v>
      </c>
      <c r="D96" s="7">
        <f t="shared" si="1"/>
        <v>15285.646009682268</v>
      </c>
      <c r="E96" s="7">
        <f t="shared" si="8"/>
        <v>1773.2687394450015</v>
      </c>
      <c r="F96" s="7">
        <f t="shared" si="3"/>
        <v>387729.97659145441</v>
      </c>
      <c r="G96" s="8">
        <f t="shared" si="4"/>
        <v>512270.02340854582</v>
      </c>
    </row>
    <row r="97" spans="1:7" ht="12.75" x14ac:dyDescent="0.2">
      <c r="A97" s="17">
        <v>37</v>
      </c>
      <c r="B97" s="24">
        <v>47665</v>
      </c>
      <c r="C97" s="7">
        <f t="shared" si="9"/>
        <v>17058.914749127271</v>
      </c>
      <c r="D97" s="7">
        <f t="shared" si="1"/>
        <v>15352.902852124871</v>
      </c>
      <c r="E97" s="7">
        <f t="shared" si="8"/>
        <v>1706.0118970023996</v>
      </c>
      <c r="F97" s="7">
        <f t="shared" si="3"/>
        <v>372377.07373932953</v>
      </c>
      <c r="G97" s="8">
        <f t="shared" si="4"/>
        <v>527622.92626067065</v>
      </c>
    </row>
    <row r="98" spans="1:7" ht="12.75" x14ac:dyDescent="0.2">
      <c r="A98" s="17">
        <v>38</v>
      </c>
      <c r="B98" s="24">
        <v>47757</v>
      </c>
      <c r="C98" s="7">
        <f t="shared" si="9"/>
        <v>17058.914749127271</v>
      </c>
      <c r="D98" s="7">
        <f t="shared" si="1"/>
        <v>15420.455624674221</v>
      </c>
      <c r="E98" s="7">
        <f t="shared" si="8"/>
        <v>1638.45912445305</v>
      </c>
      <c r="F98" s="7">
        <f t="shared" si="3"/>
        <v>356956.61811465531</v>
      </c>
      <c r="G98" s="8">
        <f t="shared" si="4"/>
        <v>543043.38188534486</v>
      </c>
    </row>
    <row r="99" spans="1:7" ht="12.75" x14ac:dyDescent="0.2">
      <c r="A99" s="17">
        <v>39</v>
      </c>
      <c r="B99" s="24">
        <v>47849</v>
      </c>
      <c r="C99" s="7">
        <f t="shared" si="9"/>
        <v>17058.914749127271</v>
      </c>
      <c r="D99" s="7">
        <f t="shared" si="1"/>
        <v>15488.305629422786</v>
      </c>
      <c r="E99" s="7">
        <f t="shared" si="8"/>
        <v>1570.6091197044834</v>
      </c>
      <c r="F99" s="7">
        <f t="shared" si="3"/>
        <v>341468.31248523254</v>
      </c>
      <c r="G99" s="8">
        <f t="shared" si="4"/>
        <v>558531.68751476763</v>
      </c>
    </row>
    <row r="100" spans="1:7" ht="12.75" x14ac:dyDescent="0.2">
      <c r="A100" s="17">
        <v>40</v>
      </c>
      <c r="B100" s="24">
        <v>47939</v>
      </c>
      <c r="C100" s="7">
        <f t="shared" si="9"/>
        <v>17058.914749127271</v>
      </c>
      <c r="D100" s="7">
        <f t="shared" si="1"/>
        <v>15556.454174192248</v>
      </c>
      <c r="E100" s="7">
        <f t="shared" si="8"/>
        <v>1502.4605749350233</v>
      </c>
      <c r="F100" s="7">
        <f t="shared" si="3"/>
        <v>325911.85831104027</v>
      </c>
      <c r="G100" s="8">
        <f t="shared" si="4"/>
        <v>574088.14168895991</v>
      </c>
    </row>
    <row r="101" spans="1:7" ht="12.75" x14ac:dyDescent="0.2">
      <c r="A101" s="17">
        <v>41</v>
      </c>
      <c r="B101" s="24">
        <v>48030</v>
      </c>
      <c r="C101" s="7">
        <f t="shared" si="9"/>
        <v>17058.914749127271</v>
      </c>
      <c r="D101" s="7">
        <f t="shared" si="1"/>
        <v>15624.902572558694</v>
      </c>
      <c r="E101" s="7">
        <f t="shared" si="8"/>
        <v>1434.0121765685772</v>
      </c>
      <c r="F101" s="7">
        <f t="shared" si="3"/>
        <v>310286.9557384816</v>
      </c>
      <c r="G101" s="8">
        <f t="shared" si="4"/>
        <v>589713.04426151863</v>
      </c>
    </row>
    <row r="102" spans="1:7" ht="12.75" x14ac:dyDescent="0.2">
      <c r="A102" s="17">
        <v>42</v>
      </c>
      <c r="B102" s="24">
        <v>48122</v>
      </c>
      <c r="C102" s="7">
        <f t="shared" si="9"/>
        <v>17058.914749127271</v>
      </c>
      <c r="D102" s="7">
        <f t="shared" si="1"/>
        <v>15693.652143877951</v>
      </c>
      <c r="E102" s="7">
        <f t="shared" si="8"/>
        <v>1365.2626052493192</v>
      </c>
      <c r="F102" s="7">
        <f t="shared" si="3"/>
        <v>294593.30359460367</v>
      </c>
      <c r="G102" s="8">
        <f t="shared" si="4"/>
        <v>605406.69640539656</v>
      </c>
    </row>
    <row r="103" spans="1:7" ht="12.75" x14ac:dyDescent="0.2">
      <c r="A103" s="17">
        <v>43</v>
      </c>
      <c r="B103" s="24">
        <v>48214</v>
      </c>
      <c r="C103" s="7">
        <f t="shared" si="9"/>
        <v>17058.914749127271</v>
      </c>
      <c r="D103" s="7">
        <f t="shared" si="1"/>
        <v>15762.704213311015</v>
      </c>
      <c r="E103" s="7">
        <f t="shared" si="8"/>
        <v>1296.2105358162562</v>
      </c>
      <c r="F103" s="7">
        <f t="shared" si="3"/>
        <v>278830.59938129265</v>
      </c>
      <c r="G103" s="8">
        <f t="shared" si="4"/>
        <v>621169.40061870753</v>
      </c>
    </row>
    <row r="104" spans="1:7" ht="12.75" x14ac:dyDescent="0.2">
      <c r="A104" s="17">
        <v>44</v>
      </c>
      <c r="B104" s="24">
        <v>48305</v>
      </c>
      <c r="C104" s="7">
        <f t="shared" si="9"/>
        <v>17058.914749127271</v>
      </c>
      <c r="D104" s="7">
        <f t="shared" si="1"/>
        <v>15832.060111849583</v>
      </c>
      <c r="E104" s="7">
        <f t="shared" si="8"/>
        <v>1226.8546372776877</v>
      </c>
      <c r="F104" s="7">
        <f t="shared" si="3"/>
        <v>262998.53926944308</v>
      </c>
      <c r="G104" s="8">
        <f t="shared" si="4"/>
        <v>637001.4607305571</v>
      </c>
    </row>
    <row r="105" spans="1:7" ht="12.75" x14ac:dyDescent="0.2">
      <c r="A105" s="17">
        <v>45</v>
      </c>
      <c r="B105" s="24">
        <v>48396</v>
      </c>
      <c r="C105" s="7">
        <f t="shared" si="9"/>
        <v>17058.914749127271</v>
      </c>
      <c r="D105" s="7">
        <f t="shared" si="1"/>
        <v>15901.721176341722</v>
      </c>
      <c r="E105" s="7">
        <f t="shared" si="8"/>
        <v>1157.1935727855496</v>
      </c>
      <c r="F105" s="7">
        <f t="shared" si="3"/>
        <v>247096.81809310135</v>
      </c>
      <c r="G105" s="8">
        <f t="shared" si="4"/>
        <v>652903.18190689886</v>
      </c>
    </row>
    <row r="106" spans="1:7" ht="12.75" x14ac:dyDescent="0.2">
      <c r="A106" s="17">
        <v>46</v>
      </c>
      <c r="B106" s="24">
        <v>48488</v>
      </c>
      <c r="C106" s="7">
        <f t="shared" si="9"/>
        <v>17058.914749127271</v>
      </c>
      <c r="D106" s="7">
        <f t="shared" si="1"/>
        <v>15971.688749517625</v>
      </c>
      <c r="E106" s="7">
        <f t="shared" si="8"/>
        <v>1087.2259996096459</v>
      </c>
      <c r="F106" s="7">
        <f t="shared" si="3"/>
        <v>231125.12934358371</v>
      </c>
      <c r="G106" s="8">
        <f t="shared" si="4"/>
        <v>668874.87065641652</v>
      </c>
    </row>
    <row r="107" spans="1:7" ht="12.75" x14ac:dyDescent="0.2">
      <c r="A107" s="17">
        <v>47</v>
      </c>
      <c r="B107" s="24">
        <v>48580</v>
      </c>
      <c r="C107" s="7">
        <f t="shared" si="9"/>
        <v>17058.914749127271</v>
      </c>
      <c r="D107" s="7">
        <f t="shared" si="1"/>
        <v>16041.964180015502</v>
      </c>
      <c r="E107" s="7">
        <f t="shared" si="8"/>
        <v>1016.9505691117685</v>
      </c>
      <c r="F107" s="7">
        <f t="shared" si="3"/>
        <v>215083.16516356822</v>
      </c>
      <c r="G107" s="8">
        <f t="shared" si="4"/>
        <v>684916.83483643201</v>
      </c>
    </row>
    <row r="108" spans="1:7" ht="12.75" x14ac:dyDescent="0.2">
      <c r="A108" s="17">
        <v>48</v>
      </c>
      <c r="B108" s="24">
        <v>48670</v>
      </c>
      <c r="C108" s="7">
        <f t="shared" si="9"/>
        <v>17058.914749127271</v>
      </c>
      <c r="D108" s="7">
        <f t="shared" si="1"/>
        <v>16112.548822407571</v>
      </c>
      <c r="E108" s="7">
        <f t="shared" si="8"/>
        <v>946.36592671970027</v>
      </c>
      <c r="F108" s="7">
        <f t="shared" si="3"/>
        <v>198970.61634116064</v>
      </c>
      <c r="G108" s="8">
        <f t="shared" si="4"/>
        <v>701029.38365883962</v>
      </c>
    </row>
    <row r="109" spans="1:7" ht="12.75" x14ac:dyDescent="0.2">
      <c r="A109" s="17">
        <v>49</v>
      </c>
      <c r="B109" s="24">
        <v>48761</v>
      </c>
      <c r="C109" s="7">
        <f t="shared" si="9"/>
        <v>17058.914749127271</v>
      </c>
      <c r="D109" s="7">
        <f t="shared" si="1"/>
        <v>16183.444037226163</v>
      </c>
      <c r="E109" s="7">
        <f t="shared" si="8"/>
        <v>875.47071190110682</v>
      </c>
      <c r="F109" s="7">
        <f t="shared" si="3"/>
        <v>182787.17230393447</v>
      </c>
      <c r="G109" s="8">
        <f t="shared" si="4"/>
        <v>717212.82769606577</v>
      </c>
    </row>
    <row r="110" spans="1:7" ht="12.75" x14ac:dyDescent="0.2">
      <c r="A110" s="17">
        <v>50</v>
      </c>
      <c r="B110" s="24">
        <v>48853</v>
      </c>
      <c r="C110" s="7">
        <f t="shared" si="9"/>
        <v>17058.914749127271</v>
      </c>
      <c r="D110" s="7">
        <f t="shared" si="1"/>
        <v>16254.651190989958</v>
      </c>
      <c r="E110" s="7">
        <f t="shared" si="8"/>
        <v>804.26355813731175</v>
      </c>
      <c r="F110" s="7">
        <f t="shared" si="3"/>
        <v>166532.52111294449</v>
      </c>
      <c r="G110" s="8">
        <f t="shared" si="4"/>
        <v>733467.47888705577</v>
      </c>
    </row>
    <row r="111" spans="1:7" ht="12.75" x14ac:dyDescent="0.2">
      <c r="A111" s="17">
        <v>51</v>
      </c>
      <c r="B111" s="24">
        <v>48945</v>
      </c>
      <c r="C111" s="7">
        <f t="shared" si="9"/>
        <v>17058.914749127271</v>
      </c>
      <c r="D111" s="7">
        <f t="shared" si="1"/>
        <v>16326.171656230315</v>
      </c>
      <c r="E111" s="7">
        <f t="shared" si="8"/>
        <v>732.74309289695577</v>
      </c>
      <c r="F111" s="7">
        <f t="shared" si="3"/>
        <v>150206.34945671418</v>
      </c>
      <c r="G111" s="8">
        <f t="shared" si="4"/>
        <v>749793.65054328612</v>
      </c>
    </row>
    <row r="112" spans="1:7" ht="12.75" x14ac:dyDescent="0.2">
      <c r="A112" s="17">
        <v>52</v>
      </c>
      <c r="B112" s="24">
        <v>49035</v>
      </c>
      <c r="C112" s="7">
        <f t="shared" si="9"/>
        <v>17058.914749127271</v>
      </c>
      <c r="D112" s="7">
        <f t="shared" si="1"/>
        <v>16398.006811517727</v>
      </c>
      <c r="E112" s="7">
        <f t="shared" si="8"/>
        <v>660.90793760954239</v>
      </c>
      <c r="F112" s="7">
        <f t="shared" si="3"/>
        <v>133808.34264519645</v>
      </c>
      <c r="G112" s="8">
        <f t="shared" si="4"/>
        <v>766191.65735480387</v>
      </c>
    </row>
    <row r="113" spans="1:7" ht="12.75" x14ac:dyDescent="0.2">
      <c r="A113" s="17">
        <v>53</v>
      </c>
      <c r="B113" s="24">
        <v>49126</v>
      </c>
      <c r="C113" s="7">
        <f t="shared" si="9"/>
        <v>17058.914749127271</v>
      </c>
      <c r="D113" s="7">
        <f t="shared" si="1"/>
        <v>16470.158041488405</v>
      </c>
      <c r="E113" s="7">
        <f t="shared" si="8"/>
        <v>588.75670763886444</v>
      </c>
      <c r="F113" s="7">
        <f t="shared" si="3"/>
        <v>117338.18460370804</v>
      </c>
      <c r="G113" s="8">
        <f t="shared" si="4"/>
        <v>782661.81539629225</v>
      </c>
    </row>
    <row r="114" spans="1:7" ht="12.75" x14ac:dyDescent="0.2">
      <c r="A114" s="17">
        <v>54</v>
      </c>
      <c r="B114" s="24">
        <v>49218</v>
      </c>
      <c r="C114" s="7">
        <f t="shared" si="9"/>
        <v>17058.914749127271</v>
      </c>
      <c r="D114" s="7">
        <f t="shared" si="1"/>
        <v>16542.626736870956</v>
      </c>
      <c r="E114" s="7">
        <f t="shared" si="8"/>
        <v>516.28801225631537</v>
      </c>
      <c r="F114" s="7">
        <f t="shared" si="3"/>
        <v>100795.55786683709</v>
      </c>
      <c r="G114" s="8">
        <f t="shared" si="4"/>
        <v>799204.44213316322</v>
      </c>
    </row>
    <row r="115" spans="1:7" ht="12.75" x14ac:dyDescent="0.2">
      <c r="A115" s="17">
        <v>55</v>
      </c>
      <c r="B115" s="24">
        <v>49310</v>
      </c>
      <c r="C115" s="7">
        <f t="shared" si="9"/>
        <v>17058.914749127271</v>
      </c>
      <c r="D115" s="7">
        <f t="shared" si="1"/>
        <v>16615.414294513186</v>
      </c>
      <c r="E115" s="7">
        <f t="shared" si="8"/>
        <v>443.5004546140832</v>
      </c>
      <c r="F115" s="7">
        <f t="shared" si="3"/>
        <v>84180.143572323897</v>
      </c>
      <c r="G115" s="8">
        <f t="shared" si="4"/>
        <v>815819.85642767639</v>
      </c>
    </row>
    <row r="116" spans="1:7" ht="12.75" x14ac:dyDescent="0.2">
      <c r="A116" s="17">
        <v>56</v>
      </c>
      <c r="B116" s="24">
        <v>49400</v>
      </c>
      <c r="C116" s="7">
        <f t="shared" si="9"/>
        <v>17058.914749127271</v>
      </c>
      <c r="D116" s="7">
        <f t="shared" si="1"/>
        <v>16688.522117409044</v>
      </c>
      <c r="E116" s="7">
        <f t="shared" si="8"/>
        <v>370.39263171822518</v>
      </c>
      <c r="F116" s="7">
        <f t="shared" si="3"/>
        <v>67491.621454914857</v>
      </c>
      <c r="G116" s="8">
        <f t="shared" si="4"/>
        <v>832508.37854508543</v>
      </c>
    </row>
    <row r="117" spans="1:7" ht="12.75" x14ac:dyDescent="0.2">
      <c r="A117" s="17">
        <v>57</v>
      </c>
      <c r="B117" s="24">
        <v>49491</v>
      </c>
      <c r="C117" s="7">
        <f t="shared" si="9"/>
        <v>17058.914749127271</v>
      </c>
      <c r="D117" s="7">
        <f t="shared" si="1"/>
        <v>16761.951614725644</v>
      </c>
      <c r="E117" s="7">
        <f t="shared" si="8"/>
        <v>296.96313440162538</v>
      </c>
      <c r="F117" s="7">
        <f t="shared" si="3"/>
        <v>50729.669840189214</v>
      </c>
      <c r="G117" s="8">
        <f t="shared" si="4"/>
        <v>849270.33015981107</v>
      </c>
    </row>
    <row r="118" spans="1:7" ht="12.75" x14ac:dyDescent="0.2">
      <c r="A118" s="17">
        <v>58</v>
      </c>
      <c r="B118" s="24">
        <v>49583</v>
      </c>
      <c r="C118" s="7">
        <f t="shared" si="9"/>
        <v>17058.914749127271</v>
      </c>
      <c r="D118" s="7">
        <f t="shared" si="1"/>
        <v>16835.704201830438</v>
      </c>
      <c r="E118" s="7">
        <f t="shared" si="8"/>
        <v>223.21054729683254</v>
      </c>
      <c r="F118" s="7">
        <f t="shared" si="3"/>
        <v>33893.965638358772</v>
      </c>
      <c r="G118" s="8">
        <f t="shared" si="4"/>
        <v>866106.0343616415</v>
      </c>
    </row>
    <row r="119" spans="1:7" ht="12.75" x14ac:dyDescent="0.2">
      <c r="A119" s="17">
        <v>59</v>
      </c>
      <c r="B119" s="24">
        <v>49675</v>
      </c>
      <c r="C119" s="7">
        <f t="shared" si="9"/>
        <v>17058.914749127271</v>
      </c>
      <c r="D119" s="7">
        <f t="shared" si="1"/>
        <v>16909.781300318493</v>
      </c>
      <c r="E119" s="7">
        <f t="shared" si="8"/>
        <v>149.13344880877861</v>
      </c>
      <c r="F119" s="7">
        <f t="shared" si="3"/>
        <v>16984.184338040279</v>
      </c>
      <c r="G119" s="8">
        <f t="shared" si="4"/>
        <v>883015.81566196005</v>
      </c>
    </row>
    <row r="120" spans="1:7" ht="12.75" x14ac:dyDescent="0.2">
      <c r="A120" s="17">
        <v>60</v>
      </c>
      <c r="B120" s="24">
        <v>49766</v>
      </c>
      <c r="C120" s="7">
        <f t="shared" si="9"/>
        <v>17058.914749127271</v>
      </c>
      <c r="D120" s="7">
        <f t="shared" si="1"/>
        <v>16984.184338039893</v>
      </c>
      <c r="E120" s="7">
        <f t="shared" si="8"/>
        <v>74.730411087377234</v>
      </c>
      <c r="F120" s="7">
        <f t="shared" si="3"/>
        <v>3.8562575355172157E-10</v>
      </c>
      <c r="G120" s="8">
        <f t="shared" si="4"/>
        <v>900000</v>
      </c>
    </row>
  </sheetData>
  <mergeCells count="6">
    <mergeCell ref="B36:I36"/>
    <mergeCell ref="B37:I37"/>
    <mergeCell ref="B38:I38"/>
    <mergeCell ref="B40:I40"/>
    <mergeCell ref="B42:F42"/>
    <mergeCell ref="B43:H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Americano</vt:lpstr>
      <vt:lpstr>Italiano</vt:lpstr>
      <vt:lpstr>Frances fijo</vt:lpstr>
      <vt:lpstr>Frances 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2024-03-11T19:16:26Z</dcterms:created>
  <dcterms:modified xsi:type="dcterms:W3CDTF">2024-03-13T18:35:21Z</dcterms:modified>
</cp:coreProperties>
</file>