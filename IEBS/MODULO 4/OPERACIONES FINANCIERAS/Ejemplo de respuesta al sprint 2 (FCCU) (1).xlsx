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OPERACIONES FINANCIERAS/"/>
    </mc:Choice>
  </mc:AlternateContent>
  <xr:revisionPtr revIDLastSave="0" documentId="8_{630BBE5C-9305-4125-A389-20936868C5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1 (a)" sheetId="1" r:id="rId1"/>
    <sheet name="Sprint 1 (b)" sheetId="2" r:id="rId2"/>
    <sheet name="Sprint 2 (a)" sheetId="3" r:id="rId3"/>
    <sheet name="Sprint 2 (b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7" i="4" l="1"/>
  <c r="H101" i="4"/>
  <c r="H89" i="4"/>
  <c r="H81" i="4"/>
  <c r="H73" i="4"/>
  <c r="H65" i="4"/>
  <c r="H51" i="4"/>
  <c r="H49" i="4"/>
  <c r="H35" i="4"/>
  <c r="H33" i="4"/>
  <c r="H31" i="4"/>
  <c r="H19" i="4"/>
  <c r="H17" i="4"/>
  <c r="H15" i="4"/>
  <c r="G9" i="4"/>
  <c r="H105" i="4" s="1"/>
  <c r="G7" i="4"/>
  <c r="G5" i="4"/>
  <c r="G36" i="3"/>
  <c r="G34" i="3"/>
  <c r="G32" i="3"/>
  <c r="G30" i="3"/>
  <c r="G28" i="3"/>
  <c r="G26" i="3"/>
  <c r="J25" i="3"/>
  <c r="C18" i="3"/>
  <c r="C19" i="3" s="1"/>
  <c r="C17" i="3"/>
  <c r="G10" i="3" s="1"/>
  <c r="G11" i="3"/>
  <c r="G9" i="3"/>
  <c r="G8" i="3"/>
  <c r="G31" i="3" s="1"/>
  <c r="G4" i="3"/>
  <c r="C7" i="2"/>
  <c r="C9" i="1"/>
  <c r="E5" i="1"/>
  <c r="E6" i="1" s="1"/>
  <c r="E4" i="1"/>
  <c r="C20" i="3" l="1"/>
  <c r="G12" i="3"/>
  <c r="I26" i="3"/>
  <c r="H26" i="3" s="1"/>
  <c r="G27" i="3"/>
  <c r="G29" i="3"/>
  <c r="G33" i="3"/>
  <c r="G35" i="3"/>
  <c r="G37" i="3"/>
  <c r="H47" i="4"/>
  <c r="H63" i="4"/>
  <c r="H95" i="4"/>
  <c r="H29" i="4"/>
  <c r="H45" i="4"/>
  <c r="H61" i="4"/>
  <c r="H71" i="4"/>
  <c r="H79" i="4"/>
  <c r="H87" i="4"/>
  <c r="H108" i="4"/>
  <c r="H106" i="4"/>
  <c r="H104" i="4"/>
  <c r="H102" i="4"/>
  <c r="H100" i="4"/>
  <c r="H98" i="4"/>
  <c r="H96" i="4"/>
  <c r="H94" i="4"/>
  <c r="H92" i="4"/>
  <c r="H90" i="4"/>
  <c r="H88" i="4"/>
  <c r="H86" i="4"/>
  <c r="H84" i="4"/>
  <c r="H82" i="4"/>
  <c r="H80" i="4"/>
  <c r="H78" i="4"/>
  <c r="H76" i="4"/>
  <c r="H74" i="4"/>
  <c r="H72" i="4"/>
  <c r="H70" i="4"/>
  <c r="H68" i="4"/>
  <c r="H66" i="4"/>
  <c r="H64" i="4"/>
  <c r="H62" i="4"/>
  <c r="H60" i="4"/>
  <c r="H58" i="4"/>
  <c r="H56" i="4"/>
  <c r="H54" i="4"/>
  <c r="H52" i="4"/>
  <c r="H50" i="4"/>
  <c r="H48" i="4"/>
  <c r="H46" i="4"/>
  <c r="H44" i="4"/>
  <c r="H42" i="4"/>
  <c r="H40" i="4"/>
  <c r="H38" i="4"/>
  <c r="H36" i="4"/>
  <c r="H34" i="4"/>
  <c r="H32" i="4"/>
  <c r="H30" i="4"/>
  <c r="H28" i="4"/>
  <c r="H26" i="4"/>
  <c r="H24" i="4"/>
  <c r="H22" i="4"/>
  <c r="H20" i="4"/>
  <c r="H18" i="4"/>
  <c r="H16" i="4"/>
  <c r="H14" i="4"/>
  <c r="H27" i="4"/>
  <c r="H43" i="4"/>
  <c r="H59" i="4"/>
  <c r="H99" i="4"/>
  <c r="J13" i="4"/>
  <c r="H25" i="4"/>
  <c r="H41" i="4"/>
  <c r="H57" i="4"/>
  <c r="H69" i="4"/>
  <c r="H77" i="4"/>
  <c r="H85" i="4"/>
  <c r="H93" i="4"/>
  <c r="H109" i="4"/>
  <c r="H23" i="4"/>
  <c r="H39" i="4"/>
  <c r="H55" i="4"/>
  <c r="H103" i="4"/>
  <c r="H21" i="4"/>
  <c r="H37" i="4"/>
  <c r="H53" i="4"/>
  <c r="H67" i="4"/>
  <c r="H75" i="4"/>
  <c r="H83" i="4"/>
  <c r="H91" i="4"/>
  <c r="H97" i="4"/>
  <c r="J26" i="3" l="1"/>
  <c r="H110" i="4"/>
  <c r="C21" i="3"/>
  <c r="G13" i="3"/>
  <c r="I14" i="4"/>
  <c r="J14" i="4"/>
  <c r="J15" i="4" l="1"/>
  <c r="I15" i="4"/>
  <c r="G15" i="4" s="1"/>
  <c r="G14" i="4"/>
  <c r="C22" i="3"/>
  <c r="G14" i="3"/>
  <c r="I27" i="3"/>
  <c r="H27" i="3" l="1"/>
  <c r="C23" i="3"/>
  <c r="G15" i="3"/>
  <c r="J16" i="4"/>
  <c r="I16" i="4"/>
  <c r="G16" i="4" s="1"/>
  <c r="J17" i="4" l="1"/>
  <c r="I17" i="4"/>
  <c r="J27" i="3"/>
  <c r="C24" i="3"/>
  <c r="G17" i="3" s="1"/>
  <c r="G16" i="3"/>
  <c r="I28" i="3" l="1"/>
  <c r="G17" i="4"/>
  <c r="J18" i="4"/>
  <c r="I18" i="4"/>
  <c r="G18" i="4" s="1"/>
  <c r="H28" i="3" l="1"/>
  <c r="J19" i="4"/>
  <c r="I19" i="4"/>
  <c r="J20" i="4" l="1"/>
  <c r="I20" i="4"/>
  <c r="G20" i="4" s="1"/>
  <c r="G19" i="4"/>
  <c r="J28" i="3"/>
  <c r="I29" i="3" l="1"/>
  <c r="I21" i="4"/>
  <c r="G21" i="4" s="1"/>
  <c r="J21" i="4"/>
  <c r="J22" i="4" l="1"/>
  <c r="I22" i="4"/>
  <c r="G22" i="4" s="1"/>
  <c r="H29" i="3"/>
  <c r="J29" i="3" l="1"/>
  <c r="I23" i="4"/>
  <c r="G23" i="4" s="1"/>
  <c r="J23" i="4"/>
  <c r="J24" i="4" l="1"/>
  <c r="I24" i="4"/>
  <c r="G24" i="4" s="1"/>
  <c r="I30" i="3"/>
  <c r="H30" i="3" l="1"/>
  <c r="J25" i="4"/>
  <c r="I25" i="4"/>
  <c r="G25" i="4" s="1"/>
  <c r="J26" i="4" l="1"/>
  <c r="I26" i="4"/>
  <c r="G26" i="4" s="1"/>
  <c r="J30" i="3"/>
  <c r="I31" i="3" l="1"/>
  <c r="J27" i="4"/>
  <c r="I27" i="4"/>
  <c r="G27" i="4" s="1"/>
  <c r="I28" i="4" l="1"/>
  <c r="G28" i="4" s="1"/>
  <c r="J28" i="4"/>
  <c r="H31" i="3"/>
  <c r="J31" i="3" s="1"/>
  <c r="I32" i="3" l="1"/>
  <c r="H32" i="3" s="1"/>
  <c r="J32" i="3" s="1"/>
  <c r="J29" i="4"/>
  <c r="I29" i="4"/>
  <c r="G29" i="4" s="1"/>
  <c r="I33" i="3" l="1"/>
  <c r="H33" i="3" s="1"/>
  <c r="J33" i="3" s="1"/>
  <c r="I30" i="4"/>
  <c r="G30" i="4" s="1"/>
  <c r="J30" i="4"/>
  <c r="I34" i="3" l="1"/>
  <c r="H34" i="3" s="1"/>
  <c r="J34" i="3" s="1"/>
  <c r="J31" i="4"/>
  <c r="I31" i="4"/>
  <c r="G31" i="4" s="1"/>
  <c r="I35" i="3" l="1"/>
  <c r="H35" i="3" s="1"/>
  <c r="J35" i="3" s="1"/>
  <c r="J32" i="4"/>
  <c r="I32" i="4"/>
  <c r="G32" i="4" s="1"/>
  <c r="I36" i="3" l="1"/>
  <c r="H36" i="3" s="1"/>
  <c r="J36" i="3" s="1"/>
  <c r="J33" i="4"/>
  <c r="I33" i="4"/>
  <c r="G33" i="4" s="1"/>
  <c r="I37" i="3" l="1"/>
  <c r="H37" i="3" s="1"/>
  <c r="J37" i="3" s="1"/>
  <c r="J34" i="4"/>
  <c r="I34" i="4"/>
  <c r="G34" i="4" s="1"/>
  <c r="G44" i="3" l="1"/>
  <c r="G38" i="3"/>
  <c r="G46" i="3"/>
  <c r="G42" i="3"/>
  <c r="I38" i="3"/>
  <c r="G40" i="3"/>
  <c r="G48" i="3"/>
  <c r="G47" i="3"/>
  <c r="G39" i="3"/>
  <c r="G41" i="3"/>
  <c r="G43" i="3"/>
  <c r="G49" i="3"/>
  <c r="G45" i="3"/>
  <c r="J35" i="4"/>
  <c r="I35" i="4"/>
  <c r="G35" i="4" s="1"/>
  <c r="J36" i="4" l="1"/>
  <c r="I36" i="4"/>
  <c r="G36" i="4" s="1"/>
  <c r="H38" i="3"/>
  <c r="J38" i="3" s="1"/>
  <c r="J37" i="4" l="1"/>
  <c r="I37" i="4"/>
  <c r="G37" i="4" s="1"/>
  <c r="I39" i="3"/>
  <c r="H39" i="3" s="1"/>
  <c r="J39" i="3" s="1"/>
  <c r="I40" i="3" l="1"/>
  <c r="H40" i="3" s="1"/>
  <c r="J40" i="3" s="1"/>
  <c r="J38" i="4"/>
  <c r="I38" i="4"/>
  <c r="G38" i="4" s="1"/>
  <c r="I41" i="3" l="1"/>
  <c r="H41" i="3" s="1"/>
  <c r="J41" i="3" s="1"/>
  <c r="I39" i="4"/>
  <c r="G39" i="4" s="1"/>
  <c r="J39" i="4"/>
  <c r="I42" i="3" l="1"/>
  <c r="H42" i="3" s="1"/>
  <c r="J42" i="3" s="1"/>
  <c r="J40" i="4"/>
  <c r="I40" i="4"/>
  <c r="G40" i="4" s="1"/>
  <c r="I43" i="3" l="1"/>
  <c r="H43" i="3" s="1"/>
  <c r="J43" i="3" s="1"/>
  <c r="J41" i="4"/>
  <c r="I41" i="4"/>
  <c r="G41" i="4" s="1"/>
  <c r="I44" i="3" l="1"/>
  <c r="H44" i="3" s="1"/>
  <c r="J44" i="3" s="1"/>
  <c r="J42" i="4"/>
  <c r="I42" i="4"/>
  <c r="G42" i="4" s="1"/>
  <c r="I45" i="3" l="1"/>
  <c r="H45" i="3" s="1"/>
  <c r="J45" i="3" s="1"/>
  <c r="J43" i="4"/>
  <c r="I43" i="4"/>
  <c r="G43" i="4" s="1"/>
  <c r="I46" i="3" l="1"/>
  <c r="H46" i="3" s="1"/>
  <c r="J46" i="3"/>
  <c r="J44" i="4"/>
  <c r="I44" i="4"/>
  <c r="G44" i="4" s="1"/>
  <c r="J45" i="4" l="1"/>
  <c r="I45" i="4"/>
  <c r="G45" i="4" s="1"/>
  <c r="I47" i="3"/>
  <c r="H47" i="3" s="1"/>
  <c r="J47" i="3" s="1"/>
  <c r="I48" i="3" l="1"/>
  <c r="H48" i="3" s="1"/>
  <c r="J48" i="3"/>
  <c r="I46" i="4"/>
  <c r="G46" i="4" s="1"/>
  <c r="J46" i="4"/>
  <c r="J47" i="4" l="1"/>
  <c r="I47" i="4"/>
  <c r="G47" i="4" s="1"/>
  <c r="I49" i="3"/>
  <c r="H49" i="3" s="1"/>
  <c r="J49" i="3" s="1"/>
  <c r="I50" i="3" l="1"/>
  <c r="G55" i="3"/>
  <c r="G56" i="3"/>
  <c r="G60" i="3"/>
  <c r="G59" i="3"/>
  <c r="G50" i="3"/>
  <c r="G58" i="3"/>
  <c r="G52" i="3"/>
  <c r="G54" i="3"/>
  <c r="G51" i="3"/>
  <c r="G61" i="3"/>
  <c r="G53" i="3"/>
  <c r="G57" i="3"/>
  <c r="J48" i="4"/>
  <c r="I48" i="4"/>
  <c r="G48" i="4" s="1"/>
  <c r="H50" i="3" l="1"/>
  <c r="J50" i="3" s="1"/>
  <c r="J49" i="4"/>
  <c r="I49" i="4"/>
  <c r="G49" i="4" s="1"/>
  <c r="J50" i="4" l="1"/>
  <c r="I50" i="4"/>
  <c r="G50" i="4" s="1"/>
  <c r="I51" i="3"/>
  <c r="H51" i="3" s="1"/>
  <c r="J51" i="3" s="1"/>
  <c r="I52" i="3" l="1"/>
  <c r="H52" i="3" s="1"/>
  <c r="J52" i="3"/>
  <c r="J51" i="4"/>
  <c r="I51" i="4"/>
  <c r="G51" i="4" s="1"/>
  <c r="J52" i="4" l="1"/>
  <c r="I52" i="4"/>
  <c r="G52" i="4" s="1"/>
  <c r="I53" i="3"/>
  <c r="H53" i="3" s="1"/>
  <c r="J53" i="3" s="1"/>
  <c r="I54" i="3" l="1"/>
  <c r="H54" i="3" s="1"/>
  <c r="J54" i="3" s="1"/>
  <c r="J53" i="4"/>
  <c r="I53" i="4"/>
  <c r="G53" i="4" s="1"/>
  <c r="I55" i="3" l="1"/>
  <c r="H55" i="3" s="1"/>
  <c r="J55" i="3" s="1"/>
  <c r="J54" i="4"/>
  <c r="I54" i="4"/>
  <c r="G54" i="4" s="1"/>
  <c r="I56" i="3" l="1"/>
  <c r="H56" i="3" s="1"/>
  <c r="J56" i="3"/>
  <c r="I55" i="4"/>
  <c r="G55" i="4" s="1"/>
  <c r="J55" i="4"/>
  <c r="J56" i="4" l="1"/>
  <c r="I56" i="4"/>
  <c r="G56" i="4" s="1"/>
  <c r="I57" i="3"/>
  <c r="H57" i="3" s="1"/>
  <c r="J57" i="3" s="1"/>
  <c r="I58" i="3" l="1"/>
  <c r="H58" i="3" s="1"/>
  <c r="J58" i="3"/>
  <c r="J57" i="4"/>
  <c r="I57" i="4"/>
  <c r="G57" i="4" s="1"/>
  <c r="J58" i="4" l="1"/>
  <c r="I58" i="4"/>
  <c r="G58" i="4" s="1"/>
  <c r="I59" i="3"/>
  <c r="H59" i="3" s="1"/>
  <c r="J59" i="3" s="1"/>
  <c r="I60" i="3" l="1"/>
  <c r="H60" i="3" s="1"/>
  <c r="J60" i="3"/>
  <c r="J59" i="4"/>
  <c r="I59" i="4"/>
  <c r="G59" i="4" s="1"/>
  <c r="J60" i="4" l="1"/>
  <c r="I60" i="4"/>
  <c r="G60" i="4" s="1"/>
  <c r="I61" i="3"/>
  <c r="H61" i="3" s="1"/>
  <c r="J61" i="3" s="1"/>
  <c r="I62" i="3" l="1"/>
  <c r="G69" i="3"/>
  <c r="G66" i="3"/>
  <c r="G68" i="3"/>
  <c r="G67" i="3"/>
  <c r="G65" i="3"/>
  <c r="G62" i="3"/>
  <c r="H62" i="3" s="1"/>
  <c r="J62" i="3" s="1"/>
  <c r="G63" i="3"/>
  <c r="G70" i="3"/>
  <c r="G71" i="3"/>
  <c r="G72" i="3"/>
  <c r="G64" i="3"/>
  <c r="G73" i="3"/>
  <c r="J61" i="4"/>
  <c r="I61" i="4"/>
  <c r="G61" i="4" s="1"/>
  <c r="I63" i="3" l="1"/>
  <c r="I62" i="4"/>
  <c r="G62" i="4" s="1"/>
  <c r="J62" i="4"/>
  <c r="H63" i="3"/>
  <c r="J63" i="3" s="1"/>
  <c r="I64" i="3" l="1"/>
  <c r="H64" i="3" s="1"/>
  <c r="J64" i="3"/>
  <c r="J63" i="4"/>
  <c r="I63" i="4"/>
  <c r="G63" i="4" s="1"/>
  <c r="J64" i="4" l="1"/>
  <c r="I64" i="4"/>
  <c r="G64" i="4" s="1"/>
  <c r="I65" i="3"/>
  <c r="H65" i="3" s="1"/>
  <c r="J65" i="3" s="1"/>
  <c r="I66" i="3" l="1"/>
  <c r="H66" i="3" s="1"/>
  <c r="J66" i="3"/>
  <c r="J65" i="4"/>
  <c r="I65" i="4"/>
  <c r="G65" i="4" s="1"/>
  <c r="J66" i="4" l="1"/>
  <c r="I66" i="4"/>
  <c r="G66" i="4" s="1"/>
  <c r="I67" i="3"/>
  <c r="H67" i="3" s="1"/>
  <c r="J67" i="3" s="1"/>
  <c r="I68" i="3" l="1"/>
  <c r="H68" i="3" s="1"/>
  <c r="J68" i="3" s="1"/>
  <c r="J67" i="4"/>
  <c r="I67" i="4"/>
  <c r="G67" i="4" s="1"/>
  <c r="I69" i="3" l="1"/>
  <c r="H69" i="3" s="1"/>
  <c r="J69" i="3"/>
  <c r="J68" i="4"/>
  <c r="I68" i="4"/>
  <c r="G68" i="4" s="1"/>
  <c r="J69" i="4" l="1"/>
  <c r="I69" i="4"/>
  <c r="G69" i="4" s="1"/>
  <c r="I70" i="3"/>
  <c r="H70" i="3" s="1"/>
  <c r="J70" i="3" s="1"/>
  <c r="I71" i="3" l="1"/>
  <c r="H71" i="3" s="1"/>
  <c r="J71" i="3" s="1"/>
  <c r="J70" i="4"/>
  <c r="I70" i="4"/>
  <c r="G70" i="4" s="1"/>
  <c r="I72" i="3" l="1"/>
  <c r="H72" i="3" s="1"/>
  <c r="J72" i="3" s="1"/>
  <c r="J71" i="4"/>
  <c r="I71" i="4"/>
  <c r="G71" i="4" s="1"/>
  <c r="I73" i="3" l="1"/>
  <c r="H73" i="3" s="1"/>
  <c r="J73" i="3" s="1"/>
  <c r="J72" i="4"/>
  <c r="I72" i="4"/>
  <c r="G72" i="4" s="1"/>
  <c r="I74" i="3" l="1"/>
  <c r="G76" i="3"/>
  <c r="G78" i="3"/>
  <c r="G75" i="3"/>
  <c r="G77" i="3"/>
  <c r="G74" i="3"/>
  <c r="H74" i="3" s="1"/>
  <c r="J74" i="3" s="1"/>
  <c r="G83" i="3"/>
  <c r="G79" i="3"/>
  <c r="G80" i="3"/>
  <c r="G84" i="3"/>
  <c r="G85" i="3"/>
  <c r="G82" i="3"/>
  <c r="G81" i="3"/>
  <c r="J73" i="4"/>
  <c r="I73" i="4"/>
  <c r="G73" i="4" s="1"/>
  <c r="I75" i="3" l="1"/>
  <c r="J74" i="4"/>
  <c r="I74" i="4"/>
  <c r="G74" i="4" s="1"/>
  <c r="H75" i="3"/>
  <c r="J75" i="3" s="1"/>
  <c r="I76" i="3" l="1"/>
  <c r="H76" i="3" s="1"/>
  <c r="J76" i="3" s="1"/>
  <c r="I75" i="4"/>
  <c r="G75" i="4" s="1"/>
  <c r="J75" i="4"/>
  <c r="I77" i="3" l="1"/>
  <c r="H77" i="3" s="1"/>
  <c r="J77" i="3" s="1"/>
  <c r="J76" i="4"/>
  <c r="I76" i="4"/>
  <c r="G76" i="4" s="1"/>
  <c r="I78" i="3" l="1"/>
  <c r="H78" i="3" s="1"/>
  <c r="J78" i="3"/>
  <c r="J77" i="4"/>
  <c r="I77" i="4"/>
  <c r="G77" i="4" s="1"/>
  <c r="J78" i="4" l="1"/>
  <c r="I78" i="4"/>
  <c r="G78" i="4" s="1"/>
  <c r="I79" i="3"/>
  <c r="H79" i="3" s="1"/>
  <c r="J79" i="3"/>
  <c r="I80" i="3" l="1"/>
  <c r="H80" i="3" s="1"/>
  <c r="J80" i="3" s="1"/>
  <c r="J79" i="4"/>
  <c r="I79" i="4"/>
  <c r="G79" i="4" s="1"/>
  <c r="I81" i="3" l="1"/>
  <c r="H81" i="3" s="1"/>
  <c r="J81" i="3" s="1"/>
  <c r="J80" i="4"/>
  <c r="I80" i="4"/>
  <c r="G80" i="4" s="1"/>
  <c r="I82" i="3" l="1"/>
  <c r="H82" i="3" s="1"/>
  <c r="J82" i="3"/>
  <c r="J81" i="4"/>
  <c r="I81" i="4"/>
  <c r="G81" i="4" s="1"/>
  <c r="J82" i="4" l="1"/>
  <c r="I82" i="4"/>
  <c r="G82" i="4" s="1"/>
  <c r="I83" i="3"/>
  <c r="H83" i="3" s="1"/>
  <c r="J83" i="3" s="1"/>
  <c r="I84" i="3" l="1"/>
  <c r="H84" i="3" s="1"/>
  <c r="J84" i="3" s="1"/>
  <c r="J83" i="4"/>
  <c r="I83" i="4"/>
  <c r="G83" i="4" s="1"/>
  <c r="I85" i="3" l="1"/>
  <c r="H85" i="3" s="1"/>
  <c r="J85" i="3" s="1"/>
  <c r="J84" i="4"/>
  <c r="I84" i="4"/>
  <c r="G84" i="4" s="1"/>
  <c r="I86" i="3" l="1"/>
  <c r="G88" i="3"/>
  <c r="G86" i="3"/>
  <c r="H86" i="3" s="1"/>
  <c r="J86" i="3" s="1"/>
  <c r="G97" i="3"/>
  <c r="G89" i="3"/>
  <c r="G91" i="3"/>
  <c r="G93" i="3"/>
  <c r="G96" i="3"/>
  <c r="G94" i="3"/>
  <c r="G92" i="3"/>
  <c r="G90" i="3"/>
  <c r="G95" i="3"/>
  <c r="G87" i="3"/>
  <c r="J85" i="4"/>
  <c r="I85" i="4"/>
  <c r="G85" i="4" s="1"/>
  <c r="I87" i="3" l="1"/>
  <c r="J86" i="4"/>
  <c r="I86" i="4"/>
  <c r="G86" i="4" s="1"/>
  <c r="H87" i="3"/>
  <c r="J87" i="3" s="1"/>
  <c r="I88" i="3" l="1"/>
  <c r="H88" i="3" s="1"/>
  <c r="J88" i="3" s="1"/>
  <c r="J87" i="4"/>
  <c r="I87" i="4"/>
  <c r="G87" i="4" s="1"/>
  <c r="I89" i="3" l="1"/>
  <c r="H89" i="3" s="1"/>
  <c r="J89" i="3"/>
  <c r="J88" i="4"/>
  <c r="I88" i="4"/>
  <c r="G88" i="4" s="1"/>
  <c r="J89" i="4" l="1"/>
  <c r="I89" i="4"/>
  <c r="G89" i="4" s="1"/>
  <c r="I90" i="3"/>
  <c r="H90" i="3" s="1"/>
  <c r="J90" i="3" s="1"/>
  <c r="I91" i="3" l="1"/>
  <c r="H91" i="3" s="1"/>
  <c r="J91" i="3" s="1"/>
  <c r="J90" i="4"/>
  <c r="I90" i="4"/>
  <c r="G90" i="4" s="1"/>
  <c r="I92" i="3" l="1"/>
  <c r="H92" i="3" s="1"/>
  <c r="J92" i="3" s="1"/>
  <c r="J91" i="4"/>
  <c r="I91" i="4"/>
  <c r="G91" i="4" s="1"/>
  <c r="I93" i="3" l="1"/>
  <c r="H93" i="3" s="1"/>
  <c r="J93" i="3"/>
  <c r="J92" i="4"/>
  <c r="I92" i="4"/>
  <c r="G92" i="4" s="1"/>
  <c r="J93" i="4" l="1"/>
  <c r="I93" i="4"/>
  <c r="G93" i="4" s="1"/>
  <c r="I94" i="3"/>
  <c r="H94" i="3" s="1"/>
  <c r="J94" i="3"/>
  <c r="I95" i="3" l="1"/>
  <c r="H95" i="3" s="1"/>
  <c r="J95" i="3"/>
  <c r="I94" i="4"/>
  <c r="G94" i="4" s="1"/>
  <c r="J94" i="4"/>
  <c r="J95" i="4" l="1"/>
  <c r="I95" i="4"/>
  <c r="G95" i="4" s="1"/>
  <c r="I96" i="3"/>
  <c r="H96" i="3" s="1"/>
  <c r="J96" i="3" s="1"/>
  <c r="I97" i="3" l="1"/>
  <c r="H97" i="3" s="1"/>
  <c r="J97" i="3" s="1"/>
  <c r="I96" i="4"/>
  <c r="G96" i="4" s="1"/>
  <c r="J96" i="4"/>
  <c r="I98" i="3" l="1"/>
  <c r="G100" i="3"/>
  <c r="G109" i="3"/>
  <c r="G101" i="3"/>
  <c r="G98" i="3"/>
  <c r="H98" i="3" s="1"/>
  <c r="J98" i="3" s="1"/>
  <c r="G99" i="3"/>
  <c r="G105" i="3"/>
  <c r="G104" i="3"/>
  <c r="G103" i="3"/>
  <c r="G107" i="3"/>
  <c r="G106" i="3"/>
  <c r="G108" i="3"/>
  <c r="G102" i="3"/>
  <c r="J97" i="4"/>
  <c r="I97" i="4"/>
  <c r="G97" i="4" s="1"/>
  <c r="I99" i="3" l="1"/>
  <c r="I98" i="4"/>
  <c r="G98" i="4" s="1"/>
  <c r="J98" i="4"/>
  <c r="H99" i="3"/>
  <c r="J99" i="3" s="1"/>
  <c r="I100" i="3" l="1"/>
  <c r="H100" i="3" s="1"/>
  <c r="J100" i="3"/>
  <c r="J99" i="4"/>
  <c r="I99" i="4"/>
  <c r="G99" i="4" s="1"/>
  <c r="I100" i="4" l="1"/>
  <c r="G100" i="4" s="1"/>
  <c r="J100" i="4"/>
  <c r="I101" i="3"/>
  <c r="H101" i="3" s="1"/>
  <c r="J101" i="3" s="1"/>
  <c r="I102" i="3" l="1"/>
  <c r="H102" i="3" s="1"/>
  <c r="J102" i="3"/>
  <c r="J101" i="4"/>
  <c r="I101" i="4"/>
  <c r="G101" i="4" s="1"/>
  <c r="I102" i="4" l="1"/>
  <c r="G102" i="4" s="1"/>
  <c r="J102" i="4"/>
  <c r="I103" i="3"/>
  <c r="H103" i="3" s="1"/>
  <c r="J103" i="3" s="1"/>
  <c r="I104" i="3" l="1"/>
  <c r="H104" i="3" s="1"/>
  <c r="J104" i="3" s="1"/>
  <c r="I103" i="4"/>
  <c r="G103" i="4" s="1"/>
  <c r="J103" i="4"/>
  <c r="I105" i="3" l="1"/>
  <c r="H105" i="3" s="1"/>
  <c r="J105" i="3" s="1"/>
  <c r="I104" i="4"/>
  <c r="G104" i="4" s="1"/>
  <c r="J104" i="4"/>
  <c r="I106" i="3" l="1"/>
  <c r="H106" i="3" s="1"/>
  <c r="J106" i="3" s="1"/>
  <c r="J105" i="4"/>
  <c r="I105" i="4"/>
  <c r="G105" i="4" s="1"/>
  <c r="I107" i="3" l="1"/>
  <c r="H107" i="3" s="1"/>
  <c r="J107" i="3" s="1"/>
  <c r="I106" i="4"/>
  <c r="G106" i="4" s="1"/>
  <c r="J106" i="4"/>
  <c r="I108" i="3" l="1"/>
  <c r="H108" i="3" s="1"/>
  <c r="J108" i="3" s="1"/>
  <c r="J107" i="4"/>
  <c r="I107" i="4"/>
  <c r="G107" i="4" s="1"/>
  <c r="I109" i="3" l="1"/>
  <c r="H109" i="3" s="1"/>
  <c r="J109" i="3" s="1"/>
  <c r="I108" i="4"/>
  <c r="G108" i="4" s="1"/>
  <c r="J108" i="4"/>
  <c r="I110" i="3" l="1"/>
  <c r="G114" i="3"/>
  <c r="G119" i="3"/>
  <c r="G112" i="3"/>
  <c r="G121" i="3"/>
  <c r="G110" i="3"/>
  <c r="H110" i="3" s="1"/>
  <c r="J110" i="3" s="1"/>
  <c r="G111" i="3"/>
  <c r="G117" i="3"/>
  <c r="G113" i="3"/>
  <c r="G120" i="3"/>
  <c r="G115" i="3"/>
  <c r="G118" i="3"/>
  <c r="G116" i="3"/>
  <c r="J109" i="4"/>
  <c r="I109" i="4"/>
  <c r="I111" i="3" l="1"/>
  <c r="H111" i="3"/>
  <c r="J111" i="3" s="1"/>
  <c r="G109" i="4"/>
  <c r="G110" i="4" s="1"/>
  <c r="I110" i="4"/>
  <c r="I112" i="3" l="1"/>
  <c r="H112" i="3" s="1"/>
  <c r="J112" i="3" s="1"/>
  <c r="I113" i="3" l="1"/>
  <c r="H113" i="3" s="1"/>
  <c r="J113" i="3" s="1"/>
  <c r="I114" i="3" l="1"/>
  <c r="H114" i="3" s="1"/>
  <c r="J114" i="3" s="1"/>
  <c r="I115" i="3" l="1"/>
  <c r="H115" i="3" s="1"/>
  <c r="J115" i="3" s="1"/>
  <c r="I116" i="3" l="1"/>
  <c r="H116" i="3" s="1"/>
  <c r="J116" i="3" s="1"/>
  <c r="I117" i="3" l="1"/>
  <c r="H117" i="3" s="1"/>
  <c r="J117" i="3" s="1"/>
  <c r="I118" i="3" l="1"/>
  <c r="H118" i="3" s="1"/>
  <c r="J118" i="3"/>
  <c r="I119" i="3" l="1"/>
  <c r="H119" i="3" s="1"/>
  <c r="J119" i="3" s="1"/>
  <c r="I120" i="3" l="1"/>
  <c r="H120" i="3" s="1"/>
  <c r="J120" i="3" s="1"/>
  <c r="I121" i="3" l="1"/>
  <c r="H121" i="3" s="1"/>
  <c r="J121" i="3" s="1"/>
  <c r="I122" i="3" l="1"/>
  <c r="G124" i="3"/>
  <c r="G125" i="3"/>
  <c r="G133" i="3"/>
  <c r="G122" i="3"/>
  <c r="H122" i="3" s="1"/>
  <c r="J122" i="3" s="1"/>
  <c r="G126" i="3"/>
  <c r="G123" i="3"/>
  <c r="G131" i="3"/>
  <c r="G132" i="3"/>
  <c r="G127" i="3"/>
  <c r="G130" i="3"/>
  <c r="G129" i="3"/>
  <c r="G128" i="3"/>
  <c r="I123" i="3" l="1"/>
  <c r="H123" i="3"/>
  <c r="J123" i="3" s="1"/>
  <c r="I124" i="3" l="1"/>
  <c r="H124" i="3" s="1"/>
  <c r="J124" i="3" s="1"/>
  <c r="I125" i="3" l="1"/>
  <c r="H125" i="3" s="1"/>
  <c r="J125" i="3" s="1"/>
  <c r="I126" i="3" l="1"/>
  <c r="H126" i="3" s="1"/>
  <c r="J126" i="3" s="1"/>
  <c r="I127" i="3" l="1"/>
  <c r="H127" i="3" s="1"/>
  <c r="J127" i="3"/>
  <c r="I128" i="3" l="1"/>
  <c r="H128" i="3" s="1"/>
  <c r="J128" i="3" s="1"/>
  <c r="I129" i="3" l="1"/>
  <c r="H129" i="3" s="1"/>
  <c r="J129" i="3" s="1"/>
  <c r="I130" i="3" l="1"/>
  <c r="H130" i="3" s="1"/>
  <c r="J130" i="3" s="1"/>
  <c r="I131" i="3" l="1"/>
  <c r="H131" i="3" s="1"/>
  <c r="J131" i="3" s="1"/>
  <c r="I132" i="3" l="1"/>
  <c r="H132" i="3" s="1"/>
  <c r="J132" i="3"/>
  <c r="I133" i="3" l="1"/>
  <c r="H133" i="3" s="1"/>
  <c r="J133" i="3" s="1"/>
  <c r="I134" i="3" l="1"/>
  <c r="G139" i="3"/>
  <c r="G141" i="3"/>
  <c r="G144" i="3"/>
  <c r="G143" i="3"/>
  <c r="G142" i="3"/>
  <c r="G134" i="3"/>
  <c r="H134" i="3" s="1"/>
  <c r="J134" i="3" s="1"/>
  <c r="G145" i="3"/>
  <c r="G140" i="3"/>
  <c r="G137" i="3"/>
  <c r="G138" i="3"/>
  <c r="G135" i="3"/>
  <c r="G136" i="3"/>
  <c r="I135" i="3" l="1"/>
  <c r="H135" i="3"/>
  <c r="J135" i="3" s="1"/>
  <c r="G146" i="3"/>
  <c r="I136" i="3" l="1"/>
  <c r="H136" i="3" s="1"/>
  <c r="J136" i="3" s="1"/>
  <c r="I137" i="3" l="1"/>
  <c r="H137" i="3" s="1"/>
  <c r="J137" i="3" s="1"/>
  <c r="I138" i="3" l="1"/>
  <c r="H138" i="3" s="1"/>
  <c r="J138" i="3" s="1"/>
  <c r="I139" i="3" l="1"/>
  <c r="H139" i="3" s="1"/>
  <c r="J139" i="3" s="1"/>
  <c r="I140" i="3" l="1"/>
  <c r="H140" i="3" s="1"/>
  <c r="J140" i="3" s="1"/>
  <c r="I141" i="3" l="1"/>
  <c r="H141" i="3" s="1"/>
  <c r="J141" i="3"/>
  <c r="I142" i="3" l="1"/>
  <c r="H142" i="3" s="1"/>
  <c r="J142" i="3" s="1"/>
  <c r="I143" i="3" l="1"/>
  <c r="H143" i="3" s="1"/>
  <c r="J143" i="3"/>
  <c r="I144" i="3" l="1"/>
  <c r="H144" i="3" s="1"/>
  <c r="J144" i="3" s="1"/>
  <c r="I145" i="3" l="1"/>
  <c r="I146" i="3" l="1"/>
  <c r="H145" i="3"/>
  <c r="H146" i="3" l="1"/>
  <c r="J145" i="3"/>
</calcChain>
</file>

<file path=xl/sharedStrings.xml><?xml version="1.0" encoding="utf-8"?>
<sst xmlns="http://schemas.openxmlformats.org/spreadsheetml/2006/main" count="64" uniqueCount="40">
  <si>
    <t>Cálculos:</t>
  </si>
  <si>
    <t>Cuenta a cobrar</t>
  </si>
  <si>
    <t>Comisión</t>
  </si>
  <si>
    <t>Interes</t>
  </si>
  <si>
    <t>Periodo</t>
  </si>
  <si>
    <t>Días hasta el vencimiento</t>
  </si>
  <si>
    <t>Descuento de efectos</t>
  </si>
  <si>
    <t>Coste de la operación</t>
  </si>
  <si>
    <t>Sistema Francés</t>
  </si>
  <si>
    <t>Fecha concesión</t>
  </si>
  <si>
    <t>Tiempo</t>
  </si>
  <si>
    <t>años</t>
  </si>
  <si>
    <t>Duración (meses):</t>
  </si>
  <si>
    <t>Tipo de interes:</t>
  </si>
  <si>
    <t>Euribor</t>
  </si>
  <si>
    <t>Tipo de Interés efectivo mensual:</t>
  </si>
  <si>
    <t xml:space="preserve"> + diferencial</t>
  </si>
  <si>
    <t>Año 1</t>
  </si>
  <si>
    <t>Comision apertura</t>
  </si>
  <si>
    <t>Año 2</t>
  </si>
  <si>
    <t>Gastos de estudio</t>
  </si>
  <si>
    <t>Año 3</t>
  </si>
  <si>
    <t>Año 4</t>
  </si>
  <si>
    <t>Año 5</t>
  </si>
  <si>
    <t>EURIBOR:</t>
  </si>
  <si>
    <t>Año 6</t>
  </si>
  <si>
    <t>Año 7</t>
  </si>
  <si>
    <t>Año 8</t>
  </si>
  <si>
    <t>Año 9</t>
  </si>
  <si>
    <t>Año 10</t>
  </si>
  <si>
    <t>Capital inicial:</t>
  </si>
  <si>
    <t>Fecha</t>
  </si>
  <si>
    <t>Mes</t>
  </si>
  <si>
    <t>Cuota</t>
  </si>
  <si>
    <t>Capital amortizado</t>
  </si>
  <si>
    <t>Intereses</t>
  </si>
  <si>
    <t>Capital pendiente</t>
  </si>
  <si>
    <t>Sistema italiano</t>
  </si>
  <si>
    <t>Tipo de interes fijo:</t>
  </si>
  <si>
    <t>Tipo de Interés: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</si>
</sst>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"/>
    <numFmt numFmtId="165" formatCode="0.000%"/>
    <numFmt numFmtId="166" formatCode="_-* #,##0.00_-;\-* #,##0.00_-;_-* &quot;-&quot;??_-;_-@"/>
    <numFmt numFmtId="167" formatCode="d/mm/yyyy"/>
    <numFmt numFmtId="168" formatCode="_-* #,##0.00\ _€_-;\-* #,##0.00\ _€_-;_-* &quot;-&quot;??\ _€_-;_-@"/>
    <numFmt numFmtId="169" formatCode="0.0%"/>
  </numFmts>
  <fonts count="4" x14ac:knownFonts="1"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4" fontId="3" fillId="0" borderId="0" xfId="0" applyNumberFormat="1" applyFont="1"/>
    <xf numFmtId="10" fontId="3" fillId="0" borderId="0" xfId="0" applyNumberFormat="1" applyFont="1"/>
    <xf numFmtId="9" fontId="3" fillId="0" borderId="0" xfId="0" applyNumberFormat="1" applyFont="1"/>
    <xf numFmtId="4" fontId="3" fillId="0" borderId="1" xfId="0" applyNumberFormat="1" applyFont="1" applyBorder="1"/>
    <xf numFmtId="4" fontId="1" fillId="0" borderId="0" xfId="0" applyNumberFormat="1" applyFont="1"/>
    <xf numFmtId="16" fontId="3" fillId="0" borderId="0" xfId="0" applyNumberFormat="1" applyFont="1"/>
    <xf numFmtId="3" fontId="3" fillId="0" borderId="0" xfId="0" applyNumberFormat="1" applyFont="1"/>
    <xf numFmtId="0" fontId="1" fillId="2" borderId="2" xfId="0" applyFont="1" applyFill="1" applyBorder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/>
    <xf numFmtId="166" fontId="3" fillId="0" borderId="0" xfId="0" applyNumberFormat="1" applyFont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167" fontId="3" fillId="0" borderId="6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168" fontId="3" fillId="0" borderId="7" xfId="0" applyNumberFormat="1" applyFont="1" applyBorder="1"/>
    <xf numFmtId="168" fontId="3" fillId="0" borderId="0" xfId="0" applyNumberFormat="1" applyFont="1"/>
    <xf numFmtId="167" fontId="3" fillId="0" borderId="8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8" fontId="3" fillId="0" borderId="1" xfId="0" applyNumberFormat="1" applyFont="1" applyBorder="1"/>
    <xf numFmtId="168" fontId="3" fillId="0" borderId="9" xfId="0" applyNumberFormat="1" applyFont="1" applyBorder="1"/>
    <xf numFmtId="168" fontId="1" fillId="0" borderId="0" xfId="0" applyNumberFormat="1" applyFont="1"/>
    <xf numFmtId="169" fontId="3" fillId="0" borderId="0" xfId="0" applyNumberFormat="1" applyFont="1"/>
    <xf numFmtId="164" fontId="3" fillId="0" borderId="6" xfId="0" applyNumberFormat="1" applyFont="1" applyBorder="1" applyAlignment="1">
      <alignment horizontal="left"/>
    </xf>
    <xf numFmtId="164" fontId="3" fillId="0" borderId="8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000"/>
  <sheetViews>
    <sheetView tabSelected="1" workbookViewId="0">
      <selection activeCell="H19" sqref="H19"/>
    </sheetView>
  </sheetViews>
  <sheetFormatPr defaultColWidth="12.625" defaultRowHeight="15" customHeight="1" x14ac:dyDescent="0.2"/>
  <cols>
    <col min="1" max="1" width="9.375" customWidth="1"/>
    <col min="2" max="2" width="12.875" customWidth="1"/>
    <col min="3" max="26" width="9.375" customWidth="1"/>
  </cols>
  <sheetData>
    <row r="2" spans="2:5" x14ac:dyDescent="0.25">
      <c r="E2" s="1" t="s">
        <v>0</v>
      </c>
    </row>
    <row r="3" spans="2:5" x14ac:dyDescent="0.25">
      <c r="B3" s="2" t="s">
        <v>1</v>
      </c>
      <c r="C3" s="3">
        <v>100000</v>
      </c>
    </row>
    <row r="4" spans="2:5" x14ac:dyDescent="0.25">
      <c r="B4" s="2" t="s">
        <v>2</v>
      </c>
      <c r="C4" s="4">
        <v>0.02</v>
      </c>
      <c r="E4" s="3">
        <f>+C3*C4</f>
        <v>2000</v>
      </c>
    </row>
    <row r="5" spans="2:5" x14ac:dyDescent="0.25">
      <c r="B5" s="2" t="s">
        <v>3</v>
      </c>
      <c r="C5" s="5">
        <v>0.03</v>
      </c>
      <c r="E5" s="6">
        <f>+C3*C5*(C9/360)</f>
        <v>350</v>
      </c>
    </row>
    <row r="6" spans="2:5" x14ac:dyDescent="0.25">
      <c r="E6" s="7">
        <f>+E4+E5</f>
        <v>2350</v>
      </c>
    </row>
    <row r="7" spans="2:5" x14ac:dyDescent="0.25">
      <c r="B7" s="2" t="s">
        <v>4</v>
      </c>
      <c r="C7" s="8">
        <v>44397</v>
      </c>
      <c r="D7" s="8">
        <v>44439</v>
      </c>
    </row>
    <row r="9" spans="2:5" x14ac:dyDescent="0.25">
      <c r="B9" s="2" t="s">
        <v>5</v>
      </c>
      <c r="C9" s="9">
        <f>+D7-C7</f>
        <v>42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1000"/>
  <sheetViews>
    <sheetView workbookViewId="0"/>
  </sheetViews>
  <sheetFormatPr defaultColWidth="12.625" defaultRowHeight="15" customHeight="1" x14ac:dyDescent="0.2"/>
  <cols>
    <col min="1" max="1" width="9.375" customWidth="1"/>
    <col min="2" max="2" width="17.75" customWidth="1"/>
    <col min="3" max="3" width="14.5" customWidth="1"/>
    <col min="4" max="26" width="9.375" customWidth="1"/>
  </cols>
  <sheetData>
    <row r="3" spans="2:3" x14ac:dyDescent="0.25">
      <c r="B3" s="2" t="s">
        <v>6</v>
      </c>
      <c r="C3" s="3">
        <v>250000</v>
      </c>
    </row>
    <row r="4" spans="2:3" x14ac:dyDescent="0.25">
      <c r="B4" s="2" t="s">
        <v>2</v>
      </c>
      <c r="C4" s="5">
        <v>7.4999999999999997E-3</v>
      </c>
    </row>
    <row r="7" spans="2:3" x14ac:dyDescent="0.25">
      <c r="B7" s="1" t="s">
        <v>7</v>
      </c>
      <c r="C7" s="7">
        <f>+C3*C4</f>
        <v>1875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000"/>
  <sheetViews>
    <sheetView workbookViewId="0"/>
  </sheetViews>
  <sheetFormatPr defaultColWidth="12.625" defaultRowHeight="15" customHeight="1" x14ac:dyDescent="0.2"/>
  <cols>
    <col min="1" max="1" width="9.375" customWidth="1"/>
    <col min="2" max="2" width="15.25" customWidth="1"/>
    <col min="3" max="6" width="9.375" customWidth="1"/>
    <col min="7" max="7" width="24.25" customWidth="1"/>
    <col min="8" max="8" width="15.5" customWidth="1"/>
    <col min="9" max="9" width="11.375" customWidth="1"/>
    <col min="10" max="10" width="14.875" customWidth="1"/>
    <col min="11" max="11" width="12.75" customWidth="1"/>
    <col min="12" max="26" width="9.375" customWidth="1"/>
  </cols>
  <sheetData>
    <row r="2" spans="2:7" x14ac:dyDescent="0.25">
      <c r="B2" s="2" t="s">
        <v>8</v>
      </c>
      <c r="E2" s="10" t="s">
        <v>9</v>
      </c>
      <c r="G2" s="11">
        <v>44440</v>
      </c>
    </row>
    <row r="4" spans="2:7" x14ac:dyDescent="0.25">
      <c r="B4" s="2" t="s">
        <v>10</v>
      </c>
      <c r="C4" s="2">
        <v>10</v>
      </c>
      <c r="D4" s="2" t="s">
        <v>11</v>
      </c>
      <c r="E4" s="10" t="s">
        <v>12</v>
      </c>
      <c r="G4" s="2">
        <f>10*12</f>
        <v>120</v>
      </c>
    </row>
    <row r="5" spans="2:7" x14ac:dyDescent="0.25">
      <c r="B5" s="2" t="s">
        <v>13</v>
      </c>
    </row>
    <row r="6" spans="2:7" x14ac:dyDescent="0.25">
      <c r="C6" s="2" t="s">
        <v>14</v>
      </c>
      <c r="E6" s="10" t="s">
        <v>15</v>
      </c>
      <c r="G6" s="5"/>
    </row>
    <row r="7" spans="2:7" x14ac:dyDescent="0.25">
      <c r="B7" s="2" t="s">
        <v>16</v>
      </c>
      <c r="C7" s="4">
        <v>2.2499999999999999E-2</v>
      </c>
    </row>
    <row r="8" spans="2:7" x14ac:dyDescent="0.25">
      <c r="C8" s="4"/>
      <c r="F8" s="2" t="s">
        <v>17</v>
      </c>
      <c r="G8" s="12">
        <f t="shared" ref="G8:G17" si="0">((1+($C$7+C15))^(1/12))-1</f>
        <v>1.4623476131101487E-3</v>
      </c>
    </row>
    <row r="9" spans="2:7" x14ac:dyDescent="0.25">
      <c r="B9" s="2" t="s">
        <v>18</v>
      </c>
      <c r="C9" s="5">
        <v>0.01</v>
      </c>
      <c r="F9" s="2" t="s">
        <v>19</v>
      </c>
      <c r="G9" s="12">
        <f t="shared" si="0"/>
        <v>1.6081988011074078E-3</v>
      </c>
    </row>
    <row r="10" spans="2:7" x14ac:dyDescent="0.25">
      <c r="B10" s="2" t="s">
        <v>20</v>
      </c>
      <c r="C10" s="3">
        <v>3000</v>
      </c>
      <c r="F10" s="2" t="s">
        <v>21</v>
      </c>
      <c r="G10" s="12">
        <f t="shared" si="0"/>
        <v>1.7145719055755571E-3</v>
      </c>
    </row>
    <row r="11" spans="2:7" x14ac:dyDescent="0.25">
      <c r="F11" s="2" t="s">
        <v>22</v>
      </c>
      <c r="G11" s="12">
        <f t="shared" si="0"/>
        <v>1.8208209004306752E-3</v>
      </c>
    </row>
    <row r="12" spans="2:7" x14ac:dyDescent="0.25">
      <c r="F12" s="2" t="s">
        <v>23</v>
      </c>
      <c r="G12" s="12">
        <f t="shared" si="0"/>
        <v>1.9269460880588785E-3</v>
      </c>
    </row>
    <row r="13" spans="2:7" x14ac:dyDescent="0.25">
      <c r="B13" s="2" t="s">
        <v>24</v>
      </c>
      <c r="F13" s="2" t="s">
        <v>25</v>
      </c>
      <c r="G13" s="12">
        <f t="shared" si="0"/>
        <v>2.0329477697262899E-3</v>
      </c>
    </row>
    <row r="14" spans="2:7" x14ac:dyDescent="0.25">
      <c r="F14" s="2" t="s">
        <v>26</v>
      </c>
      <c r="G14" s="12">
        <f t="shared" si="0"/>
        <v>2.1388262455852569E-3</v>
      </c>
    </row>
    <row r="15" spans="2:7" x14ac:dyDescent="0.25">
      <c r="B15" s="2" t="s">
        <v>17</v>
      </c>
      <c r="C15" s="12">
        <v>-4.81E-3</v>
      </c>
      <c r="F15" s="2" t="s">
        <v>27</v>
      </c>
      <c r="G15" s="12">
        <f t="shared" si="0"/>
        <v>2.2445818146796803E-3</v>
      </c>
    </row>
    <row r="16" spans="2:7" x14ac:dyDescent="0.25">
      <c r="B16" s="2" t="s">
        <v>19</v>
      </c>
      <c r="C16" s="12">
        <v>-3.0300000000000001E-3</v>
      </c>
      <c r="F16" s="2" t="s">
        <v>28</v>
      </c>
      <c r="G16" s="12">
        <f t="shared" si="0"/>
        <v>2.3502147749494551E-3</v>
      </c>
    </row>
    <row r="17" spans="2:11" x14ac:dyDescent="0.25">
      <c r="B17" s="2" t="s">
        <v>21</v>
      </c>
      <c r="C17" s="12">
        <f t="shared" ref="C17:C24" si="1">+C16+0.13%</f>
        <v>-1.7300000000000002E-3</v>
      </c>
      <c r="F17" s="2" t="s">
        <v>29</v>
      </c>
      <c r="G17" s="12">
        <f t="shared" si="0"/>
        <v>2.4557254232380199E-3</v>
      </c>
    </row>
    <row r="18" spans="2:11" x14ac:dyDescent="0.25">
      <c r="B18" s="2" t="s">
        <v>22</v>
      </c>
      <c r="C18" s="12">
        <f t="shared" si="1"/>
        <v>-4.3000000000000026E-4</v>
      </c>
    </row>
    <row r="19" spans="2:11" x14ac:dyDescent="0.25">
      <c r="B19" s="2" t="s">
        <v>23</v>
      </c>
      <c r="C19" s="12">
        <f t="shared" si="1"/>
        <v>8.6999999999999968E-4</v>
      </c>
    </row>
    <row r="20" spans="2:11" x14ac:dyDescent="0.25">
      <c r="B20" s="2" t="s">
        <v>25</v>
      </c>
      <c r="C20" s="12">
        <f t="shared" si="1"/>
        <v>2.1699999999999996E-3</v>
      </c>
    </row>
    <row r="21" spans="2:11" ht="15.75" customHeight="1" x14ac:dyDescent="0.25">
      <c r="B21" s="2" t="s">
        <v>26</v>
      </c>
      <c r="C21" s="12">
        <f t="shared" si="1"/>
        <v>3.4699999999999996E-3</v>
      </c>
      <c r="E21" s="10" t="s">
        <v>30</v>
      </c>
      <c r="G21" s="13">
        <v>3000000</v>
      </c>
    </row>
    <row r="22" spans="2:11" ht="15.75" customHeight="1" x14ac:dyDescent="0.25">
      <c r="B22" s="2" t="s">
        <v>27</v>
      </c>
      <c r="C22" s="12">
        <f t="shared" si="1"/>
        <v>4.7699999999999999E-3</v>
      </c>
    </row>
    <row r="23" spans="2:11" ht="15.75" customHeight="1" x14ac:dyDescent="0.25">
      <c r="B23" s="2" t="s">
        <v>28</v>
      </c>
      <c r="C23" s="12">
        <f t="shared" si="1"/>
        <v>6.0699999999999999E-3</v>
      </c>
    </row>
    <row r="24" spans="2:11" ht="15.75" customHeight="1" x14ac:dyDescent="0.25">
      <c r="B24" s="2" t="s">
        <v>29</v>
      </c>
      <c r="C24" s="12">
        <f t="shared" si="1"/>
        <v>7.3699999999999998E-3</v>
      </c>
      <c r="E24" s="14" t="s">
        <v>31</v>
      </c>
      <c r="F24" s="15" t="s">
        <v>32</v>
      </c>
      <c r="G24" s="15" t="s">
        <v>33</v>
      </c>
      <c r="H24" s="15" t="s">
        <v>34</v>
      </c>
      <c r="I24" s="15" t="s">
        <v>35</v>
      </c>
      <c r="J24" s="16" t="s">
        <v>36</v>
      </c>
    </row>
    <row r="25" spans="2:11" ht="15.75" customHeight="1" x14ac:dyDescent="0.25">
      <c r="E25" s="17">
        <v>44440</v>
      </c>
      <c r="F25" s="18">
        <v>0</v>
      </c>
      <c r="J25" s="19">
        <f>G21</f>
        <v>3000000</v>
      </c>
    </row>
    <row r="26" spans="2:11" ht="15.75" customHeight="1" x14ac:dyDescent="0.25">
      <c r="E26" s="17">
        <v>44469</v>
      </c>
      <c r="F26" s="18">
        <v>1</v>
      </c>
      <c r="G26" s="20">
        <f t="shared" ref="G26:G37" si="2">+PMT($G$8,(120),-$J$25)</f>
        <v>27275.870437731748</v>
      </c>
      <c r="H26" s="20">
        <f t="shared" ref="H26:H145" si="3">+G26-I26</f>
        <v>22888.827598401302</v>
      </c>
      <c r="I26" s="20">
        <f t="shared" ref="I26:I37" si="4">J25*$G$8</f>
        <v>4387.0428393304464</v>
      </c>
      <c r="J26" s="19">
        <f t="shared" ref="J26:J145" si="5">J25-H26</f>
        <v>2977111.1724015987</v>
      </c>
      <c r="K26" s="20"/>
    </row>
    <row r="27" spans="2:11" ht="15.75" customHeight="1" x14ac:dyDescent="0.25">
      <c r="E27" s="17">
        <v>44500</v>
      </c>
      <c r="F27" s="18">
        <v>2</v>
      </c>
      <c r="G27" s="20">
        <f t="shared" si="2"/>
        <v>27275.870437731748</v>
      </c>
      <c r="H27" s="20">
        <f t="shared" si="3"/>
        <v>22922.299020806713</v>
      </c>
      <c r="I27" s="20">
        <f t="shared" si="4"/>
        <v>4353.5714169250341</v>
      </c>
      <c r="J27" s="19">
        <f t="shared" si="5"/>
        <v>2954188.8733807919</v>
      </c>
      <c r="K27" s="20"/>
    </row>
    <row r="28" spans="2:11" ht="15.75" customHeight="1" x14ac:dyDescent="0.25">
      <c r="E28" s="17">
        <v>44530</v>
      </c>
      <c r="F28" s="18">
        <v>3</v>
      </c>
      <c r="G28" s="20">
        <f t="shared" si="2"/>
        <v>27275.870437731748</v>
      </c>
      <c r="H28" s="20">
        <f t="shared" si="3"/>
        <v>22955.819390066787</v>
      </c>
      <c r="I28" s="20">
        <f t="shared" si="4"/>
        <v>4320.0510476649606</v>
      </c>
      <c r="J28" s="19">
        <f t="shared" si="5"/>
        <v>2931233.053990725</v>
      </c>
      <c r="K28" s="20"/>
    </row>
    <row r="29" spans="2:11" ht="15.75" customHeight="1" x14ac:dyDescent="0.25">
      <c r="E29" s="17">
        <v>44561</v>
      </c>
      <c r="F29" s="18">
        <v>4</v>
      </c>
      <c r="G29" s="20">
        <f t="shared" si="2"/>
        <v>27275.870437731748</v>
      </c>
      <c r="H29" s="20">
        <f t="shared" si="3"/>
        <v>22989.388777758839</v>
      </c>
      <c r="I29" s="20">
        <f t="shared" si="4"/>
        <v>4286.4816599729083</v>
      </c>
      <c r="J29" s="19">
        <f t="shared" si="5"/>
        <v>2908243.665212966</v>
      </c>
      <c r="K29" s="20"/>
    </row>
    <row r="30" spans="2:11" ht="15.75" customHeight="1" x14ac:dyDescent="0.25">
      <c r="E30" s="17">
        <v>44592</v>
      </c>
      <c r="F30" s="18">
        <v>5</v>
      </c>
      <c r="G30" s="20">
        <f t="shared" si="2"/>
        <v>27275.870437731748</v>
      </c>
      <c r="H30" s="20">
        <f t="shared" si="3"/>
        <v>23023.007255564858</v>
      </c>
      <c r="I30" s="20">
        <f t="shared" si="4"/>
        <v>4252.8631821668914</v>
      </c>
      <c r="J30" s="19">
        <f t="shared" si="5"/>
        <v>2885220.6579574011</v>
      </c>
      <c r="K30" s="20"/>
    </row>
    <row r="31" spans="2:11" ht="15.75" customHeight="1" x14ac:dyDescent="0.25">
      <c r="E31" s="17">
        <v>44620</v>
      </c>
      <c r="F31" s="18">
        <v>6</v>
      </c>
      <c r="G31" s="20">
        <f t="shared" si="2"/>
        <v>27275.870437731748</v>
      </c>
      <c r="H31" s="20">
        <f t="shared" si="3"/>
        <v>23056.674895271652</v>
      </c>
      <c r="I31" s="20">
        <f t="shared" si="4"/>
        <v>4219.1955424600983</v>
      </c>
      <c r="J31" s="19">
        <f t="shared" si="5"/>
        <v>2862163.9830621295</v>
      </c>
      <c r="K31" s="20"/>
    </row>
    <row r="32" spans="2:11" ht="15.75" customHeight="1" x14ac:dyDescent="0.25">
      <c r="E32" s="17">
        <v>44651</v>
      </c>
      <c r="F32" s="18">
        <v>7</v>
      </c>
      <c r="G32" s="20">
        <f t="shared" si="2"/>
        <v>27275.870437731748</v>
      </c>
      <c r="H32" s="20">
        <f t="shared" si="3"/>
        <v>23090.391768771005</v>
      </c>
      <c r="I32" s="20">
        <f t="shared" si="4"/>
        <v>4185.4786689607408</v>
      </c>
      <c r="J32" s="19">
        <f t="shared" si="5"/>
        <v>2839073.5912933582</v>
      </c>
      <c r="K32" s="20"/>
    </row>
    <row r="33" spans="5:11" ht="15.75" customHeight="1" x14ac:dyDescent="0.25">
      <c r="E33" s="17">
        <v>44681</v>
      </c>
      <c r="F33" s="18">
        <v>8</v>
      </c>
      <c r="G33" s="20">
        <f t="shared" si="2"/>
        <v>27275.870437731748</v>
      </c>
      <c r="H33" s="20">
        <f t="shared" si="3"/>
        <v>23124.157948059848</v>
      </c>
      <c r="I33" s="20">
        <f t="shared" si="4"/>
        <v>4151.7124896719006</v>
      </c>
      <c r="J33" s="19">
        <f t="shared" si="5"/>
        <v>2815949.4333452983</v>
      </c>
      <c r="K33" s="20"/>
    </row>
    <row r="34" spans="5:11" ht="15.75" customHeight="1" x14ac:dyDescent="0.25">
      <c r="E34" s="17">
        <v>44712</v>
      </c>
      <c r="F34" s="18">
        <v>9</v>
      </c>
      <c r="G34" s="20">
        <f t="shared" si="2"/>
        <v>27275.870437731748</v>
      </c>
      <c r="H34" s="20">
        <f t="shared" si="3"/>
        <v>23157.973505240378</v>
      </c>
      <c r="I34" s="20">
        <f t="shared" si="4"/>
        <v>4117.8969324913724</v>
      </c>
      <c r="J34" s="19">
        <f t="shared" si="5"/>
        <v>2792791.4598400579</v>
      </c>
      <c r="K34" s="20"/>
    </row>
    <row r="35" spans="5:11" ht="15.75" customHeight="1" x14ac:dyDescent="0.25">
      <c r="E35" s="17">
        <v>44742</v>
      </c>
      <c r="F35" s="18">
        <v>10</v>
      </c>
      <c r="G35" s="20">
        <f t="shared" si="2"/>
        <v>27275.870437731748</v>
      </c>
      <c r="H35" s="20">
        <f t="shared" si="3"/>
        <v>23191.838512520233</v>
      </c>
      <c r="I35" s="20">
        <f t="shared" si="4"/>
        <v>4084.0319252115164</v>
      </c>
      <c r="J35" s="19">
        <f t="shared" si="5"/>
        <v>2769599.6213275376</v>
      </c>
      <c r="K35" s="20"/>
    </row>
    <row r="36" spans="5:11" ht="15.75" customHeight="1" x14ac:dyDescent="0.25">
      <c r="E36" s="17">
        <v>44773</v>
      </c>
      <c r="F36" s="18">
        <v>11</v>
      </c>
      <c r="G36" s="20">
        <f t="shared" si="2"/>
        <v>27275.870437731748</v>
      </c>
      <c r="H36" s="20">
        <f t="shared" si="3"/>
        <v>23225.753042212651</v>
      </c>
      <c r="I36" s="20">
        <f t="shared" si="4"/>
        <v>4050.1173955190961</v>
      </c>
      <c r="J36" s="19">
        <f t="shared" si="5"/>
        <v>2746373.8682853249</v>
      </c>
      <c r="K36" s="20"/>
    </row>
    <row r="37" spans="5:11" ht="15.75" customHeight="1" x14ac:dyDescent="0.25">
      <c r="E37" s="21">
        <v>44804</v>
      </c>
      <c r="F37" s="22">
        <v>12</v>
      </c>
      <c r="G37" s="23">
        <f t="shared" si="2"/>
        <v>27275.870437731748</v>
      </c>
      <c r="H37" s="23">
        <f t="shared" si="3"/>
        <v>23259.717166736616</v>
      </c>
      <c r="I37" s="23">
        <f t="shared" si="4"/>
        <v>4016.1532709951307</v>
      </c>
      <c r="J37" s="24">
        <f t="shared" si="5"/>
        <v>2723114.1511185882</v>
      </c>
      <c r="K37" s="20"/>
    </row>
    <row r="38" spans="5:11" ht="15.75" customHeight="1" x14ac:dyDescent="0.25">
      <c r="E38" s="17">
        <v>44834</v>
      </c>
      <c r="F38" s="18">
        <v>13</v>
      </c>
      <c r="G38" s="20">
        <f t="shared" ref="G38:G49" si="6">+PMT($G$9,(120-12),-$J$37)</f>
        <v>27487.246034273896</v>
      </c>
      <c r="H38" s="20">
        <f t="shared" si="3"/>
        <v>23107.937121166367</v>
      </c>
      <c r="I38" s="20">
        <f t="shared" ref="I38:I49" si="7">J37*$G$9</f>
        <v>4379.3089131075303</v>
      </c>
      <c r="J38" s="19">
        <f t="shared" si="5"/>
        <v>2700006.2139974218</v>
      </c>
      <c r="K38" s="20"/>
    </row>
    <row r="39" spans="5:11" ht="15.75" customHeight="1" x14ac:dyDescent="0.25">
      <c r="E39" s="17">
        <v>44865</v>
      </c>
      <c r="F39" s="18">
        <v>14</v>
      </c>
      <c r="G39" s="20">
        <f t="shared" si="6"/>
        <v>27487.246034273896</v>
      </c>
      <c r="H39" s="20">
        <f t="shared" si="3"/>
        <v>23145.099277940692</v>
      </c>
      <c r="I39" s="20">
        <f t="shared" si="7"/>
        <v>4342.1467563332044</v>
      </c>
      <c r="J39" s="19">
        <f t="shared" si="5"/>
        <v>2676861.1147194812</v>
      </c>
      <c r="K39" s="20"/>
    </row>
    <row r="40" spans="5:11" ht="15.75" customHeight="1" x14ac:dyDescent="0.25">
      <c r="E40" s="17">
        <v>44895</v>
      </c>
      <c r="F40" s="18">
        <v>15</v>
      </c>
      <c r="G40" s="20">
        <f t="shared" si="6"/>
        <v>27487.246034273896</v>
      </c>
      <c r="H40" s="20">
        <f t="shared" si="3"/>
        <v>23182.321198850987</v>
      </c>
      <c r="I40" s="20">
        <f t="shared" si="7"/>
        <v>4304.9248354229085</v>
      </c>
      <c r="J40" s="19">
        <f t="shared" si="5"/>
        <v>2653678.7935206303</v>
      </c>
      <c r="K40" s="20"/>
    </row>
    <row r="41" spans="5:11" ht="15.75" customHeight="1" x14ac:dyDescent="0.25">
      <c r="E41" s="17">
        <v>44926</v>
      </c>
      <c r="F41" s="18">
        <v>16</v>
      </c>
      <c r="G41" s="20">
        <f t="shared" si="6"/>
        <v>27487.246034273896</v>
      </c>
      <c r="H41" s="20">
        <f t="shared" si="3"/>
        <v>23219.602980009866</v>
      </c>
      <c r="I41" s="20">
        <f t="shared" si="7"/>
        <v>4267.6430542640301</v>
      </c>
      <c r="J41" s="19">
        <f t="shared" si="5"/>
        <v>2630459.1905406206</v>
      </c>
      <c r="K41" s="20"/>
    </row>
    <row r="42" spans="5:11" ht="15.75" customHeight="1" x14ac:dyDescent="0.25">
      <c r="E42" s="17">
        <v>44957</v>
      </c>
      <c r="F42" s="18">
        <v>17</v>
      </c>
      <c r="G42" s="20">
        <f t="shared" si="6"/>
        <v>27487.246034273896</v>
      </c>
      <c r="H42" s="20">
        <f t="shared" si="3"/>
        <v>23256.944717684506</v>
      </c>
      <c r="I42" s="20">
        <f t="shared" si="7"/>
        <v>4230.3013165893881</v>
      </c>
      <c r="J42" s="19">
        <f t="shared" si="5"/>
        <v>2607202.2458229363</v>
      </c>
      <c r="K42" s="20"/>
    </row>
    <row r="43" spans="5:11" ht="15.75" customHeight="1" x14ac:dyDescent="0.25">
      <c r="E43" s="17">
        <v>44985</v>
      </c>
      <c r="F43" s="18">
        <v>18</v>
      </c>
      <c r="G43" s="20">
        <f t="shared" si="6"/>
        <v>27487.246034273896</v>
      </c>
      <c r="H43" s="20">
        <f t="shared" si="3"/>
        <v>23294.346508296909</v>
      </c>
      <c r="I43" s="20">
        <f t="shared" si="7"/>
        <v>4192.8995259769872</v>
      </c>
      <c r="J43" s="19">
        <f t="shared" si="5"/>
        <v>2583907.8993146392</v>
      </c>
      <c r="K43" s="20"/>
    </row>
    <row r="44" spans="5:11" ht="15.75" customHeight="1" x14ac:dyDescent="0.25">
      <c r="E44" s="17">
        <v>45016</v>
      </c>
      <c r="F44" s="18">
        <v>19</v>
      </c>
      <c r="G44" s="20">
        <f t="shared" si="6"/>
        <v>27487.246034273896</v>
      </c>
      <c r="H44" s="20">
        <f t="shared" si="3"/>
        <v>23331.808448424134</v>
      </c>
      <c r="I44" s="20">
        <f t="shared" si="7"/>
        <v>4155.4375858497633</v>
      </c>
      <c r="J44" s="19">
        <f t="shared" si="5"/>
        <v>2560576.0908662151</v>
      </c>
      <c r="K44" s="20"/>
    </row>
    <row r="45" spans="5:11" ht="15.75" customHeight="1" x14ac:dyDescent="0.25">
      <c r="E45" s="17">
        <v>45046</v>
      </c>
      <c r="F45" s="18">
        <v>20</v>
      </c>
      <c r="G45" s="20">
        <f t="shared" si="6"/>
        <v>27487.246034273896</v>
      </c>
      <c r="H45" s="20">
        <f t="shared" si="3"/>
        <v>23369.330634798556</v>
      </c>
      <c r="I45" s="20">
        <f t="shared" si="7"/>
        <v>4117.9153994753397</v>
      </c>
      <c r="J45" s="19">
        <f t="shared" si="5"/>
        <v>2537206.7602314167</v>
      </c>
      <c r="K45" s="20"/>
    </row>
    <row r="46" spans="5:11" ht="15.75" customHeight="1" x14ac:dyDescent="0.25">
      <c r="E46" s="17">
        <v>45077</v>
      </c>
      <c r="F46" s="18">
        <v>21</v>
      </c>
      <c r="G46" s="20">
        <f t="shared" si="6"/>
        <v>27487.246034273896</v>
      </c>
      <c r="H46" s="20">
        <f t="shared" si="3"/>
        <v>23406.91316430812</v>
      </c>
      <c r="I46" s="20">
        <f t="shared" si="7"/>
        <v>4080.3328699657745</v>
      </c>
      <c r="J46" s="19">
        <f t="shared" si="5"/>
        <v>2513799.8470671084</v>
      </c>
      <c r="K46" s="20"/>
    </row>
    <row r="47" spans="5:11" ht="15.75" customHeight="1" x14ac:dyDescent="0.25">
      <c r="E47" s="17">
        <v>45107</v>
      </c>
      <c r="F47" s="18">
        <v>22</v>
      </c>
      <c r="G47" s="20">
        <f t="shared" si="6"/>
        <v>27487.246034273896</v>
      </c>
      <c r="H47" s="20">
        <f t="shared" si="3"/>
        <v>23444.556133996586</v>
      </c>
      <c r="I47" s="20">
        <f t="shared" si="7"/>
        <v>4042.6899002773089</v>
      </c>
      <c r="J47" s="19">
        <f t="shared" si="5"/>
        <v>2490355.2909331117</v>
      </c>
      <c r="K47" s="20"/>
    </row>
    <row r="48" spans="5:11" ht="15.75" customHeight="1" x14ac:dyDescent="0.25">
      <c r="E48" s="17">
        <v>45138</v>
      </c>
      <c r="F48" s="18">
        <v>23</v>
      </c>
      <c r="G48" s="20">
        <f t="shared" si="6"/>
        <v>27487.246034273896</v>
      </c>
      <c r="H48" s="20">
        <f t="shared" si="3"/>
        <v>23482.259641063778</v>
      </c>
      <c r="I48" s="20">
        <f t="shared" si="7"/>
        <v>4004.9863932101198</v>
      </c>
      <c r="J48" s="19">
        <f t="shared" si="5"/>
        <v>2466873.0312920478</v>
      </c>
      <c r="K48" s="20"/>
    </row>
    <row r="49" spans="5:11" ht="15.75" customHeight="1" x14ac:dyDescent="0.25">
      <c r="E49" s="21">
        <v>45169</v>
      </c>
      <c r="F49" s="22">
        <v>24</v>
      </c>
      <c r="G49" s="23">
        <f t="shared" si="6"/>
        <v>27487.246034273896</v>
      </c>
      <c r="H49" s="23">
        <f t="shared" si="3"/>
        <v>23520.023782865828</v>
      </c>
      <c r="I49" s="23">
        <f t="shared" si="7"/>
        <v>3967.2222514080681</v>
      </c>
      <c r="J49" s="24">
        <f t="shared" si="5"/>
        <v>2443353.0075091822</v>
      </c>
      <c r="K49" s="20"/>
    </row>
    <row r="50" spans="5:11" ht="15.75" customHeight="1" x14ac:dyDescent="0.25">
      <c r="E50" s="17">
        <v>45199</v>
      </c>
      <c r="F50" s="18">
        <v>25</v>
      </c>
      <c r="G50" s="20">
        <f t="shared" ref="G50:G61" si="8">+PMT($G$10,(120-24),-$J$49)</f>
        <v>27625.446942829545</v>
      </c>
      <c r="H50" s="20">
        <f t="shared" si="3"/>
        <v>23436.142520750756</v>
      </c>
      <c r="I50" s="20">
        <f t="shared" ref="I50:I61" si="9">J49*$G$10</f>
        <v>4189.304422078787</v>
      </c>
      <c r="J50" s="19">
        <f t="shared" si="5"/>
        <v>2419916.8649884313</v>
      </c>
      <c r="K50" s="20"/>
    </row>
    <row r="51" spans="5:11" ht="15.75" customHeight="1" x14ac:dyDescent="0.25">
      <c r="E51" s="17">
        <v>45230</v>
      </c>
      <c r="F51" s="18">
        <v>26</v>
      </c>
      <c r="G51" s="20">
        <f t="shared" si="8"/>
        <v>27625.446942829545</v>
      </c>
      <c r="H51" s="20">
        <f t="shared" si="3"/>
        <v>23476.325472291901</v>
      </c>
      <c r="I51" s="20">
        <f t="shared" si="9"/>
        <v>4149.1214705376424</v>
      </c>
      <c r="J51" s="19">
        <f t="shared" si="5"/>
        <v>2396440.5395161393</v>
      </c>
      <c r="K51" s="20"/>
    </row>
    <row r="52" spans="5:11" ht="15.75" customHeight="1" x14ac:dyDescent="0.25">
      <c r="E52" s="17">
        <v>45260</v>
      </c>
      <c r="F52" s="18">
        <v>27</v>
      </c>
      <c r="G52" s="20">
        <f t="shared" si="8"/>
        <v>27625.446942829545</v>
      </c>
      <c r="H52" s="20">
        <f t="shared" si="3"/>
        <v>23516.57732039284</v>
      </c>
      <c r="I52" s="20">
        <f t="shared" si="9"/>
        <v>4108.8696224367031</v>
      </c>
      <c r="J52" s="19">
        <f t="shared" si="5"/>
        <v>2372923.9621957466</v>
      </c>
      <c r="K52" s="20"/>
    </row>
    <row r="53" spans="5:11" ht="15.75" customHeight="1" x14ac:dyDescent="0.25">
      <c r="E53" s="17">
        <v>45291</v>
      </c>
      <c r="F53" s="18">
        <v>28</v>
      </c>
      <c r="G53" s="20">
        <f t="shared" si="8"/>
        <v>27625.446942829545</v>
      </c>
      <c r="H53" s="20">
        <f t="shared" si="3"/>
        <v>23556.898183181682</v>
      </c>
      <c r="I53" s="20">
        <f t="shared" si="9"/>
        <v>4068.5487596478624</v>
      </c>
      <c r="J53" s="19">
        <f t="shared" si="5"/>
        <v>2349367.0640125647</v>
      </c>
      <c r="K53" s="20"/>
    </row>
    <row r="54" spans="5:11" ht="15.75" customHeight="1" x14ac:dyDescent="0.25">
      <c r="E54" s="17">
        <v>45322</v>
      </c>
      <c r="F54" s="18">
        <v>29</v>
      </c>
      <c r="G54" s="20">
        <f t="shared" si="8"/>
        <v>27625.446942829545</v>
      </c>
      <c r="H54" s="20">
        <f t="shared" si="3"/>
        <v>23597.288178989071</v>
      </c>
      <c r="I54" s="20">
        <f t="shared" si="9"/>
        <v>4028.1587638404749</v>
      </c>
      <c r="J54" s="19">
        <f t="shared" si="5"/>
        <v>2325769.7758335755</v>
      </c>
      <c r="K54" s="20"/>
    </row>
    <row r="55" spans="5:11" ht="15.75" customHeight="1" x14ac:dyDescent="0.25">
      <c r="E55" s="17">
        <v>45351</v>
      </c>
      <c r="F55" s="18">
        <v>30</v>
      </c>
      <c r="G55" s="20">
        <f t="shared" si="8"/>
        <v>27625.446942829545</v>
      </c>
      <c r="H55" s="20">
        <f t="shared" si="3"/>
        <v>23637.747426348535</v>
      </c>
      <c r="I55" s="20">
        <f t="shared" si="9"/>
        <v>3987.6995164810096</v>
      </c>
      <c r="J55" s="19">
        <f t="shared" si="5"/>
        <v>2302132.0284072268</v>
      </c>
      <c r="K55" s="20"/>
    </row>
    <row r="56" spans="5:11" ht="15.75" customHeight="1" x14ac:dyDescent="0.25">
      <c r="E56" s="17">
        <v>45382</v>
      </c>
      <c r="F56" s="18">
        <v>31</v>
      </c>
      <c r="G56" s="20">
        <f t="shared" si="8"/>
        <v>27625.446942829545</v>
      </c>
      <c r="H56" s="20">
        <f t="shared" si="3"/>
        <v>23678.276043996844</v>
      </c>
      <c r="I56" s="20">
        <f t="shared" si="9"/>
        <v>3947.1708988327014</v>
      </c>
      <c r="J56" s="19">
        <f t="shared" si="5"/>
        <v>2278453.7523632301</v>
      </c>
      <c r="K56" s="20"/>
    </row>
    <row r="57" spans="5:11" ht="15.75" customHeight="1" x14ac:dyDescent="0.25">
      <c r="E57" s="17">
        <v>45412</v>
      </c>
      <c r="F57" s="18">
        <v>32</v>
      </c>
      <c r="G57" s="20">
        <f t="shared" si="8"/>
        <v>27625.446942829545</v>
      </c>
      <c r="H57" s="20">
        <f t="shared" si="3"/>
        <v>23718.874150874344</v>
      </c>
      <c r="I57" s="20">
        <f t="shared" si="9"/>
        <v>3906.5727919552019</v>
      </c>
      <c r="J57" s="19">
        <f t="shared" si="5"/>
        <v>2254734.8782123555</v>
      </c>
      <c r="K57" s="20"/>
    </row>
    <row r="58" spans="5:11" ht="15.75" customHeight="1" x14ac:dyDescent="0.25">
      <c r="E58" s="17">
        <v>45443</v>
      </c>
      <c r="F58" s="18">
        <v>33</v>
      </c>
      <c r="G58" s="20">
        <f t="shared" si="8"/>
        <v>27625.446942829545</v>
      </c>
      <c r="H58" s="20">
        <f t="shared" si="3"/>
        <v>23759.541866125313</v>
      </c>
      <c r="I58" s="20">
        <f t="shared" si="9"/>
        <v>3865.9050767042299</v>
      </c>
      <c r="J58" s="19">
        <f t="shared" si="5"/>
        <v>2230975.33634623</v>
      </c>
      <c r="K58" s="20"/>
    </row>
    <row r="59" spans="5:11" ht="15.75" customHeight="1" x14ac:dyDescent="0.25">
      <c r="E59" s="17">
        <v>45473</v>
      </c>
      <c r="F59" s="18">
        <v>34</v>
      </c>
      <c r="G59" s="20">
        <f t="shared" si="8"/>
        <v>27625.446942829545</v>
      </c>
      <c r="H59" s="20">
        <f t="shared" si="3"/>
        <v>23800.279309098321</v>
      </c>
      <c r="I59" s="20">
        <f t="shared" si="9"/>
        <v>3825.1676337312251</v>
      </c>
      <c r="J59" s="19">
        <f t="shared" si="5"/>
        <v>2207175.0570371319</v>
      </c>
      <c r="K59" s="20"/>
    </row>
    <row r="60" spans="5:11" ht="15.75" customHeight="1" x14ac:dyDescent="0.25">
      <c r="E60" s="17">
        <v>45504</v>
      </c>
      <c r="F60" s="18">
        <v>35</v>
      </c>
      <c r="G60" s="20">
        <f t="shared" si="8"/>
        <v>27625.446942829545</v>
      </c>
      <c r="H60" s="20">
        <f t="shared" si="3"/>
        <v>23841.086599346552</v>
      </c>
      <c r="I60" s="20">
        <f t="shared" si="9"/>
        <v>3784.3603434829938</v>
      </c>
      <c r="J60" s="19">
        <f t="shared" si="5"/>
        <v>2183333.9704377851</v>
      </c>
      <c r="K60" s="20"/>
    </row>
    <row r="61" spans="5:11" ht="15.75" customHeight="1" x14ac:dyDescent="0.25">
      <c r="E61" s="21">
        <v>45535</v>
      </c>
      <c r="F61" s="22">
        <v>36</v>
      </c>
      <c r="G61" s="23">
        <f t="shared" si="8"/>
        <v>27625.446942829545</v>
      </c>
      <c r="H61" s="23">
        <f t="shared" si="3"/>
        <v>23881.963856628186</v>
      </c>
      <c r="I61" s="23">
        <f t="shared" si="9"/>
        <v>3743.48308620136</v>
      </c>
      <c r="J61" s="24">
        <f t="shared" si="5"/>
        <v>2159452.006581157</v>
      </c>
      <c r="K61" s="20"/>
    </row>
    <row r="62" spans="5:11" ht="15.75" customHeight="1" x14ac:dyDescent="0.25">
      <c r="E62" s="17">
        <v>45565</v>
      </c>
      <c r="F62" s="18">
        <v>37</v>
      </c>
      <c r="G62" s="20">
        <f t="shared" ref="G62:G73" si="10">+PMT($G$11,(120-36),-$J$61)</f>
        <v>27747.198089499656</v>
      </c>
      <c r="H62" s="20">
        <f t="shared" si="3"/>
        <v>23815.222742439724</v>
      </c>
      <c r="I62" s="20">
        <f t="shared" ref="I62:I73" si="11">J61*$G$11</f>
        <v>3931.9753470599308</v>
      </c>
      <c r="J62" s="19">
        <f t="shared" si="5"/>
        <v>2135636.7838387173</v>
      </c>
      <c r="K62" s="20"/>
    </row>
    <row r="63" spans="5:11" ht="15.75" customHeight="1" x14ac:dyDescent="0.25">
      <c r="E63" s="17">
        <v>45596</v>
      </c>
      <c r="F63" s="18">
        <v>38</v>
      </c>
      <c r="G63" s="20">
        <f t="shared" si="10"/>
        <v>27747.198089499656</v>
      </c>
      <c r="H63" s="20">
        <f t="shared" si="3"/>
        <v>23858.585997757571</v>
      </c>
      <c r="I63" s="20">
        <f t="shared" si="11"/>
        <v>3888.6120917420844</v>
      </c>
      <c r="J63" s="19">
        <f t="shared" si="5"/>
        <v>2111778.1978409598</v>
      </c>
      <c r="K63" s="20"/>
    </row>
    <row r="64" spans="5:11" ht="15.75" customHeight="1" x14ac:dyDescent="0.25">
      <c r="E64" s="17">
        <v>45626</v>
      </c>
      <c r="F64" s="18">
        <v>39</v>
      </c>
      <c r="G64" s="20">
        <f t="shared" si="10"/>
        <v>27747.198089499656</v>
      </c>
      <c r="H64" s="20">
        <f t="shared" si="3"/>
        <v>23902.028209797012</v>
      </c>
      <c r="I64" s="20">
        <f t="shared" si="11"/>
        <v>3845.1698797026452</v>
      </c>
      <c r="J64" s="19">
        <f t="shared" si="5"/>
        <v>2087876.1696311627</v>
      </c>
      <c r="K64" s="20"/>
    </row>
    <row r="65" spans="5:11" ht="15.75" customHeight="1" x14ac:dyDescent="0.25">
      <c r="E65" s="17">
        <v>45657</v>
      </c>
      <c r="F65" s="18">
        <v>40</v>
      </c>
      <c r="G65" s="20">
        <f t="shared" si="10"/>
        <v>27747.198089499656</v>
      </c>
      <c r="H65" s="20">
        <f t="shared" si="3"/>
        <v>23945.549522324094</v>
      </c>
      <c r="I65" s="20">
        <f t="shared" si="11"/>
        <v>3801.6485671755627</v>
      </c>
      <c r="J65" s="19">
        <f t="shared" si="5"/>
        <v>2063930.6201088387</v>
      </c>
      <c r="K65" s="20"/>
    </row>
    <row r="66" spans="5:11" ht="15.75" customHeight="1" x14ac:dyDescent="0.25">
      <c r="E66" s="17">
        <v>45688</v>
      </c>
      <c r="F66" s="18">
        <v>41</v>
      </c>
      <c r="G66" s="20">
        <f t="shared" si="10"/>
        <v>27747.198089499656</v>
      </c>
      <c r="H66" s="20">
        <f t="shared" si="3"/>
        <v>23989.150079366638</v>
      </c>
      <c r="I66" s="20">
        <f t="shared" si="11"/>
        <v>3758.0480101330177</v>
      </c>
      <c r="J66" s="19">
        <f t="shared" si="5"/>
        <v>2039941.4700294719</v>
      </c>
      <c r="K66" s="20"/>
    </row>
    <row r="67" spans="5:11" ht="15.75" customHeight="1" x14ac:dyDescent="0.25">
      <c r="E67" s="17">
        <v>45716</v>
      </c>
      <c r="F67" s="18">
        <v>42</v>
      </c>
      <c r="G67" s="20">
        <f t="shared" si="10"/>
        <v>27747.198089499656</v>
      </c>
      <c r="H67" s="20">
        <f t="shared" si="3"/>
        <v>24032.830025214716</v>
      </c>
      <c r="I67" s="20">
        <f t="shared" si="11"/>
        <v>3714.3680642849386</v>
      </c>
      <c r="J67" s="19">
        <f t="shared" si="5"/>
        <v>2015908.6400042572</v>
      </c>
      <c r="K67" s="20"/>
    </row>
    <row r="68" spans="5:11" ht="15.75" customHeight="1" x14ac:dyDescent="0.25">
      <c r="E68" s="17">
        <v>45747</v>
      </c>
      <c r="F68" s="18">
        <v>43</v>
      </c>
      <c r="G68" s="20">
        <f t="shared" si="10"/>
        <v>27747.198089499656</v>
      </c>
      <c r="H68" s="20">
        <f t="shared" si="3"/>
        <v>24076.589504421128</v>
      </c>
      <c r="I68" s="20">
        <f t="shared" si="11"/>
        <v>3670.6085850785294</v>
      </c>
      <c r="J68" s="19">
        <f t="shared" si="5"/>
        <v>1991832.050499836</v>
      </c>
      <c r="K68" s="20"/>
    </row>
    <row r="69" spans="5:11" ht="15.75" customHeight="1" x14ac:dyDescent="0.25">
      <c r="E69" s="17">
        <v>45777</v>
      </c>
      <c r="F69" s="18">
        <v>44</v>
      </c>
      <c r="G69" s="20">
        <f t="shared" si="10"/>
        <v>27747.198089499656</v>
      </c>
      <c r="H69" s="20">
        <f t="shared" si="3"/>
        <v>24120.428661801867</v>
      </c>
      <c r="I69" s="20">
        <f t="shared" si="11"/>
        <v>3626.7694276977895</v>
      </c>
      <c r="J69" s="19">
        <f t="shared" si="5"/>
        <v>1967711.6218380341</v>
      </c>
      <c r="K69" s="20"/>
    </row>
    <row r="70" spans="5:11" ht="15.75" customHeight="1" x14ac:dyDescent="0.25">
      <c r="E70" s="17">
        <v>45808</v>
      </c>
      <c r="F70" s="18">
        <v>45</v>
      </c>
      <c r="G70" s="20">
        <f t="shared" si="10"/>
        <v>27747.198089499656</v>
      </c>
      <c r="H70" s="20">
        <f t="shared" si="3"/>
        <v>24164.347642436624</v>
      </c>
      <c r="I70" s="20">
        <f t="shared" si="11"/>
        <v>3582.8504470630337</v>
      </c>
      <c r="J70" s="19">
        <f t="shared" si="5"/>
        <v>1943547.2741955975</v>
      </c>
      <c r="K70" s="20"/>
    </row>
    <row r="71" spans="5:11" ht="15.75" customHeight="1" x14ac:dyDescent="0.25">
      <c r="E71" s="17">
        <v>45838</v>
      </c>
      <c r="F71" s="18">
        <v>46</v>
      </c>
      <c r="G71" s="20">
        <f t="shared" si="10"/>
        <v>27747.198089499656</v>
      </c>
      <c r="H71" s="20">
        <f t="shared" si="3"/>
        <v>24208.346591669244</v>
      </c>
      <c r="I71" s="20">
        <f t="shared" si="11"/>
        <v>3538.8514978304124</v>
      </c>
      <c r="J71" s="19">
        <f t="shared" si="5"/>
        <v>1919338.9276039284</v>
      </c>
      <c r="K71" s="20"/>
    </row>
    <row r="72" spans="5:11" ht="15.75" customHeight="1" x14ac:dyDescent="0.25">
      <c r="E72" s="17">
        <v>45869</v>
      </c>
      <c r="F72" s="18">
        <v>47</v>
      </c>
      <c r="G72" s="20">
        <f t="shared" si="10"/>
        <v>27747.198089499656</v>
      </c>
      <c r="H72" s="20">
        <f t="shared" si="3"/>
        <v>24252.425655108225</v>
      </c>
      <c r="I72" s="20">
        <f t="shared" si="11"/>
        <v>3494.7724343914315</v>
      </c>
      <c r="J72" s="19">
        <f t="shared" si="5"/>
        <v>1895086.5019488202</v>
      </c>
      <c r="K72" s="20"/>
    </row>
    <row r="73" spans="5:11" ht="15.75" customHeight="1" x14ac:dyDescent="0.25">
      <c r="E73" s="21">
        <v>45900</v>
      </c>
      <c r="F73" s="22">
        <v>48</v>
      </c>
      <c r="G73" s="23">
        <f t="shared" si="10"/>
        <v>27747.198089499656</v>
      </c>
      <c r="H73" s="23">
        <f t="shared" si="3"/>
        <v>24296.584978627187</v>
      </c>
      <c r="I73" s="23">
        <f t="shared" si="11"/>
        <v>3450.6131108724694</v>
      </c>
      <c r="J73" s="24">
        <f t="shared" si="5"/>
        <v>1870789.9169701929</v>
      </c>
      <c r="K73" s="20"/>
    </row>
    <row r="74" spans="5:11" ht="15.75" customHeight="1" x14ac:dyDescent="0.25">
      <c r="E74" s="17">
        <v>45930</v>
      </c>
      <c r="F74" s="18">
        <v>49</v>
      </c>
      <c r="G74" s="20">
        <f t="shared" ref="G74:G85" si="12">+PMT($G$12,(120-48),-$J$73)</f>
        <v>27852.300408590323</v>
      </c>
      <c r="H74" s="20">
        <f t="shared" si="3"/>
        <v>24247.389096504616</v>
      </c>
      <c r="I74" s="20">
        <f t="shared" ref="I74:I85" si="13">J73*$G$12</f>
        <v>3604.9113120857073</v>
      </c>
      <c r="J74" s="19">
        <f t="shared" si="5"/>
        <v>1846542.5278736884</v>
      </c>
      <c r="K74" s="20"/>
    </row>
    <row r="75" spans="5:11" ht="15.75" customHeight="1" x14ac:dyDescent="0.25">
      <c r="E75" s="17">
        <v>45961</v>
      </c>
      <c r="F75" s="18">
        <v>50</v>
      </c>
      <c r="G75" s="20">
        <f t="shared" si="12"/>
        <v>27852.300408590323</v>
      </c>
      <c r="H75" s="20">
        <f t="shared" si="3"/>
        <v>24294.112508069768</v>
      </c>
      <c r="I75" s="20">
        <f t="shared" si="13"/>
        <v>3558.1879005205565</v>
      </c>
      <c r="J75" s="19">
        <f t="shared" si="5"/>
        <v>1822248.4153656187</v>
      </c>
      <c r="K75" s="20"/>
    </row>
    <row r="76" spans="5:11" ht="15.75" customHeight="1" x14ac:dyDescent="0.25">
      <c r="E76" s="17">
        <v>45991</v>
      </c>
      <c r="F76" s="18">
        <v>51</v>
      </c>
      <c r="G76" s="20">
        <f t="shared" si="12"/>
        <v>27852.300408590323</v>
      </c>
      <c r="H76" s="20">
        <f t="shared" si="3"/>
        <v>24340.925953130056</v>
      </c>
      <c r="I76" s="20">
        <f t="shared" si="13"/>
        <v>3511.374455460269</v>
      </c>
      <c r="J76" s="19">
        <f t="shared" si="5"/>
        <v>1797907.4894124886</v>
      </c>
      <c r="K76" s="20"/>
    </row>
    <row r="77" spans="5:11" ht="15.75" customHeight="1" x14ac:dyDescent="0.25">
      <c r="E77" s="17">
        <v>46022</v>
      </c>
      <c r="F77" s="18">
        <v>52</v>
      </c>
      <c r="G77" s="20">
        <f t="shared" si="12"/>
        <v>27852.300408590323</v>
      </c>
      <c r="H77" s="20">
        <f t="shared" si="3"/>
        <v>24387.829605175168</v>
      </c>
      <c r="I77" s="20">
        <f t="shared" si="13"/>
        <v>3464.4708034151545</v>
      </c>
      <c r="J77" s="19">
        <f t="shared" si="5"/>
        <v>1773519.6598073135</v>
      </c>
      <c r="K77" s="20"/>
    </row>
    <row r="78" spans="5:11" ht="15.75" customHeight="1" x14ac:dyDescent="0.25">
      <c r="E78" s="17">
        <v>46053</v>
      </c>
      <c r="F78" s="18">
        <v>53</v>
      </c>
      <c r="G78" s="20">
        <f t="shared" si="12"/>
        <v>27852.300408590323</v>
      </c>
      <c r="H78" s="20">
        <f t="shared" si="3"/>
        <v>24434.823638029105</v>
      </c>
      <c r="I78" s="20">
        <f t="shared" si="13"/>
        <v>3417.4767705612157</v>
      </c>
      <c r="J78" s="19">
        <f t="shared" si="5"/>
        <v>1749084.8361692843</v>
      </c>
      <c r="K78" s="20"/>
    </row>
    <row r="79" spans="5:11" ht="15.75" customHeight="1" x14ac:dyDescent="0.25">
      <c r="E79" s="17">
        <v>46081</v>
      </c>
      <c r="F79" s="18">
        <v>54</v>
      </c>
      <c r="G79" s="20">
        <f t="shared" si="12"/>
        <v>27852.300408590323</v>
      </c>
      <c r="H79" s="20">
        <f t="shared" si="3"/>
        <v>24481.908225850817</v>
      </c>
      <c r="I79" s="20">
        <f t="shared" si="13"/>
        <v>3370.3921827395066</v>
      </c>
      <c r="J79" s="19">
        <f t="shared" si="5"/>
        <v>1724602.9279434334</v>
      </c>
      <c r="K79" s="20"/>
    </row>
    <row r="80" spans="5:11" ht="15.75" customHeight="1" x14ac:dyDescent="0.25">
      <c r="E80" s="17">
        <v>46112</v>
      </c>
      <c r="F80" s="18">
        <v>55</v>
      </c>
      <c r="G80" s="20">
        <f t="shared" si="12"/>
        <v>27852.300408590323</v>
      </c>
      <c r="H80" s="20">
        <f t="shared" si="3"/>
        <v>24529.083543134835</v>
      </c>
      <c r="I80" s="20">
        <f t="shared" si="13"/>
        <v>3323.2168654554866</v>
      </c>
      <c r="J80" s="19">
        <f t="shared" si="5"/>
        <v>1700073.8444002985</v>
      </c>
      <c r="K80" s="20"/>
    </row>
    <row r="81" spans="5:11" ht="15.75" customHeight="1" x14ac:dyDescent="0.25">
      <c r="E81" s="17">
        <v>46142</v>
      </c>
      <c r="F81" s="18">
        <v>56</v>
      </c>
      <c r="G81" s="20">
        <f t="shared" si="12"/>
        <v>27852.300408590323</v>
      </c>
      <c r="H81" s="20">
        <f t="shared" si="3"/>
        <v>24576.349764711951</v>
      </c>
      <c r="I81" s="20">
        <f t="shared" si="13"/>
        <v>3275.9506438783737</v>
      </c>
      <c r="J81" s="19">
        <f t="shared" si="5"/>
        <v>1675497.4946355866</v>
      </c>
      <c r="K81" s="20"/>
    </row>
    <row r="82" spans="5:11" ht="15.75" customHeight="1" x14ac:dyDescent="0.25">
      <c r="E82" s="17">
        <v>46173</v>
      </c>
      <c r="F82" s="18">
        <v>57</v>
      </c>
      <c r="G82" s="20">
        <f t="shared" si="12"/>
        <v>27852.300408590323</v>
      </c>
      <c r="H82" s="20">
        <f t="shared" si="3"/>
        <v>24623.707065749826</v>
      </c>
      <c r="I82" s="20">
        <f t="shared" si="13"/>
        <v>3228.5933428404956</v>
      </c>
      <c r="J82" s="19">
        <f t="shared" si="5"/>
        <v>1650873.7875698367</v>
      </c>
      <c r="K82" s="20"/>
    </row>
    <row r="83" spans="5:11" ht="15.75" customHeight="1" x14ac:dyDescent="0.25">
      <c r="E83" s="17">
        <v>46203</v>
      </c>
      <c r="F83" s="18">
        <v>58</v>
      </c>
      <c r="G83" s="20">
        <f t="shared" si="12"/>
        <v>27852.300408590323</v>
      </c>
      <c r="H83" s="20">
        <f t="shared" si="3"/>
        <v>24671.155621753682</v>
      </c>
      <c r="I83" s="20">
        <f t="shared" si="13"/>
        <v>3181.1447868366408</v>
      </c>
      <c r="J83" s="19">
        <f t="shared" si="5"/>
        <v>1626202.6319480829</v>
      </c>
      <c r="K83" s="20"/>
    </row>
    <row r="84" spans="5:11" ht="15.75" customHeight="1" x14ac:dyDescent="0.25">
      <c r="E84" s="17">
        <v>46234</v>
      </c>
      <c r="F84" s="18">
        <v>59</v>
      </c>
      <c r="G84" s="20">
        <f t="shared" si="12"/>
        <v>27852.300408590323</v>
      </c>
      <c r="H84" s="20">
        <f t="shared" si="3"/>
        <v>24718.695608566912</v>
      </c>
      <c r="I84" s="20">
        <f t="shared" si="13"/>
        <v>3133.6048000234105</v>
      </c>
      <c r="J84" s="19">
        <f t="shared" si="5"/>
        <v>1601483.936339516</v>
      </c>
      <c r="K84" s="20"/>
    </row>
    <row r="85" spans="5:11" ht="15.75" customHeight="1" x14ac:dyDescent="0.25">
      <c r="E85" s="21">
        <v>46265</v>
      </c>
      <c r="F85" s="22">
        <v>60</v>
      </c>
      <c r="G85" s="23">
        <f t="shared" si="12"/>
        <v>27852.300408590323</v>
      </c>
      <c r="H85" s="23">
        <f t="shared" si="3"/>
        <v>24766.327202371758</v>
      </c>
      <c r="I85" s="23">
        <f t="shared" si="13"/>
        <v>3085.9732062185644</v>
      </c>
      <c r="J85" s="24">
        <f t="shared" si="5"/>
        <v>1576717.6091371442</v>
      </c>
      <c r="K85" s="20"/>
    </row>
    <row r="86" spans="5:11" ht="15.75" customHeight="1" x14ac:dyDescent="0.25">
      <c r="E86" s="17">
        <v>46295</v>
      </c>
      <c r="F86" s="18">
        <v>61</v>
      </c>
      <c r="G86" s="20">
        <f t="shared" ref="G86:G97" si="14">+PMT($G$13,(120-60),-$J$85)</f>
        <v>27940.562360004398</v>
      </c>
      <c r="H86" s="20">
        <f t="shared" si="3"/>
        <v>24735.177813020873</v>
      </c>
      <c r="I86" s="20">
        <f t="shared" ref="I86:I97" si="15">J85*$G$13</f>
        <v>3205.3845469835255</v>
      </c>
      <c r="J86" s="19">
        <f t="shared" si="5"/>
        <v>1551982.4313241234</v>
      </c>
      <c r="K86" s="20"/>
    </row>
    <row r="87" spans="5:11" ht="15.75" customHeight="1" x14ac:dyDescent="0.25">
      <c r="E87" s="17">
        <v>46326</v>
      </c>
      <c r="F87" s="18">
        <v>62</v>
      </c>
      <c r="G87" s="20">
        <f t="shared" si="14"/>
        <v>27940.562360004398</v>
      </c>
      <c r="H87" s="20">
        <f t="shared" si="3"/>
        <v>24785.463137589635</v>
      </c>
      <c r="I87" s="20">
        <f t="shared" si="15"/>
        <v>3155.0992224147617</v>
      </c>
      <c r="J87" s="19">
        <f t="shared" si="5"/>
        <v>1527196.9681865338</v>
      </c>
      <c r="K87" s="20"/>
    </row>
    <row r="88" spans="5:11" ht="15.75" customHeight="1" x14ac:dyDescent="0.25">
      <c r="E88" s="17">
        <v>46356</v>
      </c>
      <c r="F88" s="18">
        <v>63</v>
      </c>
      <c r="G88" s="20">
        <f t="shared" si="14"/>
        <v>27940.562360004398</v>
      </c>
      <c r="H88" s="20">
        <f t="shared" si="3"/>
        <v>24835.850689596831</v>
      </c>
      <c r="I88" s="20">
        <f t="shared" si="15"/>
        <v>3104.7116704075656</v>
      </c>
      <c r="J88" s="19">
        <f t="shared" si="5"/>
        <v>1502361.117496937</v>
      </c>
      <c r="K88" s="20"/>
    </row>
    <row r="89" spans="5:11" ht="15.75" customHeight="1" x14ac:dyDescent="0.25">
      <c r="E89" s="17">
        <v>46387</v>
      </c>
      <c r="F89" s="18">
        <v>64</v>
      </c>
      <c r="G89" s="20">
        <f t="shared" si="14"/>
        <v>27940.562360004398</v>
      </c>
      <c r="H89" s="20">
        <f t="shared" si="3"/>
        <v>24886.340676865504</v>
      </c>
      <c r="I89" s="20">
        <f t="shared" si="15"/>
        <v>3054.2216831388946</v>
      </c>
      <c r="J89" s="19">
        <f t="shared" si="5"/>
        <v>1477474.7768200715</v>
      </c>
      <c r="K89" s="20"/>
    </row>
    <row r="90" spans="5:11" ht="15.75" customHeight="1" x14ac:dyDescent="0.25">
      <c r="E90" s="17">
        <v>46418</v>
      </c>
      <c r="F90" s="18">
        <v>65</v>
      </c>
      <c r="G90" s="20">
        <f t="shared" si="14"/>
        <v>27940.562360004398</v>
      </c>
      <c r="H90" s="20">
        <f t="shared" si="3"/>
        <v>24936.933307641186</v>
      </c>
      <c r="I90" s="20">
        <f t="shared" si="15"/>
        <v>3003.6290523632124</v>
      </c>
      <c r="J90" s="19">
        <f t="shared" si="5"/>
        <v>1452537.8435124303</v>
      </c>
      <c r="K90" s="20"/>
    </row>
    <row r="91" spans="5:11" ht="15.75" customHeight="1" x14ac:dyDescent="0.25">
      <c r="E91" s="17">
        <v>46446</v>
      </c>
      <c r="F91" s="18">
        <v>66</v>
      </c>
      <c r="G91" s="20">
        <f t="shared" si="14"/>
        <v>27940.562360004398</v>
      </c>
      <c r="H91" s="20">
        <f t="shared" si="3"/>
        <v>24987.628790592767</v>
      </c>
      <c r="I91" s="20">
        <f t="shared" si="15"/>
        <v>2952.9335694116298</v>
      </c>
      <c r="J91" s="19">
        <f t="shared" si="5"/>
        <v>1427550.2147218375</v>
      </c>
      <c r="K91" s="20"/>
    </row>
    <row r="92" spans="5:11" ht="15.75" customHeight="1" x14ac:dyDescent="0.25">
      <c r="E92" s="17">
        <v>46477</v>
      </c>
      <c r="F92" s="18">
        <v>67</v>
      </c>
      <c r="G92" s="20">
        <f t="shared" si="14"/>
        <v>27940.562360004398</v>
      </c>
      <c r="H92" s="20">
        <f t="shared" si="3"/>
        <v>25038.427334813354</v>
      </c>
      <c r="I92" s="20">
        <f t="shared" si="15"/>
        <v>2902.1350251910458</v>
      </c>
      <c r="J92" s="19">
        <f t="shared" si="5"/>
        <v>1402511.7873870241</v>
      </c>
      <c r="K92" s="20"/>
    </row>
    <row r="93" spans="5:11" ht="15.75" customHeight="1" x14ac:dyDescent="0.25">
      <c r="E93" s="17">
        <v>46507</v>
      </c>
      <c r="F93" s="18">
        <v>68</v>
      </c>
      <c r="G93" s="20">
        <f t="shared" si="14"/>
        <v>27940.562360004398</v>
      </c>
      <c r="H93" s="20">
        <f t="shared" si="3"/>
        <v>25089.329149821115</v>
      </c>
      <c r="I93" s="20">
        <f t="shared" si="15"/>
        <v>2851.2332101832831</v>
      </c>
      <c r="J93" s="19">
        <f t="shared" si="5"/>
        <v>1377422.4582372031</v>
      </c>
      <c r="K93" s="20"/>
    </row>
    <row r="94" spans="5:11" ht="15.75" customHeight="1" x14ac:dyDescent="0.25">
      <c r="E94" s="17">
        <v>46538</v>
      </c>
      <c r="F94" s="18">
        <v>69</v>
      </c>
      <c r="G94" s="20">
        <f t="shared" si="14"/>
        <v>27940.562360004398</v>
      </c>
      <c r="H94" s="20">
        <f t="shared" si="3"/>
        <v>25140.334445560173</v>
      </c>
      <c r="I94" s="20">
        <f t="shared" si="15"/>
        <v>2800.2279144442255</v>
      </c>
      <c r="J94" s="19">
        <f t="shared" si="5"/>
        <v>1352282.123791643</v>
      </c>
      <c r="K94" s="20"/>
    </row>
    <row r="95" spans="5:11" ht="15.75" customHeight="1" x14ac:dyDescent="0.25">
      <c r="E95" s="17">
        <v>46568</v>
      </c>
      <c r="F95" s="18">
        <v>70</v>
      </c>
      <c r="G95" s="20">
        <f t="shared" si="14"/>
        <v>27940.562360004398</v>
      </c>
      <c r="H95" s="20">
        <f t="shared" si="3"/>
        <v>25191.443432401447</v>
      </c>
      <c r="I95" s="20">
        <f t="shared" si="15"/>
        <v>2749.1189276029513</v>
      </c>
      <c r="J95" s="19">
        <f t="shared" si="5"/>
        <v>1327090.6803592416</v>
      </c>
      <c r="K95" s="20"/>
    </row>
    <row r="96" spans="5:11" ht="15.75" customHeight="1" x14ac:dyDescent="0.25">
      <c r="E96" s="17">
        <v>46599</v>
      </c>
      <c r="F96" s="18">
        <v>71</v>
      </c>
      <c r="G96" s="20">
        <f t="shared" si="14"/>
        <v>27940.562360004398</v>
      </c>
      <c r="H96" s="20">
        <f t="shared" si="3"/>
        <v>25242.656321143535</v>
      </c>
      <c r="I96" s="20">
        <f t="shared" si="15"/>
        <v>2697.9060388608646</v>
      </c>
      <c r="J96" s="19">
        <f t="shared" si="5"/>
        <v>1301848.0240380981</v>
      </c>
      <c r="K96" s="20"/>
    </row>
    <row r="97" spans="5:11" ht="15.75" customHeight="1" x14ac:dyDescent="0.25">
      <c r="E97" s="21">
        <v>46630</v>
      </c>
      <c r="F97" s="22">
        <v>72</v>
      </c>
      <c r="G97" s="23">
        <f t="shared" si="14"/>
        <v>27940.562360004398</v>
      </c>
      <c r="H97" s="23">
        <f t="shared" si="3"/>
        <v>25293.973323013568</v>
      </c>
      <c r="I97" s="23">
        <f t="shared" si="15"/>
        <v>2646.5890369908288</v>
      </c>
      <c r="J97" s="24">
        <f t="shared" si="5"/>
        <v>1276554.0507150844</v>
      </c>
      <c r="K97" s="20"/>
    </row>
    <row r="98" spans="5:11" ht="15.75" customHeight="1" x14ac:dyDescent="0.25">
      <c r="E98" s="17">
        <v>46660</v>
      </c>
      <c r="F98" s="18">
        <v>73</v>
      </c>
      <c r="G98" s="20">
        <f t="shared" ref="G98:G109" si="16">+PMT($G$14,(120-72),-$J$97)</f>
        <v>28011.800241328045</v>
      </c>
      <c r="H98" s="20">
        <f t="shared" si="3"/>
        <v>25281.47293375045</v>
      </c>
      <c r="I98" s="20">
        <f t="shared" ref="I98:I109" si="17">J97*$G$14</f>
        <v>2730.3273075775955</v>
      </c>
      <c r="J98" s="19">
        <f t="shared" si="5"/>
        <v>1251272.5777813341</v>
      </c>
      <c r="K98" s="20"/>
    </row>
    <row r="99" spans="5:11" ht="15.75" customHeight="1" x14ac:dyDescent="0.25">
      <c r="E99" s="17">
        <v>46691</v>
      </c>
      <c r="F99" s="18">
        <v>74</v>
      </c>
      <c r="G99" s="20">
        <f t="shared" si="16"/>
        <v>28011.800241328045</v>
      </c>
      <c r="H99" s="20">
        <f t="shared" si="3"/>
        <v>25335.545611588208</v>
      </c>
      <c r="I99" s="20">
        <f t="shared" si="17"/>
        <v>2676.2546297398371</v>
      </c>
      <c r="J99" s="19">
        <f t="shared" si="5"/>
        <v>1225937.0321697458</v>
      </c>
      <c r="K99" s="20"/>
    </row>
    <row r="100" spans="5:11" ht="15.75" customHeight="1" x14ac:dyDescent="0.25">
      <c r="E100" s="17">
        <v>46721</v>
      </c>
      <c r="F100" s="18">
        <v>75</v>
      </c>
      <c r="G100" s="20">
        <f t="shared" si="16"/>
        <v>28011.800241328045</v>
      </c>
      <c r="H100" s="20">
        <f t="shared" si="3"/>
        <v>25389.733941488495</v>
      </c>
      <c r="I100" s="20">
        <f t="shared" si="17"/>
        <v>2622.0662998395496</v>
      </c>
      <c r="J100" s="19">
        <f t="shared" si="5"/>
        <v>1200547.2982282573</v>
      </c>
      <c r="K100" s="20"/>
    </row>
    <row r="101" spans="5:11" ht="15.75" customHeight="1" x14ac:dyDescent="0.25">
      <c r="E101" s="17">
        <v>46752</v>
      </c>
      <c r="F101" s="18">
        <v>76</v>
      </c>
      <c r="G101" s="20">
        <f t="shared" si="16"/>
        <v>28011.800241328045</v>
      </c>
      <c r="H101" s="20">
        <f t="shared" si="3"/>
        <v>25444.038170810978</v>
      </c>
      <c r="I101" s="20">
        <f t="shared" si="17"/>
        <v>2567.7620705170675</v>
      </c>
      <c r="J101" s="19">
        <f t="shared" si="5"/>
        <v>1175103.2600574463</v>
      </c>
      <c r="K101" s="20"/>
    </row>
    <row r="102" spans="5:11" ht="15.75" customHeight="1" x14ac:dyDescent="0.25">
      <c r="E102" s="17">
        <v>46783</v>
      </c>
      <c r="F102" s="18">
        <v>77</v>
      </c>
      <c r="G102" s="20">
        <f t="shared" si="16"/>
        <v>28011.800241328045</v>
      </c>
      <c r="H102" s="20">
        <f t="shared" si="3"/>
        <v>25498.458547444381</v>
      </c>
      <c r="I102" s="20">
        <f t="shared" si="17"/>
        <v>2513.3416938836635</v>
      </c>
      <c r="J102" s="19">
        <f t="shared" si="5"/>
        <v>1149604.801510002</v>
      </c>
      <c r="K102" s="20"/>
    </row>
    <row r="103" spans="5:11" ht="15.75" customHeight="1" x14ac:dyDescent="0.25">
      <c r="E103" s="17">
        <v>46812</v>
      </c>
      <c r="F103" s="18">
        <v>78</v>
      </c>
      <c r="G103" s="20">
        <f t="shared" si="16"/>
        <v>28011.800241328045</v>
      </c>
      <c r="H103" s="20">
        <f t="shared" si="3"/>
        <v>25552.995319807622</v>
      </c>
      <c r="I103" s="20">
        <f t="shared" si="17"/>
        <v>2458.8049215204219</v>
      </c>
      <c r="J103" s="19">
        <f t="shared" si="5"/>
        <v>1124051.8061901943</v>
      </c>
      <c r="K103" s="20"/>
    </row>
    <row r="104" spans="5:11" ht="15.75" customHeight="1" x14ac:dyDescent="0.25">
      <c r="E104" s="17">
        <v>46843</v>
      </c>
      <c r="F104" s="18">
        <v>79</v>
      </c>
      <c r="G104" s="20">
        <f t="shared" si="16"/>
        <v>28011.800241328045</v>
      </c>
      <c r="H104" s="20">
        <f t="shared" si="3"/>
        <v>25607.648736850944</v>
      </c>
      <c r="I104" s="20">
        <f t="shared" si="17"/>
        <v>2404.1515044771004</v>
      </c>
      <c r="J104" s="19">
        <f t="shared" si="5"/>
        <v>1098444.1574533433</v>
      </c>
      <c r="K104" s="20"/>
    </row>
    <row r="105" spans="5:11" ht="15.75" customHeight="1" x14ac:dyDescent="0.25">
      <c r="E105" s="17">
        <v>46873</v>
      </c>
      <c r="F105" s="18">
        <v>80</v>
      </c>
      <c r="G105" s="20">
        <f t="shared" si="16"/>
        <v>28011.800241328045</v>
      </c>
      <c r="H105" s="20">
        <f t="shared" si="3"/>
        <v>25662.419048057051</v>
      </c>
      <c r="I105" s="20">
        <f t="shared" si="17"/>
        <v>2349.381193270995</v>
      </c>
      <c r="J105" s="19">
        <f t="shared" si="5"/>
        <v>1072781.7384052863</v>
      </c>
      <c r="K105" s="20"/>
    </row>
    <row r="106" spans="5:11" ht="15.75" customHeight="1" x14ac:dyDescent="0.25">
      <c r="E106" s="17">
        <v>46904</v>
      </c>
      <c r="F106" s="18">
        <v>81</v>
      </c>
      <c r="G106" s="20">
        <f t="shared" si="16"/>
        <v>28011.800241328045</v>
      </c>
      <c r="H106" s="20">
        <f t="shared" si="3"/>
        <v>25717.30650344224</v>
      </c>
      <c r="I106" s="20">
        <f t="shared" si="17"/>
        <v>2294.493737885804</v>
      </c>
      <c r="J106" s="19">
        <f t="shared" si="5"/>
        <v>1047064.4319018441</v>
      </c>
      <c r="K106" s="20"/>
    </row>
    <row r="107" spans="5:11" ht="15.75" customHeight="1" x14ac:dyDescent="0.25">
      <c r="E107" s="17">
        <v>46934</v>
      </c>
      <c r="F107" s="18">
        <v>82</v>
      </c>
      <c r="G107" s="20">
        <f t="shared" si="16"/>
        <v>28011.800241328045</v>
      </c>
      <c r="H107" s="20">
        <f t="shared" si="3"/>
        <v>25772.311353557565</v>
      </c>
      <c r="I107" s="20">
        <f t="shared" si="17"/>
        <v>2239.4888877704811</v>
      </c>
      <c r="J107" s="19">
        <f t="shared" si="5"/>
        <v>1021292.1205482866</v>
      </c>
      <c r="K107" s="20"/>
    </row>
    <row r="108" spans="5:11" ht="15.75" customHeight="1" x14ac:dyDescent="0.25">
      <c r="E108" s="17">
        <v>46965</v>
      </c>
      <c r="F108" s="18">
        <v>83</v>
      </c>
      <c r="G108" s="20">
        <f t="shared" si="16"/>
        <v>28011.800241328045</v>
      </c>
      <c r="H108" s="20">
        <f t="shared" si="3"/>
        <v>25827.433849489946</v>
      </c>
      <c r="I108" s="20">
        <f t="shared" si="17"/>
        <v>2184.3663918380976</v>
      </c>
      <c r="J108" s="19">
        <f t="shared" si="5"/>
        <v>995464.68669879669</v>
      </c>
      <c r="K108" s="20"/>
    </row>
    <row r="109" spans="5:11" ht="15.75" customHeight="1" x14ac:dyDescent="0.25">
      <c r="E109" s="21">
        <v>46996</v>
      </c>
      <c r="F109" s="22">
        <v>84</v>
      </c>
      <c r="G109" s="23">
        <f t="shared" si="16"/>
        <v>28011.800241328045</v>
      </c>
      <c r="H109" s="23">
        <f t="shared" si="3"/>
        <v>25882.674242863352</v>
      </c>
      <c r="I109" s="23">
        <f t="shared" si="17"/>
        <v>2129.1259984646913</v>
      </c>
      <c r="J109" s="24">
        <f t="shared" si="5"/>
        <v>969582.01245593338</v>
      </c>
      <c r="K109" s="20"/>
    </row>
    <row r="110" spans="5:11" ht="15.75" customHeight="1" x14ac:dyDescent="0.25">
      <c r="E110" s="17">
        <v>47026</v>
      </c>
      <c r="F110" s="18">
        <v>85</v>
      </c>
      <c r="G110" s="20">
        <f t="shared" ref="G110:G121" si="18">+PMT($G$15,(120-84),-$J$109)</f>
        <v>28065.838615423083</v>
      </c>
      <c r="H110" s="20">
        <f t="shared" si="3"/>
        <v>25889.532462423966</v>
      </c>
      <c r="I110" s="20">
        <f t="shared" ref="I110:I121" si="19">J109*$G$15</f>
        <v>2176.3061529991155</v>
      </c>
      <c r="J110" s="19">
        <f t="shared" si="5"/>
        <v>943692.47999350936</v>
      </c>
      <c r="K110" s="20"/>
    </row>
    <row r="111" spans="5:11" ht="15.75" customHeight="1" x14ac:dyDescent="0.25">
      <c r="E111" s="17">
        <v>47057</v>
      </c>
      <c r="F111" s="18">
        <v>86</v>
      </c>
      <c r="G111" s="20">
        <f t="shared" si="18"/>
        <v>28065.838615423083</v>
      </c>
      <c r="H111" s="20">
        <f t="shared" si="3"/>
        <v>25947.643636179684</v>
      </c>
      <c r="I111" s="20">
        <f t="shared" si="19"/>
        <v>2118.1949792433993</v>
      </c>
      <c r="J111" s="19">
        <f t="shared" si="5"/>
        <v>917744.83635732962</v>
      </c>
      <c r="K111" s="20"/>
    </row>
    <row r="112" spans="5:11" ht="15.75" customHeight="1" x14ac:dyDescent="0.25">
      <c r="E112" s="17">
        <v>47087</v>
      </c>
      <c r="F112" s="18">
        <v>87</v>
      </c>
      <c r="G112" s="20">
        <f t="shared" si="18"/>
        <v>28065.838615423083</v>
      </c>
      <c r="H112" s="20">
        <f t="shared" si="3"/>
        <v>26005.88524521924</v>
      </c>
      <c r="I112" s="20">
        <f t="shared" si="19"/>
        <v>2059.9533702038411</v>
      </c>
      <c r="J112" s="19">
        <f t="shared" si="5"/>
        <v>891738.9511121104</v>
      </c>
      <c r="K112" s="20"/>
    </row>
    <row r="113" spans="5:11" ht="15.75" customHeight="1" x14ac:dyDescent="0.25">
      <c r="E113" s="17">
        <v>47118</v>
      </c>
      <c r="F113" s="18">
        <v>88</v>
      </c>
      <c r="G113" s="20">
        <f t="shared" si="18"/>
        <v>28065.838615423083</v>
      </c>
      <c r="H113" s="20">
        <f t="shared" si="3"/>
        <v>26064.257582315309</v>
      </c>
      <c r="I113" s="20">
        <f t="shared" si="19"/>
        <v>2001.5810331077755</v>
      </c>
      <c r="J113" s="19">
        <f t="shared" si="5"/>
        <v>865674.69352979504</v>
      </c>
      <c r="K113" s="20"/>
    </row>
    <row r="114" spans="5:11" ht="15.75" customHeight="1" x14ac:dyDescent="0.25">
      <c r="E114" s="17">
        <v>47149</v>
      </c>
      <c r="F114" s="18">
        <v>89</v>
      </c>
      <c r="G114" s="20">
        <f t="shared" si="18"/>
        <v>28065.838615423083</v>
      </c>
      <c r="H114" s="20">
        <f t="shared" si="3"/>
        <v>26122.7609408977</v>
      </c>
      <c r="I114" s="20">
        <f t="shared" si="19"/>
        <v>1943.0776745253834</v>
      </c>
      <c r="J114" s="19">
        <f t="shared" si="5"/>
        <v>839551.9325888973</v>
      </c>
      <c r="K114" s="20"/>
    </row>
    <row r="115" spans="5:11" ht="15.75" customHeight="1" x14ac:dyDescent="0.25">
      <c r="E115" s="17">
        <v>47177</v>
      </c>
      <c r="F115" s="18">
        <v>90</v>
      </c>
      <c r="G115" s="20">
        <f t="shared" si="18"/>
        <v>28065.838615423083</v>
      </c>
      <c r="H115" s="20">
        <f t="shared" si="3"/>
        <v>26181.395615054862</v>
      </c>
      <c r="I115" s="20">
        <f t="shared" si="19"/>
        <v>1884.4430003682198</v>
      </c>
      <c r="J115" s="19">
        <f t="shared" si="5"/>
        <v>813370.53697384242</v>
      </c>
      <c r="K115" s="20"/>
    </row>
    <row r="116" spans="5:11" ht="15.75" customHeight="1" x14ac:dyDescent="0.25">
      <c r="E116" s="17">
        <v>47208</v>
      </c>
      <c r="F116" s="18">
        <v>91</v>
      </c>
      <c r="G116" s="20">
        <f t="shared" si="18"/>
        <v>28065.838615423083</v>
      </c>
      <c r="H116" s="20">
        <f t="shared" si="3"/>
        <v>26240.161899535349</v>
      </c>
      <c r="I116" s="20">
        <f t="shared" si="19"/>
        <v>1825.6767158877333</v>
      </c>
      <c r="J116" s="19">
        <f t="shared" si="5"/>
        <v>787130.37507430709</v>
      </c>
      <c r="K116" s="20"/>
    </row>
    <row r="117" spans="5:11" ht="15.75" customHeight="1" x14ac:dyDescent="0.25">
      <c r="E117" s="17">
        <v>47238</v>
      </c>
      <c r="F117" s="18">
        <v>92</v>
      </c>
      <c r="G117" s="20">
        <f t="shared" si="18"/>
        <v>28065.838615423083</v>
      </c>
      <c r="H117" s="20">
        <f t="shared" si="3"/>
        <v>26299.060089749299</v>
      </c>
      <c r="I117" s="20">
        <f t="shared" si="19"/>
        <v>1766.7785256737857</v>
      </c>
      <c r="J117" s="19">
        <f t="shared" si="5"/>
        <v>760831.3149845578</v>
      </c>
      <c r="K117" s="20"/>
    </row>
    <row r="118" spans="5:11" ht="15.75" customHeight="1" x14ac:dyDescent="0.25">
      <c r="E118" s="17">
        <v>47269</v>
      </c>
      <c r="F118" s="18">
        <v>93</v>
      </c>
      <c r="G118" s="20">
        <f t="shared" si="18"/>
        <v>28065.838615423083</v>
      </c>
      <c r="H118" s="20">
        <f t="shared" si="3"/>
        <v>26358.090481769916</v>
      </c>
      <c r="I118" s="20">
        <f t="shared" si="19"/>
        <v>1707.7481336531662</v>
      </c>
      <c r="J118" s="19">
        <f t="shared" si="5"/>
        <v>734473.22450278793</v>
      </c>
      <c r="K118" s="20"/>
    </row>
    <row r="119" spans="5:11" ht="15.75" customHeight="1" x14ac:dyDescent="0.25">
      <c r="E119" s="17">
        <v>47299</v>
      </c>
      <c r="F119" s="18">
        <v>94</v>
      </c>
      <c r="G119" s="20">
        <f t="shared" si="18"/>
        <v>28065.838615423083</v>
      </c>
      <c r="H119" s="20">
        <f t="shared" si="3"/>
        <v>26417.253372334981</v>
      </c>
      <c r="I119" s="20">
        <f t="shared" si="19"/>
        <v>1648.5852430881039</v>
      </c>
      <c r="J119" s="19">
        <f t="shared" si="5"/>
        <v>708055.97113045293</v>
      </c>
      <c r="K119" s="20"/>
    </row>
    <row r="120" spans="5:11" ht="15.75" customHeight="1" x14ac:dyDescent="0.25">
      <c r="E120" s="17">
        <v>47330</v>
      </c>
      <c r="F120" s="18">
        <v>95</v>
      </c>
      <c r="G120" s="20">
        <f t="shared" si="18"/>
        <v>28065.838615423083</v>
      </c>
      <c r="H120" s="20">
        <f t="shared" si="3"/>
        <v>26476.549058848308</v>
      </c>
      <c r="I120" s="20">
        <f t="shared" si="19"/>
        <v>1589.2895565747754</v>
      </c>
      <c r="J120" s="19">
        <f t="shared" si="5"/>
        <v>681579.42207160464</v>
      </c>
      <c r="K120" s="20"/>
    </row>
    <row r="121" spans="5:11" ht="15.75" customHeight="1" x14ac:dyDescent="0.25">
      <c r="E121" s="21">
        <v>47361</v>
      </c>
      <c r="F121" s="22">
        <v>96</v>
      </c>
      <c r="G121" s="23">
        <f t="shared" si="18"/>
        <v>28065.838615423083</v>
      </c>
      <c r="H121" s="23">
        <f t="shared" si="3"/>
        <v>26535.977839381274</v>
      </c>
      <c r="I121" s="23">
        <f t="shared" si="19"/>
        <v>1529.8607760418101</v>
      </c>
      <c r="J121" s="24">
        <f t="shared" si="5"/>
        <v>655043.44423222332</v>
      </c>
      <c r="K121" s="20"/>
    </row>
    <row r="122" spans="5:11" ht="15.75" customHeight="1" x14ac:dyDescent="0.25">
      <c r="E122" s="17">
        <v>47391</v>
      </c>
      <c r="F122" s="18">
        <v>97</v>
      </c>
      <c r="G122" s="20">
        <f t="shared" ref="G122:G133" si="20">+PMT($G$16,(120-96),-$J$121)</f>
        <v>28102.510856396086</v>
      </c>
      <c r="H122" s="20">
        <f t="shared" si="3"/>
        <v>26563.018075527736</v>
      </c>
      <c r="I122" s="20">
        <f t="shared" ref="I122:I133" si="21">J121*$G$16</f>
        <v>1539.4927808683506</v>
      </c>
      <c r="J122" s="19">
        <f t="shared" si="5"/>
        <v>628480.42615669558</v>
      </c>
      <c r="K122" s="20"/>
    </row>
    <row r="123" spans="5:11" ht="15.75" customHeight="1" x14ac:dyDescent="0.25">
      <c r="E123" s="17">
        <v>47422</v>
      </c>
      <c r="F123" s="18">
        <v>98</v>
      </c>
      <c r="G123" s="20">
        <f t="shared" si="20"/>
        <v>28102.510856396086</v>
      </c>
      <c r="H123" s="20">
        <f t="shared" si="3"/>
        <v>26625.446873076089</v>
      </c>
      <c r="I123" s="20">
        <f t="shared" si="21"/>
        <v>1477.0639833199959</v>
      </c>
      <c r="J123" s="19">
        <f t="shared" si="5"/>
        <v>601854.97928361944</v>
      </c>
      <c r="K123" s="20"/>
    </row>
    <row r="124" spans="5:11" ht="15.75" customHeight="1" x14ac:dyDescent="0.25">
      <c r="E124" s="17">
        <v>47452</v>
      </c>
      <c r="F124" s="18">
        <v>99</v>
      </c>
      <c r="G124" s="20">
        <f t="shared" si="20"/>
        <v>28102.510856396086</v>
      </c>
      <c r="H124" s="20">
        <f t="shared" si="3"/>
        <v>26688.022391706825</v>
      </c>
      <c r="I124" s="20">
        <f t="shared" si="21"/>
        <v>1414.4884646892606</v>
      </c>
      <c r="J124" s="19">
        <f t="shared" si="5"/>
        <v>575166.95689191262</v>
      </c>
      <c r="K124" s="20"/>
    </row>
    <row r="125" spans="5:11" ht="15.75" customHeight="1" x14ac:dyDescent="0.25">
      <c r="E125" s="17">
        <v>47483</v>
      </c>
      <c r="F125" s="18">
        <v>100</v>
      </c>
      <c r="G125" s="20">
        <f t="shared" si="20"/>
        <v>28102.510856396086</v>
      </c>
      <c r="H125" s="20">
        <f t="shared" si="3"/>
        <v>26750.744976245995</v>
      </c>
      <c r="I125" s="20">
        <f t="shared" si="21"/>
        <v>1351.7658801500893</v>
      </c>
      <c r="J125" s="19">
        <f t="shared" si="5"/>
        <v>548416.21191566659</v>
      </c>
      <c r="K125" s="20"/>
    </row>
    <row r="126" spans="5:11" ht="15.75" customHeight="1" x14ac:dyDescent="0.25">
      <c r="E126" s="17">
        <v>47514</v>
      </c>
      <c r="F126" s="18">
        <v>101</v>
      </c>
      <c r="G126" s="20">
        <f t="shared" si="20"/>
        <v>28102.510856396086</v>
      </c>
      <c r="H126" s="20">
        <f t="shared" si="3"/>
        <v>26813.614972330073</v>
      </c>
      <c r="I126" s="20">
        <f t="shared" si="21"/>
        <v>1288.8958840660109</v>
      </c>
      <c r="J126" s="19">
        <f t="shared" si="5"/>
        <v>521602.59694333654</v>
      </c>
      <c r="K126" s="20"/>
    </row>
    <row r="127" spans="5:11" ht="15.75" customHeight="1" x14ac:dyDescent="0.25">
      <c r="E127" s="17">
        <v>47542</v>
      </c>
      <c r="F127" s="18">
        <v>102</v>
      </c>
      <c r="G127" s="20">
        <f t="shared" si="20"/>
        <v>28102.510856396086</v>
      </c>
      <c r="H127" s="20">
        <f t="shared" si="3"/>
        <v>26876.63272640785</v>
      </c>
      <c r="I127" s="20">
        <f t="shared" si="21"/>
        <v>1225.8781299882351</v>
      </c>
      <c r="J127" s="19">
        <f t="shared" si="5"/>
        <v>494725.9642169287</v>
      </c>
      <c r="K127" s="20"/>
    </row>
    <row r="128" spans="5:11" ht="15.75" customHeight="1" x14ac:dyDescent="0.25">
      <c r="E128" s="17">
        <v>47573</v>
      </c>
      <c r="F128" s="18">
        <v>103</v>
      </c>
      <c r="G128" s="20">
        <f t="shared" si="20"/>
        <v>28102.510856396086</v>
      </c>
      <c r="H128" s="20">
        <f t="shared" si="3"/>
        <v>26939.798585742345</v>
      </c>
      <c r="I128" s="20">
        <f t="shared" si="21"/>
        <v>1162.7122706537411</v>
      </c>
      <c r="J128" s="19">
        <f t="shared" si="5"/>
        <v>467786.16563118633</v>
      </c>
      <c r="K128" s="20"/>
    </row>
    <row r="129" spans="5:11" ht="15.75" customHeight="1" x14ac:dyDescent="0.25">
      <c r="E129" s="17">
        <v>47603</v>
      </c>
      <c r="F129" s="18">
        <v>104</v>
      </c>
      <c r="G129" s="20">
        <f t="shared" si="20"/>
        <v>28102.510856396086</v>
      </c>
      <c r="H129" s="20">
        <f t="shared" si="3"/>
        <v>27003.112898412717</v>
      </c>
      <c r="I129" s="20">
        <f t="shared" si="21"/>
        <v>1099.3979579833672</v>
      </c>
      <c r="J129" s="19">
        <f t="shared" si="5"/>
        <v>440783.05273277359</v>
      </c>
      <c r="K129" s="20"/>
    </row>
    <row r="130" spans="5:11" ht="15.75" customHeight="1" x14ac:dyDescent="0.25">
      <c r="E130" s="17">
        <v>47634</v>
      </c>
      <c r="F130" s="18">
        <v>105</v>
      </c>
      <c r="G130" s="20">
        <f t="shared" si="20"/>
        <v>28102.510856396086</v>
      </c>
      <c r="H130" s="20">
        <f t="shared" si="3"/>
        <v>27066.576013316197</v>
      </c>
      <c r="I130" s="20">
        <f t="shared" si="21"/>
        <v>1035.9348430798893</v>
      </c>
      <c r="J130" s="19">
        <f t="shared" si="5"/>
        <v>413716.47671945742</v>
      </c>
      <c r="K130" s="20"/>
    </row>
    <row r="131" spans="5:11" ht="15.75" customHeight="1" x14ac:dyDescent="0.25">
      <c r="E131" s="17">
        <v>47664</v>
      </c>
      <c r="F131" s="18">
        <v>106</v>
      </c>
      <c r="G131" s="20">
        <f t="shared" si="20"/>
        <v>28102.510856396086</v>
      </c>
      <c r="H131" s="20">
        <f t="shared" si="3"/>
        <v>27130.188280169983</v>
      </c>
      <c r="I131" s="20">
        <f t="shared" si="21"/>
        <v>972.32257622610109</v>
      </c>
      <c r="J131" s="19">
        <f t="shared" si="5"/>
        <v>386586.28843928745</v>
      </c>
      <c r="K131" s="20"/>
    </row>
    <row r="132" spans="5:11" ht="15.75" customHeight="1" x14ac:dyDescent="0.25">
      <c r="E132" s="17">
        <v>47695</v>
      </c>
      <c r="F132" s="18">
        <v>107</v>
      </c>
      <c r="G132" s="20">
        <f t="shared" si="20"/>
        <v>28102.510856396086</v>
      </c>
      <c r="H132" s="20">
        <f t="shared" si="3"/>
        <v>27193.950049513202</v>
      </c>
      <c r="I132" s="20">
        <f t="shared" si="21"/>
        <v>908.56080688288512</v>
      </c>
      <c r="J132" s="19">
        <f t="shared" si="5"/>
        <v>359392.33838977426</v>
      </c>
      <c r="K132" s="20"/>
    </row>
    <row r="133" spans="5:11" ht="15.75" customHeight="1" x14ac:dyDescent="0.25">
      <c r="E133" s="21">
        <v>47726</v>
      </c>
      <c r="F133" s="22">
        <v>108</v>
      </c>
      <c r="G133" s="23">
        <f t="shared" si="20"/>
        <v>28102.510856396086</v>
      </c>
      <c r="H133" s="23">
        <f t="shared" si="3"/>
        <v>27257.861672708805</v>
      </c>
      <c r="I133" s="23">
        <f t="shared" si="21"/>
        <v>844.64918368728172</v>
      </c>
      <c r="J133" s="24">
        <f t="shared" si="5"/>
        <v>332134.47671706544</v>
      </c>
      <c r="K133" s="20"/>
    </row>
    <row r="134" spans="5:11" ht="15.75" customHeight="1" x14ac:dyDescent="0.25">
      <c r="E134" s="17">
        <v>47756</v>
      </c>
      <c r="F134" s="18">
        <v>109</v>
      </c>
      <c r="G134" s="20">
        <f t="shared" ref="G134:G145" si="22">+PMT($G$17,(120-108),-$J$133)</f>
        <v>28121.659816537194</v>
      </c>
      <c r="H134" s="20">
        <f t="shared" si="3"/>
        <v>27306.02873812924</v>
      </c>
      <c r="I134" s="20">
        <f t="shared" ref="I134:I145" si="23">J133*$G$17</f>
        <v>815.63107840795374</v>
      </c>
      <c r="J134" s="19">
        <f t="shared" si="5"/>
        <v>304828.44797893619</v>
      </c>
      <c r="K134" s="20"/>
    </row>
    <row r="135" spans="5:11" ht="15.75" customHeight="1" x14ac:dyDescent="0.25">
      <c r="E135" s="17">
        <v>47787</v>
      </c>
      <c r="F135" s="18">
        <v>110</v>
      </c>
      <c r="G135" s="20">
        <f t="shared" si="22"/>
        <v>28121.659816537194</v>
      </c>
      <c r="H135" s="20">
        <f t="shared" si="3"/>
        <v>27373.084847109134</v>
      </c>
      <c r="I135" s="20">
        <f t="shared" si="23"/>
        <v>748.57496942806176</v>
      </c>
      <c r="J135" s="19">
        <f t="shared" si="5"/>
        <v>277455.36313182703</v>
      </c>
      <c r="K135" s="20"/>
    </row>
    <row r="136" spans="5:11" ht="15.75" customHeight="1" x14ac:dyDescent="0.25">
      <c r="E136" s="17">
        <v>47817</v>
      </c>
      <c r="F136" s="18">
        <v>111</v>
      </c>
      <c r="G136" s="20">
        <f t="shared" si="22"/>
        <v>28121.659816537194</v>
      </c>
      <c r="H136" s="20">
        <f t="shared" si="3"/>
        <v>27440.305627480629</v>
      </c>
      <c r="I136" s="20">
        <f t="shared" si="23"/>
        <v>681.35418905656445</v>
      </c>
      <c r="J136" s="19">
        <f t="shared" si="5"/>
        <v>250015.05750434642</v>
      </c>
      <c r="K136" s="20"/>
    </row>
    <row r="137" spans="5:11" ht="15.75" customHeight="1" x14ac:dyDescent="0.25">
      <c r="E137" s="17">
        <v>47848</v>
      </c>
      <c r="F137" s="18">
        <v>112</v>
      </c>
      <c r="G137" s="20">
        <f t="shared" si="22"/>
        <v>28121.659816537194</v>
      </c>
      <c r="H137" s="20">
        <f t="shared" si="3"/>
        <v>27507.691483631454</v>
      </c>
      <c r="I137" s="20">
        <f t="shared" si="23"/>
        <v>613.96833290573898</v>
      </c>
      <c r="J137" s="19">
        <f t="shared" si="5"/>
        <v>222507.36602071498</v>
      </c>
      <c r="K137" s="20"/>
    </row>
    <row r="138" spans="5:11" ht="15.75" customHeight="1" x14ac:dyDescent="0.25">
      <c r="E138" s="17">
        <v>47879</v>
      </c>
      <c r="F138" s="18">
        <v>113</v>
      </c>
      <c r="G138" s="20">
        <f t="shared" si="22"/>
        <v>28121.659816537194</v>
      </c>
      <c r="H138" s="20">
        <f t="shared" si="3"/>
        <v>27575.242820942396</v>
      </c>
      <c r="I138" s="20">
        <f t="shared" si="23"/>
        <v>546.4169955947973</v>
      </c>
      <c r="J138" s="19">
        <f t="shared" si="5"/>
        <v>194932.12319977258</v>
      </c>
      <c r="K138" s="20"/>
    </row>
    <row r="139" spans="5:11" ht="15.75" customHeight="1" x14ac:dyDescent="0.25">
      <c r="E139" s="17">
        <v>47907</v>
      </c>
      <c r="F139" s="18">
        <v>114</v>
      </c>
      <c r="G139" s="20">
        <f t="shared" si="22"/>
        <v>28121.659816537194</v>
      </c>
      <c r="H139" s="20">
        <f t="shared" si="3"/>
        <v>27642.960045789747</v>
      </c>
      <c r="I139" s="20">
        <f t="shared" si="23"/>
        <v>478.69977074744736</v>
      </c>
      <c r="J139" s="19">
        <f t="shared" si="5"/>
        <v>167289.16315398284</v>
      </c>
      <c r="K139" s="20"/>
    </row>
    <row r="140" spans="5:11" ht="15.75" customHeight="1" x14ac:dyDescent="0.25">
      <c r="E140" s="17">
        <v>47938</v>
      </c>
      <c r="F140" s="18">
        <v>115</v>
      </c>
      <c r="G140" s="20">
        <f t="shared" si="22"/>
        <v>28121.659816537194</v>
      </c>
      <c r="H140" s="20">
        <f t="shared" si="3"/>
        <v>27710.843565547744</v>
      </c>
      <c r="I140" s="20">
        <f t="shared" si="23"/>
        <v>410.81625098944869</v>
      </c>
      <c r="J140" s="19">
        <f t="shared" si="5"/>
        <v>139578.31958843509</v>
      </c>
      <c r="K140" s="20"/>
    </row>
    <row r="141" spans="5:11" ht="15.75" customHeight="1" x14ac:dyDescent="0.25">
      <c r="E141" s="17">
        <v>47968</v>
      </c>
      <c r="F141" s="18">
        <v>116</v>
      </c>
      <c r="G141" s="20">
        <f t="shared" si="22"/>
        <v>28121.659816537194</v>
      </c>
      <c r="H141" s="20">
        <f t="shared" si="3"/>
        <v>27778.893788591035</v>
      </c>
      <c r="I141" s="20">
        <f t="shared" si="23"/>
        <v>342.76602794616133</v>
      </c>
      <c r="J141" s="19">
        <f t="shared" si="5"/>
        <v>111799.42579984406</v>
      </c>
      <c r="K141" s="20"/>
    </row>
    <row r="142" spans="5:11" ht="15.75" customHeight="1" x14ac:dyDescent="0.25">
      <c r="E142" s="17">
        <v>47999</v>
      </c>
      <c r="F142" s="18">
        <v>117</v>
      </c>
      <c r="G142" s="20">
        <f t="shared" si="22"/>
        <v>28121.659816537194</v>
      </c>
      <c r="H142" s="20">
        <f t="shared" si="3"/>
        <v>27847.111124297106</v>
      </c>
      <c r="I142" s="20">
        <f t="shared" si="23"/>
        <v>274.54869224008968</v>
      </c>
      <c r="J142" s="19">
        <f t="shared" si="5"/>
        <v>83952.31467554695</v>
      </c>
      <c r="K142" s="20"/>
    </row>
    <row r="143" spans="5:11" ht="15.75" customHeight="1" x14ac:dyDescent="0.25">
      <c r="E143" s="17">
        <v>48029</v>
      </c>
      <c r="F143" s="18">
        <v>118</v>
      </c>
      <c r="G143" s="20">
        <f t="shared" si="22"/>
        <v>28121.659816537194</v>
      </c>
      <c r="H143" s="20">
        <f t="shared" si="3"/>
        <v>27915.495983048775</v>
      </c>
      <c r="I143" s="20">
        <f t="shared" si="23"/>
        <v>206.16383348841896</v>
      </c>
      <c r="J143" s="19">
        <f t="shared" si="5"/>
        <v>56036.818692498171</v>
      </c>
      <c r="K143" s="20"/>
    </row>
    <row r="144" spans="5:11" ht="15.75" customHeight="1" x14ac:dyDescent="0.25">
      <c r="E144" s="17">
        <v>48060</v>
      </c>
      <c r="F144" s="18">
        <v>119</v>
      </c>
      <c r="G144" s="20">
        <f t="shared" si="22"/>
        <v>28121.659816537194</v>
      </c>
      <c r="H144" s="20">
        <f t="shared" si="3"/>
        <v>27984.048776236647</v>
      </c>
      <c r="I144" s="20">
        <f t="shared" si="23"/>
        <v>137.61104030054724</v>
      </c>
      <c r="J144" s="19">
        <f t="shared" si="5"/>
        <v>28052.769916261524</v>
      </c>
      <c r="K144" s="20"/>
    </row>
    <row r="145" spans="5:11" ht="15.75" customHeight="1" x14ac:dyDescent="0.25">
      <c r="E145" s="21">
        <v>48091</v>
      </c>
      <c r="F145" s="22">
        <v>120</v>
      </c>
      <c r="G145" s="23">
        <f t="shared" si="22"/>
        <v>28121.659816537194</v>
      </c>
      <c r="H145" s="23">
        <f t="shared" si="3"/>
        <v>28052.769916261583</v>
      </c>
      <c r="I145" s="23">
        <f t="shared" si="23"/>
        <v>68.889900275610131</v>
      </c>
      <c r="J145" s="24">
        <f t="shared" si="5"/>
        <v>-5.8207660913467407E-11</v>
      </c>
      <c r="K145" s="20"/>
    </row>
    <row r="146" spans="5:11" ht="15.75" customHeight="1" x14ac:dyDescent="0.25">
      <c r="E146" s="18"/>
      <c r="F146" s="20"/>
      <c r="G146" s="25">
        <f t="shared" ref="G146:H146" si="24">SUM(G26:G145)</f>
        <v>3338765.2056313627</v>
      </c>
      <c r="H146" s="25">
        <f t="shared" si="24"/>
        <v>2999999.9999999986</v>
      </c>
      <c r="I146" s="25">
        <f>SUM(I27:I145)</f>
        <v>334378.16279203852</v>
      </c>
    </row>
    <row r="147" spans="5:11" ht="15.75" customHeight="1" x14ac:dyDescent="0.2"/>
    <row r="148" spans="5:11" ht="15.75" customHeight="1" x14ac:dyDescent="0.2"/>
    <row r="149" spans="5:11" ht="15.75" customHeight="1" x14ac:dyDescent="0.2"/>
    <row r="150" spans="5:11" ht="15.75" customHeight="1" x14ac:dyDescent="0.2"/>
    <row r="151" spans="5:11" ht="15.75" customHeight="1" x14ac:dyDescent="0.2"/>
    <row r="152" spans="5:11" ht="15.75" customHeight="1" x14ac:dyDescent="0.2"/>
    <row r="153" spans="5:11" ht="15.75" customHeight="1" x14ac:dyDescent="0.2"/>
    <row r="154" spans="5:11" ht="15.75" customHeight="1" x14ac:dyDescent="0.2"/>
    <row r="155" spans="5:11" ht="15.75" customHeight="1" x14ac:dyDescent="0.2"/>
    <row r="156" spans="5:11" ht="15.75" customHeight="1" x14ac:dyDescent="0.2"/>
    <row r="157" spans="5:11" ht="15.75" customHeight="1" x14ac:dyDescent="0.2"/>
    <row r="158" spans="5:11" ht="15.75" customHeight="1" x14ac:dyDescent="0.2"/>
    <row r="159" spans="5:11" ht="15.75" customHeight="1" x14ac:dyDescent="0.2"/>
    <row r="160" spans="5:11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1000"/>
  <sheetViews>
    <sheetView workbookViewId="0"/>
  </sheetViews>
  <sheetFormatPr defaultColWidth="12.625" defaultRowHeight="15" customHeight="1" x14ac:dyDescent="0.2"/>
  <cols>
    <col min="1" max="1" width="9.375" customWidth="1"/>
    <col min="2" max="2" width="16.125" customWidth="1"/>
    <col min="3" max="6" width="9.375" customWidth="1"/>
    <col min="7" max="7" width="12.75" customWidth="1"/>
    <col min="8" max="8" width="15.5" customWidth="1"/>
    <col min="9" max="9" width="11.375" customWidth="1"/>
    <col min="10" max="10" width="14.875" customWidth="1"/>
    <col min="11" max="26" width="9.375" customWidth="1"/>
  </cols>
  <sheetData>
    <row r="2" spans="2:10" x14ac:dyDescent="0.25">
      <c r="B2" s="2" t="s">
        <v>37</v>
      </c>
    </row>
    <row r="3" spans="2:10" x14ac:dyDescent="0.25">
      <c r="E3" s="10" t="s">
        <v>9</v>
      </c>
      <c r="G3" s="11">
        <v>44440</v>
      </c>
    </row>
    <row r="4" spans="2:10" x14ac:dyDescent="0.25">
      <c r="B4" s="2" t="s">
        <v>10</v>
      </c>
      <c r="C4" s="2">
        <v>8</v>
      </c>
      <c r="D4" s="2" t="s">
        <v>11</v>
      </c>
    </row>
    <row r="5" spans="2:10" x14ac:dyDescent="0.25">
      <c r="B5" s="2" t="s">
        <v>38</v>
      </c>
      <c r="C5" s="4">
        <v>3.5000000000000003E-2</v>
      </c>
      <c r="E5" s="10" t="s">
        <v>12</v>
      </c>
      <c r="G5" s="2">
        <f>8*12</f>
        <v>96</v>
      </c>
    </row>
    <row r="7" spans="2:10" x14ac:dyDescent="0.25">
      <c r="B7" s="2" t="s">
        <v>18</v>
      </c>
      <c r="C7" s="26">
        <v>1.4999999999999999E-2</v>
      </c>
      <c r="E7" s="10" t="s">
        <v>39</v>
      </c>
      <c r="G7" s="26">
        <f>+C5</f>
        <v>3.5000000000000003E-2</v>
      </c>
    </row>
    <row r="8" spans="2:10" x14ac:dyDescent="0.25">
      <c r="B8" s="2" t="s">
        <v>20</v>
      </c>
      <c r="C8" s="3">
        <v>5000</v>
      </c>
    </row>
    <row r="9" spans="2:10" x14ac:dyDescent="0.25">
      <c r="E9" s="10" t="s">
        <v>30</v>
      </c>
      <c r="G9" s="13">
        <f>+'Sprint 2 (a)'!G21</f>
        <v>3000000</v>
      </c>
    </row>
    <row r="12" spans="2:10" x14ac:dyDescent="0.25">
      <c r="E12" s="14" t="s">
        <v>31</v>
      </c>
      <c r="F12" s="15" t="s">
        <v>32</v>
      </c>
      <c r="G12" s="15" t="s">
        <v>33</v>
      </c>
      <c r="H12" s="15" t="s">
        <v>34</v>
      </c>
      <c r="I12" s="15" t="s">
        <v>35</v>
      </c>
      <c r="J12" s="16" t="s">
        <v>36</v>
      </c>
    </row>
    <row r="13" spans="2:10" x14ac:dyDescent="0.25">
      <c r="E13" s="27">
        <v>44440</v>
      </c>
      <c r="F13" s="18">
        <v>0</v>
      </c>
      <c r="J13" s="19">
        <f>G9</f>
        <v>3000000</v>
      </c>
    </row>
    <row r="14" spans="2:10" x14ac:dyDescent="0.25">
      <c r="E14" s="27">
        <v>44469</v>
      </c>
      <c r="F14" s="18">
        <v>1</v>
      </c>
      <c r="G14" s="20">
        <f t="shared" ref="G14:G109" si="0">H14+I14</f>
        <v>40000</v>
      </c>
      <c r="H14" s="20">
        <f t="shared" ref="H14:H109" si="1">$G$9/96</f>
        <v>31250</v>
      </c>
      <c r="I14" s="20">
        <f t="shared" ref="I14:I109" si="2">J13*$G$7/12</f>
        <v>8750.0000000000018</v>
      </c>
      <c r="J14" s="19">
        <f t="shared" ref="J14:J109" si="3">J13-H14</f>
        <v>2968750</v>
      </c>
    </row>
    <row r="15" spans="2:10" x14ac:dyDescent="0.25">
      <c r="E15" s="27">
        <v>44500</v>
      </c>
      <c r="F15" s="18">
        <v>2</v>
      </c>
      <c r="G15" s="20">
        <f t="shared" si="0"/>
        <v>39908.854166666672</v>
      </c>
      <c r="H15" s="20">
        <f t="shared" si="1"/>
        <v>31250</v>
      </c>
      <c r="I15" s="20">
        <f t="shared" si="2"/>
        <v>8658.8541666666679</v>
      </c>
      <c r="J15" s="19">
        <f t="shared" si="3"/>
        <v>2937500</v>
      </c>
    </row>
    <row r="16" spans="2:10" x14ac:dyDescent="0.25">
      <c r="E16" s="27">
        <v>44530</v>
      </c>
      <c r="F16" s="18">
        <v>3</v>
      </c>
      <c r="G16" s="20">
        <f t="shared" si="0"/>
        <v>39817.708333333336</v>
      </c>
      <c r="H16" s="20">
        <f t="shared" si="1"/>
        <v>31250</v>
      </c>
      <c r="I16" s="20">
        <f t="shared" si="2"/>
        <v>8567.7083333333339</v>
      </c>
      <c r="J16" s="19">
        <f t="shared" si="3"/>
        <v>2906250</v>
      </c>
    </row>
    <row r="17" spans="5:10" x14ac:dyDescent="0.25">
      <c r="E17" s="27">
        <v>44561</v>
      </c>
      <c r="F17" s="18">
        <v>4</v>
      </c>
      <c r="G17" s="20">
        <f t="shared" si="0"/>
        <v>39726.5625</v>
      </c>
      <c r="H17" s="20">
        <f t="shared" si="1"/>
        <v>31250</v>
      </c>
      <c r="I17" s="20">
        <f t="shared" si="2"/>
        <v>8476.5625000000018</v>
      </c>
      <c r="J17" s="19">
        <f t="shared" si="3"/>
        <v>2875000</v>
      </c>
    </row>
    <row r="18" spans="5:10" x14ac:dyDescent="0.25">
      <c r="E18" s="27">
        <v>44592</v>
      </c>
      <c r="F18" s="18">
        <v>5</v>
      </c>
      <c r="G18" s="20">
        <f t="shared" si="0"/>
        <v>39635.416666666672</v>
      </c>
      <c r="H18" s="20">
        <f t="shared" si="1"/>
        <v>31250</v>
      </c>
      <c r="I18" s="20">
        <f t="shared" si="2"/>
        <v>8385.4166666666679</v>
      </c>
      <c r="J18" s="19">
        <f t="shared" si="3"/>
        <v>2843750</v>
      </c>
    </row>
    <row r="19" spans="5:10" x14ac:dyDescent="0.25">
      <c r="E19" s="27">
        <v>44620</v>
      </c>
      <c r="F19" s="18">
        <v>6</v>
      </c>
      <c r="G19" s="20">
        <f t="shared" si="0"/>
        <v>39544.270833333336</v>
      </c>
      <c r="H19" s="20">
        <f t="shared" si="1"/>
        <v>31250</v>
      </c>
      <c r="I19" s="20">
        <f t="shared" si="2"/>
        <v>8294.2708333333339</v>
      </c>
      <c r="J19" s="19">
        <f t="shared" si="3"/>
        <v>2812500</v>
      </c>
    </row>
    <row r="20" spans="5:10" x14ac:dyDescent="0.25">
      <c r="E20" s="27">
        <v>44651</v>
      </c>
      <c r="F20" s="18">
        <v>7</v>
      </c>
      <c r="G20" s="20">
        <f t="shared" si="0"/>
        <v>39453.125</v>
      </c>
      <c r="H20" s="20">
        <f t="shared" si="1"/>
        <v>31250</v>
      </c>
      <c r="I20" s="20">
        <f t="shared" si="2"/>
        <v>8203.1250000000018</v>
      </c>
      <c r="J20" s="19">
        <f t="shared" si="3"/>
        <v>2781250</v>
      </c>
    </row>
    <row r="21" spans="5:10" ht="15.75" customHeight="1" x14ac:dyDescent="0.25">
      <c r="E21" s="27">
        <v>44681</v>
      </c>
      <c r="F21" s="18">
        <v>8</v>
      </c>
      <c r="G21" s="20">
        <f t="shared" si="0"/>
        <v>39361.979166666672</v>
      </c>
      <c r="H21" s="20">
        <f t="shared" si="1"/>
        <v>31250</v>
      </c>
      <c r="I21" s="20">
        <f t="shared" si="2"/>
        <v>8111.9791666666679</v>
      </c>
      <c r="J21" s="19">
        <f t="shared" si="3"/>
        <v>2750000</v>
      </c>
    </row>
    <row r="22" spans="5:10" ht="15.75" customHeight="1" x14ac:dyDescent="0.25">
      <c r="E22" s="27">
        <v>44712</v>
      </c>
      <c r="F22" s="18">
        <v>9</v>
      </c>
      <c r="G22" s="20">
        <f t="shared" si="0"/>
        <v>39270.833333333336</v>
      </c>
      <c r="H22" s="20">
        <f t="shared" si="1"/>
        <v>31250</v>
      </c>
      <c r="I22" s="20">
        <f t="shared" si="2"/>
        <v>8020.8333333333348</v>
      </c>
      <c r="J22" s="19">
        <f t="shared" si="3"/>
        <v>2718750</v>
      </c>
    </row>
    <row r="23" spans="5:10" ht="15.75" customHeight="1" x14ac:dyDescent="0.25">
      <c r="E23" s="27">
        <v>44742</v>
      </c>
      <c r="F23" s="18">
        <v>10</v>
      </c>
      <c r="G23" s="20">
        <f t="shared" si="0"/>
        <v>39179.6875</v>
      </c>
      <c r="H23" s="20">
        <f t="shared" si="1"/>
        <v>31250</v>
      </c>
      <c r="I23" s="20">
        <f t="shared" si="2"/>
        <v>7929.6875000000009</v>
      </c>
      <c r="J23" s="19">
        <f t="shared" si="3"/>
        <v>2687500</v>
      </c>
    </row>
    <row r="24" spans="5:10" ht="15.75" customHeight="1" x14ac:dyDescent="0.25">
      <c r="E24" s="27">
        <v>44773</v>
      </c>
      <c r="F24" s="18">
        <v>11</v>
      </c>
      <c r="G24" s="20">
        <f t="shared" si="0"/>
        <v>39088.541666666672</v>
      </c>
      <c r="H24" s="20">
        <f t="shared" si="1"/>
        <v>31250</v>
      </c>
      <c r="I24" s="20">
        <f t="shared" si="2"/>
        <v>7838.5416666666679</v>
      </c>
      <c r="J24" s="19">
        <f t="shared" si="3"/>
        <v>2656250</v>
      </c>
    </row>
    <row r="25" spans="5:10" ht="15.75" customHeight="1" x14ac:dyDescent="0.25">
      <c r="E25" s="27">
        <v>44804</v>
      </c>
      <c r="F25" s="18">
        <v>12</v>
      </c>
      <c r="G25" s="20">
        <f t="shared" si="0"/>
        <v>38997.395833333336</v>
      </c>
      <c r="H25" s="20">
        <f t="shared" si="1"/>
        <v>31250</v>
      </c>
      <c r="I25" s="20">
        <f t="shared" si="2"/>
        <v>7747.3958333333348</v>
      </c>
      <c r="J25" s="19">
        <f t="shared" si="3"/>
        <v>2625000</v>
      </c>
    </row>
    <row r="26" spans="5:10" ht="15.75" customHeight="1" x14ac:dyDescent="0.25">
      <c r="E26" s="27">
        <v>44834</v>
      </c>
      <c r="F26" s="18">
        <v>13</v>
      </c>
      <c r="G26" s="20">
        <f t="shared" si="0"/>
        <v>38906.25</v>
      </c>
      <c r="H26" s="20">
        <f t="shared" si="1"/>
        <v>31250</v>
      </c>
      <c r="I26" s="20">
        <f t="shared" si="2"/>
        <v>7656.2500000000009</v>
      </c>
      <c r="J26" s="19">
        <f t="shared" si="3"/>
        <v>2593750</v>
      </c>
    </row>
    <row r="27" spans="5:10" ht="15.75" customHeight="1" x14ac:dyDescent="0.25">
      <c r="E27" s="27">
        <v>44865</v>
      </c>
      <c r="F27" s="18">
        <v>14</v>
      </c>
      <c r="G27" s="20">
        <f t="shared" si="0"/>
        <v>38815.104166666672</v>
      </c>
      <c r="H27" s="20">
        <f t="shared" si="1"/>
        <v>31250</v>
      </c>
      <c r="I27" s="20">
        <f t="shared" si="2"/>
        <v>7565.1041666666679</v>
      </c>
      <c r="J27" s="19">
        <f t="shared" si="3"/>
        <v>2562500</v>
      </c>
    </row>
    <row r="28" spans="5:10" ht="15.75" customHeight="1" x14ac:dyDescent="0.25">
      <c r="E28" s="27">
        <v>44895</v>
      </c>
      <c r="F28" s="18">
        <v>15</v>
      </c>
      <c r="G28" s="20">
        <f t="shared" si="0"/>
        <v>38723.958333333336</v>
      </c>
      <c r="H28" s="20">
        <f t="shared" si="1"/>
        <v>31250</v>
      </c>
      <c r="I28" s="20">
        <f t="shared" si="2"/>
        <v>7473.9583333333348</v>
      </c>
      <c r="J28" s="19">
        <f t="shared" si="3"/>
        <v>2531250</v>
      </c>
    </row>
    <row r="29" spans="5:10" ht="15.75" customHeight="1" x14ac:dyDescent="0.25">
      <c r="E29" s="27">
        <v>44926</v>
      </c>
      <c r="F29" s="18">
        <v>16</v>
      </c>
      <c r="G29" s="20">
        <f t="shared" si="0"/>
        <v>38632.8125</v>
      </c>
      <c r="H29" s="20">
        <f t="shared" si="1"/>
        <v>31250</v>
      </c>
      <c r="I29" s="20">
        <f t="shared" si="2"/>
        <v>7382.8125000000009</v>
      </c>
      <c r="J29" s="19">
        <f t="shared" si="3"/>
        <v>2500000</v>
      </c>
    </row>
    <row r="30" spans="5:10" ht="15.75" customHeight="1" x14ac:dyDescent="0.25">
      <c r="E30" s="27">
        <v>44957</v>
      </c>
      <c r="F30" s="18">
        <v>17</v>
      </c>
      <c r="G30" s="20">
        <f t="shared" si="0"/>
        <v>38541.666666666672</v>
      </c>
      <c r="H30" s="20">
        <f t="shared" si="1"/>
        <v>31250</v>
      </c>
      <c r="I30" s="20">
        <f t="shared" si="2"/>
        <v>7291.6666666666679</v>
      </c>
      <c r="J30" s="19">
        <f t="shared" si="3"/>
        <v>2468750</v>
      </c>
    </row>
    <row r="31" spans="5:10" ht="15.75" customHeight="1" x14ac:dyDescent="0.25">
      <c r="E31" s="27">
        <v>44985</v>
      </c>
      <c r="F31" s="18">
        <v>18</v>
      </c>
      <c r="G31" s="20">
        <f t="shared" si="0"/>
        <v>38450.520833333336</v>
      </c>
      <c r="H31" s="20">
        <f t="shared" si="1"/>
        <v>31250</v>
      </c>
      <c r="I31" s="20">
        <f t="shared" si="2"/>
        <v>7200.5208333333348</v>
      </c>
      <c r="J31" s="19">
        <f t="shared" si="3"/>
        <v>2437500</v>
      </c>
    </row>
    <row r="32" spans="5:10" ht="15.75" customHeight="1" x14ac:dyDescent="0.25">
      <c r="E32" s="27">
        <v>45016</v>
      </c>
      <c r="F32" s="18">
        <v>19</v>
      </c>
      <c r="G32" s="20">
        <f t="shared" si="0"/>
        <v>38359.375</v>
      </c>
      <c r="H32" s="20">
        <f t="shared" si="1"/>
        <v>31250</v>
      </c>
      <c r="I32" s="20">
        <f t="shared" si="2"/>
        <v>7109.3750000000009</v>
      </c>
      <c r="J32" s="19">
        <f t="shared" si="3"/>
        <v>2406250</v>
      </c>
    </row>
    <row r="33" spans="5:10" ht="15.75" customHeight="1" x14ac:dyDescent="0.25">
      <c r="E33" s="27">
        <v>45046</v>
      </c>
      <c r="F33" s="18">
        <v>20</v>
      </c>
      <c r="G33" s="20">
        <f t="shared" si="0"/>
        <v>38268.229166666672</v>
      </c>
      <c r="H33" s="20">
        <f t="shared" si="1"/>
        <v>31250</v>
      </c>
      <c r="I33" s="20">
        <f t="shared" si="2"/>
        <v>7018.2291666666679</v>
      </c>
      <c r="J33" s="19">
        <f t="shared" si="3"/>
        <v>2375000</v>
      </c>
    </row>
    <row r="34" spans="5:10" ht="15.75" customHeight="1" x14ac:dyDescent="0.25">
      <c r="E34" s="27">
        <v>45077</v>
      </c>
      <c r="F34" s="18">
        <v>21</v>
      </c>
      <c r="G34" s="20">
        <f t="shared" si="0"/>
        <v>38177.083333333336</v>
      </c>
      <c r="H34" s="20">
        <f t="shared" si="1"/>
        <v>31250</v>
      </c>
      <c r="I34" s="20">
        <f t="shared" si="2"/>
        <v>6927.0833333333348</v>
      </c>
      <c r="J34" s="19">
        <f t="shared" si="3"/>
        <v>2343750</v>
      </c>
    </row>
    <row r="35" spans="5:10" ht="15.75" customHeight="1" x14ac:dyDescent="0.25">
      <c r="E35" s="27">
        <v>45107</v>
      </c>
      <c r="F35" s="18">
        <v>22</v>
      </c>
      <c r="G35" s="20">
        <f t="shared" si="0"/>
        <v>38085.9375</v>
      </c>
      <c r="H35" s="20">
        <f t="shared" si="1"/>
        <v>31250</v>
      </c>
      <c r="I35" s="20">
        <f t="shared" si="2"/>
        <v>6835.9375000000009</v>
      </c>
      <c r="J35" s="19">
        <f t="shared" si="3"/>
        <v>2312500</v>
      </c>
    </row>
    <row r="36" spans="5:10" ht="15.75" customHeight="1" x14ac:dyDescent="0.25">
      <c r="E36" s="27">
        <v>45138</v>
      </c>
      <c r="F36" s="18">
        <v>23</v>
      </c>
      <c r="G36" s="20">
        <f t="shared" si="0"/>
        <v>37994.791666666672</v>
      </c>
      <c r="H36" s="20">
        <f t="shared" si="1"/>
        <v>31250</v>
      </c>
      <c r="I36" s="20">
        <f t="shared" si="2"/>
        <v>6744.7916666666679</v>
      </c>
      <c r="J36" s="19">
        <f t="shared" si="3"/>
        <v>2281250</v>
      </c>
    </row>
    <row r="37" spans="5:10" ht="15.75" customHeight="1" x14ac:dyDescent="0.25">
      <c r="E37" s="27">
        <v>45169</v>
      </c>
      <c r="F37" s="18">
        <v>24</v>
      </c>
      <c r="G37" s="20">
        <f t="shared" si="0"/>
        <v>37903.645833333336</v>
      </c>
      <c r="H37" s="20">
        <f t="shared" si="1"/>
        <v>31250</v>
      </c>
      <c r="I37" s="20">
        <f t="shared" si="2"/>
        <v>6653.6458333333348</v>
      </c>
      <c r="J37" s="19">
        <f t="shared" si="3"/>
        <v>2250000</v>
      </c>
    </row>
    <row r="38" spans="5:10" ht="15.75" customHeight="1" x14ac:dyDescent="0.25">
      <c r="E38" s="27">
        <v>45199</v>
      </c>
      <c r="F38" s="18">
        <v>25</v>
      </c>
      <c r="G38" s="20">
        <f t="shared" si="0"/>
        <v>37812.5</v>
      </c>
      <c r="H38" s="20">
        <f t="shared" si="1"/>
        <v>31250</v>
      </c>
      <c r="I38" s="20">
        <f t="shared" si="2"/>
        <v>6562.5000000000009</v>
      </c>
      <c r="J38" s="19">
        <f t="shared" si="3"/>
        <v>2218750</v>
      </c>
    </row>
    <row r="39" spans="5:10" ht="15.75" customHeight="1" x14ac:dyDescent="0.25">
      <c r="E39" s="27">
        <v>45230</v>
      </c>
      <c r="F39" s="18">
        <v>26</v>
      </c>
      <c r="G39" s="20">
        <f t="shared" si="0"/>
        <v>37721.354166666672</v>
      </c>
      <c r="H39" s="20">
        <f t="shared" si="1"/>
        <v>31250</v>
      </c>
      <c r="I39" s="20">
        <f t="shared" si="2"/>
        <v>6471.3541666666679</v>
      </c>
      <c r="J39" s="19">
        <f t="shared" si="3"/>
        <v>2187500</v>
      </c>
    </row>
    <row r="40" spans="5:10" ht="15.75" customHeight="1" x14ac:dyDescent="0.25">
      <c r="E40" s="27">
        <v>45260</v>
      </c>
      <c r="F40" s="18">
        <v>27</v>
      </c>
      <c r="G40" s="20">
        <f t="shared" si="0"/>
        <v>37630.208333333336</v>
      </c>
      <c r="H40" s="20">
        <f t="shared" si="1"/>
        <v>31250</v>
      </c>
      <c r="I40" s="20">
        <f t="shared" si="2"/>
        <v>6380.2083333333348</v>
      </c>
      <c r="J40" s="19">
        <f t="shared" si="3"/>
        <v>2156250</v>
      </c>
    </row>
    <row r="41" spans="5:10" ht="15.75" customHeight="1" x14ac:dyDescent="0.25">
      <c r="E41" s="27">
        <v>45291</v>
      </c>
      <c r="F41" s="18">
        <v>28</v>
      </c>
      <c r="G41" s="20">
        <f t="shared" si="0"/>
        <v>37539.0625</v>
      </c>
      <c r="H41" s="20">
        <f t="shared" si="1"/>
        <v>31250</v>
      </c>
      <c r="I41" s="20">
        <f t="shared" si="2"/>
        <v>6289.0625</v>
      </c>
      <c r="J41" s="19">
        <f t="shared" si="3"/>
        <v>2125000</v>
      </c>
    </row>
    <row r="42" spans="5:10" ht="15.75" customHeight="1" x14ac:dyDescent="0.25">
      <c r="E42" s="27">
        <v>45322</v>
      </c>
      <c r="F42" s="18">
        <v>29</v>
      </c>
      <c r="G42" s="20">
        <f t="shared" si="0"/>
        <v>37447.916666666664</v>
      </c>
      <c r="H42" s="20">
        <f t="shared" si="1"/>
        <v>31250</v>
      </c>
      <c r="I42" s="20">
        <f t="shared" si="2"/>
        <v>6197.916666666667</v>
      </c>
      <c r="J42" s="19">
        <f t="shared" si="3"/>
        <v>2093750</v>
      </c>
    </row>
    <row r="43" spans="5:10" ht="15.75" customHeight="1" x14ac:dyDescent="0.25">
      <c r="E43" s="27">
        <v>45351</v>
      </c>
      <c r="F43" s="18">
        <v>30</v>
      </c>
      <c r="G43" s="20">
        <f t="shared" si="0"/>
        <v>37356.770833333336</v>
      </c>
      <c r="H43" s="20">
        <f t="shared" si="1"/>
        <v>31250</v>
      </c>
      <c r="I43" s="20">
        <f t="shared" si="2"/>
        <v>6106.770833333333</v>
      </c>
      <c r="J43" s="19">
        <f t="shared" si="3"/>
        <v>2062500</v>
      </c>
    </row>
    <row r="44" spans="5:10" ht="15.75" customHeight="1" x14ac:dyDescent="0.25">
      <c r="E44" s="27">
        <v>45382</v>
      </c>
      <c r="F44" s="18">
        <v>31</v>
      </c>
      <c r="G44" s="20">
        <f t="shared" si="0"/>
        <v>37265.625</v>
      </c>
      <c r="H44" s="20">
        <f t="shared" si="1"/>
        <v>31250</v>
      </c>
      <c r="I44" s="20">
        <f t="shared" si="2"/>
        <v>6015.625</v>
      </c>
      <c r="J44" s="19">
        <f t="shared" si="3"/>
        <v>2031250</v>
      </c>
    </row>
    <row r="45" spans="5:10" ht="15.75" customHeight="1" x14ac:dyDescent="0.25">
      <c r="E45" s="27">
        <v>45412</v>
      </c>
      <c r="F45" s="18">
        <v>32</v>
      </c>
      <c r="G45" s="20">
        <f t="shared" si="0"/>
        <v>37174.479166666664</v>
      </c>
      <c r="H45" s="20">
        <f t="shared" si="1"/>
        <v>31250</v>
      </c>
      <c r="I45" s="20">
        <f t="shared" si="2"/>
        <v>5924.479166666667</v>
      </c>
      <c r="J45" s="19">
        <f t="shared" si="3"/>
        <v>2000000</v>
      </c>
    </row>
    <row r="46" spans="5:10" ht="15.75" customHeight="1" x14ac:dyDescent="0.25">
      <c r="E46" s="27">
        <v>45443</v>
      </c>
      <c r="F46" s="18">
        <v>33</v>
      </c>
      <c r="G46" s="20">
        <f t="shared" si="0"/>
        <v>37083.333333333336</v>
      </c>
      <c r="H46" s="20">
        <f t="shared" si="1"/>
        <v>31250</v>
      </c>
      <c r="I46" s="20">
        <f t="shared" si="2"/>
        <v>5833.333333333333</v>
      </c>
      <c r="J46" s="19">
        <f t="shared" si="3"/>
        <v>1968750</v>
      </c>
    </row>
    <row r="47" spans="5:10" ht="15.75" customHeight="1" x14ac:dyDescent="0.25">
      <c r="E47" s="27">
        <v>45473</v>
      </c>
      <c r="F47" s="18">
        <v>34</v>
      </c>
      <c r="G47" s="20">
        <f t="shared" si="0"/>
        <v>36992.1875</v>
      </c>
      <c r="H47" s="20">
        <f t="shared" si="1"/>
        <v>31250</v>
      </c>
      <c r="I47" s="20">
        <f t="shared" si="2"/>
        <v>5742.1875</v>
      </c>
      <c r="J47" s="19">
        <f t="shared" si="3"/>
        <v>1937500</v>
      </c>
    </row>
    <row r="48" spans="5:10" ht="15.75" customHeight="1" x14ac:dyDescent="0.25">
      <c r="E48" s="27">
        <v>45504</v>
      </c>
      <c r="F48" s="18">
        <v>35</v>
      </c>
      <c r="G48" s="20">
        <f t="shared" si="0"/>
        <v>36901.041666666664</v>
      </c>
      <c r="H48" s="20">
        <f t="shared" si="1"/>
        <v>31250</v>
      </c>
      <c r="I48" s="20">
        <f t="shared" si="2"/>
        <v>5651.041666666667</v>
      </c>
      <c r="J48" s="19">
        <f t="shared" si="3"/>
        <v>1906250</v>
      </c>
    </row>
    <row r="49" spans="5:10" ht="15.75" customHeight="1" x14ac:dyDescent="0.25">
      <c r="E49" s="27">
        <v>45535</v>
      </c>
      <c r="F49" s="18">
        <v>36</v>
      </c>
      <c r="G49" s="20">
        <f t="shared" si="0"/>
        <v>36809.895833333336</v>
      </c>
      <c r="H49" s="20">
        <f t="shared" si="1"/>
        <v>31250</v>
      </c>
      <c r="I49" s="20">
        <f t="shared" si="2"/>
        <v>5559.895833333333</v>
      </c>
      <c r="J49" s="19">
        <f t="shared" si="3"/>
        <v>1875000</v>
      </c>
    </row>
    <row r="50" spans="5:10" ht="15.75" customHeight="1" x14ac:dyDescent="0.25">
      <c r="E50" s="27">
        <v>45565</v>
      </c>
      <c r="F50" s="18">
        <v>37</v>
      </c>
      <c r="G50" s="20">
        <f t="shared" si="0"/>
        <v>36718.75</v>
      </c>
      <c r="H50" s="20">
        <f t="shared" si="1"/>
        <v>31250</v>
      </c>
      <c r="I50" s="20">
        <f t="shared" si="2"/>
        <v>5468.75</v>
      </c>
      <c r="J50" s="19">
        <f t="shared" si="3"/>
        <v>1843750</v>
      </c>
    </row>
    <row r="51" spans="5:10" ht="15.75" customHeight="1" x14ac:dyDescent="0.25">
      <c r="E51" s="27">
        <v>45596</v>
      </c>
      <c r="F51" s="18">
        <v>38</v>
      </c>
      <c r="G51" s="20">
        <f t="shared" si="0"/>
        <v>36627.604166666664</v>
      </c>
      <c r="H51" s="20">
        <f t="shared" si="1"/>
        <v>31250</v>
      </c>
      <c r="I51" s="20">
        <f t="shared" si="2"/>
        <v>5377.604166666667</v>
      </c>
      <c r="J51" s="19">
        <f t="shared" si="3"/>
        <v>1812500</v>
      </c>
    </row>
    <row r="52" spans="5:10" ht="15.75" customHeight="1" x14ac:dyDescent="0.25">
      <c r="E52" s="27">
        <v>45626</v>
      </c>
      <c r="F52" s="18">
        <v>39</v>
      </c>
      <c r="G52" s="20">
        <f t="shared" si="0"/>
        <v>36536.458333333336</v>
      </c>
      <c r="H52" s="20">
        <f t="shared" si="1"/>
        <v>31250</v>
      </c>
      <c r="I52" s="20">
        <f t="shared" si="2"/>
        <v>5286.4583333333339</v>
      </c>
      <c r="J52" s="19">
        <f t="shared" si="3"/>
        <v>1781250</v>
      </c>
    </row>
    <row r="53" spans="5:10" ht="15.75" customHeight="1" x14ac:dyDescent="0.25">
      <c r="E53" s="27">
        <v>45657</v>
      </c>
      <c r="F53" s="18">
        <v>40</v>
      </c>
      <c r="G53" s="20">
        <f t="shared" si="0"/>
        <v>36445.3125</v>
      </c>
      <c r="H53" s="20">
        <f t="shared" si="1"/>
        <v>31250</v>
      </c>
      <c r="I53" s="20">
        <f t="shared" si="2"/>
        <v>5195.3125000000009</v>
      </c>
      <c r="J53" s="19">
        <f t="shared" si="3"/>
        <v>1750000</v>
      </c>
    </row>
    <row r="54" spans="5:10" ht="15.75" customHeight="1" x14ac:dyDescent="0.25">
      <c r="E54" s="27">
        <v>45688</v>
      </c>
      <c r="F54" s="18">
        <v>41</v>
      </c>
      <c r="G54" s="20">
        <f t="shared" si="0"/>
        <v>36354.166666666664</v>
      </c>
      <c r="H54" s="20">
        <f t="shared" si="1"/>
        <v>31250</v>
      </c>
      <c r="I54" s="20">
        <f t="shared" si="2"/>
        <v>5104.166666666667</v>
      </c>
      <c r="J54" s="19">
        <f t="shared" si="3"/>
        <v>1718750</v>
      </c>
    </row>
    <row r="55" spans="5:10" ht="15.75" customHeight="1" x14ac:dyDescent="0.25">
      <c r="E55" s="27">
        <v>45716</v>
      </c>
      <c r="F55" s="18">
        <v>42</v>
      </c>
      <c r="G55" s="20">
        <f t="shared" si="0"/>
        <v>36263.020833333336</v>
      </c>
      <c r="H55" s="20">
        <f t="shared" si="1"/>
        <v>31250</v>
      </c>
      <c r="I55" s="20">
        <f t="shared" si="2"/>
        <v>5013.0208333333339</v>
      </c>
      <c r="J55" s="19">
        <f t="shared" si="3"/>
        <v>1687500</v>
      </c>
    </row>
    <row r="56" spans="5:10" ht="15.75" customHeight="1" x14ac:dyDescent="0.25">
      <c r="E56" s="27">
        <v>45747</v>
      </c>
      <c r="F56" s="18">
        <v>43</v>
      </c>
      <c r="G56" s="20">
        <f t="shared" si="0"/>
        <v>36171.875</v>
      </c>
      <c r="H56" s="20">
        <f t="shared" si="1"/>
        <v>31250</v>
      </c>
      <c r="I56" s="20">
        <f t="shared" si="2"/>
        <v>4921.8750000000009</v>
      </c>
      <c r="J56" s="19">
        <f t="shared" si="3"/>
        <v>1656250</v>
      </c>
    </row>
    <row r="57" spans="5:10" ht="15.75" customHeight="1" x14ac:dyDescent="0.25">
      <c r="E57" s="27">
        <v>45777</v>
      </c>
      <c r="F57" s="18">
        <v>44</v>
      </c>
      <c r="G57" s="20">
        <f t="shared" si="0"/>
        <v>36080.729166666664</v>
      </c>
      <c r="H57" s="20">
        <f t="shared" si="1"/>
        <v>31250</v>
      </c>
      <c r="I57" s="20">
        <f t="shared" si="2"/>
        <v>4830.729166666667</v>
      </c>
      <c r="J57" s="19">
        <f t="shared" si="3"/>
        <v>1625000</v>
      </c>
    </row>
    <row r="58" spans="5:10" ht="15.75" customHeight="1" x14ac:dyDescent="0.25">
      <c r="E58" s="27">
        <v>45808</v>
      </c>
      <c r="F58" s="18">
        <v>45</v>
      </c>
      <c r="G58" s="20">
        <f t="shared" si="0"/>
        <v>35989.583333333336</v>
      </c>
      <c r="H58" s="20">
        <f t="shared" si="1"/>
        <v>31250</v>
      </c>
      <c r="I58" s="20">
        <f t="shared" si="2"/>
        <v>4739.5833333333339</v>
      </c>
      <c r="J58" s="19">
        <f t="shared" si="3"/>
        <v>1593750</v>
      </c>
    </row>
    <row r="59" spans="5:10" ht="15.75" customHeight="1" x14ac:dyDescent="0.25">
      <c r="E59" s="27">
        <v>45838</v>
      </c>
      <c r="F59" s="18">
        <v>46</v>
      </c>
      <c r="G59" s="20">
        <f t="shared" si="0"/>
        <v>35898.4375</v>
      </c>
      <c r="H59" s="20">
        <f t="shared" si="1"/>
        <v>31250</v>
      </c>
      <c r="I59" s="20">
        <f t="shared" si="2"/>
        <v>4648.4375000000009</v>
      </c>
      <c r="J59" s="19">
        <f t="shared" si="3"/>
        <v>1562500</v>
      </c>
    </row>
    <row r="60" spans="5:10" ht="15.75" customHeight="1" x14ac:dyDescent="0.25">
      <c r="E60" s="27">
        <v>45869</v>
      </c>
      <c r="F60" s="18">
        <v>47</v>
      </c>
      <c r="G60" s="20">
        <f t="shared" si="0"/>
        <v>35807.291666666664</v>
      </c>
      <c r="H60" s="20">
        <f t="shared" si="1"/>
        <v>31250</v>
      </c>
      <c r="I60" s="20">
        <f t="shared" si="2"/>
        <v>4557.291666666667</v>
      </c>
      <c r="J60" s="19">
        <f t="shared" si="3"/>
        <v>1531250</v>
      </c>
    </row>
    <row r="61" spans="5:10" ht="15.75" customHeight="1" x14ac:dyDescent="0.25">
      <c r="E61" s="27">
        <v>45900</v>
      </c>
      <c r="F61" s="18">
        <v>48</v>
      </c>
      <c r="G61" s="20">
        <f t="shared" si="0"/>
        <v>35716.145833333336</v>
      </c>
      <c r="H61" s="20">
        <f t="shared" si="1"/>
        <v>31250</v>
      </c>
      <c r="I61" s="20">
        <f t="shared" si="2"/>
        <v>4466.1458333333339</v>
      </c>
      <c r="J61" s="19">
        <f t="shared" si="3"/>
        <v>1500000</v>
      </c>
    </row>
    <row r="62" spans="5:10" ht="15.75" customHeight="1" x14ac:dyDescent="0.25">
      <c r="E62" s="27">
        <v>45930</v>
      </c>
      <c r="F62" s="18">
        <v>49</v>
      </c>
      <c r="G62" s="20">
        <f t="shared" si="0"/>
        <v>35625</v>
      </c>
      <c r="H62" s="20">
        <f t="shared" si="1"/>
        <v>31250</v>
      </c>
      <c r="I62" s="20">
        <f t="shared" si="2"/>
        <v>4375.0000000000009</v>
      </c>
      <c r="J62" s="19">
        <f t="shared" si="3"/>
        <v>1468750</v>
      </c>
    </row>
    <row r="63" spans="5:10" ht="15.75" customHeight="1" x14ac:dyDescent="0.25">
      <c r="E63" s="27">
        <v>45961</v>
      </c>
      <c r="F63" s="18">
        <v>50</v>
      </c>
      <c r="G63" s="20">
        <f t="shared" si="0"/>
        <v>35533.854166666664</v>
      </c>
      <c r="H63" s="20">
        <f t="shared" si="1"/>
        <v>31250</v>
      </c>
      <c r="I63" s="20">
        <f t="shared" si="2"/>
        <v>4283.854166666667</v>
      </c>
      <c r="J63" s="19">
        <f t="shared" si="3"/>
        <v>1437500</v>
      </c>
    </row>
    <row r="64" spans="5:10" ht="15.75" customHeight="1" x14ac:dyDescent="0.25">
      <c r="E64" s="27">
        <v>45991</v>
      </c>
      <c r="F64" s="18">
        <v>51</v>
      </c>
      <c r="G64" s="20">
        <f t="shared" si="0"/>
        <v>35442.708333333336</v>
      </c>
      <c r="H64" s="20">
        <f t="shared" si="1"/>
        <v>31250</v>
      </c>
      <c r="I64" s="20">
        <f t="shared" si="2"/>
        <v>4192.7083333333339</v>
      </c>
      <c r="J64" s="19">
        <f t="shared" si="3"/>
        <v>1406250</v>
      </c>
    </row>
    <row r="65" spans="5:10" ht="15.75" customHeight="1" x14ac:dyDescent="0.25">
      <c r="E65" s="27">
        <v>46022</v>
      </c>
      <c r="F65" s="18">
        <v>52</v>
      </c>
      <c r="G65" s="20">
        <f t="shared" si="0"/>
        <v>35351.5625</v>
      </c>
      <c r="H65" s="20">
        <f t="shared" si="1"/>
        <v>31250</v>
      </c>
      <c r="I65" s="20">
        <f t="shared" si="2"/>
        <v>4101.5625000000009</v>
      </c>
      <c r="J65" s="19">
        <f t="shared" si="3"/>
        <v>1375000</v>
      </c>
    </row>
    <row r="66" spans="5:10" ht="15.75" customHeight="1" x14ac:dyDescent="0.25">
      <c r="E66" s="27">
        <v>46053</v>
      </c>
      <c r="F66" s="18">
        <v>53</v>
      </c>
      <c r="G66" s="20">
        <f t="shared" si="0"/>
        <v>35260.416666666664</v>
      </c>
      <c r="H66" s="20">
        <f t="shared" si="1"/>
        <v>31250</v>
      </c>
      <c r="I66" s="20">
        <f t="shared" si="2"/>
        <v>4010.4166666666674</v>
      </c>
      <c r="J66" s="19">
        <f t="shared" si="3"/>
        <v>1343750</v>
      </c>
    </row>
    <row r="67" spans="5:10" ht="15.75" customHeight="1" x14ac:dyDescent="0.25">
      <c r="E67" s="27">
        <v>46081</v>
      </c>
      <c r="F67" s="18">
        <v>54</v>
      </c>
      <c r="G67" s="20">
        <f t="shared" si="0"/>
        <v>35169.270833333336</v>
      </c>
      <c r="H67" s="20">
        <f t="shared" si="1"/>
        <v>31250</v>
      </c>
      <c r="I67" s="20">
        <f t="shared" si="2"/>
        <v>3919.2708333333339</v>
      </c>
      <c r="J67" s="19">
        <f t="shared" si="3"/>
        <v>1312500</v>
      </c>
    </row>
    <row r="68" spans="5:10" ht="15.75" customHeight="1" x14ac:dyDescent="0.25">
      <c r="E68" s="27">
        <v>46112</v>
      </c>
      <c r="F68" s="18">
        <v>55</v>
      </c>
      <c r="G68" s="20">
        <f t="shared" si="0"/>
        <v>35078.125</v>
      </c>
      <c r="H68" s="20">
        <f t="shared" si="1"/>
        <v>31250</v>
      </c>
      <c r="I68" s="20">
        <f t="shared" si="2"/>
        <v>3828.1250000000005</v>
      </c>
      <c r="J68" s="19">
        <f t="shared" si="3"/>
        <v>1281250</v>
      </c>
    </row>
    <row r="69" spans="5:10" ht="15.75" customHeight="1" x14ac:dyDescent="0.25">
      <c r="E69" s="27">
        <v>46142</v>
      </c>
      <c r="F69" s="18">
        <v>56</v>
      </c>
      <c r="G69" s="20">
        <f t="shared" si="0"/>
        <v>34986.979166666664</v>
      </c>
      <c r="H69" s="20">
        <f t="shared" si="1"/>
        <v>31250</v>
      </c>
      <c r="I69" s="20">
        <f t="shared" si="2"/>
        <v>3736.9791666666674</v>
      </c>
      <c r="J69" s="19">
        <f t="shared" si="3"/>
        <v>1250000</v>
      </c>
    </row>
    <row r="70" spans="5:10" ht="15.75" customHeight="1" x14ac:dyDescent="0.25">
      <c r="E70" s="27">
        <v>46173</v>
      </c>
      <c r="F70" s="18">
        <v>57</v>
      </c>
      <c r="G70" s="20">
        <f t="shared" si="0"/>
        <v>34895.833333333336</v>
      </c>
      <c r="H70" s="20">
        <f t="shared" si="1"/>
        <v>31250</v>
      </c>
      <c r="I70" s="20">
        <f t="shared" si="2"/>
        <v>3645.8333333333339</v>
      </c>
      <c r="J70" s="19">
        <f t="shared" si="3"/>
        <v>1218750</v>
      </c>
    </row>
    <row r="71" spans="5:10" ht="15.75" customHeight="1" x14ac:dyDescent="0.25">
      <c r="E71" s="27">
        <v>46203</v>
      </c>
      <c r="F71" s="18">
        <v>58</v>
      </c>
      <c r="G71" s="20">
        <f t="shared" si="0"/>
        <v>34804.6875</v>
      </c>
      <c r="H71" s="20">
        <f t="shared" si="1"/>
        <v>31250</v>
      </c>
      <c r="I71" s="20">
        <f t="shared" si="2"/>
        <v>3554.6875000000005</v>
      </c>
      <c r="J71" s="19">
        <f t="shared" si="3"/>
        <v>1187500</v>
      </c>
    </row>
    <row r="72" spans="5:10" ht="15.75" customHeight="1" x14ac:dyDescent="0.25">
      <c r="E72" s="27">
        <v>46234</v>
      </c>
      <c r="F72" s="18">
        <v>59</v>
      </c>
      <c r="G72" s="20">
        <f t="shared" si="0"/>
        <v>34713.541666666664</v>
      </c>
      <c r="H72" s="20">
        <f t="shared" si="1"/>
        <v>31250</v>
      </c>
      <c r="I72" s="20">
        <f t="shared" si="2"/>
        <v>3463.5416666666674</v>
      </c>
      <c r="J72" s="19">
        <f t="shared" si="3"/>
        <v>1156250</v>
      </c>
    </row>
    <row r="73" spans="5:10" ht="15.75" customHeight="1" x14ac:dyDescent="0.25">
      <c r="E73" s="27">
        <v>46265</v>
      </c>
      <c r="F73" s="18">
        <v>60</v>
      </c>
      <c r="G73" s="20">
        <f t="shared" si="0"/>
        <v>34622.395833333336</v>
      </c>
      <c r="H73" s="20">
        <f t="shared" si="1"/>
        <v>31250</v>
      </c>
      <c r="I73" s="20">
        <f t="shared" si="2"/>
        <v>3372.3958333333339</v>
      </c>
      <c r="J73" s="19">
        <f t="shared" si="3"/>
        <v>1125000</v>
      </c>
    </row>
    <row r="74" spans="5:10" ht="15.75" customHeight="1" x14ac:dyDescent="0.25">
      <c r="E74" s="27">
        <v>46295</v>
      </c>
      <c r="F74" s="18">
        <v>61</v>
      </c>
      <c r="G74" s="20">
        <f t="shared" si="0"/>
        <v>34531.25</v>
      </c>
      <c r="H74" s="20">
        <f t="shared" si="1"/>
        <v>31250</v>
      </c>
      <c r="I74" s="20">
        <f t="shared" si="2"/>
        <v>3281.2500000000005</v>
      </c>
      <c r="J74" s="19">
        <f t="shared" si="3"/>
        <v>1093750</v>
      </c>
    </row>
    <row r="75" spans="5:10" ht="15.75" customHeight="1" x14ac:dyDescent="0.25">
      <c r="E75" s="27">
        <v>46326</v>
      </c>
      <c r="F75" s="18">
        <v>62</v>
      </c>
      <c r="G75" s="20">
        <f t="shared" si="0"/>
        <v>34440.104166666664</v>
      </c>
      <c r="H75" s="20">
        <f t="shared" si="1"/>
        <v>31250</v>
      </c>
      <c r="I75" s="20">
        <f t="shared" si="2"/>
        <v>3190.1041666666674</v>
      </c>
      <c r="J75" s="19">
        <f t="shared" si="3"/>
        <v>1062500</v>
      </c>
    </row>
    <row r="76" spans="5:10" ht="15.75" customHeight="1" x14ac:dyDescent="0.25">
      <c r="E76" s="27">
        <v>46356</v>
      </c>
      <c r="F76" s="18">
        <v>63</v>
      </c>
      <c r="G76" s="20">
        <f t="shared" si="0"/>
        <v>34348.958333333336</v>
      </c>
      <c r="H76" s="20">
        <f t="shared" si="1"/>
        <v>31250</v>
      </c>
      <c r="I76" s="20">
        <f t="shared" si="2"/>
        <v>3098.9583333333335</v>
      </c>
      <c r="J76" s="19">
        <f t="shared" si="3"/>
        <v>1031250</v>
      </c>
    </row>
    <row r="77" spans="5:10" ht="15.75" customHeight="1" x14ac:dyDescent="0.25">
      <c r="E77" s="27">
        <v>46387</v>
      </c>
      <c r="F77" s="18">
        <v>64</v>
      </c>
      <c r="G77" s="20">
        <f t="shared" si="0"/>
        <v>34257.8125</v>
      </c>
      <c r="H77" s="20">
        <f t="shared" si="1"/>
        <v>31250</v>
      </c>
      <c r="I77" s="20">
        <f t="shared" si="2"/>
        <v>3007.8125</v>
      </c>
      <c r="J77" s="19">
        <f t="shared" si="3"/>
        <v>1000000</v>
      </c>
    </row>
    <row r="78" spans="5:10" ht="15.75" customHeight="1" x14ac:dyDescent="0.25">
      <c r="E78" s="27">
        <v>46418</v>
      </c>
      <c r="F78" s="18">
        <v>65</v>
      </c>
      <c r="G78" s="20">
        <f t="shared" si="0"/>
        <v>34166.666666666664</v>
      </c>
      <c r="H78" s="20">
        <f t="shared" si="1"/>
        <v>31250</v>
      </c>
      <c r="I78" s="20">
        <f t="shared" si="2"/>
        <v>2916.6666666666665</v>
      </c>
      <c r="J78" s="19">
        <f t="shared" si="3"/>
        <v>968750</v>
      </c>
    </row>
    <row r="79" spans="5:10" ht="15.75" customHeight="1" x14ac:dyDescent="0.25">
      <c r="E79" s="27">
        <v>46446</v>
      </c>
      <c r="F79" s="18">
        <v>66</v>
      </c>
      <c r="G79" s="20">
        <f t="shared" si="0"/>
        <v>34075.520833333336</v>
      </c>
      <c r="H79" s="20">
        <f t="shared" si="1"/>
        <v>31250</v>
      </c>
      <c r="I79" s="20">
        <f t="shared" si="2"/>
        <v>2825.5208333333335</v>
      </c>
      <c r="J79" s="19">
        <f t="shared" si="3"/>
        <v>937500</v>
      </c>
    </row>
    <row r="80" spans="5:10" ht="15.75" customHeight="1" x14ac:dyDescent="0.25">
      <c r="E80" s="27">
        <v>46477</v>
      </c>
      <c r="F80" s="18">
        <v>67</v>
      </c>
      <c r="G80" s="20">
        <f t="shared" si="0"/>
        <v>33984.375</v>
      </c>
      <c r="H80" s="20">
        <f t="shared" si="1"/>
        <v>31250</v>
      </c>
      <c r="I80" s="20">
        <f t="shared" si="2"/>
        <v>2734.375</v>
      </c>
      <c r="J80" s="19">
        <f t="shared" si="3"/>
        <v>906250</v>
      </c>
    </row>
    <row r="81" spans="5:10" ht="15.75" customHeight="1" x14ac:dyDescent="0.25">
      <c r="E81" s="27">
        <v>46507</v>
      </c>
      <c r="F81" s="18">
        <v>68</v>
      </c>
      <c r="G81" s="20">
        <f t="shared" si="0"/>
        <v>33893.229166666664</v>
      </c>
      <c r="H81" s="20">
        <f t="shared" si="1"/>
        <v>31250</v>
      </c>
      <c r="I81" s="20">
        <f t="shared" si="2"/>
        <v>2643.229166666667</v>
      </c>
      <c r="J81" s="19">
        <f t="shared" si="3"/>
        <v>875000</v>
      </c>
    </row>
    <row r="82" spans="5:10" ht="15.75" customHeight="1" x14ac:dyDescent="0.25">
      <c r="E82" s="27">
        <v>46538</v>
      </c>
      <c r="F82" s="18">
        <v>69</v>
      </c>
      <c r="G82" s="20">
        <f t="shared" si="0"/>
        <v>33802.083333333336</v>
      </c>
      <c r="H82" s="20">
        <f t="shared" si="1"/>
        <v>31250</v>
      </c>
      <c r="I82" s="20">
        <f t="shared" si="2"/>
        <v>2552.0833333333335</v>
      </c>
      <c r="J82" s="19">
        <f t="shared" si="3"/>
        <v>843750</v>
      </c>
    </row>
    <row r="83" spans="5:10" ht="15.75" customHeight="1" x14ac:dyDescent="0.25">
      <c r="E83" s="27">
        <v>46568</v>
      </c>
      <c r="F83" s="18">
        <v>70</v>
      </c>
      <c r="G83" s="20">
        <f t="shared" si="0"/>
        <v>33710.9375</v>
      </c>
      <c r="H83" s="20">
        <f t="shared" si="1"/>
        <v>31250</v>
      </c>
      <c r="I83" s="20">
        <f t="shared" si="2"/>
        <v>2460.9375000000005</v>
      </c>
      <c r="J83" s="19">
        <f t="shared" si="3"/>
        <v>812500</v>
      </c>
    </row>
    <row r="84" spans="5:10" ht="15.75" customHeight="1" x14ac:dyDescent="0.25">
      <c r="E84" s="27">
        <v>46599</v>
      </c>
      <c r="F84" s="18">
        <v>71</v>
      </c>
      <c r="G84" s="20">
        <f t="shared" si="0"/>
        <v>33619.791666666664</v>
      </c>
      <c r="H84" s="20">
        <f t="shared" si="1"/>
        <v>31250</v>
      </c>
      <c r="I84" s="20">
        <f t="shared" si="2"/>
        <v>2369.791666666667</v>
      </c>
      <c r="J84" s="19">
        <f t="shared" si="3"/>
        <v>781250</v>
      </c>
    </row>
    <row r="85" spans="5:10" ht="15.75" customHeight="1" x14ac:dyDescent="0.25">
      <c r="E85" s="27">
        <v>46630</v>
      </c>
      <c r="F85" s="18">
        <v>72</v>
      </c>
      <c r="G85" s="20">
        <f t="shared" si="0"/>
        <v>33528.645833333336</v>
      </c>
      <c r="H85" s="20">
        <f t="shared" si="1"/>
        <v>31250</v>
      </c>
      <c r="I85" s="20">
        <f t="shared" si="2"/>
        <v>2278.6458333333335</v>
      </c>
      <c r="J85" s="19">
        <f t="shared" si="3"/>
        <v>750000</v>
      </c>
    </row>
    <row r="86" spans="5:10" ht="15.75" customHeight="1" x14ac:dyDescent="0.25">
      <c r="E86" s="27">
        <v>46660</v>
      </c>
      <c r="F86" s="18">
        <v>73</v>
      </c>
      <c r="G86" s="20">
        <f t="shared" si="0"/>
        <v>33437.5</v>
      </c>
      <c r="H86" s="20">
        <f t="shared" si="1"/>
        <v>31250</v>
      </c>
      <c r="I86" s="20">
        <f t="shared" si="2"/>
        <v>2187.5000000000005</v>
      </c>
      <c r="J86" s="19">
        <f t="shared" si="3"/>
        <v>718750</v>
      </c>
    </row>
    <row r="87" spans="5:10" ht="15.75" customHeight="1" x14ac:dyDescent="0.25">
      <c r="E87" s="27">
        <v>46691</v>
      </c>
      <c r="F87" s="18">
        <v>74</v>
      </c>
      <c r="G87" s="20">
        <f t="shared" si="0"/>
        <v>33346.354166666664</v>
      </c>
      <c r="H87" s="20">
        <f t="shared" si="1"/>
        <v>31250</v>
      </c>
      <c r="I87" s="20">
        <f t="shared" si="2"/>
        <v>2096.354166666667</v>
      </c>
      <c r="J87" s="19">
        <f t="shared" si="3"/>
        <v>687500</v>
      </c>
    </row>
    <row r="88" spans="5:10" ht="15.75" customHeight="1" x14ac:dyDescent="0.25">
      <c r="E88" s="27">
        <v>46721</v>
      </c>
      <c r="F88" s="18">
        <v>75</v>
      </c>
      <c r="G88" s="20">
        <f t="shared" si="0"/>
        <v>33255.208333333336</v>
      </c>
      <c r="H88" s="20">
        <f t="shared" si="1"/>
        <v>31250</v>
      </c>
      <c r="I88" s="20">
        <f t="shared" si="2"/>
        <v>2005.2083333333337</v>
      </c>
      <c r="J88" s="19">
        <f t="shared" si="3"/>
        <v>656250</v>
      </c>
    </row>
    <row r="89" spans="5:10" ht="15.75" customHeight="1" x14ac:dyDescent="0.25">
      <c r="E89" s="27">
        <v>46752</v>
      </c>
      <c r="F89" s="18">
        <v>76</v>
      </c>
      <c r="G89" s="20">
        <f t="shared" si="0"/>
        <v>33164.0625</v>
      </c>
      <c r="H89" s="20">
        <f t="shared" si="1"/>
        <v>31250</v>
      </c>
      <c r="I89" s="20">
        <f t="shared" si="2"/>
        <v>1914.0625000000002</v>
      </c>
      <c r="J89" s="19">
        <f t="shared" si="3"/>
        <v>625000</v>
      </c>
    </row>
    <row r="90" spans="5:10" ht="15.75" customHeight="1" x14ac:dyDescent="0.25">
      <c r="E90" s="27">
        <v>46783</v>
      </c>
      <c r="F90" s="18">
        <v>77</v>
      </c>
      <c r="G90" s="20">
        <f t="shared" si="0"/>
        <v>33072.916666666664</v>
      </c>
      <c r="H90" s="20">
        <f t="shared" si="1"/>
        <v>31250</v>
      </c>
      <c r="I90" s="20">
        <f t="shared" si="2"/>
        <v>1822.916666666667</v>
      </c>
      <c r="J90" s="19">
        <f t="shared" si="3"/>
        <v>593750</v>
      </c>
    </row>
    <row r="91" spans="5:10" ht="15.75" customHeight="1" x14ac:dyDescent="0.25">
      <c r="E91" s="27">
        <v>46812</v>
      </c>
      <c r="F91" s="18">
        <v>78</v>
      </c>
      <c r="G91" s="20">
        <f t="shared" si="0"/>
        <v>32981.770833333336</v>
      </c>
      <c r="H91" s="20">
        <f t="shared" si="1"/>
        <v>31250</v>
      </c>
      <c r="I91" s="20">
        <f t="shared" si="2"/>
        <v>1731.7708333333337</v>
      </c>
      <c r="J91" s="19">
        <f t="shared" si="3"/>
        <v>562500</v>
      </c>
    </row>
    <row r="92" spans="5:10" ht="15.75" customHeight="1" x14ac:dyDescent="0.25">
      <c r="E92" s="27">
        <v>46843</v>
      </c>
      <c r="F92" s="18">
        <v>79</v>
      </c>
      <c r="G92" s="20">
        <f t="shared" si="0"/>
        <v>32890.625</v>
      </c>
      <c r="H92" s="20">
        <f t="shared" si="1"/>
        <v>31250</v>
      </c>
      <c r="I92" s="20">
        <f t="shared" si="2"/>
        <v>1640.6250000000002</v>
      </c>
      <c r="J92" s="19">
        <f t="shared" si="3"/>
        <v>531250</v>
      </c>
    </row>
    <row r="93" spans="5:10" ht="15.75" customHeight="1" x14ac:dyDescent="0.25">
      <c r="E93" s="27">
        <v>46873</v>
      </c>
      <c r="F93" s="18">
        <v>80</v>
      </c>
      <c r="G93" s="20">
        <f t="shared" si="0"/>
        <v>32799.479166666664</v>
      </c>
      <c r="H93" s="20">
        <f t="shared" si="1"/>
        <v>31250</v>
      </c>
      <c r="I93" s="20">
        <f t="shared" si="2"/>
        <v>1549.4791666666667</v>
      </c>
      <c r="J93" s="19">
        <f t="shared" si="3"/>
        <v>500000</v>
      </c>
    </row>
    <row r="94" spans="5:10" ht="15.75" customHeight="1" x14ac:dyDescent="0.25">
      <c r="E94" s="27">
        <v>46904</v>
      </c>
      <c r="F94" s="18">
        <v>81</v>
      </c>
      <c r="G94" s="20">
        <f t="shared" si="0"/>
        <v>32708.333333333332</v>
      </c>
      <c r="H94" s="20">
        <f t="shared" si="1"/>
        <v>31250</v>
      </c>
      <c r="I94" s="20">
        <f t="shared" si="2"/>
        <v>1458.3333333333333</v>
      </c>
      <c r="J94" s="19">
        <f t="shared" si="3"/>
        <v>468750</v>
      </c>
    </row>
    <row r="95" spans="5:10" ht="15.75" customHeight="1" x14ac:dyDescent="0.25">
      <c r="E95" s="27">
        <v>46934</v>
      </c>
      <c r="F95" s="18">
        <v>82</v>
      </c>
      <c r="G95" s="20">
        <f t="shared" si="0"/>
        <v>32617.1875</v>
      </c>
      <c r="H95" s="20">
        <f t="shared" si="1"/>
        <v>31250</v>
      </c>
      <c r="I95" s="20">
        <f t="shared" si="2"/>
        <v>1367.1875</v>
      </c>
      <c r="J95" s="19">
        <f t="shared" si="3"/>
        <v>437500</v>
      </c>
    </row>
    <row r="96" spans="5:10" ht="15.75" customHeight="1" x14ac:dyDescent="0.25">
      <c r="E96" s="27">
        <v>46965</v>
      </c>
      <c r="F96" s="18">
        <v>83</v>
      </c>
      <c r="G96" s="20">
        <f t="shared" si="0"/>
        <v>32526.041666666668</v>
      </c>
      <c r="H96" s="20">
        <f t="shared" si="1"/>
        <v>31250</v>
      </c>
      <c r="I96" s="20">
        <f t="shared" si="2"/>
        <v>1276.0416666666667</v>
      </c>
      <c r="J96" s="19">
        <f t="shared" si="3"/>
        <v>406250</v>
      </c>
    </row>
    <row r="97" spans="5:10" ht="15.75" customHeight="1" x14ac:dyDescent="0.25">
      <c r="E97" s="27">
        <v>46996</v>
      </c>
      <c r="F97" s="18">
        <v>84</v>
      </c>
      <c r="G97" s="20">
        <f t="shared" si="0"/>
        <v>32434.895833333332</v>
      </c>
      <c r="H97" s="20">
        <f t="shared" si="1"/>
        <v>31250</v>
      </c>
      <c r="I97" s="20">
        <f t="shared" si="2"/>
        <v>1184.8958333333335</v>
      </c>
      <c r="J97" s="19">
        <f t="shared" si="3"/>
        <v>375000</v>
      </c>
    </row>
    <row r="98" spans="5:10" ht="15.75" customHeight="1" x14ac:dyDescent="0.25">
      <c r="E98" s="27">
        <v>47026</v>
      </c>
      <c r="F98" s="18">
        <v>85</v>
      </c>
      <c r="G98" s="20">
        <f t="shared" si="0"/>
        <v>32343.75</v>
      </c>
      <c r="H98" s="20">
        <f t="shared" si="1"/>
        <v>31250</v>
      </c>
      <c r="I98" s="20">
        <f t="shared" si="2"/>
        <v>1093.7500000000002</v>
      </c>
      <c r="J98" s="19">
        <f t="shared" si="3"/>
        <v>343750</v>
      </c>
    </row>
    <row r="99" spans="5:10" ht="15.75" customHeight="1" x14ac:dyDescent="0.25">
      <c r="E99" s="27">
        <v>47057</v>
      </c>
      <c r="F99" s="18">
        <v>86</v>
      </c>
      <c r="G99" s="20">
        <f t="shared" si="0"/>
        <v>32252.604166666668</v>
      </c>
      <c r="H99" s="20">
        <f t="shared" si="1"/>
        <v>31250</v>
      </c>
      <c r="I99" s="20">
        <f t="shared" si="2"/>
        <v>1002.6041666666669</v>
      </c>
      <c r="J99" s="19">
        <f t="shared" si="3"/>
        <v>312500</v>
      </c>
    </row>
    <row r="100" spans="5:10" ht="15.75" customHeight="1" x14ac:dyDescent="0.25">
      <c r="E100" s="27">
        <v>47087</v>
      </c>
      <c r="F100" s="18">
        <v>87</v>
      </c>
      <c r="G100" s="20">
        <f t="shared" si="0"/>
        <v>32161.458333333332</v>
      </c>
      <c r="H100" s="20">
        <f t="shared" si="1"/>
        <v>31250</v>
      </c>
      <c r="I100" s="20">
        <f t="shared" si="2"/>
        <v>911.45833333333348</v>
      </c>
      <c r="J100" s="19">
        <f t="shared" si="3"/>
        <v>281250</v>
      </c>
    </row>
    <row r="101" spans="5:10" ht="15.75" customHeight="1" x14ac:dyDescent="0.25">
      <c r="E101" s="27">
        <v>47118</v>
      </c>
      <c r="F101" s="18">
        <v>88</v>
      </c>
      <c r="G101" s="20">
        <f t="shared" si="0"/>
        <v>32070.3125</v>
      </c>
      <c r="H101" s="20">
        <f t="shared" si="1"/>
        <v>31250</v>
      </c>
      <c r="I101" s="20">
        <f t="shared" si="2"/>
        <v>820.31250000000011</v>
      </c>
      <c r="J101" s="19">
        <f t="shared" si="3"/>
        <v>250000</v>
      </c>
    </row>
    <row r="102" spans="5:10" ht="15.75" customHeight="1" x14ac:dyDescent="0.25">
      <c r="E102" s="27">
        <v>47149</v>
      </c>
      <c r="F102" s="18">
        <v>89</v>
      </c>
      <c r="G102" s="20">
        <f t="shared" si="0"/>
        <v>31979.166666666668</v>
      </c>
      <c r="H102" s="20">
        <f t="shared" si="1"/>
        <v>31250</v>
      </c>
      <c r="I102" s="20">
        <f t="shared" si="2"/>
        <v>729.16666666666663</v>
      </c>
      <c r="J102" s="19">
        <f t="shared" si="3"/>
        <v>218750</v>
      </c>
    </row>
    <row r="103" spans="5:10" ht="15.75" customHeight="1" x14ac:dyDescent="0.25">
      <c r="E103" s="27">
        <v>47177</v>
      </c>
      <c r="F103" s="18">
        <v>90</v>
      </c>
      <c r="G103" s="20">
        <f t="shared" si="0"/>
        <v>31888.020833333332</v>
      </c>
      <c r="H103" s="20">
        <f t="shared" si="1"/>
        <v>31250</v>
      </c>
      <c r="I103" s="20">
        <f t="shared" si="2"/>
        <v>638.02083333333337</v>
      </c>
      <c r="J103" s="19">
        <f t="shared" si="3"/>
        <v>187500</v>
      </c>
    </row>
    <row r="104" spans="5:10" ht="15.75" customHeight="1" x14ac:dyDescent="0.25">
      <c r="E104" s="27">
        <v>47208</v>
      </c>
      <c r="F104" s="18">
        <v>91</v>
      </c>
      <c r="G104" s="20">
        <f t="shared" si="0"/>
        <v>31796.875</v>
      </c>
      <c r="H104" s="20">
        <f t="shared" si="1"/>
        <v>31250</v>
      </c>
      <c r="I104" s="20">
        <f t="shared" si="2"/>
        <v>546.87500000000011</v>
      </c>
      <c r="J104" s="19">
        <f t="shared" si="3"/>
        <v>156250</v>
      </c>
    </row>
    <row r="105" spans="5:10" ht="15.75" customHeight="1" x14ac:dyDescent="0.25">
      <c r="E105" s="27">
        <v>47238</v>
      </c>
      <c r="F105" s="18">
        <v>92</v>
      </c>
      <c r="G105" s="20">
        <f t="shared" si="0"/>
        <v>31705.729166666668</v>
      </c>
      <c r="H105" s="20">
        <f t="shared" si="1"/>
        <v>31250</v>
      </c>
      <c r="I105" s="20">
        <f t="shared" si="2"/>
        <v>455.72916666666674</v>
      </c>
      <c r="J105" s="19">
        <f t="shared" si="3"/>
        <v>125000</v>
      </c>
    </row>
    <row r="106" spans="5:10" ht="15.75" customHeight="1" x14ac:dyDescent="0.25">
      <c r="E106" s="27">
        <v>47269</v>
      </c>
      <c r="F106" s="18">
        <v>93</v>
      </c>
      <c r="G106" s="20">
        <f t="shared" si="0"/>
        <v>31614.583333333332</v>
      </c>
      <c r="H106" s="20">
        <f t="shared" si="1"/>
        <v>31250</v>
      </c>
      <c r="I106" s="20">
        <f t="shared" si="2"/>
        <v>364.58333333333331</v>
      </c>
      <c r="J106" s="19">
        <f t="shared" si="3"/>
        <v>93750</v>
      </c>
    </row>
    <row r="107" spans="5:10" ht="15.75" customHeight="1" x14ac:dyDescent="0.25">
      <c r="E107" s="27">
        <v>47299</v>
      </c>
      <c r="F107" s="18">
        <v>94</v>
      </c>
      <c r="G107" s="20">
        <f t="shared" si="0"/>
        <v>31523.4375</v>
      </c>
      <c r="H107" s="20">
        <f t="shared" si="1"/>
        <v>31250</v>
      </c>
      <c r="I107" s="20">
        <f t="shared" si="2"/>
        <v>273.43750000000006</v>
      </c>
      <c r="J107" s="19">
        <f t="shared" si="3"/>
        <v>62500</v>
      </c>
    </row>
    <row r="108" spans="5:10" ht="15.75" customHeight="1" x14ac:dyDescent="0.25">
      <c r="E108" s="27">
        <v>47330</v>
      </c>
      <c r="F108" s="18">
        <v>95</v>
      </c>
      <c r="G108" s="20">
        <f t="shared" si="0"/>
        <v>31432.291666666668</v>
      </c>
      <c r="H108" s="20">
        <f t="shared" si="1"/>
        <v>31250</v>
      </c>
      <c r="I108" s="20">
        <f t="shared" si="2"/>
        <v>182.29166666666666</v>
      </c>
      <c r="J108" s="19">
        <f t="shared" si="3"/>
        <v>31250</v>
      </c>
    </row>
    <row r="109" spans="5:10" ht="15.75" customHeight="1" x14ac:dyDescent="0.25">
      <c r="E109" s="28">
        <v>47361</v>
      </c>
      <c r="F109" s="22">
        <v>96</v>
      </c>
      <c r="G109" s="23">
        <f t="shared" si="0"/>
        <v>31341.145833333332</v>
      </c>
      <c r="H109" s="23">
        <f t="shared" si="1"/>
        <v>31250</v>
      </c>
      <c r="I109" s="23">
        <f t="shared" si="2"/>
        <v>91.145833333333329</v>
      </c>
      <c r="J109" s="24">
        <f t="shared" si="3"/>
        <v>0</v>
      </c>
    </row>
    <row r="110" spans="5:10" ht="15.75" customHeight="1" x14ac:dyDescent="0.25">
      <c r="E110" s="18"/>
      <c r="F110" s="20"/>
      <c r="G110" s="25">
        <f t="shared" ref="G110:I110" si="4">SUM(G14:G109)</f>
        <v>3424375</v>
      </c>
      <c r="H110" s="25">
        <f t="shared" si="4"/>
        <v>3000000</v>
      </c>
      <c r="I110" s="25">
        <f t="shared" si="4"/>
        <v>424375</v>
      </c>
    </row>
    <row r="111" spans="5:10" ht="15.75" customHeight="1" x14ac:dyDescent="0.2"/>
    <row r="112" spans="5:10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Sprint 1 (a)</vt:lpstr>
      <vt:lpstr>Sprint 1 (b)</vt:lpstr>
      <vt:lpstr>Sprint 2 (a)</vt:lpstr>
      <vt:lpstr>Sprint 2 (b)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2024-03-18T16:20:40Z</dcterms:created>
  <dcterms:modified xsi:type="dcterms:W3CDTF">2024-03-18T16:20:41Z</dcterms:modified>
</cp:coreProperties>
</file>