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8" documentId="8_{F4084332-7F71-49A1-9C7B-D58241B4DAAD}" xr6:coauthVersionLast="47" xr6:coauthVersionMax="47" xr10:uidLastSave="{DB06B32D-DA91-4A92-BCAE-5951C49E3B24}"/>
  <bookViews>
    <workbookView xWindow="22932" yWindow="-60" windowWidth="23256" windowHeight="12456" xr2:uid="{00000000-000D-0000-FFFF-FFFF00000000}"/>
  </bookViews>
  <sheets>
    <sheet name="Hoja 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D66" i="1" l="1"/>
  <c r="C24" i="1"/>
  <c r="C20" i="1"/>
  <c r="C26" i="1" s="1"/>
  <c r="C58" i="1" l="1"/>
  <c r="C50" i="1"/>
  <c r="C42" i="1"/>
  <c r="C34" i="1"/>
  <c r="C29" i="1"/>
  <c r="D29" i="1" s="1"/>
  <c r="C61" i="1"/>
  <c r="C53" i="1"/>
  <c r="C45" i="1"/>
  <c r="C37" i="1"/>
  <c r="C64" i="1"/>
  <c r="C56" i="1"/>
  <c r="C48" i="1"/>
  <c r="C40" i="1"/>
  <c r="C32" i="1"/>
  <c r="C59" i="1"/>
  <c r="C51" i="1"/>
  <c r="C43" i="1"/>
  <c r="C35" i="1"/>
  <c r="C62" i="1"/>
  <c r="C54" i="1"/>
  <c r="C46" i="1"/>
  <c r="C38" i="1"/>
  <c r="C30" i="1"/>
  <c r="C44" i="1"/>
  <c r="C36" i="1"/>
  <c r="C63" i="1"/>
  <c r="C39" i="1"/>
  <c r="C65" i="1"/>
  <c r="C57" i="1"/>
  <c r="C49" i="1"/>
  <c r="C41" i="1"/>
  <c r="C33" i="1"/>
  <c r="C60" i="1"/>
  <c r="C52" i="1"/>
  <c r="C55" i="1"/>
  <c r="C47" i="1"/>
  <c r="C31" i="1"/>
  <c r="F29" i="1" l="1"/>
  <c r="E30" i="1" l="1"/>
  <c r="D30" i="1" l="1"/>
  <c r="G30" i="1" l="1"/>
  <c r="F30" i="1"/>
  <c r="E31" i="1" l="1"/>
  <c r="D31" i="1" l="1"/>
  <c r="F31" i="1" l="1"/>
  <c r="G31" i="1"/>
  <c r="E32" i="1" l="1"/>
  <c r="D32" i="1" l="1"/>
  <c r="G32" i="1" l="1"/>
  <c r="F32" i="1"/>
  <c r="E33" i="1" l="1"/>
  <c r="D33" i="1" l="1"/>
  <c r="F33" i="1" l="1"/>
  <c r="G33" i="1"/>
  <c r="E34" i="1" l="1"/>
  <c r="D34" i="1" l="1"/>
  <c r="G34" i="1" l="1"/>
  <c r="F34" i="1"/>
  <c r="E35" i="1" l="1"/>
  <c r="D35" i="1" s="1"/>
  <c r="F35" i="1" s="1"/>
  <c r="E36" i="1" l="1"/>
  <c r="D36" i="1" s="1"/>
  <c r="F36" i="1" s="1"/>
  <c r="G35" i="1"/>
  <c r="G36" i="1" s="1"/>
  <c r="E37" i="1" l="1"/>
  <c r="D37" i="1" s="1"/>
  <c r="F37" i="1" s="1"/>
  <c r="E38" i="1" l="1"/>
  <c r="D38" i="1" s="1"/>
  <c r="F38" i="1" s="1"/>
  <c r="G37" i="1"/>
  <c r="E39" i="1" l="1"/>
  <c r="D39" i="1" s="1"/>
  <c r="F39" i="1" s="1"/>
  <c r="G38" i="1"/>
  <c r="G39" i="1" s="1"/>
  <c r="E40" i="1" l="1"/>
  <c r="D40" i="1" s="1"/>
  <c r="F40" i="1"/>
  <c r="G40" i="1"/>
  <c r="E41" i="1" l="1"/>
  <c r="D41" i="1" s="1"/>
  <c r="G41" i="1" s="1"/>
  <c r="F41" i="1" l="1"/>
  <c r="E42" i="1" l="1"/>
  <c r="D42" i="1" s="1"/>
  <c r="G42" i="1" s="1"/>
  <c r="F42" i="1" l="1"/>
  <c r="E43" i="1" l="1"/>
  <c r="D43" i="1" s="1"/>
  <c r="G43" i="1" s="1"/>
  <c r="F43" i="1" l="1"/>
  <c r="E44" i="1" l="1"/>
  <c r="D44" i="1" s="1"/>
  <c r="G44" i="1" s="1"/>
  <c r="F44" i="1" l="1"/>
  <c r="E45" i="1" l="1"/>
  <c r="D45" i="1" s="1"/>
  <c r="G45" i="1" s="1"/>
  <c r="F45" i="1"/>
  <c r="E46" i="1" l="1"/>
  <c r="D46" i="1" s="1"/>
  <c r="F46" i="1" s="1"/>
  <c r="G46" i="1"/>
  <c r="E47" i="1" l="1"/>
  <c r="D47" i="1" s="1"/>
  <c r="F47" i="1" s="1"/>
  <c r="G47" i="1"/>
  <c r="E48" i="1" l="1"/>
  <c r="D48" i="1" s="1"/>
  <c r="F48" i="1"/>
  <c r="G48" i="1"/>
  <c r="E49" i="1" l="1"/>
  <c r="D49" i="1" s="1"/>
  <c r="G49" i="1" s="1"/>
  <c r="F49" i="1" l="1"/>
  <c r="E50" i="1" l="1"/>
  <c r="D50" i="1" s="1"/>
  <c r="G50" i="1" s="1"/>
  <c r="F50" i="1" l="1"/>
  <c r="E51" i="1" l="1"/>
  <c r="D51" i="1" s="1"/>
  <c r="G51" i="1" s="1"/>
  <c r="F51" i="1" l="1"/>
  <c r="E52" i="1" l="1"/>
  <c r="D52" i="1" s="1"/>
  <c r="G52" i="1" s="1"/>
  <c r="F52" i="1" l="1"/>
  <c r="E53" i="1" l="1"/>
  <c r="D53" i="1" s="1"/>
  <c r="G53" i="1" s="1"/>
  <c r="F53" i="1" l="1"/>
  <c r="E54" i="1" l="1"/>
  <c r="D54" i="1" s="1"/>
  <c r="G54" i="1" s="1"/>
  <c r="F54" i="1" l="1"/>
  <c r="E55" i="1" l="1"/>
  <c r="D55" i="1" s="1"/>
  <c r="G55" i="1" s="1"/>
  <c r="F55" i="1" l="1"/>
  <c r="E56" i="1" l="1"/>
  <c r="D56" i="1" s="1"/>
  <c r="G56" i="1" s="1"/>
  <c r="F56" i="1"/>
  <c r="E57" i="1" l="1"/>
  <c r="D57" i="1" s="1"/>
  <c r="F57" i="1" s="1"/>
  <c r="G57" i="1"/>
  <c r="E58" i="1" l="1"/>
  <c r="D58" i="1" s="1"/>
  <c r="F58" i="1"/>
  <c r="G58" i="1"/>
  <c r="E59" i="1" l="1"/>
  <c r="D59" i="1" s="1"/>
  <c r="G59" i="1" s="1"/>
  <c r="F59" i="1" l="1"/>
  <c r="E60" i="1" l="1"/>
  <c r="D60" i="1" s="1"/>
  <c r="G60" i="1" s="1"/>
  <c r="F60" i="1" l="1"/>
  <c r="E61" i="1" l="1"/>
  <c r="D61" i="1" s="1"/>
  <c r="G61" i="1" s="1"/>
  <c r="F61" i="1" l="1"/>
  <c r="E62" i="1" l="1"/>
  <c r="D62" i="1" s="1"/>
  <c r="G62" i="1" s="1"/>
  <c r="F62" i="1" l="1"/>
  <c r="E63" i="1" l="1"/>
  <c r="D63" i="1" s="1"/>
  <c r="G63" i="1" s="1"/>
  <c r="F63" i="1" l="1"/>
  <c r="E64" i="1" l="1"/>
  <c r="D64" i="1" l="1"/>
  <c r="E66" i="1"/>
  <c r="G64" i="1" l="1"/>
  <c r="F64" i="1"/>
  <c r="E65" i="1" l="1"/>
  <c r="D65" i="1" s="1"/>
  <c r="F65" i="1" s="1"/>
  <c r="G65" i="1"/>
</calcChain>
</file>

<file path=xl/sharedStrings.xml><?xml version="1.0" encoding="utf-8"?>
<sst xmlns="http://schemas.openxmlformats.org/spreadsheetml/2006/main" count="26" uniqueCount="26">
  <si>
    <t xml:space="preserve">Javier esta analizando la posibilidad de adquirir un coche y se ha acercado a varios concesionarios los cuales </t>
  </si>
  <si>
    <t>le están ofreciendo adquirirlo mediante un contrato de leasing. El precio del coche es de 45.000 euros.</t>
  </si>
  <si>
    <t>Las características de dicho contrato de leasing son:</t>
  </si>
  <si>
    <t xml:space="preserve"> - Comisiones de estudio y apertura por valor total de 900 euros.</t>
  </si>
  <si>
    <t xml:space="preserve"> - Desembolso inicial de 9.000 euros.</t>
  </si>
  <si>
    <t xml:space="preserve"> - Opción de compra de 13.500 euros.</t>
  </si>
  <si>
    <t xml:space="preserve"> - Duración de 3 años con pagos mensuales.</t>
  </si>
  <si>
    <t xml:space="preserve"> - Fecha de firma del contrato: 1 de septiembre.</t>
  </si>
  <si>
    <t xml:space="preserve"> - Tipo de interés efectivo del 6,5% anual</t>
  </si>
  <si>
    <t>Se pide realizar el cuadro de amortización del leasing e indicar los intereses totales del mismo.</t>
  </si>
  <si>
    <t>Importe solicitado = valor de las cuotas actualizadas</t>
  </si>
  <si>
    <t>k = (Precio del bien- desembolso inicial - opción de compra actualizada al inicio del periodo)/ (((1+i)*(1-(1+i)^-(n+1))/i</t>
  </si>
  <si>
    <t>Tipo de interes mensualizado</t>
  </si>
  <si>
    <t>Valor del bien</t>
  </si>
  <si>
    <t>Desembolso inicial</t>
  </si>
  <si>
    <t>Opción de compra</t>
  </si>
  <si>
    <t>Número de cuotas de leasing</t>
  </si>
  <si>
    <t>mensualidad</t>
  </si>
  <si>
    <t>Cuota a pagar periodica (k)</t>
  </si>
  <si>
    <t>Número de cuotas</t>
  </si>
  <si>
    <t>Fechas</t>
  </si>
  <si>
    <t>Cuota a pagar</t>
  </si>
  <si>
    <t>Cuota de amortización</t>
  </si>
  <si>
    <t>Cuota de interes</t>
  </si>
  <si>
    <t>Capital vivo</t>
  </si>
  <si>
    <t>Capital amortizado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</si>
</sst>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164" fontId="1" fillId="0" borderId="3" xfId="0" applyNumberFormat="1" applyFont="1" applyBorder="1"/>
    <xf numFmtId="4" fontId="1" fillId="0" borderId="3" xfId="0" applyNumberFormat="1" applyFont="1" applyBorder="1"/>
    <xf numFmtId="0" fontId="1" fillId="0" borderId="3" xfId="0" applyFont="1" applyBorder="1"/>
    <xf numFmtId="4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c7bcb4eb356115/Escritorio/IEBS/MODULO%204/OPERACIONES%20FINANCIERAS/sprint2.xlsx" TargetMode="External"/><Relationship Id="rId1" Type="http://schemas.openxmlformats.org/officeDocument/2006/relationships/externalLinkPath" Target="sprin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ances"/>
      <sheetName val="Italiano"/>
      <sheetName val="Comparativa"/>
      <sheetName val="Leasing"/>
    </sheetNames>
    <sheetDataSet>
      <sheetData sheetId="0"/>
      <sheetData sheetId="1"/>
      <sheetData sheetId="2"/>
      <sheetData sheetId="3">
        <row r="26">
          <cell r="C26">
            <v>32930.968297818443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66"/>
  <sheetViews>
    <sheetView tabSelected="1" topLeftCell="A21" zoomScaleNormal="100" workbookViewId="0">
      <selection activeCell="G30" sqref="G30"/>
    </sheetView>
  </sheetViews>
  <sheetFormatPr defaultColWidth="14.42578125" defaultRowHeight="15.75" customHeight="1" x14ac:dyDescent="0.2"/>
  <cols>
    <col min="1" max="1" width="17" customWidth="1"/>
    <col min="2" max="2" width="28.140625" customWidth="1"/>
    <col min="4" max="4" width="21.140625" customWidth="1"/>
    <col min="5" max="5" width="16" customWidth="1"/>
    <col min="7" max="7" width="17.140625" customWidth="1"/>
  </cols>
  <sheetData>
    <row r="2" spans="2:5" x14ac:dyDescent="0.2">
      <c r="B2" s="1" t="s">
        <v>0</v>
      </c>
    </row>
    <row r="3" spans="2:5" x14ac:dyDescent="0.2">
      <c r="B3" s="1" t="s">
        <v>1</v>
      </c>
    </row>
    <row r="5" spans="2:5" x14ac:dyDescent="0.2">
      <c r="B5" s="1" t="s">
        <v>2</v>
      </c>
    </row>
    <row r="6" spans="2:5" x14ac:dyDescent="0.2">
      <c r="B6" s="1" t="s">
        <v>3</v>
      </c>
    </row>
    <row r="7" spans="2:5" x14ac:dyDescent="0.2">
      <c r="B7" s="1" t="s">
        <v>4</v>
      </c>
    </row>
    <row r="8" spans="2:5" x14ac:dyDescent="0.2">
      <c r="B8" s="1" t="s">
        <v>5</v>
      </c>
    </row>
    <row r="9" spans="2:5" x14ac:dyDescent="0.2">
      <c r="B9" s="1" t="s">
        <v>6</v>
      </c>
    </row>
    <row r="10" spans="2:5" x14ac:dyDescent="0.2">
      <c r="B10" s="1" t="s">
        <v>7</v>
      </c>
    </row>
    <row r="11" spans="2:5" x14ac:dyDescent="0.2">
      <c r="B11" s="2" t="s">
        <v>8</v>
      </c>
    </row>
    <row r="13" spans="2:5" x14ac:dyDescent="0.2">
      <c r="B13" s="1" t="s">
        <v>9</v>
      </c>
    </row>
    <row r="15" spans="2:5" x14ac:dyDescent="0.2">
      <c r="E15" s="3"/>
    </row>
    <row r="16" spans="2:5" x14ac:dyDescent="0.2">
      <c r="B16" s="1" t="s">
        <v>10</v>
      </c>
    </row>
    <row r="17" spans="1:7" x14ac:dyDescent="0.2">
      <c r="D17" s="4"/>
    </row>
    <row r="18" spans="1:7" x14ac:dyDescent="0.2">
      <c r="B18" s="1" t="s">
        <v>11</v>
      </c>
    </row>
    <row r="20" spans="1:7" x14ac:dyDescent="0.2">
      <c r="B20" s="1" t="s">
        <v>12</v>
      </c>
      <c r="C20" s="4">
        <f>(1+6.5%)^(1/12)-1</f>
        <v>5.2616942768477504E-3</v>
      </c>
    </row>
    <row r="21" spans="1:7" x14ac:dyDescent="0.2">
      <c r="B21" s="1" t="s">
        <v>13</v>
      </c>
      <c r="C21" s="3">
        <v>45000</v>
      </c>
    </row>
    <row r="22" spans="1:7" x14ac:dyDescent="0.2">
      <c r="B22" s="1" t="s">
        <v>14</v>
      </c>
      <c r="C22" s="3">
        <v>9000</v>
      </c>
    </row>
    <row r="23" spans="1:7" x14ac:dyDescent="0.2">
      <c r="B23" s="1" t="s">
        <v>15</v>
      </c>
      <c r="C23" s="3">
        <v>13500</v>
      </c>
    </row>
    <row r="24" spans="1:7" x14ac:dyDescent="0.2">
      <c r="B24" s="1" t="s">
        <v>16</v>
      </c>
      <c r="C24" s="1">
        <f>3*12</f>
        <v>36</v>
      </c>
      <c r="D24" s="1" t="s">
        <v>17</v>
      </c>
    </row>
    <row r="26" spans="1:7" x14ac:dyDescent="0.2">
      <c r="B26" s="5" t="s">
        <v>18</v>
      </c>
      <c r="C26" s="6">
        <f>(C21-C22-(C23*(1+C20)^-36))/((1+C20)*(1-(1+C20)^(-37))/C20)</f>
        <v>736.23008152371858</v>
      </c>
    </row>
    <row r="28" spans="1:7" x14ac:dyDescent="0.2">
      <c r="A28" s="7" t="s">
        <v>19</v>
      </c>
      <c r="B28" s="7" t="s">
        <v>20</v>
      </c>
      <c r="C28" s="7" t="s">
        <v>21</v>
      </c>
      <c r="D28" s="7" t="s">
        <v>22</v>
      </c>
      <c r="E28" s="7" t="s">
        <v>23</v>
      </c>
      <c r="F28" s="7" t="s">
        <v>24</v>
      </c>
      <c r="G28" s="7" t="s">
        <v>25</v>
      </c>
    </row>
    <row r="29" spans="1:7" x14ac:dyDescent="0.2">
      <c r="A29" s="8">
        <v>1</v>
      </c>
      <c r="B29" s="9">
        <v>44440</v>
      </c>
      <c r="C29" s="10">
        <f t="shared" ref="C29:C64" si="0">$C$26</f>
        <v>736.23008152371858</v>
      </c>
      <c r="D29" s="10">
        <f t="shared" ref="D29:D65" si="1">C29-E29</f>
        <v>736.23008152371858</v>
      </c>
      <c r="E29" s="11">
        <v>0</v>
      </c>
      <c r="F29" s="10">
        <f>(C21-C22-D29)</f>
        <v>35263.769918476282</v>
      </c>
      <c r="G29" s="12">
        <f>[1]Leasing!$C$26</f>
        <v>32930.968297818443</v>
      </c>
    </row>
    <row r="30" spans="1:7" x14ac:dyDescent="0.2">
      <c r="A30" s="8">
        <v>2</v>
      </c>
      <c r="B30" s="9">
        <v>44470</v>
      </c>
      <c r="C30" s="10">
        <f t="shared" si="0"/>
        <v>736.23008152371858</v>
      </c>
      <c r="D30" s="10">
        <f t="shared" si="1"/>
        <v>550.68290516359605</v>
      </c>
      <c r="E30" s="10">
        <f t="shared" ref="E30:E65" si="2">F29*$C$20</f>
        <v>185.54717636012251</v>
      </c>
      <c r="F30" s="10">
        <f t="shared" ref="F30:F65" si="3">F29-D30</f>
        <v>34713.087013312688</v>
      </c>
      <c r="G30" s="12">
        <f t="shared" ref="G30:G65" si="4">G29+D30</f>
        <v>33481.651202982037</v>
      </c>
    </row>
    <row r="31" spans="1:7" x14ac:dyDescent="0.2">
      <c r="A31" s="8">
        <v>3</v>
      </c>
      <c r="B31" s="9">
        <v>44501</v>
      </c>
      <c r="C31" s="10">
        <f t="shared" si="0"/>
        <v>736.23008152371858</v>
      </c>
      <c r="D31" s="10">
        <f t="shared" si="1"/>
        <v>553.58043025405323</v>
      </c>
      <c r="E31" s="10">
        <f t="shared" si="2"/>
        <v>182.64965126966533</v>
      </c>
      <c r="F31" s="10">
        <f t="shared" si="3"/>
        <v>34159.506583058632</v>
      </c>
      <c r="G31" s="12">
        <f t="shared" si="4"/>
        <v>34035.231633236093</v>
      </c>
    </row>
    <row r="32" spans="1:7" x14ac:dyDescent="0.2">
      <c r="A32" s="8">
        <v>4</v>
      </c>
      <c r="B32" s="9">
        <v>44531</v>
      </c>
      <c r="C32" s="10">
        <f t="shared" si="0"/>
        <v>736.23008152371858</v>
      </c>
      <c r="D32" s="10">
        <f t="shared" si="1"/>
        <v>556.49320123569589</v>
      </c>
      <c r="E32" s="10">
        <f t="shared" si="2"/>
        <v>179.73688028802266</v>
      </c>
      <c r="F32" s="10">
        <f t="shared" si="3"/>
        <v>33603.013381822937</v>
      </c>
      <c r="G32" s="12">
        <f t="shared" si="4"/>
        <v>34591.724834471788</v>
      </c>
    </row>
    <row r="33" spans="1:7" x14ac:dyDescent="0.2">
      <c r="A33" s="8">
        <v>5</v>
      </c>
      <c r="B33" s="9">
        <v>44562</v>
      </c>
      <c r="C33" s="10">
        <f t="shared" si="0"/>
        <v>736.23008152371858</v>
      </c>
      <c r="D33" s="10">
        <f t="shared" si="1"/>
        <v>559.42129832774253</v>
      </c>
      <c r="E33" s="10">
        <f t="shared" si="2"/>
        <v>176.8087831959761</v>
      </c>
      <c r="F33" s="10">
        <f t="shared" si="3"/>
        <v>33043.592083495198</v>
      </c>
      <c r="G33" s="12">
        <f t="shared" si="4"/>
        <v>35151.146132799528</v>
      </c>
    </row>
    <row r="34" spans="1:7" x14ac:dyDescent="0.2">
      <c r="A34" s="8">
        <v>6</v>
      </c>
      <c r="B34" s="9">
        <v>44593</v>
      </c>
      <c r="C34" s="10">
        <f t="shared" si="0"/>
        <v>736.23008152371858</v>
      </c>
      <c r="D34" s="10">
        <f t="shared" si="1"/>
        <v>562.36480217150029</v>
      </c>
      <c r="E34" s="10">
        <f t="shared" si="2"/>
        <v>173.86527935221832</v>
      </c>
      <c r="F34" s="10">
        <f t="shared" si="3"/>
        <v>32481.227281323696</v>
      </c>
      <c r="G34" s="12">
        <f t="shared" si="4"/>
        <v>35713.510934971026</v>
      </c>
    </row>
    <row r="35" spans="1:7" x14ac:dyDescent="0.2">
      <c r="A35" s="8">
        <v>7</v>
      </c>
      <c r="B35" s="9">
        <v>44621</v>
      </c>
      <c r="C35" s="10">
        <f t="shared" si="0"/>
        <v>736.23008152371858</v>
      </c>
      <c r="D35" s="10">
        <f t="shared" si="1"/>
        <v>565.32379383258672</v>
      </c>
      <c r="E35" s="10">
        <f t="shared" si="2"/>
        <v>170.90628769113189</v>
      </c>
      <c r="F35" s="10">
        <f t="shared" si="3"/>
        <v>31915.903487491109</v>
      </c>
      <c r="G35" s="12">
        <f t="shared" si="4"/>
        <v>36278.834728803609</v>
      </c>
    </row>
    <row r="36" spans="1:7" x14ac:dyDescent="0.2">
      <c r="A36" s="8">
        <v>8</v>
      </c>
      <c r="B36" s="9">
        <v>44652</v>
      </c>
      <c r="C36" s="10">
        <f t="shared" si="0"/>
        <v>736.23008152371858</v>
      </c>
      <c r="D36" s="10">
        <f t="shared" si="1"/>
        <v>568.29835480316149</v>
      </c>
      <c r="E36" s="10">
        <f t="shared" si="2"/>
        <v>167.93172672055712</v>
      </c>
      <c r="F36" s="10">
        <f t="shared" si="3"/>
        <v>31347.605132687946</v>
      </c>
      <c r="G36" s="12">
        <f t="shared" si="4"/>
        <v>36847.133083606772</v>
      </c>
    </row>
    <row r="37" spans="1:7" x14ac:dyDescent="0.2">
      <c r="A37" s="8">
        <v>9</v>
      </c>
      <c r="B37" s="9">
        <v>44682</v>
      </c>
      <c r="C37" s="10">
        <f t="shared" si="0"/>
        <v>736.23008152371858</v>
      </c>
      <c r="D37" s="10">
        <f t="shared" si="1"/>
        <v>571.28856700417123</v>
      </c>
      <c r="E37" s="10">
        <f t="shared" si="2"/>
        <v>164.94151451954733</v>
      </c>
      <c r="F37" s="10">
        <f t="shared" si="3"/>
        <v>30776.316565683774</v>
      </c>
      <c r="G37" s="12">
        <f t="shared" si="4"/>
        <v>37418.421650610944</v>
      </c>
    </row>
    <row r="38" spans="1:7" x14ac:dyDescent="0.2">
      <c r="A38" s="8">
        <v>10</v>
      </c>
      <c r="B38" s="9">
        <v>44713</v>
      </c>
      <c r="C38" s="10">
        <f t="shared" si="0"/>
        <v>736.23008152371858</v>
      </c>
      <c r="D38" s="10">
        <f t="shared" si="1"/>
        <v>574.29451278760564</v>
      </c>
      <c r="E38" s="10">
        <f t="shared" si="2"/>
        <v>161.93556873611291</v>
      </c>
      <c r="F38" s="10">
        <f t="shared" si="3"/>
        <v>30202.022052896169</v>
      </c>
      <c r="G38" s="12">
        <f t="shared" si="4"/>
        <v>37992.716163398552</v>
      </c>
    </row>
    <row r="39" spans="1:7" x14ac:dyDescent="0.2">
      <c r="A39" s="8">
        <v>11</v>
      </c>
      <c r="B39" s="9">
        <v>44743</v>
      </c>
      <c r="C39" s="10">
        <f t="shared" si="0"/>
        <v>736.23008152371858</v>
      </c>
      <c r="D39" s="10">
        <f t="shared" si="1"/>
        <v>577.31627493876522</v>
      </c>
      <c r="E39" s="10">
        <f t="shared" si="2"/>
        <v>158.91380658495331</v>
      </c>
      <c r="F39" s="10">
        <f t="shared" si="3"/>
        <v>29624.705777957402</v>
      </c>
      <c r="G39" s="12">
        <f t="shared" si="4"/>
        <v>38570.032438337315</v>
      </c>
    </row>
    <row r="40" spans="1:7" x14ac:dyDescent="0.2">
      <c r="A40" s="8">
        <v>12</v>
      </c>
      <c r="B40" s="9">
        <v>44774</v>
      </c>
      <c r="C40" s="10">
        <f t="shared" si="0"/>
        <v>736.23008152371858</v>
      </c>
      <c r="D40" s="10">
        <f t="shared" si="1"/>
        <v>580.35393667854169</v>
      </c>
      <c r="E40" s="10">
        <f t="shared" si="2"/>
        <v>155.87614484517695</v>
      </c>
      <c r="F40" s="10">
        <f t="shared" si="3"/>
        <v>29044.351841278862</v>
      </c>
      <c r="G40" s="12">
        <f t="shared" si="4"/>
        <v>39150.386375015856</v>
      </c>
    </row>
    <row r="41" spans="1:7" x14ac:dyDescent="0.2">
      <c r="A41" s="8">
        <v>13</v>
      </c>
      <c r="B41" s="9">
        <v>44805</v>
      </c>
      <c r="C41" s="10">
        <f t="shared" si="0"/>
        <v>736.23008152371858</v>
      </c>
      <c r="D41" s="10">
        <f t="shared" si="1"/>
        <v>583.40758166570913</v>
      </c>
      <c r="E41" s="10">
        <f t="shared" si="2"/>
        <v>152.82249985800939</v>
      </c>
      <c r="F41" s="10">
        <f t="shared" si="3"/>
        <v>28460.944259613152</v>
      </c>
      <c r="G41" s="12">
        <f t="shared" si="4"/>
        <v>39733.793956681562</v>
      </c>
    </row>
    <row r="42" spans="1:7" x14ac:dyDescent="0.2">
      <c r="A42" s="8">
        <v>14</v>
      </c>
      <c r="B42" s="9">
        <v>44835</v>
      </c>
      <c r="C42" s="10">
        <f t="shared" si="0"/>
        <v>736.23008152371858</v>
      </c>
      <c r="D42" s="10">
        <f t="shared" si="1"/>
        <v>586.47729399922923</v>
      </c>
      <c r="E42" s="10">
        <f t="shared" si="2"/>
        <v>149.75278752448935</v>
      </c>
      <c r="F42" s="10">
        <f t="shared" si="3"/>
        <v>27874.466965613923</v>
      </c>
      <c r="G42" s="12">
        <f t="shared" si="4"/>
        <v>40320.271250680795</v>
      </c>
    </row>
    <row r="43" spans="1:7" x14ac:dyDescent="0.2">
      <c r="A43" s="8">
        <v>15</v>
      </c>
      <c r="B43" s="9">
        <v>44866</v>
      </c>
      <c r="C43" s="10">
        <f t="shared" si="0"/>
        <v>736.23008152371858</v>
      </c>
      <c r="D43" s="10">
        <f t="shared" si="1"/>
        <v>589.56315822056615</v>
      </c>
      <c r="E43" s="10">
        <f t="shared" si="2"/>
        <v>146.66692330315246</v>
      </c>
      <c r="F43" s="10">
        <f t="shared" si="3"/>
        <v>27284.903807393355</v>
      </c>
      <c r="G43" s="12">
        <f t="shared" si="4"/>
        <v>40909.834408901363</v>
      </c>
    </row>
    <row r="44" spans="1:7" x14ac:dyDescent="0.2">
      <c r="A44" s="8">
        <v>16</v>
      </c>
      <c r="B44" s="9">
        <v>44896</v>
      </c>
      <c r="C44" s="10">
        <f t="shared" si="0"/>
        <v>736.23008152371858</v>
      </c>
      <c r="D44" s="10">
        <f t="shared" si="1"/>
        <v>592.66525931601564</v>
      </c>
      <c r="E44" s="10">
        <f t="shared" si="2"/>
        <v>143.564822207703</v>
      </c>
      <c r="F44" s="10">
        <f t="shared" si="3"/>
        <v>26692.238548077341</v>
      </c>
      <c r="G44" s="12">
        <f t="shared" si="4"/>
        <v>41502.499668217381</v>
      </c>
    </row>
    <row r="45" spans="1:7" x14ac:dyDescent="0.2">
      <c r="A45" s="8">
        <v>17</v>
      </c>
      <c r="B45" s="9">
        <v>44927</v>
      </c>
      <c r="C45" s="10">
        <f t="shared" si="0"/>
        <v>736.23008152371858</v>
      </c>
      <c r="D45" s="10">
        <f t="shared" si="1"/>
        <v>595.78368271904515</v>
      </c>
      <c r="E45" s="10">
        <f t="shared" si="2"/>
        <v>140.44639880467346</v>
      </c>
      <c r="F45" s="10">
        <f t="shared" si="3"/>
        <v>26096.454865358297</v>
      </c>
      <c r="G45" s="12">
        <f t="shared" si="4"/>
        <v>42098.283350936428</v>
      </c>
    </row>
    <row r="46" spans="1:7" x14ac:dyDescent="0.2">
      <c r="A46" s="8">
        <v>18</v>
      </c>
      <c r="B46" s="9">
        <v>44958</v>
      </c>
      <c r="C46" s="10">
        <f t="shared" si="0"/>
        <v>736.23008152371858</v>
      </c>
      <c r="D46" s="10">
        <f t="shared" si="1"/>
        <v>598.91851431264718</v>
      </c>
      <c r="E46" s="10">
        <f t="shared" si="2"/>
        <v>137.31156721107138</v>
      </c>
      <c r="F46" s="10">
        <f t="shared" si="3"/>
        <v>25497.536351045648</v>
      </c>
      <c r="G46" s="12">
        <f t="shared" si="4"/>
        <v>42697.201865249073</v>
      </c>
    </row>
    <row r="47" spans="1:7" x14ac:dyDescent="0.2">
      <c r="A47" s="8">
        <v>19</v>
      </c>
      <c r="B47" s="9">
        <v>44986</v>
      </c>
      <c r="C47" s="10">
        <f t="shared" si="0"/>
        <v>736.23008152371858</v>
      </c>
      <c r="D47" s="10">
        <f t="shared" si="1"/>
        <v>602.06984043170428</v>
      </c>
      <c r="E47" s="10">
        <f t="shared" si="2"/>
        <v>134.16024109201436</v>
      </c>
      <c r="F47" s="10">
        <f t="shared" si="3"/>
        <v>24895.466510613944</v>
      </c>
      <c r="G47" s="12">
        <f t="shared" si="4"/>
        <v>43299.271705680774</v>
      </c>
    </row>
    <row r="48" spans="1:7" x14ac:dyDescent="0.2">
      <c r="A48" s="8">
        <v>20</v>
      </c>
      <c r="B48" s="9">
        <v>45017</v>
      </c>
      <c r="C48" s="10">
        <f t="shared" si="0"/>
        <v>736.23008152371858</v>
      </c>
      <c r="D48" s="10">
        <f t="shared" si="1"/>
        <v>605.23774786536637</v>
      </c>
      <c r="E48" s="10">
        <f t="shared" si="2"/>
        <v>130.99233365835221</v>
      </c>
      <c r="F48" s="10">
        <f t="shared" si="3"/>
        <v>24290.228762748578</v>
      </c>
      <c r="G48" s="12">
        <f t="shared" si="4"/>
        <v>43904.509453546139</v>
      </c>
    </row>
    <row r="49" spans="1:7" x14ac:dyDescent="0.2">
      <c r="A49" s="8">
        <v>21</v>
      </c>
      <c r="B49" s="9">
        <v>45047</v>
      </c>
      <c r="C49" s="10">
        <f t="shared" si="0"/>
        <v>736.23008152371858</v>
      </c>
      <c r="D49" s="10">
        <f t="shared" si="1"/>
        <v>608.4223238594418</v>
      </c>
      <c r="E49" s="10">
        <f t="shared" si="2"/>
        <v>127.80775766427681</v>
      </c>
      <c r="F49" s="10">
        <f t="shared" si="3"/>
        <v>23681.806438889136</v>
      </c>
      <c r="G49" s="12">
        <f t="shared" si="4"/>
        <v>44512.931777405582</v>
      </c>
    </row>
    <row r="50" spans="1:7" x14ac:dyDescent="0.2">
      <c r="A50" s="8">
        <v>22</v>
      </c>
      <c r="B50" s="9">
        <v>45078</v>
      </c>
      <c r="C50" s="10">
        <f t="shared" si="0"/>
        <v>736.23008152371858</v>
      </c>
      <c r="D50" s="10">
        <f t="shared" si="1"/>
        <v>611.62365611879943</v>
      </c>
      <c r="E50" s="10">
        <f t="shared" si="2"/>
        <v>124.60642540491918</v>
      </c>
      <c r="F50" s="10">
        <f t="shared" si="3"/>
        <v>23070.182782770338</v>
      </c>
      <c r="G50" s="12">
        <f t="shared" si="4"/>
        <v>45124.55543352438</v>
      </c>
    </row>
    <row r="51" spans="1:7" x14ac:dyDescent="0.2">
      <c r="A51" s="8">
        <v>23</v>
      </c>
      <c r="B51" s="9">
        <v>45108</v>
      </c>
      <c r="C51" s="10">
        <f t="shared" si="0"/>
        <v>736.23008152371858</v>
      </c>
      <c r="D51" s="10">
        <f t="shared" si="1"/>
        <v>614.84183280978436</v>
      </c>
      <c r="E51" s="10">
        <f t="shared" si="2"/>
        <v>121.3882487139342</v>
      </c>
      <c r="F51" s="10">
        <f t="shared" si="3"/>
        <v>22455.340949960555</v>
      </c>
      <c r="G51" s="12">
        <f t="shared" si="4"/>
        <v>45739.397266334163</v>
      </c>
    </row>
    <row r="52" spans="1:7" x14ac:dyDescent="0.2">
      <c r="A52" s="8">
        <v>24</v>
      </c>
      <c r="B52" s="9">
        <v>45139</v>
      </c>
      <c r="C52" s="10">
        <f t="shared" si="0"/>
        <v>736.23008152371858</v>
      </c>
      <c r="D52" s="10">
        <f t="shared" si="1"/>
        <v>618.0769425626462</v>
      </c>
      <c r="E52" s="10">
        <f t="shared" si="2"/>
        <v>118.15313896107237</v>
      </c>
      <c r="F52" s="10">
        <f t="shared" si="3"/>
        <v>21837.264007397909</v>
      </c>
      <c r="G52" s="12">
        <f t="shared" si="4"/>
        <v>46357.474208896812</v>
      </c>
    </row>
    <row r="53" spans="1:7" x14ac:dyDescent="0.2">
      <c r="A53" s="8">
        <v>25</v>
      </c>
      <c r="B53" s="9">
        <v>45170</v>
      </c>
      <c r="C53" s="10">
        <f t="shared" si="0"/>
        <v>736.23008152371858</v>
      </c>
      <c r="D53" s="10">
        <f t="shared" si="1"/>
        <v>621.32907447397963</v>
      </c>
      <c r="E53" s="10">
        <f t="shared" si="2"/>
        <v>114.90100704973895</v>
      </c>
      <c r="F53" s="10">
        <f t="shared" si="3"/>
        <v>21215.93493292393</v>
      </c>
      <c r="G53" s="12">
        <f t="shared" si="4"/>
        <v>46978.803283370791</v>
      </c>
    </row>
    <row r="54" spans="1:7" x14ac:dyDescent="0.2">
      <c r="A54" s="8">
        <v>26</v>
      </c>
      <c r="B54" s="9">
        <v>45200</v>
      </c>
      <c r="C54" s="10">
        <f t="shared" si="0"/>
        <v>736.23008152371858</v>
      </c>
      <c r="D54" s="10">
        <f t="shared" si="1"/>
        <v>624.59831810917854</v>
      </c>
      <c r="E54" s="10">
        <f t="shared" si="2"/>
        <v>111.6317634145401</v>
      </c>
      <c r="F54" s="10">
        <f t="shared" si="3"/>
        <v>20591.336614814751</v>
      </c>
      <c r="G54" s="12">
        <f t="shared" si="4"/>
        <v>47603.401601479971</v>
      </c>
    </row>
    <row r="55" spans="1:7" x14ac:dyDescent="0.2">
      <c r="A55" s="8">
        <v>27</v>
      </c>
      <c r="B55" s="9">
        <v>45231</v>
      </c>
      <c r="C55" s="10">
        <f t="shared" si="0"/>
        <v>736.23008152371858</v>
      </c>
      <c r="D55" s="10">
        <f t="shared" si="1"/>
        <v>627.88476350490225</v>
      </c>
      <c r="E55" s="10">
        <f t="shared" si="2"/>
        <v>108.3453180188163</v>
      </c>
      <c r="F55" s="10">
        <f t="shared" si="3"/>
        <v>19963.451851309848</v>
      </c>
      <c r="G55" s="12">
        <f t="shared" si="4"/>
        <v>48231.286364984873</v>
      </c>
    </row>
    <row r="56" spans="1:7" x14ac:dyDescent="0.2">
      <c r="A56" s="8">
        <v>28</v>
      </c>
      <c r="B56" s="9">
        <v>45261</v>
      </c>
      <c r="C56" s="10">
        <f t="shared" si="0"/>
        <v>736.23008152371858</v>
      </c>
      <c r="D56" s="10">
        <f t="shared" si="1"/>
        <v>631.18850117155591</v>
      </c>
      <c r="E56" s="10">
        <f t="shared" si="2"/>
        <v>105.04158035216265</v>
      </c>
      <c r="F56" s="10">
        <f t="shared" si="3"/>
        <v>19332.263350138292</v>
      </c>
      <c r="G56" s="12">
        <f t="shared" si="4"/>
        <v>48862.47486615643</v>
      </c>
    </row>
    <row r="57" spans="1:7" x14ac:dyDescent="0.2">
      <c r="A57" s="8">
        <v>29</v>
      </c>
      <c r="B57" s="9">
        <v>45292</v>
      </c>
      <c r="C57" s="10">
        <f t="shared" si="0"/>
        <v>736.23008152371858</v>
      </c>
      <c r="D57" s="10">
        <f t="shared" si="1"/>
        <v>634.50962209578245</v>
      </c>
      <c r="E57" s="10">
        <f t="shared" si="2"/>
        <v>101.72045942793616</v>
      </c>
      <c r="F57" s="10">
        <f t="shared" si="3"/>
        <v>18697.753728042509</v>
      </c>
      <c r="G57" s="12">
        <f t="shared" si="4"/>
        <v>49496.984488252216</v>
      </c>
    </row>
    <row r="58" spans="1:7" x14ac:dyDescent="0.2">
      <c r="A58" s="8">
        <v>30</v>
      </c>
      <c r="B58" s="9">
        <v>45323</v>
      </c>
      <c r="C58" s="10">
        <f t="shared" si="0"/>
        <v>736.23008152371858</v>
      </c>
      <c r="D58" s="10">
        <f t="shared" si="1"/>
        <v>637.84821774296859</v>
      </c>
      <c r="E58" s="10">
        <f t="shared" si="2"/>
        <v>98.381863780749967</v>
      </c>
      <c r="F58" s="10">
        <f t="shared" si="3"/>
        <v>18059.905510299541</v>
      </c>
      <c r="G58" s="12">
        <f t="shared" si="4"/>
        <v>50134.832705995184</v>
      </c>
    </row>
    <row r="59" spans="1:7" x14ac:dyDescent="0.2">
      <c r="A59" s="8">
        <v>31</v>
      </c>
      <c r="B59" s="9">
        <v>45352</v>
      </c>
      <c r="C59" s="10">
        <f t="shared" si="0"/>
        <v>736.23008152371858</v>
      </c>
      <c r="D59" s="10">
        <f t="shared" si="1"/>
        <v>641.20438005976439</v>
      </c>
      <c r="E59" s="10">
        <f t="shared" si="2"/>
        <v>95.025701463954249</v>
      </c>
      <c r="F59" s="10">
        <f t="shared" si="3"/>
        <v>17418.701130239777</v>
      </c>
      <c r="G59" s="12">
        <f t="shared" si="4"/>
        <v>50776.037086054952</v>
      </c>
    </row>
    <row r="60" spans="1:7" x14ac:dyDescent="0.2">
      <c r="A60" s="8">
        <v>32</v>
      </c>
      <c r="B60" s="9">
        <v>45383</v>
      </c>
      <c r="C60" s="10">
        <f t="shared" si="0"/>
        <v>736.23008152371858</v>
      </c>
      <c r="D60" s="10">
        <f t="shared" si="1"/>
        <v>644.57820147661448</v>
      </c>
      <c r="E60" s="10">
        <f t="shared" si="2"/>
        <v>91.651880047104072</v>
      </c>
      <c r="F60" s="10">
        <f t="shared" si="3"/>
        <v>16774.122928763161</v>
      </c>
      <c r="G60" s="12">
        <f t="shared" si="4"/>
        <v>51420.615287531567</v>
      </c>
    </row>
    <row r="61" spans="1:7" x14ac:dyDescent="0.2">
      <c r="A61" s="8">
        <v>33</v>
      </c>
      <c r="B61" s="9">
        <v>45413</v>
      </c>
      <c r="C61" s="10">
        <f t="shared" si="0"/>
        <v>736.23008152371858</v>
      </c>
      <c r="D61" s="10">
        <f t="shared" si="1"/>
        <v>647.96977491030486</v>
      </c>
      <c r="E61" s="10">
        <f t="shared" si="2"/>
        <v>88.260306613413746</v>
      </c>
      <c r="F61" s="10">
        <f t="shared" si="3"/>
        <v>16126.153153852856</v>
      </c>
      <c r="G61" s="12">
        <f t="shared" si="4"/>
        <v>52068.585062441874</v>
      </c>
    </row>
    <row r="62" spans="1:7" x14ac:dyDescent="0.2">
      <c r="A62" s="8">
        <v>34</v>
      </c>
      <c r="B62" s="9">
        <v>45444</v>
      </c>
      <c r="C62" s="10">
        <f t="shared" si="0"/>
        <v>736.23008152371858</v>
      </c>
      <c r="D62" s="10">
        <f t="shared" si="1"/>
        <v>651.37919376652076</v>
      </c>
      <c r="E62" s="10">
        <f t="shared" si="2"/>
        <v>84.850887757197867</v>
      </c>
      <c r="F62" s="10">
        <f t="shared" si="3"/>
        <v>15474.773960086335</v>
      </c>
      <c r="G62" s="12">
        <f t="shared" si="4"/>
        <v>52719.964256208397</v>
      </c>
    </row>
    <row r="63" spans="1:7" x14ac:dyDescent="0.2">
      <c r="A63" s="8">
        <v>35</v>
      </c>
      <c r="B63" s="9">
        <v>45474</v>
      </c>
      <c r="C63" s="10">
        <f t="shared" si="0"/>
        <v>736.23008152371858</v>
      </c>
      <c r="D63" s="10">
        <f t="shared" si="1"/>
        <v>654.80655194241967</v>
      </c>
      <c r="E63" s="10">
        <f t="shared" si="2"/>
        <v>81.423529581298865</v>
      </c>
      <c r="F63" s="10">
        <f t="shared" si="3"/>
        <v>14819.967408143915</v>
      </c>
      <c r="G63" s="12">
        <f t="shared" si="4"/>
        <v>53374.770808150817</v>
      </c>
    </row>
    <row r="64" spans="1:7" x14ac:dyDescent="0.2">
      <c r="A64" s="8">
        <v>36</v>
      </c>
      <c r="B64" s="9">
        <v>45505</v>
      </c>
      <c r="C64" s="10">
        <f t="shared" si="0"/>
        <v>736.23008152371858</v>
      </c>
      <c r="D64" s="10">
        <f t="shared" si="1"/>
        <v>658.25194382921757</v>
      </c>
      <c r="E64" s="10">
        <f t="shared" si="2"/>
        <v>77.978137694501029</v>
      </c>
      <c r="F64" s="10">
        <f t="shared" si="3"/>
        <v>14161.715464314697</v>
      </c>
      <c r="G64" s="12">
        <f t="shared" si="4"/>
        <v>54033.022751980032</v>
      </c>
    </row>
    <row r="65" spans="1:7" x14ac:dyDescent="0.2">
      <c r="A65" s="8">
        <v>37</v>
      </c>
      <c r="B65" s="9">
        <v>45505</v>
      </c>
      <c r="C65" s="10">
        <f>$C$26+13500</f>
        <v>14236.230081523718</v>
      </c>
      <c r="D65" s="10">
        <f t="shared" si="1"/>
        <v>14161.715464314786</v>
      </c>
      <c r="E65" s="10">
        <f t="shared" si="2"/>
        <v>74.514617208930929</v>
      </c>
      <c r="F65" s="10">
        <f t="shared" si="3"/>
        <v>-8.9130480773746967E-11</v>
      </c>
      <c r="G65" s="12">
        <f t="shared" si="4"/>
        <v>68194.73821629482</v>
      </c>
    </row>
    <row r="66" spans="1:7" x14ac:dyDescent="0.2">
      <c r="D66" s="6">
        <f>SUM(D29:D65)</f>
        <v>36000.000000000087</v>
      </c>
      <c r="E66" s="6">
        <f>SUM(E29:E64)</f>
        <v>4665.9983991685658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2024-03-18T16:45:05Z</dcterms:created>
  <dcterms:modified xsi:type="dcterms:W3CDTF">2024-03-19T18:20:29Z</dcterms:modified>
</cp:coreProperties>
</file>