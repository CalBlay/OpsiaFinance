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Gestion presupuestaria\C3\"/>
    </mc:Choice>
  </mc:AlternateContent>
  <xr:revisionPtr revIDLastSave="0" documentId="8_{4BCBFBBE-46D4-49D1-8DDA-5B5556C86ACC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1" l="1"/>
  <c r="J41" i="1"/>
  <c r="J45" i="1" s="1"/>
  <c r="I41" i="1"/>
  <c r="J34" i="1"/>
  <c r="I34" i="1"/>
  <c r="J28" i="1"/>
  <c r="J35" i="1" s="1"/>
  <c r="I28" i="1"/>
  <c r="I35" i="1" s="1"/>
  <c r="I37" i="1" s="1"/>
  <c r="J27" i="1"/>
  <c r="J30" i="1" s="1"/>
  <c r="K30" i="1" s="1"/>
  <c r="I27" i="1"/>
  <c r="I30" i="1" s="1"/>
  <c r="J21" i="1"/>
  <c r="I21" i="1"/>
  <c r="J20" i="1"/>
  <c r="J19" i="1"/>
  <c r="I19" i="1"/>
  <c r="I20" i="1" s="1"/>
  <c r="I22" i="1" s="1"/>
  <c r="J16" i="1"/>
  <c r="I16" i="1"/>
  <c r="E14" i="1"/>
  <c r="D10" i="1"/>
  <c r="E10" i="1" s="1"/>
  <c r="E15" i="1" s="1"/>
  <c r="C10" i="1"/>
  <c r="E9" i="1"/>
  <c r="E8" i="1"/>
  <c r="K35" i="1" l="1"/>
  <c r="L35" i="1" s="1"/>
  <c r="K20" i="1"/>
  <c r="L34" i="1"/>
  <c r="E16" i="1"/>
  <c r="J22" i="1"/>
  <c r="K22" i="1" s="1"/>
  <c r="K23" i="1" s="1"/>
  <c r="K41" i="1"/>
  <c r="K34" i="1"/>
  <c r="M35" i="1" l="1"/>
  <c r="J37" i="1"/>
  <c r="M34" i="1"/>
</calcChain>
</file>

<file path=xl/sharedStrings.xml><?xml version="1.0" encoding="utf-8"?>
<sst xmlns="http://schemas.openxmlformats.org/spreadsheetml/2006/main" count="37" uniqueCount="34">
  <si>
    <t>N</t>
  </si>
  <si>
    <t>N+1</t>
  </si>
  <si>
    <t>Desviación</t>
  </si>
  <si>
    <t>Consumo Agua (Litros)</t>
  </si>
  <si>
    <t>Coste Agua (Euros)</t>
  </si>
  <si>
    <t>1) Desviación en cantidad y en precio</t>
  </si>
  <si>
    <t>2) Calcular el impacto de los distintos factores en la desviación y razonar</t>
  </si>
  <si>
    <t>Desviación cantidad</t>
  </si>
  <si>
    <t>Desviación en precio</t>
  </si>
  <si>
    <t>Desviación total</t>
  </si>
  <si>
    <t>*</t>
  </si>
  <si>
    <t>PRECIO FUEL</t>
  </si>
  <si>
    <t>Precio Fuel (USD/ Gallon)</t>
  </si>
  <si>
    <t>Otros datos:</t>
  </si>
  <si>
    <t>Precio Fuel (USD / Litro)</t>
  </si>
  <si>
    <t>Impacto precio</t>
  </si>
  <si>
    <t>Tipo cambio</t>
  </si>
  <si>
    <t>Tipo de Cambio</t>
  </si>
  <si>
    <t>Precio Fuel (EUR / Litro)</t>
  </si>
  <si>
    <t>Horas de Planta Osmosis</t>
  </si>
  <si>
    <t>Impacto tipo cambio</t>
  </si>
  <si>
    <t>Consumo fuel Hora</t>
  </si>
  <si>
    <t>Precio mercado Agua (Euro/1000 ltrs)</t>
  </si>
  <si>
    <t>CONSUMO FUEL</t>
  </si>
  <si>
    <t>Litros</t>
  </si>
  <si>
    <t>Horas Planta</t>
  </si>
  <si>
    <t>1 Gallon = Litros</t>
  </si>
  <si>
    <t>Rendimiento planta Lits/Hora</t>
  </si>
  <si>
    <t>Consumo Fuel Hora</t>
  </si>
  <si>
    <t>Litros fuel</t>
  </si>
  <si>
    <t>Coste Fuel (EUR)</t>
  </si>
  <si>
    <t>CONSUMO AGUA</t>
  </si>
  <si>
    <t>Coste Agua (Eur/Ltro)</t>
  </si>
  <si>
    <t>Coste agua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</si>
</sst>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8" x14ac:knownFonts="1">
    <font>
      <sz val="12"/>
      <color theme="1"/>
      <name val="Arial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u/>
      <sz val="12"/>
      <color theme="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1" fillId="0" borderId="0" xfId="0" applyNumberFormat="1" applyFont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4" fillId="2" borderId="2" xfId="0" applyFont="1" applyFill="1" applyBorder="1"/>
    <xf numFmtId="4" fontId="5" fillId="0" borderId="1" xfId="0" applyNumberFormat="1" applyFont="1" applyBorder="1" applyAlignment="1">
      <alignment horizontal="center"/>
    </xf>
    <xf numFmtId="0" fontId="6" fillId="0" borderId="0" xfId="0" applyFont="1"/>
    <xf numFmtId="4" fontId="5" fillId="0" borderId="0" xfId="0" applyNumberFormat="1" applyFont="1"/>
    <xf numFmtId="0" fontId="7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workbookViewId="0"/>
  </sheetViews>
  <sheetFormatPr defaultColWidth="11.21875" defaultRowHeight="15" customHeight="1" x14ac:dyDescent="0.2"/>
  <cols>
    <col min="1" max="1" width="10.5546875" customWidth="1"/>
    <col min="2" max="2" width="30" customWidth="1"/>
    <col min="3" max="3" width="11.44140625" customWidth="1"/>
    <col min="4" max="4" width="11.6640625" customWidth="1"/>
    <col min="5" max="7" width="10.5546875" customWidth="1"/>
    <col min="8" max="8" width="20.44140625" customWidth="1"/>
    <col min="9" max="9" width="11.6640625" customWidth="1"/>
    <col min="10" max="10" width="13.44140625" customWidth="1"/>
    <col min="11" max="26" width="10.5546875" customWidth="1"/>
  </cols>
  <sheetData>
    <row r="1" spans="2:11" ht="15.75" customHeight="1" x14ac:dyDescent="0.2"/>
    <row r="2" spans="2:11" ht="15.75" customHeight="1" x14ac:dyDescent="0.2"/>
    <row r="3" spans="2:11" ht="15.75" customHeight="1" x14ac:dyDescent="0.2"/>
    <row r="4" spans="2:11" ht="15.75" customHeight="1" x14ac:dyDescent="0.2"/>
    <row r="5" spans="2:11" ht="15.75" customHeight="1" x14ac:dyDescent="0.2"/>
    <row r="6" spans="2:11" ht="15.75" customHeight="1" x14ac:dyDescent="0.2"/>
    <row r="7" spans="2:11" ht="15.75" customHeight="1" x14ac:dyDescent="0.25">
      <c r="B7" s="1"/>
      <c r="C7" s="2" t="s">
        <v>0</v>
      </c>
      <c r="D7" s="3" t="s">
        <v>1</v>
      </c>
      <c r="E7" s="4" t="s">
        <v>2</v>
      </c>
    </row>
    <row r="8" spans="2:11" ht="15.75" customHeight="1" x14ac:dyDescent="0.25">
      <c r="B8" s="5" t="s">
        <v>3</v>
      </c>
      <c r="C8" s="1">
        <v>4148936.1702127662</v>
      </c>
      <c r="D8" s="1">
        <v>4787234</v>
      </c>
      <c r="E8" s="1">
        <f t="shared" ref="E8:E10" si="0">+D8-C8</f>
        <v>638297.82978723384</v>
      </c>
    </row>
    <row r="9" spans="2:11" ht="15.75" customHeight="1" x14ac:dyDescent="0.25">
      <c r="B9" s="5" t="s">
        <v>4</v>
      </c>
      <c r="C9" s="1">
        <v>263643.80808510637</v>
      </c>
      <c r="D9" s="1">
        <v>253644.03694000002</v>
      </c>
      <c r="E9" s="1">
        <f t="shared" si="0"/>
        <v>-9999.7711451063515</v>
      </c>
    </row>
    <row r="10" spans="2:11" ht="15.75" customHeight="1" x14ac:dyDescent="0.25">
      <c r="C10" s="1">
        <f t="shared" ref="C10:D10" si="1">+C9/C8</f>
        <v>6.3544917846153834E-2</v>
      </c>
      <c r="D10" s="1">
        <f t="shared" si="1"/>
        <v>5.2983421520652642E-2</v>
      </c>
      <c r="E10" s="1">
        <f t="shared" si="0"/>
        <v>-1.0561496325501192E-2</v>
      </c>
    </row>
    <row r="11" spans="2:11" ht="15.75" customHeight="1" x14ac:dyDescent="0.2"/>
    <row r="12" spans="2:11" ht="15.75" customHeight="1" x14ac:dyDescent="0.2"/>
    <row r="13" spans="2:11" ht="15.75" customHeight="1" x14ac:dyDescent="0.25">
      <c r="B13" s="6" t="s">
        <v>5</v>
      </c>
      <c r="H13" s="6" t="s">
        <v>6</v>
      </c>
    </row>
    <row r="14" spans="2:11" ht="15.75" customHeight="1" x14ac:dyDescent="0.25">
      <c r="B14" s="5" t="s">
        <v>7</v>
      </c>
      <c r="E14" s="1">
        <f>+E8*C10</f>
        <v>40560.583155208056</v>
      </c>
    </row>
    <row r="15" spans="2:11" ht="15.75" customHeight="1" x14ac:dyDescent="0.25">
      <c r="B15" s="5" t="s">
        <v>8</v>
      </c>
      <c r="E15" s="1">
        <f>+E10*D8</f>
        <v>-50560.354300314371</v>
      </c>
    </row>
    <row r="16" spans="2:11" ht="15.75" customHeight="1" x14ac:dyDescent="0.25">
      <c r="B16" s="5" t="s">
        <v>9</v>
      </c>
      <c r="E16" s="1">
        <f>+E14+E15</f>
        <v>-9999.7711451063151</v>
      </c>
      <c r="I16" s="7" t="str">
        <f t="shared" ref="I16:J16" si="2">+C21</f>
        <v>N</v>
      </c>
      <c r="J16" s="7" t="str">
        <f t="shared" si="2"/>
        <v>N+1</v>
      </c>
      <c r="K16" s="5" t="s">
        <v>10</v>
      </c>
    </row>
    <row r="17" spans="2:12" ht="15.75" customHeight="1" x14ac:dyDescent="0.25">
      <c r="I17" s="1"/>
      <c r="J17" s="1"/>
    </row>
    <row r="18" spans="2:12" ht="15.75" customHeight="1" x14ac:dyDescent="0.25">
      <c r="H18" s="8" t="s">
        <v>11</v>
      </c>
    </row>
    <row r="19" spans="2:12" ht="15.75" customHeight="1" x14ac:dyDescent="0.25">
      <c r="H19" s="5" t="s">
        <v>12</v>
      </c>
      <c r="I19" s="1">
        <f t="shared" ref="I19:J19" si="3">+C25</f>
        <v>2.4</v>
      </c>
      <c r="J19" s="1">
        <f t="shared" si="3"/>
        <v>2.3199999999999998</v>
      </c>
    </row>
    <row r="20" spans="2:12" ht="15.75" customHeight="1" x14ac:dyDescent="0.25">
      <c r="B20" s="5" t="s">
        <v>13</v>
      </c>
      <c r="H20" s="5" t="s">
        <v>14</v>
      </c>
      <c r="I20" s="9">
        <f t="shared" ref="I20:J20" si="4">+I19/$C$29</f>
        <v>0.63401489935013466</v>
      </c>
      <c r="J20" s="9">
        <f t="shared" si="4"/>
        <v>0.61288106937179687</v>
      </c>
      <c r="K20" s="1">
        <f>+J20-I20</f>
        <v>-2.1133829978337793E-2</v>
      </c>
      <c r="L20" s="5" t="s">
        <v>15</v>
      </c>
    </row>
    <row r="21" spans="2:12" ht="15.75" customHeight="1" x14ac:dyDescent="0.25">
      <c r="C21" s="10" t="s">
        <v>0</v>
      </c>
      <c r="D21" s="10" t="s">
        <v>1</v>
      </c>
      <c r="H21" s="5" t="s">
        <v>16</v>
      </c>
      <c r="I21" s="1">
        <f t="shared" ref="I21:J21" si="5">+C22</f>
        <v>1.5</v>
      </c>
      <c r="J21" s="1">
        <f t="shared" si="5"/>
        <v>1.2</v>
      </c>
    </row>
    <row r="22" spans="2:12" ht="15.75" customHeight="1" x14ac:dyDescent="0.25">
      <c r="B22" s="5" t="s">
        <v>17</v>
      </c>
      <c r="C22" s="5">
        <v>1.5</v>
      </c>
      <c r="D22" s="5">
        <v>1.2</v>
      </c>
      <c r="H22" s="5" t="s">
        <v>18</v>
      </c>
      <c r="I22" s="9">
        <f t="shared" ref="I22:J22" si="6">+I20/I21</f>
        <v>0.42267659956675646</v>
      </c>
      <c r="J22" s="9">
        <f t="shared" si="6"/>
        <v>0.51073422447649741</v>
      </c>
      <c r="K22" s="1">
        <f>+J22-I22</f>
        <v>8.805762490974095E-2</v>
      </c>
    </row>
    <row r="23" spans="2:12" ht="15.75" customHeight="1" x14ac:dyDescent="0.25">
      <c r="B23" s="5" t="s">
        <v>19</v>
      </c>
      <c r="C23" s="5">
        <v>5500</v>
      </c>
      <c r="D23" s="5">
        <v>4787.2340000000004</v>
      </c>
      <c r="I23" s="1"/>
      <c r="J23" s="1"/>
      <c r="K23" s="1">
        <f>+K22-K20</f>
        <v>0.10919145488807874</v>
      </c>
      <c r="L23" s="5" t="s">
        <v>20</v>
      </c>
    </row>
    <row r="24" spans="2:12" ht="15.75" customHeight="1" x14ac:dyDescent="0.25">
      <c r="B24" s="5" t="s">
        <v>21</v>
      </c>
      <c r="C24" s="5">
        <v>110</v>
      </c>
      <c r="D24" s="5">
        <v>100</v>
      </c>
      <c r="I24" s="1"/>
      <c r="J24" s="1"/>
    </row>
    <row r="25" spans="2:12" ht="15.75" customHeight="1" x14ac:dyDescent="0.25">
      <c r="B25" s="5" t="s">
        <v>12</v>
      </c>
      <c r="C25" s="5">
        <v>2.4</v>
      </c>
      <c r="D25" s="5">
        <v>2.3199999999999998</v>
      </c>
      <c r="I25" s="1"/>
      <c r="J25" s="1"/>
    </row>
    <row r="26" spans="2:12" ht="15.75" customHeight="1" x14ac:dyDescent="0.25">
      <c r="B26" s="5" t="s">
        <v>22</v>
      </c>
      <c r="C26" s="5">
        <v>1.91</v>
      </c>
      <c r="D26" s="5">
        <v>1.91</v>
      </c>
      <c r="H26" s="8" t="s">
        <v>23</v>
      </c>
      <c r="I26" s="1"/>
      <c r="J26" s="1"/>
    </row>
    <row r="27" spans="2:12" ht="15.75" customHeight="1" x14ac:dyDescent="0.25">
      <c r="H27" s="5" t="s">
        <v>24</v>
      </c>
      <c r="I27" s="1">
        <f t="shared" ref="I27:J27" si="7">+C8</f>
        <v>4148936.1702127662</v>
      </c>
      <c r="J27" s="1">
        <f t="shared" si="7"/>
        <v>4787234</v>
      </c>
      <c r="K27" s="1"/>
    </row>
    <row r="28" spans="2:12" ht="15.75" customHeight="1" x14ac:dyDescent="0.25">
      <c r="H28" s="5" t="s">
        <v>25</v>
      </c>
      <c r="I28" s="1">
        <f t="shared" ref="I28:J28" si="8">+C23</f>
        <v>5500</v>
      </c>
      <c r="J28" s="1">
        <f t="shared" si="8"/>
        <v>4787.2340000000004</v>
      </c>
    </row>
    <row r="29" spans="2:12" ht="15.75" customHeight="1" x14ac:dyDescent="0.25">
      <c r="B29" s="5" t="s">
        <v>26</v>
      </c>
      <c r="C29" s="5">
        <v>3.7854000000000001</v>
      </c>
      <c r="I29" s="1"/>
      <c r="J29" s="1"/>
    </row>
    <row r="30" spans="2:12" ht="15.75" customHeight="1" x14ac:dyDescent="0.25">
      <c r="H30" s="5" t="s">
        <v>27</v>
      </c>
      <c r="I30" s="1">
        <f t="shared" ref="I30:J30" si="9">+I27/I28</f>
        <v>754.35203094777569</v>
      </c>
      <c r="J30" s="1">
        <f t="shared" si="9"/>
        <v>999.99999999999989</v>
      </c>
      <c r="K30" s="1">
        <f>+J30-I30</f>
        <v>245.6479690522242</v>
      </c>
    </row>
    <row r="31" spans="2:12" ht="15.75" customHeight="1" x14ac:dyDescent="0.2"/>
    <row r="32" spans="2:12" ht="15.75" customHeight="1" x14ac:dyDescent="0.2"/>
    <row r="33" spans="8:15" ht="15.75" customHeight="1" x14ac:dyDescent="0.25">
      <c r="O33" s="1"/>
    </row>
    <row r="34" spans="8:15" ht="15.75" customHeight="1" x14ac:dyDescent="0.25">
      <c r="H34" s="5" t="s">
        <v>28</v>
      </c>
      <c r="I34" s="1">
        <f t="shared" ref="I34:J34" si="10">+C24</f>
        <v>110</v>
      </c>
      <c r="J34" s="1">
        <f t="shared" si="10"/>
        <v>100</v>
      </c>
      <c r="K34" s="1">
        <f t="shared" ref="K34:K35" si="11">+J34-I34</f>
        <v>-10</v>
      </c>
      <c r="L34" s="5">
        <f>+J34*I22</f>
        <v>42.267659956675644</v>
      </c>
      <c r="M34" s="5">
        <f>+K34*K22</f>
        <v>-0.8805762490974095</v>
      </c>
    </row>
    <row r="35" spans="8:15" ht="15.75" customHeight="1" x14ac:dyDescent="0.25">
      <c r="H35" s="5" t="s">
        <v>29</v>
      </c>
      <c r="I35" s="1">
        <f t="shared" ref="I35:J35" si="12">+I28*I34</f>
        <v>605000</v>
      </c>
      <c r="J35" s="1">
        <f t="shared" si="12"/>
        <v>478723.4</v>
      </c>
      <c r="K35" s="1">
        <f t="shared" si="11"/>
        <v>-126276.59999999998</v>
      </c>
      <c r="L35" s="1">
        <f>+K35*I22</f>
        <v>-53374.163892851466</v>
      </c>
      <c r="M35" s="1">
        <f>+J35*K22</f>
        <v>42155.245592715881</v>
      </c>
    </row>
    <row r="36" spans="8:15" ht="15.75" customHeight="1" x14ac:dyDescent="0.25">
      <c r="I36" s="1"/>
      <c r="J36" s="1"/>
    </row>
    <row r="37" spans="8:15" ht="15.75" customHeight="1" x14ac:dyDescent="0.25">
      <c r="H37" s="5" t="s">
        <v>30</v>
      </c>
      <c r="I37" s="1">
        <f t="shared" ref="I37:J37" si="13">+I35*I22</f>
        <v>255719.34273788767</v>
      </c>
      <c r="J37" s="1">
        <f t="shared" si="13"/>
        <v>244500.42443775208</v>
      </c>
    </row>
    <row r="38" spans="8:15" ht="15.75" customHeight="1" x14ac:dyDescent="0.25">
      <c r="I38" s="1"/>
      <c r="J38" s="1"/>
    </row>
    <row r="39" spans="8:15" ht="15.75" customHeight="1" x14ac:dyDescent="0.25">
      <c r="I39" s="1"/>
      <c r="J39" s="1"/>
    </row>
    <row r="40" spans="8:15" ht="15.75" customHeight="1" x14ac:dyDescent="0.25">
      <c r="H40" s="8" t="s">
        <v>31</v>
      </c>
    </row>
    <row r="41" spans="8:15" ht="15.75" customHeight="1" x14ac:dyDescent="0.25">
      <c r="H41" s="5" t="s">
        <v>32</v>
      </c>
      <c r="I41" s="11">
        <f t="shared" ref="I41:J41" si="14">+C26/1000</f>
        <v>1.91E-3</v>
      </c>
      <c r="J41" s="11">
        <f t="shared" si="14"/>
        <v>1.91E-3</v>
      </c>
      <c r="K41" s="1">
        <f>+J41-I41</f>
        <v>0</v>
      </c>
    </row>
    <row r="42" spans="8:15" ht="15.75" customHeight="1" x14ac:dyDescent="0.25">
      <c r="I42" s="1"/>
      <c r="J42" s="1"/>
    </row>
    <row r="43" spans="8:15" ht="15.75" customHeight="1" x14ac:dyDescent="0.25">
      <c r="I43" s="1"/>
      <c r="J43" s="1"/>
    </row>
    <row r="44" spans="8:15" ht="15.75" customHeight="1" x14ac:dyDescent="0.25">
      <c r="I44" s="1"/>
      <c r="J44" s="1"/>
    </row>
    <row r="45" spans="8:15" ht="15.75" customHeight="1" x14ac:dyDescent="0.25">
      <c r="H45" s="5" t="s">
        <v>33</v>
      </c>
      <c r="I45" s="1">
        <f t="shared" ref="I45:J45" si="15">+I41*C8</f>
        <v>7924.4680851063831</v>
      </c>
      <c r="J45" s="1">
        <f t="shared" si="15"/>
        <v>9143.6169399999999</v>
      </c>
    </row>
    <row r="46" spans="8:15" ht="15.75" customHeight="1" x14ac:dyDescent="0.2"/>
    <row r="47" spans="8:15" ht="15.75" customHeight="1" x14ac:dyDescent="0.2"/>
    <row r="48" spans="8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PORTATIL28</cp:lastModifiedBy>
  <dcterms:created xsi:type="dcterms:W3CDTF">2023-12-16T12:16:32Z</dcterms:created>
  <dcterms:modified xsi:type="dcterms:W3CDTF">2023-12-16T12:16:33Z</dcterms:modified>
</cp:coreProperties>
</file>