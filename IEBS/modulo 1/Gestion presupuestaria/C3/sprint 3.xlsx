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Gestion presupuestaria\C3\"/>
    </mc:Choice>
  </mc:AlternateContent>
  <xr:revisionPtr revIDLastSave="0" documentId="13_ncr:1_{BE38FEFF-4186-4B26-A789-7C7183269F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1" l="1"/>
  <c r="L24" i="1" s="1"/>
  <c r="L25" i="1" s="1"/>
  <c r="M25" i="1" s="1"/>
  <c r="K23" i="1"/>
  <c r="L23" i="1" s="1"/>
  <c r="L20" i="1"/>
  <c r="K20" i="1"/>
  <c r="M20" i="1" s="1"/>
  <c r="N20" i="1"/>
  <c r="O20" i="1"/>
  <c r="E24" i="1"/>
  <c r="D24" i="1"/>
  <c r="H24" i="1" s="1"/>
  <c r="H23" i="1"/>
  <c r="G23" i="1"/>
  <c r="H20" i="1"/>
  <c r="H21" i="1"/>
  <c r="H22" i="1"/>
  <c r="G20" i="1"/>
  <c r="G21" i="1"/>
  <c r="G22" i="1"/>
  <c r="H19" i="1"/>
  <c r="G19" i="1"/>
  <c r="H9" i="1"/>
  <c r="G9" i="1"/>
  <c r="I9" i="1" s="1"/>
  <c r="F9" i="1"/>
  <c r="F8" i="1"/>
  <c r="P20" i="1" l="1"/>
  <c r="G24" i="1"/>
</calcChain>
</file>

<file path=xl/sharedStrings.xml><?xml version="1.0" encoding="utf-8"?>
<sst xmlns="http://schemas.openxmlformats.org/spreadsheetml/2006/main" count="41" uniqueCount="32">
  <si>
    <t>N</t>
  </si>
  <si>
    <t>N+1</t>
  </si>
  <si>
    <t>Consumo Agua (litros)</t>
  </si>
  <si>
    <t>Coste Agua (euros)</t>
  </si>
  <si>
    <t>Calcular la desviación por mayor consumo de Agus</t>
  </si>
  <si>
    <t>Calcular la desviación por mayor precio del agua</t>
  </si>
  <si>
    <t>Otros datos:</t>
  </si>
  <si>
    <t>Tipo de Cambio</t>
  </si>
  <si>
    <t>Horas de Planta Osmosis</t>
  </si>
  <si>
    <t>Consumo fuel Hora</t>
  </si>
  <si>
    <t>Precio Fuel (USD/ Gallon)</t>
  </si>
  <si>
    <t>Precio mercado Agua (Euro/1000 ltrs)</t>
  </si>
  <si>
    <t>1 Gallon = Litros</t>
  </si>
  <si>
    <t>Preu litre N</t>
  </si>
  <si>
    <t>Preu litre N+1</t>
  </si>
  <si>
    <t>desv. %</t>
  </si>
  <si>
    <t xml:space="preserve">desv. </t>
  </si>
  <si>
    <t>desv.%</t>
  </si>
  <si>
    <t xml:space="preserve"> </t>
  </si>
  <si>
    <t xml:space="preserve">Precio fuel litro </t>
  </si>
  <si>
    <t>Coste aigua hora planta</t>
  </si>
  <si>
    <t>Consum aigua hora (litros)</t>
  </si>
  <si>
    <t>desv %</t>
  </si>
  <si>
    <t>Conclusiones:</t>
  </si>
  <si>
    <t>coste litro agua</t>
  </si>
  <si>
    <t>Coste mas alto</t>
  </si>
  <si>
    <t>Vemos Precio fuel ha bajado, tenemos un mayor coste.</t>
  </si>
  <si>
    <t xml:space="preserve">Lo que parece una reducción de costes, </t>
  </si>
  <si>
    <t>en realidad es una perdida de productividad y mayor coste del agua</t>
  </si>
  <si>
    <r>
      <rPr>
        <b/>
        <sz val="12"/>
        <color theme="1"/>
        <rFont val="Calibri"/>
        <family val="2"/>
      </rPr>
      <t xml:space="preserve">Consumimos un 25% mas </t>
    </r>
    <r>
      <rPr>
        <sz val="12"/>
        <color theme="1"/>
        <rFont val="Calibri"/>
        <family val="2"/>
      </rPr>
      <t>de litros de agua en N+1</t>
    </r>
  </si>
  <si>
    <r>
      <t>El</t>
    </r>
    <r>
      <rPr>
        <b/>
        <sz val="12"/>
        <color theme="1"/>
        <rFont val="Calibri"/>
        <family val="2"/>
      </rPr>
      <t xml:space="preserve"> coste litro agua es 15,38% mayo</t>
    </r>
    <r>
      <rPr>
        <sz val="12"/>
        <color theme="1"/>
        <rFont val="Calibri"/>
        <family val="2"/>
      </rPr>
      <t xml:space="preserve">r en N+1 </t>
    </r>
  </si>
  <si>
    <r>
      <t xml:space="preserve">Provoca que el </t>
    </r>
    <r>
      <rPr>
        <b/>
        <sz val="12"/>
        <color theme="1"/>
        <rFont val="Calibri"/>
        <family val="2"/>
      </rPr>
      <t>coste de planta por hora sea del 9,53%</t>
    </r>
    <r>
      <rPr>
        <sz val="12"/>
        <color theme="1"/>
        <rFont val="Calibri"/>
        <family val="2"/>
      </rPr>
      <t xml:space="preserve"> mayor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</si>
</sst>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7" x14ac:knownFonts="1">
    <font>
      <sz val="12"/>
      <color theme="1"/>
      <name val="Arial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2"/>
      <color theme="1"/>
      <name val="Arial"/>
    </font>
    <font>
      <b/>
      <sz val="12"/>
      <color theme="1"/>
      <name val="Calibri"/>
      <family val="2"/>
    </font>
    <font>
      <sz val="12"/>
      <color theme="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/>
    <xf numFmtId="4" fontId="1" fillId="2" borderId="1" xfId="0" applyNumberFormat="1" applyFont="1" applyFill="1" applyBorder="1"/>
    <xf numFmtId="4" fontId="2" fillId="2" borderId="2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/>
    <xf numFmtId="9" fontId="1" fillId="2" borderId="1" xfId="3" applyFont="1" applyFill="1" applyBorder="1"/>
    <xf numFmtId="0" fontId="1" fillId="2" borderId="1" xfId="0" applyFont="1" applyFill="1" applyBorder="1" applyAlignment="1">
      <alignment horizontal="center"/>
    </xf>
    <xf numFmtId="44" fontId="1" fillId="2" borderId="1" xfId="2" applyFont="1" applyFill="1" applyBorder="1"/>
    <xf numFmtId="0" fontId="2" fillId="2" borderId="4" xfId="0" applyFont="1" applyFill="1" applyBorder="1" applyAlignment="1">
      <alignment horizontal="center"/>
    </xf>
    <xf numFmtId="10" fontId="1" fillId="2" borderId="1" xfId="3" applyNumberFormat="1" applyFont="1" applyFill="1" applyBorder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43" fontId="1" fillId="2" borderId="1" xfId="1" applyFont="1" applyFill="1" applyBorder="1"/>
    <xf numFmtId="43" fontId="6" fillId="3" borderId="1" xfId="1" applyFont="1" applyFill="1" applyBorder="1"/>
    <xf numFmtId="0" fontId="0" fillId="3" borderId="0" xfId="0" applyFill="1"/>
    <xf numFmtId="0" fontId="6" fillId="3" borderId="0" xfId="0" applyFont="1" applyFill="1"/>
    <xf numFmtId="9" fontId="6" fillId="3" borderId="0" xfId="3" applyFont="1" applyFill="1"/>
    <xf numFmtId="0" fontId="6" fillId="3" borderId="0" xfId="0" applyFont="1" applyFill="1" applyAlignment="1">
      <alignment horizontal="center"/>
    </xf>
    <xf numFmtId="0" fontId="5" fillId="2" borderId="1" xfId="0" applyFont="1" applyFill="1" applyBorder="1"/>
    <xf numFmtId="44" fontId="5" fillId="2" borderId="1" xfId="2" applyFont="1" applyFill="1" applyBorder="1"/>
    <xf numFmtId="4" fontId="5" fillId="2" borderId="1" xfId="0" applyNumberFormat="1" applyFont="1" applyFill="1" applyBorder="1"/>
    <xf numFmtId="9" fontId="5" fillId="2" borderId="1" xfId="3" applyFont="1" applyFill="1" applyBorder="1"/>
    <xf numFmtId="44" fontId="5" fillId="2" borderId="1" xfId="0" applyNumberFormat="1" applyFont="1" applyFill="1" applyBorder="1"/>
    <xf numFmtId="10" fontId="5" fillId="2" borderId="1" xfId="3" applyNumberFormat="1" applyFont="1" applyFill="1" applyBorder="1"/>
    <xf numFmtId="0" fontId="1" fillId="2" borderId="1" xfId="0" applyFont="1" applyFill="1" applyBorder="1" applyAlignment="1">
      <alignment horizontal="left"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8" xfId="0" applyFont="1" applyFill="1" applyBorder="1" applyAlignment="1">
      <alignment horizontal="left" wrapText="1"/>
    </xf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</cellXfs>
  <cellStyles count="4">
    <cellStyle name="Coma" xfId="1" builtinId="3"/>
    <cellStyle name="Moneda" xfId="2" builtinId="4"/>
    <cellStyle name="Normal" xfId="0" builtinId="0"/>
    <cellStyle name="Percentat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topLeftCell="A6" workbookViewId="0">
      <selection activeCell="F35" sqref="F35:G35"/>
    </sheetView>
  </sheetViews>
  <sheetFormatPr defaultColWidth="11.21875" defaultRowHeight="15" customHeight="1" x14ac:dyDescent="0.2"/>
  <cols>
    <col min="1" max="2" width="10.77734375" customWidth="1"/>
    <col min="3" max="3" width="30" customWidth="1"/>
    <col min="4" max="4" width="11.44140625" customWidth="1"/>
    <col min="5" max="5" width="11.6640625" customWidth="1"/>
    <col min="6" max="6" width="10.77734375" customWidth="1"/>
    <col min="7" max="7" width="10.5546875" customWidth="1"/>
    <col min="8" max="8" width="11.6640625" customWidth="1"/>
    <col min="9" max="9" width="10.5546875" customWidth="1"/>
    <col min="10" max="10" width="13.44140625" customWidth="1"/>
    <col min="11" max="12" width="10.5546875" customWidth="1"/>
    <col min="13" max="13" width="10.5546875" style="16" customWidth="1"/>
    <col min="14" max="26" width="10.5546875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1"/>
      <c r="C7" s="2"/>
      <c r="D7" s="3" t="s">
        <v>0</v>
      </c>
      <c r="E7" s="9" t="s">
        <v>1</v>
      </c>
      <c r="F7" s="11" t="s">
        <v>15</v>
      </c>
      <c r="G7" s="12" t="s">
        <v>13</v>
      </c>
      <c r="H7" s="12" t="s">
        <v>14</v>
      </c>
      <c r="I7" s="11" t="s">
        <v>15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1"/>
      <c r="C8" s="1" t="s">
        <v>2</v>
      </c>
      <c r="D8" s="2">
        <v>4148936.17</v>
      </c>
      <c r="E8" s="2">
        <v>4787234</v>
      </c>
      <c r="F8" s="10">
        <f>1-(D8/E8)</f>
        <v>0.13333332567407408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1"/>
      <c r="C9" s="1" t="s">
        <v>3</v>
      </c>
      <c r="D9" s="2">
        <v>263643.81</v>
      </c>
      <c r="E9" s="2">
        <v>253644.04</v>
      </c>
      <c r="F9" s="10">
        <f>1-(D9/E9)</f>
        <v>-3.9424423298099143E-2</v>
      </c>
      <c r="G9" s="8">
        <f>D9/D8</f>
        <v>6.3544918310951021E-2</v>
      </c>
      <c r="H9" s="8">
        <f>E9/E8</f>
        <v>5.298342215985264E-2</v>
      </c>
      <c r="I9" s="10">
        <f>1-(G9/H9)</f>
        <v>-0.1993358624370094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1"/>
      <c r="C10" s="1"/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1"/>
      <c r="C12" s="1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1"/>
      <c r="C13" s="1" t="s">
        <v>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/>
      <c r="C17" s="1" t="s">
        <v>6</v>
      </c>
      <c r="D17" s="1"/>
      <c r="E17" s="1"/>
      <c r="F17" s="1"/>
      <c r="G17" s="1"/>
      <c r="H17" s="1"/>
      <c r="I17" s="1"/>
      <c r="J17" s="1"/>
      <c r="K17" s="13" t="s">
        <v>21</v>
      </c>
      <c r="L17" s="13"/>
      <c r="M17" s="13"/>
      <c r="N17" s="13" t="s">
        <v>20</v>
      </c>
      <c r="O17" s="13"/>
      <c r="P17" s="1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1"/>
      <c r="C18" s="1"/>
      <c r="D18" s="4" t="s">
        <v>0</v>
      </c>
      <c r="E18" s="4" t="s">
        <v>1</v>
      </c>
      <c r="F18" s="1"/>
      <c r="G18" s="1" t="s">
        <v>16</v>
      </c>
      <c r="H18" s="1" t="s">
        <v>17</v>
      </c>
      <c r="I18" s="1"/>
      <c r="J18" s="1"/>
      <c r="K18" s="7" t="s">
        <v>0</v>
      </c>
      <c r="L18" s="7" t="s">
        <v>1</v>
      </c>
      <c r="M18" s="19" t="s">
        <v>15</v>
      </c>
      <c r="N18" s="7" t="s">
        <v>0</v>
      </c>
      <c r="O18" s="7" t="s">
        <v>1</v>
      </c>
      <c r="P18" s="7" t="s">
        <v>22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 t="s">
        <v>7</v>
      </c>
      <c r="D19" s="2">
        <v>1.5</v>
      </c>
      <c r="E19" s="2">
        <v>1.2</v>
      </c>
      <c r="F19" s="1"/>
      <c r="G19" s="2">
        <f>E19-D19</f>
        <v>-0.30000000000000004</v>
      </c>
      <c r="H19" s="6">
        <f>1-(D19/E19)</f>
        <v>-0.25</v>
      </c>
      <c r="I19" s="1" t="s">
        <v>18</v>
      </c>
      <c r="J19" s="1"/>
      <c r="K19" s="1"/>
      <c r="L19" s="1"/>
      <c r="M19" s="1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1" t="s">
        <v>8</v>
      </c>
      <c r="D20" s="2">
        <v>5500</v>
      </c>
      <c r="E20" s="2">
        <v>4787.2340000000004</v>
      </c>
      <c r="F20" s="1"/>
      <c r="G20" s="2">
        <f t="shared" ref="G20:G24" si="0">E20-D20</f>
        <v>-712.76599999999962</v>
      </c>
      <c r="H20" s="6">
        <f t="shared" ref="H20:H24" si="1">1-(D20/E20)</f>
        <v>-0.14888889910123448</v>
      </c>
      <c r="I20" s="1"/>
      <c r="J20" s="1"/>
      <c r="K20" s="15">
        <f>D8/D20</f>
        <v>754.3520309090909</v>
      </c>
      <c r="L20" s="14">
        <f>E8/E20</f>
        <v>999.99999999999989</v>
      </c>
      <c r="M20" s="18">
        <f>1-(K20/L20)</f>
        <v>0.24564796909090902</v>
      </c>
      <c r="N20" s="8">
        <f>D9/D20</f>
        <v>47.935238181818178</v>
      </c>
      <c r="O20" s="8">
        <f>E9/E20</f>
        <v>52.983422159852637</v>
      </c>
      <c r="P20" s="10">
        <f>1-(N20/O20)</f>
        <v>9.5278556428535888E-2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 t="s">
        <v>9</v>
      </c>
      <c r="D21" s="2">
        <v>110</v>
      </c>
      <c r="E21" s="2">
        <v>100</v>
      </c>
      <c r="F21" s="1"/>
      <c r="G21" s="2">
        <f t="shared" si="0"/>
        <v>-10</v>
      </c>
      <c r="H21" s="6">
        <f t="shared" si="1"/>
        <v>-0.10000000000000009</v>
      </c>
      <c r="I21" s="1"/>
      <c r="J21" s="1"/>
      <c r="K21" s="1"/>
      <c r="L21" s="1"/>
      <c r="M21" s="1"/>
      <c r="N21" s="16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 t="s">
        <v>10</v>
      </c>
      <c r="D22" s="2">
        <v>2.4</v>
      </c>
      <c r="E22" s="2">
        <v>2.3199999999999998</v>
      </c>
      <c r="F22" s="1"/>
      <c r="G22" s="2">
        <f t="shared" si="0"/>
        <v>-8.0000000000000071E-2</v>
      </c>
      <c r="H22" s="6">
        <f t="shared" si="1"/>
        <v>-3.4482758620689724E-2</v>
      </c>
      <c r="I22" s="1"/>
      <c r="J22" s="1"/>
      <c r="K22" s="1" t="s">
        <v>24</v>
      </c>
      <c r="L22" s="1"/>
      <c r="M22" s="1" t="s">
        <v>22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 t="s">
        <v>11</v>
      </c>
      <c r="D23" s="2">
        <v>1.91</v>
      </c>
      <c r="E23" s="2">
        <v>1.91</v>
      </c>
      <c r="F23" s="1"/>
      <c r="G23" s="2">
        <f t="shared" si="0"/>
        <v>0</v>
      </c>
      <c r="H23" s="6">
        <f t="shared" si="1"/>
        <v>0</v>
      </c>
      <c r="I23" s="1"/>
      <c r="J23" s="1"/>
      <c r="K23" s="14">
        <f>D8/1000</f>
        <v>4148.9361699999999</v>
      </c>
      <c r="L23" s="8">
        <f>K23*D23</f>
        <v>7924.4680847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20" t="s">
        <v>19</v>
      </c>
      <c r="D24" s="21">
        <f>D22/D26</f>
        <v>0.63401489935013466</v>
      </c>
      <c r="E24" s="21">
        <f>E22/D26</f>
        <v>0.61288106937179687</v>
      </c>
      <c r="F24" s="20"/>
      <c r="G24" s="22">
        <f t="shared" si="0"/>
        <v>-2.1133829978337793E-2</v>
      </c>
      <c r="H24" s="23">
        <f t="shared" si="1"/>
        <v>-3.4482758620689502E-2</v>
      </c>
      <c r="I24" s="1"/>
      <c r="J24" s="1"/>
      <c r="K24" s="14">
        <f>E8/1000</f>
        <v>4787.2340000000004</v>
      </c>
      <c r="L24" s="8">
        <f>K24*E23</f>
        <v>9143.6169399999999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20"/>
      <c r="J25" s="20" t="s">
        <v>25</v>
      </c>
      <c r="K25" s="20"/>
      <c r="L25" s="24">
        <f>L24-L23</f>
        <v>1219.1488552999999</v>
      </c>
      <c r="M25" s="25">
        <f>L25/L23</f>
        <v>0.15384614364891519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 t="s">
        <v>12</v>
      </c>
      <c r="D26" s="5">
        <v>3.7854000000000001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27" t="s">
        <v>23</v>
      </c>
      <c r="D32" s="28"/>
      <c r="E32" s="29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30" t="s">
        <v>27</v>
      </c>
      <c r="D33" s="1"/>
      <c r="E33" s="3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30" t="s">
        <v>28</v>
      </c>
      <c r="D34" s="1"/>
      <c r="E34" s="3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30" t="s">
        <v>26</v>
      </c>
      <c r="D35" s="1"/>
      <c r="E35" s="3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32" t="s">
        <v>29</v>
      </c>
      <c r="D36" s="26"/>
      <c r="E36" s="3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30" t="s">
        <v>30</v>
      </c>
      <c r="D37" s="1"/>
      <c r="E37" s="3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thickBot="1" x14ac:dyDescent="0.3">
      <c r="A38" s="1"/>
      <c r="B38" s="1"/>
      <c r="C38" s="33" t="s">
        <v>31</v>
      </c>
      <c r="D38" s="34"/>
      <c r="E38" s="3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3">
    <mergeCell ref="K17:M17"/>
    <mergeCell ref="N17:P17"/>
    <mergeCell ref="C36:D3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Sanabria Rivero</dc:creator>
  <cp:lastModifiedBy>PORTATIL28</cp:lastModifiedBy>
  <dcterms:created xsi:type="dcterms:W3CDTF">2022-01-11T07:41:38Z</dcterms:created>
  <dcterms:modified xsi:type="dcterms:W3CDTF">2023-12-13T19:24:14Z</dcterms:modified>
</cp:coreProperties>
</file>