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PORTATIL28\Desktop\IEBS\modulo 1\Gestion presupuestaria\C3\"/>
    </mc:Choice>
  </mc:AlternateContent>
  <xr:revisionPtr revIDLastSave="0" documentId="13_ncr:1_{891C7BD7-67F2-46E1-9EB4-71EAAFBCA04C}" xr6:coauthVersionLast="47" xr6:coauthVersionMax="47" xr10:uidLastSave="{00000000-0000-0000-0000-000000000000}"/>
  <bookViews>
    <workbookView xWindow="22932" yWindow="-60" windowWidth="23256" windowHeight="1245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8" i="1" l="1"/>
  <c r="F38" i="1"/>
  <c r="E38" i="1"/>
  <c r="D38" i="1"/>
  <c r="E37" i="1"/>
  <c r="D37" i="1"/>
  <c r="E36" i="1"/>
  <c r="D36" i="1"/>
  <c r="E34" i="1"/>
  <c r="E33" i="1"/>
  <c r="E32" i="1"/>
  <c r="D33" i="1"/>
  <c r="D32" i="1"/>
  <c r="H25" i="1"/>
  <c r="G25" i="1"/>
  <c r="E25" i="1"/>
  <c r="D25" i="1"/>
  <c r="H28" i="1"/>
  <c r="G28" i="1"/>
  <c r="E28" i="1"/>
  <c r="D28" i="1"/>
  <c r="E27" i="1"/>
  <c r="D27" i="1"/>
  <c r="E24" i="1"/>
  <c r="D24" i="1"/>
  <c r="H20" i="1"/>
  <c r="H21" i="1"/>
  <c r="H22" i="1"/>
  <c r="H23" i="1"/>
  <c r="H19" i="1"/>
  <c r="F9" i="1"/>
  <c r="D15" i="1" s="1"/>
  <c r="D14" i="1"/>
  <c r="F8" i="1"/>
  <c r="E14" i="1" s="1"/>
  <c r="H59" i="1"/>
  <c r="I59" i="1" s="1"/>
  <c r="H58" i="1"/>
  <c r="I58" i="1" s="1"/>
  <c r="I55" i="1"/>
  <c r="H55" i="1"/>
  <c r="K55" i="1"/>
  <c r="L55" i="1"/>
  <c r="G23" i="1"/>
  <c r="G20" i="1"/>
  <c r="G21" i="1"/>
  <c r="G22" i="1"/>
  <c r="G19" i="1"/>
  <c r="E10" i="1"/>
  <c r="E11" i="1" s="1"/>
  <c r="D10" i="1"/>
  <c r="G9" i="1"/>
  <c r="G8" i="1"/>
  <c r="G10" i="1" l="1"/>
  <c r="J55" i="1"/>
  <c r="I60" i="1"/>
  <c r="J60" i="1" s="1"/>
  <c r="F10" i="1"/>
  <c r="E15" i="1" s="1"/>
  <c r="E16" i="1" s="1"/>
  <c r="D11" i="1"/>
  <c r="M55" i="1"/>
  <c r="G24" i="1"/>
  <c r="H24" i="1" s="1"/>
</calcChain>
</file>

<file path=xl/sharedStrings.xml><?xml version="1.0" encoding="utf-8"?>
<sst xmlns="http://schemas.openxmlformats.org/spreadsheetml/2006/main" count="54" uniqueCount="42">
  <si>
    <t>N</t>
  </si>
  <si>
    <t>N+1</t>
  </si>
  <si>
    <t>Consumo Agua (litros)</t>
  </si>
  <si>
    <t>Coste Agua (euros)</t>
  </si>
  <si>
    <t>Tipo de Cambio</t>
  </si>
  <si>
    <t>Horas de Planta Osmosis</t>
  </si>
  <si>
    <t>Consumo fuel Hora</t>
  </si>
  <si>
    <t>Precio Fuel (USD/ Gallon)</t>
  </si>
  <si>
    <t>Precio mercado Agua (Euro/1000 ltrs)</t>
  </si>
  <si>
    <t>1 Gallon = Litros</t>
  </si>
  <si>
    <t>desv. %</t>
  </si>
  <si>
    <t xml:space="preserve">desv. </t>
  </si>
  <si>
    <t>desv.%</t>
  </si>
  <si>
    <t xml:space="preserve"> </t>
  </si>
  <si>
    <t>Coste aigua hora planta</t>
  </si>
  <si>
    <t>Consum aigua hora (litros)</t>
  </si>
  <si>
    <t>desv %</t>
  </si>
  <si>
    <t>Conclusiones:</t>
  </si>
  <si>
    <t>coste litro agua</t>
  </si>
  <si>
    <t>Coste mas alto</t>
  </si>
  <si>
    <t>Vemos Precio fuel ha bajado, tenemos un mayor coste.</t>
  </si>
  <si>
    <t xml:space="preserve">Lo que parece una reducción de costes, </t>
  </si>
  <si>
    <t>en realidad es una perdida de productividad y mayor coste del agua</t>
  </si>
  <si>
    <r>
      <rPr>
        <b/>
        <sz val="12"/>
        <color theme="1"/>
        <rFont val="Calibri"/>
        <family val="2"/>
      </rPr>
      <t xml:space="preserve">Consumimos un 25% mas </t>
    </r>
    <r>
      <rPr>
        <sz val="12"/>
        <color theme="1"/>
        <rFont val="Calibri"/>
        <family val="2"/>
      </rPr>
      <t>de litros de agua en N+1</t>
    </r>
  </si>
  <si>
    <r>
      <t>El</t>
    </r>
    <r>
      <rPr>
        <b/>
        <sz val="12"/>
        <color theme="1"/>
        <rFont val="Calibri"/>
        <family val="2"/>
      </rPr>
      <t xml:space="preserve"> coste litro agua es 15,38% mayo</t>
    </r>
    <r>
      <rPr>
        <sz val="12"/>
        <color theme="1"/>
        <rFont val="Calibri"/>
        <family val="2"/>
      </rPr>
      <t xml:space="preserve">r en N+1 </t>
    </r>
  </si>
  <si>
    <r>
      <t xml:space="preserve">Provoca que el </t>
    </r>
    <r>
      <rPr>
        <b/>
        <sz val="12"/>
        <color theme="1"/>
        <rFont val="Calibri"/>
        <family val="2"/>
      </rPr>
      <t>coste de planta por hora sea del 9,53%</t>
    </r>
    <r>
      <rPr>
        <sz val="12"/>
        <color theme="1"/>
        <rFont val="Calibri"/>
        <family val="2"/>
      </rPr>
      <t xml:space="preserve"> mayor</t>
    </r>
  </si>
  <si>
    <t>Costo promedio Agua (Euro/ltr)</t>
  </si>
  <si>
    <t>Costo promedio Agua (Euro/1000 ltrs)</t>
  </si>
  <si>
    <t>Mayor consumo de agua</t>
  </si>
  <si>
    <t>Mejora del costo promedio de Agua</t>
  </si>
  <si>
    <t>Variacion en Cantidad</t>
  </si>
  <si>
    <t>Variacion en Importe</t>
  </si>
  <si>
    <t>desivaicion</t>
  </si>
  <si>
    <t xml:space="preserve">Precio </t>
  </si>
  <si>
    <t>Mejor uso del fuel por hora en el año N+1 en comparacion al Año N lo que permite un ahorro en costo de Fuel.</t>
  </si>
  <si>
    <t>Total Litros Fuel consumidos</t>
  </si>
  <si>
    <t>Total Costo Fuel (Euros)</t>
  </si>
  <si>
    <t>Se evidencia el menor consumo de fuel en el año N+1</t>
  </si>
  <si>
    <t>Precio Fuel (EUR/ Litro)</t>
  </si>
  <si>
    <t>Precio Fuel (USD/ Litro)</t>
  </si>
  <si>
    <t>Ademas de tener un menor consumo de Fuel tambien el precio del Fuel Oil fue menor en el Año N+1 producto de un tipo de cambio menor.</t>
  </si>
  <si>
    <t>Por otro lado, se evidencia que el consumo de Fuel Oil para el año N+1 fue mayor producto al aumento en la produccion.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</si>
</sst>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43" formatCode="_-* #,##0.00_-;\-* #,##0.00_-;_-* &quot;-&quot;??_-;_-@_-"/>
    <numFmt numFmtId="165" formatCode="_-* #,##0.00\ _€_-;\-* #,##0.00\ _€_-;_-* &quot;-&quot;??\ _€_-;_-@_-"/>
  </numFmts>
  <fonts count="7" x14ac:knownFonts="1">
    <font>
      <sz val="12"/>
      <color theme="1"/>
      <name val="Arial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sz val="12"/>
      <color theme="1"/>
      <name val="Arial"/>
    </font>
    <font>
      <b/>
      <sz val="12"/>
      <color theme="1"/>
      <name val="Calibri"/>
      <family val="2"/>
    </font>
    <font>
      <sz val="12"/>
      <color theme="1"/>
      <name val="Calibri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39">
    <xf numFmtId="0" fontId="0" fillId="0" borderId="0" xfId="0"/>
    <xf numFmtId="0" fontId="1" fillId="2" borderId="1" xfId="0" applyFont="1" applyFill="1" applyBorder="1"/>
    <xf numFmtId="4" fontId="1" fillId="2" borderId="1" xfId="0" applyNumberFormat="1" applyFont="1" applyFill="1" applyBorder="1"/>
    <xf numFmtId="4" fontId="2" fillId="2" borderId="2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/>
    </xf>
    <xf numFmtId="44" fontId="1" fillId="2" borderId="1" xfId="2" applyFont="1" applyFill="1" applyBorder="1"/>
    <xf numFmtId="0" fontId="2" fillId="2" borderId="3" xfId="0" applyFont="1" applyFill="1" applyBorder="1" applyAlignment="1">
      <alignment horizontal="center"/>
    </xf>
    <xf numFmtId="10" fontId="1" fillId="2" borderId="1" xfId="3" applyNumberFormat="1" applyFont="1" applyFill="1" applyBorder="1"/>
    <xf numFmtId="43" fontId="1" fillId="2" borderId="1" xfId="1" applyFont="1" applyFill="1" applyBorder="1"/>
    <xf numFmtId="43" fontId="6" fillId="3" borderId="1" xfId="1" applyFont="1" applyFill="1" applyBorder="1"/>
    <xf numFmtId="0" fontId="0" fillId="3" borderId="0" xfId="0" applyFill="1"/>
    <xf numFmtId="0" fontId="6" fillId="3" borderId="0" xfId="0" applyFont="1" applyFill="1"/>
    <xf numFmtId="9" fontId="6" fillId="3" borderId="0" xfId="3" applyFont="1" applyFill="1"/>
    <xf numFmtId="0" fontId="6" fillId="3" borderId="0" xfId="0" applyFont="1" applyFill="1" applyAlignment="1">
      <alignment horizontal="center"/>
    </xf>
    <xf numFmtId="0" fontId="5" fillId="2" borderId="1" xfId="0" applyFont="1" applyFill="1" applyBorder="1"/>
    <xf numFmtId="4" fontId="5" fillId="2" borderId="1" xfId="0" applyNumberFormat="1" applyFont="1" applyFill="1" applyBorder="1"/>
    <xf numFmtId="44" fontId="5" fillId="2" borderId="1" xfId="0" applyNumberFormat="1" applyFont="1" applyFill="1" applyBorder="1"/>
    <xf numFmtId="10" fontId="5" fillId="2" borderId="1" xfId="3" applyNumberFormat="1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0" fontId="5" fillId="2" borderId="1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0" fillId="3" borderId="1" xfId="0" applyFill="1" applyBorder="1"/>
    <xf numFmtId="44" fontId="1" fillId="2" borderId="1" xfId="0" applyNumberFormat="1" applyFont="1" applyFill="1" applyBorder="1"/>
    <xf numFmtId="43" fontId="5" fillId="2" borderId="1" xfId="1" applyFont="1" applyFill="1" applyBorder="1"/>
    <xf numFmtId="43" fontId="1" fillId="2" borderId="1" xfId="0" applyNumberFormat="1" applyFont="1" applyFill="1" applyBorder="1"/>
    <xf numFmtId="165" fontId="1" fillId="2" borderId="1" xfId="0" applyNumberFormat="1" applyFont="1" applyFill="1" applyBorder="1"/>
  </cellXfs>
  <cellStyles count="4">
    <cellStyle name="Coma" xfId="1" builtinId="3"/>
    <cellStyle name="Moneda" xfId="2" builtinId="4"/>
    <cellStyle name="Normal" xfId="0" builtinId="0"/>
    <cellStyle name="Percentatg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5"/>
  <sheetViews>
    <sheetView tabSelected="1" topLeftCell="A16" workbookViewId="0">
      <selection activeCell="H37" sqref="H37"/>
    </sheetView>
  </sheetViews>
  <sheetFormatPr defaultColWidth="11.21875" defaultRowHeight="15" customHeight="1" x14ac:dyDescent="0.2"/>
  <cols>
    <col min="1" max="2" width="10.77734375" customWidth="1"/>
    <col min="3" max="3" width="30" customWidth="1"/>
    <col min="4" max="4" width="11.44140625" customWidth="1"/>
    <col min="5" max="5" width="13.77734375" customWidth="1"/>
    <col min="6" max="6" width="10.77734375" customWidth="1"/>
    <col min="7" max="7" width="10.5546875" customWidth="1"/>
    <col min="8" max="8" width="11.6640625" customWidth="1"/>
    <col min="9" max="9" width="10.5546875" customWidth="1"/>
    <col min="10" max="10" width="13.44140625" customWidth="1"/>
    <col min="11" max="12" width="10.5546875" customWidth="1"/>
    <col min="13" max="13" width="10.5546875" style="12" customWidth="1"/>
    <col min="14" max="26" width="10.5546875" customWidth="1"/>
  </cols>
  <sheetData>
    <row r="1" spans="1:26" ht="15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5">
      <c r="A7" s="1"/>
      <c r="B7" s="1"/>
      <c r="C7" s="2"/>
      <c r="D7" s="3" t="s">
        <v>0</v>
      </c>
      <c r="E7" s="8" t="s">
        <v>1</v>
      </c>
      <c r="F7" s="8" t="s">
        <v>32</v>
      </c>
      <c r="G7" s="31" t="s">
        <v>10</v>
      </c>
      <c r="H7" s="32"/>
      <c r="I7" s="32"/>
      <c r="J7" s="33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5">
      <c r="A8" s="1"/>
      <c r="B8" s="1"/>
      <c r="C8" s="1" t="s">
        <v>2</v>
      </c>
      <c r="D8" s="2">
        <v>4148936.17</v>
      </c>
      <c r="E8" s="2">
        <v>4787234</v>
      </c>
      <c r="F8" s="2">
        <f>E8-D8</f>
        <v>638297.83000000007</v>
      </c>
      <c r="G8" s="9">
        <f>1-(D8/E8)</f>
        <v>0.13333332567407408</v>
      </c>
      <c r="H8" s="1" t="s">
        <v>28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5">
      <c r="A9" s="1"/>
      <c r="B9" s="1"/>
      <c r="C9" s="1" t="s">
        <v>3</v>
      </c>
      <c r="D9" s="2">
        <v>263643.81</v>
      </c>
      <c r="E9" s="2">
        <v>253644.04</v>
      </c>
      <c r="F9" s="2">
        <f>E9-D9</f>
        <v>-9999.7699999999895</v>
      </c>
      <c r="G9" s="9">
        <f>1-(D9/E9)</f>
        <v>-3.9424423298099143E-2</v>
      </c>
      <c r="H9" s="34"/>
      <c r="I9" s="34"/>
      <c r="J9" s="34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5">
      <c r="A10" s="1"/>
      <c r="B10" s="1"/>
      <c r="C10" s="1" t="s">
        <v>26</v>
      </c>
      <c r="D10" s="7">
        <f>D9/D8</f>
        <v>6.3544918310951021E-2</v>
      </c>
      <c r="E10" s="7">
        <f>E9/E8</f>
        <v>5.298342215985264E-2</v>
      </c>
      <c r="F10" s="2">
        <f>E10-D10</f>
        <v>-1.056149615109838E-2</v>
      </c>
      <c r="G10" s="9">
        <f>1-(D10/E10)</f>
        <v>-0.1993358624370094</v>
      </c>
      <c r="H10" s="1" t="s">
        <v>29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5">
      <c r="A11" s="1"/>
      <c r="B11" s="1"/>
      <c r="C11" s="1" t="s">
        <v>27</v>
      </c>
      <c r="D11" s="35">
        <f>D10*1000</f>
        <v>63.544918310951019</v>
      </c>
      <c r="E11" s="35">
        <f>E10*1000</f>
        <v>52.983422159852637</v>
      </c>
      <c r="F11" s="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5">
      <c r="A14" s="1"/>
      <c r="B14" s="1"/>
      <c r="C14" s="1" t="s">
        <v>30</v>
      </c>
      <c r="D14" s="9">
        <f>F8/D8</f>
        <v>0.15384614364891522</v>
      </c>
      <c r="E14" s="35">
        <f>(F8*D10)/1000</f>
        <v>40.560583465407305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5">
      <c r="A15" s="1"/>
      <c r="B15" s="1"/>
      <c r="C15" s="1" t="s">
        <v>31</v>
      </c>
      <c r="D15" s="9">
        <f>F9/D9</f>
        <v>-3.7929090768336227E-2</v>
      </c>
      <c r="E15" s="35">
        <f>(F10*E8)/1000</f>
        <v>-50.560353465407303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5">
      <c r="A16" s="1"/>
      <c r="B16" s="1"/>
      <c r="C16" s="1"/>
      <c r="D16" s="1"/>
      <c r="E16" s="35">
        <f>SUM(E14:E15)</f>
        <v>-9.999769999999998</v>
      </c>
      <c r="F16" s="1"/>
      <c r="G16" s="1"/>
      <c r="H16" s="1"/>
      <c r="I16" s="1"/>
      <c r="J16" s="12"/>
      <c r="K16" s="12"/>
      <c r="L16" s="12"/>
      <c r="N16" s="12"/>
      <c r="O16" s="12"/>
      <c r="P16" s="12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5">
      <c r="A17" s="1"/>
      <c r="B17" s="1"/>
      <c r="C17" s="1" t="s">
        <v>33</v>
      </c>
      <c r="D17" s="1"/>
      <c r="E17" s="1"/>
      <c r="F17" s="1"/>
      <c r="G17" s="1"/>
      <c r="H17" s="1"/>
      <c r="I17" s="1"/>
      <c r="J17" s="12"/>
      <c r="K17" s="12"/>
      <c r="L17" s="12"/>
      <c r="N17" s="12"/>
      <c r="O17" s="12"/>
      <c r="P17" s="12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5">
      <c r="A18" s="1"/>
      <c r="B18" s="1"/>
      <c r="C18" s="1"/>
      <c r="D18" s="4" t="s">
        <v>0</v>
      </c>
      <c r="E18" s="4" t="s">
        <v>1</v>
      </c>
      <c r="F18" s="1"/>
      <c r="G18" s="1" t="s">
        <v>11</v>
      </c>
      <c r="H18" s="1" t="s">
        <v>12</v>
      </c>
      <c r="I18" s="1"/>
      <c r="J18" s="12"/>
      <c r="K18" s="12"/>
      <c r="L18" s="12"/>
      <c r="N18" s="12"/>
      <c r="O18" s="12"/>
      <c r="P18" s="12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5">
      <c r="A19" s="1"/>
      <c r="B19" s="1"/>
      <c r="C19" s="1" t="s">
        <v>4</v>
      </c>
      <c r="D19" s="2">
        <v>1.5</v>
      </c>
      <c r="E19" s="2">
        <v>1.2</v>
      </c>
      <c r="F19" s="2"/>
      <c r="G19" s="2">
        <f>E19-D19</f>
        <v>-0.30000000000000004</v>
      </c>
      <c r="H19" s="9">
        <f>G19/D19</f>
        <v>-0.20000000000000004</v>
      </c>
      <c r="I19" s="1" t="s">
        <v>13</v>
      </c>
      <c r="J19" s="12"/>
      <c r="K19" s="12"/>
      <c r="L19" s="12"/>
      <c r="N19" s="12"/>
      <c r="O19" s="12"/>
      <c r="P19" s="12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5">
      <c r="A20" s="1"/>
      <c r="B20" s="1"/>
      <c r="C20" s="1" t="s">
        <v>5</v>
      </c>
      <c r="D20" s="2">
        <v>5500</v>
      </c>
      <c r="E20" s="2">
        <v>4787.2340000000004</v>
      </c>
      <c r="F20" s="2"/>
      <c r="G20" s="2">
        <f t="shared" ref="G20:G25" si="0">E20-D20</f>
        <v>-712.76599999999962</v>
      </c>
      <c r="H20" s="9">
        <f t="shared" ref="H20:H25" si="1">G20/D20</f>
        <v>-0.12959381818181812</v>
      </c>
      <c r="I20" s="1"/>
      <c r="J20" s="12"/>
      <c r="K20" s="12"/>
      <c r="L20" s="12"/>
      <c r="N20" s="12"/>
      <c r="O20" s="12"/>
      <c r="P20" s="12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/>
      <c r="B21" s="1"/>
      <c r="C21" s="1" t="s">
        <v>6</v>
      </c>
      <c r="D21" s="2">
        <v>110</v>
      </c>
      <c r="E21" s="2">
        <v>100</v>
      </c>
      <c r="F21" s="2"/>
      <c r="G21" s="2">
        <f t="shared" si="0"/>
        <v>-10</v>
      </c>
      <c r="H21" s="9">
        <f t="shared" si="1"/>
        <v>-9.0909090909090912E-2</v>
      </c>
      <c r="I21" s="1" t="s">
        <v>34</v>
      </c>
      <c r="J21" s="12"/>
      <c r="K21" s="12"/>
      <c r="L21" s="12"/>
      <c r="N21" s="12"/>
      <c r="O21" s="12"/>
      <c r="P21" s="12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1"/>
      <c r="C22" s="1" t="s">
        <v>7</v>
      </c>
      <c r="D22" s="2">
        <v>2.4</v>
      </c>
      <c r="E22" s="2">
        <v>2.3199999999999998</v>
      </c>
      <c r="F22" s="2"/>
      <c r="G22" s="2">
        <f t="shared" si="0"/>
        <v>-8.0000000000000071E-2</v>
      </c>
      <c r="H22" s="9">
        <f t="shared" si="1"/>
        <v>-3.3333333333333368E-2</v>
      </c>
      <c r="I22" s="1"/>
      <c r="J22" s="12"/>
      <c r="K22" s="12"/>
      <c r="L22" s="12"/>
      <c r="N22" s="12"/>
      <c r="O22" s="12"/>
      <c r="P22" s="12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1"/>
      <c r="C23" s="1" t="s">
        <v>8</v>
      </c>
      <c r="D23" s="2">
        <v>1.91</v>
      </c>
      <c r="E23" s="2">
        <v>1.91</v>
      </c>
      <c r="F23" s="2"/>
      <c r="G23" s="2">
        <f t="shared" si="0"/>
        <v>0</v>
      </c>
      <c r="H23" s="9">
        <f t="shared" si="1"/>
        <v>0</v>
      </c>
      <c r="I23" s="1"/>
      <c r="J23" s="12"/>
      <c r="K23" s="12"/>
      <c r="L23" s="12"/>
      <c r="N23" s="12"/>
      <c r="O23" s="12"/>
      <c r="P23" s="12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1"/>
      <c r="C24" s="1" t="s">
        <v>35</v>
      </c>
      <c r="D24" s="36">
        <f>D20*D21</f>
        <v>605000</v>
      </c>
      <c r="E24" s="36">
        <f>E20*E21</f>
        <v>478723.4</v>
      </c>
      <c r="F24" s="2"/>
      <c r="G24" s="17">
        <f t="shared" si="0"/>
        <v>-126276.59999999998</v>
      </c>
      <c r="H24" s="9">
        <f t="shared" si="1"/>
        <v>-0.20872165289256195</v>
      </c>
      <c r="I24" s="1" t="s">
        <v>37</v>
      </c>
      <c r="J24" s="12"/>
      <c r="K24" s="12"/>
      <c r="L24" s="12"/>
      <c r="N24" s="12"/>
      <c r="O24" s="12"/>
      <c r="P24" s="12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1"/>
      <c r="C25" s="1" t="s">
        <v>36</v>
      </c>
      <c r="D25" s="10">
        <f>D28*D24</f>
        <v>575368.52116024715</v>
      </c>
      <c r="E25" s="10">
        <f>E28*E24</f>
        <v>352080.61119036295</v>
      </c>
      <c r="F25" s="1"/>
      <c r="G25" s="17">
        <f t="shared" si="0"/>
        <v>-223287.9099698842</v>
      </c>
      <c r="H25" s="9">
        <f t="shared" si="1"/>
        <v>-0.38807807823691454</v>
      </c>
      <c r="I25" s="1" t="s">
        <v>40</v>
      </c>
      <c r="J25" s="12"/>
      <c r="K25" s="12"/>
      <c r="L25" s="12"/>
      <c r="N25" s="12"/>
      <c r="O25" s="12"/>
      <c r="P25" s="12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1"/>
      <c r="C27" s="1" t="s">
        <v>39</v>
      </c>
      <c r="D27" s="1">
        <f>D22/D29</f>
        <v>0.63401489935013466</v>
      </c>
      <c r="E27" s="1">
        <f>E22/D29</f>
        <v>0.61288106937179687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1"/>
      <c r="C28" s="1" t="s">
        <v>38</v>
      </c>
      <c r="D28" s="10">
        <f>D27*D19</f>
        <v>0.951022349025202</v>
      </c>
      <c r="E28" s="10">
        <f>E27*E19</f>
        <v>0.73545728324615622</v>
      </c>
      <c r="F28" s="1"/>
      <c r="G28" s="2">
        <f t="shared" ref="G28" si="2">E28-D28</f>
        <v>-0.21556506577904577</v>
      </c>
      <c r="H28" s="9">
        <f t="shared" ref="H28" si="3">G28/D28</f>
        <v>-0.22666666666666666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1"/>
      <c r="C29" s="1" t="s">
        <v>9</v>
      </c>
      <c r="D29" s="5">
        <v>3.7854000000000001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s="12" customFormat="1" ht="15.75" customHeight="1" x14ac:dyDescent="0.25">
      <c r="A32" s="1"/>
      <c r="C32" s="1" t="s">
        <v>30</v>
      </c>
      <c r="D32" s="9">
        <f>G24/D24</f>
        <v>-0.20872165289256195</v>
      </c>
      <c r="E32" s="2">
        <f>G24*D28</f>
        <v>-120091.86875891581</v>
      </c>
      <c r="F32" s="2"/>
      <c r="G32" s="2"/>
      <c r="H32" s="2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s="12" customFormat="1" ht="15.75" customHeight="1" x14ac:dyDescent="0.25">
      <c r="A33" s="1"/>
      <c r="C33" s="1" t="s">
        <v>31</v>
      </c>
      <c r="D33" s="9">
        <f>G25/D25</f>
        <v>-0.38807807823691454</v>
      </c>
      <c r="E33" s="2">
        <f>G28*E24</f>
        <v>-103196.04121096844</v>
      </c>
      <c r="F33" s="2"/>
      <c r="G33" s="2"/>
      <c r="H33" s="2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s="12" customFormat="1" ht="15.75" customHeight="1" x14ac:dyDescent="0.25">
      <c r="A34" s="1"/>
      <c r="D34" s="1"/>
      <c r="E34" s="2">
        <f>SUM(E32:E33)</f>
        <v>-223287.90996988426</v>
      </c>
      <c r="F34" s="2"/>
      <c r="G34" s="2"/>
      <c r="H34" s="2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s="12" customFormat="1" ht="15.75" customHeight="1" x14ac:dyDescent="0.25">
      <c r="A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s="12" customFormat="1" ht="14.25" customHeight="1" x14ac:dyDescent="0.25">
      <c r="A36" s="1"/>
      <c r="C36" s="1" t="s">
        <v>2</v>
      </c>
      <c r="D36" s="10">
        <f>D8</f>
        <v>4148936.17</v>
      </c>
      <c r="E36" s="10">
        <f>E8</f>
        <v>4787234</v>
      </c>
      <c r="F36" s="1"/>
      <c r="G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s="12" customFormat="1" ht="15.75" customHeight="1" x14ac:dyDescent="0.25">
      <c r="A37" s="1"/>
      <c r="C37" s="1" t="s">
        <v>35</v>
      </c>
      <c r="D37" s="37">
        <f>D24</f>
        <v>605000</v>
      </c>
      <c r="E37" s="37">
        <f>E24</f>
        <v>478723.4</v>
      </c>
      <c r="F37" s="1"/>
      <c r="G37" s="1"/>
      <c r="H37" s="1" t="s">
        <v>41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s="12" customFormat="1" ht="15.75" customHeight="1" x14ac:dyDescent="0.25">
      <c r="A38" s="1"/>
      <c r="D38" s="10">
        <f>D36/D37</f>
        <v>6.8577457355371898</v>
      </c>
      <c r="E38" s="10">
        <f>E36/E37</f>
        <v>10</v>
      </c>
      <c r="F38" s="38">
        <f>E38-D38</f>
        <v>3.1422542644628102</v>
      </c>
      <c r="G38" s="9">
        <f>F38/D38</f>
        <v>0.458205128279908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s="12" customFormat="1" ht="15.75" customHeight="1" x14ac:dyDescent="0.25">
      <c r="A39" s="1"/>
      <c r="D39" s="1"/>
      <c r="E39" s="1"/>
      <c r="F39" s="1"/>
      <c r="G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s="12" customFormat="1" ht="15.75" customHeight="1" x14ac:dyDescent="0.25">
      <c r="A40" s="1"/>
      <c r="D40" s="1"/>
      <c r="E40" s="1"/>
      <c r="F40" s="1"/>
      <c r="G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s="12" customFormat="1" ht="15.75" customHeight="1" x14ac:dyDescent="0.25">
      <c r="A41" s="1"/>
      <c r="D41" s="1"/>
      <c r="E41" s="1"/>
      <c r="F41" s="1"/>
      <c r="G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thickBo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20" t="s">
        <v>17</v>
      </c>
      <c r="D51" s="21"/>
      <c r="E51" s="22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23" t="s">
        <v>21</v>
      </c>
      <c r="D52" s="1"/>
      <c r="E52" s="24"/>
      <c r="F52" s="1"/>
      <c r="G52" s="1"/>
      <c r="H52" s="28" t="s">
        <v>15</v>
      </c>
      <c r="I52" s="28"/>
      <c r="J52" s="28"/>
      <c r="K52" s="28" t="s">
        <v>14</v>
      </c>
      <c r="L52" s="28"/>
      <c r="M52" s="28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23" t="s">
        <v>22</v>
      </c>
      <c r="D53" s="1"/>
      <c r="E53" s="24"/>
      <c r="F53" s="1"/>
      <c r="G53" s="1"/>
      <c r="H53" s="6" t="s">
        <v>0</v>
      </c>
      <c r="I53" s="6" t="s">
        <v>1</v>
      </c>
      <c r="J53" s="15" t="s">
        <v>10</v>
      </c>
      <c r="K53" s="6" t="s">
        <v>0</v>
      </c>
      <c r="L53" s="6" t="s">
        <v>1</v>
      </c>
      <c r="M53" s="6" t="s">
        <v>16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23" t="s">
        <v>20</v>
      </c>
      <c r="D54" s="1"/>
      <c r="E54" s="24"/>
      <c r="F54" s="1"/>
      <c r="G54" s="1"/>
      <c r="H54" s="1"/>
      <c r="I54" s="1"/>
      <c r="J54" s="13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29" t="s">
        <v>23</v>
      </c>
      <c r="D55" s="30"/>
      <c r="E55" s="24"/>
      <c r="F55" s="1"/>
      <c r="G55" s="1"/>
      <c r="H55" s="11">
        <f>D8/D20</f>
        <v>754.3520309090909</v>
      </c>
      <c r="I55" s="10">
        <f>E8/E20</f>
        <v>999.99999999999989</v>
      </c>
      <c r="J55" s="14">
        <f>1-(H55/I55)</f>
        <v>0.24564796909090902</v>
      </c>
      <c r="K55" s="7">
        <f>D9/D20</f>
        <v>47.935238181818178</v>
      </c>
      <c r="L55" s="7">
        <f>E9/E20</f>
        <v>52.983422159852637</v>
      </c>
      <c r="M55" s="9">
        <f>1-(K55/L55)</f>
        <v>9.5278556428535888E-2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23" t="s">
        <v>24</v>
      </c>
      <c r="D56" s="1"/>
      <c r="E56" s="24"/>
      <c r="F56" s="1"/>
      <c r="G56" s="1"/>
      <c r="H56" s="1"/>
      <c r="I56" s="1"/>
      <c r="J56" s="1"/>
      <c r="K56" s="12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thickBot="1" x14ac:dyDescent="0.3">
      <c r="A57" s="1"/>
      <c r="B57" s="1"/>
      <c r="C57" s="25" t="s">
        <v>25</v>
      </c>
      <c r="D57" s="26"/>
      <c r="E57" s="27"/>
      <c r="F57" s="1"/>
      <c r="G57" s="1"/>
      <c r="H57" s="1" t="s">
        <v>18</v>
      </c>
      <c r="I57" s="1"/>
      <c r="J57" s="1" t="s">
        <v>16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0">
        <f>D8/1000</f>
        <v>4148.9361699999999</v>
      </c>
      <c r="I58" s="7">
        <f>H58*D23</f>
        <v>7924.4680847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0">
        <f>E8/1000</f>
        <v>4787.2340000000004</v>
      </c>
      <c r="I59" s="7">
        <f>H59*E23</f>
        <v>9143.6169399999999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6" t="s">
        <v>19</v>
      </c>
      <c r="H60" s="16"/>
      <c r="I60" s="18">
        <f>I59-I58</f>
        <v>1219.1488552999999</v>
      </c>
      <c r="J60" s="19">
        <f>I60/I58</f>
        <v>0.15384614364891519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</sheetData>
  <mergeCells count="3">
    <mergeCell ref="H52:J52"/>
    <mergeCell ref="K52:M52"/>
    <mergeCell ref="C55:D5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Francisco Sanabria Rivero</dc:creator>
  <cp:lastModifiedBy>PORTATIL28</cp:lastModifiedBy>
  <dcterms:created xsi:type="dcterms:W3CDTF">2022-01-11T07:41:38Z</dcterms:created>
  <dcterms:modified xsi:type="dcterms:W3CDTF">2023-12-14T18:29:48Z</dcterms:modified>
</cp:coreProperties>
</file>