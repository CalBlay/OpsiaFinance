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PORTATIL28\Desktop\IEBS\modulo 1\Gestion presupuestaria\C3\"/>
    </mc:Choice>
  </mc:AlternateContent>
  <xr:revisionPtr revIDLastSave="0" documentId="8_{BA579709-5F63-4E2F-B99A-4B26FC572E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/>
  <c r="F50" i="1" s="1"/>
  <c r="D50" i="1"/>
  <c r="C50" i="1"/>
  <c r="C26" i="1"/>
  <c r="C27" i="1" s="1"/>
  <c r="D26" i="1"/>
  <c r="D27" i="1" s="1"/>
  <c r="E37" i="1"/>
  <c r="F37" i="1" s="1"/>
  <c r="D41" i="1" l="1"/>
  <c r="C41" i="1"/>
  <c r="D36" i="1"/>
  <c r="D38" i="1" s="1"/>
  <c r="C36" i="1"/>
  <c r="C38" i="1" s="1"/>
  <c r="E35" i="1"/>
  <c r="F35" i="1" s="1"/>
  <c r="E40" i="1"/>
  <c r="E39" i="1"/>
  <c r="F39" i="1" s="1"/>
  <c r="E14" i="1"/>
  <c r="F14" i="1" s="1"/>
  <c r="E13" i="1"/>
  <c r="F13" i="1" s="1"/>
  <c r="E12" i="1"/>
  <c r="F12" i="1" s="1"/>
  <c r="H8" i="1"/>
  <c r="I7" i="1" s="1"/>
  <c r="E11" i="1"/>
  <c r="F11" i="1" s="1"/>
  <c r="C42" i="1" l="1"/>
  <c r="D42" i="1"/>
  <c r="E38" i="1"/>
  <c r="C44" i="1"/>
  <c r="F40" i="1"/>
  <c r="E41" i="1"/>
  <c r="E42" i="1" l="1"/>
  <c r="F42" i="1" s="1"/>
  <c r="F41" i="1"/>
  <c r="D44" i="1"/>
  <c r="F38" i="1"/>
  <c r="D45" i="1"/>
  <c r="C45" i="1"/>
  <c r="D46" i="1" l="1"/>
  <c r="C30" i="1" l="1"/>
  <c r="C29" i="1"/>
  <c r="E26" i="1"/>
  <c r="D30" i="1" s="1"/>
  <c r="E25" i="1"/>
  <c r="F25" i="1" s="1"/>
  <c r="E24" i="1"/>
  <c r="F24" i="1" s="1"/>
  <c r="D29" i="1" l="1"/>
  <c r="D31" i="1" s="1"/>
  <c r="F26" i="1"/>
</calcChain>
</file>

<file path=xl/sharedStrings.xml><?xml version="1.0" encoding="utf-8"?>
<sst xmlns="http://schemas.openxmlformats.org/spreadsheetml/2006/main" count="60" uniqueCount="48">
  <si>
    <t>N</t>
  </si>
  <si>
    <t>N+1</t>
  </si>
  <si>
    <t>Consumo Agua (litros)</t>
  </si>
  <si>
    <t>Coste Agua (euros)</t>
  </si>
  <si>
    <t>Calcular la desviación por mayor consumo de Agus</t>
  </si>
  <si>
    <t>Calcular la desviación por mayor precio del agua</t>
  </si>
  <si>
    <t>Otros datos:</t>
  </si>
  <si>
    <t>Tipo de Cambio</t>
  </si>
  <si>
    <t>Horas de Planta Osmosis</t>
  </si>
  <si>
    <t>Consumo fuel Hora</t>
  </si>
  <si>
    <t>Precio Fuel (USD/ Gallon)</t>
  </si>
  <si>
    <t>Precio mercado Agua (Euro/1000 ltrs)</t>
  </si>
  <si>
    <t>1 Gallon = Litros</t>
  </si>
  <si>
    <t>Calcular el impacto de los distintos factores en la desviación y razonar</t>
  </si>
  <si>
    <t>NOTA:</t>
  </si>
  <si>
    <t xml:space="preserve">Desviación en cantidad: </t>
  </si>
  <si>
    <t>Variación de cantidad por precio del año anterior</t>
  </si>
  <si>
    <t>Desviación en precio:</t>
  </si>
  <si>
    <t>Variación del precio por cantidad del año actual</t>
  </si>
  <si>
    <t>La empresa ZUMARIA utiliza como uno de los ingredientes clave para la elaboración de sus productos, el agua. Para garantizar la salubridad y óptimas condiciones del agua ZUMARIA tiene incorporado en su proceso productivo una planta de Osmosis que trata toda el agua que pasa a planta. Dicha planta de Osmosis utiliza para su funcionamiento Fuel Oil, y está sujeta a un número determinado de horas de funcionamiento para su producción.</t>
  </si>
  <si>
    <t>Se nos facilitan los datos que figuran ahora mismo en el presupuesto facilitado por el área de producción, como coste del agua en el año N+1 respecto del año anterior</t>
  </si>
  <si>
    <t>A la vista de dichos números se pide:</t>
  </si>
  <si>
    <t>Calcular, de la desviación que se registra en euros, cuánto es por mayor consumo de agua, y cuánto por variación del precio del agua.</t>
  </si>
  <si>
    <t>Calcular el impacto de los distintos factores que pueden estar afectando a esa desviación y razonar</t>
  </si>
  <si>
    <t>Se facilita fichero excel con datos necesarios para los posibles cálculos.</t>
  </si>
  <si>
    <r>
      <t>Objetivo: </t>
    </r>
    <r>
      <rPr>
        <sz val="12"/>
        <color rgb="FF333333"/>
        <rFont val="Calibri"/>
        <family val="2"/>
      </rPr>
      <t>Identificar la importancia de conocer qué factores son los que definen el comportamiento de una desviación, y desglosarlos.</t>
    </r>
  </si>
  <si>
    <t>Año N</t>
  </si>
  <si>
    <t>Año N+1</t>
  </si>
  <si>
    <t>Desviacion</t>
  </si>
  <si>
    <t>% Desviacion</t>
  </si>
  <si>
    <t>Costo promedio Agua (Euro/1000 ltrs)</t>
  </si>
  <si>
    <t>Coste Agua (Euros)</t>
  </si>
  <si>
    <t>Mayor consumo de agua a un menor costo</t>
  </si>
  <si>
    <t>Mejora del costo promedio de Agua</t>
  </si>
  <si>
    <t>Variacion en Cantidad</t>
  </si>
  <si>
    <t>Variacion en Importe</t>
  </si>
  <si>
    <t>Precio Fuel (USD/ Litro)</t>
  </si>
  <si>
    <t>Precio Fuel (EUR/ Litro)</t>
  </si>
  <si>
    <t>Total Litros Fuel consumidos</t>
  </si>
  <si>
    <t>Total Costo Fuel (Euros)</t>
  </si>
  <si>
    <t>Mejor uso del fuel por hora en el año N+1 en comparacion al Año N lo que permite un ahorro en costo de Fuel.</t>
  </si>
  <si>
    <t>Se evidencia el menor consumo de fuel en el año N+1</t>
  </si>
  <si>
    <t>Ademas de tener un menor consumo de Fuel tambien el precio del Fuel Oil fue menor en el Año N+1 producto de un tipo de cambio menor.</t>
  </si>
  <si>
    <t>Aunque tuvo un mayor consumo de agua en el año N+1 producto de un aumento en la produccion, esto no se tradujo en un mayor costo para la empresa.</t>
  </si>
  <si>
    <t>Debido a un menor costo en el agua</t>
  </si>
  <si>
    <t>Costo promedio Agua (Euro/ltr)</t>
  </si>
  <si>
    <t>RESPUESTA</t>
  </si>
  <si>
    <t>Por otro lado, se evidencia que el consumo de Fuel Oil para el año N+1 fue mayor producto al aumento en la produccion.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</si>
</sst>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_ ;_ * \-#,##0_ ;_ * &quot;-&quot;_ ;_ @_ "/>
    <numFmt numFmtId="165" formatCode="_ * #,##0.00_ ;_ * \-#,##0.00_ ;_ * &quot;-&quot;??_ ;_ @_ "/>
    <numFmt numFmtId="166" formatCode="_ * #,##0.00_ ;_ * \-#,##0.00_ ;_ * &quot;-&quot;_ ;_ @_ "/>
    <numFmt numFmtId="167" formatCode="0.00000"/>
    <numFmt numFmtId="168" formatCode="#,##0.00000"/>
  </numFmts>
  <fonts count="7" x14ac:knownFonts="1">
    <font>
      <sz val="12"/>
      <color theme="1"/>
      <name val="Arial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color rgb="FF333333"/>
      <name val="Calibri"/>
      <family val="2"/>
    </font>
    <font>
      <sz val="12"/>
      <color theme="1"/>
      <name val="Arial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/>
    <xf numFmtId="4" fontId="1" fillId="2" borderId="1" xfId="0" applyNumberFormat="1" applyFont="1" applyFill="1" applyBorder="1"/>
    <xf numFmtId="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0" borderId="0" xfId="0" applyFont="1"/>
    <xf numFmtId="0" fontId="1" fillId="2" borderId="1" xfId="0" applyFont="1" applyFill="1" applyBorder="1" applyAlignment="1">
      <alignment wrapText="1"/>
    </xf>
    <xf numFmtId="9" fontId="1" fillId="2" borderId="1" xfId="2" applyFont="1" applyFill="1" applyBorder="1"/>
    <xf numFmtId="10" fontId="1" fillId="2" borderId="1" xfId="2" applyNumberFormat="1" applyFont="1" applyFill="1" applyBorder="1"/>
    <xf numFmtId="166" fontId="1" fillId="2" borderId="1" xfId="1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166" fontId="1" fillId="2" borderId="3" xfId="1" applyNumberFormat="1" applyFont="1" applyFill="1" applyBorder="1"/>
    <xf numFmtId="167" fontId="1" fillId="2" borderId="1" xfId="0" applyNumberFormat="1" applyFont="1" applyFill="1" applyBorder="1"/>
    <xf numFmtId="168" fontId="1" fillId="2" borderId="1" xfId="0" applyNumberFormat="1" applyFont="1" applyFill="1" applyBorder="1"/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6" fillId="2" borderId="1" xfId="0" applyFont="1" applyFill="1" applyBorder="1"/>
    <xf numFmtId="2" fontId="1" fillId="2" borderId="1" xfId="0" applyNumberFormat="1" applyFont="1" applyFill="1" applyBorder="1"/>
    <xf numFmtId="0" fontId="1" fillId="2" borderId="7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</cellXfs>
  <cellStyles count="3">
    <cellStyle name="Milers [0]" xfId="1" builtinId="6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topLeftCell="A9" zoomScale="80" zoomScaleNormal="80" workbookViewId="0">
      <selection activeCell="C41" sqref="C41"/>
    </sheetView>
  </sheetViews>
  <sheetFormatPr defaultColWidth="11.21875" defaultRowHeight="15" customHeight="1" x14ac:dyDescent="0.2"/>
  <cols>
    <col min="1" max="1" width="5.77734375" customWidth="1"/>
    <col min="2" max="2" width="30" customWidth="1"/>
    <col min="3" max="3" width="11.44140625" customWidth="1"/>
    <col min="4" max="4" width="13.21875" bestFit="1" customWidth="1"/>
    <col min="5" max="5" width="10.77734375" customWidth="1"/>
    <col min="6" max="26" width="10.5546875" customWidth="1"/>
  </cols>
  <sheetData>
    <row r="1" spans="1:26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7" t="s">
        <v>19</v>
      </c>
      <c r="L1" s="28"/>
      <c r="M1" s="28"/>
      <c r="N1" s="28"/>
      <c r="O1" s="28"/>
      <c r="P1" s="28"/>
      <c r="Q1" s="28"/>
      <c r="R1" s="28"/>
      <c r="S1" s="28"/>
      <c r="T1" s="29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2"/>
      <c r="C2" s="3" t="s">
        <v>0</v>
      </c>
      <c r="D2" s="4" t="s">
        <v>1</v>
      </c>
      <c r="E2" s="1"/>
      <c r="F2" s="1"/>
      <c r="G2" s="1"/>
      <c r="H2" s="1"/>
      <c r="I2" s="1"/>
      <c r="J2" s="1"/>
      <c r="K2" s="25"/>
      <c r="L2" s="26"/>
      <c r="M2" s="26"/>
      <c r="N2" s="26"/>
      <c r="O2" s="26"/>
      <c r="P2" s="26"/>
      <c r="Q2" s="26"/>
      <c r="R2" s="26"/>
      <c r="S2" s="26"/>
      <c r="T2" s="30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1" t="s">
        <v>2</v>
      </c>
      <c r="C3" s="2">
        <v>4148936.17</v>
      </c>
      <c r="D3" s="2">
        <v>4787234</v>
      </c>
      <c r="E3" s="1"/>
      <c r="F3" s="1"/>
      <c r="G3" s="1"/>
      <c r="H3" s="1"/>
      <c r="I3" s="1"/>
      <c r="J3" s="1"/>
      <c r="K3" s="25"/>
      <c r="L3" s="26"/>
      <c r="M3" s="26"/>
      <c r="N3" s="26"/>
      <c r="O3" s="26"/>
      <c r="P3" s="26"/>
      <c r="Q3" s="26"/>
      <c r="R3" s="26"/>
      <c r="S3" s="26"/>
      <c r="T3" s="30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1" t="s">
        <v>3</v>
      </c>
      <c r="C4" s="2">
        <v>263643.81</v>
      </c>
      <c r="D4" s="2">
        <v>253644.04</v>
      </c>
      <c r="E4" s="1"/>
      <c r="F4" s="1"/>
      <c r="G4" s="1"/>
      <c r="H4" s="1"/>
      <c r="I4" s="1"/>
      <c r="J4" s="1"/>
      <c r="K4" s="17"/>
      <c r="L4" s="8"/>
      <c r="M4" s="8"/>
      <c r="N4" s="8"/>
      <c r="O4" s="8"/>
      <c r="P4" s="8"/>
      <c r="Q4" s="8"/>
      <c r="R4" s="8"/>
      <c r="S4" s="1"/>
      <c r="T4" s="18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1"/>
      <c r="C5" s="2"/>
      <c r="D5" s="2"/>
      <c r="E5" s="1"/>
      <c r="F5" s="1"/>
      <c r="G5" s="1"/>
      <c r="H5" s="1"/>
      <c r="I5" s="1"/>
      <c r="J5" s="1"/>
      <c r="K5" s="25" t="s">
        <v>20</v>
      </c>
      <c r="L5" s="26"/>
      <c r="M5" s="26"/>
      <c r="N5" s="26"/>
      <c r="O5" s="26"/>
      <c r="P5" s="1"/>
      <c r="Q5" s="1"/>
      <c r="R5" s="1"/>
      <c r="S5" s="1"/>
      <c r="T5" s="18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 t="s">
        <v>4</v>
      </c>
      <c r="C6" s="1"/>
      <c r="D6" s="1"/>
      <c r="E6" s="1"/>
      <c r="F6" s="1"/>
      <c r="G6" s="1"/>
      <c r="H6" s="1"/>
      <c r="I6" s="1"/>
      <c r="J6" s="1"/>
      <c r="K6" s="25"/>
      <c r="L6" s="26"/>
      <c r="M6" s="26"/>
      <c r="N6" s="26"/>
      <c r="O6" s="26"/>
      <c r="P6" s="1"/>
      <c r="Q6" s="1"/>
      <c r="R6" s="1"/>
      <c r="S6" s="1"/>
      <c r="T6" s="18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1" t="s">
        <v>5</v>
      </c>
      <c r="C7" s="1"/>
      <c r="D7" s="1"/>
      <c r="E7" s="1"/>
      <c r="F7" s="1"/>
      <c r="G7" s="1">
        <v>180</v>
      </c>
      <c r="H7" s="1">
        <v>240</v>
      </c>
      <c r="I7" s="9">
        <f>H8/H7</f>
        <v>-0.25</v>
      </c>
      <c r="J7" s="9"/>
      <c r="K7" s="19" t="s">
        <v>21</v>
      </c>
      <c r="L7" s="1"/>
      <c r="M7" s="1"/>
      <c r="N7" s="1"/>
      <c r="O7" s="1"/>
      <c r="P7" s="1"/>
      <c r="Q7" s="1"/>
      <c r="R7" s="1"/>
      <c r="S7" s="1"/>
      <c r="T7" s="18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1"/>
      <c r="C8" s="1"/>
      <c r="D8" s="1"/>
      <c r="E8" s="1"/>
      <c r="F8" s="1"/>
      <c r="G8" s="1"/>
      <c r="H8" s="1">
        <f>G7-H7</f>
        <v>-60</v>
      </c>
      <c r="I8" s="1"/>
      <c r="J8" s="1"/>
      <c r="K8" s="19"/>
      <c r="L8" s="1"/>
      <c r="M8" s="1"/>
      <c r="N8" s="1"/>
      <c r="O8" s="1"/>
      <c r="P8" s="1"/>
      <c r="Q8" s="1"/>
      <c r="R8" s="1"/>
      <c r="S8" s="1"/>
      <c r="T8" s="18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1" t="s">
        <v>6</v>
      </c>
      <c r="C9" s="1"/>
      <c r="D9" s="1"/>
      <c r="E9" s="1"/>
      <c r="F9" s="1"/>
      <c r="G9" s="1"/>
      <c r="H9" s="1"/>
      <c r="I9" s="1"/>
      <c r="J9" s="1"/>
      <c r="K9" s="19" t="s">
        <v>22</v>
      </c>
      <c r="L9" s="1"/>
      <c r="M9" s="1"/>
      <c r="N9" s="1"/>
      <c r="O9" s="1"/>
      <c r="P9" s="1"/>
      <c r="Q9" s="1"/>
      <c r="R9" s="1"/>
      <c r="S9" s="1"/>
      <c r="T9" s="18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1"/>
      <c r="C10" s="5" t="s">
        <v>0</v>
      </c>
      <c r="D10" s="5" t="s">
        <v>1</v>
      </c>
      <c r="E10" s="1"/>
      <c r="F10" s="1"/>
      <c r="G10" s="1"/>
      <c r="H10" s="1"/>
      <c r="I10" s="1"/>
      <c r="J10" s="1"/>
      <c r="K10" s="19" t="s">
        <v>23</v>
      </c>
      <c r="L10" s="1"/>
      <c r="M10" s="1"/>
      <c r="N10" s="1"/>
      <c r="O10" s="1"/>
      <c r="P10" s="1"/>
      <c r="Q10" s="1"/>
      <c r="R10" s="1"/>
      <c r="S10" s="1"/>
      <c r="T10" s="18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1" t="s">
        <v>7</v>
      </c>
      <c r="C11" s="2">
        <v>1.5</v>
      </c>
      <c r="D11" s="2">
        <v>1.2</v>
      </c>
      <c r="E11" s="2">
        <f>D11-C11</f>
        <v>-0.30000000000000004</v>
      </c>
      <c r="F11" s="10">
        <f>E11/C11</f>
        <v>-0.20000000000000004</v>
      </c>
      <c r="G11" s="1"/>
      <c r="H11" s="1"/>
      <c r="I11" s="1"/>
      <c r="J11" s="1"/>
      <c r="K11" s="19"/>
      <c r="L11" s="1"/>
      <c r="M11" s="1"/>
      <c r="N11" s="1"/>
      <c r="O11" s="1"/>
      <c r="P11" s="1"/>
      <c r="Q11" s="1"/>
      <c r="R11" s="1"/>
      <c r="S11" s="1"/>
      <c r="T11" s="18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1" t="s">
        <v>8</v>
      </c>
      <c r="C12" s="2">
        <v>5500</v>
      </c>
      <c r="D12" s="2">
        <v>4787.2340000000004</v>
      </c>
      <c r="E12" s="2">
        <f>D12-C12</f>
        <v>-712.76599999999962</v>
      </c>
      <c r="F12" s="10">
        <f>E12/C12</f>
        <v>-0.12959381818181812</v>
      </c>
      <c r="G12" s="1"/>
      <c r="H12" s="1"/>
      <c r="I12" s="1"/>
      <c r="J12" s="1"/>
      <c r="K12" s="19" t="s">
        <v>24</v>
      </c>
      <c r="L12" s="1"/>
      <c r="M12" s="1"/>
      <c r="N12" s="1"/>
      <c r="O12" s="1"/>
      <c r="P12" s="1"/>
      <c r="Q12" s="1"/>
      <c r="R12" s="1"/>
      <c r="S12" s="1"/>
      <c r="T12" s="18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1" t="s">
        <v>9</v>
      </c>
      <c r="C13" s="2">
        <v>110</v>
      </c>
      <c r="D13" s="2">
        <v>100</v>
      </c>
      <c r="E13" s="2">
        <f>D13-C13</f>
        <v>-10</v>
      </c>
      <c r="F13" s="10">
        <f>E13/C13</f>
        <v>-9.0909090909090912E-2</v>
      </c>
      <c r="G13" s="1"/>
      <c r="H13" s="1"/>
      <c r="I13" s="1"/>
      <c r="J13" s="1"/>
      <c r="K13" s="19"/>
      <c r="L13" s="1"/>
      <c r="M13" s="1"/>
      <c r="N13" s="1"/>
      <c r="O13" s="1"/>
      <c r="P13" s="1"/>
      <c r="Q13" s="1"/>
      <c r="R13" s="1"/>
      <c r="S13" s="1"/>
      <c r="T13" s="18"/>
      <c r="U13" s="1"/>
      <c r="V13" s="1"/>
      <c r="W13" s="1"/>
      <c r="X13" s="1"/>
      <c r="Y13" s="1"/>
      <c r="Z13" s="1"/>
    </row>
    <row r="14" spans="1:26" s="7" customFormat="1" ht="15.75" customHeight="1" thickBot="1" x14ac:dyDescent="0.3">
      <c r="A14" s="1"/>
      <c r="B14" s="1" t="s">
        <v>10</v>
      </c>
      <c r="C14" s="2">
        <v>2.4</v>
      </c>
      <c r="D14" s="2">
        <v>2.3199999999999998</v>
      </c>
      <c r="E14" s="2">
        <f>D14-C14</f>
        <v>-8.0000000000000071E-2</v>
      </c>
      <c r="F14" s="10">
        <f>E14/C14</f>
        <v>-3.3333333333333368E-2</v>
      </c>
      <c r="G14" s="1"/>
      <c r="H14" s="1"/>
      <c r="I14" s="1"/>
      <c r="J14" s="1"/>
      <c r="K14" s="20" t="s">
        <v>25</v>
      </c>
      <c r="L14" s="21"/>
      <c r="M14" s="21"/>
      <c r="N14" s="21"/>
      <c r="O14" s="21"/>
      <c r="P14" s="21"/>
      <c r="Q14" s="21"/>
      <c r="R14" s="21"/>
      <c r="S14" s="21"/>
      <c r="T14" s="22"/>
      <c r="U14" s="1"/>
      <c r="V14" s="1"/>
      <c r="W14" s="1"/>
      <c r="X14" s="1"/>
      <c r="Y14" s="1"/>
      <c r="Z14" s="1"/>
    </row>
    <row r="15" spans="1:26" s="7" customFormat="1" ht="15.75" customHeight="1" x14ac:dyDescent="0.25">
      <c r="A15" s="1"/>
      <c r="B15" s="1" t="s">
        <v>11</v>
      </c>
      <c r="C15" s="2">
        <v>1.91</v>
      </c>
      <c r="D15" s="2">
        <v>1.91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 t="s">
        <v>13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 t="s">
        <v>12</v>
      </c>
      <c r="C17" s="7">
        <v>3.7854000000000001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6" t="s">
        <v>14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 t="s">
        <v>15</v>
      </c>
      <c r="L19" s="1" t="s">
        <v>16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23" t="s">
        <v>46</v>
      </c>
      <c r="C20" s="1"/>
      <c r="D20" s="1"/>
      <c r="E20" s="1"/>
      <c r="F20" s="1"/>
      <c r="G20" s="1"/>
      <c r="H20" s="1"/>
      <c r="I20" s="1"/>
      <c r="J20" s="1"/>
      <c r="K20" s="1" t="s">
        <v>17</v>
      </c>
      <c r="L20" s="1" t="s">
        <v>18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3" t="s">
        <v>26</v>
      </c>
      <c r="D23" s="3" t="s">
        <v>27</v>
      </c>
      <c r="E23" s="3" t="s">
        <v>28</v>
      </c>
      <c r="F23" s="3" t="s">
        <v>29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 t="s">
        <v>2</v>
      </c>
      <c r="C24" s="2">
        <v>4148936.17</v>
      </c>
      <c r="D24" s="2">
        <v>4787234</v>
      </c>
      <c r="E24" s="2">
        <f>D24-C24</f>
        <v>638297.83000000007</v>
      </c>
      <c r="F24" s="10">
        <f>E24/D24</f>
        <v>0.13333332567407402</v>
      </c>
      <c r="G24" s="1" t="s">
        <v>32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 t="s">
        <v>31</v>
      </c>
      <c r="C25" s="2">
        <v>263643.81</v>
      </c>
      <c r="D25" s="2">
        <v>253644.04</v>
      </c>
      <c r="E25" s="2">
        <f>D25-C25</f>
        <v>-9999.7699999999895</v>
      </c>
      <c r="F25" s="10">
        <f>E25/D25</f>
        <v>-3.9424423298099136E-2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 t="s">
        <v>45</v>
      </c>
      <c r="C26" s="2">
        <f>C25/C24</f>
        <v>6.3544918310951021E-2</v>
      </c>
      <c r="D26" s="2">
        <f>(D25/D24)</f>
        <v>5.298342215985264E-2</v>
      </c>
      <c r="E26" s="2">
        <f>D26-C26</f>
        <v>-1.056149615109838E-2</v>
      </c>
      <c r="F26" s="10">
        <f>E26/D26</f>
        <v>-0.19933586243700938</v>
      </c>
      <c r="G26" s="1" t="s">
        <v>33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 t="s">
        <v>30</v>
      </c>
      <c r="C27" s="16">
        <f>C26*1000</f>
        <v>63.544918310951019</v>
      </c>
      <c r="D27" s="16">
        <f>D26*1000</f>
        <v>52.983422159852637</v>
      </c>
      <c r="E27" s="2"/>
      <c r="F27" s="1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 t="s">
        <v>34</v>
      </c>
      <c r="C29" s="10">
        <f>(((D24/C24)*100)-100)/100</f>
        <v>0.15384614364891519</v>
      </c>
      <c r="D29" s="11">
        <f>(E24*C26)/1000</f>
        <v>40.560583465407305</v>
      </c>
      <c r="E29" s="1"/>
      <c r="F29" s="1"/>
      <c r="G29" s="1" t="s">
        <v>43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 t="s">
        <v>35</v>
      </c>
      <c r="C30" s="10">
        <f>(((D25/C25)*100)-100)/100</f>
        <v>-3.792909076833624E-2</v>
      </c>
      <c r="D30" s="14">
        <f>(E26*D24)/1000</f>
        <v>-50.560353465407303</v>
      </c>
      <c r="E30" s="12"/>
      <c r="F30" s="1"/>
      <c r="G30" s="1" t="s">
        <v>44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3">
        <f>SUM(D29:D30)</f>
        <v>-9.999769999999998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 t="s">
        <v>11</v>
      </c>
      <c r="C32" s="2">
        <v>1.91</v>
      </c>
      <c r="D32" s="2">
        <v>1.91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 t="s">
        <v>10</v>
      </c>
      <c r="C35" s="2">
        <v>2.4</v>
      </c>
      <c r="D35" s="2">
        <v>2.3199999999999998</v>
      </c>
      <c r="E35" s="2">
        <f>D35-C35</f>
        <v>-8.0000000000000071E-2</v>
      </c>
      <c r="F35" s="10">
        <f>E35/C35</f>
        <v>-3.3333333333333368E-2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 t="s">
        <v>36</v>
      </c>
      <c r="C36" s="1">
        <f>C35/C17</f>
        <v>0.63401489935013466</v>
      </c>
      <c r="D36" s="1">
        <f>D35/C17</f>
        <v>0.61288106937179687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 t="s">
        <v>7</v>
      </c>
      <c r="C37" s="2">
        <v>1.5</v>
      </c>
      <c r="D37" s="2">
        <v>1.2</v>
      </c>
      <c r="E37" s="2">
        <f t="shared" ref="E37:E42" si="0">D37-C37</f>
        <v>-0.30000000000000004</v>
      </c>
      <c r="F37" s="10">
        <f t="shared" ref="F37:F42" si="1">E37/C37</f>
        <v>-0.20000000000000004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 t="s">
        <v>37</v>
      </c>
      <c r="C38" s="2">
        <f>C36*C37</f>
        <v>0.951022349025202</v>
      </c>
      <c r="D38" s="2">
        <f>D36*D37</f>
        <v>0.73545728324615622</v>
      </c>
      <c r="E38" s="2">
        <f t="shared" si="0"/>
        <v>-0.21556506577904577</v>
      </c>
      <c r="F38" s="10">
        <f t="shared" si="1"/>
        <v>-0.22666666666666666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 t="s">
        <v>8</v>
      </c>
      <c r="C39" s="2">
        <v>5500</v>
      </c>
      <c r="D39" s="2">
        <v>4787.2340000000004</v>
      </c>
      <c r="E39" s="2">
        <f t="shared" si="0"/>
        <v>-712.76599999999962</v>
      </c>
      <c r="F39" s="10">
        <f t="shared" si="1"/>
        <v>-0.12959381818181812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 t="s">
        <v>9</v>
      </c>
      <c r="C40" s="2">
        <v>110</v>
      </c>
      <c r="D40" s="2">
        <v>100</v>
      </c>
      <c r="E40" s="2">
        <f t="shared" si="0"/>
        <v>-10</v>
      </c>
      <c r="F40" s="10">
        <f t="shared" si="1"/>
        <v>-9.0909090909090912E-2</v>
      </c>
      <c r="G40" s="1" t="s">
        <v>40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 t="s">
        <v>38</v>
      </c>
      <c r="C41" s="2">
        <f>C39*C40</f>
        <v>605000</v>
      </c>
      <c r="D41" s="2">
        <f>D39*D40</f>
        <v>478723.4</v>
      </c>
      <c r="E41" s="2">
        <f t="shared" si="0"/>
        <v>-126276.59999999998</v>
      </c>
      <c r="F41" s="10">
        <f t="shared" si="1"/>
        <v>-0.20872165289256195</v>
      </c>
      <c r="G41" s="1" t="s">
        <v>41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 t="s">
        <v>39</v>
      </c>
      <c r="C42" s="2">
        <f>C38*C41</f>
        <v>575368.52116024715</v>
      </c>
      <c r="D42" s="2">
        <f>D38*D41</f>
        <v>352080.61119036295</v>
      </c>
      <c r="E42" s="2">
        <f t="shared" si="0"/>
        <v>-223287.9099698842</v>
      </c>
      <c r="F42" s="10">
        <f t="shared" si="1"/>
        <v>-0.38807807823691454</v>
      </c>
      <c r="G42" s="1" t="s">
        <v>42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 t="s">
        <v>34</v>
      </c>
      <c r="C44" s="10">
        <f>(((D41/C41)*100)-100)/100</f>
        <v>-0.20872165289256203</v>
      </c>
      <c r="D44" s="11">
        <f>(E41*C38)</f>
        <v>-120091.86875891581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 t="s">
        <v>35</v>
      </c>
      <c r="C45" s="10">
        <f>(((D42/C42)*100)-100)/100</f>
        <v>-0.38807807823691454</v>
      </c>
      <c r="D45" s="14">
        <f>(E38*D41)</f>
        <v>-103196.04121096844</v>
      </c>
      <c r="E45" s="1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3">
        <f>SUM(D44:D45)</f>
        <v>-223287.90996988426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 t="s">
        <v>2</v>
      </c>
      <c r="C48" s="2">
        <v>4148936.17</v>
      </c>
      <c r="D48" s="2">
        <v>4787234</v>
      </c>
      <c r="E48" s="2"/>
      <c r="F48" s="1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 t="s">
        <v>38</v>
      </c>
      <c r="C49" s="2">
        <v>605000</v>
      </c>
      <c r="D49" s="2">
        <v>478723.4</v>
      </c>
      <c r="E49" s="2"/>
      <c r="F49" s="10"/>
      <c r="G49" s="1" t="s">
        <v>47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24">
        <f>C48/C49</f>
        <v>6.8577457355371898</v>
      </c>
      <c r="D50" s="24">
        <f>D48/D49</f>
        <v>10</v>
      </c>
      <c r="E50" s="2">
        <f>D50-C50</f>
        <v>3.1422542644628102</v>
      </c>
      <c r="F50" s="10">
        <f>E50/C50</f>
        <v>0.458205128279908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0"/>
      <c r="D53" s="11"/>
      <c r="E53" s="1"/>
      <c r="F53" s="1"/>
      <c r="G53" s="1"/>
      <c r="H53" s="1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0"/>
      <c r="D54" s="11"/>
      <c r="E54" s="1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0"/>
      <c r="D60" s="1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0"/>
      <c r="D61" s="11"/>
      <c r="E61" s="1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1:26" ht="15.75" customHeight="1" x14ac:dyDescent="0.25"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1:26" ht="15.75" customHeight="1" x14ac:dyDescent="0.25"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1:26" ht="15.75" customHeight="1" x14ac:dyDescent="0.25"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1:26" ht="15.75" customHeight="1" x14ac:dyDescent="0.25"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1:26" ht="15.75" customHeight="1" x14ac:dyDescent="0.25"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1:26" ht="15.75" customHeight="1" x14ac:dyDescent="0.25"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1:26" ht="15.75" customHeight="1" x14ac:dyDescent="0.25"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1:26" ht="15.75" customHeight="1" x14ac:dyDescent="0.25"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1:26" ht="15.75" customHeight="1" x14ac:dyDescent="0.25"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1:26" ht="15.75" customHeight="1" x14ac:dyDescent="0.25"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1:26" ht="15.75" customHeight="1" x14ac:dyDescent="0.25"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1:26" ht="15.75" customHeight="1" x14ac:dyDescent="0.25"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2">
    <mergeCell ref="K5:O6"/>
    <mergeCell ref="K1:T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Sanabria Rivero</dc:creator>
  <cp:lastModifiedBy>PORTATIL28</cp:lastModifiedBy>
  <dcterms:created xsi:type="dcterms:W3CDTF">2022-01-11T07:41:38Z</dcterms:created>
  <dcterms:modified xsi:type="dcterms:W3CDTF">2023-12-14T17:59:31Z</dcterms:modified>
</cp:coreProperties>
</file>