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C2\"/>
    </mc:Choice>
  </mc:AlternateContent>
  <xr:revisionPtr revIDLastSave="0" documentId="13_ncr:1_{E8025E61-80BD-46E7-8EEA-FC1BB9AEBD46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  <sheet name="Ful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7" i="1" l="1"/>
  <c r="K108" i="1"/>
  <c r="K109" i="1"/>
  <c r="K110" i="1"/>
  <c r="K111" i="1"/>
  <c r="K106" i="1"/>
  <c r="I107" i="1"/>
  <c r="I108" i="1"/>
  <c r="I109" i="1"/>
  <c r="I110" i="1"/>
  <c r="I111" i="1"/>
  <c r="I106" i="1"/>
  <c r="M107" i="1"/>
  <c r="M108" i="1"/>
  <c r="L107" i="1"/>
  <c r="L108" i="1"/>
  <c r="L109" i="1"/>
  <c r="L110" i="1"/>
  <c r="L111" i="1"/>
  <c r="J107" i="1"/>
  <c r="J108" i="1"/>
  <c r="J109" i="1"/>
  <c r="J110" i="1"/>
  <c r="J111" i="1"/>
  <c r="M106" i="1"/>
  <c r="L106" i="1"/>
  <c r="J106" i="1"/>
  <c r="M104" i="1"/>
  <c r="M99" i="1"/>
  <c r="M100" i="1"/>
  <c r="M101" i="1"/>
  <c r="M102" i="1"/>
  <c r="M103" i="1"/>
  <c r="L99" i="1"/>
  <c r="L100" i="1"/>
  <c r="L101" i="1"/>
  <c r="L102" i="1"/>
  <c r="L103" i="1"/>
  <c r="K99" i="1"/>
  <c r="K100" i="1"/>
  <c r="K101" i="1"/>
  <c r="K102" i="1"/>
  <c r="K103" i="1"/>
  <c r="J99" i="1"/>
  <c r="J100" i="1"/>
  <c r="J101" i="1"/>
  <c r="J102" i="1"/>
  <c r="J103" i="1"/>
  <c r="I99" i="1"/>
  <c r="I100" i="1"/>
  <c r="I101" i="1"/>
  <c r="I102" i="1"/>
  <c r="I103" i="1"/>
  <c r="M98" i="1"/>
  <c r="L98" i="1"/>
  <c r="K98" i="1"/>
  <c r="J98" i="1"/>
  <c r="I98" i="1"/>
  <c r="I77" i="1"/>
  <c r="I78" i="1"/>
  <c r="I79" i="1"/>
  <c r="I80" i="1"/>
  <c r="I81" i="1"/>
  <c r="I88" i="1"/>
  <c r="I90" i="1"/>
  <c r="I91" i="1"/>
  <c r="I82" i="1"/>
  <c r="I76" i="1"/>
  <c r="I86" i="1" s="1"/>
  <c r="J87" i="1"/>
  <c r="J88" i="1"/>
  <c r="J89" i="1"/>
  <c r="J90" i="1"/>
  <c r="J91" i="1"/>
  <c r="J86" i="1"/>
  <c r="I87" i="1"/>
  <c r="I89" i="1"/>
  <c r="J77" i="1"/>
  <c r="J78" i="1"/>
  <c r="J79" i="1"/>
  <c r="J80" i="1"/>
  <c r="J81" i="1"/>
  <c r="J76" i="1"/>
  <c r="J67" i="1"/>
  <c r="J68" i="1"/>
  <c r="J69" i="1"/>
  <c r="J70" i="1"/>
  <c r="J71" i="1"/>
  <c r="I67" i="1"/>
  <c r="I68" i="1"/>
  <c r="I69" i="1"/>
  <c r="I70" i="1"/>
  <c r="I71" i="1"/>
  <c r="J66" i="1"/>
  <c r="I66" i="1"/>
  <c r="K2" i="1"/>
  <c r="J2" i="1"/>
  <c r="K42" i="1" s="1"/>
  <c r="K79" i="1"/>
  <c r="K77" i="1"/>
  <c r="K23" i="1"/>
  <c r="J23" i="1"/>
  <c r="D92" i="1"/>
  <c r="C92" i="1"/>
  <c r="E91" i="1"/>
  <c r="E90" i="1"/>
  <c r="E89" i="1"/>
  <c r="E88" i="1"/>
  <c r="E87" i="1"/>
  <c r="E86" i="1"/>
  <c r="D82" i="1"/>
  <c r="E80" i="1"/>
  <c r="E79" i="1"/>
  <c r="E78" i="1"/>
  <c r="E77" i="1"/>
  <c r="E76" i="1"/>
  <c r="D72" i="1"/>
  <c r="C71" i="1"/>
  <c r="C81" i="1" s="1"/>
  <c r="C70" i="1"/>
  <c r="E70" i="1" s="1"/>
  <c r="C69" i="1"/>
  <c r="E69" i="1" s="1"/>
  <c r="C68" i="1"/>
  <c r="E68" i="1" s="1"/>
  <c r="C67" i="1"/>
  <c r="E67" i="1" s="1"/>
  <c r="C66" i="1"/>
  <c r="M111" i="1" l="1"/>
  <c r="M110" i="1"/>
  <c r="M109" i="1"/>
  <c r="M112" i="1"/>
  <c r="I114" i="1" s="1"/>
  <c r="K80" i="1"/>
  <c r="K78" i="1"/>
  <c r="J82" i="1"/>
  <c r="K76" i="1"/>
  <c r="K91" i="1"/>
  <c r="K39" i="1"/>
  <c r="K41" i="1"/>
  <c r="K38" i="1"/>
  <c r="K45" i="1"/>
  <c r="J4" i="1"/>
  <c r="K44" i="1"/>
  <c r="K36" i="1"/>
  <c r="J5" i="1"/>
  <c r="K43" i="1"/>
  <c r="K35" i="1"/>
  <c r="K40" i="1"/>
  <c r="K34" i="1"/>
  <c r="K37" i="1"/>
  <c r="K71" i="1"/>
  <c r="E92" i="1"/>
  <c r="C72" i="1"/>
  <c r="C82" i="1"/>
  <c r="E81" i="1"/>
  <c r="E82" i="1" s="1"/>
  <c r="E66" i="1"/>
  <c r="E71" i="1"/>
  <c r="K81" i="1" l="1"/>
  <c r="K82" i="1" s="1"/>
  <c r="K46" i="1"/>
  <c r="J18" i="1"/>
  <c r="J22" i="1"/>
  <c r="J14" i="1"/>
  <c r="J21" i="1"/>
  <c r="J19" i="1"/>
  <c r="J13" i="1"/>
  <c r="J20" i="1"/>
  <c r="K14" i="1"/>
  <c r="K21" i="1"/>
  <c r="K18" i="1"/>
  <c r="K22" i="1"/>
  <c r="K13" i="1"/>
  <c r="K20" i="1"/>
  <c r="K19" i="1"/>
  <c r="E72" i="1"/>
  <c r="K87" i="1" l="1"/>
  <c r="K89" i="1"/>
  <c r="J92" i="1"/>
  <c r="K24" i="1"/>
  <c r="J24" i="1"/>
  <c r="K88" i="1"/>
  <c r="K68" i="1"/>
  <c r="K90" i="1"/>
  <c r="K69" i="1" l="1"/>
  <c r="J72" i="1"/>
  <c r="K70" i="1"/>
  <c r="K66" i="1"/>
  <c r="I72" i="1"/>
  <c r="K67" i="1"/>
  <c r="K86" i="1"/>
  <c r="K92" i="1" s="1"/>
  <c r="I92" i="1"/>
  <c r="K72" i="1" l="1"/>
</calcChain>
</file>

<file path=xl/sharedStrings.xml><?xml version="1.0" encoding="utf-8"?>
<sst xmlns="http://schemas.openxmlformats.org/spreadsheetml/2006/main" count="183" uniqueCount="68">
  <si>
    <t>Actividad de la Sociedad</t>
  </si>
  <si>
    <t>Fabricación y venta de zumos</t>
  </si>
  <si>
    <t>Formatos 1l y Granel 10L</t>
  </si>
  <si>
    <t>Mercado: Nacional e internacional</t>
  </si>
  <si>
    <t>Objetivo año N+1</t>
  </si>
  <si>
    <t>Venta de 4.500.000 Litros</t>
  </si>
  <si>
    <t>Cuota mercado: 70% nacional / 30% internacional</t>
  </si>
  <si>
    <t>Cuotas mercado/formato</t>
  </si>
  <si>
    <t>Nacional</t>
  </si>
  <si>
    <t>Internacional</t>
  </si>
  <si>
    <t>1Ltr</t>
  </si>
  <si>
    <t>10Ltr</t>
  </si>
  <si>
    <t>Cuota producto N</t>
  </si>
  <si>
    <t>Naranja</t>
  </si>
  <si>
    <t>Mango</t>
  </si>
  <si>
    <t>Pera</t>
  </si>
  <si>
    <t>Piña</t>
  </si>
  <si>
    <t>Tropical</t>
  </si>
  <si>
    <t>Mediterráneo</t>
  </si>
  <si>
    <t>Cuota producto N+1: mantener cuota respecto a N, más nuevo lanzamiento</t>
  </si>
  <si>
    <t>Lanzamiento de un nuevo producto: Zumo mediterráneo: Objetivo: 700.000 Ltrs</t>
  </si>
  <si>
    <t>Mantenimiento indices de productividad</t>
  </si>
  <si>
    <t>Mantenimiento indices de mermas</t>
  </si>
  <si>
    <t>Otra información</t>
  </si>
  <si>
    <t>Se asume inventario cero a inicio y fin de ejercicio</t>
  </si>
  <si>
    <t>Se facilitan porcentajes de distribución mensual de las ventas</t>
  </si>
  <si>
    <t>Ene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</si>
  <si>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</si>
  <si>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</si>
  <si>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</si>
  <si>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</si>
  <si>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</si>
  <si>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</si>
  <si>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</si>
  <si>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</si>
  <si>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</si>
  <si>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</si>
  <si>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</si>
  <si>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Precios de venta</t>
  </si>
  <si>
    <t>N</t>
  </si>
  <si>
    <t>N+1</t>
  </si>
  <si>
    <t>Precios</t>
  </si>
  <si>
    <t>Volumen Litros N</t>
  </si>
  <si>
    <t>Año N</t>
  </si>
  <si>
    <t>Total</t>
  </si>
  <si>
    <t>10 Ltr</t>
  </si>
  <si>
    <t>Dentro de las distintas tareas a realizar en el proceso presupuestario de ZUMARIA, es necesario definir el presupuesto de ventas de sus productos. Recordemos que:</t>
  </si>
  <si>
    <t>Es una empresa que se dedica a la fabricación y venta de zumos en formatos de 1 litro y granel de 10 litros</t>
  </si>
  <si>
    <t>Vende en mercado Nacional e Internacional</t>
  </si>
  <si>
    <t>Tiene como objetivo estratégico marcado para el año N+1(el año de presupuestación) una venta de 4.500.000 litros, con una cuota del 70% en el mercado nacional y del 30% en internacional</t>
  </si>
  <si>
    <t>Pretende lanzar un nuevo producto: Zumo Mediterráneo, con un objetivo de 700.000 litros (incluidos en el total estratégico facilitado)</t>
  </si>
  <si>
    <t>En el fichero de soporte que se acompaña, se facilitan datos respecto de las cuotas de producción por mercado, formato y línea de producto, así como los precios que se han previsto.</t>
  </si>
  <si>
    <t>Se pide, a la vista de los datos facilitados, confeccionar un presupuesto de ventas para el año N+1, por mercado y por línea de producto, y razonar de forma general la visión que las cifras finales muestran.</t>
  </si>
  <si>
    <t>Producto</t>
  </si>
  <si>
    <t>Total proyectado</t>
  </si>
  <si>
    <t xml:space="preserve">Mercado Nacional: </t>
  </si>
  <si>
    <t xml:space="preserve">Mercado Internacional: </t>
  </si>
  <si>
    <t>Cuota producto N + 1 litrt</t>
  </si>
  <si>
    <t>VENTAS TOTAL LTR N+1</t>
  </si>
  <si>
    <t>Volumen Litros N +1</t>
  </si>
  <si>
    <t>Venta total litros n+1</t>
  </si>
  <si>
    <t>Nuevo  Mediterraneo Producto n+1</t>
  </si>
  <si>
    <t>Año N+1</t>
  </si>
  <si>
    <t>Precio unitario nacional</t>
  </si>
  <si>
    <t>Precio unitario 
internacional</t>
  </si>
  <si>
    <t>Cantidad Nacional
 lit</t>
  </si>
  <si>
    <t>Cantidad 
Internacional lit</t>
  </si>
  <si>
    <t>TOTAL VENTAS N+1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</si>
</sst>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403]_-;\-* #,##0.00\ [$€-403]_-;_-* &quot;-&quot;??\ [$€-403]_-;_-@_-"/>
  </numFmts>
  <fonts count="8" x14ac:knownFonts="1">
    <font>
      <sz val="12"/>
      <color theme="1"/>
      <name val="Arial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Arial"/>
      <family val="2"/>
    </font>
    <font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aj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4">
    <xf numFmtId="0" fontId="0" fillId="0" borderId="0" xfId="0"/>
    <xf numFmtId="0" fontId="1" fillId="2" borderId="1" xfId="0" applyFont="1" applyFill="1" applyBorder="1"/>
    <xf numFmtId="9" fontId="1" fillId="2" borderId="1" xfId="0" applyNumberFormat="1" applyFont="1" applyFill="1" applyBorder="1"/>
    <xf numFmtId="0" fontId="1" fillId="2" borderId="2" xfId="0" applyFont="1" applyFill="1" applyBorder="1"/>
    <xf numFmtId="9" fontId="1" fillId="2" borderId="3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9" fontId="1" fillId="2" borderId="6" xfId="0" applyNumberFormat="1" applyFont="1" applyFill="1" applyBorder="1"/>
    <xf numFmtId="0" fontId="1" fillId="2" borderId="7" xfId="0" applyFont="1" applyFill="1" applyBorder="1"/>
    <xf numFmtId="9" fontId="1" fillId="2" borderId="8" xfId="0" applyNumberFormat="1" applyFont="1" applyFill="1" applyBorder="1"/>
    <xf numFmtId="9" fontId="1" fillId="2" borderId="9" xfId="0" applyNumberFormat="1" applyFont="1" applyFill="1" applyBorder="1"/>
    <xf numFmtId="0" fontId="1" fillId="2" borderId="10" xfId="0" applyFont="1" applyFill="1" applyBorder="1"/>
    <xf numFmtId="10" fontId="1" fillId="2" borderId="11" xfId="0" applyNumberFormat="1" applyFont="1" applyFill="1" applyBorder="1"/>
    <xf numFmtId="0" fontId="1" fillId="2" borderId="12" xfId="0" applyFont="1" applyFill="1" applyBorder="1"/>
    <xf numFmtId="10" fontId="1" fillId="2" borderId="13" xfId="0" applyNumberFormat="1" applyFont="1" applyFill="1" applyBorder="1"/>
    <xf numFmtId="0" fontId="1" fillId="2" borderId="14" xfId="0" applyFont="1" applyFill="1" applyBorder="1"/>
    <xf numFmtId="10" fontId="1" fillId="2" borderId="15" xfId="0" applyNumberFormat="1" applyFont="1" applyFill="1" applyBorder="1"/>
    <xf numFmtId="10" fontId="1" fillId="2" borderId="1" xfId="0" applyNumberFormat="1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6" xfId="0" applyFont="1" applyFill="1" applyBorder="1"/>
    <xf numFmtId="4" fontId="1" fillId="2" borderId="1" xfId="0" applyNumberFormat="1" applyFont="1" applyFill="1" applyBorder="1"/>
    <xf numFmtId="4" fontId="1" fillId="2" borderId="6" xfId="0" applyNumberFormat="1" applyFont="1" applyFill="1" applyBorder="1"/>
    <xf numFmtId="0" fontId="1" fillId="2" borderId="1" xfId="0" applyFont="1" applyFill="1" applyBorder="1" applyAlignment="1">
      <alignment horizontal="center"/>
    </xf>
    <xf numFmtId="4" fontId="1" fillId="2" borderId="8" xfId="0" applyNumberFormat="1" applyFont="1" applyFill="1" applyBorder="1"/>
    <xf numFmtId="4" fontId="1" fillId="2" borderId="9" xfId="0" applyNumberFormat="1" applyFont="1" applyFill="1" applyBorder="1"/>
    <xf numFmtId="0" fontId="2" fillId="0" borderId="1" xfId="0" applyFont="1" applyBorder="1"/>
    <xf numFmtId="43" fontId="1" fillId="2" borderId="1" xfId="1" applyFont="1" applyFill="1" applyBorder="1"/>
    <xf numFmtId="164" fontId="1" fillId="2" borderId="1" xfId="0" applyNumberFormat="1" applyFont="1" applyFill="1" applyBorder="1"/>
    <xf numFmtId="43" fontId="1" fillId="2" borderId="1" xfId="1" applyFont="1" applyFill="1" applyBorder="1" applyAlignment="1"/>
    <xf numFmtId="43" fontId="1" fillId="2" borderId="1" xfId="1" applyFont="1" applyFill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/>
    <xf numFmtId="0" fontId="4" fillId="2" borderId="6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3" fillId="3" borderId="0" xfId="0" applyFont="1" applyFill="1"/>
    <xf numFmtId="43" fontId="6" fillId="3" borderId="1" xfId="1" applyFont="1" applyFill="1" applyBorder="1"/>
    <xf numFmtId="0" fontId="1" fillId="2" borderId="1" xfId="0" applyFont="1" applyFill="1" applyBorder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43" fontId="6" fillId="2" borderId="1" xfId="0" applyNumberFormat="1" applyFont="1" applyFill="1" applyBorder="1"/>
    <xf numFmtId="0" fontId="1" fillId="2" borderId="21" xfId="0" applyFont="1" applyFill="1" applyBorder="1"/>
    <xf numFmtId="9" fontId="1" fillId="2" borderId="22" xfId="0" applyNumberFormat="1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4" fillId="2" borderId="25" xfId="0" applyFont="1" applyFill="1" applyBorder="1"/>
    <xf numFmtId="43" fontId="1" fillId="2" borderId="25" xfId="1" applyFont="1" applyFill="1" applyBorder="1"/>
    <xf numFmtId="0" fontId="1" fillId="2" borderId="26" xfId="0" applyFont="1" applyFill="1" applyBorder="1"/>
    <xf numFmtId="43" fontId="1" fillId="2" borderId="27" xfId="1" applyFont="1" applyFill="1" applyBorder="1"/>
    <xf numFmtId="43" fontId="1" fillId="2" borderId="28" xfId="1" applyFont="1" applyFill="1" applyBorder="1"/>
    <xf numFmtId="43" fontId="6" fillId="2" borderId="1" xfId="1" applyFont="1" applyFill="1" applyBorder="1"/>
    <xf numFmtId="10" fontId="1" fillId="2" borderId="29" xfId="0" applyNumberFormat="1" applyFont="1" applyFill="1" applyBorder="1"/>
    <xf numFmtId="10" fontId="1" fillId="2" borderId="30" xfId="0" applyNumberFormat="1" applyFont="1" applyFill="1" applyBorder="1"/>
    <xf numFmtId="164" fontId="1" fillId="2" borderId="31" xfId="0" applyNumberFormat="1" applyFont="1" applyFill="1" applyBorder="1"/>
    <xf numFmtId="164" fontId="1" fillId="2" borderId="32" xfId="0" applyNumberFormat="1" applyFont="1" applyFill="1" applyBorder="1"/>
    <xf numFmtId="164" fontId="1" fillId="2" borderId="33" xfId="0" applyNumberFormat="1" applyFont="1" applyFill="1" applyBorder="1"/>
    <xf numFmtId="4" fontId="6" fillId="2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/>
    <xf numFmtId="44" fontId="6" fillId="2" borderId="1" xfId="2" applyFont="1" applyFill="1" applyBorder="1"/>
    <xf numFmtId="165" fontId="1" fillId="2" borderId="1" xfId="0" applyNumberFormat="1" applyFont="1" applyFill="1" applyBorder="1"/>
    <xf numFmtId="44" fontId="1" fillId="2" borderId="1" xfId="2" applyFont="1" applyFill="1" applyBorder="1"/>
    <xf numFmtId="44" fontId="1" fillId="2" borderId="1" xfId="0" applyNumberFormat="1" applyFont="1" applyFill="1" applyBorder="1"/>
    <xf numFmtId="0" fontId="7" fillId="4" borderId="34" xfId="0" applyFont="1" applyFill="1" applyBorder="1"/>
    <xf numFmtId="165" fontId="7" fillId="4" borderId="35" xfId="0" applyNumberFormat="1" applyFont="1" applyFill="1" applyBorder="1"/>
    <xf numFmtId="0" fontId="1" fillId="2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2" fillId="0" borderId="18" xfId="0" applyFont="1" applyBorder="1"/>
  </cellXfs>
  <cellStyles count="3">
    <cellStyle name="Coma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C96" workbookViewId="0">
      <selection activeCell="K106" sqref="K106:K111"/>
    </sheetView>
  </sheetViews>
  <sheetFormatPr defaultColWidth="11.21875" defaultRowHeight="15" customHeight="1" x14ac:dyDescent="0.2"/>
  <cols>
    <col min="1" max="1" width="11.44140625" style="31" customWidth="1"/>
    <col min="2" max="2" width="21.6640625" style="31" customWidth="1"/>
    <col min="3" max="3" width="11.44140625" style="31" customWidth="1"/>
    <col min="4" max="4" width="13.33203125" style="31" customWidth="1"/>
    <col min="5" max="5" width="12.33203125" style="31" customWidth="1"/>
    <col min="6" max="7" width="11.44140625" style="31" customWidth="1"/>
    <col min="8" max="8" width="18.5546875" style="31" customWidth="1"/>
    <col min="9" max="9" width="26.44140625" style="31" customWidth="1"/>
    <col min="10" max="10" width="14.33203125" style="31" customWidth="1"/>
    <col min="11" max="11" width="18" style="31" customWidth="1"/>
    <col min="12" max="12" width="15.88671875" style="31" customWidth="1"/>
    <col min="13" max="13" width="15.109375" style="31" customWidth="1"/>
    <col min="14" max="14" width="12" style="31" customWidth="1"/>
    <col min="15" max="15" width="12.109375" style="31" customWidth="1"/>
    <col min="16" max="16" width="13.33203125" style="31" customWidth="1"/>
    <col min="17" max="17" width="15" style="31" customWidth="1"/>
    <col min="18" max="27" width="11.44140625" style="31" customWidth="1"/>
    <col min="28" max="16384" width="11.21875" style="31"/>
  </cols>
  <sheetData>
    <row r="1" spans="1:27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32" t="s">
        <v>0</v>
      </c>
      <c r="C2" s="1"/>
      <c r="D2" s="1"/>
      <c r="E2" s="1"/>
      <c r="F2" s="1"/>
      <c r="G2" s="1"/>
      <c r="H2" s="1"/>
      <c r="I2" s="1" t="s">
        <v>60</v>
      </c>
      <c r="J2" s="29">
        <f>4500000-J3</f>
        <v>3800000</v>
      </c>
      <c r="K2" s="28">
        <f>J2+J3</f>
        <v>4500000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1"/>
      <c r="B3" s="1" t="s">
        <v>1</v>
      </c>
      <c r="C3" s="1"/>
      <c r="D3" s="1"/>
      <c r="E3" s="1"/>
      <c r="F3" s="1"/>
      <c r="G3" s="1"/>
      <c r="H3" s="1"/>
      <c r="I3" s="37" t="s">
        <v>61</v>
      </c>
      <c r="J3" s="54">
        <v>700000</v>
      </c>
      <c r="K3" s="3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1"/>
      <c r="B4" s="1" t="s">
        <v>2</v>
      </c>
      <c r="C4" s="1"/>
      <c r="D4" s="1"/>
      <c r="E4" s="1"/>
      <c r="F4" s="1"/>
      <c r="G4" s="1"/>
      <c r="H4" s="1"/>
      <c r="I4" s="1" t="s">
        <v>55</v>
      </c>
      <c r="J4" s="29">
        <f>J2*K4</f>
        <v>2660000</v>
      </c>
      <c r="K4" s="2">
        <v>0.7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1"/>
      <c r="B5" s="1" t="s">
        <v>3</v>
      </c>
      <c r="C5" s="1"/>
      <c r="D5" s="1"/>
      <c r="E5" s="1"/>
      <c r="F5" s="1"/>
      <c r="G5" s="1"/>
      <c r="H5" s="1"/>
      <c r="I5" s="1" t="s">
        <v>56</v>
      </c>
      <c r="J5" s="30">
        <f>J2*K5</f>
        <v>1140000</v>
      </c>
      <c r="K5" s="2">
        <v>0.3</v>
      </c>
      <c r="L5" s="37"/>
      <c r="M5" s="37"/>
      <c r="N5" s="3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1"/>
      <c r="B6" s="1"/>
      <c r="C6" s="1"/>
      <c r="D6" s="1"/>
      <c r="E6" s="1"/>
      <c r="F6" s="1"/>
      <c r="G6" s="1"/>
      <c r="H6" s="1"/>
      <c r="I6" s="40"/>
      <c r="J6" s="40"/>
      <c r="K6" s="40"/>
      <c r="L6" s="38"/>
      <c r="M6" s="38"/>
      <c r="N6" s="3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"/>
      <c r="B7" s="32" t="s">
        <v>4</v>
      </c>
      <c r="C7" s="1"/>
      <c r="D7" s="1"/>
      <c r="E7" s="1"/>
      <c r="F7" s="1"/>
      <c r="G7" s="1"/>
      <c r="H7" s="1"/>
      <c r="I7" s="40"/>
      <c r="J7" s="40"/>
      <c r="K7" s="40"/>
      <c r="L7" s="38"/>
      <c r="M7" s="38"/>
      <c r="N7" s="3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1"/>
      <c r="B8" s="1" t="s">
        <v>5</v>
      </c>
      <c r="C8" s="1"/>
      <c r="D8" s="1"/>
      <c r="E8" s="1"/>
      <c r="F8" s="1"/>
      <c r="G8" s="1"/>
      <c r="H8" s="1"/>
      <c r="I8" s="38"/>
      <c r="J8" s="39"/>
      <c r="K8" s="41"/>
      <c r="L8" s="39"/>
      <c r="M8" s="38"/>
      <c r="N8" s="3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1"/>
      <c r="B9" s="1" t="s">
        <v>6</v>
      </c>
      <c r="C9" s="1"/>
      <c r="D9" s="1"/>
      <c r="E9" s="1"/>
      <c r="F9" s="1"/>
      <c r="G9" s="1"/>
      <c r="H9" s="1"/>
      <c r="I9" s="1"/>
      <c r="J9" s="39"/>
      <c r="K9" s="43"/>
      <c r="L9" s="39"/>
      <c r="M9" s="38"/>
      <c r="N9" s="3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/>
      <c r="B10" s="1"/>
      <c r="C10" s="1"/>
      <c r="D10" s="1"/>
      <c r="E10" s="1"/>
      <c r="F10" s="1"/>
      <c r="G10" s="1"/>
      <c r="H10" s="1"/>
      <c r="J10" s="1"/>
      <c r="K10" s="42"/>
      <c r="L10" s="37"/>
      <c r="M10" s="37"/>
      <c r="N10" s="3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/>
      <c r="B11" s="32" t="s">
        <v>7</v>
      </c>
      <c r="C11" s="1"/>
      <c r="D11" s="1"/>
      <c r="E11" s="1"/>
      <c r="F11" s="1"/>
      <c r="G11" s="1"/>
      <c r="H11" s="1"/>
      <c r="I11" s="32" t="s">
        <v>7</v>
      </c>
      <c r="J11" s="32"/>
      <c r="K11" s="32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/>
      <c r="B12" s="1"/>
      <c r="C12" s="1" t="s">
        <v>8</v>
      </c>
      <c r="D12" s="1" t="s">
        <v>9</v>
      </c>
      <c r="E12" s="1"/>
      <c r="F12" s="1"/>
      <c r="G12" s="1"/>
      <c r="H12" s="1"/>
      <c r="I12" s="1"/>
      <c r="J12" s="1" t="s">
        <v>8</v>
      </c>
      <c r="K12" s="1" t="s">
        <v>9</v>
      </c>
      <c r="L12" s="37"/>
      <c r="M12" s="37"/>
      <c r="N12" s="3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/>
      <c r="B13" s="1" t="s">
        <v>10</v>
      </c>
      <c r="C13" s="2">
        <v>0.55000000000000004</v>
      </c>
      <c r="D13" s="2">
        <v>0.85</v>
      </c>
      <c r="E13" s="1"/>
      <c r="F13" s="1"/>
      <c r="G13" s="1"/>
      <c r="H13" s="1"/>
      <c r="I13" s="1" t="s">
        <v>10</v>
      </c>
      <c r="J13" s="27">
        <f>C13*J4</f>
        <v>1463000.0000000002</v>
      </c>
      <c r="K13" s="27">
        <f>D13*J5</f>
        <v>969000</v>
      </c>
      <c r="L13" s="37"/>
      <c r="M13" s="37"/>
      <c r="N13" s="3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1" t="s">
        <v>11</v>
      </c>
      <c r="C14" s="2">
        <v>0.45</v>
      </c>
      <c r="D14" s="2">
        <v>0.15</v>
      </c>
      <c r="E14" s="1"/>
      <c r="F14" s="1"/>
      <c r="G14" s="1"/>
      <c r="H14" s="1"/>
      <c r="I14" s="1" t="s">
        <v>11</v>
      </c>
      <c r="J14" s="27">
        <f>C14*J4</f>
        <v>1197000</v>
      </c>
      <c r="K14" s="27">
        <f>D14*J5</f>
        <v>171000</v>
      </c>
      <c r="L14" s="37"/>
      <c r="M14" s="37"/>
      <c r="N14" s="3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thickBot="1" x14ac:dyDescent="0.3">
      <c r="A15" s="1"/>
      <c r="B15" s="1"/>
      <c r="C15" s="1"/>
      <c r="D15" s="1"/>
      <c r="E15" s="1"/>
      <c r="F15" s="1"/>
      <c r="G15" s="1"/>
      <c r="H15" s="1"/>
      <c r="I15" s="40"/>
      <c r="J15" s="40"/>
      <c r="K15" s="40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3" t="s">
        <v>12</v>
      </c>
      <c r="C16" s="4"/>
      <c r="D16" s="5"/>
      <c r="E16" s="1"/>
      <c r="F16" s="1"/>
      <c r="G16" s="1"/>
      <c r="H16" s="1"/>
      <c r="I16" s="45" t="s">
        <v>57</v>
      </c>
      <c r="J16" s="46"/>
      <c r="K16" s="47"/>
      <c r="L16" s="37"/>
      <c r="M16" s="37"/>
      <c r="N16" s="3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6"/>
      <c r="C17" s="32" t="s">
        <v>8</v>
      </c>
      <c r="D17" s="33" t="s">
        <v>9</v>
      </c>
      <c r="E17" s="1"/>
      <c r="F17" s="1"/>
      <c r="G17" s="1"/>
      <c r="H17" s="1"/>
      <c r="I17" s="48"/>
      <c r="J17" s="32" t="s">
        <v>8</v>
      </c>
      <c r="K17" s="49" t="s">
        <v>9</v>
      </c>
      <c r="L17" s="37"/>
      <c r="M17" s="37"/>
      <c r="N17" s="3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6" t="s">
        <v>13</v>
      </c>
      <c r="C18" s="2">
        <v>0.25</v>
      </c>
      <c r="D18" s="7">
        <v>0.3</v>
      </c>
      <c r="E18" s="1"/>
      <c r="F18" s="1"/>
      <c r="G18" s="1"/>
      <c r="H18" s="1"/>
      <c r="I18" s="48" t="s">
        <v>13</v>
      </c>
      <c r="J18" s="27">
        <f>C18*J4</f>
        <v>665000</v>
      </c>
      <c r="K18" s="50">
        <f>D18*J5</f>
        <v>342000</v>
      </c>
      <c r="L18" s="37"/>
      <c r="M18" s="37"/>
      <c r="N18" s="3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6" t="s">
        <v>14</v>
      </c>
      <c r="C19" s="2">
        <v>0.3</v>
      </c>
      <c r="D19" s="7">
        <v>0.05</v>
      </c>
      <c r="E19" s="1"/>
      <c r="F19" s="1"/>
      <c r="G19" s="1"/>
      <c r="H19" s="1"/>
      <c r="I19" s="48" t="s">
        <v>14</v>
      </c>
      <c r="J19" s="27">
        <f>C19*J4</f>
        <v>798000</v>
      </c>
      <c r="K19" s="50">
        <f>D19*J5</f>
        <v>57000</v>
      </c>
      <c r="L19" s="37"/>
      <c r="M19" s="37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6" t="s">
        <v>15</v>
      </c>
      <c r="C20" s="2">
        <v>0.2</v>
      </c>
      <c r="D20" s="7">
        <v>0.12</v>
      </c>
      <c r="E20" s="1"/>
      <c r="F20" s="1"/>
      <c r="G20" s="1"/>
      <c r="H20" s="1"/>
      <c r="I20" s="48" t="s">
        <v>15</v>
      </c>
      <c r="J20" s="27">
        <f>C20*J4</f>
        <v>532000</v>
      </c>
      <c r="K20" s="50">
        <f>D20*J5</f>
        <v>136800</v>
      </c>
      <c r="L20" s="37"/>
      <c r="M20" s="3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6" t="s">
        <v>16</v>
      </c>
      <c r="C21" s="2">
        <v>0.1</v>
      </c>
      <c r="D21" s="7">
        <v>0.13</v>
      </c>
      <c r="E21" s="1"/>
      <c r="F21" s="1"/>
      <c r="G21" s="1"/>
      <c r="H21" s="1"/>
      <c r="I21" s="48" t="s">
        <v>16</v>
      </c>
      <c r="J21" s="27">
        <f>C21*J4</f>
        <v>266000</v>
      </c>
      <c r="K21" s="50">
        <f>D21*J5</f>
        <v>148200</v>
      </c>
      <c r="L21" s="37"/>
      <c r="M21" s="37"/>
      <c r="N21" s="3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6" t="s">
        <v>17</v>
      </c>
      <c r="C22" s="2">
        <v>0.15</v>
      </c>
      <c r="D22" s="7">
        <v>0.4</v>
      </c>
      <c r="E22" s="1"/>
      <c r="F22" s="1"/>
      <c r="G22" s="1"/>
      <c r="H22" s="40"/>
      <c r="I22" s="48" t="s">
        <v>17</v>
      </c>
      <c r="J22" s="27">
        <f>C22*J4</f>
        <v>399000</v>
      </c>
      <c r="K22" s="50">
        <f>D22*J5</f>
        <v>456000</v>
      </c>
      <c r="L22" s="40"/>
      <c r="M22" s="40"/>
      <c r="N22" s="4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thickBot="1" x14ac:dyDescent="0.3">
      <c r="A23" s="1"/>
      <c r="B23" s="8" t="s">
        <v>18</v>
      </c>
      <c r="C23" s="9">
        <v>0</v>
      </c>
      <c r="D23" s="10">
        <v>0</v>
      </c>
      <c r="E23" s="1"/>
      <c r="F23" s="1"/>
      <c r="G23" s="1"/>
      <c r="H23" s="40"/>
      <c r="I23" s="51" t="s">
        <v>18</v>
      </c>
      <c r="J23" s="52">
        <f>J3*K4</f>
        <v>489999.99999999994</v>
      </c>
      <c r="K23" s="53">
        <f>J3*K5</f>
        <v>210000</v>
      </c>
      <c r="L23" s="40"/>
      <c r="M23" s="40"/>
      <c r="N23" s="4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2"/>
      <c r="D24" s="2"/>
      <c r="E24" s="1"/>
      <c r="F24" s="1"/>
      <c r="G24" s="1"/>
      <c r="H24" s="40"/>
      <c r="I24" s="37"/>
      <c r="J24" s="44">
        <f>SUM(J18:J23)</f>
        <v>3150000</v>
      </c>
      <c r="K24" s="44">
        <f>SUM(K18:K23)</f>
        <v>1350000</v>
      </c>
      <c r="L24" s="40"/>
      <c r="M24" s="40"/>
      <c r="N24" s="4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 t="s">
        <v>19</v>
      </c>
      <c r="C25" s="1"/>
      <c r="D25" s="1"/>
      <c r="E25" s="1"/>
      <c r="F25" s="1"/>
      <c r="G25" s="1"/>
      <c r="H25" s="40"/>
      <c r="I25" s="40"/>
      <c r="J25" s="40"/>
      <c r="K25" s="40"/>
      <c r="L25" s="40"/>
      <c r="M25" s="40"/>
      <c r="N25" s="4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40"/>
      <c r="I26" s="40"/>
      <c r="J26" s="40"/>
      <c r="K26" s="40"/>
      <c r="L26" s="40"/>
      <c r="M26" s="40"/>
      <c r="N26" s="4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 t="s">
        <v>20</v>
      </c>
      <c r="C27" s="1"/>
      <c r="D27" s="1"/>
      <c r="E27" s="1"/>
      <c r="F27" s="1"/>
      <c r="G27" s="1"/>
      <c r="H27" s="40"/>
      <c r="I27" s="40"/>
      <c r="J27" s="40"/>
      <c r="K27" s="40"/>
      <c r="L27" s="40"/>
      <c r="M27" s="40"/>
      <c r="N27" s="4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 t="s">
        <v>21</v>
      </c>
      <c r="C28" s="1"/>
      <c r="D28" s="1"/>
      <c r="E28" s="1"/>
      <c r="F28" s="1"/>
      <c r="G28" s="1"/>
      <c r="H28" s="40"/>
      <c r="I28" s="40"/>
      <c r="J28" s="40"/>
      <c r="K28" s="40"/>
      <c r="L28" s="40"/>
      <c r="M28" s="40"/>
      <c r="N28" s="4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 t="s">
        <v>22</v>
      </c>
      <c r="C29" s="1"/>
      <c r="D29" s="1"/>
      <c r="E29" s="1"/>
      <c r="F29" s="1"/>
      <c r="G29" s="1"/>
      <c r="H29" s="40"/>
      <c r="I29" s="40"/>
      <c r="J29" s="40"/>
      <c r="K29" s="40"/>
      <c r="L29" s="40"/>
      <c r="M29" s="40"/>
      <c r="N29" s="4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40"/>
      <c r="J30" s="40"/>
      <c r="K30" s="4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34" t="s">
        <v>23</v>
      </c>
      <c r="C31" s="1"/>
      <c r="D31" s="1"/>
      <c r="E31" s="1"/>
      <c r="F31" s="1"/>
      <c r="G31" s="1"/>
      <c r="H31" s="1"/>
      <c r="I31" s="40"/>
      <c r="J31" s="40"/>
      <c r="K31" s="4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 t="s">
        <v>24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 t="s">
        <v>25</v>
      </c>
      <c r="C33" s="1"/>
      <c r="D33" s="1"/>
      <c r="E33" s="1"/>
      <c r="F33" s="1"/>
      <c r="G33" s="1"/>
      <c r="H33" s="1"/>
      <c r="I33" s="1"/>
      <c r="J33" s="1"/>
      <c r="K33" s="1" t="s">
        <v>58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1" t="s">
        <v>26</v>
      </c>
      <c r="J34" s="55">
        <v>0.04</v>
      </c>
      <c r="K34" s="57">
        <f t="shared" ref="K34:K45" si="0">J34*($J$2+$J$3)</f>
        <v>180000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1" t="s">
        <v>26</v>
      </c>
      <c r="C35" s="12">
        <v>0.04</v>
      </c>
      <c r="D35" s="1"/>
      <c r="E35" s="1"/>
      <c r="F35" s="1"/>
      <c r="G35" s="1"/>
      <c r="H35" s="1"/>
      <c r="I35" s="13" t="s">
        <v>27</v>
      </c>
      <c r="J35" s="17">
        <v>0.05</v>
      </c>
      <c r="K35" s="58">
        <f t="shared" si="0"/>
        <v>225000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3" t="s">
        <v>27</v>
      </c>
      <c r="C36" s="14">
        <v>0.05</v>
      </c>
      <c r="D36" s="1"/>
      <c r="E36" s="1"/>
      <c r="F36" s="1"/>
      <c r="G36" s="1"/>
      <c r="H36" s="1"/>
      <c r="I36" s="13" t="s">
        <v>28</v>
      </c>
      <c r="J36" s="17">
        <v>0.06</v>
      </c>
      <c r="K36" s="58">
        <f t="shared" si="0"/>
        <v>270000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3" t="s">
        <v>28</v>
      </c>
      <c r="C37" s="14">
        <v>0.06</v>
      </c>
      <c r="D37" s="1"/>
      <c r="E37" s="1"/>
      <c r="F37" s="1"/>
      <c r="G37" s="1"/>
      <c r="H37" s="1"/>
      <c r="I37" s="13" t="s">
        <v>29</v>
      </c>
      <c r="J37" s="17">
        <v>0.06</v>
      </c>
      <c r="K37" s="58">
        <f t="shared" si="0"/>
        <v>270000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3" t="s">
        <v>29</v>
      </c>
      <c r="C38" s="14">
        <v>0.06</v>
      </c>
      <c r="D38" s="1"/>
      <c r="E38" s="1"/>
      <c r="F38" s="1"/>
      <c r="G38" s="1"/>
      <c r="H38" s="1"/>
      <c r="I38" s="13" t="s">
        <v>30</v>
      </c>
      <c r="J38" s="17">
        <v>0.06</v>
      </c>
      <c r="K38" s="58">
        <f t="shared" si="0"/>
        <v>270000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3" t="s">
        <v>30</v>
      </c>
      <c r="C39" s="14">
        <v>0.06</v>
      </c>
      <c r="D39" s="1"/>
      <c r="E39" s="1"/>
      <c r="F39" s="1"/>
      <c r="G39" s="1"/>
      <c r="H39" s="1"/>
      <c r="I39" s="13" t="s">
        <v>31</v>
      </c>
      <c r="J39" s="17">
        <v>0.08</v>
      </c>
      <c r="K39" s="58">
        <f t="shared" si="0"/>
        <v>360000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3" t="s">
        <v>31</v>
      </c>
      <c r="C40" s="14">
        <v>0.08</v>
      </c>
      <c r="D40" s="1"/>
      <c r="E40" s="1"/>
      <c r="F40" s="1"/>
      <c r="G40" s="1"/>
      <c r="H40" s="1"/>
      <c r="I40" s="13" t="s">
        <v>32</v>
      </c>
      <c r="J40" s="17">
        <v>0.18</v>
      </c>
      <c r="K40" s="58">
        <f t="shared" si="0"/>
        <v>810000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3" t="s">
        <v>32</v>
      </c>
      <c r="C41" s="14">
        <v>0.18</v>
      </c>
      <c r="D41" s="1"/>
      <c r="E41" s="1"/>
      <c r="F41" s="1"/>
      <c r="G41" s="1"/>
      <c r="H41" s="1"/>
      <c r="I41" s="13" t="s">
        <v>33</v>
      </c>
      <c r="J41" s="17">
        <v>0.22</v>
      </c>
      <c r="K41" s="58">
        <f t="shared" si="0"/>
        <v>990000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3" t="s">
        <v>33</v>
      </c>
      <c r="C42" s="14">
        <v>0.22</v>
      </c>
      <c r="D42" s="1"/>
      <c r="E42" s="1"/>
      <c r="F42" s="1"/>
      <c r="G42" s="1"/>
      <c r="H42" s="1"/>
      <c r="I42" s="13" t="s">
        <v>34</v>
      </c>
      <c r="J42" s="17">
        <v>0.11</v>
      </c>
      <c r="K42" s="58">
        <f t="shared" si="0"/>
        <v>495000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3" t="s">
        <v>34</v>
      </c>
      <c r="C43" s="14">
        <v>0.11</v>
      </c>
      <c r="D43" s="1"/>
      <c r="E43" s="1"/>
      <c r="F43" s="1"/>
      <c r="G43" s="1"/>
      <c r="H43" s="1"/>
      <c r="I43" s="13" t="s">
        <v>35</v>
      </c>
      <c r="J43" s="17">
        <v>0.05</v>
      </c>
      <c r="K43" s="58">
        <f t="shared" si="0"/>
        <v>225000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3" t="s">
        <v>35</v>
      </c>
      <c r="C44" s="14">
        <v>0.05</v>
      </c>
      <c r="D44" s="1"/>
      <c r="E44" s="1"/>
      <c r="F44" s="1"/>
      <c r="G44" s="1"/>
      <c r="H44" s="1"/>
      <c r="I44" s="13" t="s">
        <v>36</v>
      </c>
      <c r="J44" s="17">
        <v>0.05</v>
      </c>
      <c r="K44" s="58">
        <f t="shared" si="0"/>
        <v>225000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3" t="s">
        <v>36</v>
      </c>
      <c r="C45" s="14">
        <v>0.05</v>
      </c>
      <c r="D45" s="1"/>
      <c r="E45" s="1"/>
      <c r="F45" s="1"/>
      <c r="G45" s="1"/>
      <c r="H45" s="1"/>
      <c r="I45" s="13" t="s">
        <v>37</v>
      </c>
      <c r="J45" s="17">
        <v>0.04</v>
      </c>
      <c r="K45" s="58">
        <f t="shared" si="0"/>
        <v>180000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3" t="s">
        <v>37</v>
      </c>
      <c r="C46" s="14">
        <v>0.04</v>
      </c>
      <c r="D46" s="1"/>
      <c r="E46" s="1"/>
      <c r="F46" s="1"/>
      <c r="G46" s="1"/>
      <c r="H46" s="1"/>
      <c r="I46" s="15"/>
      <c r="J46" s="56">
        <v>1</v>
      </c>
      <c r="K46" s="59">
        <f>SUM(K34:K45)</f>
        <v>4500000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5"/>
      <c r="C47" s="16">
        <v>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34" t="s">
        <v>38</v>
      </c>
      <c r="C51" s="70" t="s">
        <v>39</v>
      </c>
      <c r="D51" s="71"/>
      <c r="E51" s="71"/>
      <c r="F51" s="73"/>
      <c r="G51" s="1"/>
      <c r="H51" s="70" t="s">
        <v>40</v>
      </c>
      <c r="I51" s="71"/>
      <c r="J51" s="71"/>
      <c r="K51" s="73"/>
      <c r="L51" s="2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70" t="s">
        <v>8</v>
      </c>
      <c r="D52" s="73"/>
      <c r="E52" s="70" t="s">
        <v>9</v>
      </c>
      <c r="F52" s="73"/>
      <c r="G52" s="1"/>
      <c r="H52" s="70" t="s">
        <v>8</v>
      </c>
      <c r="I52" s="73"/>
      <c r="J52" s="70" t="s">
        <v>9</v>
      </c>
      <c r="K52" s="73"/>
      <c r="L52" s="2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 t="s">
        <v>41</v>
      </c>
      <c r="C53" s="18" t="s">
        <v>10</v>
      </c>
      <c r="D53" s="18" t="s">
        <v>11</v>
      </c>
      <c r="E53" s="18" t="s">
        <v>10</v>
      </c>
      <c r="F53" s="18" t="s">
        <v>11</v>
      </c>
      <c r="G53" s="1"/>
      <c r="H53" s="18" t="s">
        <v>10</v>
      </c>
      <c r="I53" s="18" t="s">
        <v>11</v>
      </c>
      <c r="J53" s="18" t="s">
        <v>10</v>
      </c>
      <c r="K53" s="18" t="s">
        <v>11</v>
      </c>
      <c r="L53" s="2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 t="s">
        <v>13</v>
      </c>
      <c r="C54" s="1">
        <v>0.6</v>
      </c>
      <c r="D54" s="1">
        <v>5</v>
      </c>
      <c r="E54" s="1">
        <v>0.7</v>
      </c>
      <c r="F54" s="1">
        <v>6</v>
      </c>
      <c r="G54" s="1"/>
      <c r="H54" s="1">
        <v>0.62</v>
      </c>
      <c r="I54" s="1">
        <v>5.2</v>
      </c>
      <c r="J54" s="1">
        <v>0.73</v>
      </c>
      <c r="K54" s="1">
        <v>6.24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 t="s">
        <v>14</v>
      </c>
      <c r="C55" s="1">
        <v>0.6</v>
      </c>
      <c r="D55" s="1">
        <v>5</v>
      </c>
      <c r="E55" s="1">
        <v>0.7</v>
      </c>
      <c r="F55" s="1">
        <v>6</v>
      </c>
      <c r="G55" s="1"/>
      <c r="H55" s="1">
        <v>0.62</v>
      </c>
      <c r="I55" s="1">
        <v>5.2</v>
      </c>
      <c r="J55" s="1">
        <v>0.73</v>
      </c>
      <c r="K55" s="1">
        <v>6.24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 t="s">
        <v>15</v>
      </c>
      <c r="C56" s="1">
        <v>0.6</v>
      </c>
      <c r="D56" s="1">
        <v>5</v>
      </c>
      <c r="E56" s="1">
        <v>0.7</v>
      </c>
      <c r="F56" s="1">
        <v>6</v>
      </c>
      <c r="G56" s="1"/>
      <c r="H56" s="1">
        <v>0.62</v>
      </c>
      <c r="I56" s="1">
        <v>5.2</v>
      </c>
      <c r="J56" s="1">
        <v>0.73</v>
      </c>
      <c r="K56" s="1">
        <v>6.24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 t="s">
        <v>16</v>
      </c>
      <c r="C57" s="1">
        <v>0.6</v>
      </c>
      <c r="D57" s="1">
        <v>5</v>
      </c>
      <c r="E57" s="1">
        <v>0.7</v>
      </c>
      <c r="F57" s="1">
        <v>6</v>
      </c>
      <c r="G57" s="1"/>
      <c r="H57" s="1">
        <v>0.62</v>
      </c>
      <c r="I57" s="1">
        <v>5.2</v>
      </c>
      <c r="J57" s="1">
        <v>0.73</v>
      </c>
      <c r="K57" s="1">
        <v>6.24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 t="s">
        <v>17</v>
      </c>
      <c r="C58" s="1">
        <v>0.6</v>
      </c>
      <c r="D58" s="1">
        <v>5</v>
      </c>
      <c r="E58" s="1">
        <v>0.7</v>
      </c>
      <c r="F58" s="1">
        <v>6</v>
      </c>
      <c r="G58" s="1"/>
      <c r="H58" s="1">
        <v>0.62</v>
      </c>
      <c r="I58" s="1">
        <v>5.2</v>
      </c>
      <c r="J58" s="1">
        <v>0.73</v>
      </c>
      <c r="K58" s="1">
        <v>6.24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 t="s">
        <v>18</v>
      </c>
      <c r="C59" s="1"/>
      <c r="D59" s="1"/>
      <c r="E59" s="1"/>
      <c r="F59" s="1"/>
      <c r="G59" s="1"/>
      <c r="H59" s="1">
        <v>0.62</v>
      </c>
      <c r="I59" s="1">
        <v>5.2</v>
      </c>
      <c r="J59" s="1">
        <v>0.73</v>
      </c>
      <c r="K59" s="1">
        <v>6.24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35" t="s">
        <v>42</v>
      </c>
      <c r="C62" s="19"/>
      <c r="D62" s="19"/>
      <c r="E62" s="5"/>
      <c r="F62" s="1"/>
      <c r="G62" s="1"/>
      <c r="H62" s="35" t="s">
        <v>59</v>
      </c>
      <c r="I62" s="19"/>
      <c r="J62" s="19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6"/>
      <c r="C63" s="1"/>
      <c r="D63" s="1"/>
      <c r="E63" s="20"/>
      <c r="F63" s="1"/>
      <c r="G63" s="1"/>
      <c r="H63" s="6"/>
      <c r="I63" s="1"/>
      <c r="J63" s="1"/>
      <c r="K63" s="2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6"/>
      <c r="C64" s="70" t="s">
        <v>43</v>
      </c>
      <c r="D64" s="71"/>
      <c r="E64" s="72"/>
      <c r="F64" s="1"/>
      <c r="G64" s="1"/>
      <c r="H64" s="6"/>
      <c r="I64" s="70" t="s">
        <v>62</v>
      </c>
      <c r="J64" s="71"/>
      <c r="K64" s="7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36" t="s">
        <v>10</v>
      </c>
      <c r="C65" s="1" t="s">
        <v>8</v>
      </c>
      <c r="D65" s="1" t="s">
        <v>9</v>
      </c>
      <c r="E65" s="20" t="s">
        <v>44</v>
      </c>
      <c r="F65" s="1"/>
      <c r="G65" s="1"/>
      <c r="H65" s="36" t="s">
        <v>10</v>
      </c>
      <c r="I65" s="1" t="s">
        <v>8</v>
      </c>
      <c r="J65" s="1" t="s">
        <v>9</v>
      </c>
      <c r="K65" s="20" t="s">
        <v>44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6" t="s">
        <v>13</v>
      </c>
      <c r="C66" s="21">
        <f t="shared" ref="C66:C71" si="1">+C86*0.6</f>
        <v>438750</v>
      </c>
      <c r="D66" s="21">
        <v>234000</v>
      </c>
      <c r="E66" s="22">
        <f t="shared" ref="E66:E71" si="2">+C66+D66</f>
        <v>672750</v>
      </c>
      <c r="F66" s="21"/>
      <c r="G66" s="1"/>
      <c r="H66" s="6" t="s">
        <v>13</v>
      </c>
      <c r="I66" s="21">
        <f>J18*$C$13</f>
        <v>365750.00000000006</v>
      </c>
      <c r="J66" s="21">
        <f>K18*$D$13</f>
        <v>290700</v>
      </c>
      <c r="K66" s="22">
        <f t="shared" ref="K66:K71" si="3">+I66+J66</f>
        <v>656450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6" t="s">
        <v>14</v>
      </c>
      <c r="C67" s="21">
        <f t="shared" si="1"/>
        <v>526500</v>
      </c>
      <c r="D67" s="21">
        <v>39000</v>
      </c>
      <c r="E67" s="22">
        <f t="shared" si="2"/>
        <v>565500</v>
      </c>
      <c r="F67" s="21"/>
      <c r="G67" s="1"/>
      <c r="H67" s="6" t="s">
        <v>14</v>
      </c>
      <c r="I67" s="21">
        <f t="shared" ref="I67:I71" si="4">J19*$C$13</f>
        <v>438900.00000000006</v>
      </c>
      <c r="J67" s="21">
        <f t="shared" ref="J67:J71" si="5">K19*$D$13</f>
        <v>48450</v>
      </c>
      <c r="K67" s="22">
        <f t="shared" si="3"/>
        <v>487350.00000000006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6" t="s">
        <v>15</v>
      </c>
      <c r="C68" s="21">
        <f t="shared" si="1"/>
        <v>351000</v>
      </c>
      <c r="D68" s="21">
        <v>93600</v>
      </c>
      <c r="E68" s="22">
        <f t="shared" si="2"/>
        <v>444600</v>
      </c>
      <c r="F68" s="21"/>
      <c r="G68" s="1"/>
      <c r="H68" s="6" t="s">
        <v>15</v>
      </c>
      <c r="I68" s="21">
        <f t="shared" si="4"/>
        <v>292600</v>
      </c>
      <c r="J68" s="21">
        <f t="shared" si="5"/>
        <v>116280</v>
      </c>
      <c r="K68" s="22">
        <f t="shared" si="3"/>
        <v>408880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6" t="s">
        <v>16</v>
      </c>
      <c r="C69" s="21">
        <f t="shared" si="1"/>
        <v>175500</v>
      </c>
      <c r="D69" s="21">
        <v>101400</v>
      </c>
      <c r="E69" s="22">
        <f t="shared" si="2"/>
        <v>276900</v>
      </c>
      <c r="F69" s="21"/>
      <c r="G69" s="1"/>
      <c r="H69" s="6" t="s">
        <v>16</v>
      </c>
      <c r="I69" s="21">
        <f t="shared" si="4"/>
        <v>146300</v>
      </c>
      <c r="J69" s="21">
        <f t="shared" si="5"/>
        <v>125970</v>
      </c>
      <c r="K69" s="22">
        <f t="shared" si="3"/>
        <v>272270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6" t="s">
        <v>17</v>
      </c>
      <c r="C70" s="21">
        <f t="shared" si="1"/>
        <v>263250</v>
      </c>
      <c r="D70" s="21">
        <v>312000</v>
      </c>
      <c r="E70" s="22">
        <f t="shared" si="2"/>
        <v>575250</v>
      </c>
      <c r="F70" s="21"/>
      <c r="G70" s="1"/>
      <c r="H70" s="6" t="s">
        <v>17</v>
      </c>
      <c r="I70" s="21">
        <f t="shared" si="4"/>
        <v>219450.00000000003</v>
      </c>
      <c r="J70" s="21">
        <f t="shared" si="5"/>
        <v>387600</v>
      </c>
      <c r="K70" s="22">
        <f t="shared" si="3"/>
        <v>607050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6" t="s">
        <v>18</v>
      </c>
      <c r="C71" s="21">
        <f t="shared" si="1"/>
        <v>0</v>
      </c>
      <c r="D71" s="21">
        <v>0</v>
      </c>
      <c r="E71" s="22">
        <f t="shared" si="2"/>
        <v>0</v>
      </c>
      <c r="F71" s="21"/>
      <c r="G71" s="1"/>
      <c r="H71" s="6" t="s">
        <v>18</v>
      </c>
      <c r="I71" s="21">
        <f t="shared" si="4"/>
        <v>269500</v>
      </c>
      <c r="J71" s="21">
        <f t="shared" si="5"/>
        <v>178500</v>
      </c>
      <c r="K71" s="22">
        <f t="shared" si="3"/>
        <v>448000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6"/>
      <c r="C72" s="21">
        <f t="shared" ref="C72:E72" si="6">SUM(C66:C71)</f>
        <v>1755000</v>
      </c>
      <c r="D72" s="21">
        <f t="shared" si="6"/>
        <v>780000</v>
      </c>
      <c r="E72" s="22">
        <f t="shared" si="6"/>
        <v>2535000</v>
      </c>
      <c r="F72" s="21"/>
      <c r="G72" s="1"/>
      <c r="H72" s="6"/>
      <c r="I72" s="21">
        <f t="shared" ref="I72:K72" si="7">SUM(I66:I71)</f>
        <v>1732500</v>
      </c>
      <c r="J72" s="21">
        <f t="shared" si="7"/>
        <v>1147500</v>
      </c>
      <c r="K72" s="22">
        <f t="shared" si="7"/>
        <v>2880000</v>
      </c>
      <c r="L72" s="21"/>
      <c r="M72" s="1"/>
      <c r="N72" s="1"/>
      <c r="O72" s="1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6"/>
      <c r="C73" s="1"/>
      <c r="D73" s="1"/>
      <c r="E73" s="20"/>
      <c r="F73" s="1"/>
      <c r="G73" s="1"/>
      <c r="H73" s="6"/>
      <c r="I73" s="1"/>
      <c r="J73" s="1"/>
      <c r="K73" s="20"/>
      <c r="L73" s="1"/>
      <c r="M73" s="1"/>
      <c r="N73" s="1"/>
      <c r="O73" s="1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6"/>
      <c r="C74" s="70" t="s">
        <v>43</v>
      </c>
      <c r="D74" s="71"/>
      <c r="E74" s="72"/>
      <c r="F74" s="23"/>
      <c r="G74" s="1"/>
      <c r="H74" s="6"/>
      <c r="I74" s="70" t="s">
        <v>62</v>
      </c>
      <c r="J74" s="71"/>
      <c r="K74" s="72"/>
      <c r="L74" s="1"/>
      <c r="M74" s="1"/>
      <c r="N74" s="1"/>
      <c r="O74" s="1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36" t="s">
        <v>45</v>
      </c>
      <c r="C75" s="1" t="s">
        <v>8</v>
      </c>
      <c r="D75" s="1" t="s">
        <v>9</v>
      </c>
      <c r="E75" s="20"/>
      <c r="F75" s="1"/>
      <c r="G75" s="1"/>
      <c r="H75" s="36" t="s">
        <v>45</v>
      </c>
      <c r="I75" s="1" t="s">
        <v>8</v>
      </c>
      <c r="J75" s="1" t="s">
        <v>9</v>
      </c>
      <c r="K75" s="20"/>
      <c r="L75" s="1"/>
      <c r="M75" s="1"/>
      <c r="N75" s="1"/>
      <c r="O75" s="1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6" t="s">
        <v>13</v>
      </c>
      <c r="C76" s="21">
        <v>292500</v>
      </c>
      <c r="D76" s="21">
        <v>58500</v>
      </c>
      <c r="E76" s="22">
        <f t="shared" ref="E76:E81" si="8">+C76+D76</f>
        <v>351000</v>
      </c>
      <c r="F76" s="21"/>
      <c r="G76" s="1"/>
      <c r="H76" s="6" t="s">
        <v>13</v>
      </c>
      <c r="I76" s="21">
        <f>J18*$C$14</f>
        <v>299250</v>
      </c>
      <c r="J76" s="21">
        <f>K18*$D$14</f>
        <v>51300</v>
      </c>
      <c r="K76" s="22">
        <f t="shared" ref="K76:K81" si="9">+I76+J76</f>
        <v>350550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6" t="s">
        <v>14</v>
      </c>
      <c r="C77" s="21">
        <v>351000</v>
      </c>
      <c r="D77" s="21">
        <v>9750</v>
      </c>
      <c r="E77" s="22">
        <f t="shared" si="8"/>
        <v>360750</v>
      </c>
      <c r="F77" s="21"/>
      <c r="G77" s="1"/>
      <c r="H77" s="6" t="s">
        <v>14</v>
      </c>
      <c r="I77" s="21">
        <f t="shared" ref="I77:I81" si="10">J19*$C$14</f>
        <v>359100</v>
      </c>
      <c r="J77" s="21">
        <f t="shared" ref="J77:J81" si="11">K19*$D$14</f>
        <v>8550</v>
      </c>
      <c r="K77" s="22">
        <f t="shared" si="9"/>
        <v>367650</v>
      </c>
      <c r="L77" s="1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6" t="s">
        <v>15</v>
      </c>
      <c r="C78" s="21">
        <v>234000</v>
      </c>
      <c r="D78" s="21">
        <v>23400</v>
      </c>
      <c r="E78" s="22">
        <f t="shared" si="8"/>
        <v>257400</v>
      </c>
      <c r="F78" s="21"/>
      <c r="G78" s="1"/>
      <c r="H78" s="6" t="s">
        <v>15</v>
      </c>
      <c r="I78" s="21">
        <f t="shared" si="10"/>
        <v>239400</v>
      </c>
      <c r="J78" s="21">
        <f t="shared" si="11"/>
        <v>20520</v>
      </c>
      <c r="K78" s="22">
        <f t="shared" si="9"/>
        <v>259920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6" t="s">
        <v>16</v>
      </c>
      <c r="C79" s="21">
        <v>117000</v>
      </c>
      <c r="D79" s="21">
        <v>25350</v>
      </c>
      <c r="E79" s="22">
        <f t="shared" si="8"/>
        <v>142350</v>
      </c>
      <c r="F79" s="21"/>
      <c r="G79" s="1"/>
      <c r="H79" s="6" t="s">
        <v>16</v>
      </c>
      <c r="I79" s="21">
        <f t="shared" si="10"/>
        <v>119700</v>
      </c>
      <c r="J79" s="21">
        <f t="shared" si="11"/>
        <v>22230</v>
      </c>
      <c r="K79" s="22">
        <f t="shared" si="9"/>
        <v>141930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6" t="s">
        <v>17</v>
      </c>
      <c r="C80" s="21">
        <v>175500</v>
      </c>
      <c r="D80" s="21">
        <v>78000</v>
      </c>
      <c r="E80" s="22">
        <f t="shared" si="8"/>
        <v>253500</v>
      </c>
      <c r="F80" s="21"/>
      <c r="G80" s="1"/>
      <c r="H80" s="6" t="s">
        <v>17</v>
      </c>
      <c r="I80" s="21">
        <f t="shared" si="10"/>
        <v>179550</v>
      </c>
      <c r="J80" s="21">
        <f t="shared" si="11"/>
        <v>68400</v>
      </c>
      <c r="K80" s="22">
        <f t="shared" si="9"/>
        <v>247950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6" t="s">
        <v>18</v>
      </c>
      <c r="C81" s="21">
        <f>+C91-C71</f>
        <v>0</v>
      </c>
      <c r="D81" s="21">
        <v>0</v>
      </c>
      <c r="E81" s="22">
        <f t="shared" si="8"/>
        <v>0</v>
      </c>
      <c r="F81" s="21"/>
      <c r="G81" s="1"/>
      <c r="H81" s="6" t="s">
        <v>18</v>
      </c>
      <c r="I81" s="21">
        <f t="shared" si="10"/>
        <v>220499.99999999997</v>
      </c>
      <c r="J81" s="21">
        <f t="shared" si="11"/>
        <v>31500</v>
      </c>
      <c r="K81" s="22">
        <f t="shared" si="9"/>
        <v>251999.99999999997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6"/>
      <c r="C82" s="21">
        <f t="shared" ref="C82:E82" si="12">SUM(C76:C81)</f>
        <v>1170000</v>
      </c>
      <c r="D82" s="21">
        <f t="shared" si="12"/>
        <v>195000</v>
      </c>
      <c r="E82" s="22">
        <f t="shared" si="12"/>
        <v>1365000</v>
      </c>
      <c r="F82" s="21"/>
      <c r="G82" s="1"/>
      <c r="H82" s="6"/>
      <c r="I82" s="21">
        <f t="shared" ref="I82:K82" si="13">SUM(I76:I81)</f>
        <v>1417500</v>
      </c>
      <c r="J82" s="21">
        <f t="shared" si="13"/>
        <v>202500</v>
      </c>
      <c r="K82" s="22">
        <f t="shared" si="13"/>
        <v>1620000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6"/>
      <c r="C83" s="1"/>
      <c r="D83" s="1"/>
      <c r="E83" s="20"/>
      <c r="F83" s="1"/>
      <c r="G83" s="1"/>
      <c r="H83" s="6"/>
      <c r="I83" s="1"/>
      <c r="J83" s="1"/>
      <c r="K83" s="2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6"/>
      <c r="C84" s="70" t="s">
        <v>43</v>
      </c>
      <c r="D84" s="71"/>
      <c r="E84" s="72"/>
      <c r="F84" s="23"/>
      <c r="G84" s="1"/>
      <c r="H84" s="6"/>
      <c r="I84" s="70" t="s">
        <v>62</v>
      </c>
      <c r="J84" s="71"/>
      <c r="K84" s="7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6"/>
      <c r="C85" s="1" t="s">
        <v>8</v>
      </c>
      <c r="D85" s="1" t="s">
        <v>9</v>
      </c>
      <c r="E85" s="20"/>
      <c r="F85" s="1"/>
      <c r="G85" s="1"/>
      <c r="H85" s="6"/>
      <c r="I85" s="1" t="s">
        <v>8</v>
      </c>
      <c r="J85" s="1" t="s">
        <v>9</v>
      </c>
      <c r="K85" s="2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6" t="s">
        <v>13</v>
      </c>
      <c r="C86" s="21">
        <v>731250</v>
      </c>
      <c r="D86" s="21">
        <v>292500</v>
      </c>
      <c r="E86" s="22">
        <f t="shared" ref="E86:E91" si="14">+C86+D86</f>
        <v>1023750</v>
      </c>
      <c r="F86" s="21"/>
      <c r="G86" s="1"/>
      <c r="H86" s="6" t="s">
        <v>13</v>
      </c>
      <c r="I86" s="21">
        <f>I76+I66</f>
        <v>665000</v>
      </c>
      <c r="J86" s="21">
        <f>J76+J66</f>
        <v>342000</v>
      </c>
      <c r="K86" s="22">
        <f>I86+J86</f>
        <v>1007000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6" t="s">
        <v>14</v>
      </c>
      <c r="C87" s="21">
        <v>877500</v>
      </c>
      <c r="D87" s="21">
        <v>48750</v>
      </c>
      <c r="E87" s="22">
        <f t="shared" si="14"/>
        <v>926250</v>
      </c>
      <c r="F87" s="21"/>
      <c r="G87" s="1"/>
      <c r="H87" s="6" t="s">
        <v>14</v>
      </c>
      <c r="I87" s="21">
        <f t="shared" ref="I87:J91" si="15">I77+I67</f>
        <v>798000</v>
      </c>
      <c r="J87" s="21">
        <f t="shared" si="15"/>
        <v>57000</v>
      </c>
      <c r="K87" s="22">
        <f t="shared" ref="K87:K91" si="16">+I87+J87</f>
        <v>855000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6" t="s">
        <v>15</v>
      </c>
      <c r="C88" s="21">
        <v>585000</v>
      </c>
      <c r="D88" s="21">
        <v>117000</v>
      </c>
      <c r="E88" s="22">
        <f t="shared" si="14"/>
        <v>702000</v>
      </c>
      <c r="F88" s="21"/>
      <c r="G88" s="1"/>
      <c r="H88" s="6" t="s">
        <v>15</v>
      </c>
      <c r="I88" s="21">
        <f t="shared" si="15"/>
        <v>532000</v>
      </c>
      <c r="J88" s="21">
        <f t="shared" si="15"/>
        <v>136800</v>
      </c>
      <c r="K88" s="22">
        <f t="shared" si="16"/>
        <v>668800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6" t="s">
        <v>16</v>
      </c>
      <c r="C89" s="21">
        <v>292500</v>
      </c>
      <c r="D89" s="21">
        <v>126750</v>
      </c>
      <c r="E89" s="22">
        <f t="shared" si="14"/>
        <v>419250</v>
      </c>
      <c r="F89" s="21"/>
      <c r="G89" s="1"/>
      <c r="H89" s="6" t="s">
        <v>16</v>
      </c>
      <c r="I89" s="21">
        <f t="shared" si="15"/>
        <v>266000</v>
      </c>
      <c r="J89" s="21">
        <f t="shared" si="15"/>
        <v>148200</v>
      </c>
      <c r="K89" s="22">
        <f t="shared" si="16"/>
        <v>414200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6" t="s">
        <v>17</v>
      </c>
      <c r="C90" s="21">
        <v>438750</v>
      </c>
      <c r="D90" s="21">
        <v>390000</v>
      </c>
      <c r="E90" s="22">
        <f t="shared" si="14"/>
        <v>828750</v>
      </c>
      <c r="F90" s="21"/>
      <c r="G90" s="1"/>
      <c r="H90" s="6" t="s">
        <v>17</v>
      </c>
      <c r="I90" s="21">
        <f t="shared" si="15"/>
        <v>399000</v>
      </c>
      <c r="J90" s="21">
        <f t="shared" si="15"/>
        <v>456000</v>
      </c>
      <c r="K90" s="22">
        <f t="shared" si="16"/>
        <v>855000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6" t="s">
        <v>18</v>
      </c>
      <c r="C91" s="21">
        <v>0</v>
      </c>
      <c r="D91" s="21">
        <v>0</v>
      </c>
      <c r="E91" s="22">
        <f t="shared" si="14"/>
        <v>0</v>
      </c>
      <c r="F91" s="21"/>
      <c r="G91" s="1"/>
      <c r="H91" s="6" t="s">
        <v>18</v>
      </c>
      <c r="I91" s="21">
        <f t="shared" si="15"/>
        <v>490000</v>
      </c>
      <c r="J91" s="21">
        <f t="shared" si="15"/>
        <v>210000</v>
      </c>
      <c r="K91" s="22">
        <f t="shared" si="16"/>
        <v>700000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thickBot="1" x14ac:dyDescent="0.3">
      <c r="A92" s="1"/>
      <c r="B92" s="8"/>
      <c r="C92" s="24">
        <f t="shared" ref="C92:E92" si="17">SUM(C86:C91)</f>
        <v>2925000</v>
      </c>
      <c r="D92" s="24">
        <f t="shared" si="17"/>
        <v>975000</v>
      </c>
      <c r="E92" s="25">
        <f t="shared" si="17"/>
        <v>3900000</v>
      </c>
      <c r="F92" s="21"/>
      <c r="G92" s="1"/>
      <c r="H92" s="8"/>
      <c r="I92" s="24">
        <f t="shared" ref="I92:K92" si="18">SUM(I86:I91)</f>
        <v>3150000</v>
      </c>
      <c r="J92" s="24">
        <f t="shared" si="18"/>
        <v>1350000</v>
      </c>
      <c r="K92" s="25">
        <f t="shared" si="18"/>
        <v>4500000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50.25" customHeight="1" x14ac:dyDescent="0.25">
      <c r="A96" s="1"/>
      <c r="B96" s="1"/>
      <c r="C96" s="1"/>
      <c r="D96" s="1"/>
      <c r="E96" s="1"/>
      <c r="F96" s="1"/>
      <c r="G96" s="1"/>
      <c r="H96" s="62" t="s">
        <v>53</v>
      </c>
      <c r="I96" s="62" t="s">
        <v>63</v>
      </c>
      <c r="J96" s="61" t="s">
        <v>65</v>
      </c>
      <c r="K96" s="61" t="s">
        <v>64</v>
      </c>
      <c r="L96" s="61" t="s">
        <v>66</v>
      </c>
      <c r="M96" s="62" t="s">
        <v>54</v>
      </c>
      <c r="N96" s="6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36" t="s">
        <v>10</v>
      </c>
      <c r="I97" s="37"/>
      <c r="J97" s="37"/>
      <c r="K97" s="37"/>
      <c r="L97" s="37"/>
      <c r="M97" s="3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6" t="s">
        <v>13</v>
      </c>
      <c r="I98" s="63">
        <f>H54</f>
        <v>0.62</v>
      </c>
      <c r="J98" s="60">
        <f>I66</f>
        <v>365750.00000000006</v>
      </c>
      <c r="K98" s="64">
        <f>J54</f>
        <v>0.73</v>
      </c>
      <c r="L98" s="60">
        <f>J66</f>
        <v>290700</v>
      </c>
      <c r="M98" s="63">
        <f>(I98*J98)+(K98*L98)</f>
        <v>438976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6" t="s">
        <v>14</v>
      </c>
      <c r="I99" s="63">
        <f t="shared" ref="I99:I103" si="19">H55</f>
        <v>0.62</v>
      </c>
      <c r="J99" s="60">
        <f t="shared" ref="J99:J103" si="20">I67</f>
        <v>438900.00000000006</v>
      </c>
      <c r="K99" s="64">
        <f t="shared" ref="K99:K103" si="21">J55</f>
        <v>0.73</v>
      </c>
      <c r="L99" s="60">
        <f t="shared" ref="L99:L103" si="22">J67</f>
        <v>48450</v>
      </c>
      <c r="M99" s="63">
        <f t="shared" ref="M99:M103" si="23">(I99*J99)+(K99*L99)</f>
        <v>307486.50000000006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6" t="s">
        <v>15</v>
      </c>
      <c r="I100" s="63">
        <f t="shared" si="19"/>
        <v>0.62</v>
      </c>
      <c r="J100" s="60">
        <f t="shared" si="20"/>
        <v>292600</v>
      </c>
      <c r="K100" s="64">
        <f t="shared" si="21"/>
        <v>0.73</v>
      </c>
      <c r="L100" s="60">
        <f t="shared" si="22"/>
        <v>116280</v>
      </c>
      <c r="M100" s="63">
        <f t="shared" si="23"/>
        <v>266296.40000000002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6" t="s">
        <v>16</v>
      </c>
      <c r="I101" s="63">
        <f t="shared" si="19"/>
        <v>0.62</v>
      </c>
      <c r="J101" s="60">
        <f t="shared" si="20"/>
        <v>146300</v>
      </c>
      <c r="K101" s="64">
        <f t="shared" si="21"/>
        <v>0.73</v>
      </c>
      <c r="L101" s="60">
        <f t="shared" si="22"/>
        <v>125970</v>
      </c>
      <c r="M101" s="63">
        <f t="shared" si="23"/>
        <v>182664.09999999998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6" t="s">
        <v>17</v>
      </c>
      <c r="I102" s="63">
        <f t="shared" si="19"/>
        <v>0.62</v>
      </c>
      <c r="J102" s="60">
        <f t="shared" si="20"/>
        <v>219450.00000000003</v>
      </c>
      <c r="K102" s="64">
        <f t="shared" si="21"/>
        <v>0.73</v>
      </c>
      <c r="L102" s="60">
        <f t="shared" si="22"/>
        <v>387600</v>
      </c>
      <c r="M102" s="63">
        <f t="shared" si="23"/>
        <v>419007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6" t="s">
        <v>18</v>
      </c>
      <c r="I103" s="63">
        <f t="shared" si="19"/>
        <v>0.62</v>
      </c>
      <c r="J103" s="60">
        <f t="shared" si="20"/>
        <v>269500</v>
      </c>
      <c r="K103" s="64">
        <f t="shared" si="21"/>
        <v>0.73</v>
      </c>
      <c r="L103" s="60">
        <f t="shared" si="22"/>
        <v>178500</v>
      </c>
      <c r="M103" s="63">
        <f t="shared" si="23"/>
        <v>297395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5">
        <f>SUM(M98:M103)</f>
        <v>1911825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36" t="s">
        <v>45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6" t="s">
        <v>13</v>
      </c>
      <c r="I106" s="66">
        <f>I54/10</f>
        <v>0.52</v>
      </c>
      <c r="J106" s="21">
        <f>I76</f>
        <v>299250</v>
      </c>
      <c r="K106" s="66">
        <f>K54/10</f>
        <v>0.624</v>
      </c>
      <c r="L106" s="21">
        <f>J76</f>
        <v>51300</v>
      </c>
      <c r="M106" s="66">
        <f>(I106*J106)+(K106*L106)</f>
        <v>187621.2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6" t="s">
        <v>14</v>
      </c>
      <c r="I107" s="66">
        <f t="shared" ref="I107:I111" si="24">I55/10</f>
        <v>0.52</v>
      </c>
      <c r="J107" s="21">
        <f t="shared" ref="J107:J111" si="25">I77</f>
        <v>359100</v>
      </c>
      <c r="K107" s="66">
        <f t="shared" ref="K107:K111" si="26">K55/10</f>
        <v>0.624</v>
      </c>
      <c r="L107" s="21">
        <f t="shared" ref="L107:L111" si="27">J77</f>
        <v>8550</v>
      </c>
      <c r="M107" s="66">
        <f t="shared" ref="M107:M111" si="28">(I107*J107)+(K107*L107)</f>
        <v>192067.20000000001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6" t="s">
        <v>15</v>
      </c>
      <c r="I108" s="66">
        <f t="shared" si="24"/>
        <v>0.52</v>
      </c>
      <c r="J108" s="21">
        <f t="shared" si="25"/>
        <v>239400</v>
      </c>
      <c r="K108" s="66">
        <f t="shared" si="26"/>
        <v>0.624</v>
      </c>
      <c r="L108" s="21">
        <f t="shared" si="27"/>
        <v>20520</v>
      </c>
      <c r="M108" s="66">
        <f t="shared" si="28"/>
        <v>137292.48000000001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6" t="s">
        <v>16</v>
      </c>
      <c r="I109" s="66">
        <f t="shared" si="24"/>
        <v>0.52</v>
      </c>
      <c r="J109" s="21">
        <f t="shared" si="25"/>
        <v>119700</v>
      </c>
      <c r="K109" s="66">
        <f t="shared" si="26"/>
        <v>0.624</v>
      </c>
      <c r="L109" s="21">
        <f t="shared" si="27"/>
        <v>22230</v>
      </c>
      <c r="M109" s="66">
        <f t="shared" si="28"/>
        <v>76115.520000000004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6" t="s">
        <v>17</v>
      </c>
      <c r="I110" s="66">
        <f t="shared" si="24"/>
        <v>0.52</v>
      </c>
      <c r="J110" s="21">
        <f t="shared" si="25"/>
        <v>179550</v>
      </c>
      <c r="K110" s="66">
        <f t="shared" si="26"/>
        <v>0.624</v>
      </c>
      <c r="L110" s="21">
        <f t="shared" si="27"/>
        <v>68400</v>
      </c>
      <c r="M110" s="66">
        <f t="shared" si="28"/>
        <v>136047.6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6" t="s">
        <v>18</v>
      </c>
      <c r="I111" s="66">
        <f t="shared" si="24"/>
        <v>0.52</v>
      </c>
      <c r="J111" s="21">
        <f t="shared" si="25"/>
        <v>220499.99999999997</v>
      </c>
      <c r="K111" s="66">
        <f t="shared" si="26"/>
        <v>0.624</v>
      </c>
      <c r="L111" s="21">
        <f t="shared" si="27"/>
        <v>31500</v>
      </c>
      <c r="M111" s="66">
        <f t="shared" si="28"/>
        <v>134316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67">
        <f>SUM(M106:M111)</f>
        <v>863460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thickBot="1" x14ac:dyDescent="0.3">
      <c r="A114" s="1"/>
      <c r="B114" s="1"/>
      <c r="C114" s="1"/>
      <c r="D114" s="1"/>
      <c r="E114" s="1"/>
      <c r="F114" s="1"/>
      <c r="G114" s="1"/>
      <c r="H114" s="68" t="s">
        <v>67</v>
      </c>
      <c r="I114" s="69">
        <f>M104+M112</f>
        <v>2775285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2">
    <mergeCell ref="C74:E74"/>
    <mergeCell ref="C84:E84"/>
    <mergeCell ref="C51:F51"/>
    <mergeCell ref="H51:K51"/>
    <mergeCell ref="C52:D52"/>
    <mergeCell ref="E52:F52"/>
    <mergeCell ref="H52:I52"/>
    <mergeCell ref="J52:K52"/>
    <mergeCell ref="C64:E64"/>
    <mergeCell ref="I64:K64"/>
    <mergeCell ref="I74:K74"/>
    <mergeCell ref="I84:K8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3677-7138-4EFE-92B0-DE4B76ED738A}">
  <dimension ref="B3:H28"/>
  <sheetViews>
    <sheetView showGridLines="0" workbookViewId="0">
      <selection activeCell="C24" sqref="C24:H26"/>
    </sheetView>
  </sheetViews>
  <sheetFormatPr defaultRowHeight="15" x14ac:dyDescent="0.2"/>
  <sheetData>
    <row r="3" spans="2:2" x14ac:dyDescent="0.2">
      <c r="B3" t="s">
        <v>46</v>
      </c>
    </row>
    <row r="5" spans="2:2" x14ac:dyDescent="0.2">
      <c r="B5" t="s">
        <v>47</v>
      </c>
    </row>
    <row r="6" spans="2:2" x14ac:dyDescent="0.2">
      <c r="B6" t="s">
        <v>48</v>
      </c>
    </row>
    <row r="7" spans="2:2" x14ac:dyDescent="0.2">
      <c r="B7" t="s">
        <v>49</v>
      </c>
    </row>
    <row r="8" spans="2:2" x14ac:dyDescent="0.2">
      <c r="B8" t="s">
        <v>50</v>
      </c>
    </row>
    <row r="10" spans="2:2" x14ac:dyDescent="0.2">
      <c r="B10" t="s">
        <v>51</v>
      </c>
    </row>
    <row r="12" spans="2:2" x14ac:dyDescent="0.2">
      <c r="B12" t="s">
        <v>52</v>
      </c>
    </row>
    <row r="21" spans="2:8" ht="15.75" x14ac:dyDescent="0.25">
      <c r="B21" s="1"/>
      <c r="C21" s="37"/>
      <c r="D21" s="37"/>
      <c r="E21" s="37"/>
      <c r="F21" s="37"/>
      <c r="G21" s="37"/>
      <c r="H21" s="37"/>
    </row>
    <row r="22" spans="2:8" ht="15.75" x14ac:dyDescent="0.25">
      <c r="B22" s="1"/>
      <c r="C22" s="37"/>
      <c r="D22" s="37"/>
      <c r="E22" s="37"/>
      <c r="F22" s="37"/>
      <c r="G22" s="37"/>
      <c r="H22" s="37"/>
    </row>
    <row r="23" spans="2:8" ht="15.75" x14ac:dyDescent="0.25">
      <c r="B23" s="1"/>
      <c r="C23" s="37"/>
      <c r="D23" s="37"/>
      <c r="E23" s="37"/>
      <c r="F23" s="37"/>
      <c r="G23" s="37"/>
      <c r="H23" s="37"/>
    </row>
    <row r="24" spans="2:8" ht="15.75" x14ac:dyDescent="0.25">
      <c r="B24" s="1"/>
    </row>
    <row r="25" spans="2:8" ht="15.75" x14ac:dyDescent="0.25">
      <c r="B25" s="1"/>
    </row>
    <row r="26" spans="2:8" ht="15.75" x14ac:dyDescent="0.25">
      <c r="B26" s="1"/>
    </row>
    <row r="27" spans="2:8" ht="15.75" x14ac:dyDescent="0.25">
      <c r="B27" s="1"/>
      <c r="C27" s="1"/>
      <c r="D27" s="1"/>
      <c r="E27" s="1"/>
      <c r="F27" s="1"/>
      <c r="G27" s="1"/>
      <c r="H27" s="1"/>
    </row>
    <row r="28" spans="2:8" ht="15.75" x14ac:dyDescent="0.25"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Hoja1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PORTATIL28</cp:lastModifiedBy>
  <dcterms:created xsi:type="dcterms:W3CDTF">2023-12-06T17:03:49Z</dcterms:created>
  <dcterms:modified xsi:type="dcterms:W3CDTF">2023-12-07T15:17:52Z</dcterms:modified>
</cp:coreProperties>
</file>