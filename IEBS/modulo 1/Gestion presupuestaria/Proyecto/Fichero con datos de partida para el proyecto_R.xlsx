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Proyecto\"/>
    </mc:Choice>
  </mc:AlternateContent>
  <xr:revisionPtr revIDLastSave="0" documentId="8_{7B4D158C-D96B-46F3-9F02-7147BD160778}" xr6:coauthVersionLast="47" xr6:coauthVersionMax="47" xr10:uidLastSave="{00000000-0000-0000-0000-000000000000}"/>
  <bookViews>
    <workbookView xWindow="22932" yWindow="-60" windowWidth="23256" windowHeight="12456" activeTab="4" xr2:uid="{00000000-000D-0000-FFFF-FFFF00000000}"/>
  </bookViews>
  <sheets>
    <sheet name="Datos generales" sheetId="1" r:id="rId1"/>
    <sheet name="Datps Vemtas" sheetId="10" r:id="rId2"/>
    <sheet name="Datos Producción" sheetId="14" r:id="rId3"/>
    <sheet name="Personal" sheetId="5" r:id="rId4"/>
    <sheet name="Formato Cuenta Rdos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5" l="1"/>
  <c r="C16" i="15" s="1"/>
  <c r="H13" i="14"/>
  <c r="H12" i="14" s="1"/>
  <c r="C67" i="10" l="1"/>
  <c r="C70" i="10"/>
  <c r="E91" i="10"/>
  <c r="C68" i="10"/>
  <c r="C69" i="10"/>
  <c r="C66" i="10"/>
  <c r="R7" i="5"/>
  <c r="T7" i="5" s="1"/>
  <c r="P36" i="5"/>
  <c r="R36" i="5" s="1"/>
  <c r="T36" i="5" s="1"/>
  <c r="P35" i="5"/>
  <c r="R35" i="5" s="1"/>
  <c r="T35" i="5" s="1"/>
  <c r="P34" i="5"/>
  <c r="R34" i="5" s="1"/>
  <c r="T34" i="5" s="1"/>
  <c r="P33" i="5"/>
  <c r="R33" i="5" s="1"/>
  <c r="T33" i="5" s="1"/>
  <c r="P31" i="5"/>
  <c r="R31" i="5" s="1"/>
  <c r="T31" i="5" s="1"/>
  <c r="P30" i="5"/>
  <c r="R30" i="5" s="1"/>
  <c r="T30" i="5" s="1"/>
  <c r="P29" i="5"/>
  <c r="R29" i="5" s="1"/>
  <c r="T29" i="5" s="1"/>
  <c r="P28" i="5"/>
  <c r="R28" i="5" s="1"/>
  <c r="T28" i="5" s="1"/>
  <c r="P27" i="5"/>
  <c r="R27" i="5" s="1"/>
  <c r="T27" i="5" s="1"/>
  <c r="P24" i="5"/>
  <c r="R24" i="5" s="1"/>
  <c r="T24" i="5" s="1"/>
  <c r="P22" i="5"/>
  <c r="R22" i="5" s="1"/>
  <c r="T22" i="5" s="1"/>
  <c r="P21" i="5"/>
  <c r="R21" i="5" s="1"/>
  <c r="T21" i="5" s="1"/>
  <c r="P20" i="5"/>
  <c r="R20" i="5" s="1"/>
  <c r="T20" i="5" s="1"/>
  <c r="P17" i="5"/>
  <c r="R17" i="5" s="1"/>
  <c r="T17" i="5" s="1"/>
  <c r="P16" i="5"/>
  <c r="R16" i="5" s="1"/>
  <c r="T16" i="5" s="1"/>
  <c r="P15" i="5"/>
  <c r="R15" i="5" s="1"/>
  <c r="T15" i="5" s="1"/>
  <c r="P14" i="5"/>
  <c r="R14" i="5" s="1"/>
  <c r="T14" i="5" s="1"/>
  <c r="P12" i="5"/>
  <c r="R12" i="5" s="1"/>
  <c r="T12" i="5" s="1"/>
  <c r="P11" i="5"/>
  <c r="R11" i="5" s="1"/>
  <c r="T11" i="5" s="1"/>
  <c r="P9" i="5"/>
  <c r="R9" i="5" s="1"/>
  <c r="T9" i="5" s="1"/>
  <c r="P8" i="5"/>
  <c r="R8" i="5" s="1"/>
  <c r="T8" i="5" s="1"/>
  <c r="P7" i="5"/>
  <c r="P6" i="5"/>
  <c r="R6" i="5" s="1"/>
  <c r="T6" i="5" s="1"/>
  <c r="P4" i="5"/>
  <c r="R4" i="5" s="1"/>
  <c r="T4" i="5" s="1"/>
  <c r="E80" i="10" l="1"/>
  <c r="E66" i="10"/>
  <c r="E76" i="10"/>
  <c r="E90" i="10"/>
  <c r="E88" i="10"/>
  <c r="E70" i="10"/>
  <c r="E78" i="10"/>
  <c r="E68" i="10"/>
  <c r="C71" i="10"/>
  <c r="E71" i="10" s="1"/>
  <c r="E86" i="10"/>
  <c r="C92" i="10"/>
  <c r="E89" i="10"/>
  <c r="E87" i="10"/>
  <c r="D92" i="10"/>
  <c r="C81" i="10" l="1"/>
  <c r="C72" i="10"/>
  <c r="E92" i="10"/>
  <c r="E77" i="10"/>
  <c r="E79" i="10"/>
  <c r="D82" i="10"/>
  <c r="D72" i="10"/>
  <c r="E67" i="10"/>
  <c r="E69" i="10"/>
  <c r="E81" i="10" l="1"/>
  <c r="E82" i="10" s="1"/>
  <c r="C82" i="10"/>
  <c r="E72" i="10"/>
  <c r="T38" i="5" l="1"/>
  <c r="R38" i="5" l="1"/>
</calcChain>
</file>

<file path=xl/sharedStrings.xml><?xml version="1.0" encoding="utf-8"?>
<sst xmlns="http://schemas.openxmlformats.org/spreadsheetml/2006/main" count="317" uniqueCount="190">
  <si>
    <t>Gerencia</t>
  </si>
  <si>
    <t>Dirección Comercial</t>
  </si>
  <si>
    <t>Ventas</t>
  </si>
  <si>
    <t>Marketing</t>
  </si>
  <si>
    <t>Atención cliente</t>
  </si>
  <si>
    <t>Dirección Compras</t>
  </si>
  <si>
    <t>Compras</t>
  </si>
  <si>
    <t>Administración de personal</t>
  </si>
  <si>
    <t>Selección de personal</t>
  </si>
  <si>
    <t>Organización</t>
  </si>
  <si>
    <t>Mantenimiento</t>
  </si>
  <si>
    <t>Reparaciones</t>
  </si>
  <si>
    <t>Calidad</t>
  </si>
  <si>
    <t>Dirección de producción</t>
  </si>
  <si>
    <t>Planificación</t>
  </si>
  <si>
    <t>Producción</t>
  </si>
  <si>
    <t>Administración</t>
  </si>
  <si>
    <t>Tesorería</t>
  </si>
  <si>
    <t>Control de Gestión</t>
  </si>
  <si>
    <t>Dirección RRHH</t>
  </si>
  <si>
    <t>Dirección Mantenimiento</t>
  </si>
  <si>
    <t>Dirección Financiera</t>
  </si>
  <si>
    <t>Fabricación y venta de zumos</t>
  </si>
  <si>
    <t>Formatos 1l y Granel 10L</t>
  </si>
  <si>
    <t>Almacenes PT</t>
  </si>
  <si>
    <t>Almacenes MP y Aux</t>
  </si>
  <si>
    <t>Almacén Rptos</t>
  </si>
  <si>
    <t>Coordinación de todas las áreas, relaciones institucionales</t>
  </si>
  <si>
    <t>Venta y preventa de productos terminados</t>
  </si>
  <si>
    <t>Campañas promocionales, nuevos lanzamientos, publicidad</t>
  </si>
  <si>
    <t>Servicios de post venta</t>
  </si>
  <si>
    <t>Compras generales y compras de MP y Auxiliares</t>
  </si>
  <si>
    <t>Servicios administrativos de personal</t>
  </si>
  <si>
    <t>Formación y continuidad</t>
  </si>
  <si>
    <t>Materias primas y auxiliares del proceso de producción</t>
  </si>
  <si>
    <t>Productos terminados</t>
  </si>
  <si>
    <t xml:space="preserve">Planificación y programación de la producción </t>
  </si>
  <si>
    <t>Personal específico de fabricación</t>
  </si>
  <si>
    <t>Laboratorio de calidad y control de calidad</t>
  </si>
  <si>
    <t>Servicio de mantenimiento correctivo</t>
  </si>
  <si>
    <t>Servicio de mantenimiento preventivo</t>
  </si>
  <si>
    <t>Almacén de piezas de repuestos</t>
  </si>
  <si>
    <t>Control de calidad de procesos y equipos de producción</t>
  </si>
  <si>
    <t>Administración - contabilidad</t>
  </si>
  <si>
    <t>Getión de tesorería</t>
  </si>
  <si>
    <t>Control de gestión</t>
  </si>
  <si>
    <t>Areas / Departamentos</t>
  </si>
  <si>
    <t>Contenidos</t>
  </si>
  <si>
    <t>Actividad de la Sociedad</t>
  </si>
  <si>
    <t>Objetivo año N+1</t>
  </si>
  <si>
    <t>Naranja</t>
  </si>
  <si>
    <t>Mango</t>
  </si>
  <si>
    <t>Pera</t>
  </si>
  <si>
    <t>Piña</t>
  </si>
  <si>
    <t>Tropical</t>
  </si>
  <si>
    <t>Año N</t>
  </si>
  <si>
    <t>Nacional</t>
  </si>
  <si>
    <t>Internacional</t>
  </si>
  <si>
    <t>Mediterráneo</t>
  </si>
  <si>
    <t>Total</t>
  </si>
  <si>
    <t>Datos</t>
  </si>
  <si>
    <t>Datos macroeconómicos</t>
  </si>
  <si>
    <t>IPC u otros</t>
  </si>
  <si>
    <t>Tipo cambio eur/dólar</t>
  </si>
  <si>
    <t>Precio Fuel Oil</t>
  </si>
  <si>
    <t>Cuotas de ventas por producto</t>
  </si>
  <si>
    <t>Precios de productos</t>
  </si>
  <si>
    <t>Campañas promocionales</t>
  </si>
  <si>
    <t>Cambios salariales</t>
  </si>
  <si>
    <t>Componentes</t>
  </si>
  <si>
    <t>Agua</t>
  </si>
  <si>
    <t>Colorante alimentario</t>
  </si>
  <si>
    <t>Concentrados de frutas</t>
  </si>
  <si>
    <t>Brick 1L</t>
  </si>
  <si>
    <t>Tapones Brick</t>
  </si>
  <si>
    <t>Garrafas 10Lt</t>
  </si>
  <si>
    <t>Tapones garrafas 10L</t>
  </si>
  <si>
    <t>Etiqueta nacional</t>
  </si>
  <si>
    <t>Etiqueta internacional</t>
  </si>
  <si>
    <t>Caja 6 Brick</t>
  </si>
  <si>
    <t>Caja 4 Garrafas</t>
  </si>
  <si>
    <t>Cinta embalar</t>
  </si>
  <si>
    <t>Origen USA</t>
  </si>
  <si>
    <t>Local</t>
  </si>
  <si>
    <t>Europa</t>
  </si>
  <si>
    <t>Precio</t>
  </si>
  <si>
    <t>Origen</t>
  </si>
  <si>
    <t>Lim Brick</t>
  </si>
  <si>
    <t>USD Kgr</t>
  </si>
  <si>
    <t>€/Kgr</t>
  </si>
  <si>
    <t>S/ Tabla</t>
  </si>
  <si>
    <t>€/ud</t>
  </si>
  <si>
    <t>1Ltr</t>
  </si>
  <si>
    <t>10Ltr</t>
  </si>
  <si>
    <t>10 Ltr</t>
  </si>
  <si>
    <t>Cuotas de mercado por producto</t>
  </si>
  <si>
    <t>Condiciones salariales y de contratación, planes de crecimiento</t>
  </si>
  <si>
    <t>Relaciones comerciales, nuevos mercados, coordinación comercial</t>
  </si>
  <si>
    <t>Contratación. Negocación precios</t>
  </si>
  <si>
    <t>Coordinación de planta, necesidades, lineas de producción y mejoras</t>
  </si>
  <si>
    <t>Plan de viabilidad de instalaciones, garantía de calidad</t>
  </si>
  <si>
    <t>Política financiera, negociación deuda, Reporting Consejo</t>
  </si>
  <si>
    <t>Precios</t>
  </si>
  <si>
    <t>Productividad último año</t>
  </si>
  <si>
    <t>Mermas y desperdicios último año</t>
  </si>
  <si>
    <t>Definición politica y datos macro</t>
  </si>
  <si>
    <t>Definir la plantilla necesaria</t>
  </si>
  <si>
    <t>Dirección financiera y Dirección compras</t>
  </si>
  <si>
    <t>Gerencia y Dirección RRHH</t>
  </si>
  <si>
    <t>Gerencia y Dirección Financiera</t>
  </si>
  <si>
    <t>Dirección comercial</t>
  </si>
  <si>
    <t>Dirección producción</t>
  </si>
  <si>
    <t>Necesidades de plantilla comercial</t>
  </si>
  <si>
    <t>Necesidades de plantilla de producción</t>
  </si>
  <si>
    <t>Necesidades de plantilla: resto direcciónes</t>
  </si>
  <si>
    <t>Dirección RRHH y Dirección producción</t>
  </si>
  <si>
    <t>Dirección RRHH y Dirección comercial</t>
  </si>
  <si>
    <t>Dirección RRHH y resto Direcciones</t>
  </si>
  <si>
    <t>Enviar presupuesto gastos departamento</t>
  </si>
  <si>
    <t>Todas las direcciones y departamentos</t>
  </si>
  <si>
    <t>Capacidad depuracón de agua</t>
  </si>
  <si>
    <t>Precios de compra deMat primas y aux</t>
  </si>
  <si>
    <t>Dirección compras</t>
  </si>
  <si>
    <t>Plan de ventas e ingresos</t>
  </si>
  <si>
    <t>Acuerdos comerciales y retribución</t>
  </si>
  <si>
    <t>Plan de producción</t>
  </si>
  <si>
    <t>Ene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</si>
  <si>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</si>
  <si>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</si>
  <si>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</si>
  <si>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</si>
  <si>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</si>
  <si>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</si>
  <si>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</si>
  <si>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</si>
  <si>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</si>
  <si>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</si>
  <si>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</si>
  <si>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1 Ltr</t>
  </si>
  <si>
    <t>Necesidades</t>
  </si>
  <si>
    <t>Coste€ /Brick</t>
  </si>
  <si>
    <t>Oficial</t>
  </si>
  <si>
    <t>Operario Planta</t>
  </si>
  <si>
    <t>Operario Almacén</t>
  </si>
  <si>
    <t>Operarios Máquina</t>
  </si>
  <si>
    <t>Nº</t>
  </si>
  <si>
    <t>Coste anual</t>
  </si>
  <si>
    <t>Suministro local directo a fábrica, planta de osmosis con deposito propio: Ver desglose</t>
  </si>
  <si>
    <t>Coste fuel Osmosis</t>
  </si>
  <si>
    <t>USD /Galon</t>
  </si>
  <si>
    <t>€/M3 (1000 Ltr)</t>
  </si>
  <si>
    <t>Cta Anual/pers</t>
  </si>
  <si>
    <t>Coste Anual</t>
  </si>
  <si>
    <t>Coste producción</t>
  </si>
  <si>
    <t>Coste personal Producción</t>
  </si>
  <si>
    <t>Resto costes personal</t>
  </si>
  <si>
    <t>Comisiones vta</t>
  </si>
  <si>
    <t>Gastos generales</t>
  </si>
  <si>
    <t>Gastos distribución</t>
  </si>
  <si>
    <t>Otros:</t>
  </si>
  <si>
    <t>Campaña lanzamiento nuevo zumo</t>
  </si>
  <si>
    <t>Gastos de comercialización</t>
  </si>
  <si>
    <t>Horas hombre/máquina</t>
  </si>
  <si>
    <t>Preparar Presupuesto Total compañía</t>
  </si>
  <si>
    <t>Presentar Ppto al Consejo</t>
  </si>
  <si>
    <t>% De las ventas</t>
  </si>
  <si>
    <t>Costes salariales plantilla producción</t>
  </si>
  <si>
    <t>Costes salariales plantilla comercial</t>
  </si>
  <si>
    <t>Costes salariales plantilla otras direcciones</t>
  </si>
  <si>
    <t>Mercado: Nacional e internacional</t>
  </si>
  <si>
    <t>Mantenimiento indices de productividad</t>
  </si>
  <si>
    <t>Se asume inventario cero a inicio y fin de ejercicio</t>
  </si>
  <si>
    <t>Cuota producto N</t>
  </si>
  <si>
    <t>Cuota mercado: 70% nacional / 30% internacional</t>
  </si>
  <si>
    <t>Cuotas mercado/formato</t>
  </si>
  <si>
    <t>Otra información</t>
  </si>
  <si>
    <t>Se facilitan porcentajes de distribución mensual de las ventas</t>
  </si>
  <si>
    <t>Cuota producto N+1: mantener cuota respecto a N, más nuevo lanzamiento</t>
  </si>
  <si>
    <t>Precios de venta</t>
  </si>
  <si>
    <t>N</t>
  </si>
  <si>
    <t>N+1</t>
  </si>
  <si>
    <t>Volumen Litros N</t>
  </si>
  <si>
    <t>Lanzamiento de un nuevo producto: Zumo mediterráneo: Objetivo: 700.000 Ltrs</t>
  </si>
  <si>
    <t>Venta de 4.500.000 Litros</t>
  </si>
  <si>
    <t>Mantenimiento indices de mermas</t>
  </si>
  <si>
    <t>Cantidades para:</t>
  </si>
  <si>
    <t>Resultado previo</t>
  </si>
  <si>
    <t>AÑO N+1</t>
  </si>
  <si>
    <t>Calcular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</si>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</sst>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 applyAlignment="1">
      <alignment horizontal="center"/>
    </xf>
    <xf numFmtId="0" fontId="3" fillId="0" borderId="10" xfId="0" applyFont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9" fontId="0" fillId="3" borderId="0" xfId="0" applyNumberFormat="1" applyFill="1"/>
    <xf numFmtId="9" fontId="0" fillId="3" borderId="12" xfId="0" applyNumberFormat="1" applyFill="1" applyBorder="1"/>
    <xf numFmtId="0" fontId="0" fillId="3" borderId="13" xfId="0" applyFill="1" applyBorder="1"/>
    <xf numFmtId="0" fontId="0" fillId="3" borderId="14" xfId="0" applyFill="1" applyBorder="1"/>
    <xf numFmtId="9" fontId="0" fillId="3" borderId="15" xfId="0" applyNumberFormat="1" applyFill="1" applyBorder="1"/>
    <xf numFmtId="0" fontId="0" fillId="3" borderId="16" xfId="0" applyFill="1" applyBorder="1"/>
    <xf numFmtId="9" fontId="0" fillId="3" borderId="17" xfId="0" applyNumberFormat="1" applyFill="1" applyBorder="1"/>
    <xf numFmtId="9" fontId="0" fillId="3" borderId="18" xfId="0" applyNumberFormat="1" applyFill="1" applyBorder="1"/>
    <xf numFmtId="0" fontId="0" fillId="3" borderId="1" xfId="0" applyFill="1" applyBorder="1"/>
    <xf numFmtId="10" fontId="0" fillId="3" borderId="2" xfId="1" applyNumberFormat="1" applyFont="1" applyFill="1" applyBorder="1"/>
    <xf numFmtId="0" fontId="0" fillId="3" borderId="3" xfId="0" applyFill="1" applyBorder="1"/>
    <xf numFmtId="10" fontId="0" fillId="3" borderId="4" xfId="1" applyNumberFormat="1" applyFont="1" applyFill="1" applyBorder="1"/>
    <xf numFmtId="0" fontId="0" fillId="3" borderId="5" xfId="0" applyFill="1" applyBorder="1"/>
    <xf numFmtId="10" fontId="0" fillId="3" borderId="6" xfId="1" applyNumberFormat="1" applyFont="1" applyFill="1" applyBorder="1"/>
    <xf numFmtId="10" fontId="0" fillId="3" borderId="0" xfId="1" applyNumberFormat="1" applyFont="1" applyFill="1"/>
    <xf numFmtId="0" fontId="0" fillId="3" borderId="10" xfId="0" applyFill="1" applyBorder="1" applyAlignment="1">
      <alignment horizontal="center"/>
    </xf>
    <xf numFmtId="4" fontId="0" fillId="3" borderId="0" xfId="0" applyNumberFormat="1" applyFill="1"/>
    <xf numFmtId="0" fontId="0" fillId="3" borderId="0" xfId="0" applyFill="1" applyAlignment="1">
      <alignment horizontal="center"/>
    </xf>
    <xf numFmtId="0" fontId="0" fillId="3" borderId="11" xfId="0" applyFill="1" applyBorder="1"/>
    <xf numFmtId="0" fontId="2" fillId="3" borderId="15" xfId="0" applyFont="1" applyFill="1" applyBorder="1"/>
    <xf numFmtId="0" fontId="3" fillId="3" borderId="11" xfId="0" applyFont="1" applyFill="1" applyBorder="1"/>
    <xf numFmtId="0" fontId="0" fillId="3" borderId="12" xfId="0" applyFill="1" applyBorder="1"/>
    <xf numFmtId="0" fontId="0" fillId="3" borderId="15" xfId="0" applyFill="1" applyBorder="1"/>
    <xf numFmtId="0" fontId="3" fillId="3" borderId="14" xfId="0" applyFont="1" applyFill="1" applyBorder="1"/>
    <xf numFmtId="4" fontId="0" fillId="3" borderId="15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0" fontId="0" fillId="0" borderId="10" xfId="0" applyBorder="1"/>
    <xf numFmtId="4" fontId="0" fillId="0" borderId="10" xfId="0" applyNumberFormat="1" applyBorder="1"/>
    <xf numFmtId="0" fontId="4" fillId="2" borderId="0" xfId="0" applyFont="1" applyFill="1" applyAlignment="1">
      <alignment horizontal="center"/>
    </xf>
    <xf numFmtId="4" fontId="0" fillId="2" borderId="0" xfId="0" applyNumberFormat="1" applyFill="1"/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D27A5D6-F301-784B-A756-00C0FF3CD3F7}" type="doc">
      <dgm:prSet loTypeId="urn:microsoft.com/office/officeart/2005/8/layout/cycle3" loCatId="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s-ES"/>
        </a:p>
      </dgm:t>
    </dgm:pt>
    <dgm:pt modelId="{5D5E6D6A-F7DC-BA4E-B58F-B02E339A6538}">
      <dgm:prSet phldrT="[Texto]"/>
      <dgm:spPr>
        <a:solidFill>
          <a:schemeClr val="tx2">
            <a:lumMod val="75000"/>
          </a:schemeClr>
        </a:solidFill>
      </dgm:spPr>
      <dgm:t>
        <a:bodyPr/>
        <a:lstStyle/>
        <a:p>
          <a:r>
            <a:rPr lang="es-ES" dirty="0"/>
            <a:t>Programar / Definir</a:t>
          </a:r>
        </a:p>
      </dgm:t>
    </dgm:pt>
    <dgm:pt modelId="{36452BAA-3676-E340-B7A1-F1CDDE44FE27}" type="parTrans" cxnId="{863A5077-E677-F040-AB19-C6E0ECF83383}">
      <dgm:prSet/>
      <dgm:spPr/>
      <dgm:t>
        <a:bodyPr/>
        <a:lstStyle/>
        <a:p>
          <a:endParaRPr lang="es-ES"/>
        </a:p>
      </dgm:t>
    </dgm:pt>
    <dgm:pt modelId="{01C0A25F-C453-6542-AF1D-047D441A7360}" type="sibTrans" cxnId="{863A5077-E677-F040-AB19-C6E0ECF83383}">
      <dgm:prSet/>
      <dgm:spPr/>
      <dgm:t>
        <a:bodyPr/>
        <a:lstStyle/>
        <a:p>
          <a:endParaRPr lang="es-ES"/>
        </a:p>
      </dgm:t>
    </dgm:pt>
    <dgm:pt modelId="{4FC1E246-5ADE-8A48-B934-81830ECF4EFC}">
      <dgm:prSet phldrT="[Texto]"/>
      <dgm:spPr/>
      <dgm:t>
        <a:bodyPr/>
        <a:lstStyle/>
        <a:p>
          <a:r>
            <a:rPr lang="es-ES" dirty="0"/>
            <a:t>Formular</a:t>
          </a:r>
        </a:p>
      </dgm:t>
    </dgm:pt>
    <dgm:pt modelId="{EEB72BF8-C5FF-E54E-BD86-CD827DAD3127}" type="parTrans" cxnId="{3B57A9A9-882D-F847-85B6-96D25F8CA12B}">
      <dgm:prSet/>
      <dgm:spPr/>
      <dgm:t>
        <a:bodyPr/>
        <a:lstStyle/>
        <a:p>
          <a:endParaRPr lang="es-ES"/>
        </a:p>
      </dgm:t>
    </dgm:pt>
    <dgm:pt modelId="{B616DF92-DD0E-424F-921F-B1481EDCCECB}" type="sibTrans" cxnId="{3B57A9A9-882D-F847-85B6-96D25F8CA12B}">
      <dgm:prSet/>
      <dgm:spPr/>
      <dgm:t>
        <a:bodyPr/>
        <a:lstStyle/>
        <a:p>
          <a:endParaRPr lang="es-ES"/>
        </a:p>
      </dgm:t>
    </dgm:pt>
    <dgm:pt modelId="{36A3C3D9-5D0F-994D-BF87-9D3C556BC30C}">
      <dgm:prSet phldrT="[Texto]"/>
      <dgm:spPr/>
      <dgm:t>
        <a:bodyPr/>
        <a:lstStyle/>
        <a:p>
          <a:r>
            <a:rPr lang="es-ES" dirty="0"/>
            <a:t>Aprobar</a:t>
          </a:r>
        </a:p>
      </dgm:t>
    </dgm:pt>
    <dgm:pt modelId="{EB0D0FA9-AE4F-5F45-93B0-85A2D1AC853A}" type="parTrans" cxnId="{046FE703-3B9B-4647-BDE2-3ACB2A8D4D63}">
      <dgm:prSet/>
      <dgm:spPr/>
      <dgm:t>
        <a:bodyPr/>
        <a:lstStyle/>
        <a:p>
          <a:endParaRPr lang="es-ES"/>
        </a:p>
      </dgm:t>
    </dgm:pt>
    <dgm:pt modelId="{D65B9186-8E28-6C43-A38C-C31A309AEC3A}" type="sibTrans" cxnId="{046FE703-3B9B-4647-BDE2-3ACB2A8D4D63}">
      <dgm:prSet/>
      <dgm:spPr/>
      <dgm:t>
        <a:bodyPr/>
        <a:lstStyle/>
        <a:p>
          <a:endParaRPr lang="es-ES"/>
        </a:p>
      </dgm:t>
    </dgm:pt>
    <dgm:pt modelId="{9C50579F-BAFE-E343-A3A1-15D804EAF1E5}">
      <dgm:prSet phldrT="[Texto]"/>
      <dgm:spPr>
        <a:solidFill>
          <a:srgbClr val="FFC000"/>
        </a:solidFill>
      </dgm:spPr>
      <dgm:t>
        <a:bodyPr/>
        <a:lstStyle/>
        <a:p>
          <a:r>
            <a:rPr lang="es-ES" dirty="0"/>
            <a:t>Ejecutar</a:t>
          </a:r>
        </a:p>
      </dgm:t>
    </dgm:pt>
    <dgm:pt modelId="{11E197ED-5B21-8146-BAC4-891888463BBC}" type="parTrans" cxnId="{69D03E7A-E28E-F14B-93FD-966AECBDE355}">
      <dgm:prSet/>
      <dgm:spPr/>
      <dgm:t>
        <a:bodyPr/>
        <a:lstStyle/>
        <a:p>
          <a:endParaRPr lang="es-ES"/>
        </a:p>
      </dgm:t>
    </dgm:pt>
    <dgm:pt modelId="{C9FE21CF-DCEF-3E41-8DEE-8F92CD5DA2B8}" type="sibTrans" cxnId="{69D03E7A-E28E-F14B-93FD-966AECBDE355}">
      <dgm:prSet/>
      <dgm:spPr/>
      <dgm:t>
        <a:bodyPr/>
        <a:lstStyle/>
        <a:p>
          <a:endParaRPr lang="es-ES"/>
        </a:p>
      </dgm:t>
    </dgm:pt>
    <dgm:pt modelId="{307BDE3A-39FC-AB4D-8C10-527C8E96F09D}">
      <dgm:prSet phldrT="[Texto]"/>
      <dgm:spPr/>
      <dgm:t>
        <a:bodyPr/>
        <a:lstStyle/>
        <a:p>
          <a:r>
            <a:rPr lang="es-ES" dirty="0"/>
            <a:t>Evaluar</a:t>
          </a:r>
        </a:p>
      </dgm:t>
    </dgm:pt>
    <dgm:pt modelId="{AB8B1525-9E53-8D41-89DA-51FAB7820C0C}" type="parTrans" cxnId="{3FD8FF96-8DD6-984C-B2B6-C6B9ACF7CB1F}">
      <dgm:prSet/>
      <dgm:spPr/>
      <dgm:t>
        <a:bodyPr/>
        <a:lstStyle/>
        <a:p>
          <a:endParaRPr lang="es-ES"/>
        </a:p>
      </dgm:t>
    </dgm:pt>
    <dgm:pt modelId="{CC353F87-A209-784C-A7F4-210B79646306}" type="sibTrans" cxnId="{3FD8FF96-8DD6-984C-B2B6-C6B9ACF7CB1F}">
      <dgm:prSet/>
      <dgm:spPr/>
      <dgm:t>
        <a:bodyPr/>
        <a:lstStyle/>
        <a:p>
          <a:endParaRPr lang="es-ES"/>
        </a:p>
      </dgm:t>
    </dgm:pt>
    <dgm:pt modelId="{2BA60C41-22CC-A547-BF11-D7A7E43B95DA}" type="pres">
      <dgm:prSet presAssocID="{3D27A5D6-F301-784B-A756-00C0FF3CD3F7}" presName="Name0" presStyleCnt="0">
        <dgm:presLayoutVars>
          <dgm:dir/>
          <dgm:resizeHandles val="exact"/>
        </dgm:presLayoutVars>
      </dgm:prSet>
      <dgm:spPr/>
    </dgm:pt>
    <dgm:pt modelId="{F59EAC4F-AC70-5D4B-BB1D-C9A3C2C67651}" type="pres">
      <dgm:prSet presAssocID="{3D27A5D6-F301-784B-A756-00C0FF3CD3F7}" presName="cycle" presStyleCnt="0"/>
      <dgm:spPr/>
    </dgm:pt>
    <dgm:pt modelId="{2635D3E3-681B-944A-9D2B-DD6BB3AA3B5D}" type="pres">
      <dgm:prSet presAssocID="{5D5E6D6A-F7DC-BA4E-B58F-B02E339A6538}" presName="nodeFirstNode" presStyleLbl="node1" presStyleIdx="0" presStyleCnt="5">
        <dgm:presLayoutVars>
          <dgm:bulletEnabled val="1"/>
        </dgm:presLayoutVars>
      </dgm:prSet>
      <dgm:spPr/>
    </dgm:pt>
    <dgm:pt modelId="{9610A559-402A-1145-8615-5D41E7D88442}" type="pres">
      <dgm:prSet presAssocID="{01C0A25F-C453-6542-AF1D-047D441A7360}" presName="sibTransFirstNode" presStyleLbl="bgShp" presStyleIdx="0" presStyleCnt="1"/>
      <dgm:spPr/>
    </dgm:pt>
    <dgm:pt modelId="{04DB74AD-09B6-DD43-88C2-F5E571B5DB01}" type="pres">
      <dgm:prSet presAssocID="{4FC1E246-5ADE-8A48-B934-81830ECF4EFC}" presName="nodeFollowingNodes" presStyleLbl="node1" presStyleIdx="1" presStyleCnt="5">
        <dgm:presLayoutVars>
          <dgm:bulletEnabled val="1"/>
        </dgm:presLayoutVars>
      </dgm:prSet>
      <dgm:spPr/>
    </dgm:pt>
    <dgm:pt modelId="{B5682137-CB74-8243-9D56-79CB310BEDF7}" type="pres">
      <dgm:prSet presAssocID="{36A3C3D9-5D0F-994D-BF87-9D3C556BC30C}" presName="nodeFollowingNodes" presStyleLbl="node1" presStyleIdx="2" presStyleCnt="5">
        <dgm:presLayoutVars>
          <dgm:bulletEnabled val="1"/>
        </dgm:presLayoutVars>
      </dgm:prSet>
      <dgm:spPr/>
    </dgm:pt>
    <dgm:pt modelId="{0B9E5238-E399-F444-BB9B-078BB60E9AA4}" type="pres">
      <dgm:prSet presAssocID="{9C50579F-BAFE-E343-A3A1-15D804EAF1E5}" presName="nodeFollowingNodes" presStyleLbl="node1" presStyleIdx="3" presStyleCnt="5">
        <dgm:presLayoutVars>
          <dgm:bulletEnabled val="1"/>
        </dgm:presLayoutVars>
      </dgm:prSet>
      <dgm:spPr/>
    </dgm:pt>
    <dgm:pt modelId="{08342C64-5067-F64C-9633-FA267136CBE8}" type="pres">
      <dgm:prSet presAssocID="{307BDE3A-39FC-AB4D-8C10-527C8E96F09D}" presName="nodeFollowingNodes" presStyleLbl="node1" presStyleIdx="4" presStyleCnt="5">
        <dgm:presLayoutVars>
          <dgm:bulletEnabled val="1"/>
        </dgm:presLayoutVars>
      </dgm:prSet>
      <dgm:spPr/>
    </dgm:pt>
  </dgm:ptLst>
  <dgm:cxnLst>
    <dgm:cxn modelId="{046FE703-3B9B-4647-BDE2-3ACB2A8D4D63}" srcId="{3D27A5D6-F301-784B-A756-00C0FF3CD3F7}" destId="{36A3C3D9-5D0F-994D-BF87-9D3C556BC30C}" srcOrd="2" destOrd="0" parTransId="{EB0D0FA9-AE4F-5F45-93B0-85A2D1AC853A}" sibTransId="{D65B9186-8E28-6C43-A38C-C31A309AEC3A}"/>
    <dgm:cxn modelId="{140DE112-2698-4E16-A24B-3E34E4BE7EC8}" type="presOf" srcId="{5D5E6D6A-F7DC-BA4E-B58F-B02E339A6538}" destId="{2635D3E3-681B-944A-9D2B-DD6BB3AA3B5D}" srcOrd="0" destOrd="0" presId="urn:microsoft.com/office/officeart/2005/8/layout/cycle3"/>
    <dgm:cxn modelId="{863A5077-E677-F040-AB19-C6E0ECF83383}" srcId="{3D27A5D6-F301-784B-A756-00C0FF3CD3F7}" destId="{5D5E6D6A-F7DC-BA4E-B58F-B02E339A6538}" srcOrd="0" destOrd="0" parTransId="{36452BAA-3676-E340-B7A1-F1CDDE44FE27}" sibTransId="{01C0A25F-C453-6542-AF1D-047D441A7360}"/>
    <dgm:cxn modelId="{62A4E159-CD5C-4DA8-8DF8-67CB3C29016D}" type="presOf" srcId="{307BDE3A-39FC-AB4D-8C10-527C8E96F09D}" destId="{08342C64-5067-F64C-9633-FA267136CBE8}" srcOrd="0" destOrd="0" presId="urn:microsoft.com/office/officeart/2005/8/layout/cycle3"/>
    <dgm:cxn modelId="{69D03E7A-E28E-F14B-93FD-966AECBDE355}" srcId="{3D27A5D6-F301-784B-A756-00C0FF3CD3F7}" destId="{9C50579F-BAFE-E343-A3A1-15D804EAF1E5}" srcOrd="3" destOrd="0" parTransId="{11E197ED-5B21-8146-BAC4-891888463BBC}" sibTransId="{C9FE21CF-DCEF-3E41-8DEE-8F92CD5DA2B8}"/>
    <dgm:cxn modelId="{E7A29C7D-62DC-4606-AE0E-71493EB0B7C7}" type="presOf" srcId="{9C50579F-BAFE-E343-A3A1-15D804EAF1E5}" destId="{0B9E5238-E399-F444-BB9B-078BB60E9AA4}" srcOrd="0" destOrd="0" presId="urn:microsoft.com/office/officeart/2005/8/layout/cycle3"/>
    <dgm:cxn modelId="{978B0895-6FB8-46D0-A362-3BB7B9C77599}" type="presOf" srcId="{3D27A5D6-F301-784B-A756-00C0FF3CD3F7}" destId="{2BA60C41-22CC-A547-BF11-D7A7E43B95DA}" srcOrd="0" destOrd="0" presId="urn:microsoft.com/office/officeart/2005/8/layout/cycle3"/>
    <dgm:cxn modelId="{3FD8FF96-8DD6-984C-B2B6-C6B9ACF7CB1F}" srcId="{3D27A5D6-F301-784B-A756-00C0FF3CD3F7}" destId="{307BDE3A-39FC-AB4D-8C10-527C8E96F09D}" srcOrd="4" destOrd="0" parTransId="{AB8B1525-9E53-8D41-89DA-51FAB7820C0C}" sibTransId="{CC353F87-A209-784C-A7F4-210B79646306}"/>
    <dgm:cxn modelId="{3B57A9A9-882D-F847-85B6-96D25F8CA12B}" srcId="{3D27A5D6-F301-784B-A756-00C0FF3CD3F7}" destId="{4FC1E246-5ADE-8A48-B934-81830ECF4EFC}" srcOrd="1" destOrd="0" parTransId="{EEB72BF8-C5FF-E54E-BD86-CD827DAD3127}" sibTransId="{B616DF92-DD0E-424F-921F-B1481EDCCECB}"/>
    <dgm:cxn modelId="{C5C826D4-1F75-400D-9393-858A145EBEF7}" type="presOf" srcId="{4FC1E246-5ADE-8A48-B934-81830ECF4EFC}" destId="{04DB74AD-09B6-DD43-88C2-F5E571B5DB01}" srcOrd="0" destOrd="0" presId="urn:microsoft.com/office/officeart/2005/8/layout/cycle3"/>
    <dgm:cxn modelId="{F76474E0-FF3E-4450-809A-2E9858F2D570}" type="presOf" srcId="{36A3C3D9-5D0F-994D-BF87-9D3C556BC30C}" destId="{B5682137-CB74-8243-9D56-79CB310BEDF7}" srcOrd="0" destOrd="0" presId="urn:microsoft.com/office/officeart/2005/8/layout/cycle3"/>
    <dgm:cxn modelId="{6C1F2DF1-A2AB-4056-B3B0-32EE1815EFF6}" type="presOf" srcId="{01C0A25F-C453-6542-AF1D-047D441A7360}" destId="{9610A559-402A-1145-8615-5D41E7D88442}" srcOrd="0" destOrd="0" presId="urn:microsoft.com/office/officeart/2005/8/layout/cycle3"/>
    <dgm:cxn modelId="{CE411E7A-A06B-47D3-B1DC-C2ACC1EC4977}" type="presParOf" srcId="{2BA60C41-22CC-A547-BF11-D7A7E43B95DA}" destId="{F59EAC4F-AC70-5D4B-BB1D-C9A3C2C67651}" srcOrd="0" destOrd="0" presId="urn:microsoft.com/office/officeart/2005/8/layout/cycle3"/>
    <dgm:cxn modelId="{F9A41152-1C86-441B-BFE3-FE013E9482F6}" type="presParOf" srcId="{F59EAC4F-AC70-5D4B-BB1D-C9A3C2C67651}" destId="{2635D3E3-681B-944A-9D2B-DD6BB3AA3B5D}" srcOrd="0" destOrd="0" presId="urn:microsoft.com/office/officeart/2005/8/layout/cycle3"/>
    <dgm:cxn modelId="{4EB090F6-7D74-4D69-B42E-CC3DA8C47EAF}" type="presParOf" srcId="{F59EAC4F-AC70-5D4B-BB1D-C9A3C2C67651}" destId="{9610A559-402A-1145-8615-5D41E7D88442}" srcOrd="1" destOrd="0" presId="urn:microsoft.com/office/officeart/2005/8/layout/cycle3"/>
    <dgm:cxn modelId="{B214E83D-884F-4A93-8C89-D2F2EF01ECCB}" type="presParOf" srcId="{F59EAC4F-AC70-5D4B-BB1D-C9A3C2C67651}" destId="{04DB74AD-09B6-DD43-88C2-F5E571B5DB01}" srcOrd="2" destOrd="0" presId="urn:microsoft.com/office/officeart/2005/8/layout/cycle3"/>
    <dgm:cxn modelId="{E15F2D13-B24A-42ED-99CA-7C7EE401E8EB}" type="presParOf" srcId="{F59EAC4F-AC70-5D4B-BB1D-C9A3C2C67651}" destId="{B5682137-CB74-8243-9D56-79CB310BEDF7}" srcOrd="3" destOrd="0" presId="urn:microsoft.com/office/officeart/2005/8/layout/cycle3"/>
    <dgm:cxn modelId="{29711F6D-5A3C-4A90-B269-B6A23CC4F8F7}" type="presParOf" srcId="{F59EAC4F-AC70-5D4B-BB1D-C9A3C2C67651}" destId="{0B9E5238-E399-F444-BB9B-078BB60E9AA4}" srcOrd="4" destOrd="0" presId="urn:microsoft.com/office/officeart/2005/8/layout/cycle3"/>
    <dgm:cxn modelId="{CDB78DBE-749A-42A0-BC84-1847BED09BE9}" type="presParOf" srcId="{F59EAC4F-AC70-5D4B-BB1D-C9A3C2C67651}" destId="{08342C64-5067-F64C-9633-FA267136CBE8}" srcOrd="5" destOrd="0" presId="urn:microsoft.com/office/officeart/2005/8/layout/cycle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755BA4F7-3E4E-8043-8EA2-D6FE323A8629}" type="doc">
      <dgm:prSet loTypeId="urn:microsoft.com/office/officeart/2005/8/layout/lProcess3" loCatId="" qsTypeId="urn:microsoft.com/office/officeart/2005/8/quickstyle/simple1" qsCatId="simple" csTypeId="urn:microsoft.com/office/officeart/2005/8/colors/accent0_3" csCatId="mainScheme" phldr="1"/>
      <dgm:spPr/>
      <dgm:t>
        <a:bodyPr/>
        <a:lstStyle/>
        <a:p>
          <a:endParaRPr lang="es-ES"/>
        </a:p>
      </dgm:t>
    </dgm:pt>
    <dgm:pt modelId="{149D6BA1-C6A9-DC44-A2F0-2B65FBA07802}">
      <dgm:prSet phldrT="[Texto]" custT="1"/>
      <dgm:spPr/>
      <dgm:t>
        <a:bodyPr/>
        <a:lstStyle/>
        <a:p>
          <a:r>
            <a:rPr lang="es-ES" sz="1200" dirty="0"/>
            <a:t>Contexto Económico</a:t>
          </a:r>
        </a:p>
      </dgm:t>
    </dgm:pt>
    <dgm:pt modelId="{85D838EC-2E5D-9149-B946-BB6A86C825CA}" type="parTrans" cxnId="{D7DF03FE-26B4-EA4F-A4AD-C8E32CD2D48C}">
      <dgm:prSet/>
      <dgm:spPr/>
      <dgm:t>
        <a:bodyPr/>
        <a:lstStyle/>
        <a:p>
          <a:endParaRPr lang="es-ES"/>
        </a:p>
      </dgm:t>
    </dgm:pt>
    <dgm:pt modelId="{FD49457D-3103-C348-B9B3-092975C1FC52}" type="sibTrans" cxnId="{D7DF03FE-26B4-EA4F-A4AD-C8E32CD2D48C}">
      <dgm:prSet/>
      <dgm:spPr/>
      <dgm:t>
        <a:bodyPr/>
        <a:lstStyle/>
        <a:p>
          <a:endParaRPr lang="es-ES"/>
        </a:p>
      </dgm:t>
    </dgm:pt>
    <dgm:pt modelId="{747CA23C-869E-1C44-BCF2-6C703AF672BC}">
      <dgm:prSet phldrT="[Texto]"/>
      <dgm:spPr/>
      <dgm:t>
        <a:bodyPr/>
        <a:lstStyle/>
        <a:p>
          <a:r>
            <a:rPr lang="es-ES" dirty="0"/>
            <a:t>Análisis de cómo afecta a la empresa</a:t>
          </a:r>
        </a:p>
      </dgm:t>
    </dgm:pt>
    <dgm:pt modelId="{A2D3495C-6E8C-9D4D-89A7-311606BD45CF}" type="parTrans" cxnId="{01F6D646-28B4-294A-A0BD-844BE21A47D3}">
      <dgm:prSet/>
      <dgm:spPr/>
      <dgm:t>
        <a:bodyPr/>
        <a:lstStyle/>
        <a:p>
          <a:endParaRPr lang="es-ES"/>
        </a:p>
      </dgm:t>
    </dgm:pt>
    <dgm:pt modelId="{6B361790-3B2C-D841-A30F-9DA3C8AB9ACD}" type="sibTrans" cxnId="{01F6D646-28B4-294A-A0BD-844BE21A47D3}">
      <dgm:prSet/>
      <dgm:spPr/>
      <dgm:t>
        <a:bodyPr/>
        <a:lstStyle/>
        <a:p>
          <a:endParaRPr lang="es-ES"/>
        </a:p>
      </dgm:t>
    </dgm:pt>
    <dgm:pt modelId="{1A1D3F79-E013-DE44-8856-C37ED6BF09EB}">
      <dgm:prSet phldrT="[Texto]" custT="1"/>
      <dgm:spPr/>
      <dgm:t>
        <a:bodyPr/>
        <a:lstStyle/>
        <a:p>
          <a:r>
            <a:rPr lang="es-ES" sz="1200" dirty="0"/>
            <a:t>Definir pautas</a:t>
          </a:r>
        </a:p>
      </dgm:t>
    </dgm:pt>
    <dgm:pt modelId="{CB74DFC1-5A29-B94F-9A8A-D2CA751D955D}" type="parTrans" cxnId="{1FEB3130-AC2C-7949-BDB6-69E8F5746412}">
      <dgm:prSet/>
      <dgm:spPr/>
      <dgm:t>
        <a:bodyPr/>
        <a:lstStyle/>
        <a:p>
          <a:endParaRPr lang="es-ES"/>
        </a:p>
      </dgm:t>
    </dgm:pt>
    <dgm:pt modelId="{3FBBA533-8456-DD4A-A9D3-7254B6E74F4C}" type="sibTrans" cxnId="{1FEB3130-AC2C-7949-BDB6-69E8F5746412}">
      <dgm:prSet/>
      <dgm:spPr/>
      <dgm:t>
        <a:bodyPr/>
        <a:lstStyle/>
        <a:p>
          <a:endParaRPr lang="es-ES"/>
        </a:p>
      </dgm:t>
    </dgm:pt>
    <dgm:pt modelId="{2DB2B65B-602B-4E4D-8B18-3E4DB3C06B3E}">
      <dgm:prSet phldrT="[Texto]" custT="1"/>
      <dgm:spPr/>
      <dgm:t>
        <a:bodyPr/>
        <a:lstStyle/>
        <a:p>
          <a:r>
            <a:rPr lang="es-ES" sz="1200" dirty="0"/>
            <a:t>Política y objetivos</a:t>
          </a:r>
        </a:p>
      </dgm:t>
    </dgm:pt>
    <dgm:pt modelId="{E15AA303-6560-0A4F-AE47-B88320A21B52}" type="parTrans" cxnId="{06C34FAB-19A1-FF4C-BD82-649B6F40848D}">
      <dgm:prSet/>
      <dgm:spPr/>
      <dgm:t>
        <a:bodyPr/>
        <a:lstStyle/>
        <a:p>
          <a:endParaRPr lang="es-ES"/>
        </a:p>
      </dgm:t>
    </dgm:pt>
    <dgm:pt modelId="{AE99398E-2D28-6B4B-AB5F-23247D37741B}" type="sibTrans" cxnId="{06C34FAB-19A1-FF4C-BD82-649B6F40848D}">
      <dgm:prSet/>
      <dgm:spPr/>
      <dgm:t>
        <a:bodyPr/>
        <a:lstStyle/>
        <a:p>
          <a:endParaRPr lang="es-ES"/>
        </a:p>
      </dgm:t>
    </dgm:pt>
    <dgm:pt modelId="{D9728EE6-EFE0-404A-8F36-5A1512E58A39}">
      <dgm:prSet phldrT="[Texto]"/>
      <dgm:spPr/>
      <dgm:t>
        <a:bodyPr/>
        <a:lstStyle/>
        <a:p>
          <a:r>
            <a:rPr lang="es-ES" dirty="0"/>
            <a:t>Versión en base a los parámetros base tenidos en cuenta</a:t>
          </a:r>
        </a:p>
      </dgm:t>
    </dgm:pt>
    <dgm:pt modelId="{55E21B53-2A39-D14F-AEC2-0C6ECF4B4779}" type="parTrans" cxnId="{2AADFCE9-66E1-D54F-B70F-A3095F57D035}">
      <dgm:prSet/>
      <dgm:spPr/>
      <dgm:t>
        <a:bodyPr/>
        <a:lstStyle/>
        <a:p>
          <a:endParaRPr lang="es-ES"/>
        </a:p>
      </dgm:t>
    </dgm:pt>
    <dgm:pt modelId="{6C99D9EC-2274-364C-97CB-F2FE104187BD}" type="sibTrans" cxnId="{2AADFCE9-66E1-D54F-B70F-A3095F57D035}">
      <dgm:prSet/>
      <dgm:spPr/>
      <dgm:t>
        <a:bodyPr/>
        <a:lstStyle/>
        <a:p>
          <a:endParaRPr lang="es-ES"/>
        </a:p>
      </dgm:t>
    </dgm:pt>
    <dgm:pt modelId="{8876A2AE-01D3-FA43-BD08-CF5D140657C3}">
      <dgm:prSet phldrT="[Texto]" custT="1"/>
      <dgm:spPr/>
      <dgm:t>
        <a:bodyPr/>
        <a:lstStyle/>
        <a:p>
          <a:r>
            <a:rPr lang="es-ES" sz="1200" dirty="0"/>
            <a:t>Discusión</a:t>
          </a:r>
        </a:p>
      </dgm:t>
    </dgm:pt>
    <dgm:pt modelId="{8B2DF177-079D-9248-8C99-B75B30DDB8A1}" type="parTrans" cxnId="{0723D149-90E6-1D49-B9A6-DC4E3F843265}">
      <dgm:prSet/>
      <dgm:spPr/>
      <dgm:t>
        <a:bodyPr/>
        <a:lstStyle/>
        <a:p>
          <a:endParaRPr lang="es-ES"/>
        </a:p>
      </dgm:t>
    </dgm:pt>
    <dgm:pt modelId="{A8736BB5-7C7B-2C48-AAE1-BCC20D5B18A1}" type="sibTrans" cxnId="{0723D149-90E6-1D49-B9A6-DC4E3F843265}">
      <dgm:prSet/>
      <dgm:spPr/>
      <dgm:t>
        <a:bodyPr/>
        <a:lstStyle/>
        <a:p>
          <a:endParaRPr lang="es-ES"/>
        </a:p>
      </dgm:t>
    </dgm:pt>
    <dgm:pt modelId="{59DAB93F-25B8-584A-9DD0-557C7A01D005}">
      <dgm:prSet phldrT="[Texto]" custT="1"/>
      <dgm:spPr/>
      <dgm:t>
        <a:bodyPr/>
        <a:lstStyle/>
        <a:p>
          <a:r>
            <a:rPr lang="es-ES" sz="1200" dirty="0"/>
            <a:t>Presupuesto definitivo</a:t>
          </a:r>
        </a:p>
      </dgm:t>
    </dgm:pt>
    <dgm:pt modelId="{9E7BF681-DE94-6D4E-A425-4E84D09A16EA}" type="parTrans" cxnId="{F8F86DEC-0A7F-A04C-A8A4-4FB606D7192A}">
      <dgm:prSet/>
      <dgm:spPr/>
      <dgm:t>
        <a:bodyPr/>
        <a:lstStyle/>
        <a:p>
          <a:endParaRPr lang="es-ES"/>
        </a:p>
      </dgm:t>
    </dgm:pt>
    <dgm:pt modelId="{D31DA321-688E-734B-9A0E-C45575306C1A}" type="sibTrans" cxnId="{F8F86DEC-0A7F-A04C-A8A4-4FB606D7192A}">
      <dgm:prSet/>
      <dgm:spPr/>
      <dgm:t>
        <a:bodyPr/>
        <a:lstStyle/>
        <a:p>
          <a:endParaRPr lang="es-ES"/>
        </a:p>
      </dgm:t>
    </dgm:pt>
    <dgm:pt modelId="{2F92FB43-B9A4-4743-92E8-ACA705FD4C56}">
      <dgm:prSet phldrT="[Texto]"/>
      <dgm:spPr/>
      <dgm:t>
        <a:bodyPr/>
        <a:lstStyle/>
        <a:p>
          <a:r>
            <a:rPr lang="es-ES" dirty="0"/>
            <a:t>Incluyendo modificaciones propuestas</a:t>
          </a:r>
        </a:p>
      </dgm:t>
    </dgm:pt>
    <dgm:pt modelId="{840DF5C4-61A4-3747-B584-59A0468FCC0D}" type="parTrans" cxnId="{4DDEE805-709E-5A49-A678-AF80B9484BCC}">
      <dgm:prSet/>
      <dgm:spPr/>
      <dgm:t>
        <a:bodyPr/>
        <a:lstStyle/>
        <a:p>
          <a:endParaRPr lang="es-ES"/>
        </a:p>
      </dgm:t>
    </dgm:pt>
    <dgm:pt modelId="{0FB8A36D-DED1-9E4E-8541-942806B4F644}" type="sibTrans" cxnId="{4DDEE805-709E-5A49-A678-AF80B9484BCC}">
      <dgm:prSet/>
      <dgm:spPr/>
      <dgm:t>
        <a:bodyPr/>
        <a:lstStyle/>
        <a:p>
          <a:endParaRPr lang="es-ES"/>
        </a:p>
      </dgm:t>
    </dgm:pt>
    <dgm:pt modelId="{59DB334F-AE8B-7B43-B812-DA60E8625BD1}">
      <dgm:prSet phldrT="[Texto]"/>
      <dgm:spPr/>
      <dgm:t>
        <a:bodyPr/>
        <a:lstStyle/>
        <a:p>
          <a:r>
            <a:rPr lang="es-ES" dirty="0"/>
            <a:t>Contexto (macroeconómicas) y empresa (microeconómicas)</a:t>
          </a:r>
        </a:p>
      </dgm:t>
    </dgm:pt>
    <dgm:pt modelId="{1432A521-EF6B-5A44-AA0B-CDBF88EDE911}" type="parTrans" cxnId="{15D1FF0C-EE4C-F34C-95DA-EF167E795AF1}">
      <dgm:prSet/>
      <dgm:spPr/>
      <dgm:t>
        <a:bodyPr/>
        <a:lstStyle/>
        <a:p>
          <a:endParaRPr lang="es-ES"/>
        </a:p>
      </dgm:t>
    </dgm:pt>
    <dgm:pt modelId="{0617C369-E07E-624B-B42B-5197B52EB4D8}" type="sibTrans" cxnId="{15D1FF0C-EE4C-F34C-95DA-EF167E795AF1}">
      <dgm:prSet/>
      <dgm:spPr/>
      <dgm:t>
        <a:bodyPr/>
        <a:lstStyle/>
        <a:p>
          <a:endParaRPr lang="es-ES"/>
        </a:p>
      </dgm:t>
    </dgm:pt>
    <dgm:pt modelId="{D8A82750-37AB-1E4F-907C-2F10503D8218}">
      <dgm:prSet phldrT="[Texto]"/>
      <dgm:spPr/>
      <dgm:t>
        <a:bodyPr/>
        <a:lstStyle/>
        <a:p>
          <a:r>
            <a:rPr lang="es-ES" dirty="0"/>
            <a:t>Fijarlos teniendo en cuenta el contexto</a:t>
          </a:r>
        </a:p>
      </dgm:t>
    </dgm:pt>
    <dgm:pt modelId="{B65C85DB-F0B8-6B4A-BCA3-D451C4AC2B65}" type="parTrans" cxnId="{AE01BB94-0174-934B-A030-404C8CAB7B64}">
      <dgm:prSet/>
      <dgm:spPr/>
      <dgm:t>
        <a:bodyPr/>
        <a:lstStyle/>
        <a:p>
          <a:endParaRPr lang="es-ES"/>
        </a:p>
      </dgm:t>
    </dgm:pt>
    <dgm:pt modelId="{64DD0E35-4F8A-E34A-A7AC-A1C65B7F7D40}" type="sibTrans" cxnId="{AE01BB94-0174-934B-A030-404C8CAB7B64}">
      <dgm:prSet/>
      <dgm:spPr/>
      <dgm:t>
        <a:bodyPr/>
        <a:lstStyle/>
        <a:p>
          <a:endParaRPr lang="es-ES"/>
        </a:p>
      </dgm:t>
    </dgm:pt>
    <dgm:pt modelId="{159937B5-472D-674D-A786-58C1244508CF}">
      <dgm:prSet phldrT="[Texto]" custT="1"/>
      <dgm:spPr/>
      <dgm:t>
        <a:bodyPr/>
        <a:lstStyle/>
        <a:p>
          <a:r>
            <a:rPr lang="es-ES" sz="1200" dirty="0"/>
            <a:t>Calendarización</a:t>
          </a:r>
        </a:p>
      </dgm:t>
    </dgm:pt>
    <dgm:pt modelId="{ACC4F839-E4FA-3C41-8C23-375F932EDB5D}" type="parTrans" cxnId="{AE425947-990B-8240-8DB2-EBEBCDDD2F7C}">
      <dgm:prSet/>
      <dgm:spPr/>
      <dgm:t>
        <a:bodyPr/>
        <a:lstStyle/>
        <a:p>
          <a:endParaRPr lang="es-ES"/>
        </a:p>
      </dgm:t>
    </dgm:pt>
    <dgm:pt modelId="{60104180-5CBE-6547-80C4-5FF41E5FE9CE}" type="sibTrans" cxnId="{AE425947-990B-8240-8DB2-EBEBCDDD2F7C}">
      <dgm:prSet/>
      <dgm:spPr/>
      <dgm:t>
        <a:bodyPr/>
        <a:lstStyle/>
        <a:p>
          <a:endParaRPr lang="es-ES"/>
        </a:p>
      </dgm:t>
    </dgm:pt>
    <dgm:pt modelId="{273DD997-2105-D443-8226-CB32A22704CF}">
      <dgm:prSet phldrT="[Texto]"/>
      <dgm:spPr/>
      <dgm:t>
        <a:bodyPr/>
        <a:lstStyle/>
        <a:p>
          <a:r>
            <a:rPr lang="es-ES" dirty="0"/>
            <a:t>Cronograma de las tareas a realizar y relaciones interdepartamentales</a:t>
          </a:r>
        </a:p>
      </dgm:t>
    </dgm:pt>
    <dgm:pt modelId="{C17D9088-2019-5241-902B-1D709CB737B3}" type="parTrans" cxnId="{D17D86A0-9B29-1546-BB0A-5E75316A530E}">
      <dgm:prSet/>
      <dgm:spPr/>
      <dgm:t>
        <a:bodyPr/>
        <a:lstStyle/>
        <a:p>
          <a:endParaRPr lang="es-ES"/>
        </a:p>
      </dgm:t>
    </dgm:pt>
    <dgm:pt modelId="{74A2B826-3452-0D4F-9D7F-4B007C4601F9}" type="sibTrans" cxnId="{D17D86A0-9B29-1546-BB0A-5E75316A530E}">
      <dgm:prSet/>
      <dgm:spPr/>
      <dgm:t>
        <a:bodyPr/>
        <a:lstStyle/>
        <a:p>
          <a:endParaRPr lang="es-ES"/>
        </a:p>
      </dgm:t>
    </dgm:pt>
    <dgm:pt modelId="{B1CA2611-6E1B-0746-8598-DA95561D7EE1}">
      <dgm:prSet phldrT="[Texto]" custT="1"/>
      <dgm:spPr/>
      <dgm:t>
        <a:bodyPr/>
        <a:lstStyle/>
        <a:p>
          <a:r>
            <a:rPr lang="es-ES" sz="1200" dirty="0"/>
            <a:t>Presupuesto previo</a:t>
          </a:r>
        </a:p>
      </dgm:t>
    </dgm:pt>
    <dgm:pt modelId="{2510F821-87AD-2949-8586-AF4B9C7AEF39}" type="parTrans" cxnId="{1D94B77E-6E01-A14C-A8AB-72D352AD02C1}">
      <dgm:prSet/>
      <dgm:spPr/>
      <dgm:t>
        <a:bodyPr/>
        <a:lstStyle/>
        <a:p>
          <a:endParaRPr lang="es-ES"/>
        </a:p>
      </dgm:t>
    </dgm:pt>
    <dgm:pt modelId="{790A1569-067C-8A4E-B1E2-10C73AC5512E}" type="sibTrans" cxnId="{1D94B77E-6E01-A14C-A8AB-72D352AD02C1}">
      <dgm:prSet/>
      <dgm:spPr/>
      <dgm:t>
        <a:bodyPr/>
        <a:lstStyle/>
        <a:p>
          <a:endParaRPr lang="es-ES"/>
        </a:p>
      </dgm:t>
    </dgm:pt>
    <dgm:pt modelId="{CD21FB71-0D17-1745-ABBD-6191D8832C56}">
      <dgm:prSet phldrT="[Texto]"/>
      <dgm:spPr/>
      <dgm:t>
        <a:bodyPr/>
        <a:lstStyle/>
        <a:p>
          <a:r>
            <a:rPr lang="es-ES" dirty="0"/>
            <a:t>Análisis, y propuesta de modificaciones</a:t>
          </a:r>
        </a:p>
      </dgm:t>
    </dgm:pt>
    <dgm:pt modelId="{1EB75994-7332-7843-83E5-A9DA8CAF76E7}" type="parTrans" cxnId="{C4882EFA-3E08-9449-8F1B-BC630032FDFB}">
      <dgm:prSet/>
      <dgm:spPr/>
      <dgm:t>
        <a:bodyPr/>
        <a:lstStyle/>
        <a:p>
          <a:endParaRPr lang="es-ES"/>
        </a:p>
      </dgm:t>
    </dgm:pt>
    <dgm:pt modelId="{8DEE1085-42F4-8C4E-A851-CBEEB29FBF5E}" type="sibTrans" cxnId="{C4882EFA-3E08-9449-8F1B-BC630032FDFB}">
      <dgm:prSet/>
      <dgm:spPr/>
      <dgm:t>
        <a:bodyPr/>
        <a:lstStyle/>
        <a:p>
          <a:endParaRPr lang="es-ES"/>
        </a:p>
      </dgm:t>
    </dgm:pt>
    <dgm:pt modelId="{3391A61D-19A7-0D4C-A9C3-E7D5AC66C1A5}">
      <dgm:prSet phldrT="[Texto]" custT="1"/>
      <dgm:spPr/>
      <dgm:t>
        <a:bodyPr/>
        <a:lstStyle/>
        <a:p>
          <a:r>
            <a:rPr lang="es-ES" sz="1200" dirty="0"/>
            <a:t>Aprobación</a:t>
          </a:r>
        </a:p>
      </dgm:t>
    </dgm:pt>
    <dgm:pt modelId="{FCA8647C-7BE6-5D41-BBFA-C6E21CD675FA}" type="parTrans" cxnId="{A43947F3-ACBC-BF4D-8055-05A9588D99CB}">
      <dgm:prSet/>
      <dgm:spPr/>
      <dgm:t>
        <a:bodyPr/>
        <a:lstStyle/>
        <a:p>
          <a:endParaRPr lang="es-ES"/>
        </a:p>
      </dgm:t>
    </dgm:pt>
    <dgm:pt modelId="{7D786AC9-4018-B848-97AB-0DCE858BF0BF}" type="sibTrans" cxnId="{A43947F3-ACBC-BF4D-8055-05A9588D99CB}">
      <dgm:prSet/>
      <dgm:spPr/>
      <dgm:t>
        <a:bodyPr/>
        <a:lstStyle/>
        <a:p>
          <a:endParaRPr lang="es-ES"/>
        </a:p>
      </dgm:t>
    </dgm:pt>
    <dgm:pt modelId="{AE42C6AA-F191-284F-9900-A7B02FAD62F3}">
      <dgm:prSet phldrT="[Texto]"/>
      <dgm:spPr/>
      <dgm:t>
        <a:bodyPr/>
        <a:lstStyle/>
        <a:p>
          <a:r>
            <a:rPr lang="es-ES" dirty="0"/>
            <a:t>Por el órgano de decisión</a:t>
          </a:r>
        </a:p>
      </dgm:t>
    </dgm:pt>
    <dgm:pt modelId="{B013EDDF-AF25-5D4D-B727-BF60597DFBDE}" type="parTrans" cxnId="{FCB4D756-93D6-2942-99F3-BEDBBEE67B80}">
      <dgm:prSet/>
      <dgm:spPr/>
      <dgm:t>
        <a:bodyPr/>
        <a:lstStyle/>
        <a:p>
          <a:endParaRPr lang="es-ES"/>
        </a:p>
      </dgm:t>
    </dgm:pt>
    <dgm:pt modelId="{64D77F07-AD91-A442-86D2-C34D8B5B2EF6}" type="sibTrans" cxnId="{FCB4D756-93D6-2942-99F3-BEDBBEE67B80}">
      <dgm:prSet/>
      <dgm:spPr/>
      <dgm:t>
        <a:bodyPr/>
        <a:lstStyle/>
        <a:p>
          <a:endParaRPr lang="es-ES"/>
        </a:p>
      </dgm:t>
    </dgm:pt>
    <dgm:pt modelId="{FF1B8FA7-5E95-C244-82AB-F72A49658DD6}">
      <dgm:prSet phldrT="[Texto]" custT="1"/>
      <dgm:spPr/>
      <dgm:t>
        <a:bodyPr/>
        <a:lstStyle/>
        <a:p>
          <a:r>
            <a:rPr lang="es-ES" sz="1200" dirty="0"/>
            <a:t>Distribución</a:t>
          </a:r>
        </a:p>
      </dgm:t>
    </dgm:pt>
    <dgm:pt modelId="{A06BF314-5CE2-1D47-8C6E-2719BFE47099}" type="parTrans" cxnId="{FB3722F1-F323-1B4F-9005-ACB34B008758}">
      <dgm:prSet/>
      <dgm:spPr/>
      <dgm:t>
        <a:bodyPr/>
        <a:lstStyle/>
        <a:p>
          <a:endParaRPr lang="es-ES"/>
        </a:p>
      </dgm:t>
    </dgm:pt>
    <dgm:pt modelId="{0C687BD3-E0EB-714C-A61B-B97777A5F88D}" type="sibTrans" cxnId="{FB3722F1-F323-1B4F-9005-ACB34B008758}">
      <dgm:prSet/>
      <dgm:spPr/>
      <dgm:t>
        <a:bodyPr/>
        <a:lstStyle/>
        <a:p>
          <a:endParaRPr lang="es-ES"/>
        </a:p>
      </dgm:t>
    </dgm:pt>
    <dgm:pt modelId="{4EA3B1E9-781F-D547-9E7F-217C5FD9D814}">
      <dgm:prSet phldrT="[Texto]"/>
      <dgm:spPr/>
      <dgm:t>
        <a:bodyPr/>
        <a:lstStyle/>
        <a:p>
          <a:r>
            <a:rPr lang="es-ES" dirty="0"/>
            <a:t>Puesta en conocimiento y en marcha por las áreas responsables</a:t>
          </a:r>
        </a:p>
      </dgm:t>
    </dgm:pt>
    <dgm:pt modelId="{7E3AE886-27A2-5E49-8823-EC9710264568}" type="parTrans" cxnId="{AE59518C-DEFD-FE45-87A2-2B3B359726F8}">
      <dgm:prSet/>
      <dgm:spPr/>
      <dgm:t>
        <a:bodyPr/>
        <a:lstStyle/>
        <a:p>
          <a:endParaRPr lang="es-ES"/>
        </a:p>
      </dgm:t>
    </dgm:pt>
    <dgm:pt modelId="{E0F91B78-0B9C-6E4F-837D-3078C98BBED3}" type="sibTrans" cxnId="{AE59518C-DEFD-FE45-87A2-2B3B359726F8}">
      <dgm:prSet/>
      <dgm:spPr/>
      <dgm:t>
        <a:bodyPr/>
        <a:lstStyle/>
        <a:p>
          <a:endParaRPr lang="es-ES"/>
        </a:p>
      </dgm:t>
    </dgm:pt>
    <dgm:pt modelId="{0A43450D-B943-C64C-85D3-B246810301E1}">
      <dgm:prSet phldrT="[Texto]" custT="1"/>
      <dgm:spPr/>
      <dgm:t>
        <a:bodyPr/>
        <a:lstStyle/>
        <a:p>
          <a:r>
            <a:rPr lang="es-ES" sz="1200" dirty="0"/>
            <a:t>Seguimiento</a:t>
          </a:r>
        </a:p>
      </dgm:t>
    </dgm:pt>
    <dgm:pt modelId="{B22F7B8E-23AD-7949-BDC7-52C3569474CB}" type="parTrans" cxnId="{F9B1C6C9-371C-5B4F-BC23-E76793AA7CCD}">
      <dgm:prSet/>
      <dgm:spPr/>
      <dgm:t>
        <a:bodyPr/>
        <a:lstStyle/>
        <a:p>
          <a:endParaRPr lang="es-ES"/>
        </a:p>
      </dgm:t>
    </dgm:pt>
    <dgm:pt modelId="{5CDD53C8-F427-A244-9C28-659940779AFC}" type="sibTrans" cxnId="{F9B1C6C9-371C-5B4F-BC23-E76793AA7CCD}">
      <dgm:prSet/>
      <dgm:spPr/>
      <dgm:t>
        <a:bodyPr/>
        <a:lstStyle/>
        <a:p>
          <a:endParaRPr lang="es-ES"/>
        </a:p>
      </dgm:t>
    </dgm:pt>
    <dgm:pt modelId="{0E544456-B946-1246-9699-EBBEA75A9BC8}">
      <dgm:prSet phldrT="[Texto]"/>
      <dgm:spPr/>
      <dgm:t>
        <a:bodyPr/>
        <a:lstStyle/>
        <a:p>
          <a:r>
            <a:rPr lang="es-ES" dirty="0"/>
            <a:t>Cumplimiento y desviaciones: retroalimentación</a:t>
          </a:r>
        </a:p>
      </dgm:t>
    </dgm:pt>
    <dgm:pt modelId="{5376EAD5-5970-954A-9EAF-87970897B133}" type="parTrans" cxnId="{C3F4D28C-7971-934B-A9B3-A63E0ED0393E}">
      <dgm:prSet/>
      <dgm:spPr/>
      <dgm:t>
        <a:bodyPr/>
        <a:lstStyle/>
        <a:p>
          <a:endParaRPr lang="es-ES"/>
        </a:p>
      </dgm:t>
    </dgm:pt>
    <dgm:pt modelId="{444F207B-7676-B843-97A1-C1FADF1E1EFA}" type="sibTrans" cxnId="{C3F4D28C-7971-934B-A9B3-A63E0ED0393E}">
      <dgm:prSet/>
      <dgm:spPr/>
      <dgm:t>
        <a:bodyPr/>
        <a:lstStyle/>
        <a:p>
          <a:endParaRPr lang="es-ES"/>
        </a:p>
      </dgm:t>
    </dgm:pt>
    <dgm:pt modelId="{B869A1FC-6C76-E243-A595-A41B94ED0455}" type="pres">
      <dgm:prSet presAssocID="{755BA4F7-3E4E-8043-8EA2-D6FE323A8629}" presName="Name0" presStyleCnt="0">
        <dgm:presLayoutVars>
          <dgm:chPref val="3"/>
          <dgm:dir/>
          <dgm:animLvl val="lvl"/>
          <dgm:resizeHandles/>
        </dgm:presLayoutVars>
      </dgm:prSet>
      <dgm:spPr/>
    </dgm:pt>
    <dgm:pt modelId="{35A95381-E32A-2947-8A5E-DDD09E2DE7C2}" type="pres">
      <dgm:prSet presAssocID="{149D6BA1-C6A9-DC44-A2F0-2B65FBA07802}" presName="horFlow" presStyleCnt="0"/>
      <dgm:spPr/>
    </dgm:pt>
    <dgm:pt modelId="{2DD662A0-A576-1941-ABFB-022C77DCB265}" type="pres">
      <dgm:prSet presAssocID="{149D6BA1-C6A9-DC44-A2F0-2B65FBA07802}" presName="bigChev" presStyleLbl="node1" presStyleIdx="0" presStyleCnt="10" custScaleX="197845"/>
      <dgm:spPr/>
    </dgm:pt>
    <dgm:pt modelId="{DB22389A-5CA1-2846-AF84-DF99A9C1A3DA}" type="pres">
      <dgm:prSet presAssocID="{A2D3495C-6E8C-9D4D-89A7-311606BD45CF}" presName="parTrans" presStyleCnt="0"/>
      <dgm:spPr/>
    </dgm:pt>
    <dgm:pt modelId="{5AB3AAAE-EE8B-3245-A2D5-82BE65FCAC34}" type="pres">
      <dgm:prSet presAssocID="{747CA23C-869E-1C44-BCF2-6C703AF672BC}" presName="node" presStyleLbl="alignAccFollowNode1" presStyleIdx="0" presStyleCnt="10" custScaleX="460236">
        <dgm:presLayoutVars>
          <dgm:bulletEnabled val="1"/>
        </dgm:presLayoutVars>
      </dgm:prSet>
      <dgm:spPr/>
    </dgm:pt>
    <dgm:pt modelId="{32199AA2-CC0E-CD41-B4CB-EDCE982A9415}" type="pres">
      <dgm:prSet presAssocID="{149D6BA1-C6A9-DC44-A2F0-2B65FBA07802}" presName="vSp" presStyleCnt="0"/>
      <dgm:spPr/>
    </dgm:pt>
    <dgm:pt modelId="{BE6873C2-D7B7-E74F-B245-D7881D4585F2}" type="pres">
      <dgm:prSet presAssocID="{1A1D3F79-E013-DE44-8856-C37ED6BF09EB}" presName="horFlow" presStyleCnt="0"/>
      <dgm:spPr/>
    </dgm:pt>
    <dgm:pt modelId="{92CB02E2-B864-434E-B6E4-16563B1EF035}" type="pres">
      <dgm:prSet presAssocID="{1A1D3F79-E013-DE44-8856-C37ED6BF09EB}" presName="bigChev" presStyleLbl="node1" presStyleIdx="1" presStyleCnt="10" custScaleX="197845"/>
      <dgm:spPr/>
    </dgm:pt>
    <dgm:pt modelId="{CFF1A751-D35D-3245-ADBC-CE442AEF9D2F}" type="pres">
      <dgm:prSet presAssocID="{1432A521-EF6B-5A44-AA0B-CDBF88EDE911}" presName="parTrans" presStyleCnt="0"/>
      <dgm:spPr/>
    </dgm:pt>
    <dgm:pt modelId="{C66827CA-3B6A-0749-B2A6-C5460684B6D8}" type="pres">
      <dgm:prSet presAssocID="{59DB334F-AE8B-7B43-B812-DA60E8625BD1}" presName="node" presStyleLbl="alignAccFollowNode1" presStyleIdx="1" presStyleCnt="10" custScaleX="460236">
        <dgm:presLayoutVars>
          <dgm:bulletEnabled val="1"/>
        </dgm:presLayoutVars>
      </dgm:prSet>
      <dgm:spPr/>
    </dgm:pt>
    <dgm:pt modelId="{F9562BC4-F723-DC4A-961B-A6334E203131}" type="pres">
      <dgm:prSet presAssocID="{1A1D3F79-E013-DE44-8856-C37ED6BF09EB}" presName="vSp" presStyleCnt="0"/>
      <dgm:spPr/>
    </dgm:pt>
    <dgm:pt modelId="{639291CC-78B8-9049-8A81-FAF884778CA4}" type="pres">
      <dgm:prSet presAssocID="{2DB2B65B-602B-4E4D-8B18-3E4DB3C06B3E}" presName="horFlow" presStyleCnt="0"/>
      <dgm:spPr/>
    </dgm:pt>
    <dgm:pt modelId="{A4AB4F3D-2247-3B44-BEF3-640994D291CA}" type="pres">
      <dgm:prSet presAssocID="{2DB2B65B-602B-4E4D-8B18-3E4DB3C06B3E}" presName="bigChev" presStyleLbl="node1" presStyleIdx="2" presStyleCnt="10" custScaleX="197845"/>
      <dgm:spPr/>
    </dgm:pt>
    <dgm:pt modelId="{AB1AE13C-E81C-CA4E-96D0-1FC1E04CFE81}" type="pres">
      <dgm:prSet presAssocID="{B65C85DB-F0B8-6B4A-BCA3-D451C4AC2B65}" presName="parTrans" presStyleCnt="0"/>
      <dgm:spPr/>
    </dgm:pt>
    <dgm:pt modelId="{6142DD51-C090-2642-8A9F-2C815E7D49B9}" type="pres">
      <dgm:prSet presAssocID="{D8A82750-37AB-1E4F-907C-2F10503D8218}" presName="node" presStyleLbl="alignAccFollowNode1" presStyleIdx="2" presStyleCnt="10" custScaleX="460236">
        <dgm:presLayoutVars>
          <dgm:bulletEnabled val="1"/>
        </dgm:presLayoutVars>
      </dgm:prSet>
      <dgm:spPr/>
    </dgm:pt>
    <dgm:pt modelId="{933264C9-2391-1049-ACB2-92EA30D5D8EA}" type="pres">
      <dgm:prSet presAssocID="{2DB2B65B-602B-4E4D-8B18-3E4DB3C06B3E}" presName="vSp" presStyleCnt="0"/>
      <dgm:spPr/>
    </dgm:pt>
    <dgm:pt modelId="{EEDA742B-E262-FB4C-BD32-A1F84CE186E4}" type="pres">
      <dgm:prSet presAssocID="{159937B5-472D-674D-A786-58C1244508CF}" presName="horFlow" presStyleCnt="0"/>
      <dgm:spPr/>
    </dgm:pt>
    <dgm:pt modelId="{65613646-D0AD-1E49-9CFA-B538682EEFB1}" type="pres">
      <dgm:prSet presAssocID="{159937B5-472D-674D-A786-58C1244508CF}" presName="bigChev" presStyleLbl="node1" presStyleIdx="3" presStyleCnt="10" custScaleX="197845"/>
      <dgm:spPr/>
    </dgm:pt>
    <dgm:pt modelId="{BE7E9726-ACE6-9049-9D72-E6D2D95DD1FD}" type="pres">
      <dgm:prSet presAssocID="{C17D9088-2019-5241-902B-1D709CB737B3}" presName="parTrans" presStyleCnt="0"/>
      <dgm:spPr/>
    </dgm:pt>
    <dgm:pt modelId="{EEA8354A-D7CB-644E-8D00-42FC6F0FEA06}" type="pres">
      <dgm:prSet presAssocID="{273DD997-2105-D443-8226-CB32A22704CF}" presName="node" presStyleLbl="alignAccFollowNode1" presStyleIdx="3" presStyleCnt="10" custScaleX="460236">
        <dgm:presLayoutVars>
          <dgm:bulletEnabled val="1"/>
        </dgm:presLayoutVars>
      </dgm:prSet>
      <dgm:spPr/>
    </dgm:pt>
    <dgm:pt modelId="{28F55DE7-DF7C-4542-985E-51A21A21E2C6}" type="pres">
      <dgm:prSet presAssocID="{159937B5-472D-674D-A786-58C1244508CF}" presName="vSp" presStyleCnt="0"/>
      <dgm:spPr/>
    </dgm:pt>
    <dgm:pt modelId="{EF27B8DA-320F-B142-B180-739021A74C4C}" type="pres">
      <dgm:prSet presAssocID="{B1CA2611-6E1B-0746-8598-DA95561D7EE1}" presName="horFlow" presStyleCnt="0"/>
      <dgm:spPr/>
    </dgm:pt>
    <dgm:pt modelId="{9C60294D-256A-A449-BFB5-BC4F10A0B94E}" type="pres">
      <dgm:prSet presAssocID="{B1CA2611-6E1B-0746-8598-DA95561D7EE1}" presName="bigChev" presStyleLbl="node1" presStyleIdx="4" presStyleCnt="10" custScaleX="197845"/>
      <dgm:spPr/>
    </dgm:pt>
    <dgm:pt modelId="{4E67961C-87A5-F849-B6CD-B9A1ADC683F4}" type="pres">
      <dgm:prSet presAssocID="{55E21B53-2A39-D14F-AEC2-0C6ECF4B4779}" presName="parTrans" presStyleCnt="0"/>
      <dgm:spPr/>
    </dgm:pt>
    <dgm:pt modelId="{78B06679-24E2-7747-A58C-2956BB63D2A5}" type="pres">
      <dgm:prSet presAssocID="{D9728EE6-EFE0-404A-8F36-5A1512E58A39}" presName="node" presStyleLbl="alignAccFollowNode1" presStyleIdx="4" presStyleCnt="10" custScaleX="460236">
        <dgm:presLayoutVars>
          <dgm:bulletEnabled val="1"/>
        </dgm:presLayoutVars>
      </dgm:prSet>
      <dgm:spPr/>
    </dgm:pt>
    <dgm:pt modelId="{8C508BAB-95DC-1445-A2A1-F70C1237C220}" type="pres">
      <dgm:prSet presAssocID="{B1CA2611-6E1B-0746-8598-DA95561D7EE1}" presName="vSp" presStyleCnt="0"/>
      <dgm:spPr/>
    </dgm:pt>
    <dgm:pt modelId="{9E3963D3-943E-7647-98CB-74EE9D5F73D2}" type="pres">
      <dgm:prSet presAssocID="{8876A2AE-01D3-FA43-BD08-CF5D140657C3}" presName="horFlow" presStyleCnt="0"/>
      <dgm:spPr/>
    </dgm:pt>
    <dgm:pt modelId="{8E20DE00-AF0F-F643-AB4B-914EF2672DE2}" type="pres">
      <dgm:prSet presAssocID="{8876A2AE-01D3-FA43-BD08-CF5D140657C3}" presName="bigChev" presStyleLbl="node1" presStyleIdx="5" presStyleCnt="10" custScaleX="197845"/>
      <dgm:spPr/>
    </dgm:pt>
    <dgm:pt modelId="{0E95270F-1C9B-2C49-9A9C-2592F2824F45}" type="pres">
      <dgm:prSet presAssocID="{1EB75994-7332-7843-83E5-A9DA8CAF76E7}" presName="parTrans" presStyleCnt="0"/>
      <dgm:spPr/>
    </dgm:pt>
    <dgm:pt modelId="{46A33EFA-3004-DA4F-A3FE-BAC780ED917E}" type="pres">
      <dgm:prSet presAssocID="{CD21FB71-0D17-1745-ABBD-6191D8832C56}" presName="node" presStyleLbl="alignAccFollowNode1" presStyleIdx="5" presStyleCnt="10" custScaleX="460236">
        <dgm:presLayoutVars>
          <dgm:bulletEnabled val="1"/>
        </dgm:presLayoutVars>
      </dgm:prSet>
      <dgm:spPr/>
    </dgm:pt>
    <dgm:pt modelId="{BDC56CC1-D051-1343-B690-A87216E6D551}" type="pres">
      <dgm:prSet presAssocID="{8876A2AE-01D3-FA43-BD08-CF5D140657C3}" presName="vSp" presStyleCnt="0"/>
      <dgm:spPr/>
    </dgm:pt>
    <dgm:pt modelId="{452E4E4B-2257-6845-80B1-AEF729D1DBA3}" type="pres">
      <dgm:prSet presAssocID="{59DAB93F-25B8-584A-9DD0-557C7A01D005}" presName="horFlow" presStyleCnt="0"/>
      <dgm:spPr/>
    </dgm:pt>
    <dgm:pt modelId="{74E97F4C-CC80-A042-9804-F1ED8B0767E7}" type="pres">
      <dgm:prSet presAssocID="{59DAB93F-25B8-584A-9DD0-557C7A01D005}" presName="bigChev" presStyleLbl="node1" presStyleIdx="6" presStyleCnt="10" custScaleX="197845"/>
      <dgm:spPr/>
    </dgm:pt>
    <dgm:pt modelId="{F4CD3B54-BB2F-D246-8EFE-6C2AFF058CA6}" type="pres">
      <dgm:prSet presAssocID="{840DF5C4-61A4-3747-B584-59A0468FCC0D}" presName="parTrans" presStyleCnt="0"/>
      <dgm:spPr/>
    </dgm:pt>
    <dgm:pt modelId="{E31C2C69-1809-8F46-9DDA-0196B45D1263}" type="pres">
      <dgm:prSet presAssocID="{2F92FB43-B9A4-4743-92E8-ACA705FD4C56}" presName="node" presStyleLbl="alignAccFollowNode1" presStyleIdx="6" presStyleCnt="10" custScaleX="460236">
        <dgm:presLayoutVars>
          <dgm:bulletEnabled val="1"/>
        </dgm:presLayoutVars>
      </dgm:prSet>
      <dgm:spPr/>
    </dgm:pt>
    <dgm:pt modelId="{0EFAF253-3BE7-A54F-B6F9-F76AFC8BD408}" type="pres">
      <dgm:prSet presAssocID="{59DAB93F-25B8-584A-9DD0-557C7A01D005}" presName="vSp" presStyleCnt="0"/>
      <dgm:spPr/>
    </dgm:pt>
    <dgm:pt modelId="{A6E74963-3454-7D49-B58E-71030134EE8D}" type="pres">
      <dgm:prSet presAssocID="{3391A61D-19A7-0D4C-A9C3-E7D5AC66C1A5}" presName="horFlow" presStyleCnt="0"/>
      <dgm:spPr/>
    </dgm:pt>
    <dgm:pt modelId="{B14FA9BE-D588-1A48-B330-5C9A2A15140D}" type="pres">
      <dgm:prSet presAssocID="{3391A61D-19A7-0D4C-A9C3-E7D5AC66C1A5}" presName="bigChev" presStyleLbl="node1" presStyleIdx="7" presStyleCnt="10" custScaleX="197845"/>
      <dgm:spPr/>
    </dgm:pt>
    <dgm:pt modelId="{F7562EBE-5947-8142-A322-85B636543083}" type="pres">
      <dgm:prSet presAssocID="{B013EDDF-AF25-5D4D-B727-BF60597DFBDE}" presName="parTrans" presStyleCnt="0"/>
      <dgm:spPr/>
    </dgm:pt>
    <dgm:pt modelId="{EC89B11A-0B9A-4947-9D56-B0508D60E00A}" type="pres">
      <dgm:prSet presAssocID="{AE42C6AA-F191-284F-9900-A7B02FAD62F3}" presName="node" presStyleLbl="alignAccFollowNode1" presStyleIdx="7" presStyleCnt="10" custScaleX="460236">
        <dgm:presLayoutVars>
          <dgm:bulletEnabled val="1"/>
        </dgm:presLayoutVars>
      </dgm:prSet>
      <dgm:spPr/>
    </dgm:pt>
    <dgm:pt modelId="{D547BCC5-671E-A44B-AB64-1AE1B06336A2}" type="pres">
      <dgm:prSet presAssocID="{3391A61D-19A7-0D4C-A9C3-E7D5AC66C1A5}" presName="vSp" presStyleCnt="0"/>
      <dgm:spPr/>
    </dgm:pt>
    <dgm:pt modelId="{281752E9-F002-5244-ACF5-DE15F402D6D4}" type="pres">
      <dgm:prSet presAssocID="{FF1B8FA7-5E95-C244-82AB-F72A49658DD6}" presName="horFlow" presStyleCnt="0"/>
      <dgm:spPr/>
    </dgm:pt>
    <dgm:pt modelId="{614F1734-C015-3648-8440-9AAE8B24CCC3}" type="pres">
      <dgm:prSet presAssocID="{FF1B8FA7-5E95-C244-82AB-F72A49658DD6}" presName="bigChev" presStyleLbl="node1" presStyleIdx="8" presStyleCnt="10" custScaleX="197845"/>
      <dgm:spPr/>
    </dgm:pt>
    <dgm:pt modelId="{C11F5924-B3AD-F24B-B7DB-61D472989A0F}" type="pres">
      <dgm:prSet presAssocID="{7E3AE886-27A2-5E49-8823-EC9710264568}" presName="parTrans" presStyleCnt="0"/>
      <dgm:spPr/>
    </dgm:pt>
    <dgm:pt modelId="{9FEA50EC-C14B-CC41-991C-73DCB67CFC19}" type="pres">
      <dgm:prSet presAssocID="{4EA3B1E9-781F-D547-9E7F-217C5FD9D814}" presName="node" presStyleLbl="alignAccFollowNode1" presStyleIdx="8" presStyleCnt="10" custScaleX="460236">
        <dgm:presLayoutVars>
          <dgm:bulletEnabled val="1"/>
        </dgm:presLayoutVars>
      </dgm:prSet>
      <dgm:spPr/>
    </dgm:pt>
    <dgm:pt modelId="{7AA77E34-DA2C-C04E-9C6A-8B30C1770002}" type="pres">
      <dgm:prSet presAssocID="{FF1B8FA7-5E95-C244-82AB-F72A49658DD6}" presName="vSp" presStyleCnt="0"/>
      <dgm:spPr/>
    </dgm:pt>
    <dgm:pt modelId="{A757BA06-3FE7-504A-AAC7-2FFA87A6A541}" type="pres">
      <dgm:prSet presAssocID="{0A43450D-B943-C64C-85D3-B246810301E1}" presName="horFlow" presStyleCnt="0"/>
      <dgm:spPr/>
    </dgm:pt>
    <dgm:pt modelId="{89E86EFA-EF40-514F-A2FC-0CE029289164}" type="pres">
      <dgm:prSet presAssocID="{0A43450D-B943-C64C-85D3-B246810301E1}" presName="bigChev" presStyleLbl="node1" presStyleIdx="9" presStyleCnt="10" custScaleX="197845"/>
      <dgm:spPr/>
    </dgm:pt>
    <dgm:pt modelId="{B06C91A3-CC7C-D841-A395-610732B42FFC}" type="pres">
      <dgm:prSet presAssocID="{5376EAD5-5970-954A-9EAF-87970897B133}" presName="parTrans" presStyleCnt="0"/>
      <dgm:spPr/>
    </dgm:pt>
    <dgm:pt modelId="{8287FA9B-E589-9C4A-A017-EB0A05628C7B}" type="pres">
      <dgm:prSet presAssocID="{0E544456-B946-1246-9699-EBBEA75A9BC8}" presName="node" presStyleLbl="alignAccFollowNode1" presStyleIdx="9" presStyleCnt="10" custScaleX="459353">
        <dgm:presLayoutVars>
          <dgm:bulletEnabled val="1"/>
        </dgm:presLayoutVars>
      </dgm:prSet>
      <dgm:spPr/>
    </dgm:pt>
  </dgm:ptLst>
  <dgm:cxnLst>
    <dgm:cxn modelId="{4DDEE805-709E-5A49-A678-AF80B9484BCC}" srcId="{59DAB93F-25B8-584A-9DD0-557C7A01D005}" destId="{2F92FB43-B9A4-4743-92E8-ACA705FD4C56}" srcOrd="0" destOrd="0" parTransId="{840DF5C4-61A4-3747-B584-59A0468FCC0D}" sibTransId="{0FB8A36D-DED1-9E4E-8541-942806B4F644}"/>
    <dgm:cxn modelId="{15D1FF0C-EE4C-F34C-95DA-EF167E795AF1}" srcId="{1A1D3F79-E013-DE44-8856-C37ED6BF09EB}" destId="{59DB334F-AE8B-7B43-B812-DA60E8625BD1}" srcOrd="0" destOrd="0" parTransId="{1432A521-EF6B-5A44-AA0B-CDBF88EDE911}" sibTransId="{0617C369-E07E-624B-B42B-5197B52EB4D8}"/>
    <dgm:cxn modelId="{396B371C-3AD6-46F4-9000-C6A40324ABC5}" type="presOf" srcId="{D8A82750-37AB-1E4F-907C-2F10503D8218}" destId="{6142DD51-C090-2642-8A9F-2C815E7D49B9}" srcOrd="0" destOrd="0" presId="urn:microsoft.com/office/officeart/2005/8/layout/lProcess3"/>
    <dgm:cxn modelId="{822FEA24-6C3F-47E4-AFDA-A84F25ED36C2}" type="presOf" srcId="{159937B5-472D-674D-A786-58C1244508CF}" destId="{65613646-D0AD-1E49-9CFA-B538682EEFB1}" srcOrd="0" destOrd="0" presId="urn:microsoft.com/office/officeart/2005/8/layout/lProcess3"/>
    <dgm:cxn modelId="{7EB11E29-3915-4E51-BC2F-DC1A0BAA720E}" type="presOf" srcId="{273DD997-2105-D443-8226-CB32A22704CF}" destId="{EEA8354A-D7CB-644E-8D00-42FC6F0FEA06}" srcOrd="0" destOrd="0" presId="urn:microsoft.com/office/officeart/2005/8/layout/lProcess3"/>
    <dgm:cxn modelId="{1FEB3130-AC2C-7949-BDB6-69E8F5746412}" srcId="{755BA4F7-3E4E-8043-8EA2-D6FE323A8629}" destId="{1A1D3F79-E013-DE44-8856-C37ED6BF09EB}" srcOrd="1" destOrd="0" parTransId="{CB74DFC1-5A29-B94F-9A8A-D2CA751D955D}" sibTransId="{3FBBA533-8456-DD4A-A9D3-7254B6E74F4C}"/>
    <dgm:cxn modelId="{B1748734-D10A-48B9-A221-1AD5A0A9BEE0}" type="presOf" srcId="{AE42C6AA-F191-284F-9900-A7B02FAD62F3}" destId="{EC89B11A-0B9A-4947-9D56-B0508D60E00A}" srcOrd="0" destOrd="0" presId="urn:microsoft.com/office/officeart/2005/8/layout/lProcess3"/>
    <dgm:cxn modelId="{D4CEE234-183F-4CE7-9835-6C10445BB920}" type="presOf" srcId="{CD21FB71-0D17-1745-ABBD-6191D8832C56}" destId="{46A33EFA-3004-DA4F-A3FE-BAC780ED917E}" srcOrd="0" destOrd="0" presId="urn:microsoft.com/office/officeart/2005/8/layout/lProcess3"/>
    <dgm:cxn modelId="{72983E38-1F06-4C15-B466-AD3F2792C36D}" type="presOf" srcId="{0A43450D-B943-C64C-85D3-B246810301E1}" destId="{89E86EFA-EF40-514F-A2FC-0CE029289164}" srcOrd="0" destOrd="0" presId="urn:microsoft.com/office/officeart/2005/8/layout/lProcess3"/>
    <dgm:cxn modelId="{46741540-87B2-4380-A0F1-F6E4DBE9BC38}" type="presOf" srcId="{747CA23C-869E-1C44-BCF2-6C703AF672BC}" destId="{5AB3AAAE-EE8B-3245-A2D5-82BE65FCAC34}" srcOrd="0" destOrd="0" presId="urn:microsoft.com/office/officeart/2005/8/layout/lProcess3"/>
    <dgm:cxn modelId="{9A24BF5C-8CCE-409B-917F-47458B72410F}" type="presOf" srcId="{59DAB93F-25B8-584A-9DD0-557C7A01D005}" destId="{74E97F4C-CC80-A042-9804-F1ED8B0767E7}" srcOrd="0" destOrd="0" presId="urn:microsoft.com/office/officeart/2005/8/layout/lProcess3"/>
    <dgm:cxn modelId="{67E7F965-6AC5-4131-B3A8-5A93AE1FD911}" type="presOf" srcId="{D9728EE6-EFE0-404A-8F36-5A1512E58A39}" destId="{78B06679-24E2-7747-A58C-2956BB63D2A5}" srcOrd="0" destOrd="0" presId="urn:microsoft.com/office/officeart/2005/8/layout/lProcess3"/>
    <dgm:cxn modelId="{01F6D646-28B4-294A-A0BD-844BE21A47D3}" srcId="{149D6BA1-C6A9-DC44-A2F0-2B65FBA07802}" destId="{747CA23C-869E-1C44-BCF2-6C703AF672BC}" srcOrd="0" destOrd="0" parTransId="{A2D3495C-6E8C-9D4D-89A7-311606BD45CF}" sibTransId="{6B361790-3B2C-D841-A30F-9DA3C8AB9ACD}"/>
    <dgm:cxn modelId="{AE425947-990B-8240-8DB2-EBEBCDDD2F7C}" srcId="{755BA4F7-3E4E-8043-8EA2-D6FE323A8629}" destId="{159937B5-472D-674D-A786-58C1244508CF}" srcOrd="3" destOrd="0" parTransId="{ACC4F839-E4FA-3C41-8C23-375F932EDB5D}" sibTransId="{60104180-5CBE-6547-80C4-5FF41E5FE9CE}"/>
    <dgm:cxn modelId="{76171F49-5685-47A2-8319-38F276802D3F}" type="presOf" srcId="{4EA3B1E9-781F-D547-9E7F-217C5FD9D814}" destId="{9FEA50EC-C14B-CC41-991C-73DCB67CFC19}" srcOrd="0" destOrd="0" presId="urn:microsoft.com/office/officeart/2005/8/layout/lProcess3"/>
    <dgm:cxn modelId="{0723D149-90E6-1D49-B9A6-DC4E3F843265}" srcId="{755BA4F7-3E4E-8043-8EA2-D6FE323A8629}" destId="{8876A2AE-01D3-FA43-BD08-CF5D140657C3}" srcOrd="5" destOrd="0" parTransId="{8B2DF177-079D-9248-8C99-B75B30DDB8A1}" sibTransId="{A8736BB5-7C7B-2C48-AAE1-BCC20D5B18A1}"/>
    <dgm:cxn modelId="{A821B855-2546-4EAB-BBBB-8BDB4D22CD36}" type="presOf" srcId="{755BA4F7-3E4E-8043-8EA2-D6FE323A8629}" destId="{B869A1FC-6C76-E243-A595-A41B94ED0455}" srcOrd="0" destOrd="0" presId="urn:microsoft.com/office/officeart/2005/8/layout/lProcess3"/>
    <dgm:cxn modelId="{FCB4D756-93D6-2942-99F3-BEDBBEE67B80}" srcId="{3391A61D-19A7-0D4C-A9C3-E7D5AC66C1A5}" destId="{AE42C6AA-F191-284F-9900-A7B02FAD62F3}" srcOrd="0" destOrd="0" parTransId="{B013EDDF-AF25-5D4D-B727-BF60597DFBDE}" sibTransId="{64D77F07-AD91-A442-86D2-C34D8B5B2EF6}"/>
    <dgm:cxn modelId="{5EBA1058-E893-42D7-AEF3-B2DF57A44B45}" type="presOf" srcId="{2F92FB43-B9A4-4743-92E8-ACA705FD4C56}" destId="{E31C2C69-1809-8F46-9DDA-0196B45D1263}" srcOrd="0" destOrd="0" presId="urn:microsoft.com/office/officeart/2005/8/layout/lProcess3"/>
    <dgm:cxn modelId="{0A617859-C8AC-430B-9AD2-A5401FF22CD3}" type="presOf" srcId="{8876A2AE-01D3-FA43-BD08-CF5D140657C3}" destId="{8E20DE00-AF0F-F643-AB4B-914EF2672DE2}" srcOrd="0" destOrd="0" presId="urn:microsoft.com/office/officeart/2005/8/layout/lProcess3"/>
    <dgm:cxn modelId="{0A45507C-FC57-4B7C-8FA4-0026F8F96842}" type="presOf" srcId="{1A1D3F79-E013-DE44-8856-C37ED6BF09EB}" destId="{92CB02E2-B864-434E-B6E4-16563B1EF035}" srcOrd="0" destOrd="0" presId="urn:microsoft.com/office/officeart/2005/8/layout/lProcess3"/>
    <dgm:cxn modelId="{1D94B77E-6E01-A14C-A8AB-72D352AD02C1}" srcId="{755BA4F7-3E4E-8043-8EA2-D6FE323A8629}" destId="{B1CA2611-6E1B-0746-8598-DA95561D7EE1}" srcOrd="4" destOrd="0" parTransId="{2510F821-87AD-2949-8586-AF4B9C7AEF39}" sibTransId="{790A1569-067C-8A4E-B1E2-10C73AC5512E}"/>
    <dgm:cxn modelId="{EBC84685-0B58-4E6F-B5A8-AA31A5ACA2F4}" type="presOf" srcId="{FF1B8FA7-5E95-C244-82AB-F72A49658DD6}" destId="{614F1734-C015-3648-8440-9AAE8B24CCC3}" srcOrd="0" destOrd="0" presId="urn:microsoft.com/office/officeart/2005/8/layout/lProcess3"/>
    <dgm:cxn modelId="{AE59518C-DEFD-FE45-87A2-2B3B359726F8}" srcId="{FF1B8FA7-5E95-C244-82AB-F72A49658DD6}" destId="{4EA3B1E9-781F-D547-9E7F-217C5FD9D814}" srcOrd="0" destOrd="0" parTransId="{7E3AE886-27A2-5E49-8823-EC9710264568}" sibTransId="{E0F91B78-0B9C-6E4F-837D-3078C98BBED3}"/>
    <dgm:cxn modelId="{C3F4D28C-7971-934B-A9B3-A63E0ED0393E}" srcId="{0A43450D-B943-C64C-85D3-B246810301E1}" destId="{0E544456-B946-1246-9699-EBBEA75A9BC8}" srcOrd="0" destOrd="0" parTransId="{5376EAD5-5970-954A-9EAF-87970897B133}" sibTransId="{444F207B-7676-B843-97A1-C1FADF1E1EFA}"/>
    <dgm:cxn modelId="{30D4708D-D75D-42F1-8045-F97BC38F02A7}" type="presOf" srcId="{149D6BA1-C6A9-DC44-A2F0-2B65FBA07802}" destId="{2DD662A0-A576-1941-ABFB-022C77DCB265}" srcOrd="0" destOrd="0" presId="urn:microsoft.com/office/officeart/2005/8/layout/lProcess3"/>
    <dgm:cxn modelId="{AE01BB94-0174-934B-A030-404C8CAB7B64}" srcId="{2DB2B65B-602B-4E4D-8B18-3E4DB3C06B3E}" destId="{D8A82750-37AB-1E4F-907C-2F10503D8218}" srcOrd="0" destOrd="0" parTransId="{B65C85DB-F0B8-6B4A-BCA3-D451C4AC2B65}" sibTransId="{64DD0E35-4F8A-E34A-A7AC-A1C65B7F7D40}"/>
    <dgm:cxn modelId="{D17D86A0-9B29-1546-BB0A-5E75316A530E}" srcId="{159937B5-472D-674D-A786-58C1244508CF}" destId="{273DD997-2105-D443-8226-CB32A22704CF}" srcOrd="0" destOrd="0" parTransId="{C17D9088-2019-5241-902B-1D709CB737B3}" sibTransId="{74A2B826-3452-0D4F-9D7F-4B007C4601F9}"/>
    <dgm:cxn modelId="{06C34FAB-19A1-FF4C-BD82-649B6F40848D}" srcId="{755BA4F7-3E4E-8043-8EA2-D6FE323A8629}" destId="{2DB2B65B-602B-4E4D-8B18-3E4DB3C06B3E}" srcOrd="2" destOrd="0" parTransId="{E15AA303-6560-0A4F-AE47-B88320A21B52}" sibTransId="{AE99398E-2D28-6B4B-AB5F-23247D37741B}"/>
    <dgm:cxn modelId="{7146F9C3-DD4D-4538-9AF6-6DA1BB27CF5C}" type="presOf" srcId="{3391A61D-19A7-0D4C-A9C3-E7D5AC66C1A5}" destId="{B14FA9BE-D588-1A48-B330-5C9A2A15140D}" srcOrd="0" destOrd="0" presId="urn:microsoft.com/office/officeart/2005/8/layout/lProcess3"/>
    <dgm:cxn modelId="{F9B1C6C9-371C-5B4F-BC23-E76793AA7CCD}" srcId="{755BA4F7-3E4E-8043-8EA2-D6FE323A8629}" destId="{0A43450D-B943-C64C-85D3-B246810301E1}" srcOrd="9" destOrd="0" parTransId="{B22F7B8E-23AD-7949-BDC7-52C3569474CB}" sibTransId="{5CDD53C8-F427-A244-9C28-659940779AFC}"/>
    <dgm:cxn modelId="{CD8AF0D0-D9C8-423E-A3CF-A7AA2250B75A}" type="presOf" srcId="{2DB2B65B-602B-4E4D-8B18-3E4DB3C06B3E}" destId="{A4AB4F3D-2247-3B44-BEF3-640994D291CA}" srcOrd="0" destOrd="0" presId="urn:microsoft.com/office/officeart/2005/8/layout/lProcess3"/>
    <dgm:cxn modelId="{8C4F14DF-4B35-4B99-811C-528B8924B676}" type="presOf" srcId="{B1CA2611-6E1B-0746-8598-DA95561D7EE1}" destId="{9C60294D-256A-A449-BFB5-BC4F10A0B94E}" srcOrd="0" destOrd="0" presId="urn:microsoft.com/office/officeart/2005/8/layout/lProcess3"/>
    <dgm:cxn modelId="{229CDFE2-051F-441D-9B7E-CDF475A6FBC7}" type="presOf" srcId="{59DB334F-AE8B-7B43-B812-DA60E8625BD1}" destId="{C66827CA-3B6A-0749-B2A6-C5460684B6D8}" srcOrd="0" destOrd="0" presId="urn:microsoft.com/office/officeart/2005/8/layout/lProcess3"/>
    <dgm:cxn modelId="{07008DE6-0103-4854-B55C-E514CA1A5B1E}" type="presOf" srcId="{0E544456-B946-1246-9699-EBBEA75A9BC8}" destId="{8287FA9B-E589-9C4A-A017-EB0A05628C7B}" srcOrd="0" destOrd="0" presId="urn:microsoft.com/office/officeart/2005/8/layout/lProcess3"/>
    <dgm:cxn modelId="{2AADFCE9-66E1-D54F-B70F-A3095F57D035}" srcId="{B1CA2611-6E1B-0746-8598-DA95561D7EE1}" destId="{D9728EE6-EFE0-404A-8F36-5A1512E58A39}" srcOrd="0" destOrd="0" parTransId="{55E21B53-2A39-D14F-AEC2-0C6ECF4B4779}" sibTransId="{6C99D9EC-2274-364C-97CB-F2FE104187BD}"/>
    <dgm:cxn modelId="{F8F86DEC-0A7F-A04C-A8A4-4FB606D7192A}" srcId="{755BA4F7-3E4E-8043-8EA2-D6FE323A8629}" destId="{59DAB93F-25B8-584A-9DD0-557C7A01D005}" srcOrd="6" destOrd="0" parTransId="{9E7BF681-DE94-6D4E-A425-4E84D09A16EA}" sibTransId="{D31DA321-688E-734B-9A0E-C45575306C1A}"/>
    <dgm:cxn modelId="{FB3722F1-F323-1B4F-9005-ACB34B008758}" srcId="{755BA4F7-3E4E-8043-8EA2-D6FE323A8629}" destId="{FF1B8FA7-5E95-C244-82AB-F72A49658DD6}" srcOrd="8" destOrd="0" parTransId="{A06BF314-5CE2-1D47-8C6E-2719BFE47099}" sibTransId="{0C687BD3-E0EB-714C-A61B-B97777A5F88D}"/>
    <dgm:cxn modelId="{A43947F3-ACBC-BF4D-8055-05A9588D99CB}" srcId="{755BA4F7-3E4E-8043-8EA2-D6FE323A8629}" destId="{3391A61D-19A7-0D4C-A9C3-E7D5AC66C1A5}" srcOrd="7" destOrd="0" parTransId="{FCA8647C-7BE6-5D41-BBFA-C6E21CD675FA}" sibTransId="{7D786AC9-4018-B848-97AB-0DCE858BF0BF}"/>
    <dgm:cxn modelId="{C4882EFA-3E08-9449-8F1B-BC630032FDFB}" srcId="{8876A2AE-01D3-FA43-BD08-CF5D140657C3}" destId="{CD21FB71-0D17-1745-ABBD-6191D8832C56}" srcOrd="0" destOrd="0" parTransId="{1EB75994-7332-7843-83E5-A9DA8CAF76E7}" sibTransId="{8DEE1085-42F4-8C4E-A851-CBEEB29FBF5E}"/>
    <dgm:cxn modelId="{D7DF03FE-26B4-EA4F-A4AD-C8E32CD2D48C}" srcId="{755BA4F7-3E4E-8043-8EA2-D6FE323A8629}" destId="{149D6BA1-C6A9-DC44-A2F0-2B65FBA07802}" srcOrd="0" destOrd="0" parTransId="{85D838EC-2E5D-9149-B946-BB6A86C825CA}" sibTransId="{FD49457D-3103-C348-B9B3-092975C1FC52}"/>
    <dgm:cxn modelId="{674ED187-5278-4EBC-8984-0218FAE563BD}" type="presParOf" srcId="{B869A1FC-6C76-E243-A595-A41B94ED0455}" destId="{35A95381-E32A-2947-8A5E-DDD09E2DE7C2}" srcOrd="0" destOrd="0" presId="urn:microsoft.com/office/officeart/2005/8/layout/lProcess3"/>
    <dgm:cxn modelId="{D0DB06A3-87BC-403A-86F3-62EADCEB2EFD}" type="presParOf" srcId="{35A95381-E32A-2947-8A5E-DDD09E2DE7C2}" destId="{2DD662A0-A576-1941-ABFB-022C77DCB265}" srcOrd="0" destOrd="0" presId="urn:microsoft.com/office/officeart/2005/8/layout/lProcess3"/>
    <dgm:cxn modelId="{61D41028-91C6-4B35-91A6-C1B286092494}" type="presParOf" srcId="{35A95381-E32A-2947-8A5E-DDD09E2DE7C2}" destId="{DB22389A-5CA1-2846-AF84-DF99A9C1A3DA}" srcOrd="1" destOrd="0" presId="urn:microsoft.com/office/officeart/2005/8/layout/lProcess3"/>
    <dgm:cxn modelId="{1A011472-AC71-44F9-BAED-4C31F2BDFCDF}" type="presParOf" srcId="{35A95381-E32A-2947-8A5E-DDD09E2DE7C2}" destId="{5AB3AAAE-EE8B-3245-A2D5-82BE65FCAC34}" srcOrd="2" destOrd="0" presId="urn:microsoft.com/office/officeart/2005/8/layout/lProcess3"/>
    <dgm:cxn modelId="{C51EF85A-FA3F-4605-BCD8-B6B6CAD91646}" type="presParOf" srcId="{B869A1FC-6C76-E243-A595-A41B94ED0455}" destId="{32199AA2-CC0E-CD41-B4CB-EDCE982A9415}" srcOrd="1" destOrd="0" presId="urn:microsoft.com/office/officeart/2005/8/layout/lProcess3"/>
    <dgm:cxn modelId="{4BF750CD-DA35-46D8-85DC-686B6AAA0502}" type="presParOf" srcId="{B869A1FC-6C76-E243-A595-A41B94ED0455}" destId="{BE6873C2-D7B7-E74F-B245-D7881D4585F2}" srcOrd="2" destOrd="0" presId="urn:microsoft.com/office/officeart/2005/8/layout/lProcess3"/>
    <dgm:cxn modelId="{FBBAA20F-EE67-4CEF-8D96-64BE7E2CC942}" type="presParOf" srcId="{BE6873C2-D7B7-E74F-B245-D7881D4585F2}" destId="{92CB02E2-B864-434E-B6E4-16563B1EF035}" srcOrd="0" destOrd="0" presId="urn:microsoft.com/office/officeart/2005/8/layout/lProcess3"/>
    <dgm:cxn modelId="{CC9B59C9-D4B4-40D8-B9B5-E1D4AE533D01}" type="presParOf" srcId="{BE6873C2-D7B7-E74F-B245-D7881D4585F2}" destId="{CFF1A751-D35D-3245-ADBC-CE442AEF9D2F}" srcOrd="1" destOrd="0" presId="urn:microsoft.com/office/officeart/2005/8/layout/lProcess3"/>
    <dgm:cxn modelId="{87111CB5-F25B-4FD9-BFA0-149EDF6AC423}" type="presParOf" srcId="{BE6873C2-D7B7-E74F-B245-D7881D4585F2}" destId="{C66827CA-3B6A-0749-B2A6-C5460684B6D8}" srcOrd="2" destOrd="0" presId="urn:microsoft.com/office/officeart/2005/8/layout/lProcess3"/>
    <dgm:cxn modelId="{586B5F95-F9A7-45A9-90A7-96BA125CE079}" type="presParOf" srcId="{B869A1FC-6C76-E243-A595-A41B94ED0455}" destId="{F9562BC4-F723-DC4A-961B-A6334E203131}" srcOrd="3" destOrd="0" presId="urn:microsoft.com/office/officeart/2005/8/layout/lProcess3"/>
    <dgm:cxn modelId="{9438903A-360E-4413-BC6B-1D0504E36DAA}" type="presParOf" srcId="{B869A1FC-6C76-E243-A595-A41B94ED0455}" destId="{639291CC-78B8-9049-8A81-FAF884778CA4}" srcOrd="4" destOrd="0" presId="urn:microsoft.com/office/officeart/2005/8/layout/lProcess3"/>
    <dgm:cxn modelId="{66A845D9-5CF7-43F1-8658-76D4706F594A}" type="presParOf" srcId="{639291CC-78B8-9049-8A81-FAF884778CA4}" destId="{A4AB4F3D-2247-3B44-BEF3-640994D291CA}" srcOrd="0" destOrd="0" presId="urn:microsoft.com/office/officeart/2005/8/layout/lProcess3"/>
    <dgm:cxn modelId="{B8F27AD1-4A70-4CCC-B70A-A589F5F252BF}" type="presParOf" srcId="{639291CC-78B8-9049-8A81-FAF884778CA4}" destId="{AB1AE13C-E81C-CA4E-96D0-1FC1E04CFE81}" srcOrd="1" destOrd="0" presId="urn:microsoft.com/office/officeart/2005/8/layout/lProcess3"/>
    <dgm:cxn modelId="{E92C1952-4F99-4A49-9784-594A205EED23}" type="presParOf" srcId="{639291CC-78B8-9049-8A81-FAF884778CA4}" destId="{6142DD51-C090-2642-8A9F-2C815E7D49B9}" srcOrd="2" destOrd="0" presId="urn:microsoft.com/office/officeart/2005/8/layout/lProcess3"/>
    <dgm:cxn modelId="{8625C174-8D67-4190-9097-2234B98B849E}" type="presParOf" srcId="{B869A1FC-6C76-E243-A595-A41B94ED0455}" destId="{933264C9-2391-1049-ACB2-92EA30D5D8EA}" srcOrd="5" destOrd="0" presId="urn:microsoft.com/office/officeart/2005/8/layout/lProcess3"/>
    <dgm:cxn modelId="{F6068B8C-AEE9-4A9F-830D-F477B7853F5E}" type="presParOf" srcId="{B869A1FC-6C76-E243-A595-A41B94ED0455}" destId="{EEDA742B-E262-FB4C-BD32-A1F84CE186E4}" srcOrd="6" destOrd="0" presId="urn:microsoft.com/office/officeart/2005/8/layout/lProcess3"/>
    <dgm:cxn modelId="{55154AFC-291A-459F-9036-4968E427154B}" type="presParOf" srcId="{EEDA742B-E262-FB4C-BD32-A1F84CE186E4}" destId="{65613646-D0AD-1E49-9CFA-B538682EEFB1}" srcOrd="0" destOrd="0" presId="urn:microsoft.com/office/officeart/2005/8/layout/lProcess3"/>
    <dgm:cxn modelId="{BEA85483-4A6A-47CE-88F3-F57FB6057FDA}" type="presParOf" srcId="{EEDA742B-E262-FB4C-BD32-A1F84CE186E4}" destId="{BE7E9726-ACE6-9049-9D72-E6D2D95DD1FD}" srcOrd="1" destOrd="0" presId="urn:microsoft.com/office/officeart/2005/8/layout/lProcess3"/>
    <dgm:cxn modelId="{7D9DDFEE-6702-42CB-9C14-9AE0CC2437CD}" type="presParOf" srcId="{EEDA742B-E262-FB4C-BD32-A1F84CE186E4}" destId="{EEA8354A-D7CB-644E-8D00-42FC6F0FEA06}" srcOrd="2" destOrd="0" presId="urn:microsoft.com/office/officeart/2005/8/layout/lProcess3"/>
    <dgm:cxn modelId="{19617141-15CE-4E02-AD26-FEF66D64B3D2}" type="presParOf" srcId="{B869A1FC-6C76-E243-A595-A41B94ED0455}" destId="{28F55DE7-DF7C-4542-985E-51A21A21E2C6}" srcOrd="7" destOrd="0" presId="urn:microsoft.com/office/officeart/2005/8/layout/lProcess3"/>
    <dgm:cxn modelId="{0118288B-0ABA-4FE0-86EB-94D063483EAC}" type="presParOf" srcId="{B869A1FC-6C76-E243-A595-A41B94ED0455}" destId="{EF27B8DA-320F-B142-B180-739021A74C4C}" srcOrd="8" destOrd="0" presId="urn:microsoft.com/office/officeart/2005/8/layout/lProcess3"/>
    <dgm:cxn modelId="{71EE5D34-FC2C-42EC-B266-B0C33D4B5982}" type="presParOf" srcId="{EF27B8DA-320F-B142-B180-739021A74C4C}" destId="{9C60294D-256A-A449-BFB5-BC4F10A0B94E}" srcOrd="0" destOrd="0" presId="urn:microsoft.com/office/officeart/2005/8/layout/lProcess3"/>
    <dgm:cxn modelId="{2D623B32-4F58-4BE1-BA63-32E8953E17E2}" type="presParOf" srcId="{EF27B8DA-320F-B142-B180-739021A74C4C}" destId="{4E67961C-87A5-F849-B6CD-B9A1ADC683F4}" srcOrd="1" destOrd="0" presId="urn:microsoft.com/office/officeart/2005/8/layout/lProcess3"/>
    <dgm:cxn modelId="{2C1716D8-C845-486F-9A15-9EB142DD5631}" type="presParOf" srcId="{EF27B8DA-320F-B142-B180-739021A74C4C}" destId="{78B06679-24E2-7747-A58C-2956BB63D2A5}" srcOrd="2" destOrd="0" presId="urn:microsoft.com/office/officeart/2005/8/layout/lProcess3"/>
    <dgm:cxn modelId="{B45B6E18-4D14-4B90-A0A3-47ED36E8DDBA}" type="presParOf" srcId="{B869A1FC-6C76-E243-A595-A41B94ED0455}" destId="{8C508BAB-95DC-1445-A2A1-F70C1237C220}" srcOrd="9" destOrd="0" presId="urn:microsoft.com/office/officeart/2005/8/layout/lProcess3"/>
    <dgm:cxn modelId="{677D0F30-25A4-4178-8DA3-0E8F7123206E}" type="presParOf" srcId="{B869A1FC-6C76-E243-A595-A41B94ED0455}" destId="{9E3963D3-943E-7647-98CB-74EE9D5F73D2}" srcOrd="10" destOrd="0" presId="urn:microsoft.com/office/officeart/2005/8/layout/lProcess3"/>
    <dgm:cxn modelId="{6B7A2278-C3C3-4059-8D53-C65948BB765A}" type="presParOf" srcId="{9E3963D3-943E-7647-98CB-74EE9D5F73D2}" destId="{8E20DE00-AF0F-F643-AB4B-914EF2672DE2}" srcOrd="0" destOrd="0" presId="urn:microsoft.com/office/officeart/2005/8/layout/lProcess3"/>
    <dgm:cxn modelId="{88231386-08E3-496B-9386-63176D33B36A}" type="presParOf" srcId="{9E3963D3-943E-7647-98CB-74EE9D5F73D2}" destId="{0E95270F-1C9B-2C49-9A9C-2592F2824F45}" srcOrd="1" destOrd="0" presId="urn:microsoft.com/office/officeart/2005/8/layout/lProcess3"/>
    <dgm:cxn modelId="{CA9A64F3-28C8-458F-914D-D62D03F420B9}" type="presParOf" srcId="{9E3963D3-943E-7647-98CB-74EE9D5F73D2}" destId="{46A33EFA-3004-DA4F-A3FE-BAC780ED917E}" srcOrd="2" destOrd="0" presId="urn:microsoft.com/office/officeart/2005/8/layout/lProcess3"/>
    <dgm:cxn modelId="{F72C3556-B885-4C00-AD6C-1E3CE340AF77}" type="presParOf" srcId="{B869A1FC-6C76-E243-A595-A41B94ED0455}" destId="{BDC56CC1-D051-1343-B690-A87216E6D551}" srcOrd="11" destOrd="0" presId="urn:microsoft.com/office/officeart/2005/8/layout/lProcess3"/>
    <dgm:cxn modelId="{4A1FEFFF-BEE9-4D0B-8D02-7E8577B138B0}" type="presParOf" srcId="{B869A1FC-6C76-E243-A595-A41B94ED0455}" destId="{452E4E4B-2257-6845-80B1-AEF729D1DBA3}" srcOrd="12" destOrd="0" presId="urn:microsoft.com/office/officeart/2005/8/layout/lProcess3"/>
    <dgm:cxn modelId="{864EAE81-2B8F-49A1-B802-EB203558F7D6}" type="presParOf" srcId="{452E4E4B-2257-6845-80B1-AEF729D1DBA3}" destId="{74E97F4C-CC80-A042-9804-F1ED8B0767E7}" srcOrd="0" destOrd="0" presId="urn:microsoft.com/office/officeart/2005/8/layout/lProcess3"/>
    <dgm:cxn modelId="{735C1A40-13AA-4AFC-ACF2-B425522CFF74}" type="presParOf" srcId="{452E4E4B-2257-6845-80B1-AEF729D1DBA3}" destId="{F4CD3B54-BB2F-D246-8EFE-6C2AFF058CA6}" srcOrd="1" destOrd="0" presId="urn:microsoft.com/office/officeart/2005/8/layout/lProcess3"/>
    <dgm:cxn modelId="{2D75C6BA-AE01-4B55-9766-627E210C9510}" type="presParOf" srcId="{452E4E4B-2257-6845-80B1-AEF729D1DBA3}" destId="{E31C2C69-1809-8F46-9DDA-0196B45D1263}" srcOrd="2" destOrd="0" presId="urn:microsoft.com/office/officeart/2005/8/layout/lProcess3"/>
    <dgm:cxn modelId="{C28FB7BF-6FF4-4E96-8548-42EB8DF713AF}" type="presParOf" srcId="{B869A1FC-6C76-E243-A595-A41B94ED0455}" destId="{0EFAF253-3BE7-A54F-B6F9-F76AFC8BD408}" srcOrd="13" destOrd="0" presId="urn:microsoft.com/office/officeart/2005/8/layout/lProcess3"/>
    <dgm:cxn modelId="{A79CBA1B-23A1-4CB1-B6FE-6EC5EC60A8C7}" type="presParOf" srcId="{B869A1FC-6C76-E243-A595-A41B94ED0455}" destId="{A6E74963-3454-7D49-B58E-71030134EE8D}" srcOrd="14" destOrd="0" presId="urn:microsoft.com/office/officeart/2005/8/layout/lProcess3"/>
    <dgm:cxn modelId="{9D903A0C-B28E-4831-A0CE-2D79A234A3D2}" type="presParOf" srcId="{A6E74963-3454-7D49-B58E-71030134EE8D}" destId="{B14FA9BE-D588-1A48-B330-5C9A2A15140D}" srcOrd="0" destOrd="0" presId="urn:microsoft.com/office/officeart/2005/8/layout/lProcess3"/>
    <dgm:cxn modelId="{139F5A28-C4D2-4027-8C9D-E7B787ABBBA9}" type="presParOf" srcId="{A6E74963-3454-7D49-B58E-71030134EE8D}" destId="{F7562EBE-5947-8142-A322-85B636543083}" srcOrd="1" destOrd="0" presId="urn:microsoft.com/office/officeart/2005/8/layout/lProcess3"/>
    <dgm:cxn modelId="{B94FA579-6DFF-4BB7-A49C-4F2FA2C9096F}" type="presParOf" srcId="{A6E74963-3454-7D49-B58E-71030134EE8D}" destId="{EC89B11A-0B9A-4947-9D56-B0508D60E00A}" srcOrd="2" destOrd="0" presId="urn:microsoft.com/office/officeart/2005/8/layout/lProcess3"/>
    <dgm:cxn modelId="{5DAD5CDB-A137-4493-BB81-0F1E7F73FD04}" type="presParOf" srcId="{B869A1FC-6C76-E243-A595-A41B94ED0455}" destId="{D547BCC5-671E-A44B-AB64-1AE1B06336A2}" srcOrd="15" destOrd="0" presId="urn:microsoft.com/office/officeart/2005/8/layout/lProcess3"/>
    <dgm:cxn modelId="{C181A819-08FC-44D1-BD29-4DF1AF8958FD}" type="presParOf" srcId="{B869A1FC-6C76-E243-A595-A41B94ED0455}" destId="{281752E9-F002-5244-ACF5-DE15F402D6D4}" srcOrd="16" destOrd="0" presId="urn:microsoft.com/office/officeart/2005/8/layout/lProcess3"/>
    <dgm:cxn modelId="{16BDE766-CC50-4B41-A08A-DB085B69B30E}" type="presParOf" srcId="{281752E9-F002-5244-ACF5-DE15F402D6D4}" destId="{614F1734-C015-3648-8440-9AAE8B24CCC3}" srcOrd="0" destOrd="0" presId="urn:microsoft.com/office/officeart/2005/8/layout/lProcess3"/>
    <dgm:cxn modelId="{0E9F24A4-65DC-4E52-A277-6D3D8C1AB30D}" type="presParOf" srcId="{281752E9-F002-5244-ACF5-DE15F402D6D4}" destId="{C11F5924-B3AD-F24B-B7DB-61D472989A0F}" srcOrd="1" destOrd="0" presId="urn:microsoft.com/office/officeart/2005/8/layout/lProcess3"/>
    <dgm:cxn modelId="{37E6368D-1842-48FA-A8E6-4997AC21A357}" type="presParOf" srcId="{281752E9-F002-5244-ACF5-DE15F402D6D4}" destId="{9FEA50EC-C14B-CC41-991C-73DCB67CFC19}" srcOrd="2" destOrd="0" presId="urn:microsoft.com/office/officeart/2005/8/layout/lProcess3"/>
    <dgm:cxn modelId="{64B938DC-3F6E-43A6-8C40-CACC0A49BF1C}" type="presParOf" srcId="{B869A1FC-6C76-E243-A595-A41B94ED0455}" destId="{7AA77E34-DA2C-C04E-9C6A-8B30C1770002}" srcOrd="17" destOrd="0" presId="urn:microsoft.com/office/officeart/2005/8/layout/lProcess3"/>
    <dgm:cxn modelId="{3E5A145F-D99E-4BA8-A48E-C003B19FADBC}" type="presParOf" srcId="{B869A1FC-6C76-E243-A595-A41B94ED0455}" destId="{A757BA06-3FE7-504A-AAC7-2FFA87A6A541}" srcOrd="18" destOrd="0" presId="urn:microsoft.com/office/officeart/2005/8/layout/lProcess3"/>
    <dgm:cxn modelId="{0EA6D543-7A44-4EE6-B8EA-D179A68E1ADF}" type="presParOf" srcId="{A757BA06-3FE7-504A-AAC7-2FFA87A6A541}" destId="{89E86EFA-EF40-514F-A2FC-0CE029289164}" srcOrd="0" destOrd="0" presId="urn:microsoft.com/office/officeart/2005/8/layout/lProcess3"/>
    <dgm:cxn modelId="{D270CE9A-B752-47AD-9539-E694B7553DFD}" type="presParOf" srcId="{A757BA06-3FE7-504A-AAC7-2FFA87A6A541}" destId="{B06C91A3-CC7C-D841-A395-610732B42FFC}" srcOrd="1" destOrd="0" presId="urn:microsoft.com/office/officeart/2005/8/layout/lProcess3"/>
    <dgm:cxn modelId="{9D9D9699-0D46-4673-9AD2-4444015E0B24}" type="presParOf" srcId="{A757BA06-3FE7-504A-AAC7-2FFA87A6A541}" destId="{8287FA9B-E589-9C4A-A017-EB0A05628C7B}" srcOrd="2" destOrd="0" presId="urn:microsoft.com/office/officeart/2005/8/layout/lProcess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610A559-402A-1145-8615-5D41E7D88442}">
      <dsp:nvSpPr>
        <dsp:cNvPr id="0" name=""/>
        <dsp:cNvSpPr/>
      </dsp:nvSpPr>
      <dsp:spPr>
        <a:xfrm>
          <a:off x="453628" y="30404"/>
          <a:ext cx="3511236" cy="3511236"/>
        </a:xfrm>
        <a:prstGeom prst="circularArrow">
          <a:avLst>
            <a:gd name="adj1" fmla="val 5544"/>
            <a:gd name="adj2" fmla="val 330680"/>
            <a:gd name="adj3" fmla="val 13881825"/>
            <a:gd name="adj4" fmla="val 17321846"/>
            <a:gd name="adj5" fmla="val 5757"/>
          </a:avLst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635D3E3-681B-944A-9D2B-DD6BB3AA3B5D}">
      <dsp:nvSpPr>
        <dsp:cNvPr id="0" name=""/>
        <dsp:cNvSpPr/>
      </dsp:nvSpPr>
      <dsp:spPr>
        <a:xfrm>
          <a:off x="1425007" y="48574"/>
          <a:ext cx="1568479" cy="784239"/>
        </a:xfrm>
        <a:prstGeom prst="roundRect">
          <a:avLst/>
        </a:prstGeom>
        <a:solidFill>
          <a:schemeClr val="tx2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Programar / Definir</a:t>
          </a:r>
        </a:p>
      </dsp:txBody>
      <dsp:txXfrm>
        <a:off x="1463290" y="86857"/>
        <a:ext cx="1491913" cy="707673"/>
      </dsp:txXfrm>
    </dsp:sp>
    <dsp:sp modelId="{04DB74AD-09B6-DD43-88C2-F5E571B5DB01}">
      <dsp:nvSpPr>
        <dsp:cNvPr id="0" name=""/>
        <dsp:cNvSpPr/>
      </dsp:nvSpPr>
      <dsp:spPr>
        <a:xfrm>
          <a:off x="2849051" y="1083203"/>
          <a:ext cx="1568479" cy="784239"/>
        </a:xfrm>
        <a:prstGeom prst="roundRect">
          <a:avLst/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Formular</a:t>
          </a:r>
        </a:p>
      </dsp:txBody>
      <dsp:txXfrm>
        <a:off x="2887334" y="1121486"/>
        <a:ext cx="1491913" cy="707673"/>
      </dsp:txXfrm>
    </dsp:sp>
    <dsp:sp modelId="{B5682137-CB74-8243-9D56-79CB310BEDF7}">
      <dsp:nvSpPr>
        <dsp:cNvPr id="0" name=""/>
        <dsp:cNvSpPr/>
      </dsp:nvSpPr>
      <dsp:spPr>
        <a:xfrm>
          <a:off x="2305115" y="2757267"/>
          <a:ext cx="1568479" cy="784239"/>
        </a:xfrm>
        <a:prstGeom prst="roundRect">
          <a:avLst/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Aprobar</a:t>
          </a:r>
        </a:p>
      </dsp:txBody>
      <dsp:txXfrm>
        <a:off x="2343398" y="2795550"/>
        <a:ext cx="1491913" cy="707673"/>
      </dsp:txXfrm>
    </dsp:sp>
    <dsp:sp modelId="{0B9E5238-E399-F444-BB9B-078BB60E9AA4}">
      <dsp:nvSpPr>
        <dsp:cNvPr id="0" name=""/>
        <dsp:cNvSpPr/>
      </dsp:nvSpPr>
      <dsp:spPr>
        <a:xfrm>
          <a:off x="544899" y="2757267"/>
          <a:ext cx="1568479" cy="784239"/>
        </a:xfrm>
        <a:prstGeom prst="round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Ejecutar</a:t>
          </a:r>
        </a:p>
      </dsp:txBody>
      <dsp:txXfrm>
        <a:off x="583182" y="2795550"/>
        <a:ext cx="1491913" cy="707673"/>
      </dsp:txXfrm>
    </dsp:sp>
    <dsp:sp modelId="{08342C64-5067-F64C-9633-FA267136CBE8}">
      <dsp:nvSpPr>
        <dsp:cNvPr id="0" name=""/>
        <dsp:cNvSpPr/>
      </dsp:nvSpPr>
      <dsp:spPr>
        <a:xfrm>
          <a:off x="963" y="1083203"/>
          <a:ext cx="1568479" cy="784239"/>
        </a:xfrm>
        <a:prstGeom prst="roundRect">
          <a:avLst/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Evaluar</a:t>
          </a:r>
        </a:p>
      </dsp:txBody>
      <dsp:txXfrm>
        <a:off x="39246" y="1121486"/>
        <a:ext cx="1491913" cy="70767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DD662A0-A576-1941-ABFB-022C77DCB265}">
      <dsp:nvSpPr>
        <dsp:cNvPr id="0" name=""/>
        <dsp:cNvSpPr/>
      </dsp:nvSpPr>
      <dsp:spPr>
        <a:xfrm>
          <a:off x="279874" y="537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Contexto Económico</a:t>
          </a:r>
        </a:p>
      </dsp:txBody>
      <dsp:txXfrm>
        <a:off x="446429" y="537"/>
        <a:ext cx="1314494" cy="333110"/>
      </dsp:txXfrm>
    </dsp:sp>
    <dsp:sp modelId="{5AB3AAAE-EE8B-3245-A2D5-82BE65FCAC34}">
      <dsp:nvSpPr>
        <dsp:cNvPr id="0" name=""/>
        <dsp:cNvSpPr/>
      </dsp:nvSpPr>
      <dsp:spPr>
        <a:xfrm>
          <a:off x="1819217" y="28852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Análisis de cómo afecta a la empresa</a:t>
          </a:r>
        </a:p>
      </dsp:txBody>
      <dsp:txXfrm>
        <a:off x="1957458" y="28852"/>
        <a:ext cx="2904686" cy="276481"/>
      </dsp:txXfrm>
    </dsp:sp>
    <dsp:sp modelId="{92CB02E2-B864-434E-B6E4-16563B1EF035}">
      <dsp:nvSpPr>
        <dsp:cNvPr id="0" name=""/>
        <dsp:cNvSpPr/>
      </dsp:nvSpPr>
      <dsp:spPr>
        <a:xfrm>
          <a:off x="279874" y="380283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Definir pautas</a:t>
          </a:r>
        </a:p>
      </dsp:txBody>
      <dsp:txXfrm>
        <a:off x="446429" y="380283"/>
        <a:ext cx="1314494" cy="333110"/>
      </dsp:txXfrm>
    </dsp:sp>
    <dsp:sp modelId="{C66827CA-3B6A-0749-B2A6-C5460684B6D8}">
      <dsp:nvSpPr>
        <dsp:cNvPr id="0" name=""/>
        <dsp:cNvSpPr/>
      </dsp:nvSpPr>
      <dsp:spPr>
        <a:xfrm>
          <a:off x="1819217" y="408597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Contexto (macroeconómicas) y empresa (microeconómicas)</a:t>
          </a:r>
        </a:p>
      </dsp:txBody>
      <dsp:txXfrm>
        <a:off x="1957458" y="408597"/>
        <a:ext cx="2904686" cy="276481"/>
      </dsp:txXfrm>
    </dsp:sp>
    <dsp:sp modelId="{A4AB4F3D-2247-3B44-BEF3-640994D291CA}">
      <dsp:nvSpPr>
        <dsp:cNvPr id="0" name=""/>
        <dsp:cNvSpPr/>
      </dsp:nvSpPr>
      <dsp:spPr>
        <a:xfrm>
          <a:off x="279874" y="760028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Política y objetivos</a:t>
          </a:r>
        </a:p>
      </dsp:txBody>
      <dsp:txXfrm>
        <a:off x="446429" y="760028"/>
        <a:ext cx="1314494" cy="333110"/>
      </dsp:txXfrm>
    </dsp:sp>
    <dsp:sp modelId="{6142DD51-C090-2642-8A9F-2C815E7D49B9}">
      <dsp:nvSpPr>
        <dsp:cNvPr id="0" name=""/>
        <dsp:cNvSpPr/>
      </dsp:nvSpPr>
      <dsp:spPr>
        <a:xfrm>
          <a:off x="1819217" y="788343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Fijarlos teniendo en cuenta el contexto</a:t>
          </a:r>
        </a:p>
      </dsp:txBody>
      <dsp:txXfrm>
        <a:off x="1957458" y="788343"/>
        <a:ext cx="2904686" cy="276481"/>
      </dsp:txXfrm>
    </dsp:sp>
    <dsp:sp modelId="{65613646-D0AD-1E49-9CFA-B538682EEFB1}">
      <dsp:nvSpPr>
        <dsp:cNvPr id="0" name=""/>
        <dsp:cNvSpPr/>
      </dsp:nvSpPr>
      <dsp:spPr>
        <a:xfrm>
          <a:off x="279874" y="1139774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Calendarización</a:t>
          </a:r>
        </a:p>
      </dsp:txBody>
      <dsp:txXfrm>
        <a:off x="446429" y="1139774"/>
        <a:ext cx="1314494" cy="333110"/>
      </dsp:txXfrm>
    </dsp:sp>
    <dsp:sp modelId="{EEA8354A-D7CB-644E-8D00-42FC6F0FEA06}">
      <dsp:nvSpPr>
        <dsp:cNvPr id="0" name=""/>
        <dsp:cNvSpPr/>
      </dsp:nvSpPr>
      <dsp:spPr>
        <a:xfrm>
          <a:off x="1819217" y="1168088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Cronograma de las tareas a realizar y relaciones interdepartamentales</a:t>
          </a:r>
        </a:p>
      </dsp:txBody>
      <dsp:txXfrm>
        <a:off x="1957458" y="1168088"/>
        <a:ext cx="2904686" cy="276481"/>
      </dsp:txXfrm>
    </dsp:sp>
    <dsp:sp modelId="{9C60294D-256A-A449-BFB5-BC4F10A0B94E}">
      <dsp:nvSpPr>
        <dsp:cNvPr id="0" name=""/>
        <dsp:cNvSpPr/>
      </dsp:nvSpPr>
      <dsp:spPr>
        <a:xfrm>
          <a:off x="279874" y="1519519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Presupuesto previo</a:t>
          </a:r>
        </a:p>
      </dsp:txBody>
      <dsp:txXfrm>
        <a:off x="446429" y="1519519"/>
        <a:ext cx="1314494" cy="333110"/>
      </dsp:txXfrm>
    </dsp:sp>
    <dsp:sp modelId="{78B06679-24E2-7747-A58C-2956BB63D2A5}">
      <dsp:nvSpPr>
        <dsp:cNvPr id="0" name=""/>
        <dsp:cNvSpPr/>
      </dsp:nvSpPr>
      <dsp:spPr>
        <a:xfrm>
          <a:off x="1819217" y="1547834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Versión en base a los parámetros base tenidos en cuenta</a:t>
          </a:r>
        </a:p>
      </dsp:txBody>
      <dsp:txXfrm>
        <a:off x="1957458" y="1547834"/>
        <a:ext cx="2904686" cy="276481"/>
      </dsp:txXfrm>
    </dsp:sp>
    <dsp:sp modelId="{8E20DE00-AF0F-F643-AB4B-914EF2672DE2}">
      <dsp:nvSpPr>
        <dsp:cNvPr id="0" name=""/>
        <dsp:cNvSpPr/>
      </dsp:nvSpPr>
      <dsp:spPr>
        <a:xfrm>
          <a:off x="279874" y="1899265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Discusión</a:t>
          </a:r>
        </a:p>
      </dsp:txBody>
      <dsp:txXfrm>
        <a:off x="446429" y="1899265"/>
        <a:ext cx="1314494" cy="333110"/>
      </dsp:txXfrm>
    </dsp:sp>
    <dsp:sp modelId="{46A33EFA-3004-DA4F-A3FE-BAC780ED917E}">
      <dsp:nvSpPr>
        <dsp:cNvPr id="0" name=""/>
        <dsp:cNvSpPr/>
      </dsp:nvSpPr>
      <dsp:spPr>
        <a:xfrm>
          <a:off x="1819217" y="1927579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Análisis, y propuesta de modificaciones</a:t>
          </a:r>
        </a:p>
      </dsp:txBody>
      <dsp:txXfrm>
        <a:off x="1957458" y="1927579"/>
        <a:ext cx="2904686" cy="276481"/>
      </dsp:txXfrm>
    </dsp:sp>
    <dsp:sp modelId="{74E97F4C-CC80-A042-9804-F1ED8B0767E7}">
      <dsp:nvSpPr>
        <dsp:cNvPr id="0" name=""/>
        <dsp:cNvSpPr/>
      </dsp:nvSpPr>
      <dsp:spPr>
        <a:xfrm>
          <a:off x="279874" y="2279010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Presupuesto definitivo</a:t>
          </a:r>
        </a:p>
      </dsp:txBody>
      <dsp:txXfrm>
        <a:off x="446429" y="2279010"/>
        <a:ext cx="1314494" cy="333110"/>
      </dsp:txXfrm>
    </dsp:sp>
    <dsp:sp modelId="{E31C2C69-1809-8F46-9DDA-0196B45D1263}">
      <dsp:nvSpPr>
        <dsp:cNvPr id="0" name=""/>
        <dsp:cNvSpPr/>
      </dsp:nvSpPr>
      <dsp:spPr>
        <a:xfrm>
          <a:off x="1819217" y="2307325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Incluyendo modificaciones propuestas</a:t>
          </a:r>
        </a:p>
      </dsp:txBody>
      <dsp:txXfrm>
        <a:off x="1957458" y="2307325"/>
        <a:ext cx="2904686" cy="276481"/>
      </dsp:txXfrm>
    </dsp:sp>
    <dsp:sp modelId="{B14FA9BE-D588-1A48-B330-5C9A2A15140D}">
      <dsp:nvSpPr>
        <dsp:cNvPr id="0" name=""/>
        <dsp:cNvSpPr/>
      </dsp:nvSpPr>
      <dsp:spPr>
        <a:xfrm>
          <a:off x="279874" y="2658756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Aprobación</a:t>
          </a:r>
        </a:p>
      </dsp:txBody>
      <dsp:txXfrm>
        <a:off x="446429" y="2658756"/>
        <a:ext cx="1314494" cy="333110"/>
      </dsp:txXfrm>
    </dsp:sp>
    <dsp:sp modelId="{EC89B11A-0B9A-4947-9D56-B0508D60E00A}">
      <dsp:nvSpPr>
        <dsp:cNvPr id="0" name=""/>
        <dsp:cNvSpPr/>
      </dsp:nvSpPr>
      <dsp:spPr>
        <a:xfrm>
          <a:off x="1819217" y="2687070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Por el órgano de decisión</a:t>
          </a:r>
        </a:p>
      </dsp:txBody>
      <dsp:txXfrm>
        <a:off x="1957458" y="2687070"/>
        <a:ext cx="2904686" cy="276481"/>
      </dsp:txXfrm>
    </dsp:sp>
    <dsp:sp modelId="{614F1734-C015-3648-8440-9AAE8B24CCC3}">
      <dsp:nvSpPr>
        <dsp:cNvPr id="0" name=""/>
        <dsp:cNvSpPr/>
      </dsp:nvSpPr>
      <dsp:spPr>
        <a:xfrm>
          <a:off x="279874" y="3038501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Distribución</a:t>
          </a:r>
        </a:p>
      </dsp:txBody>
      <dsp:txXfrm>
        <a:off x="446429" y="3038501"/>
        <a:ext cx="1314494" cy="333110"/>
      </dsp:txXfrm>
    </dsp:sp>
    <dsp:sp modelId="{9FEA50EC-C14B-CC41-991C-73DCB67CFC19}">
      <dsp:nvSpPr>
        <dsp:cNvPr id="0" name=""/>
        <dsp:cNvSpPr/>
      </dsp:nvSpPr>
      <dsp:spPr>
        <a:xfrm>
          <a:off x="1819217" y="3066816"/>
          <a:ext cx="3181167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Puesta en conocimiento y en marcha por las áreas responsables</a:t>
          </a:r>
        </a:p>
      </dsp:txBody>
      <dsp:txXfrm>
        <a:off x="1957458" y="3066816"/>
        <a:ext cx="2904686" cy="276481"/>
      </dsp:txXfrm>
    </dsp:sp>
    <dsp:sp modelId="{89E86EFA-EF40-514F-A2FC-0CE029289164}">
      <dsp:nvSpPr>
        <dsp:cNvPr id="0" name=""/>
        <dsp:cNvSpPr/>
      </dsp:nvSpPr>
      <dsp:spPr>
        <a:xfrm>
          <a:off x="279874" y="3418247"/>
          <a:ext cx="1647604" cy="333110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Seguimiento</a:t>
          </a:r>
        </a:p>
      </dsp:txBody>
      <dsp:txXfrm>
        <a:off x="446429" y="3418247"/>
        <a:ext cx="1314494" cy="333110"/>
      </dsp:txXfrm>
    </dsp:sp>
    <dsp:sp modelId="{8287FA9B-E589-9C4A-A017-EB0A05628C7B}">
      <dsp:nvSpPr>
        <dsp:cNvPr id="0" name=""/>
        <dsp:cNvSpPr/>
      </dsp:nvSpPr>
      <dsp:spPr>
        <a:xfrm>
          <a:off x="1819217" y="3446561"/>
          <a:ext cx="3175063" cy="27648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Cumplimiento y desviaciones: retroalimentación</a:t>
          </a:r>
        </a:p>
      </dsp:txBody>
      <dsp:txXfrm>
        <a:off x="1957458" y="3446561"/>
        <a:ext cx="2898582" cy="27648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3">
  <dgm:title val=""/>
  <dgm:desc val=""/>
  <dgm:catLst>
    <dgm:cat type="cycle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axis="ch" ptType="node" func="cnt" op="equ" val="2">
        <dgm:alg type="composite">
          <dgm:param type="ar" val="0.9"/>
        </dgm:alg>
        <dgm:shape xmlns:r="http://schemas.openxmlformats.org/officeDocument/2006/relationships" r:blip="">
          <dgm:adjLst/>
        </dgm:shape>
        <dgm:presOf/>
        <dgm:constrLst>
          <dgm:constr type="primFontSz" for="ch" ptType="node" op="equ" val="65"/>
          <dgm:constr type="ctrX" for="ch" forName="node1" refType="w" fact="0.5"/>
          <dgm:constr type="t" for="ch" forName="node1"/>
          <dgm:constr type="w" for="ch" forName="node1" refType="w" fact="0.8"/>
          <dgm:constr type="h" for="ch" forName="node1" refType="w" refFor="ch" refForName="node1" fact="0.5"/>
          <dgm:constr type="ctrX" for="ch" forName="sibTrans" refType="w" fact="0.5"/>
          <dgm:constr type="t" for="ch" forName="sibTrans"/>
          <dgm:constr type="w" for="ch" forName="sibTrans" refType="w" fact="0.8"/>
          <dgm:constr type="h" for="ch" forName="sibTrans" refType="w" refFor="ch" refForName="node1" fact="0.5"/>
          <dgm:constr type="userA" for="ch" forName="sibTrans" refType="w" fact="1.07"/>
          <dgm:constr type="ctrX" for="ch" forName="node2" refType="w" fact="0.5"/>
          <dgm:constr type="b" for="ch" forName="node2" refType="h"/>
          <dgm:constr type="w" for="ch" forName="node2" refType="w" fact="0.8"/>
          <dgm:constr type="h" for="ch" forName="node2" refType="w" refFor="ch" refForName="node1" fact="0.5"/>
          <dgm:constr type="l" for="ch" forName="sp1"/>
          <dgm:constr type="t" for="ch" forName="sp1" refType="h" fact="0.5"/>
          <dgm:constr type="w" for="ch" forName="sp1" val="1"/>
          <dgm:constr type="h" for="ch" forName="sp1" val="1"/>
          <dgm:constr type="r" for="ch" forName="sp2" refType="w"/>
          <dgm:constr type="t" for="ch" forName="sp2" refType="h" fact="0.5"/>
          <dgm:constr type="w" for="ch" forName="sp2" val="1"/>
          <dgm:constr type="h" for="ch" forName="sp2" val="1"/>
        </dgm:constrLst>
        <dgm:ruleLst/>
      </dgm:if>
      <dgm:else name="Name3">
        <dgm:alg type="composite"/>
        <dgm:shape xmlns:r="http://schemas.openxmlformats.org/officeDocument/2006/relationships" r:blip="">
          <dgm:adjLst/>
        </dgm:shape>
        <dgm:presOf/>
        <dgm:constrLst>
          <dgm:constr type="primFontSz" for="ch" ptType="node" op="equ" val="65"/>
        </dgm:constrLst>
        <dgm:ruleLst/>
      </dgm:else>
    </dgm:choose>
    <dgm:choose name="Name4">
      <dgm:if name="Name5" axis="ch" ptType="node" func="cnt" op="equ" val="2">
        <dgm:layoutNode name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sibTrans" styleLbl="bgShp">
          <dgm:choose name="Name6">
            <dgm:if name="Name7" func="var" arg="dir" op="equ" val="norm">
              <dgm:alg type="conn">
                <dgm:param type="connRout" val="longCurve"/>
                <dgm:param type="begPts" val="midR"/>
                <dgm:param type="endPts" val="midL"/>
                <dgm:param type="dstNode" val="node1"/>
              </dgm:alg>
              <dgm:shape xmlns:r="http://schemas.openxmlformats.org/officeDocument/2006/relationships" type="conn" r:blip="" zOrderOff="-2">
                <dgm:adjLst/>
              </dgm:shape>
              <dgm:presOf axis="ch" ptType="sibTrans"/>
              <dgm:constrLst>
                <dgm:constr type="userA"/>
                <dgm:constr type="diam" refType="userA" fact="-1"/>
                <dgm:constr type="wArH" refType="userA" fact="0.05"/>
                <dgm:constr type="hArH" refType="userA" fact="0.1"/>
                <dgm:constr type="stemThick" refType="userA" fact="0.06"/>
                <dgm:constr type="begPad" refType="connDist" fact="-0.2"/>
                <dgm:constr type="endPad" refType="connDist" fact="0.05"/>
              </dgm:constrLst>
            </dgm:if>
            <dgm:else name="Name8">
              <dgm:alg type="conn">
                <dgm:param type="connRout" val="longCurve"/>
                <dgm:param type="begPts" val="midL"/>
                <dgm:param type="endPts" val="midR"/>
                <dgm:param type="dstNode" val="node1"/>
              </dgm:alg>
              <dgm:shape xmlns:r="http://schemas.openxmlformats.org/officeDocument/2006/relationships" type="conn" r:blip="" zOrderOff="-2">
                <dgm:adjLst/>
              </dgm:shape>
              <dgm:presOf axis="ch" ptType="sibTrans"/>
              <dgm:constrLst>
                <dgm:constr type="userA"/>
                <dgm:constr type="diam" refType="userA"/>
                <dgm:constr type="wArH" refType="userA" fact="0.05"/>
                <dgm:constr type="hArH" refType="userA" fact="0.1"/>
                <dgm:constr type="stemThick" refType="userA" fact="0.06"/>
                <dgm:constr type="begPad" refType="connDist" fact="-0.2"/>
                <dgm:constr type="endPad" refType="connDist" fact="0.05"/>
              </dgm:constrLst>
            </dgm:else>
          </dgm:choose>
          <dgm:ruleLst/>
        </dgm:layoutNode>
        <dgm:layoutNode name="node2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sp1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p2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if>
      <dgm:else name="Name9">
        <dgm:layoutNode name="cycle">
          <dgm:choose name="Name10">
            <dgm:if name="Name11" func="var" arg="dir" op="equ" val="norm">
              <dgm:alg type="cycle">
                <dgm:param type="stAng" val="0"/>
                <dgm:param type="spanAng" val="360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diam" refType="w"/>
                <dgm:constr type="w" for="ch" ptType="node" refType="w"/>
                <dgm:constr type="sibSp" val="15"/>
                <dgm:constr type="userA" for="ch" ptType="sibTrans" refType="diam" op="equ" fact="-1"/>
                <dgm:constr type="wArH" for="ch" ptType="sibTrans" refType="diam" op="equ" fact="0.05"/>
                <dgm:constr type="hArH" for="ch" ptType="sibTrans" refType="diam" op="equ" fact="0.1"/>
                <dgm:constr type="stemThick" for="ch" ptType="sibTrans" refType="diam" op="equ" fact="0.065"/>
                <dgm:constr type="primFontSz" for="ch" ptType="node" op="equ"/>
              </dgm:constrLst>
            </dgm:if>
            <dgm:else name="Name12">
              <dgm:alg type="cycle">
                <dgm:param type="stAng" val="0"/>
                <dgm:param type="spanAng" val="-360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diam" refType="w"/>
                <dgm:constr type="w" for="ch" ptType="node" refType="w"/>
                <dgm:constr type="sibSp" val="15"/>
                <dgm:constr type="userA" for="ch" ptType="sibTrans" refType="diam" op="equ"/>
                <dgm:constr type="wArH" for="ch" ptType="sibTrans" refType="diam" op="equ" fact="0.05"/>
                <dgm:constr type="hArH" for="ch" ptType="sibTrans" refType="diam" op="equ" fact="0.1"/>
                <dgm:constr type="stemThick" for="ch" ptType="sibTrans" refType="diam" op="equ" fact="0.065"/>
                <dgm:constr type="primFontSz" for="ch" ptType="node" op="equ"/>
              </dgm:constrLst>
            </dgm:else>
          </dgm:choose>
          <dgm:ruleLst/>
          <dgm:forEach name="nodesFirstNodeForEach" axis="ch" ptType="node" cnt="1">
            <dgm:layoutNode name="nodeFirstNode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h" refType="w" fact="0.5"/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  <dgm:forEach name="sibTransForEach" axis="followSib" ptType="sibTrans" cnt="1">
              <dgm:layoutNode name="sibTransFirstNode" styleLbl="bgShp">
                <dgm:choose name="Name13">
                  <dgm:if name="Name14" func="var" arg="dir" op="equ" val="norm">
                    <dgm:alg type="conn">
                      <dgm:param type="connRout" val="longCurve"/>
                      <dgm:param type="begPts" val="midR"/>
                      <dgm:param type="endPts" val="midL"/>
                      <dgm:param type="dstNode" val="nodeFirstNode"/>
                    </dgm:alg>
                  </dgm:if>
                  <dgm:else name="Name15">
                    <dgm:alg type="conn">
                      <dgm:param type="connRout" val="longCurve"/>
                      <dgm:param type="begPts" val="midL"/>
                      <dgm:param type="endPts" val="midR"/>
                      <dgm:param type="dstNode" val="nodeFirstNode"/>
                    </dgm:alg>
                  </dgm:else>
                </dgm:choose>
                <dgm:shape xmlns:r="http://schemas.openxmlformats.org/officeDocument/2006/relationships" type="conn" r:blip="" zOrderOff="-2">
                  <dgm:adjLst/>
                </dgm:shape>
                <dgm:presOf axis="self"/>
                <dgm:choose name="Name16">
                  <dgm:if name="Name17" axis="par ch" ptType="doc node" func="cnt" op="equ" val="3">
                    <dgm:constrLst>
                      <dgm:constr type="userA"/>
                      <dgm:constr type="diam" refType="userA" fact="1.01"/>
                      <dgm:constr type="begPad" refType="connDist" fact="-0.2"/>
                      <dgm:constr type="endPad" refType="connDist" fact="0.05"/>
                    </dgm:constrLst>
                  </dgm:if>
                  <dgm:if name="Name18" axis="par ch" ptType="doc node" func="cnt" op="equ" val="4">
                    <dgm:constrLst>
                      <dgm:constr type="userA"/>
                      <dgm:constr type="diam" refType="userA" fact="1.26"/>
                      <dgm:constr type="begPad" refType="connDist" fact="-0.2"/>
                      <dgm:constr type="endPad" refType="connDist" fact="0.05"/>
                    </dgm:constrLst>
                  </dgm:if>
                  <dgm:if name="Name19" axis="par ch" ptType="doc node" func="cnt" op="equ" val="5">
                    <dgm:constrLst>
                      <dgm:constr type="userA"/>
                      <dgm:constr type="diam" refType="userA" fact="1.04"/>
                      <dgm:constr type="begPad" refType="connDist" fact="-0.2"/>
                      <dgm:constr type="endPad" refType="connDist" fact="0.05"/>
                    </dgm:constrLst>
                  </dgm:if>
                  <dgm:if name="Name20" axis="par ch" ptType="doc node" func="cnt" op="equ" val="6">
                    <dgm:constrLst>
                      <dgm:constr type="userA"/>
                      <dgm:constr type="diam" refType="userA" fact="1.1"/>
                      <dgm:constr type="begPad" refType="connDist" fact="-0.2"/>
                      <dgm:constr type="endPad" refType="connDist" fact="0.05"/>
                    </dgm:constrLst>
                  </dgm:if>
                  <dgm:else name="Name21">
                    <dgm:constrLst>
                      <dgm:constr type="userA"/>
                      <dgm:constr type="diam" refType="userA" fact="1.04"/>
                      <dgm:constr type="begPad" refType="connDist" fact="-0.2"/>
                      <dgm:constr type="endPad" refType="connDist" fact="0.05"/>
                    </dgm:constrLst>
                  </dgm:else>
                </dgm:choose>
                <dgm:ruleLst/>
              </dgm:layoutNode>
            </dgm:forEach>
          </dgm:forEach>
          <dgm:forEach name="followingNodesForEach" axis="ch" ptType="node" st="2">
            <dgm:layoutNode name="nodeFollowingNodes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h" refType="w" fact="0.5"/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forEach>
        </dgm:layoutNode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lProcess3">
  <dgm:title val=""/>
  <dgm:desc val=""/>
  <dgm:catLst>
    <dgm:cat type="process" pri="11000"/>
    <dgm:cat type="convert" pri="1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1" destId="2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51" srcId="1" destId="11" srcOrd="0" destOrd="0"/>
        <dgm:cxn modelId="61" srcId="2" destId="21" srcOrd="0" destOrd="0"/>
        <dgm:cxn modelId="71" srcId="3" destId="31" srcOrd="0" destOrd="0"/>
        <dgm:cxn modelId="81" srcId="4" destId="41" srcOrd="0" destOrd="0"/>
      </dgm:cxnLst>
      <dgm:bg/>
      <dgm:whole/>
    </dgm:dataModel>
  </dgm:clrData>
  <dgm:layoutNode name="Name0">
    <dgm:varLst>
      <dgm:chPref val="3"/>
      <dgm:dir/>
      <dgm:animLvl val="lvl"/>
      <dgm:resizeHandles/>
    </dgm:varLst>
    <dgm:choose name="Name1">
      <dgm:if name="Name2" func="var" arg="dir" op="equ" val="norm">
        <dgm:alg type="lin">
          <dgm:param type="linDir" val="fromT"/>
          <dgm:param type="vertAlign" val="mid"/>
          <dgm:param type="nodeHorzAlign" val="l"/>
          <dgm:param type="nodeVertAlign" val="t"/>
          <dgm:param type="fallback" val="2D"/>
        </dgm:alg>
      </dgm:if>
      <dgm:else name="Name3">
        <dgm:alg type="lin">
          <dgm:param type="linDir" val="fromT"/>
          <dgm:param type="vertAlign" val="mid"/>
          <dgm:param type="nodeHorzAlign" val="r"/>
          <dgm:param type="nodeVertAlign" val="t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bigChev" refType="w"/>
      <dgm:constr type="h" for="des" forName="bigChev" refType="w" refFor="des" refForName="bigChev" op="equ" fact="0.4"/>
      <dgm:constr type="w" for="des" forName="node" refType="w" refFor="des" refForName="bigChev" fact="0.83"/>
      <dgm:constr type="h" for="des" forName="node" refType="w" refFor="des" refForName="node" op="equ" fact="0.4"/>
      <dgm:constr type="w" for="des" forName="parTrans" refType="w" refFor="des" refForName="bigChev" op="equ" fact="-0.13"/>
      <dgm:constr type="w" for="des" forName="sibTrans" refType="w" refFor="des" refForName="node" op="equ" fact="-0.14"/>
      <dgm:constr type="h" for="ch" forName="vSp" refType="h" refFor="des" refForName="bigChev" op="equ" fact="0.14"/>
      <dgm:constr type="primFontSz" for="des" forName="node" op="equ"/>
      <dgm:constr type="primFontSz" for="des" forName="bigChev" op="equ"/>
    </dgm:constrLst>
    <dgm:ruleLst/>
    <dgm:forEach name="Name4" axis="ch" ptType="node">
      <dgm:layoutNode name="horFlow">
        <dgm:choose name="Name5">
          <dgm:if name="Name6" func="var" arg="dir" op="equ" val="norm">
            <dgm:alg type="lin">
              <dgm:param type="linDir" val="fromL"/>
              <dgm:param type="nodeHorzAlign" val="l"/>
              <dgm:param type="nodeVertAlign" val="mid"/>
              <dgm:param type="fallback" val="2D"/>
            </dgm:alg>
          </dgm:if>
          <dgm:else name="Name7">
            <dgm:alg type="lin">
              <dgm:param type="linDir" val="fromR"/>
              <dgm:param type="nodeHorzAlign" val="r"/>
              <dgm:param type="nodeVertAlign" val="mid"/>
              <dgm:param type="fallback" val="2D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bigChev" styleLbl="node1">
          <dgm:alg type="tx"/>
          <dgm:choose name="Name8">
            <dgm:if name="Name9" func="var" arg="dir" op="equ" val="norm">
              <dgm:shape xmlns:r="http://schemas.openxmlformats.org/officeDocument/2006/relationships" type="chevron" r:blip="">
                <dgm:adjLst/>
              </dgm:shape>
              <dgm:presOf axis="self"/>
              <dgm:constrLst>
                <dgm:constr type="primFontSz" val="65"/>
                <dgm:constr type="rMarg"/>
                <dgm:constr type="lMarg" refType="primFontSz" fact="0.1"/>
                <dgm:constr type="tMarg" refType="primFontSz" fact="0.05"/>
                <dgm:constr type="bMarg" refType="primFontSz" fact="0.05"/>
              </dgm:constrLst>
            </dgm:if>
            <dgm:else name="Name10">
              <dgm:shape xmlns:r="http://schemas.openxmlformats.org/officeDocument/2006/relationships" rot="180" type="chevron" r:blip="">
                <dgm:adjLst/>
              </dgm:shape>
              <dgm:presOf axis="self"/>
              <dgm:constrLst>
                <dgm:constr type="primFontSz" val="65"/>
                <dgm:constr type="lMarg"/>
                <dgm:constr type="rMarg" refType="primFontSz" fact="0.1"/>
                <dgm:constr type="tMarg" refType="primFontSz" fact="0.05"/>
                <dgm:constr type="bMarg" refType="primFontSz" fact="0.05"/>
              </dgm:constrLst>
            </dgm:else>
          </dgm:choose>
          <dgm:ruleLst>
            <dgm:rule type="primFontSz" val="5" fact="NaN" max="NaN"/>
          </dgm:ruleLst>
        </dgm:layoutNode>
        <dgm:forEach name="parTransForEach" axis="ch" ptType="parTrans" cnt="1">
          <dgm:layoutNode name="par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  <dgm:forEach name="Name11" axis="ch" ptType="node">
          <dgm:layoutNode name="node" styleLbl="alignAccFollowNode1">
            <dgm:varLst>
              <dgm:bulletEnabled val="1"/>
            </dgm:varLst>
            <dgm:alg type="tx"/>
            <dgm:choose name="Name12">
              <dgm:if name="Name13" func="var" arg="dir" op="equ" val="norm">
                <dgm:shape xmlns:r="http://schemas.openxmlformats.org/officeDocument/2006/relationships" type="chevron" r:blip="">
                  <dgm:adjLst/>
                </dgm:shape>
                <dgm:presOf axis="desOrSelf" ptType="node"/>
                <dgm:constrLst>
                  <dgm:constr type="primFontSz" val="65"/>
                  <dgm:constr type="rMarg"/>
                  <dgm:constr type="lMarg" refType="primFontSz" fact="0.1"/>
                  <dgm:constr type="tMarg" refType="primFontSz" fact="0.05"/>
                  <dgm:constr type="bMarg" refType="primFontSz" fact="0.05"/>
                </dgm:constrLst>
              </dgm:if>
              <dgm:else name="Name14">
                <dgm:shape xmlns:r="http://schemas.openxmlformats.org/officeDocument/2006/relationships" rot="180" type="chevron" r:blip="">
                  <dgm:adjLst/>
                </dgm:shape>
                <dgm:presOf axis="desOrSelf" ptType="node"/>
                <dgm:constrLst>
                  <dgm:constr type="primFontSz" val="65"/>
                  <dgm:constr type="lMarg"/>
                  <dgm:constr type="rMarg" refType="primFontSz" fact="0.1"/>
                  <dgm:constr type="tMarg" refType="primFontSz" fact="0.05"/>
                  <dgm:constr type="bMarg" refType="primFontSz" fact="0.05"/>
                </dgm:constrLst>
              </dgm:else>
            </dgm:choose>
            <dgm:ruleLst>
              <dgm:rule type="primFontSz" val="5" fact="NaN" max="NaN"/>
            </dgm:ruleLst>
          </dgm:layoutNode>
          <dgm:forEach name="sibTransForEach" axis="followSib" ptType="sibTrans" cnt="1">
            <dgm:layoutNode name="sibTrans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layoutNode>
      <dgm:choose name="Name15">
        <dgm:if name="Name16" axis="self" ptType="node" func="revPos" op="gte" val="2">
          <dgm:layoutNode name="vSp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7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2029626</xdr:colOff>
      <xdr:row>39</xdr:row>
      <xdr:rowOff>169135</xdr:rowOff>
    </xdr:from>
    <xdr:to>
      <xdr:col>9</xdr:col>
      <xdr:colOff>504520</xdr:colOff>
      <xdr:row>58</xdr:row>
      <xdr:rowOff>139717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CC0DC6A7-FB55-DE43-8FED-3286FD67E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</xdr:col>
      <xdr:colOff>1860491</xdr:colOff>
      <xdr:row>60</xdr:row>
      <xdr:rowOff>178037</xdr:rowOff>
    </xdr:from>
    <xdr:to>
      <xdr:col>10</xdr:col>
      <xdr:colOff>435150</xdr:colOff>
      <xdr:row>80</xdr:row>
      <xdr:rowOff>119932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B12978F9-E6A2-D84F-823A-CDBE41A13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4</xdr:row>
      <xdr:rowOff>171450</xdr:rowOff>
    </xdr:from>
    <xdr:to>
      <xdr:col>9</xdr:col>
      <xdr:colOff>760200</xdr:colOff>
      <xdr:row>7</xdr:row>
      <xdr:rowOff>57150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1907922F-0931-5044-A76F-988E13C20E6D}"/>
            </a:ext>
          </a:extLst>
        </xdr:cNvPr>
        <xdr:cNvSpPr/>
      </xdr:nvSpPr>
      <xdr:spPr>
        <a:xfrm>
          <a:off x="8750300" y="933450"/>
          <a:ext cx="684000" cy="457200"/>
        </a:xfrm>
        <a:prstGeom prst="rightBrace">
          <a:avLst>
            <a:gd name="adj1" fmla="val 8333"/>
            <a:gd name="adj2" fmla="val 25000"/>
          </a:avLst>
        </a:prstGeom>
        <a:ln w="412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92"/>
  <sheetViews>
    <sheetView topLeftCell="C36" zoomScale="107" zoomScaleNormal="107" workbookViewId="0">
      <selection activeCell="D45" sqref="D45"/>
    </sheetView>
  </sheetViews>
  <sheetFormatPr defaultColWidth="11.42578125" defaultRowHeight="15" x14ac:dyDescent="0.25"/>
  <cols>
    <col min="3" max="3" width="44.42578125" bestFit="1" customWidth="1"/>
    <col min="4" max="4" width="37.28515625" bestFit="1" customWidth="1"/>
    <col min="5" max="5" width="10.42578125" customWidth="1"/>
    <col min="6" max="6" width="54.85546875" bestFit="1" customWidth="1"/>
    <col min="11" max="11" width="8.42578125" customWidth="1"/>
    <col min="12" max="12" width="12.140625" bestFit="1" customWidth="1"/>
    <col min="13" max="13" width="6.42578125" customWidth="1"/>
    <col min="14" max="14" width="11.42578125" bestFit="1" customWidth="1"/>
    <col min="15" max="15" width="11.85546875" bestFit="1" customWidth="1"/>
    <col min="16" max="16" width="7.42578125" customWidth="1"/>
    <col min="17" max="17" width="15.140625" customWidth="1"/>
    <col min="18" max="18" width="12.7109375" bestFit="1" customWidth="1"/>
    <col min="19" max="19" width="6.7109375" customWidth="1"/>
    <col min="20" max="20" width="12.7109375" bestFit="1" customWidth="1"/>
    <col min="21" max="21" width="12.140625" bestFit="1" customWidth="1"/>
  </cols>
  <sheetData>
    <row r="2" spans="3:7" x14ac:dyDescent="0.25">
      <c r="C2" t="s">
        <v>46</v>
      </c>
      <c r="F2" t="s">
        <v>47</v>
      </c>
    </row>
    <row r="4" spans="3:7" x14ac:dyDescent="0.25">
      <c r="C4" s="7" t="s">
        <v>0</v>
      </c>
      <c r="D4" s="8"/>
      <c r="F4" t="s">
        <v>27</v>
      </c>
      <c r="G4" t="s">
        <v>105</v>
      </c>
    </row>
    <row r="6" spans="3:7" x14ac:dyDescent="0.25">
      <c r="C6" s="1" t="s">
        <v>1</v>
      </c>
      <c r="D6" s="2"/>
      <c r="F6" t="s">
        <v>97</v>
      </c>
    </row>
    <row r="7" spans="3:7" x14ac:dyDescent="0.25">
      <c r="C7" s="3"/>
      <c r="D7" s="4" t="s">
        <v>2</v>
      </c>
      <c r="F7" t="s">
        <v>28</v>
      </c>
    </row>
    <row r="8" spans="3:7" x14ac:dyDescent="0.25">
      <c r="C8" s="3"/>
      <c r="D8" s="4" t="s">
        <v>3</v>
      </c>
      <c r="F8" t="s">
        <v>29</v>
      </c>
    </row>
    <row r="9" spans="3:7" x14ac:dyDescent="0.25">
      <c r="C9" s="5"/>
      <c r="D9" s="6" t="s">
        <v>4</v>
      </c>
      <c r="F9" t="s">
        <v>30</v>
      </c>
    </row>
    <row r="11" spans="3:7" x14ac:dyDescent="0.25">
      <c r="C11" s="1" t="s">
        <v>5</v>
      </c>
      <c r="D11" s="2"/>
      <c r="F11" t="s">
        <v>98</v>
      </c>
    </row>
    <row r="12" spans="3:7" x14ac:dyDescent="0.25">
      <c r="C12" s="5"/>
      <c r="D12" s="6" t="s">
        <v>6</v>
      </c>
      <c r="F12" t="s">
        <v>31</v>
      </c>
    </row>
    <row r="14" spans="3:7" x14ac:dyDescent="0.25">
      <c r="C14" s="1" t="s">
        <v>19</v>
      </c>
      <c r="D14" s="2"/>
      <c r="F14" t="s">
        <v>96</v>
      </c>
      <c r="G14" t="s">
        <v>106</v>
      </c>
    </row>
    <row r="15" spans="3:7" x14ac:dyDescent="0.25">
      <c r="C15" s="3"/>
      <c r="D15" s="4" t="s">
        <v>7</v>
      </c>
      <c r="F15" t="s">
        <v>32</v>
      </c>
    </row>
    <row r="16" spans="3:7" x14ac:dyDescent="0.25">
      <c r="C16" s="3"/>
      <c r="D16" s="4" t="s">
        <v>8</v>
      </c>
      <c r="F16" t="s">
        <v>8</v>
      </c>
    </row>
    <row r="17" spans="3:6" x14ac:dyDescent="0.25">
      <c r="C17" s="5"/>
      <c r="D17" s="6" t="s">
        <v>9</v>
      </c>
      <c r="F17" t="s">
        <v>33</v>
      </c>
    </row>
    <row r="19" spans="3:6" x14ac:dyDescent="0.25">
      <c r="C19" s="1" t="s">
        <v>13</v>
      </c>
      <c r="D19" s="2"/>
      <c r="F19" t="s">
        <v>99</v>
      </c>
    </row>
    <row r="20" spans="3:6" x14ac:dyDescent="0.25">
      <c r="C20" s="3"/>
      <c r="D20" s="4" t="s">
        <v>25</v>
      </c>
      <c r="F20" t="s">
        <v>34</v>
      </c>
    </row>
    <row r="21" spans="3:6" x14ac:dyDescent="0.25">
      <c r="C21" s="3"/>
      <c r="D21" s="4" t="s">
        <v>24</v>
      </c>
      <c r="F21" t="s">
        <v>35</v>
      </c>
    </row>
    <row r="22" spans="3:6" x14ac:dyDescent="0.25">
      <c r="C22" s="3"/>
      <c r="D22" s="4" t="s">
        <v>14</v>
      </c>
      <c r="F22" t="s">
        <v>36</v>
      </c>
    </row>
    <row r="23" spans="3:6" x14ac:dyDescent="0.25">
      <c r="C23" s="3"/>
      <c r="D23" s="4" t="s">
        <v>15</v>
      </c>
      <c r="F23" t="s">
        <v>37</v>
      </c>
    </row>
    <row r="24" spans="3:6" x14ac:dyDescent="0.25">
      <c r="C24" s="5"/>
      <c r="D24" s="6" t="s">
        <v>12</v>
      </c>
      <c r="F24" t="s">
        <v>38</v>
      </c>
    </row>
    <row r="27" spans="3:6" x14ac:dyDescent="0.25">
      <c r="C27" s="1" t="s">
        <v>20</v>
      </c>
      <c r="D27" s="2"/>
      <c r="F27" t="s">
        <v>100</v>
      </c>
    </row>
    <row r="28" spans="3:6" x14ac:dyDescent="0.25">
      <c r="C28" s="3"/>
      <c r="D28" s="4" t="s">
        <v>11</v>
      </c>
      <c r="F28" t="s">
        <v>39</v>
      </c>
    </row>
    <row r="29" spans="3:6" x14ac:dyDescent="0.25">
      <c r="C29" s="3"/>
      <c r="D29" s="4" t="s">
        <v>10</v>
      </c>
      <c r="F29" t="s">
        <v>40</v>
      </c>
    </row>
    <row r="30" spans="3:6" x14ac:dyDescent="0.25">
      <c r="C30" s="3"/>
      <c r="D30" s="4" t="s">
        <v>26</v>
      </c>
      <c r="F30" t="s">
        <v>41</v>
      </c>
    </row>
    <row r="31" spans="3:6" x14ac:dyDescent="0.25">
      <c r="C31" s="5"/>
      <c r="D31" s="6" t="s">
        <v>12</v>
      </c>
      <c r="F31" t="s">
        <v>42</v>
      </c>
    </row>
    <row r="33" spans="3:7" x14ac:dyDescent="0.25">
      <c r="C33" s="1" t="s">
        <v>21</v>
      </c>
      <c r="D33" s="2"/>
      <c r="F33" t="s">
        <v>101</v>
      </c>
      <c r="G33" t="s">
        <v>105</v>
      </c>
    </row>
    <row r="34" spans="3:7" x14ac:dyDescent="0.25">
      <c r="C34" s="3"/>
      <c r="D34" s="4" t="s">
        <v>16</v>
      </c>
      <c r="F34" t="s">
        <v>43</v>
      </c>
    </row>
    <row r="35" spans="3:7" x14ac:dyDescent="0.25">
      <c r="C35" s="3"/>
      <c r="D35" s="4" t="s">
        <v>17</v>
      </c>
      <c r="F35" t="s">
        <v>44</v>
      </c>
    </row>
    <row r="36" spans="3:7" x14ac:dyDescent="0.25">
      <c r="C36" s="5"/>
      <c r="D36" s="6" t="s">
        <v>18</v>
      </c>
      <c r="F36" t="s">
        <v>45</v>
      </c>
    </row>
    <row r="48" spans="3:7" x14ac:dyDescent="0.25">
      <c r="C48" t="s">
        <v>60</v>
      </c>
    </row>
    <row r="49" spans="3:5" x14ac:dyDescent="0.25">
      <c r="C49" s="12" t="s">
        <v>61</v>
      </c>
    </row>
    <row r="50" spans="3:5" x14ac:dyDescent="0.25">
      <c r="C50" t="s">
        <v>62</v>
      </c>
      <c r="D50" t="s">
        <v>109</v>
      </c>
      <c r="E50" s="10">
        <v>0.04</v>
      </c>
    </row>
    <row r="51" spans="3:5" x14ac:dyDescent="0.25">
      <c r="C51" t="s">
        <v>63</v>
      </c>
      <c r="D51" t="s">
        <v>21</v>
      </c>
      <c r="E51">
        <v>1.2</v>
      </c>
    </row>
    <row r="52" spans="3:5" x14ac:dyDescent="0.25">
      <c r="C52" t="s">
        <v>64</v>
      </c>
      <c r="D52" t="s">
        <v>107</v>
      </c>
    </row>
    <row r="53" spans="3:5" x14ac:dyDescent="0.25">
      <c r="C53" t="s">
        <v>68</v>
      </c>
      <c r="D53" t="s">
        <v>108</v>
      </c>
      <c r="E53" s="10">
        <v>0.05</v>
      </c>
    </row>
    <row r="57" spans="3:5" x14ac:dyDescent="0.25">
      <c r="C57" t="s">
        <v>65</v>
      </c>
      <c r="D57" t="s">
        <v>110</v>
      </c>
    </row>
    <row r="58" spans="3:5" x14ac:dyDescent="0.25">
      <c r="C58" t="s">
        <v>95</v>
      </c>
      <c r="D58" t="s">
        <v>110</v>
      </c>
    </row>
    <row r="59" spans="3:5" x14ac:dyDescent="0.25">
      <c r="C59" t="s">
        <v>66</v>
      </c>
      <c r="D59" t="s">
        <v>110</v>
      </c>
    </row>
    <row r="60" spans="3:5" x14ac:dyDescent="0.25">
      <c r="C60" t="s">
        <v>67</v>
      </c>
      <c r="D60" t="s">
        <v>110</v>
      </c>
    </row>
    <row r="61" spans="3:5" x14ac:dyDescent="0.25">
      <c r="C61" t="s">
        <v>124</v>
      </c>
      <c r="D61" t="s">
        <v>110</v>
      </c>
      <c r="E61" s="10">
        <v>0.04</v>
      </c>
    </row>
    <row r="62" spans="3:5" x14ac:dyDescent="0.25">
      <c r="C62" t="s">
        <v>123</v>
      </c>
      <c r="D62" t="s">
        <v>110</v>
      </c>
    </row>
    <row r="63" spans="3:5" x14ac:dyDescent="0.25">
      <c r="C63" t="s">
        <v>160</v>
      </c>
      <c r="D63" t="s">
        <v>110</v>
      </c>
      <c r="E63" s="9">
        <v>100000</v>
      </c>
    </row>
    <row r="65" spans="3:5" x14ac:dyDescent="0.25">
      <c r="C65" t="s">
        <v>103</v>
      </c>
      <c r="D65" t="s">
        <v>111</v>
      </c>
      <c r="E65" s="10">
        <v>0.88</v>
      </c>
    </row>
    <row r="66" spans="3:5" x14ac:dyDescent="0.25">
      <c r="C66" t="s">
        <v>104</v>
      </c>
      <c r="D66" t="s">
        <v>111</v>
      </c>
      <c r="E66" s="10">
        <v>0.06</v>
      </c>
    </row>
    <row r="67" spans="3:5" x14ac:dyDescent="0.25">
      <c r="C67" t="s">
        <v>120</v>
      </c>
      <c r="D67" t="s">
        <v>111</v>
      </c>
    </row>
    <row r="68" spans="3:5" x14ac:dyDescent="0.25">
      <c r="C68" t="s">
        <v>125</v>
      </c>
      <c r="D68" t="s">
        <v>111</v>
      </c>
    </row>
    <row r="70" spans="3:5" x14ac:dyDescent="0.25">
      <c r="C70" t="s">
        <v>121</v>
      </c>
      <c r="D70" t="s">
        <v>122</v>
      </c>
    </row>
    <row r="72" spans="3:5" x14ac:dyDescent="0.25">
      <c r="C72" t="s">
        <v>113</v>
      </c>
      <c r="D72" t="s">
        <v>115</v>
      </c>
    </row>
    <row r="73" spans="3:5" x14ac:dyDescent="0.25">
      <c r="C73" t="s">
        <v>112</v>
      </c>
      <c r="D73" t="s">
        <v>116</v>
      </c>
    </row>
    <row r="74" spans="3:5" x14ac:dyDescent="0.25">
      <c r="C74" t="s">
        <v>114</v>
      </c>
      <c r="D74" t="s">
        <v>117</v>
      </c>
    </row>
    <row r="75" spans="3:5" x14ac:dyDescent="0.25">
      <c r="C75" t="s">
        <v>166</v>
      </c>
      <c r="D75" t="s">
        <v>19</v>
      </c>
    </row>
    <row r="76" spans="3:5" x14ac:dyDescent="0.25">
      <c r="C76" t="s">
        <v>167</v>
      </c>
      <c r="D76" t="s">
        <v>19</v>
      </c>
    </row>
    <row r="77" spans="3:5" x14ac:dyDescent="0.25">
      <c r="C77" t="s">
        <v>168</v>
      </c>
      <c r="D77" t="s">
        <v>19</v>
      </c>
    </row>
    <row r="84" spans="3:5" x14ac:dyDescent="0.25">
      <c r="C84" t="s">
        <v>118</v>
      </c>
      <c r="D84" t="s">
        <v>119</v>
      </c>
    </row>
    <row r="85" spans="3:5" x14ac:dyDescent="0.25">
      <c r="C85" t="s">
        <v>163</v>
      </c>
      <c r="D85" t="s">
        <v>45</v>
      </c>
    </row>
    <row r="86" spans="3:5" x14ac:dyDescent="0.25">
      <c r="C86" t="s">
        <v>164</v>
      </c>
      <c r="D86" t="s">
        <v>109</v>
      </c>
    </row>
    <row r="90" spans="3:5" x14ac:dyDescent="0.25">
      <c r="C90" t="s">
        <v>159</v>
      </c>
    </row>
    <row r="91" spans="3:5" x14ac:dyDescent="0.25">
      <c r="C91" t="s">
        <v>157</v>
      </c>
      <c r="D91" t="s">
        <v>165</v>
      </c>
      <c r="E91" s="10">
        <v>4.4999999999999998E-2</v>
      </c>
    </row>
    <row r="92" spans="3:5" x14ac:dyDescent="0.25">
      <c r="C92" t="s">
        <v>161</v>
      </c>
      <c r="D92" t="s">
        <v>165</v>
      </c>
      <c r="E92" s="10">
        <v>0.06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92"/>
  <sheetViews>
    <sheetView topLeftCell="A38" zoomScale="143" zoomScaleNormal="143" workbookViewId="0">
      <selection activeCell="E46" sqref="E46"/>
    </sheetView>
  </sheetViews>
  <sheetFormatPr defaultColWidth="11.42578125" defaultRowHeight="15" x14ac:dyDescent="0.25"/>
  <cols>
    <col min="1" max="1" width="11.42578125" style="15"/>
    <col min="2" max="2" width="21.7109375" style="15" bestFit="1" customWidth="1"/>
    <col min="3" max="3" width="11.42578125" style="15"/>
    <col min="4" max="4" width="13.28515625" style="15" customWidth="1"/>
    <col min="5" max="5" width="12.28515625" style="15" customWidth="1"/>
    <col min="6" max="7" width="11.42578125" style="15"/>
    <col min="8" max="8" width="12.85546875" style="15" customWidth="1"/>
    <col min="9" max="11" width="11.7109375" style="15" customWidth="1"/>
    <col min="12" max="12" width="11.85546875" style="15" customWidth="1"/>
    <col min="13" max="13" width="12" style="15" customWidth="1"/>
    <col min="14" max="14" width="12.140625" style="15" customWidth="1"/>
    <col min="15" max="15" width="13.28515625" style="15" customWidth="1"/>
    <col min="16" max="16" width="15" style="15" customWidth="1"/>
    <col min="17" max="17" width="11.28515625" style="15" customWidth="1"/>
    <col min="18" max="18" width="11.7109375" style="15" customWidth="1"/>
    <col min="19" max="19" width="12.85546875" style="15" customWidth="1"/>
    <col min="20" max="16384" width="11.42578125" style="15"/>
  </cols>
  <sheetData>
    <row r="2" spans="2:4" x14ac:dyDescent="0.25">
      <c r="B2" s="17" t="s">
        <v>48</v>
      </c>
    </row>
    <row r="3" spans="2:4" x14ac:dyDescent="0.25">
      <c r="B3" s="15" t="s">
        <v>22</v>
      </c>
    </row>
    <row r="4" spans="2:4" x14ac:dyDescent="0.25">
      <c r="B4" s="15" t="s">
        <v>23</v>
      </c>
    </row>
    <row r="5" spans="2:4" x14ac:dyDescent="0.25">
      <c r="B5" s="15" t="s">
        <v>169</v>
      </c>
    </row>
    <row r="7" spans="2:4" x14ac:dyDescent="0.25">
      <c r="B7" s="17" t="s">
        <v>49</v>
      </c>
    </row>
    <row r="8" spans="2:4" x14ac:dyDescent="0.25">
      <c r="B8" s="15" t="s">
        <v>183</v>
      </c>
    </row>
    <row r="9" spans="2:4" x14ac:dyDescent="0.25">
      <c r="B9" s="15" t="s">
        <v>173</v>
      </c>
    </row>
    <row r="11" spans="2:4" x14ac:dyDescent="0.25">
      <c r="B11" s="17" t="s">
        <v>174</v>
      </c>
    </row>
    <row r="12" spans="2:4" x14ac:dyDescent="0.25">
      <c r="C12" s="15" t="s">
        <v>56</v>
      </c>
      <c r="D12" s="15" t="s">
        <v>57</v>
      </c>
    </row>
    <row r="13" spans="2:4" x14ac:dyDescent="0.25">
      <c r="B13" s="15" t="s">
        <v>92</v>
      </c>
      <c r="C13" s="18">
        <v>0.55000000000000004</v>
      </c>
      <c r="D13" s="18">
        <v>0.85</v>
      </c>
    </row>
    <row r="14" spans="2:4" x14ac:dyDescent="0.25">
      <c r="B14" s="15" t="s">
        <v>93</v>
      </c>
      <c r="C14" s="18">
        <v>0.45</v>
      </c>
      <c r="D14" s="18">
        <v>0.15</v>
      </c>
    </row>
    <row r="15" spans="2:4" ht="15.75" thickBot="1" x14ac:dyDescent="0.3"/>
    <row r="16" spans="2:4" x14ac:dyDescent="0.25">
      <c r="B16" s="36" t="s">
        <v>172</v>
      </c>
      <c r="C16" s="19"/>
      <c r="D16" s="20"/>
    </row>
    <row r="17" spans="2:4" x14ac:dyDescent="0.25">
      <c r="B17" s="21"/>
      <c r="C17" s="17" t="s">
        <v>56</v>
      </c>
      <c r="D17" s="37" t="s">
        <v>57</v>
      </c>
    </row>
    <row r="18" spans="2:4" x14ac:dyDescent="0.25">
      <c r="B18" s="21" t="s">
        <v>50</v>
      </c>
      <c r="C18" s="18">
        <v>0.25</v>
      </c>
      <c r="D18" s="22">
        <v>0.3</v>
      </c>
    </row>
    <row r="19" spans="2:4" x14ac:dyDescent="0.25">
      <c r="B19" s="21" t="s">
        <v>51</v>
      </c>
      <c r="C19" s="18">
        <v>0.3</v>
      </c>
      <c r="D19" s="22">
        <v>0.05</v>
      </c>
    </row>
    <row r="20" spans="2:4" x14ac:dyDescent="0.25">
      <c r="B20" s="21" t="s">
        <v>52</v>
      </c>
      <c r="C20" s="18">
        <v>0.2</v>
      </c>
      <c r="D20" s="22">
        <v>0.12</v>
      </c>
    </row>
    <row r="21" spans="2:4" x14ac:dyDescent="0.25">
      <c r="B21" s="21" t="s">
        <v>53</v>
      </c>
      <c r="C21" s="18">
        <v>0.1</v>
      </c>
      <c r="D21" s="22">
        <v>0.13</v>
      </c>
    </row>
    <row r="22" spans="2:4" x14ac:dyDescent="0.25">
      <c r="B22" s="21" t="s">
        <v>54</v>
      </c>
      <c r="C22" s="18">
        <v>0.15</v>
      </c>
      <c r="D22" s="22">
        <v>0.4</v>
      </c>
    </row>
    <row r="23" spans="2:4" ht="15.75" thickBot="1" x14ac:dyDescent="0.3">
      <c r="B23" s="23" t="s">
        <v>58</v>
      </c>
      <c r="C23" s="24">
        <v>0</v>
      </c>
      <c r="D23" s="25">
        <v>0</v>
      </c>
    </row>
    <row r="24" spans="2:4" x14ac:dyDescent="0.25">
      <c r="C24" s="18"/>
      <c r="D24" s="18"/>
    </row>
    <row r="25" spans="2:4" x14ac:dyDescent="0.25">
      <c r="B25" s="15" t="s">
        <v>177</v>
      </c>
    </row>
    <row r="27" spans="2:4" x14ac:dyDescent="0.25">
      <c r="B27" s="15" t="s">
        <v>182</v>
      </c>
    </row>
    <row r="28" spans="2:4" x14ac:dyDescent="0.25">
      <c r="B28" s="15" t="s">
        <v>170</v>
      </c>
    </row>
    <row r="29" spans="2:4" x14ac:dyDescent="0.25">
      <c r="B29" s="15" t="s">
        <v>184</v>
      </c>
    </row>
    <row r="31" spans="2:4" x14ac:dyDescent="0.25">
      <c r="B31" s="16" t="s">
        <v>175</v>
      </c>
    </row>
    <row r="32" spans="2:4" x14ac:dyDescent="0.25">
      <c r="B32" s="15" t="s">
        <v>171</v>
      </c>
    </row>
    <row r="33" spans="2:3" x14ac:dyDescent="0.25">
      <c r="B33" s="15" t="s">
        <v>176</v>
      </c>
    </row>
    <row r="35" spans="2:3" x14ac:dyDescent="0.25">
      <c r="B35" s="26" t="s">
        <v>126</v>
      </c>
      <c r="C35" s="27">
        <v>0.04</v>
      </c>
    </row>
    <row r="36" spans="2:3" x14ac:dyDescent="0.25">
      <c r="B36" s="28" t="s">
        <v>127</v>
      </c>
      <c r="C36" s="29">
        <v>0.05</v>
      </c>
    </row>
    <row r="37" spans="2:3" x14ac:dyDescent="0.25">
      <c r="B37" s="28" t="s">
        <v>128</v>
      </c>
      <c r="C37" s="29">
        <v>0.06</v>
      </c>
    </row>
    <row r="38" spans="2:3" x14ac:dyDescent="0.25">
      <c r="B38" s="28" t="s">
        <v>129</v>
      </c>
      <c r="C38" s="29">
        <v>0.06</v>
      </c>
    </row>
    <row r="39" spans="2:3" x14ac:dyDescent="0.25">
      <c r="B39" s="28" t="s">
        <v>130</v>
      </c>
      <c r="C39" s="29">
        <v>0.06</v>
      </c>
    </row>
    <row r="40" spans="2:3" x14ac:dyDescent="0.25">
      <c r="B40" s="28" t="s">
        <v>131</v>
      </c>
      <c r="C40" s="29">
        <v>0.08</v>
      </c>
    </row>
    <row r="41" spans="2:3" x14ac:dyDescent="0.25">
      <c r="B41" s="28" t="s">
        <v>132</v>
      </c>
      <c r="C41" s="29">
        <v>0.18</v>
      </c>
    </row>
    <row r="42" spans="2:3" x14ac:dyDescent="0.25">
      <c r="B42" s="28" t="s">
        <v>133</v>
      </c>
      <c r="C42" s="29">
        <v>0.22</v>
      </c>
    </row>
    <row r="43" spans="2:3" x14ac:dyDescent="0.25">
      <c r="B43" s="28" t="s">
        <v>134</v>
      </c>
      <c r="C43" s="29">
        <v>0.11</v>
      </c>
    </row>
    <row r="44" spans="2:3" x14ac:dyDescent="0.25">
      <c r="B44" s="28" t="s">
        <v>135</v>
      </c>
      <c r="C44" s="29">
        <v>0.05</v>
      </c>
    </row>
    <row r="45" spans="2:3" x14ac:dyDescent="0.25">
      <c r="B45" s="28" t="s">
        <v>136</v>
      </c>
      <c r="C45" s="29">
        <v>0.05</v>
      </c>
    </row>
    <row r="46" spans="2:3" x14ac:dyDescent="0.25">
      <c r="B46" s="28" t="s">
        <v>137</v>
      </c>
      <c r="C46" s="29">
        <v>0.04</v>
      </c>
    </row>
    <row r="47" spans="2:3" x14ac:dyDescent="0.25">
      <c r="B47" s="30"/>
      <c r="C47" s="31">
        <v>1</v>
      </c>
    </row>
    <row r="49" spans="2:15" x14ac:dyDescent="0.25"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1" spans="2:15" x14ac:dyDescent="0.25">
      <c r="B51" s="16" t="s">
        <v>178</v>
      </c>
      <c r="C51" s="49" t="s">
        <v>179</v>
      </c>
      <c r="D51" s="50"/>
      <c r="E51" s="50"/>
      <c r="F51" s="52"/>
      <c r="H51" s="49" t="s">
        <v>180</v>
      </c>
      <c r="I51" s="50"/>
      <c r="J51" s="50"/>
      <c r="K51" s="52"/>
    </row>
    <row r="52" spans="2:15" x14ac:dyDescent="0.25">
      <c r="C52" s="49" t="s">
        <v>56</v>
      </c>
      <c r="D52" s="52"/>
      <c r="E52" s="49" t="s">
        <v>57</v>
      </c>
      <c r="F52" s="52"/>
      <c r="H52" s="49" t="s">
        <v>56</v>
      </c>
      <c r="I52" s="52"/>
      <c r="J52" s="49" t="s">
        <v>57</v>
      </c>
      <c r="K52" s="52"/>
    </row>
    <row r="53" spans="2:15" x14ac:dyDescent="0.25">
      <c r="B53" s="15" t="s">
        <v>102</v>
      </c>
      <c r="C53" s="33" t="s">
        <v>92</v>
      </c>
      <c r="D53" s="33" t="s">
        <v>93</v>
      </c>
      <c r="E53" s="33" t="s">
        <v>92</v>
      </c>
      <c r="F53" s="33" t="s">
        <v>93</v>
      </c>
      <c r="H53" s="33" t="s">
        <v>92</v>
      </c>
      <c r="I53" s="33" t="s">
        <v>93</v>
      </c>
      <c r="J53" s="33" t="s">
        <v>92</v>
      </c>
      <c r="K53" s="33" t="s">
        <v>93</v>
      </c>
    </row>
    <row r="54" spans="2:15" x14ac:dyDescent="0.25">
      <c r="B54" s="15" t="s">
        <v>50</v>
      </c>
      <c r="C54" s="15">
        <v>0.6</v>
      </c>
      <c r="D54" s="15">
        <v>5</v>
      </c>
      <c r="E54" s="15">
        <v>0.7</v>
      </c>
      <c r="F54" s="15">
        <v>6</v>
      </c>
      <c r="H54" s="15">
        <v>0.62</v>
      </c>
      <c r="I54" s="15">
        <v>5.2</v>
      </c>
      <c r="J54" s="15">
        <v>0.73</v>
      </c>
      <c r="K54" s="15">
        <v>6.24</v>
      </c>
    </row>
    <row r="55" spans="2:15" x14ac:dyDescent="0.25">
      <c r="B55" s="15" t="s">
        <v>51</v>
      </c>
      <c r="C55" s="15">
        <v>0.6</v>
      </c>
      <c r="D55" s="15">
        <v>5</v>
      </c>
      <c r="E55" s="15">
        <v>0.7</v>
      </c>
      <c r="F55" s="15">
        <v>6</v>
      </c>
      <c r="H55" s="15">
        <v>0.62</v>
      </c>
      <c r="I55" s="15">
        <v>5.2</v>
      </c>
      <c r="J55" s="15">
        <v>0.73</v>
      </c>
      <c r="K55" s="15">
        <v>6.24</v>
      </c>
    </row>
    <row r="56" spans="2:15" x14ac:dyDescent="0.25">
      <c r="B56" s="15" t="s">
        <v>52</v>
      </c>
      <c r="C56" s="15">
        <v>0.6</v>
      </c>
      <c r="D56" s="15">
        <v>5</v>
      </c>
      <c r="E56" s="15">
        <v>0.7</v>
      </c>
      <c r="F56" s="15">
        <v>6</v>
      </c>
      <c r="H56" s="15">
        <v>0.62</v>
      </c>
      <c r="I56" s="15">
        <v>5.2</v>
      </c>
      <c r="J56" s="15">
        <v>0.73</v>
      </c>
      <c r="K56" s="15">
        <v>6.24</v>
      </c>
    </row>
    <row r="57" spans="2:15" x14ac:dyDescent="0.25">
      <c r="B57" s="15" t="s">
        <v>53</v>
      </c>
      <c r="C57" s="15">
        <v>0.6</v>
      </c>
      <c r="D57" s="15">
        <v>5</v>
      </c>
      <c r="E57" s="15">
        <v>0.7</v>
      </c>
      <c r="F57" s="15">
        <v>6</v>
      </c>
      <c r="H57" s="15">
        <v>0.62</v>
      </c>
      <c r="I57" s="15">
        <v>5.2</v>
      </c>
      <c r="J57" s="15">
        <v>0.73</v>
      </c>
      <c r="K57" s="15">
        <v>6.24</v>
      </c>
    </row>
    <row r="58" spans="2:15" x14ac:dyDescent="0.25">
      <c r="B58" s="15" t="s">
        <v>54</v>
      </c>
      <c r="C58" s="15">
        <v>0.6</v>
      </c>
      <c r="D58" s="15">
        <v>5</v>
      </c>
      <c r="E58" s="15">
        <v>0.7</v>
      </c>
      <c r="F58" s="15">
        <v>6</v>
      </c>
      <c r="H58" s="15">
        <v>0.62</v>
      </c>
      <c r="I58" s="15">
        <v>5.2</v>
      </c>
      <c r="J58" s="15">
        <v>0.73</v>
      </c>
      <c r="K58" s="15">
        <v>6.24</v>
      </c>
    </row>
    <row r="59" spans="2:15" x14ac:dyDescent="0.25">
      <c r="B59" s="15" t="s">
        <v>58</v>
      </c>
      <c r="H59" s="15">
        <v>0.62</v>
      </c>
      <c r="I59" s="15">
        <v>5.2</v>
      </c>
      <c r="J59" s="15">
        <v>0.73</v>
      </c>
      <c r="K59" s="15">
        <v>6.24</v>
      </c>
    </row>
    <row r="61" spans="2:15" ht="15.75" thickBot="1" x14ac:dyDescent="0.3"/>
    <row r="62" spans="2:15" x14ac:dyDescent="0.25">
      <c r="B62" s="38" t="s">
        <v>181</v>
      </c>
      <c r="C62" s="39"/>
      <c r="D62" s="39"/>
      <c r="E62" s="20"/>
    </row>
    <row r="63" spans="2:15" x14ac:dyDescent="0.25">
      <c r="B63" s="21"/>
      <c r="E63" s="40"/>
    </row>
    <row r="64" spans="2:15" x14ac:dyDescent="0.25">
      <c r="B64" s="21"/>
      <c r="C64" s="49" t="s">
        <v>55</v>
      </c>
      <c r="D64" s="50"/>
      <c r="E64" s="51"/>
    </row>
    <row r="65" spans="2:16" x14ac:dyDescent="0.25">
      <c r="B65" s="41" t="s">
        <v>92</v>
      </c>
      <c r="C65" s="15" t="s">
        <v>56</v>
      </c>
      <c r="D65" s="15" t="s">
        <v>57</v>
      </c>
      <c r="E65" s="40" t="s">
        <v>59</v>
      </c>
    </row>
    <row r="66" spans="2:16" x14ac:dyDescent="0.25">
      <c r="B66" s="21" t="s">
        <v>50</v>
      </c>
      <c r="C66" s="34">
        <f t="shared" ref="C66:C71" si="0">+C86*0.6</f>
        <v>438750</v>
      </c>
      <c r="D66" s="34">
        <v>234000</v>
      </c>
      <c r="E66" s="42">
        <f t="shared" ref="E66:E71" si="1">+C66+D66</f>
        <v>672750</v>
      </c>
      <c r="F66" s="34"/>
    </row>
    <row r="67" spans="2:16" x14ac:dyDescent="0.25">
      <c r="B67" s="21" t="s">
        <v>51</v>
      </c>
      <c r="C67" s="34">
        <f t="shared" si="0"/>
        <v>526500</v>
      </c>
      <c r="D67" s="34">
        <v>39000</v>
      </c>
      <c r="E67" s="42">
        <f t="shared" si="1"/>
        <v>565500</v>
      </c>
      <c r="F67" s="34"/>
    </row>
    <row r="68" spans="2:16" x14ac:dyDescent="0.25">
      <c r="B68" s="21" t="s">
        <v>52</v>
      </c>
      <c r="C68" s="34">
        <f t="shared" si="0"/>
        <v>351000</v>
      </c>
      <c r="D68" s="34">
        <v>93600</v>
      </c>
      <c r="E68" s="42">
        <f t="shared" si="1"/>
        <v>444600</v>
      </c>
      <c r="F68" s="34"/>
    </row>
    <row r="69" spans="2:16" x14ac:dyDescent="0.25">
      <c r="B69" s="21" t="s">
        <v>53</v>
      </c>
      <c r="C69" s="34">
        <f t="shared" si="0"/>
        <v>175500</v>
      </c>
      <c r="D69" s="34">
        <v>101400</v>
      </c>
      <c r="E69" s="42">
        <f t="shared" si="1"/>
        <v>276900</v>
      </c>
      <c r="F69" s="34"/>
    </row>
    <row r="70" spans="2:16" x14ac:dyDescent="0.25">
      <c r="B70" s="21" t="s">
        <v>54</v>
      </c>
      <c r="C70" s="34">
        <f t="shared" si="0"/>
        <v>263250</v>
      </c>
      <c r="D70" s="34">
        <v>312000</v>
      </c>
      <c r="E70" s="42">
        <f t="shared" si="1"/>
        <v>575250</v>
      </c>
      <c r="F70" s="34"/>
    </row>
    <row r="71" spans="2:16" x14ac:dyDescent="0.25">
      <c r="B71" s="21" t="s">
        <v>58</v>
      </c>
      <c r="C71" s="34">
        <f t="shared" si="0"/>
        <v>0</v>
      </c>
      <c r="D71" s="34">
        <v>0</v>
      </c>
      <c r="E71" s="42">
        <f t="shared" si="1"/>
        <v>0</v>
      </c>
      <c r="F71" s="34"/>
    </row>
    <row r="72" spans="2:16" x14ac:dyDescent="0.25">
      <c r="B72" s="21"/>
      <c r="C72" s="34">
        <f>SUM(C66:C71)</f>
        <v>1755000</v>
      </c>
      <c r="D72" s="34">
        <f>SUM(D66:D71)</f>
        <v>780000</v>
      </c>
      <c r="E72" s="42">
        <f>SUM(E66:E71)</f>
        <v>2535000</v>
      </c>
      <c r="F72" s="34"/>
      <c r="O72" s="18"/>
      <c r="P72" s="18"/>
    </row>
    <row r="73" spans="2:16" x14ac:dyDescent="0.25">
      <c r="B73" s="21"/>
      <c r="E73" s="40"/>
      <c r="O73" s="18"/>
      <c r="P73" s="18"/>
    </row>
    <row r="74" spans="2:16" x14ac:dyDescent="0.25">
      <c r="B74" s="21"/>
      <c r="C74" s="49" t="s">
        <v>55</v>
      </c>
      <c r="D74" s="50"/>
      <c r="E74" s="51"/>
      <c r="F74" s="35"/>
      <c r="O74" s="18"/>
      <c r="P74" s="18"/>
    </row>
    <row r="75" spans="2:16" x14ac:dyDescent="0.25">
      <c r="B75" s="41" t="s">
        <v>94</v>
      </c>
      <c r="C75" s="15" t="s">
        <v>56</v>
      </c>
      <c r="D75" s="15" t="s">
        <v>57</v>
      </c>
      <c r="E75" s="40"/>
      <c r="O75" s="18"/>
      <c r="P75" s="18"/>
    </row>
    <row r="76" spans="2:16" x14ac:dyDescent="0.25">
      <c r="B76" s="21" t="s">
        <v>50</v>
      </c>
      <c r="C76" s="34">
        <v>292500</v>
      </c>
      <c r="D76" s="34">
        <v>58500</v>
      </c>
      <c r="E76" s="42">
        <f t="shared" ref="E76:E81" si="2">+C76+D76</f>
        <v>351000</v>
      </c>
      <c r="F76" s="34"/>
    </row>
    <row r="77" spans="2:16" x14ac:dyDescent="0.25">
      <c r="B77" s="21" t="s">
        <v>51</v>
      </c>
      <c r="C77" s="34">
        <v>351000</v>
      </c>
      <c r="D77" s="34">
        <v>9750</v>
      </c>
      <c r="E77" s="42">
        <f t="shared" si="2"/>
        <v>360750</v>
      </c>
      <c r="F77" s="34"/>
      <c r="O77" s="18"/>
    </row>
    <row r="78" spans="2:16" x14ac:dyDescent="0.25">
      <c r="B78" s="21" t="s">
        <v>52</v>
      </c>
      <c r="C78" s="34">
        <v>234000</v>
      </c>
      <c r="D78" s="34">
        <v>23400</v>
      </c>
      <c r="E78" s="42">
        <f t="shared" si="2"/>
        <v>257400</v>
      </c>
      <c r="F78" s="34"/>
    </row>
    <row r="79" spans="2:16" x14ac:dyDescent="0.25">
      <c r="B79" s="21" t="s">
        <v>53</v>
      </c>
      <c r="C79" s="34">
        <v>117000</v>
      </c>
      <c r="D79" s="34">
        <v>25350</v>
      </c>
      <c r="E79" s="42">
        <f t="shared" si="2"/>
        <v>142350</v>
      </c>
      <c r="F79" s="34"/>
    </row>
    <row r="80" spans="2:16" x14ac:dyDescent="0.25">
      <c r="B80" s="21" t="s">
        <v>54</v>
      </c>
      <c r="C80" s="34">
        <v>175500</v>
      </c>
      <c r="D80" s="34">
        <v>78000</v>
      </c>
      <c r="E80" s="42">
        <f t="shared" si="2"/>
        <v>253500</v>
      </c>
      <c r="F80" s="34"/>
    </row>
    <row r="81" spans="2:6" x14ac:dyDescent="0.25">
      <c r="B81" s="21" t="s">
        <v>58</v>
      </c>
      <c r="C81" s="34">
        <f>+C91-C71</f>
        <v>0</v>
      </c>
      <c r="D81" s="34">
        <v>0</v>
      </c>
      <c r="E81" s="42">
        <f t="shared" si="2"/>
        <v>0</v>
      </c>
      <c r="F81" s="34"/>
    </row>
    <row r="82" spans="2:6" x14ac:dyDescent="0.25">
      <c r="B82" s="21"/>
      <c r="C82" s="34">
        <f>SUM(C76:C81)</f>
        <v>1170000</v>
      </c>
      <c r="D82" s="34">
        <f>SUM(D76:D81)</f>
        <v>195000</v>
      </c>
      <c r="E82" s="42">
        <f>SUM(E76:E81)</f>
        <v>1365000</v>
      </c>
      <c r="F82" s="34"/>
    </row>
    <row r="83" spans="2:6" x14ac:dyDescent="0.25">
      <c r="B83" s="21"/>
      <c r="E83" s="40"/>
    </row>
    <row r="84" spans="2:6" x14ac:dyDescent="0.25">
      <c r="B84" s="21"/>
      <c r="C84" s="49" t="s">
        <v>55</v>
      </c>
      <c r="D84" s="50"/>
      <c r="E84" s="51"/>
      <c r="F84" s="35"/>
    </row>
    <row r="85" spans="2:6" x14ac:dyDescent="0.25">
      <c r="B85" s="21"/>
      <c r="C85" s="15" t="s">
        <v>56</v>
      </c>
      <c r="D85" s="15" t="s">
        <v>57</v>
      </c>
      <c r="E85" s="40"/>
    </row>
    <row r="86" spans="2:6" x14ac:dyDescent="0.25">
      <c r="B86" s="21" t="s">
        <v>50</v>
      </c>
      <c r="C86" s="34">
        <v>731250</v>
      </c>
      <c r="D86" s="34">
        <v>292500</v>
      </c>
      <c r="E86" s="42">
        <f t="shared" ref="E86:E91" si="3">+C86+D86</f>
        <v>1023750</v>
      </c>
      <c r="F86" s="34"/>
    </row>
    <row r="87" spans="2:6" x14ac:dyDescent="0.25">
      <c r="B87" s="21" t="s">
        <v>51</v>
      </c>
      <c r="C87" s="34">
        <v>877500</v>
      </c>
      <c r="D87" s="34">
        <v>48750</v>
      </c>
      <c r="E87" s="42">
        <f t="shared" si="3"/>
        <v>926250</v>
      </c>
      <c r="F87" s="34"/>
    </row>
    <row r="88" spans="2:6" x14ac:dyDescent="0.25">
      <c r="B88" s="21" t="s">
        <v>52</v>
      </c>
      <c r="C88" s="34">
        <v>585000</v>
      </c>
      <c r="D88" s="34">
        <v>117000</v>
      </c>
      <c r="E88" s="42">
        <f t="shared" si="3"/>
        <v>702000</v>
      </c>
      <c r="F88" s="34"/>
    </row>
    <row r="89" spans="2:6" x14ac:dyDescent="0.25">
      <c r="B89" s="21" t="s">
        <v>53</v>
      </c>
      <c r="C89" s="34">
        <v>292500</v>
      </c>
      <c r="D89" s="34">
        <v>126750</v>
      </c>
      <c r="E89" s="42">
        <f t="shared" si="3"/>
        <v>419250</v>
      </c>
      <c r="F89" s="34"/>
    </row>
    <row r="90" spans="2:6" x14ac:dyDescent="0.25">
      <c r="B90" s="21" t="s">
        <v>54</v>
      </c>
      <c r="C90" s="34">
        <v>438750</v>
      </c>
      <c r="D90" s="34">
        <v>390000</v>
      </c>
      <c r="E90" s="42">
        <f t="shared" si="3"/>
        <v>828750</v>
      </c>
      <c r="F90" s="34"/>
    </row>
    <row r="91" spans="2:6" x14ac:dyDescent="0.25">
      <c r="B91" s="21" t="s">
        <v>58</v>
      </c>
      <c r="C91" s="34">
        <v>0</v>
      </c>
      <c r="D91" s="34">
        <v>0</v>
      </c>
      <c r="E91" s="42">
        <f t="shared" si="3"/>
        <v>0</v>
      </c>
      <c r="F91" s="34"/>
    </row>
    <row r="92" spans="2:6" ht="15.75" thickBot="1" x14ac:dyDescent="0.3">
      <c r="B92" s="23"/>
      <c r="C92" s="43">
        <f>SUM(C86:C91)</f>
        <v>2925000</v>
      </c>
      <c r="D92" s="43">
        <f>SUM(D86:D91)</f>
        <v>975000</v>
      </c>
      <c r="E92" s="44">
        <f>SUM(E86:E91)</f>
        <v>3900000</v>
      </c>
      <c r="F92" s="34"/>
    </row>
  </sheetData>
  <mergeCells count="9">
    <mergeCell ref="C64:E64"/>
    <mergeCell ref="C74:E74"/>
    <mergeCell ref="C84:E84"/>
    <mergeCell ref="C51:F51"/>
    <mergeCell ref="H51:K51"/>
    <mergeCell ref="C52:D52"/>
    <mergeCell ref="E52:F52"/>
    <mergeCell ref="H52:I52"/>
    <mergeCell ref="J52:K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O28"/>
  <sheetViews>
    <sheetView workbookViewId="0">
      <selection activeCell="Q14" sqref="Q14"/>
    </sheetView>
  </sheetViews>
  <sheetFormatPr defaultColWidth="11.42578125" defaultRowHeight="15" x14ac:dyDescent="0.25"/>
  <cols>
    <col min="2" max="2" width="24.140625" customWidth="1"/>
    <col min="3" max="3" width="12.28515625" customWidth="1"/>
    <col min="5" max="5" width="12.28515625" customWidth="1"/>
    <col min="10" max="10" width="11.7109375" bestFit="1" customWidth="1"/>
    <col min="14" max="14" width="11.7109375" bestFit="1" customWidth="1"/>
    <col min="15" max="15" width="14.85546875" customWidth="1"/>
  </cols>
  <sheetData>
    <row r="4" spans="2:15" x14ac:dyDescent="0.25">
      <c r="L4" s="53" t="s">
        <v>185</v>
      </c>
      <c r="M4" s="54"/>
      <c r="N4" s="53" t="s">
        <v>139</v>
      </c>
      <c r="O4" s="54"/>
    </row>
    <row r="5" spans="2:15" x14ac:dyDescent="0.25">
      <c r="B5" s="12" t="s">
        <v>69</v>
      </c>
      <c r="C5" s="12" t="s">
        <v>86</v>
      </c>
      <c r="D5" s="12" t="s">
        <v>85</v>
      </c>
      <c r="L5" s="14" t="s">
        <v>138</v>
      </c>
      <c r="M5" s="14" t="s">
        <v>94</v>
      </c>
      <c r="N5" s="14" t="s">
        <v>138</v>
      </c>
      <c r="O5" s="14" t="s">
        <v>94</v>
      </c>
    </row>
    <row r="6" spans="2:15" x14ac:dyDescent="0.25">
      <c r="B6" t="s">
        <v>70</v>
      </c>
      <c r="C6" t="s">
        <v>83</v>
      </c>
      <c r="D6" s="47" t="s">
        <v>189</v>
      </c>
      <c r="E6" t="s">
        <v>150</v>
      </c>
      <c r="F6" s="55" t="s">
        <v>147</v>
      </c>
      <c r="G6" s="56"/>
      <c r="H6" s="56"/>
      <c r="I6" s="56"/>
      <c r="L6" s="13">
        <v>1</v>
      </c>
      <c r="M6" s="13">
        <v>10</v>
      </c>
      <c r="N6" s="48"/>
      <c r="O6" s="48"/>
    </row>
    <row r="7" spans="2:15" x14ac:dyDescent="0.25">
      <c r="B7" t="s">
        <v>148</v>
      </c>
      <c r="D7" s="47" t="s">
        <v>189</v>
      </c>
      <c r="E7" t="s">
        <v>149</v>
      </c>
      <c r="F7" s="55"/>
      <c r="G7" s="56"/>
      <c r="H7" s="56"/>
      <c r="I7" s="56"/>
      <c r="L7" s="13"/>
      <c r="M7" s="13"/>
      <c r="N7" s="9"/>
      <c r="O7" s="9"/>
    </row>
    <row r="8" spans="2:15" x14ac:dyDescent="0.25">
      <c r="B8" t="s">
        <v>72</v>
      </c>
      <c r="C8" t="s">
        <v>82</v>
      </c>
      <c r="D8">
        <v>5</v>
      </c>
      <c r="E8" t="s">
        <v>88</v>
      </c>
      <c r="L8" s="13">
        <v>5.0000000000000001E-3</v>
      </c>
      <c r="M8" s="13">
        <v>0.05</v>
      </c>
      <c r="N8" s="48"/>
      <c r="O8" s="48"/>
    </row>
    <row r="9" spans="2:15" x14ac:dyDescent="0.25">
      <c r="B9" t="s">
        <v>71</v>
      </c>
      <c r="C9" t="s">
        <v>84</v>
      </c>
      <c r="D9">
        <v>15</v>
      </c>
      <c r="E9" t="s">
        <v>89</v>
      </c>
      <c r="H9" s="11" t="s">
        <v>87</v>
      </c>
      <c r="I9" s="11" t="s">
        <v>140</v>
      </c>
      <c r="L9" s="13">
        <v>1E-3</v>
      </c>
      <c r="M9" s="13">
        <v>0.01</v>
      </c>
      <c r="N9" s="48"/>
      <c r="O9" s="48"/>
    </row>
    <row r="10" spans="2:15" x14ac:dyDescent="0.25">
      <c r="B10" t="s">
        <v>73</v>
      </c>
      <c r="C10" t="s">
        <v>84</v>
      </c>
      <c r="E10" t="s">
        <v>90</v>
      </c>
      <c r="H10">
        <v>1</v>
      </c>
      <c r="I10" s="9">
        <v>0.2</v>
      </c>
      <c r="L10" s="13">
        <v>1</v>
      </c>
      <c r="M10" s="13">
        <v>0</v>
      </c>
      <c r="N10" s="48"/>
      <c r="O10" s="48"/>
    </row>
    <row r="11" spans="2:15" x14ac:dyDescent="0.25">
      <c r="B11" t="s">
        <v>74</v>
      </c>
      <c r="C11" t="s">
        <v>83</v>
      </c>
      <c r="D11">
        <v>0.02</v>
      </c>
      <c r="E11" t="s">
        <v>91</v>
      </c>
      <c r="H11">
        <v>2000000</v>
      </c>
      <c r="I11" s="9">
        <v>0.19</v>
      </c>
      <c r="L11" s="13">
        <v>1</v>
      </c>
      <c r="M11" s="13">
        <v>0</v>
      </c>
      <c r="N11" s="48"/>
      <c r="O11" s="48"/>
    </row>
    <row r="12" spans="2:15" x14ac:dyDescent="0.25">
      <c r="B12" t="s">
        <v>75</v>
      </c>
      <c r="C12" t="s">
        <v>83</v>
      </c>
      <c r="D12">
        <v>1</v>
      </c>
      <c r="E12" t="s">
        <v>91</v>
      </c>
      <c r="H12">
        <f>+H13-750000</f>
        <v>2200000</v>
      </c>
      <c r="I12" s="9">
        <v>0.18</v>
      </c>
      <c r="L12" s="13">
        <v>0</v>
      </c>
      <c r="M12" s="13">
        <v>1</v>
      </c>
      <c r="N12" s="48"/>
      <c r="O12" s="48"/>
    </row>
    <row r="13" spans="2:15" x14ac:dyDescent="0.25">
      <c r="B13" t="s">
        <v>76</v>
      </c>
      <c r="C13" t="s">
        <v>83</v>
      </c>
      <c r="D13">
        <v>0.7</v>
      </c>
      <c r="E13" t="s">
        <v>91</v>
      </c>
      <c r="H13">
        <f>+H14-750000</f>
        <v>2950000</v>
      </c>
      <c r="I13" s="9">
        <v>0.17</v>
      </c>
      <c r="L13" s="13">
        <v>0</v>
      </c>
      <c r="M13" s="13">
        <v>1</v>
      </c>
      <c r="N13" s="48"/>
      <c r="O13" s="48"/>
    </row>
    <row r="14" spans="2:15" x14ac:dyDescent="0.25">
      <c r="B14" t="s">
        <v>77</v>
      </c>
      <c r="C14" t="s">
        <v>83</v>
      </c>
      <c r="D14">
        <v>0.05</v>
      </c>
      <c r="E14" t="s">
        <v>91</v>
      </c>
      <c r="H14">
        <v>3700000</v>
      </c>
      <c r="I14" s="9">
        <v>0.16</v>
      </c>
      <c r="L14" s="13">
        <v>1</v>
      </c>
      <c r="M14" s="13">
        <v>1</v>
      </c>
      <c r="N14" s="48"/>
      <c r="O14" s="48"/>
    </row>
    <row r="15" spans="2:15" x14ac:dyDescent="0.25">
      <c r="B15" t="s">
        <v>78</v>
      </c>
      <c r="C15" t="s">
        <v>83</v>
      </c>
      <c r="D15">
        <v>0.05</v>
      </c>
      <c r="E15" t="s">
        <v>91</v>
      </c>
      <c r="L15" s="13">
        <v>1</v>
      </c>
      <c r="M15" s="13">
        <v>1</v>
      </c>
      <c r="N15" s="48"/>
      <c r="O15" s="48"/>
    </row>
    <row r="16" spans="2:15" x14ac:dyDescent="0.25">
      <c r="B16" t="s">
        <v>79</v>
      </c>
      <c r="C16" t="s">
        <v>83</v>
      </c>
      <c r="D16">
        <v>0.7</v>
      </c>
      <c r="E16" t="s">
        <v>91</v>
      </c>
      <c r="L16" s="13">
        <v>0.17</v>
      </c>
      <c r="M16" s="13">
        <v>0</v>
      </c>
      <c r="N16" s="48"/>
      <c r="O16" s="48"/>
    </row>
    <row r="17" spans="2:15" x14ac:dyDescent="0.25">
      <c r="B17" t="s">
        <v>80</v>
      </c>
      <c r="C17" t="s">
        <v>84</v>
      </c>
      <c r="D17">
        <v>0.8</v>
      </c>
      <c r="E17" t="s">
        <v>91</v>
      </c>
      <c r="L17" s="13">
        <v>0</v>
      </c>
      <c r="M17" s="13">
        <v>0.25</v>
      </c>
      <c r="N17" s="48"/>
      <c r="O17" s="48"/>
    </row>
    <row r="18" spans="2:15" x14ac:dyDescent="0.25">
      <c r="B18" t="s">
        <v>81</v>
      </c>
      <c r="C18" t="s">
        <v>83</v>
      </c>
      <c r="D18">
        <v>1</v>
      </c>
      <c r="E18" t="s">
        <v>91</v>
      </c>
      <c r="L18" s="13">
        <v>0.01</v>
      </c>
      <c r="M18" s="13">
        <v>0.01</v>
      </c>
      <c r="N18" s="48"/>
      <c r="O18" s="48"/>
    </row>
    <row r="21" spans="2:15" x14ac:dyDescent="0.25">
      <c r="N21" s="9"/>
    </row>
    <row r="23" spans="2:15" x14ac:dyDescent="0.25">
      <c r="B23" s="12" t="s">
        <v>144</v>
      </c>
      <c r="C23" t="s">
        <v>145</v>
      </c>
      <c r="D23" t="s">
        <v>146</v>
      </c>
    </row>
    <row r="24" spans="2:15" x14ac:dyDescent="0.25">
      <c r="B24" t="s">
        <v>141</v>
      </c>
      <c r="C24">
        <v>1</v>
      </c>
      <c r="D24" s="9">
        <v>20000</v>
      </c>
    </row>
    <row r="25" spans="2:15" x14ac:dyDescent="0.25">
      <c r="B25" t="s">
        <v>142</v>
      </c>
      <c r="C25">
        <v>2</v>
      </c>
      <c r="D25" s="9">
        <v>16000</v>
      </c>
    </row>
    <row r="26" spans="2:15" x14ac:dyDescent="0.25">
      <c r="B26" t="s">
        <v>143</v>
      </c>
      <c r="C26">
        <v>1</v>
      </c>
      <c r="D26" s="9">
        <v>16000</v>
      </c>
    </row>
    <row r="28" spans="2:15" x14ac:dyDescent="0.25">
      <c r="B28" t="s">
        <v>162</v>
      </c>
      <c r="C28">
        <v>8</v>
      </c>
    </row>
  </sheetData>
  <mergeCells count="3">
    <mergeCell ref="L4:M4"/>
    <mergeCell ref="N4:O4"/>
    <mergeCell ref="F6:I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38"/>
  <sheetViews>
    <sheetView workbookViewId="0">
      <selection activeCell="J35" sqref="J35"/>
    </sheetView>
  </sheetViews>
  <sheetFormatPr defaultColWidth="11.42578125" defaultRowHeight="15" x14ac:dyDescent="0.25"/>
  <cols>
    <col min="2" max="2" width="23.85546875" bestFit="1" customWidth="1"/>
    <col min="3" max="3" width="25.42578125" bestFit="1" customWidth="1"/>
    <col min="17" max="18" width="11.42578125" style="9"/>
  </cols>
  <sheetData>
    <row r="2" spans="2:20" x14ac:dyDescent="0.25"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Q2" s="9" t="s">
        <v>151</v>
      </c>
      <c r="R2" s="9" t="s">
        <v>152</v>
      </c>
    </row>
    <row r="4" spans="2:20" x14ac:dyDescent="0.25">
      <c r="B4" s="7" t="s">
        <v>0</v>
      </c>
      <c r="C4" s="8"/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f>SUM(D4:O4)</f>
        <v>12</v>
      </c>
      <c r="Q4" s="9">
        <v>40000</v>
      </c>
      <c r="R4" s="9">
        <f>+Q4/12*P4</f>
        <v>40000</v>
      </c>
      <c r="T4" s="9">
        <f>+R4</f>
        <v>40000</v>
      </c>
    </row>
    <row r="6" spans="2:20" x14ac:dyDescent="0.25">
      <c r="B6" s="1" t="s">
        <v>1</v>
      </c>
      <c r="C6" s="2"/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f t="shared" ref="P6:P9" si="0">SUM(D6:O6)</f>
        <v>12</v>
      </c>
      <c r="Q6" s="9">
        <v>30000</v>
      </c>
      <c r="R6" s="9">
        <f>+Q6/12*P6</f>
        <v>30000</v>
      </c>
      <c r="T6" s="9">
        <f t="shared" ref="T6:T9" si="1">+R6</f>
        <v>30000</v>
      </c>
    </row>
    <row r="7" spans="2:20" x14ac:dyDescent="0.25">
      <c r="B7" s="3"/>
      <c r="C7" s="4" t="s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f t="shared" si="0"/>
        <v>12</v>
      </c>
      <c r="Q7" s="9">
        <v>20000</v>
      </c>
      <c r="R7" s="9">
        <f>+Q7/12*P7</f>
        <v>20000</v>
      </c>
      <c r="T7" s="9">
        <f t="shared" si="1"/>
        <v>20000</v>
      </c>
    </row>
    <row r="8" spans="2:20" x14ac:dyDescent="0.25">
      <c r="B8" s="3"/>
      <c r="C8" s="4" t="s">
        <v>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f t="shared" si="0"/>
        <v>12</v>
      </c>
      <c r="Q8" s="9">
        <v>15000</v>
      </c>
      <c r="R8" s="9">
        <f t="shared" ref="R8:R9" si="2">+Q8/12*P8</f>
        <v>15000</v>
      </c>
      <c r="T8" s="9">
        <f t="shared" si="1"/>
        <v>15000</v>
      </c>
    </row>
    <row r="9" spans="2:20" x14ac:dyDescent="0.25">
      <c r="B9" s="5"/>
      <c r="C9" s="6" t="s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f t="shared" si="0"/>
        <v>12</v>
      </c>
      <c r="Q9" s="9">
        <v>14000</v>
      </c>
      <c r="R9" s="9">
        <f t="shared" si="2"/>
        <v>14000</v>
      </c>
      <c r="T9" s="9">
        <f t="shared" si="1"/>
        <v>14000</v>
      </c>
    </row>
    <row r="11" spans="2:20" x14ac:dyDescent="0.25">
      <c r="B11" s="1" t="s">
        <v>5</v>
      </c>
      <c r="C11" s="2"/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f t="shared" ref="P11:P12" si="3">SUM(D11:O11)</f>
        <v>12</v>
      </c>
      <c r="Q11" s="9">
        <v>30000</v>
      </c>
      <c r="R11" s="9">
        <f>+Q11/12*P11</f>
        <v>30000</v>
      </c>
      <c r="T11" s="9">
        <f t="shared" ref="T11:T12" si="4">+R11</f>
        <v>30000</v>
      </c>
    </row>
    <row r="12" spans="2:20" x14ac:dyDescent="0.25">
      <c r="B12" s="5"/>
      <c r="C12" s="6" t="s">
        <v>6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f t="shared" si="3"/>
        <v>12</v>
      </c>
      <c r="Q12" s="9">
        <v>14000</v>
      </c>
      <c r="R12" s="9">
        <f>+Q12/12*P12</f>
        <v>14000</v>
      </c>
      <c r="T12" s="9">
        <f t="shared" si="4"/>
        <v>14000</v>
      </c>
    </row>
    <row r="14" spans="2:20" x14ac:dyDescent="0.25">
      <c r="B14" s="1" t="s">
        <v>19</v>
      </c>
      <c r="C14" s="2"/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f t="shared" ref="P14:P17" si="5">SUM(D14:O14)</f>
        <v>12</v>
      </c>
      <c r="Q14" s="9">
        <v>30000</v>
      </c>
      <c r="R14" s="9">
        <f>+Q14/12*P14</f>
        <v>30000</v>
      </c>
      <c r="T14" s="9">
        <f t="shared" ref="T14:T17" si="6">+R14</f>
        <v>30000</v>
      </c>
    </row>
    <row r="15" spans="2:20" x14ac:dyDescent="0.25">
      <c r="B15" s="3"/>
      <c r="C15" s="4" t="s">
        <v>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f t="shared" si="5"/>
        <v>12</v>
      </c>
      <c r="Q15" s="9">
        <v>15000</v>
      </c>
      <c r="R15" s="9">
        <f>+Q15/12*P15</f>
        <v>15000</v>
      </c>
      <c r="T15" s="9">
        <f t="shared" si="6"/>
        <v>15000</v>
      </c>
    </row>
    <row r="16" spans="2:20" x14ac:dyDescent="0.25">
      <c r="B16" s="3"/>
      <c r="C16" s="4" t="s">
        <v>8</v>
      </c>
      <c r="D16">
        <v>0.5</v>
      </c>
      <c r="E16">
        <v>0.5</v>
      </c>
      <c r="F16">
        <v>0.5</v>
      </c>
      <c r="G16">
        <v>0.5</v>
      </c>
      <c r="H16">
        <v>0.5</v>
      </c>
      <c r="I16">
        <v>0.5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f t="shared" si="5"/>
        <v>6</v>
      </c>
      <c r="Q16" s="9">
        <v>14000</v>
      </c>
      <c r="R16" s="9">
        <f>+Q16/12*P16</f>
        <v>7000</v>
      </c>
      <c r="T16" s="9">
        <f t="shared" si="6"/>
        <v>7000</v>
      </c>
    </row>
    <row r="17" spans="2:20" x14ac:dyDescent="0.25">
      <c r="B17" s="5"/>
      <c r="C17" s="6" t="s">
        <v>9</v>
      </c>
      <c r="D17">
        <v>0.5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f t="shared" si="5"/>
        <v>6</v>
      </c>
      <c r="Q17" s="9">
        <v>14000</v>
      </c>
      <c r="R17" s="9">
        <f>+Q17/12*P17</f>
        <v>7000</v>
      </c>
      <c r="T17" s="9">
        <f t="shared" si="6"/>
        <v>7000</v>
      </c>
    </row>
    <row r="19" spans="2:20" x14ac:dyDescent="0.25">
      <c r="B19" s="1" t="s">
        <v>13</v>
      </c>
      <c r="C19" s="2"/>
    </row>
    <row r="20" spans="2:20" x14ac:dyDescent="0.25">
      <c r="B20" s="3"/>
      <c r="C20" s="4" t="s">
        <v>25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f t="shared" ref="P20:P24" si="7">SUM(D20:O20)</f>
        <v>12</v>
      </c>
      <c r="Q20" s="9">
        <v>30000</v>
      </c>
      <c r="R20" s="9">
        <f>+Q20/12*P20</f>
        <v>30000</v>
      </c>
      <c r="T20" s="9">
        <f t="shared" ref="T20:T22" si="8">+R20</f>
        <v>30000</v>
      </c>
    </row>
    <row r="21" spans="2:20" x14ac:dyDescent="0.25">
      <c r="B21" s="3"/>
      <c r="C21" s="4" t="s">
        <v>24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f t="shared" si="7"/>
        <v>12</v>
      </c>
      <c r="Q21" s="9">
        <v>14000</v>
      </c>
      <c r="R21" s="9">
        <f>+Q21/12*P21</f>
        <v>14000</v>
      </c>
      <c r="T21" s="9">
        <f t="shared" si="8"/>
        <v>14000</v>
      </c>
    </row>
    <row r="22" spans="2:20" x14ac:dyDescent="0.25">
      <c r="B22" s="3"/>
      <c r="C22" s="4" t="s">
        <v>14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f t="shared" si="7"/>
        <v>12</v>
      </c>
      <c r="Q22" s="9">
        <v>20000</v>
      </c>
      <c r="R22" s="9">
        <f>+Q22/12*P22</f>
        <v>20000</v>
      </c>
      <c r="T22" s="9">
        <f t="shared" si="8"/>
        <v>20000</v>
      </c>
    </row>
    <row r="23" spans="2:20" x14ac:dyDescent="0.25">
      <c r="B23" s="3"/>
      <c r="C23" s="4" t="s">
        <v>15</v>
      </c>
      <c r="D23" s="57" t="s">
        <v>188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T23" s="9"/>
    </row>
    <row r="24" spans="2:20" x14ac:dyDescent="0.25">
      <c r="B24" s="5"/>
      <c r="C24" s="6" t="s">
        <v>12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f t="shared" si="7"/>
        <v>12</v>
      </c>
      <c r="Q24" s="9">
        <v>14000</v>
      </c>
      <c r="R24" s="9">
        <f>+Q24/12*P24</f>
        <v>14000</v>
      </c>
      <c r="T24" s="9">
        <f>+R24</f>
        <v>14000</v>
      </c>
    </row>
    <row r="27" spans="2:20" x14ac:dyDescent="0.25">
      <c r="B27" s="1" t="s">
        <v>20</v>
      </c>
      <c r="C27" s="2"/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f t="shared" ref="P27:P31" si="9">SUM(D27:O27)</f>
        <v>12</v>
      </c>
      <c r="Q27" s="9">
        <v>30000</v>
      </c>
      <c r="R27" s="9">
        <f>+Q27/12*P27</f>
        <v>30000</v>
      </c>
      <c r="T27" s="9">
        <f t="shared" ref="T27:T31" si="10">+R27</f>
        <v>30000</v>
      </c>
    </row>
    <row r="28" spans="2:20" x14ac:dyDescent="0.25">
      <c r="B28" s="3"/>
      <c r="C28" s="4" t="s">
        <v>11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f t="shared" si="9"/>
        <v>12</v>
      </c>
      <c r="Q28" s="9">
        <v>20000</v>
      </c>
      <c r="R28" s="9">
        <f>+Q28/12*P28</f>
        <v>20000</v>
      </c>
      <c r="T28" s="9">
        <f t="shared" si="10"/>
        <v>20000</v>
      </c>
    </row>
    <row r="29" spans="2:20" x14ac:dyDescent="0.25">
      <c r="B29" s="3"/>
      <c r="C29" s="4" t="s">
        <v>10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f t="shared" si="9"/>
        <v>12</v>
      </c>
      <c r="Q29" s="9">
        <v>20000</v>
      </c>
      <c r="R29" s="9">
        <f>+Q29/12*P29</f>
        <v>20000</v>
      </c>
      <c r="T29" s="9">
        <f t="shared" si="10"/>
        <v>20000</v>
      </c>
    </row>
    <row r="30" spans="2:20" x14ac:dyDescent="0.25">
      <c r="B30" s="3"/>
      <c r="C30" s="4" t="s">
        <v>26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f t="shared" si="9"/>
        <v>12</v>
      </c>
      <c r="Q30" s="9">
        <v>14000</v>
      </c>
      <c r="R30" s="9">
        <f>+Q30/12*P30</f>
        <v>14000</v>
      </c>
      <c r="T30" s="9">
        <f t="shared" si="10"/>
        <v>14000</v>
      </c>
    </row>
    <row r="31" spans="2:20" x14ac:dyDescent="0.25">
      <c r="B31" s="5"/>
      <c r="C31" s="6" t="s">
        <v>12</v>
      </c>
      <c r="D31">
        <v>0.5</v>
      </c>
      <c r="E31">
        <v>0.5</v>
      </c>
      <c r="F31">
        <v>0.5</v>
      </c>
      <c r="G31">
        <v>0.5</v>
      </c>
      <c r="H31">
        <v>0.5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f t="shared" si="9"/>
        <v>6</v>
      </c>
      <c r="Q31" s="9">
        <v>14000</v>
      </c>
      <c r="R31" s="9">
        <f>+Q31/12*P31</f>
        <v>7000</v>
      </c>
      <c r="T31" s="9">
        <f t="shared" si="10"/>
        <v>7000</v>
      </c>
    </row>
    <row r="33" spans="2:20" x14ac:dyDescent="0.25">
      <c r="B33" s="1" t="s">
        <v>21</v>
      </c>
      <c r="C33" s="2"/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f t="shared" ref="P33:P36" si="11">SUM(D33:O33)</f>
        <v>12</v>
      </c>
      <c r="Q33" s="9">
        <v>30000</v>
      </c>
      <c r="R33" s="9">
        <f>+Q33/12*P33</f>
        <v>30000</v>
      </c>
      <c r="T33" s="9">
        <f t="shared" ref="T33:T36" si="12">+R33</f>
        <v>30000</v>
      </c>
    </row>
    <row r="34" spans="2:20" x14ac:dyDescent="0.25">
      <c r="B34" s="3"/>
      <c r="C34" s="4" t="s">
        <v>16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f t="shared" si="11"/>
        <v>12</v>
      </c>
      <c r="Q34" s="9">
        <v>14000</v>
      </c>
      <c r="R34" s="9">
        <f>+Q34/12*P34</f>
        <v>14000</v>
      </c>
      <c r="T34" s="9">
        <f t="shared" si="12"/>
        <v>14000</v>
      </c>
    </row>
    <row r="35" spans="2:20" x14ac:dyDescent="0.25">
      <c r="B35" s="3"/>
      <c r="C35" s="4" t="s">
        <v>17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f t="shared" si="11"/>
        <v>12</v>
      </c>
      <c r="Q35" s="9">
        <v>14000</v>
      </c>
      <c r="R35" s="9">
        <f>+Q35/12*P35</f>
        <v>14000</v>
      </c>
      <c r="T35" s="9">
        <f t="shared" si="12"/>
        <v>14000</v>
      </c>
    </row>
    <row r="36" spans="2:20" x14ac:dyDescent="0.25">
      <c r="B36" s="5"/>
      <c r="C36" s="6" t="s">
        <v>18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f t="shared" si="11"/>
        <v>12</v>
      </c>
      <c r="Q36" s="9">
        <v>14000</v>
      </c>
      <c r="R36" s="9">
        <f>+Q36/12*P36</f>
        <v>14000</v>
      </c>
      <c r="T36" s="9">
        <f t="shared" si="12"/>
        <v>14000</v>
      </c>
    </row>
    <row r="38" spans="2:20" x14ac:dyDescent="0.25">
      <c r="R38" s="9">
        <f>SUM(R4:R37)</f>
        <v>463000</v>
      </c>
      <c r="T38" s="9">
        <f>SUM(T4:T37)</f>
        <v>463000</v>
      </c>
    </row>
  </sheetData>
  <mergeCells count="1">
    <mergeCell ref="D23:P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6"/>
  <sheetViews>
    <sheetView tabSelected="1" workbookViewId="0">
      <selection activeCell="D27" sqref="D27"/>
    </sheetView>
  </sheetViews>
  <sheetFormatPr defaultColWidth="11.42578125" defaultRowHeight="15" x14ac:dyDescent="0.25"/>
  <cols>
    <col min="2" max="2" width="27.85546875" bestFit="1" customWidth="1"/>
  </cols>
  <sheetData>
    <row r="2" spans="2:3" x14ac:dyDescent="0.25">
      <c r="C2" s="11" t="s">
        <v>187</v>
      </c>
    </row>
    <row r="4" spans="2:3" x14ac:dyDescent="0.25">
      <c r="B4" s="45" t="s">
        <v>2</v>
      </c>
      <c r="C4" s="46"/>
    </row>
    <row r="6" spans="2:3" x14ac:dyDescent="0.25">
      <c r="B6" s="45" t="s">
        <v>156</v>
      </c>
      <c r="C6" s="46"/>
    </row>
    <row r="7" spans="2:3" x14ac:dyDescent="0.25">
      <c r="B7" s="45" t="s">
        <v>153</v>
      </c>
      <c r="C7" s="46"/>
    </row>
    <row r="8" spans="2:3" x14ac:dyDescent="0.25">
      <c r="B8" s="45" t="s">
        <v>154</v>
      </c>
      <c r="C8" s="46"/>
    </row>
    <row r="9" spans="2:3" x14ac:dyDescent="0.25">
      <c r="B9" s="45" t="s">
        <v>155</v>
      </c>
      <c r="C9" s="46"/>
    </row>
    <row r="10" spans="2:3" x14ac:dyDescent="0.25">
      <c r="B10" s="45" t="s">
        <v>160</v>
      </c>
      <c r="C10" s="46"/>
    </row>
    <row r="11" spans="2:3" x14ac:dyDescent="0.25">
      <c r="B11" s="45" t="s">
        <v>158</v>
      </c>
      <c r="C11" s="46"/>
    </row>
    <row r="12" spans="2:3" x14ac:dyDescent="0.25">
      <c r="B12" s="45" t="s">
        <v>157</v>
      </c>
      <c r="C12" s="46"/>
    </row>
    <row r="13" spans="2:3" x14ac:dyDescent="0.25">
      <c r="C13" s="9">
        <f>SUM(C6:C12)</f>
        <v>0</v>
      </c>
    </row>
    <row r="16" spans="2:3" x14ac:dyDescent="0.25">
      <c r="B16" s="45" t="s">
        <v>186</v>
      </c>
      <c r="C16" s="46">
        <f>+C4-C13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Datos generales</vt:lpstr>
      <vt:lpstr>Datps Vemtas</vt:lpstr>
      <vt:lpstr>Datos Producción</vt:lpstr>
      <vt:lpstr>Personal</vt:lpstr>
      <vt:lpstr>Formato Cuenta Rdos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PORTATIL28</cp:lastModifiedBy>
  <cp:lastPrinted>2021-10-19T08:10:20Z</cp:lastPrinted>
  <dcterms:created xsi:type="dcterms:W3CDTF">2021-10-15T09:58:10Z</dcterms:created>
  <dcterms:modified xsi:type="dcterms:W3CDTF">2023-12-16T12:22:23Z</dcterms:modified>
</cp:coreProperties>
</file>