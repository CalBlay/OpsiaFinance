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1\Corporate Finance\C2\"/>
    </mc:Choice>
  </mc:AlternateContent>
  <xr:revisionPtr revIDLastSave="0" documentId="13_ncr:1_{E926F5AC-0B3F-43ED-A12F-09A9DB609B13}" xr6:coauthVersionLast="47" xr6:coauthVersionMax="47" xr10:uidLastSave="{00000000-0000-0000-0000-000000000000}"/>
  <bookViews>
    <workbookView xWindow="22932" yWindow="-60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8" i="1" l="1"/>
  <c r="H77" i="1"/>
  <c r="H72" i="1"/>
  <c r="J70" i="1"/>
  <c r="J68" i="1"/>
  <c r="H73" i="1"/>
  <c r="I73" i="1" s="1"/>
  <c r="H69" i="1"/>
  <c r="I75" i="1"/>
  <c r="J33" i="1"/>
  <c r="H74" i="1"/>
  <c r="H75" i="1"/>
  <c r="H66" i="1"/>
  <c r="H65" i="1"/>
  <c r="H64" i="1"/>
  <c r="H55" i="1"/>
  <c r="I53" i="1"/>
  <c r="I51" i="1"/>
  <c r="I36" i="1"/>
  <c r="H38" i="1" s="1"/>
  <c r="I34" i="1"/>
  <c r="H50" i="1"/>
  <c r="H56" i="1" s="1"/>
  <c r="H52" i="1"/>
  <c r="H53" i="1"/>
  <c r="H51" i="1"/>
  <c r="H48" i="1"/>
  <c r="H47" i="1"/>
  <c r="H46" i="1"/>
  <c r="H33" i="1"/>
  <c r="J29" i="1"/>
  <c r="H23" i="1"/>
  <c r="H21" i="1"/>
  <c r="H18" i="1"/>
  <c r="H17" i="1"/>
  <c r="H39" i="1" l="1"/>
  <c r="H11" i="1" l="1"/>
  <c r="H7" i="1" l="1"/>
  <c r="H6" i="1"/>
  <c r="H5" i="1"/>
  <c r="C30" i="1"/>
  <c r="C38" i="1"/>
  <c r="C34" i="1"/>
  <c r="H10" i="1" s="1"/>
  <c r="C23" i="1"/>
  <c r="C17" i="1"/>
  <c r="H9" i="1" s="1"/>
  <c r="B5" i="1"/>
  <c r="B11" i="1" s="1"/>
  <c r="C40" i="1" l="1"/>
  <c r="C29" i="1"/>
  <c r="B12" i="1"/>
  <c r="B13" i="1" l="1"/>
  <c r="H29" i="1" s="1"/>
  <c r="J28" i="1"/>
  <c r="C12" i="1"/>
  <c r="H20" i="1"/>
  <c r="H34" i="1" s="1"/>
  <c r="H8" i="1"/>
  <c r="H31" i="1" l="1"/>
  <c r="H30" i="1"/>
  <c r="H4" i="1"/>
  <c r="H12" i="1" s="1"/>
  <c r="H16" i="1"/>
  <c r="H42" i="1"/>
  <c r="H35" i="1" l="1"/>
  <c r="H36" i="1"/>
  <c r="H24" i="1"/>
  <c r="H59" i="1"/>
  <c r="H81" i="1"/>
</calcChain>
</file>

<file path=xl/sharedStrings.xml><?xml version="1.0" encoding="utf-8"?>
<sst xmlns="http://schemas.openxmlformats.org/spreadsheetml/2006/main" count="109" uniqueCount="78">
  <si>
    <t>Cuenta resultados</t>
  </si>
  <si>
    <t>Año N</t>
  </si>
  <si>
    <t>Ventas</t>
  </si>
  <si>
    <t>Coste de ventas</t>
  </si>
  <si>
    <t>Margen contribución</t>
  </si>
  <si>
    <t>Salarios</t>
  </si>
  <si>
    <t>Alquileres</t>
  </si>
  <si>
    <t>Resto gastos generales</t>
  </si>
  <si>
    <t>Amortizaciones</t>
  </si>
  <si>
    <t>Resultado financiero</t>
  </si>
  <si>
    <t>Resultado antes impuestos</t>
  </si>
  <si>
    <t xml:space="preserve">Balance </t>
  </si>
  <si>
    <t>Activo corriente</t>
  </si>
  <si>
    <t>Existencias</t>
  </si>
  <si>
    <t>Deudores comerciales</t>
  </si>
  <si>
    <t>Inversiones financieras a c/p</t>
  </si>
  <si>
    <t>Periodificaciones a c/p</t>
  </si>
  <si>
    <t>Efectivo y otros activos líquidos</t>
  </si>
  <si>
    <t>Activo no corriente</t>
  </si>
  <si>
    <t>Intangible</t>
  </si>
  <si>
    <t>Material</t>
  </si>
  <si>
    <t>Inversiones inmobiliarias</t>
  </si>
  <si>
    <t>Inversiones financieras a l/p</t>
  </si>
  <si>
    <t>Activos por impuesto diferido</t>
  </si>
  <si>
    <t>Total activo</t>
  </si>
  <si>
    <t>Patrimonio neto</t>
  </si>
  <si>
    <t>Pasivo corriente</t>
  </si>
  <si>
    <t>Provisiones a corto plazo</t>
  </si>
  <si>
    <t>Deuda bancaria a c/p</t>
  </si>
  <si>
    <t>Acreedores comerciales y otras cuentas a pagar</t>
  </si>
  <si>
    <t>Pasivo no corriente</t>
  </si>
  <si>
    <t>Deuda bancaria a l/p</t>
  </si>
  <si>
    <t>Total pasivo</t>
  </si>
  <si>
    <t>1.- WACC</t>
  </si>
  <si>
    <t>Resultado después impuestos</t>
  </si>
  <si>
    <t>Beneficio retenido (60%)</t>
  </si>
  <si>
    <t>Dividendo (40%)</t>
  </si>
  <si>
    <t>kd</t>
  </si>
  <si>
    <t>D</t>
  </si>
  <si>
    <t>ke</t>
  </si>
  <si>
    <t>E</t>
  </si>
  <si>
    <t xml:space="preserve"> Ke . E/(E+D)</t>
  </si>
  <si>
    <t>Kd . D(1-i)/(E+D)</t>
  </si>
  <si>
    <t>WACC = Ke . E/(E+D) + Kd . D(1-i)/(E+D)</t>
  </si>
  <si>
    <t>2.-  WACC con dividendo 60%</t>
  </si>
  <si>
    <t>Beneficio retenido (40%)</t>
  </si>
  <si>
    <t>Dividendo (60%)</t>
  </si>
  <si>
    <t>Préstamo</t>
  </si>
  <si>
    <t>Tipo préstamo</t>
  </si>
  <si>
    <t>Deuda actual</t>
  </si>
  <si>
    <t>Tipo actual</t>
  </si>
  <si>
    <t>3.-  WACC con préstamo 1.000.000 a 5%</t>
  </si>
  <si>
    <t>Resultado después de impuestos</t>
  </si>
  <si>
    <t>Impuesto sobre beneficios</t>
  </si>
  <si>
    <t>Capitales invertidos</t>
  </si>
  <si>
    <t>Inmovilizados</t>
  </si>
  <si>
    <t>Inversiones</t>
  </si>
  <si>
    <t>Otros</t>
  </si>
  <si>
    <t>NOF</t>
  </si>
  <si>
    <t>Activo corriente operativo</t>
  </si>
  <si>
    <t>Pasivo corriente operativo</t>
  </si>
  <si>
    <t>Inversiones financieras temporales</t>
  </si>
  <si>
    <t>Total</t>
  </si>
  <si>
    <t>Capitales empleados</t>
  </si>
  <si>
    <t>Capital y reservas</t>
  </si>
  <si>
    <t>Pérdidas y ganancias</t>
  </si>
  <si>
    <t>Deudas a largo plazo</t>
  </si>
  <si>
    <t>Otros pasivos no corrientes</t>
  </si>
  <si>
    <t>Deudas  a corto plazo</t>
  </si>
  <si>
    <t>BALANCE FINANCIERO</t>
  </si>
  <si>
    <t>Capital social</t>
  </si>
  <si>
    <t>Reservas</t>
  </si>
  <si>
    <t>Resultado neto del ejercicio</t>
  </si>
  <si>
    <t>i</t>
  </si>
  <si>
    <t>Peso</t>
  </si>
  <si>
    <t>% i</t>
  </si>
  <si>
    <t>%g.financ</t>
  </si>
  <si>
    <t>%gast financ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</si>
</sst>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Proxima Nova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/>
    <xf numFmtId="164" fontId="2" fillId="2" borderId="2" xfId="1" applyFont="1" applyFill="1" applyBorder="1"/>
    <xf numFmtId="0" fontId="0" fillId="0" borderId="3" xfId="0" applyBorder="1"/>
    <xf numFmtId="164" fontId="0" fillId="0" borderId="4" xfId="1" applyFont="1" applyBorder="1"/>
    <xf numFmtId="0" fontId="3" fillId="3" borderId="3" xfId="0" applyFont="1" applyFill="1" applyBorder="1"/>
    <xf numFmtId="164" fontId="0" fillId="3" borderId="4" xfId="1" applyFont="1" applyFill="1" applyBorder="1"/>
    <xf numFmtId="0" fontId="2" fillId="2" borderId="5" xfId="0" applyFont="1" applyFill="1" applyBorder="1"/>
    <xf numFmtId="164" fontId="2" fillId="2" borderId="6" xfId="1" applyFont="1" applyFill="1" applyBorder="1"/>
    <xf numFmtId="164" fontId="0" fillId="0" borderId="0" xfId="1" applyFont="1"/>
    <xf numFmtId="0" fontId="0" fillId="3" borderId="3" xfId="0" applyFill="1" applyBorder="1"/>
    <xf numFmtId="164" fontId="0" fillId="3" borderId="0" xfId="1" applyFont="1" applyFill="1" applyBorder="1"/>
    <xf numFmtId="164" fontId="0" fillId="0" borderId="0" xfId="1" applyFont="1" applyBorder="1"/>
    <xf numFmtId="0" fontId="2" fillId="2" borderId="3" xfId="0" applyFont="1" applyFill="1" applyBorder="1"/>
    <xf numFmtId="164" fontId="2" fillId="2" borderId="0" xfId="1" applyFont="1" applyFill="1" applyBorder="1"/>
    <xf numFmtId="164" fontId="2" fillId="2" borderId="4" xfId="1" applyFont="1" applyFill="1" applyBorder="1"/>
    <xf numFmtId="164" fontId="2" fillId="2" borderId="8" xfId="1" applyFont="1" applyFill="1" applyBorder="1"/>
    <xf numFmtId="0" fontId="3" fillId="0" borderId="0" xfId="0" applyFont="1"/>
    <xf numFmtId="10" fontId="0" fillId="0" borderId="0" xfId="2" applyNumberFormat="1" applyFont="1"/>
    <xf numFmtId="0" fontId="0" fillId="0" borderId="1" xfId="0" applyBorder="1"/>
    <xf numFmtId="164" fontId="0" fillId="0" borderId="2" xfId="1" applyFont="1" applyBorder="1"/>
    <xf numFmtId="10" fontId="0" fillId="0" borderId="4" xfId="2" applyNumberFormat="1" applyFont="1" applyBorder="1"/>
    <xf numFmtId="0" fontId="4" fillId="0" borderId="9" xfId="0" applyFont="1" applyBorder="1" applyAlignment="1">
      <alignment horizontal="center" vertical="center" readingOrder="1"/>
    </xf>
    <xf numFmtId="10" fontId="3" fillId="0" borderId="10" xfId="1" applyNumberFormat="1" applyFont="1" applyBorder="1"/>
    <xf numFmtId="9" fontId="0" fillId="0" borderId="4" xfId="1" applyNumberFormat="1" applyFont="1" applyBorder="1"/>
    <xf numFmtId="0" fontId="2" fillId="2" borderId="0" xfId="0" applyFont="1" applyFill="1"/>
    <xf numFmtId="0" fontId="0" fillId="3" borderId="3" xfId="0" applyFill="1" applyBorder="1" applyAlignment="1">
      <alignment wrapText="1"/>
    </xf>
    <xf numFmtId="164" fontId="0" fillId="0" borderId="0" xfId="1" applyFont="1" applyFill="1" applyBorder="1"/>
    <xf numFmtId="164" fontId="0" fillId="0" borderId="4" xfId="1" applyFont="1" applyFill="1" applyBorder="1"/>
    <xf numFmtId="9" fontId="0" fillId="0" borderId="0" xfId="2" applyFont="1"/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4" fontId="0" fillId="0" borderId="0" xfId="0" applyNumberFormat="1"/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3">
    <cellStyle name="Coma" xfId="1" builtinId="3"/>
    <cellStyle name="Normal" xfId="0" builtinId="0"/>
    <cellStyle name="Percentat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topLeftCell="A36" workbookViewId="0">
      <selection activeCell="A48" sqref="A48"/>
    </sheetView>
  </sheetViews>
  <sheetFormatPr defaultColWidth="11.42578125" defaultRowHeight="15"/>
  <cols>
    <col min="1" max="1" width="43.28515625" bestFit="1" customWidth="1"/>
    <col min="2" max="2" width="15.5703125" bestFit="1" customWidth="1"/>
    <col min="3" max="3" width="18.140625" customWidth="1"/>
    <col min="7" max="7" width="36.85546875" customWidth="1"/>
    <col min="8" max="8" width="17.140625" customWidth="1"/>
    <col min="10" max="10" width="14.42578125" customWidth="1"/>
    <col min="11" max="11" width="13.140625" bestFit="1" customWidth="1"/>
  </cols>
  <sheetData>
    <row r="1" spans="1:8">
      <c r="A1" s="1" t="s">
        <v>0</v>
      </c>
      <c r="B1" s="2" t="s">
        <v>1</v>
      </c>
      <c r="G1" s="17" t="s">
        <v>69</v>
      </c>
    </row>
    <row r="2" spans="1:8" ht="15.75" thickBot="1">
      <c r="A2" s="3"/>
      <c r="B2" s="4"/>
    </row>
    <row r="3" spans="1:8">
      <c r="A3" s="3" t="s">
        <v>2</v>
      </c>
      <c r="B3" s="4">
        <v>28640179.370000001</v>
      </c>
      <c r="G3" s="1" t="s">
        <v>54</v>
      </c>
      <c r="H3" s="2" t="s">
        <v>1</v>
      </c>
    </row>
    <row r="4" spans="1:8">
      <c r="A4" s="3" t="s">
        <v>3</v>
      </c>
      <c r="B4" s="4">
        <v>14137051.630000001</v>
      </c>
      <c r="G4" s="10" t="s">
        <v>18</v>
      </c>
      <c r="H4" s="6">
        <f>SUM(H5:H7)</f>
        <v>10960785.169999998</v>
      </c>
    </row>
    <row r="5" spans="1:8">
      <c r="A5" s="5" t="s">
        <v>4</v>
      </c>
      <c r="B5" s="6">
        <f>B3-B4</f>
        <v>14503127.74</v>
      </c>
      <c r="G5" s="3" t="s">
        <v>55</v>
      </c>
      <c r="H5" s="4">
        <f>+B24+B25</f>
        <v>9897122.4999999981</v>
      </c>
    </row>
    <row r="6" spans="1:8">
      <c r="A6" s="3" t="s">
        <v>5</v>
      </c>
      <c r="B6" s="4">
        <v>6202467.21</v>
      </c>
      <c r="G6" s="3" t="s">
        <v>56</v>
      </c>
      <c r="H6" s="4">
        <f>+B26+B27</f>
        <v>812920.1399999999</v>
      </c>
    </row>
    <row r="7" spans="1:8">
      <c r="A7" s="3" t="s">
        <v>6</v>
      </c>
      <c r="B7" s="4">
        <v>3628919.8</v>
      </c>
      <c r="G7" s="3" t="s">
        <v>57</v>
      </c>
      <c r="H7" s="4">
        <f>+B28</f>
        <v>250742.53</v>
      </c>
    </row>
    <row r="8" spans="1:8">
      <c r="A8" s="3" t="s">
        <v>7</v>
      </c>
      <c r="B8" s="4">
        <v>1884169.16</v>
      </c>
      <c r="G8" s="10" t="s">
        <v>58</v>
      </c>
      <c r="H8" s="6">
        <f>H9-H10</f>
        <v>7658909.620000001</v>
      </c>
    </row>
    <row r="9" spans="1:8" ht="21" customHeight="1">
      <c r="A9" s="3" t="s">
        <v>8</v>
      </c>
      <c r="B9" s="4">
        <v>1152161.3400000001</v>
      </c>
      <c r="G9" s="3" t="s">
        <v>59</v>
      </c>
      <c r="H9" s="4">
        <f>+C17-B20</f>
        <v>10064452.960000001</v>
      </c>
    </row>
    <row r="10" spans="1:8">
      <c r="A10" s="3" t="s">
        <v>9</v>
      </c>
      <c r="B10" s="4">
        <v>39331.269999999997</v>
      </c>
      <c r="G10" s="3" t="s">
        <v>60</v>
      </c>
      <c r="H10" s="4">
        <f>+C34-B36</f>
        <v>2405543.34</v>
      </c>
    </row>
    <row r="11" spans="1:8" ht="15.75" thickBot="1">
      <c r="A11" s="7" t="s">
        <v>10</v>
      </c>
      <c r="B11" s="8">
        <f>B5-SUM(B6:B10)</f>
        <v>1596078.9600000009</v>
      </c>
      <c r="G11" s="26" t="s">
        <v>61</v>
      </c>
      <c r="H11" s="6">
        <f>+B20</f>
        <v>1595202.28</v>
      </c>
    </row>
    <row r="12" spans="1:8" ht="15.75" thickBot="1">
      <c r="A12" s="3" t="s">
        <v>53</v>
      </c>
      <c r="B12" s="4">
        <f>B11*0.25</f>
        <v>399019.74000000022</v>
      </c>
      <c r="C12" s="29">
        <f>+B12/B11</f>
        <v>0.25</v>
      </c>
      <c r="G12" s="7" t="s">
        <v>62</v>
      </c>
      <c r="H12" s="8">
        <f>H4+H8+H11</f>
        <v>20214897.07</v>
      </c>
    </row>
    <row r="13" spans="1:8">
      <c r="A13" s="25" t="s">
        <v>52</v>
      </c>
      <c r="B13" s="14">
        <f>B11-B12</f>
        <v>1197059.2200000007</v>
      </c>
    </row>
    <row r="14" spans="1:8" ht="15.75" thickBot="1">
      <c r="B14" s="9"/>
    </row>
    <row r="15" spans="1:8" ht="15.75" thickBot="1">
      <c r="B15" s="9"/>
      <c r="G15" s="1" t="s">
        <v>63</v>
      </c>
      <c r="H15" s="2" t="s">
        <v>1</v>
      </c>
    </row>
    <row r="16" spans="1:8">
      <c r="A16" s="1" t="s">
        <v>11</v>
      </c>
      <c r="B16" s="33" t="s">
        <v>1</v>
      </c>
      <c r="C16" s="34"/>
      <c r="G16" s="10" t="s">
        <v>25</v>
      </c>
      <c r="H16" s="6">
        <f>SUM(H17:H19)</f>
        <v>13891676.610000001</v>
      </c>
    </row>
    <row r="17" spans="1:10">
      <c r="A17" s="10" t="s">
        <v>12</v>
      </c>
      <c r="B17" s="11"/>
      <c r="C17" s="6">
        <f>SUM(B18:B22)</f>
        <v>11659655.24</v>
      </c>
      <c r="G17" s="3" t="s">
        <v>64</v>
      </c>
      <c r="H17" s="4">
        <f>+B31+B32</f>
        <v>12694617.390000001</v>
      </c>
    </row>
    <row r="18" spans="1:10">
      <c r="A18" s="3" t="s">
        <v>13</v>
      </c>
      <c r="B18" s="12">
        <v>8266139.120000001</v>
      </c>
      <c r="C18" s="4"/>
      <c r="G18" s="3" t="s">
        <v>65</v>
      </c>
      <c r="H18" s="4">
        <f>+B33</f>
        <v>1197059.22</v>
      </c>
    </row>
    <row r="19" spans="1:10">
      <c r="A19" s="3" t="s">
        <v>14</v>
      </c>
      <c r="B19" s="12">
        <v>245324.61</v>
      </c>
      <c r="C19" s="4"/>
      <c r="G19" s="3" t="s">
        <v>57</v>
      </c>
      <c r="H19" s="4">
        <v>0</v>
      </c>
    </row>
    <row r="20" spans="1:10">
      <c r="A20" s="3" t="s">
        <v>15</v>
      </c>
      <c r="B20" s="12">
        <v>1595202.28</v>
      </c>
      <c r="C20" s="4"/>
      <c r="G20" s="10" t="s">
        <v>30</v>
      </c>
      <c r="H20" s="6">
        <f>SUM(H21:H22)</f>
        <v>3805661.17</v>
      </c>
    </row>
    <row r="21" spans="1:10">
      <c r="A21" s="3" t="s">
        <v>16</v>
      </c>
      <c r="B21" s="12">
        <v>184024.5</v>
      </c>
      <c r="C21" s="4"/>
      <c r="G21" s="3" t="s">
        <v>66</v>
      </c>
      <c r="H21" s="4">
        <f>+B39</f>
        <v>3805661.17</v>
      </c>
    </row>
    <row r="22" spans="1:10">
      <c r="A22" s="3" t="s">
        <v>17</v>
      </c>
      <c r="B22" s="12">
        <v>1368964.7300000002</v>
      </c>
      <c r="C22" s="4"/>
      <c r="G22" s="3" t="s">
        <v>67</v>
      </c>
      <c r="H22" s="4">
        <v>0</v>
      </c>
    </row>
    <row r="23" spans="1:10">
      <c r="A23" s="10" t="s">
        <v>18</v>
      </c>
      <c r="B23" s="11"/>
      <c r="C23" s="6">
        <f>SUM(B24:B28)</f>
        <v>10960785.169999996</v>
      </c>
      <c r="G23" s="10" t="s">
        <v>68</v>
      </c>
      <c r="H23" s="6">
        <f>+B36</f>
        <v>2517559.29</v>
      </c>
    </row>
    <row r="24" spans="1:10" ht="15.75" thickBot="1">
      <c r="A24" s="3" t="s">
        <v>19</v>
      </c>
      <c r="B24" s="12">
        <v>1017633.2</v>
      </c>
      <c r="C24" s="4"/>
      <c r="G24" s="7" t="s">
        <v>62</v>
      </c>
      <c r="H24" s="8">
        <f>H16+H20+H23</f>
        <v>20214897.07</v>
      </c>
    </row>
    <row r="25" spans="1:10">
      <c r="A25" s="3" t="s">
        <v>20</v>
      </c>
      <c r="B25" s="12">
        <v>8879489.2999999989</v>
      </c>
      <c r="C25" s="4"/>
    </row>
    <row r="26" spans="1:10">
      <c r="A26" s="3" t="s">
        <v>21</v>
      </c>
      <c r="B26" s="12">
        <v>155818.53999999998</v>
      </c>
      <c r="C26" s="4"/>
    </row>
    <row r="27" spans="1:10">
      <c r="A27" s="3" t="s">
        <v>22</v>
      </c>
      <c r="B27" s="12">
        <v>657101.6</v>
      </c>
      <c r="C27" s="4"/>
      <c r="G27" s="17" t="s">
        <v>33</v>
      </c>
      <c r="H27" s="9"/>
    </row>
    <row r="28" spans="1:10" ht="15.75" thickBot="1">
      <c r="A28" s="3" t="s">
        <v>23</v>
      </c>
      <c r="B28" s="12">
        <v>250742.53</v>
      </c>
      <c r="C28" s="4"/>
      <c r="H28" s="18"/>
      <c r="I28" s="31" t="s">
        <v>73</v>
      </c>
      <c r="J28" s="30">
        <f>+B12</f>
        <v>399019.74000000022</v>
      </c>
    </row>
    <row r="29" spans="1:10">
      <c r="A29" s="13" t="s">
        <v>24</v>
      </c>
      <c r="B29" s="14"/>
      <c r="C29" s="15">
        <f>C17+C23</f>
        <v>22620440.409999996</v>
      </c>
      <c r="G29" s="19" t="s">
        <v>34</v>
      </c>
      <c r="H29" s="20">
        <f>+B13</f>
        <v>1197059.2200000007</v>
      </c>
      <c r="I29" t="s">
        <v>75</v>
      </c>
      <c r="J29" s="21">
        <f>+J28/B11</f>
        <v>0.25</v>
      </c>
    </row>
    <row r="30" spans="1:10">
      <c r="A30" s="10" t="s">
        <v>25</v>
      </c>
      <c r="B30" s="11"/>
      <c r="C30" s="6">
        <f>SUM(B31:B33)</f>
        <v>13891676.610000001</v>
      </c>
      <c r="G30" s="3" t="s">
        <v>35</v>
      </c>
      <c r="H30" s="4">
        <f>+H29*0.6</f>
        <v>718235.53200000036</v>
      </c>
    </row>
    <row r="31" spans="1:10">
      <c r="A31" s="3" t="s">
        <v>70</v>
      </c>
      <c r="B31" s="27">
        <v>200000</v>
      </c>
      <c r="C31" s="28"/>
      <c r="G31" s="3" t="s">
        <v>36</v>
      </c>
      <c r="H31" s="4">
        <f>+H29*0.4</f>
        <v>478823.68800000031</v>
      </c>
    </row>
    <row r="32" spans="1:10">
      <c r="A32" s="3" t="s">
        <v>71</v>
      </c>
      <c r="B32" s="27">
        <v>12494617.390000001</v>
      </c>
      <c r="C32" s="28"/>
      <c r="G32" s="3"/>
      <c r="H32" s="21"/>
    </row>
    <row r="33" spans="1:10">
      <c r="A33" s="3" t="s">
        <v>72</v>
      </c>
      <c r="B33" s="27">
        <v>1197059.22</v>
      </c>
      <c r="C33" s="28"/>
      <c r="G33" s="3" t="s">
        <v>37</v>
      </c>
      <c r="H33" s="21">
        <f>J33*(1-J29)</f>
        <v>4.6650994831832892E-3</v>
      </c>
      <c r="I33" t="s">
        <v>76</v>
      </c>
      <c r="J33" s="21">
        <f>+$B$10/H34</f>
        <v>6.220132644244385E-3</v>
      </c>
    </row>
    <row r="34" spans="1:10">
      <c r="A34" s="10" t="s">
        <v>26</v>
      </c>
      <c r="B34" s="11"/>
      <c r="C34" s="6">
        <f>SUM(B35:B37)</f>
        <v>4923102.63</v>
      </c>
      <c r="G34" s="3" t="s">
        <v>38</v>
      </c>
      <c r="H34" s="4">
        <f>+H20+H23</f>
        <v>6323220.46</v>
      </c>
      <c r="I34" s="29">
        <f>H34/$H$24</f>
        <v>0.31280003247624749</v>
      </c>
      <c r="J34" t="s">
        <v>74</v>
      </c>
    </row>
    <row r="35" spans="1:10">
      <c r="A35" s="3" t="s">
        <v>27</v>
      </c>
      <c r="B35" s="12">
        <v>11488.3</v>
      </c>
      <c r="C35" s="4"/>
      <c r="G35" s="3" t="s">
        <v>39</v>
      </c>
      <c r="H35" s="21">
        <f>+H31/H36</f>
        <v>3.4468387181955877E-2</v>
      </c>
    </row>
    <row r="36" spans="1:10">
      <c r="A36" s="3" t="s">
        <v>28</v>
      </c>
      <c r="B36" s="12">
        <v>2517559.29</v>
      </c>
      <c r="C36" s="4"/>
      <c r="G36" s="3" t="s">
        <v>40</v>
      </c>
      <c r="H36" s="4">
        <f>+H16</f>
        <v>13891676.610000001</v>
      </c>
      <c r="I36" s="29">
        <f>+H36/$H$24</f>
        <v>0.68719996752375256</v>
      </c>
      <c r="J36" t="s">
        <v>74</v>
      </c>
    </row>
    <row r="37" spans="1:10">
      <c r="A37" s="3" t="s">
        <v>29</v>
      </c>
      <c r="B37" s="12">
        <v>2394055.04</v>
      </c>
      <c r="C37" s="4"/>
      <c r="G37" s="3"/>
      <c r="H37" s="4"/>
    </row>
    <row r="38" spans="1:10">
      <c r="A38" s="10" t="s">
        <v>30</v>
      </c>
      <c r="B38" s="11"/>
      <c r="C38" s="6">
        <f>SUM(B39)</f>
        <v>3805661.17</v>
      </c>
      <c r="G38" s="3" t="s">
        <v>41</v>
      </c>
      <c r="H38" s="21">
        <f>+H35*I36</f>
        <v>2.3686674552036206E-2</v>
      </c>
    </row>
    <row r="39" spans="1:10">
      <c r="A39" s="3" t="s">
        <v>31</v>
      </c>
      <c r="B39" s="12">
        <v>3805661.17</v>
      </c>
      <c r="C39" s="4"/>
      <c r="G39" s="3" t="s">
        <v>42</v>
      </c>
      <c r="H39" s="21">
        <f>+H33*I34</f>
        <v>1.4592432698446582E-3</v>
      </c>
    </row>
    <row r="40" spans="1:10" ht="15.75" thickBot="1">
      <c r="A40" s="7" t="s">
        <v>32</v>
      </c>
      <c r="B40" s="16"/>
      <c r="C40" s="8">
        <f>C30+C34+C38</f>
        <v>22620440.410000004</v>
      </c>
      <c r="G40" s="3"/>
      <c r="H40" s="4"/>
    </row>
    <row r="41" spans="1:10" ht="15.75" thickBot="1">
      <c r="G41" s="3"/>
      <c r="H41" s="4"/>
    </row>
    <row r="42" spans="1:10" ht="15.75" thickBot="1">
      <c r="G42" s="22" t="s">
        <v>43</v>
      </c>
      <c r="H42" s="23">
        <f>H38+H39</f>
        <v>2.5145917821880866E-2</v>
      </c>
    </row>
    <row r="43" spans="1:10">
      <c r="H43" s="9"/>
    </row>
    <row r="44" spans="1:10">
      <c r="G44" s="17" t="s">
        <v>44</v>
      </c>
      <c r="H44" s="9"/>
    </row>
    <row r="45" spans="1:10" ht="15.75" thickBot="1">
      <c r="H45" s="9"/>
    </row>
    <row r="46" spans="1:10">
      <c r="G46" s="19" t="s">
        <v>34</v>
      </c>
      <c r="H46" s="20">
        <f>+H29</f>
        <v>1197059.2200000007</v>
      </c>
    </row>
    <row r="47" spans="1:10">
      <c r="G47" s="3" t="s">
        <v>45</v>
      </c>
      <c r="H47" s="4">
        <f>+H46*0.4</f>
        <v>478823.68800000031</v>
      </c>
    </row>
    <row r="48" spans="1:10">
      <c r="G48" s="3" t="s">
        <v>46</v>
      </c>
      <c r="H48" s="4">
        <f>+H46*0.6</f>
        <v>718235.53200000036</v>
      </c>
    </row>
    <row r="49" spans="7:10">
      <c r="G49" s="3"/>
      <c r="H49" s="4"/>
    </row>
    <row r="50" spans="7:10">
      <c r="G50" s="3" t="s">
        <v>37</v>
      </c>
      <c r="H50" s="21">
        <f>J33*(1-J29)</f>
        <v>4.6650994831832892E-3</v>
      </c>
    </row>
    <row r="51" spans="7:10">
      <c r="G51" s="3" t="s">
        <v>38</v>
      </c>
      <c r="H51" s="4">
        <f>+H34</f>
        <v>6323220.46</v>
      </c>
      <c r="I51" s="29">
        <f>H51/$H$24</f>
        <v>0.31280003247624749</v>
      </c>
      <c r="J51" t="s">
        <v>74</v>
      </c>
    </row>
    <row r="52" spans="7:10">
      <c r="G52" s="3" t="s">
        <v>39</v>
      </c>
      <c r="H52" s="21">
        <f>+H48/H53</f>
        <v>5.1702580772933805E-2</v>
      </c>
    </row>
    <row r="53" spans="7:10">
      <c r="G53" s="3" t="s">
        <v>40</v>
      </c>
      <c r="H53" s="4">
        <f>+H36</f>
        <v>13891676.610000001</v>
      </c>
      <c r="I53" s="29">
        <f>+H53/$H$24</f>
        <v>0.68719996752375256</v>
      </c>
      <c r="J53" t="s">
        <v>74</v>
      </c>
    </row>
    <row r="54" spans="7:10">
      <c r="G54" s="3"/>
      <c r="H54" s="4"/>
    </row>
    <row r="55" spans="7:10">
      <c r="G55" s="3" t="s">
        <v>41</v>
      </c>
      <c r="H55" s="21">
        <f>+H52*I53</f>
        <v>3.5530011828054306E-2</v>
      </c>
    </row>
    <row r="56" spans="7:10">
      <c r="G56" s="3" t="s">
        <v>42</v>
      </c>
      <c r="H56" s="21">
        <f>+H50*I51</f>
        <v>1.4592432698446582E-3</v>
      </c>
    </row>
    <row r="57" spans="7:10">
      <c r="G57" s="3"/>
      <c r="H57" s="4"/>
    </row>
    <row r="58" spans="7:10" ht="15.75" thickBot="1">
      <c r="G58" s="3"/>
      <c r="H58" s="4"/>
    </row>
    <row r="59" spans="7:10" ht="15.75" thickBot="1">
      <c r="G59" s="22" t="s">
        <v>43</v>
      </c>
      <c r="H59" s="23">
        <f>H55+H56</f>
        <v>3.6989255097898965E-2</v>
      </c>
    </row>
    <row r="60" spans="7:10">
      <c r="H60" s="9"/>
    </row>
    <row r="61" spans="7:10">
      <c r="G61" s="17" t="s">
        <v>51</v>
      </c>
      <c r="H61" s="9"/>
    </row>
    <row r="62" spans="7:10">
      <c r="H62" s="9"/>
    </row>
    <row r="63" spans="7:10" ht="15.75" thickBot="1">
      <c r="H63" s="9"/>
    </row>
    <row r="64" spans="7:10">
      <c r="G64" s="19" t="s">
        <v>34</v>
      </c>
      <c r="H64" s="20">
        <f>+H29</f>
        <v>1197059.2200000007</v>
      </c>
    </row>
    <row r="65" spans="7:10">
      <c r="G65" s="3" t="s">
        <v>35</v>
      </c>
      <c r="H65" s="4">
        <f>+H30</f>
        <v>718235.53200000036</v>
      </c>
    </row>
    <row r="66" spans="7:10">
      <c r="G66" s="3" t="s">
        <v>36</v>
      </c>
      <c r="H66" s="4">
        <f>+H31</f>
        <v>478823.68800000031</v>
      </c>
    </row>
    <row r="67" spans="7:10">
      <c r="G67" s="3" t="s">
        <v>47</v>
      </c>
      <c r="H67" s="4">
        <v>1000000</v>
      </c>
    </row>
    <row r="68" spans="7:10">
      <c r="G68" s="3" t="s">
        <v>48</v>
      </c>
      <c r="H68" s="24">
        <v>0.05</v>
      </c>
      <c r="J68" s="32">
        <f>+H67*H68</f>
        <v>50000</v>
      </c>
    </row>
    <row r="69" spans="7:10">
      <c r="G69" s="3" t="s">
        <v>49</v>
      </c>
      <c r="H69" s="4">
        <f>+H67+H20+H23</f>
        <v>7323220.46</v>
      </c>
    </row>
    <row r="70" spans="7:10">
      <c r="G70" s="3" t="s">
        <v>50</v>
      </c>
      <c r="H70" s="21"/>
      <c r="I70" t="s">
        <v>77</v>
      </c>
      <c r="J70" s="21">
        <f>(J68+B10)/H69</f>
        <v>1.2198358698599112E-2</v>
      </c>
    </row>
    <row r="71" spans="7:10">
      <c r="G71" s="3"/>
      <c r="H71" s="21"/>
    </row>
    <row r="72" spans="7:10">
      <c r="G72" s="3" t="s">
        <v>37</v>
      </c>
      <c r="H72" s="21">
        <f>J70*(1-J29)</f>
        <v>9.1487690239493331E-3</v>
      </c>
    </row>
    <row r="73" spans="7:10">
      <c r="G73" s="3" t="s">
        <v>38</v>
      </c>
      <c r="H73" s="4">
        <f>+H69</f>
        <v>7323220.46</v>
      </c>
      <c r="I73" s="29">
        <f>H73/($H$24+H67)</f>
        <v>0.34519236345274429</v>
      </c>
      <c r="J73" t="s">
        <v>74</v>
      </c>
    </row>
    <row r="74" spans="7:10">
      <c r="G74" s="3" t="s">
        <v>39</v>
      </c>
      <c r="H74" s="21">
        <f>+H66/H75</f>
        <v>3.4468387181955877E-2</v>
      </c>
    </row>
    <row r="75" spans="7:10">
      <c r="G75" s="3" t="s">
        <v>40</v>
      </c>
      <c r="H75" s="4">
        <f>+H36</f>
        <v>13891676.610000001</v>
      </c>
      <c r="I75" s="29">
        <f>+H75/($H$24+H67)</f>
        <v>0.65480763654725571</v>
      </c>
      <c r="J75" t="s">
        <v>74</v>
      </c>
    </row>
    <row r="76" spans="7:10">
      <c r="G76" s="3"/>
      <c r="H76" s="4"/>
    </row>
    <row r="77" spans="7:10">
      <c r="G77" s="3" t="s">
        <v>41</v>
      </c>
      <c r="H77" s="21">
        <f>H72*I73</f>
        <v>3.1580852020603269E-3</v>
      </c>
    </row>
    <row r="78" spans="7:10">
      <c r="G78" s="3" t="s">
        <v>42</v>
      </c>
      <c r="H78" s="21">
        <f>+H74*I75</f>
        <v>2.2570163146212251E-2</v>
      </c>
    </row>
    <row r="79" spans="7:10">
      <c r="G79" s="3"/>
      <c r="H79" s="4"/>
    </row>
    <row r="80" spans="7:10" ht="15.75" thickBot="1">
      <c r="G80" s="3"/>
      <c r="H80" s="4"/>
    </row>
    <row r="81" spans="7:8" ht="15.75" thickBot="1">
      <c r="G81" s="22" t="s">
        <v>43</v>
      </c>
      <c r="H81" s="23">
        <f>H77+H78</f>
        <v>2.572824834827258E-2</v>
      </c>
    </row>
  </sheetData>
  <mergeCells count="1">
    <mergeCell ref="B16:C16"/>
  </mergeCells>
  <pageMargins left="0.7" right="0.7" top="0.75" bottom="0.75" header="0.3" footer="0.3"/>
  <pageSetup paperSize="9" orientation="portrait" r:id="rId1"/>
  <headerFooter>
    <oddFooter>&amp;L_x000D_&amp;1#&amp;"Calibri"&amp;10&amp;K000000 ***Este documento está clasificado como USO INTERNO por TELEFÓNICA.
***This document is classified as INTERNAL USE by TELEFÓNICA.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Lorena Rivas Rodriguez</dc:creator>
  <cp:lastModifiedBy>PORTATIL28</cp:lastModifiedBy>
  <dcterms:created xsi:type="dcterms:W3CDTF">2021-11-02T11:37:24Z</dcterms:created>
  <dcterms:modified xsi:type="dcterms:W3CDTF">2023-12-11T19:23:23Z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7cb1b6-4159-4a38-a94b-cbd1c10c7376_Enabled">
    <vt:lpwstr>true</vt:lpwstr>
  </property>
  <property fmtid="{D5CDD505-2E9C-101B-9397-08002B2CF9AE}" pid="3" name="MSIP_Label_f27cb1b6-4159-4a38-a94b-cbd1c10c7376_SetDate">
    <vt:lpwstr>2023-12-04T18:40:39Z</vt:lpwstr>
  </property>
  <property fmtid="{D5CDD505-2E9C-101B-9397-08002B2CF9AE}" pid="4" name="MSIP_Label_f27cb1b6-4159-4a38-a94b-cbd1c10c7376_Method">
    <vt:lpwstr>Privileged</vt:lpwstr>
  </property>
  <property fmtid="{D5CDD505-2E9C-101B-9397-08002B2CF9AE}" pid="5" name="MSIP_Label_f27cb1b6-4159-4a38-a94b-cbd1c10c7376_Name">
    <vt:lpwstr>Internal Use</vt:lpwstr>
  </property>
  <property fmtid="{D5CDD505-2E9C-101B-9397-08002B2CF9AE}" pid="6" name="MSIP_Label_f27cb1b6-4159-4a38-a94b-cbd1c10c7376_SiteId">
    <vt:lpwstr>9744600e-3e04-492e-baa1-25ec245c6f10</vt:lpwstr>
  </property>
  <property fmtid="{D5CDD505-2E9C-101B-9397-08002B2CF9AE}" pid="7" name="MSIP_Label_f27cb1b6-4159-4a38-a94b-cbd1c10c7376_ActionId">
    <vt:lpwstr>da89796e-ab82-4442-8228-3d1ec8edb5a9</vt:lpwstr>
  </property>
  <property fmtid="{D5CDD505-2E9C-101B-9397-08002B2CF9AE}" pid="8" name="MSIP_Label_f27cb1b6-4159-4a38-a94b-cbd1c10c7376_ContentBits">
    <vt:lpwstr>2</vt:lpwstr>
  </property>
</Properties>
</file>