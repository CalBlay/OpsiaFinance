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"/>
    </mc:Choice>
  </mc:AlternateContent>
  <xr:revisionPtr revIDLastSave="0" documentId="8_{D6E2F3B8-D486-4C17-9207-C40EE0D8A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foque tradicional" sheetId="1" r:id="rId1"/>
    <sheet name="Enfoque Modigliani_Miller I" sheetId="2" r:id="rId2"/>
    <sheet name="Enfoque Modigliani_Miller II" sheetId="3" r:id="rId3"/>
    <sheet name="Efecto impuestos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4" l="1"/>
  <c r="E6" i="4"/>
  <c r="E10" i="4" s="1"/>
  <c r="E14" i="4" l="1"/>
  <c r="F8" i="4"/>
  <c r="F6" i="4"/>
  <c r="F10" i="4" l="1"/>
  <c r="F12" i="4" s="1"/>
  <c r="E16" i="4"/>
  <c r="E20" i="4" s="1"/>
  <c r="E18" i="4"/>
  <c r="F14" i="4"/>
  <c r="I8" i="2"/>
  <c r="I7" i="2"/>
  <c r="I6" i="2"/>
  <c r="I4" i="2"/>
  <c r="I5" i="2" s="1"/>
  <c r="C9" i="2"/>
  <c r="C24" i="1"/>
  <c r="G6" i="1"/>
  <c r="G8" i="1" s="1"/>
  <c r="H6" i="1"/>
  <c r="H8" i="1" s="1"/>
  <c r="F6" i="1"/>
  <c r="F8" i="1" s="1"/>
  <c r="G24" i="1"/>
  <c r="H24" i="1"/>
  <c r="F24" i="1"/>
  <c r="G22" i="1"/>
  <c r="H22" i="1"/>
  <c r="F22" i="1"/>
  <c r="C9" i="1"/>
  <c r="F16" i="4" l="1"/>
  <c r="F20" i="4" s="1"/>
  <c r="F18" i="4"/>
  <c r="F26" i="1"/>
  <c r="F30" i="1" s="1"/>
  <c r="G10" i="1"/>
  <c r="H26" i="1"/>
  <c r="H28" i="1" s="1"/>
  <c r="G26" i="1"/>
  <c r="F10" i="1"/>
  <c r="H10" i="1"/>
  <c r="H30" i="1" l="1"/>
  <c r="F28" i="1"/>
  <c r="G28" i="1"/>
  <c r="G30" i="1"/>
</calcChain>
</file>

<file path=xl/sharedStrings.xml><?xml version="1.0" encoding="utf-8"?>
<sst xmlns="http://schemas.openxmlformats.org/spreadsheetml/2006/main" count="85" uniqueCount="46">
  <si>
    <t>Fondos propios</t>
  </si>
  <si>
    <t>Situación</t>
  </si>
  <si>
    <t>Activos</t>
  </si>
  <si>
    <t>Deuda</t>
  </si>
  <si>
    <t>Nº Acciones</t>
  </si>
  <si>
    <t>Valor por acción</t>
  </si>
  <si>
    <t>Ke</t>
  </si>
  <si>
    <t>Situación A</t>
  </si>
  <si>
    <t>Situación B</t>
  </si>
  <si>
    <t>Pesimista</t>
  </si>
  <si>
    <t>Medio</t>
  </si>
  <si>
    <t>Optimista</t>
  </si>
  <si>
    <t>ROA (rendimiento sobre activos)</t>
  </si>
  <si>
    <t>Resultado (ROA*Activos)</t>
  </si>
  <si>
    <t>ROE  (rendimiento accionista: rdo/fp)</t>
  </si>
  <si>
    <t>Resultado por acción</t>
  </si>
  <si>
    <t>Kd (interés deuda)</t>
  </si>
  <si>
    <t>ROE (rendimiento accionista: rdo/fp)</t>
  </si>
  <si>
    <t>Intereses deuda (kd*deuda)</t>
  </si>
  <si>
    <t>Resultado después intereses</t>
  </si>
  <si>
    <t>A</t>
  </si>
  <si>
    <t>B</t>
  </si>
  <si>
    <t>Situación media</t>
  </si>
  <si>
    <t>Rentabilidad</t>
  </si>
  <si>
    <t>Resultado</t>
  </si>
  <si>
    <t>Opción 1.</t>
  </si>
  <si>
    <t>Inversión en acciones</t>
  </si>
  <si>
    <t>Préstamo dinero</t>
  </si>
  <si>
    <t>Total</t>
  </si>
  <si>
    <t>Opción 2.</t>
  </si>
  <si>
    <t>WACC</t>
  </si>
  <si>
    <t>Kd</t>
  </si>
  <si>
    <t>D/E</t>
  </si>
  <si>
    <t>Etiquetas de fila</t>
  </si>
  <si>
    <t>Total general</t>
  </si>
  <si>
    <t>Kd (coste deuda)</t>
  </si>
  <si>
    <t>Ke (coste fondos propios)</t>
  </si>
  <si>
    <t>WACC (coste capital total)</t>
  </si>
  <si>
    <t>Con impuestos</t>
  </si>
  <si>
    <t>Sin impuestos</t>
  </si>
  <si>
    <t>kd</t>
  </si>
  <si>
    <t>N. acciones</t>
  </si>
  <si>
    <t>Impuestso (25%)</t>
  </si>
  <si>
    <t>Resultado después impuestos</t>
  </si>
  <si>
    <t>Corrección errata pag. 26 clase:</t>
  </si>
  <si>
    <t>Pone 13,75% en lugar de 11,25%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</si>
</sst>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/>
    <xf numFmtId="0" fontId="0" fillId="0" borderId="2" xfId="0" applyBorder="1"/>
    <xf numFmtId="9" fontId="0" fillId="0" borderId="2" xfId="0" applyNumberFormat="1" applyBorder="1"/>
    <xf numFmtId="0" fontId="0" fillId="0" borderId="7" xfId="0" applyBorder="1"/>
    <xf numFmtId="0" fontId="0" fillId="0" borderId="12" xfId="0" applyBorder="1"/>
    <xf numFmtId="0" fontId="3" fillId="0" borderId="0" xfId="0" applyFont="1"/>
    <xf numFmtId="0" fontId="4" fillId="0" borderId="0" xfId="0" applyFont="1"/>
    <xf numFmtId="0" fontId="5" fillId="2" borderId="14" xfId="0" applyFont="1" applyFill="1" applyBorder="1" applyAlignment="1">
      <alignment horizontal="left"/>
    </xf>
    <xf numFmtId="165" fontId="4" fillId="0" borderId="14" xfId="1" applyNumberFormat="1" applyFont="1" applyBorder="1"/>
    <xf numFmtId="0" fontId="5" fillId="2" borderId="15" xfId="0" applyFont="1" applyFill="1" applyBorder="1" applyAlignment="1">
      <alignment horizontal="left"/>
    </xf>
    <xf numFmtId="165" fontId="4" fillId="0" borderId="15" xfId="1" applyNumberFormat="1" applyFont="1" applyBorder="1"/>
    <xf numFmtId="0" fontId="5" fillId="2" borderId="16" xfId="0" applyFont="1" applyFill="1" applyBorder="1" applyAlignment="1">
      <alignment horizontal="left"/>
    </xf>
    <xf numFmtId="165" fontId="4" fillId="0" borderId="16" xfId="1" applyNumberFormat="1" applyFont="1" applyBorder="1"/>
    <xf numFmtId="0" fontId="5" fillId="2" borderId="3" xfId="0" applyFont="1" applyFill="1" applyBorder="1" applyAlignment="1">
      <alignment horizontal="left"/>
    </xf>
    <xf numFmtId="9" fontId="4" fillId="0" borderId="3" xfId="0" applyNumberFormat="1" applyFont="1" applyBorder="1"/>
    <xf numFmtId="0" fontId="5" fillId="2" borderId="19" xfId="0" applyFont="1" applyFill="1" applyBorder="1" applyAlignment="1">
      <alignment horizontal="left"/>
    </xf>
    <xf numFmtId="0" fontId="5" fillId="2" borderId="20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left"/>
    </xf>
    <xf numFmtId="9" fontId="4" fillId="0" borderId="17" xfId="0" applyNumberFormat="1" applyFont="1" applyBorder="1"/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9" xfId="0" applyBorder="1"/>
    <xf numFmtId="0" fontId="5" fillId="2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right" vertical="center" wrapText="1"/>
    </xf>
    <xf numFmtId="0" fontId="8" fillId="2" borderId="9" xfId="0" applyFont="1" applyFill="1" applyBorder="1" applyAlignment="1">
      <alignment horizontal="right" vertical="center" wrapText="1"/>
    </xf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pivotButton="1"/>
    <xf numFmtId="0" fontId="2" fillId="0" borderId="23" xfId="0" applyFont="1" applyBorder="1" applyAlignment="1">
      <alignment horizontal="left"/>
    </xf>
    <xf numFmtId="0" fontId="2" fillId="0" borderId="18" xfId="0" applyFont="1" applyBorder="1"/>
    <xf numFmtId="0" fontId="2" fillId="0" borderId="26" xfId="0" applyFont="1" applyBorder="1"/>
    <xf numFmtId="0" fontId="0" fillId="0" borderId="22" xfId="0" applyBorder="1" applyAlignment="1">
      <alignment horizontal="left"/>
    </xf>
    <xf numFmtId="9" fontId="0" fillId="0" borderId="24" xfId="0" applyNumberFormat="1" applyBorder="1"/>
    <xf numFmtId="0" fontId="0" fillId="0" borderId="27" xfId="0" applyBorder="1" applyAlignment="1">
      <alignment horizontal="left"/>
    </xf>
    <xf numFmtId="9" fontId="0" fillId="0" borderId="1" xfId="0" applyNumberFormat="1" applyBorder="1"/>
    <xf numFmtId="9" fontId="0" fillId="0" borderId="25" xfId="0" applyNumberFormat="1" applyBorder="1"/>
    <xf numFmtId="0" fontId="5" fillId="0" borderId="2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9" fillId="4" borderId="0" xfId="0" applyFont="1" applyFill="1"/>
    <xf numFmtId="10" fontId="0" fillId="0" borderId="0" xfId="2" applyNumberFormat="1" applyFont="1" applyBorder="1"/>
    <xf numFmtId="10" fontId="2" fillId="0" borderId="0" xfId="2" applyNumberFormat="1" applyFont="1" applyBorder="1"/>
    <xf numFmtId="0" fontId="5" fillId="2" borderId="4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165" fontId="4" fillId="0" borderId="7" xfId="0" applyNumberFormat="1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29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vertical="center" wrapText="1"/>
    </xf>
    <xf numFmtId="9" fontId="4" fillId="0" borderId="2" xfId="2" applyFont="1" applyBorder="1" applyAlignment="1">
      <alignment horizontal="center" wrapText="1"/>
    </xf>
    <xf numFmtId="9" fontId="4" fillId="0" borderId="7" xfId="2" applyFont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29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165" fontId="4" fillId="3" borderId="2" xfId="0" applyNumberFormat="1" applyFont="1" applyFill="1" applyBorder="1" applyAlignment="1">
      <alignment horizontal="center" wrapText="1"/>
    </xf>
    <xf numFmtId="165" fontId="4" fillId="3" borderId="7" xfId="0" applyNumberFormat="1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5" fontId="4" fillId="0" borderId="32" xfId="0" applyNumberFormat="1" applyFont="1" applyBorder="1" applyAlignment="1">
      <alignment horizontal="center" wrapText="1"/>
    </xf>
    <xf numFmtId="0" fontId="4" fillId="0" borderId="33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7" fillId="0" borderId="30" xfId="0" applyFont="1" applyBorder="1" applyAlignment="1">
      <alignment horizontal="center" wrapText="1"/>
    </xf>
    <xf numFmtId="9" fontId="7" fillId="0" borderId="30" xfId="0" applyNumberFormat="1" applyFont="1" applyBorder="1" applyAlignment="1">
      <alignment horizontal="center" wrapText="1"/>
    </xf>
    <xf numFmtId="0" fontId="7" fillId="0" borderId="31" xfId="0" applyFont="1" applyBorder="1" applyAlignment="1">
      <alignment horizontal="center" wrapText="1"/>
    </xf>
    <xf numFmtId="10" fontId="4" fillId="0" borderId="2" xfId="2" applyNumberFormat="1" applyFont="1" applyBorder="1" applyAlignment="1">
      <alignment horizontal="center" wrapText="1"/>
    </xf>
    <xf numFmtId="164" fontId="7" fillId="3" borderId="2" xfId="0" applyNumberFormat="1" applyFont="1" applyFill="1" applyBorder="1" applyAlignment="1">
      <alignment horizontal="center" wrapText="1"/>
    </xf>
    <xf numFmtId="164" fontId="7" fillId="3" borderId="29" xfId="0" applyNumberFormat="1" applyFont="1" applyFill="1" applyBorder="1" applyAlignment="1">
      <alignment horizontal="center" wrapText="1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colors>
    <mruColors>
      <color rgb="FFFFCC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clase 2.xlsx]Enfoque Modigliani_Miller II!Tabla dinámica1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'Enfoque Modigliani_Miller II'!$J$5</c:f>
              <c:strCache>
                <c:ptCount val="1"/>
                <c:pt idx="0">
                  <c:v>Kd (coste deuda)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a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'Enfoque Modigliani_Miller II'!$I$6:$I$11</c:f>
              <c:strCache>
                <c:ptCount val="5"/>
                <c:pt idx="0">
                  <c:v>0</c:v>
                </c:pt>
                <c:pt idx="1">
                  <c:v>0,5</c:v>
                </c:pt>
                <c:pt idx="2">
                  <c:v>1</c:v>
                </c:pt>
                <c:pt idx="3">
                  <c:v>1,5</c:v>
                </c:pt>
                <c:pt idx="4">
                  <c:v>2</c:v>
                </c:pt>
              </c:strCache>
            </c:strRef>
          </c:cat>
          <c:val>
            <c:numRef>
              <c:f>'Enfoque Modigliani_Miller II'!$J$6:$J$11</c:f>
              <c:numCache>
                <c:formatCode>General</c:formatCode>
                <c:ptCount val="5"/>
                <c:pt idx="0">
                  <c:v>0.15</c:v>
                </c:pt>
                <c:pt idx="1">
                  <c:v>0.18</c:v>
                </c:pt>
                <c:pt idx="2">
                  <c:v>0.2</c:v>
                </c:pt>
                <c:pt idx="3">
                  <c:v>0.23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F-429D-854D-7BB7F89845FD}"/>
            </c:ext>
          </c:extLst>
        </c:ser>
        <c:ser>
          <c:idx val="1"/>
          <c:order val="1"/>
          <c:tx>
            <c:strRef>
              <c:f>'Enfoque Modigliani_Miller II'!$K$5</c:f>
              <c:strCache>
                <c:ptCount val="1"/>
                <c:pt idx="0">
                  <c:v>Ke (coste fondos propios)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a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'Enfoque Modigliani_Miller II'!$I$6:$I$11</c:f>
              <c:strCache>
                <c:ptCount val="5"/>
                <c:pt idx="0">
                  <c:v>0</c:v>
                </c:pt>
                <c:pt idx="1">
                  <c:v>0,5</c:v>
                </c:pt>
                <c:pt idx="2">
                  <c:v>1</c:v>
                </c:pt>
                <c:pt idx="3">
                  <c:v>1,5</c:v>
                </c:pt>
                <c:pt idx="4">
                  <c:v>2</c:v>
                </c:pt>
              </c:strCache>
            </c:strRef>
          </c:cat>
          <c:val>
            <c:numRef>
              <c:f>'Enfoque Modigliani_Miller II'!$K$6:$K$11</c:f>
              <c:numCache>
                <c:formatCode>General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6F-429D-854D-7BB7F89845FD}"/>
            </c:ext>
          </c:extLst>
        </c:ser>
        <c:ser>
          <c:idx val="2"/>
          <c:order val="2"/>
          <c:tx>
            <c:strRef>
              <c:f>'Enfoque Modigliani_Miller II'!$L$5</c:f>
              <c:strCache>
                <c:ptCount val="1"/>
                <c:pt idx="0">
                  <c:v>WACC (coste capital total)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a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'Enfoque Modigliani_Miller II'!$I$6:$I$11</c:f>
              <c:strCache>
                <c:ptCount val="5"/>
                <c:pt idx="0">
                  <c:v>0</c:v>
                </c:pt>
                <c:pt idx="1">
                  <c:v>0,5</c:v>
                </c:pt>
                <c:pt idx="2">
                  <c:v>1</c:v>
                </c:pt>
                <c:pt idx="3">
                  <c:v>1,5</c:v>
                </c:pt>
                <c:pt idx="4">
                  <c:v>2</c:v>
                </c:pt>
              </c:strCache>
            </c:strRef>
          </c:cat>
          <c:val>
            <c:numRef>
              <c:f>'Enfoque Modigliani_Miller II'!$L$6:$L$11</c:f>
              <c:numCache>
                <c:formatCode>General</c:formatCode>
                <c:ptCount val="5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6F-429D-854D-7BB7F89845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0113288"/>
        <c:axId val="190398992"/>
      </c:lineChart>
      <c:catAx>
        <c:axId val="19011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90398992"/>
        <c:crosses val="autoZero"/>
        <c:auto val="1"/>
        <c:lblAlgn val="ctr"/>
        <c:lblOffset val="100"/>
        <c:noMultiLvlLbl val="0"/>
      </c:catAx>
      <c:valAx>
        <c:axId val="19039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9011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11</xdr:row>
      <xdr:rowOff>185737</xdr:rowOff>
    </xdr:from>
    <xdr:to>
      <xdr:col>12</xdr:col>
      <xdr:colOff>285750</xdr:colOff>
      <xdr:row>26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Lorena Rivas Rodriguez" refreshedDate="44311.429078935187" createdVersion="5" refreshedVersion="5" minRefreshableVersion="3" recordCount="5" xr:uid="{00000000-000A-0000-FFFF-FFFF00000000}">
  <cacheSource type="worksheet">
    <worksheetSource ref="D2:G7" sheet="Enfoque Modigliani_Miller II"/>
  </cacheSource>
  <cacheFields count="4">
    <cacheField name="D/E" numFmtId="0">
      <sharedItems containsSemiMixedTypes="0" containsString="0" containsNumber="1" minValue="0" maxValue="2" count="5">
        <n v="0"/>
        <n v="0.5"/>
        <n v="1"/>
        <n v="1.5"/>
        <n v="2"/>
      </sharedItems>
    </cacheField>
    <cacheField name="Kd" numFmtId="9">
      <sharedItems containsSemiMixedTypes="0" containsString="0" containsNumber="1" minValue="0.15" maxValue="0.25" count="5">
        <n v="0.15"/>
        <n v="0.18"/>
        <n v="0.2"/>
        <n v="0.23"/>
        <n v="0.25"/>
      </sharedItems>
    </cacheField>
    <cacheField name="Ke" numFmtId="9">
      <sharedItems containsSemiMixedTypes="0" containsString="0" containsNumber="1" minValue="0.1" maxValue="0.1" count="1">
        <n v="0.1"/>
      </sharedItems>
    </cacheField>
    <cacheField name="WACC" numFmtId="9">
      <sharedItems containsSemiMixedTypes="0" containsString="0" containsNumber="1" minValue="0.15" maxValue="0.15" count="1">
        <n v="0.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</r>
  <r>
    <x v="1"/>
    <x v="1"/>
    <x v="0"/>
    <x v="0"/>
  </r>
  <r>
    <x v="2"/>
    <x v="2"/>
    <x v="0"/>
    <x v="0"/>
  </r>
  <r>
    <x v="3"/>
    <x v="3"/>
    <x v="0"/>
    <x v="0"/>
  </r>
  <r>
    <x v="4"/>
    <x v="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7">
  <location ref="I5:L11" firstHeaderRow="0" firstDataRow="1" firstDataCol="1"/>
  <pivotFields count="4">
    <pivotField name="D/E (ratio deuda - fondos propios)" axis="axisRow" showAll="0">
      <items count="6">
        <item x="0"/>
        <item x="1"/>
        <item x="2"/>
        <item x="3"/>
        <item x="4"/>
        <item t="default"/>
      </items>
    </pivotField>
    <pivotField dataField="1" numFmtId="9" showAll="0">
      <items count="6">
        <item x="0"/>
        <item x="1"/>
        <item x="2"/>
        <item x="3"/>
        <item x="4"/>
        <item t="default"/>
      </items>
    </pivotField>
    <pivotField dataField="1" numFmtId="9" showAll="0">
      <items count="2">
        <item x="0"/>
        <item t="default"/>
      </items>
    </pivotField>
    <pivotField dataField="1" numFmtId="9" showAll="0">
      <items count="2"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Kd (coste deuda)" fld="1" baseField="0" baseItem="0"/>
    <dataField name="Ke (coste fondos propios)" fld="2" baseField="0" baseItem="0"/>
    <dataField name="WACC (coste capital total)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1"/>
  <sheetViews>
    <sheetView tabSelected="1" workbookViewId="0">
      <selection activeCell="K10" sqref="K10"/>
    </sheetView>
  </sheetViews>
  <sheetFormatPr defaultColWidth="11.42578125" defaultRowHeight="15" x14ac:dyDescent="0.25"/>
  <cols>
    <col min="2" max="2" width="14" customWidth="1"/>
    <col min="3" max="3" width="15.42578125" customWidth="1"/>
    <col min="4" max="4" width="13.85546875" customWidth="1"/>
    <col min="5" max="5" width="17.28515625" customWidth="1"/>
    <col min="6" max="7" width="9.5703125" customWidth="1"/>
    <col min="8" max="8" width="9.42578125" customWidth="1"/>
  </cols>
  <sheetData>
    <row r="1" spans="2:14" ht="16.5" customHeight="1" thickBot="1" x14ac:dyDescent="0.3">
      <c r="B1" s="7"/>
      <c r="C1" s="7"/>
      <c r="D1" s="7"/>
      <c r="E1" s="7"/>
      <c r="L1" s="54" t="s">
        <v>15</v>
      </c>
      <c r="M1" s="55"/>
      <c r="N1" s="56"/>
    </row>
    <row r="2" spans="2:14" x14ac:dyDescent="0.25">
      <c r="B2" s="8"/>
      <c r="C2" s="84" t="s">
        <v>7</v>
      </c>
      <c r="E2" s="54" t="s">
        <v>7</v>
      </c>
      <c r="F2" s="55" t="s">
        <v>9</v>
      </c>
      <c r="G2" s="55" t="s">
        <v>10</v>
      </c>
      <c r="H2" s="56" t="s">
        <v>11</v>
      </c>
      <c r="K2" s="30" t="s">
        <v>1</v>
      </c>
      <c r="L2" s="28" t="s">
        <v>9</v>
      </c>
      <c r="M2" s="24" t="s">
        <v>10</v>
      </c>
      <c r="N2" s="25" t="s">
        <v>11</v>
      </c>
    </row>
    <row r="3" spans="2:14" ht="15.75" thickBot="1" x14ac:dyDescent="0.3">
      <c r="B3" s="8"/>
      <c r="C3" s="85"/>
      <c r="E3" s="72"/>
      <c r="F3" s="86"/>
      <c r="G3" s="86"/>
      <c r="H3" s="83"/>
      <c r="K3" s="31" t="s">
        <v>20</v>
      </c>
      <c r="L3" s="6">
        <v>0.25</v>
      </c>
      <c r="M3" s="3">
        <v>0.75</v>
      </c>
      <c r="N3" s="5">
        <v>1.5</v>
      </c>
    </row>
    <row r="4" spans="2:14" ht="15.75" customHeight="1" thickBot="1" x14ac:dyDescent="0.3">
      <c r="B4" s="9" t="s">
        <v>2</v>
      </c>
      <c r="C4" s="10">
        <v>1000</v>
      </c>
      <c r="E4" s="61" t="s">
        <v>12</v>
      </c>
      <c r="F4" s="62">
        <v>0.05</v>
      </c>
      <c r="G4" s="62">
        <v>0.15</v>
      </c>
      <c r="H4" s="64">
        <v>0.3</v>
      </c>
      <c r="K4" s="32" t="s">
        <v>21</v>
      </c>
      <c r="L4" s="29">
        <v>0</v>
      </c>
      <c r="M4" s="26">
        <v>1</v>
      </c>
      <c r="N4" s="27">
        <v>2.5</v>
      </c>
    </row>
    <row r="5" spans="2:14" ht="20.25" customHeight="1" x14ac:dyDescent="0.25">
      <c r="B5" s="11" t="s">
        <v>3</v>
      </c>
      <c r="C5" s="12">
        <v>0</v>
      </c>
      <c r="E5" s="61"/>
      <c r="F5" s="63"/>
      <c r="G5" s="63"/>
      <c r="H5" s="65"/>
    </row>
    <row r="6" spans="2:14" ht="15.75" thickBot="1" x14ac:dyDescent="0.3">
      <c r="B6" s="13" t="s">
        <v>0</v>
      </c>
      <c r="C6" s="14">
        <v>1000</v>
      </c>
      <c r="E6" s="75" t="s">
        <v>13</v>
      </c>
      <c r="F6" s="81">
        <f>$C$4*F4</f>
        <v>50</v>
      </c>
      <c r="G6" s="81">
        <f t="shared" ref="G6:H6" si="0">$C$4*G4</f>
        <v>150</v>
      </c>
      <c r="H6" s="82">
        <f t="shared" si="0"/>
        <v>300</v>
      </c>
    </row>
    <row r="7" spans="2:14" ht="24.75" customHeight="1" thickBot="1" x14ac:dyDescent="0.3">
      <c r="B7" s="15" t="s">
        <v>16</v>
      </c>
      <c r="C7" s="16">
        <v>0.1</v>
      </c>
      <c r="E7" s="75"/>
      <c r="F7" s="68"/>
      <c r="G7" s="68"/>
      <c r="H7" s="70"/>
    </row>
    <row r="8" spans="2:14" x14ac:dyDescent="0.25">
      <c r="B8" s="9" t="s">
        <v>4</v>
      </c>
      <c r="C8" s="10">
        <v>200</v>
      </c>
      <c r="E8" s="61" t="s">
        <v>17</v>
      </c>
      <c r="F8" s="73">
        <f>F6/$C$6</f>
        <v>0.05</v>
      </c>
      <c r="G8" s="73">
        <f t="shared" ref="G8:H8" si="1">G6/$C$6</f>
        <v>0.15</v>
      </c>
      <c r="H8" s="74">
        <f t="shared" si="1"/>
        <v>0.3</v>
      </c>
    </row>
    <row r="9" spans="2:14" ht="22.5" customHeight="1" thickBot="1" x14ac:dyDescent="0.3">
      <c r="B9" s="13" t="s">
        <v>5</v>
      </c>
      <c r="C9" s="14">
        <f>C4/C8</f>
        <v>5</v>
      </c>
      <c r="E9" s="61"/>
      <c r="F9" s="73"/>
      <c r="G9" s="73"/>
      <c r="H9" s="74"/>
    </row>
    <row r="10" spans="2:14" x14ac:dyDescent="0.25">
      <c r="E10" s="66" t="s">
        <v>15</v>
      </c>
      <c r="F10" s="68">
        <f>F6/$C$8</f>
        <v>0.25</v>
      </c>
      <c r="G10" s="68">
        <f t="shared" ref="G10:H10" si="2">G6/$C$8</f>
        <v>0.75</v>
      </c>
      <c r="H10" s="70">
        <f t="shared" si="2"/>
        <v>1.5</v>
      </c>
    </row>
    <row r="11" spans="2:14" ht="22.5" customHeight="1" thickBot="1" x14ac:dyDescent="0.3">
      <c r="E11" s="67"/>
      <c r="F11" s="69"/>
      <c r="G11" s="69"/>
      <c r="H11" s="71"/>
    </row>
    <row r="12" spans="2:14" x14ac:dyDescent="0.25">
      <c r="I12" s="1"/>
    </row>
    <row r="16" spans="2:14" ht="15.75" thickBot="1" x14ac:dyDescent="0.3"/>
    <row r="17" spans="2:8" ht="15.75" thickBot="1" x14ac:dyDescent="0.3">
      <c r="B17" s="8"/>
      <c r="C17" s="84" t="s">
        <v>8</v>
      </c>
    </row>
    <row r="18" spans="2:8" ht="15.75" thickBot="1" x14ac:dyDescent="0.3">
      <c r="B18" s="8"/>
      <c r="C18" s="85"/>
      <c r="E18" s="54" t="s">
        <v>8</v>
      </c>
      <c r="F18" s="55" t="s">
        <v>9</v>
      </c>
      <c r="G18" s="55" t="s">
        <v>10</v>
      </c>
      <c r="H18" s="56" t="s">
        <v>11</v>
      </c>
    </row>
    <row r="19" spans="2:8" x14ac:dyDescent="0.25">
      <c r="B19" s="17" t="s">
        <v>2</v>
      </c>
      <c r="C19" s="10">
        <v>1000</v>
      </c>
      <c r="E19" s="72"/>
      <c r="F19" s="86"/>
      <c r="G19" s="86"/>
      <c r="H19" s="83"/>
    </row>
    <row r="20" spans="2:8" x14ac:dyDescent="0.25">
      <c r="B20" s="18" t="s">
        <v>3</v>
      </c>
      <c r="C20" s="12">
        <v>500</v>
      </c>
      <c r="E20" s="61" t="s">
        <v>12</v>
      </c>
      <c r="F20" s="62">
        <v>0.05</v>
      </c>
      <c r="G20" s="62">
        <v>0.15</v>
      </c>
      <c r="H20" s="64">
        <v>0.3</v>
      </c>
    </row>
    <row r="21" spans="2:8" ht="15.75" thickBot="1" x14ac:dyDescent="0.3">
      <c r="B21" s="19" t="s">
        <v>0</v>
      </c>
      <c r="C21" s="14">
        <v>500</v>
      </c>
      <c r="E21" s="61"/>
      <c r="F21" s="63"/>
      <c r="G21" s="63"/>
      <c r="H21" s="65"/>
    </row>
    <row r="22" spans="2:8" ht="15.75" thickBot="1" x14ac:dyDescent="0.3">
      <c r="B22" s="15" t="s">
        <v>16</v>
      </c>
      <c r="C22" s="20">
        <v>0.1</v>
      </c>
      <c r="E22" s="61" t="s">
        <v>13</v>
      </c>
      <c r="F22" s="57">
        <f>$C$19*F20</f>
        <v>50</v>
      </c>
      <c r="G22" s="57">
        <f t="shared" ref="G22:H22" si="3">$C$19*G20</f>
        <v>150</v>
      </c>
      <c r="H22" s="59">
        <f t="shared" si="3"/>
        <v>300</v>
      </c>
    </row>
    <row r="23" spans="2:8" x14ac:dyDescent="0.25">
      <c r="B23" s="18" t="s">
        <v>4</v>
      </c>
      <c r="C23" s="12">
        <v>100</v>
      </c>
      <c r="E23" s="61"/>
      <c r="F23" s="58"/>
      <c r="G23" s="58"/>
      <c r="H23" s="60"/>
    </row>
    <row r="24" spans="2:8" ht="15.75" thickBot="1" x14ac:dyDescent="0.3">
      <c r="B24" s="19" t="s">
        <v>5</v>
      </c>
      <c r="C24" s="14">
        <f>C21/C23</f>
        <v>5</v>
      </c>
      <c r="E24" s="61" t="s">
        <v>18</v>
      </c>
      <c r="F24" s="57">
        <f>$C$20*$C$22</f>
        <v>50</v>
      </c>
      <c r="G24" s="57">
        <f>$C$20*$C$22</f>
        <v>50</v>
      </c>
      <c r="H24" s="59">
        <f>$C$20*$C$22</f>
        <v>50</v>
      </c>
    </row>
    <row r="25" spans="2:8" x14ac:dyDescent="0.25">
      <c r="E25" s="61"/>
      <c r="F25" s="58"/>
      <c r="G25" s="58"/>
      <c r="H25" s="60"/>
    </row>
    <row r="26" spans="2:8" x14ac:dyDescent="0.25">
      <c r="E26" s="75" t="s">
        <v>19</v>
      </c>
      <c r="F26" s="81">
        <f>F22-F24</f>
        <v>0</v>
      </c>
      <c r="G26" s="81">
        <f t="shared" ref="G26:H26" si="4">G22-G24</f>
        <v>100</v>
      </c>
      <c r="H26" s="82">
        <f t="shared" si="4"/>
        <v>250</v>
      </c>
    </row>
    <row r="27" spans="2:8" x14ac:dyDescent="0.25">
      <c r="E27" s="75"/>
      <c r="F27" s="68"/>
      <c r="G27" s="68"/>
      <c r="H27" s="70"/>
    </row>
    <row r="28" spans="2:8" x14ac:dyDescent="0.25">
      <c r="E28" s="61" t="s">
        <v>14</v>
      </c>
      <c r="F28" s="73">
        <f>F26/$C$21</f>
        <v>0</v>
      </c>
      <c r="G28" s="73">
        <f t="shared" ref="G28:H28" si="5">G26/$C$21</f>
        <v>0.2</v>
      </c>
      <c r="H28" s="74">
        <f t="shared" si="5"/>
        <v>0.5</v>
      </c>
    </row>
    <row r="29" spans="2:8" x14ac:dyDescent="0.25">
      <c r="E29" s="61"/>
      <c r="F29" s="73"/>
      <c r="G29" s="73"/>
      <c r="H29" s="74"/>
    </row>
    <row r="30" spans="2:8" x14ac:dyDescent="0.25">
      <c r="E30" s="75" t="s">
        <v>15</v>
      </c>
      <c r="F30" s="77">
        <f>F26/$C$23</f>
        <v>0</v>
      </c>
      <c r="G30" s="77">
        <f t="shared" ref="G30:H30" si="6">G26/$C$23</f>
        <v>1</v>
      </c>
      <c r="H30" s="79">
        <f t="shared" si="6"/>
        <v>2.5</v>
      </c>
    </row>
    <row r="31" spans="2:8" ht="15.75" thickBot="1" x14ac:dyDescent="0.3">
      <c r="E31" s="76"/>
      <c r="F31" s="78"/>
      <c r="G31" s="78"/>
      <c r="H31" s="80"/>
    </row>
  </sheetData>
  <mergeCells count="51">
    <mergeCell ref="C2:C3"/>
    <mergeCell ref="C17:C18"/>
    <mergeCell ref="F2:F3"/>
    <mergeCell ref="G2:G3"/>
    <mergeCell ref="H2:H3"/>
    <mergeCell ref="E4:E5"/>
    <mergeCell ref="F4:F5"/>
    <mergeCell ref="G4:G5"/>
    <mergeCell ref="H4:H5"/>
    <mergeCell ref="E2:E3"/>
    <mergeCell ref="E8:E9"/>
    <mergeCell ref="F8:F9"/>
    <mergeCell ref="G8:G9"/>
    <mergeCell ref="H8:H9"/>
    <mergeCell ref="F18:F19"/>
    <mergeCell ref="G18:G19"/>
    <mergeCell ref="H18:H19"/>
    <mergeCell ref="E6:E7"/>
    <mergeCell ref="F6:F7"/>
    <mergeCell ref="G6:G7"/>
    <mergeCell ref="H6:H7"/>
    <mergeCell ref="E26:E27"/>
    <mergeCell ref="F26:F27"/>
    <mergeCell ref="G26:G27"/>
    <mergeCell ref="H26:H27"/>
    <mergeCell ref="E24:E25"/>
    <mergeCell ref="F24:F25"/>
    <mergeCell ref="E28:E29"/>
    <mergeCell ref="F28:F29"/>
    <mergeCell ref="G28:G29"/>
    <mergeCell ref="H28:H29"/>
    <mergeCell ref="E30:E31"/>
    <mergeCell ref="F30:F31"/>
    <mergeCell ref="G30:G31"/>
    <mergeCell ref="H30:H31"/>
    <mergeCell ref="L1:N1"/>
    <mergeCell ref="G24:G25"/>
    <mergeCell ref="H24:H25"/>
    <mergeCell ref="E22:E23"/>
    <mergeCell ref="F22:F23"/>
    <mergeCell ref="G22:G23"/>
    <mergeCell ref="H22:H23"/>
    <mergeCell ref="E20:E21"/>
    <mergeCell ref="F20:F21"/>
    <mergeCell ref="G20:G21"/>
    <mergeCell ref="H20:H21"/>
    <mergeCell ref="E10:E11"/>
    <mergeCell ref="F10:F11"/>
    <mergeCell ref="G10:G11"/>
    <mergeCell ref="H10:H11"/>
    <mergeCell ref="E18:E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9"/>
  <sheetViews>
    <sheetView workbookViewId="0">
      <selection activeCell="F30" sqref="F30"/>
    </sheetView>
  </sheetViews>
  <sheetFormatPr defaultColWidth="11.42578125" defaultRowHeight="15" x14ac:dyDescent="0.25"/>
  <cols>
    <col min="2" max="2" width="15.5703125" customWidth="1"/>
    <col min="3" max="3" width="14.140625" customWidth="1"/>
    <col min="5" max="5" width="12.140625" customWidth="1"/>
    <col min="6" max="6" width="16.42578125" customWidth="1"/>
    <col min="8" max="8" width="17.7109375" customWidth="1"/>
  </cols>
  <sheetData>
    <row r="1" spans="2:9" ht="16.5" thickBot="1" x14ac:dyDescent="0.3">
      <c r="B1" s="7"/>
      <c r="C1" s="7"/>
    </row>
    <row r="2" spans="2:9" ht="15.75" thickBot="1" x14ac:dyDescent="0.3">
      <c r="B2" s="8"/>
      <c r="C2" s="84" t="s">
        <v>7</v>
      </c>
    </row>
    <row r="3" spans="2:9" ht="23.25" thickBot="1" x14ac:dyDescent="0.3">
      <c r="B3" s="8"/>
      <c r="C3" s="85"/>
      <c r="E3" s="21" t="s">
        <v>22</v>
      </c>
      <c r="F3" s="23" t="s">
        <v>26</v>
      </c>
      <c r="G3" s="23" t="s">
        <v>27</v>
      </c>
      <c r="H3" s="23" t="s">
        <v>23</v>
      </c>
      <c r="I3" s="33" t="s">
        <v>24</v>
      </c>
    </row>
    <row r="4" spans="2:9" x14ac:dyDescent="0.25">
      <c r="B4" s="9" t="s">
        <v>2</v>
      </c>
      <c r="C4" s="10">
        <v>1000</v>
      </c>
      <c r="E4" s="22" t="s">
        <v>25</v>
      </c>
      <c r="F4" s="3">
        <v>1000</v>
      </c>
      <c r="G4" s="3"/>
      <c r="H4" s="4">
        <v>0.15</v>
      </c>
      <c r="I4" s="5">
        <f>F4*H4</f>
        <v>150</v>
      </c>
    </row>
    <row r="5" spans="2:9" x14ac:dyDescent="0.25">
      <c r="B5" s="11" t="s">
        <v>3</v>
      </c>
      <c r="C5" s="12">
        <v>0</v>
      </c>
      <c r="E5" s="22" t="s">
        <v>28</v>
      </c>
      <c r="F5" s="24"/>
      <c r="G5" s="24"/>
      <c r="H5" s="24"/>
      <c r="I5" s="36">
        <f>SUM(I4)</f>
        <v>150</v>
      </c>
    </row>
    <row r="6" spans="2:9" ht="15.75" thickBot="1" x14ac:dyDescent="0.3">
      <c r="B6" s="13" t="s">
        <v>0</v>
      </c>
      <c r="C6" s="14">
        <v>1000</v>
      </c>
      <c r="E6" s="72" t="s">
        <v>29</v>
      </c>
      <c r="F6" s="3">
        <v>500</v>
      </c>
      <c r="G6" s="3"/>
      <c r="H6" s="4">
        <v>0.2</v>
      </c>
      <c r="I6" s="5">
        <f>F6*H6</f>
        <v>100</v>
      </c>
    </row>
    <row r="7" spans="2:9" ht="15.75" thickBot="1" x14ac:dyDescent="0.3">
      <c r="B7" s="15" t="s">
        <v>16</v>
      </c>
      <c r="C7" s="16">
        <v>0.1</v>
      </c>
      <c r="E7" s="72"/>
      <c r="F7" s="3"/>
      <c r="G7" s="3">
        <v>500</v>
      </c>
      <c r="H7" s="4">
        <v>0.1</v>
      </c>
      <c r="I7" s="5">
        <f>G7*H7</f>
        <v>50</v>
      </c>
    </row>
    <row r="8" spans="2:9" ht="15.75" thickBot="1" x14ac:dyDescent="0.3">
      <c r="B8" s="9" t="s">
        <v>4</v>
      </c>
      <c r="C8" s="10">
        <v>200</v>
      </c>
      <c r="E8" s="34" t="s">
        <v>28</v>
      </c>
      <c r="F8" s="35"/>
      <c r="G8" s="35"/>
      <c r="H8" s="35"/>
      <c r="I8" s="37">
        <f>SUM(I6:I7)</f>
        <v>150</v>
      </c>
    </row>
    <row r="9" spans="2:9" ht="15.75" thickBot="1" x14ac:dyDescent="0.3">
      <c r="B9" s="13" t="s">
        <v>5</v>
      </c>
      <c r="C9" s="14">
        <f>C4/C8</f>
        <v>5</v>
      </c>
    </row>
  </sheetData>
  <mergeCells count="2">
    <mergeCell ref="C2:C3"/>
    <mergeCell ref="E6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L17"/>
  <sheetViews>
    <sheetView workbookViewId="0">
      <selection activeCell="E22" sqref="E22"/>
    </sheetView>
  </sheetViews>
  <sheetFormatPr defaultColWidth="11.42578125" defaultRowHeight="15" x14ac:dyDescent="0.25"/>
  <cols>
    <col min="9" max="9" width="17.5703125" bestFit="1" customWidth="1"/>
    <col min="10" max="10" width="15.85546875" customWidth="1"/>
    <col min="11" max="11" width="23.85546875" customWidth="1"/>
    <col min="12" max="12" width="24.28515625" bestFit="1" customWidth="1"/>
  </cols>
  <sheetData>
    <row r="1" spans="4:12" ht="15.75" thickBot="1" x14ac:dyDescent="0.3"/>
    <row r="2" spans="4:12" x14ac:dyDescent="0.25">
      <c r="D2" s="41" t="s">
        <v>32</v>
      </c>
      <c r="E2" s="42" t="s">
        <v>31</v>
      </c>
      <c r="F2" s="42" t="s">
        <v>6</v>
      </c>
      <c r="G2" s="43" t="s">
        <v>30</v>
      </c>
    </row>
    <row r="3" spans="4:12" x14ac:dyDescent="0.25">
      <c r="D3" s="44">
        <v>0</v>
      </c>
      <c r="E3" s="2">
        <v>0.15</v>
      </c>
      <c r="F3" s="2">
        <v>0.1</v>
      </c>
      <c r="G3" s="45">
        <v>0.15</v>
      </c>
    </row>
    <row r="4" spans="4:12" x14ac:dyDescent="0.25">
      <c r="D4" s="44">
        <v>0.5</v>
      </c>
      <c r="E4" s="2">
        <v>0.18</v>
      </c>
      <c r="F4" s="2">
        <v>0.1</v>
      </c>
      <c r="G4" s="45">
        <v>0.15</v>
      </c>
    </row>
    <row r="5" spans="4:12" x14ac:dyDescent="0.25">
      <c r="D5" s="44">
        <v>1</v>
      </c>
      <c r="E5" s="2">
        <v>0.2</v>
      </c>
      <c r="F5" s="2">
        <v>0.1</v>
      </c>
      <c r="G5" s="45">
        <v>0.15</v>
      </c>
      <c r="I5" s="40" t="s">
        <v>33</v>
      </c>
      <c r="J5" t="s">
        <v>35</v>
      </c>
      <c r="K5" t="s">
        <v>36</v>
      </c>
      <c r="L5" t="s">
        <v>37</v>
      </c>
    </row>
    <row r="6" spans="4:12" x14ac:dyDescent="0.25">
      <c r="D6" s="44">
        <v>1.5</v>
      </c>
      <c r="E6" s="2">
        <v>0.23</v>
      </c>
      <c r="F6" s="2">
        <v>0.1</v>
      </c>
      <c r="G6" s="45">
        <v>0.15</v>
      </c>
      <c r="I6" s="39">
        <v>0</v>
      </c>
      <c r="J6">
        <v>0.15</v>
      </c>
      <c r="K6">
        <v>0.1</v>
      </c>
      <c r="L6">
        <v>0.15</v>
      </c>
    </row>
    <row r="7" spans="4:12" ht="15.75" thickBot="1" x14ac:dyDescent="0.3">
      <c r="D7" s="46">
        <v>2</v>
      </c>
      <c r="E7" s="47">
        <v>0.25</v>
      </c>
      <c r="F7" s="47">
        <v>0.1</v>
      </c>
      <c r="G7" s="48">
        <v>0.15</v>
      </c>
      <c r="I7" s="39">
        <v>0.5</v>
      </c>
      <c r="J7">
        <v>0.18</v>
      </c>
      <c r="K7">
        <v>0.1</v>
      </c>
      <c r="L7">
        <v>0.15</v>
      </c>
    </row>
    <row r="8" spans="4:12" x14ac:dyDescent="0.25">
      <c r="I8" s="39">
        <v>1</v>
      </c>
      <c r="J8">
        <v>0.2</v>
      </c>
      <c r="K8">
        <v>0.1</v>
      </c>
      <c r="L8">
        <v>0.15</v>
      </c>
    </row>
    <row r="9" spans="4:12" x14ac:dyDescent="0.25">
      <c r="I9" s="39">
        <v>1.5</v>
      </c>
      <c r="J9">
        <v>0.23</v>
      </c>
      <c r="K9">
        <v>0.1</v>
      </c>
      <c r="L9">
        <v>0.15</v>
      </c>
    </row>
    <row r="10" spans="4:12" x14ac:dyDescent="0.25">
      <c r="I10" s="39">
        <v>2</v>
      </c>
      <c r="J10">
        <v>0.25</v>
      </c>
      <c r="K10">
        <v>0.1</v>
      </c>
      <c r="L10">
        <v>0.15</v>
      </c>
    </row>
    <row r="11" spans="4:12" x14ac:dyDescent="0.25">
      <c r="F11" s="2"/>
      <c r="I11" s="39" t="s">
        <v>34</v>
      </c>
      <c r="J11">
        <v>1.01</v>
      </c>
      <c r="K11">
        <v>0.5</v>
      </c>
      <c r="L11">
        <v>0.75</v>
      </c>
    </row>
    <row r="13" spans="4:12" x14ac:dyDescent="0.25">
      <c r="F13" s="2"/>
    </row>
    <row r="15" spans="4:12" x14ac:dyDescent="0.25">
      <c r="E15" s="38"/>
      <c r="F15" s="2"/>
    </row>
    <row r="17" spans="6:6" x14ac:dyDescent="0.25">
      <c r="F17" s="2"/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>
      <selection activeCell="M11" sqref="M11"/>
    </sheetView>
  </sheetViews>
  <sheetFormatPr defaultColWidth="11.42578125" defaultRowHeight="15" x14ac:dyDescent="0.25"/>
  <sheetData>
    <row r="1" spans="1:6" ht="15.75" thickBot="1" x14ac:dyDescent="0.3"/>
    <row r="2" spans="1:6" x14ac:dyDescent="0.25">
      <c r="A2" s="54" t="s">
        <v>8</v>
      </c>
      <c r="B2" s="49"/>
      <c r="D2" s="54" t="s">
        <v>8</v>
      </c>
      <c r="E2" s="55" t="s">
        <v>39</v>
      </c>
      <c r="F2" s="55" t="s">
        <v>38</v>
      </c>
    </row>
    <row r="3" spans="1:6" x14ac:dyDescent="0.25">
      <c r="A3" s="72"/>
      <c r="B3" s="50"/>
      <c r="D3" s="72"/>
      <c r="E3" s="86"/>
      <c r="F3" s="86"/>
    </row>
    <row r="4" spans="1:6" ht="15" customHeight="1" x14ac:dyDescent="0.25">
      <c r="A4" s="61" t="s">
        <v>2</v>
      </c>
      <c r="B4" s="90">
        <v>1000</v>
      </c>
      <c r="D4" s="61" t="s">
        <v>12</v>
      </c>
      <c r="E4" s="62">
        <v>0.15</v>
      </c>
      <c r="F4" s="62">
        <v>0.15</v>
      </c>
    </row>
    <row r="5" spans="1:6" ht="27" customHeight="1" x14ac:dyDescent="0.25">
      <c r="A5" s="61"/>
      <c r="B5" s="90"/>
      <c r="D5" s="61"/>
      <c r="E5" s="63"/>
      <c r="F5" s="63"/>
    </row>
    <row r="6" spans="1:6" ht="15" customHeight="1" x14ac:dyDescent="0.25">
      <c r="A6" s="61" t="s">
        <v>3</v>
      </c>
      <c r="B6" s="90">
        <v>500</v>
      </c>
      <c r="D6" s="61" t="s">
        <v>13</v>
      </c>
      <c r="E6" s="57">
        <f>E4*$B$4</f>
        <v>150</v>
      </c>
      <c r="F6" s="57">
        <f>F4*$B$4</f>
        <v>150</v>
      </c>
    </row>
    <row r="7" spans="1:6" x14ac:dyDescent="0.25">
      <c r="A7" s="61"/>
      <c r="B7" s="90"/>
      <c r="D7" s="61"/>
      <c r="E7" s="58"/>
      <c r="F7" s="58"/>
    </row>
    <row r="8" spans="1:6" ht="15" customHeight="1" x14ac:dyDescent="0.25">
      <c r="A8" s="61" t="s">
        <v>0</v>
      </c>
      <c r="B8" s="90">
        <v>500</v>
      </c>
      <c r="D8" s="61" t="s">
        <v>18</v>
      </c>
      <c r="E8" s="57">
        <f>$B$10*$B$6</f>
        <v>50</v>
      </c>
      <c r="F8" s="57">
        <f>$B$10*$B$6</f>
        <v>50</v>
      </c>
    </row>
    <row r="9" spans="1:6" x14ac:dyDescent="0.25">
      <c r="A9" s="61"/>
      <c r="B9" s="90"/>
      <c r="D9" s="61"/>
      <c r="E9" s="58"/>
      <c r="F9" s="58"/>
    </row>
    <row r="10" spans="1:6" ht="15" customHeight="1" x14ac:dyDescent="0.25">
      <c r="A10" s="75" t="s">
        <v>40</v>
      </c>
      <c r="B10" s="91">
        <v>0.1</v>
      </c>
      <c r="D10" s="75" t="s">
        <v>19</v>
      </c>
      <c r="E10" s="81">
        <f>E6-E8</f>
        <v>100</v>
      </c>
      <c r="F10" s="81">
        <f>F6-F8</f>
        <v>100</v>
      </c>
    </row>
    <row r="11" spans="1:6" x14ac:dyDescent="0.25">
      <c r="A11" s="75"/>
      <c r="B11" s="90"/>
      <c r="D11" s="75"/>
      <c r="E11" s="68"/>
      <c r="F11" s="68"/>
    </row>
    <row r="12" spans="1:6" ht="15" customHeight="1" x14ac:dyDescent="0.25">
      <c r="A12" s="61" t="s">
        <v>41</v>
      </c>
      <c r="B12" s="90">
        <v>100</v>
      </c>
      <c r="D12" s="61" t="s">
        <v>42</v>
      </c>
      <c r="E12" s="89">
        <v>0</v>
      </c>
      <c r="F12" s="87">
        <f>F10*0.25</f>
        <v>25</v>
      </c>
    </row>
    <row r="13" spans="1:6" x14ac:dyDescent="0.25">
      <c r="A13" s="61"/>
      <c r="B13" s="90"/>
      <c r="D13" s="61"/>
      <c r="E13" s="88"/>
      <c r="F13" s="88"/>
    </row>
    <row r="14" spans="1:6" ht="15" customHeight="1" x14ac:dyDescent="0.25">
      <c r="A14" s="75" t="s">
        <v>5</v>
      </c>
      <c r="B14" s="90">
        <v>5</v>
      </c>
      <c r="D14" s="75" t="s">
        <v>43</v>
      </c>
      <c r="E14" s="81">
        <f>E10-E12</f>
        <v>100</v>
      </c>
      <c r="F14" s="81">
        <f>F10-F12</f>
        <v>75</v>
      </c>
    </row>
    <row r="15" spans="1:6" ht="15.75" thickBot="1" x14ac:dyDescent="0.3">
      <c r="A15" s="76"/>
      <c r="B15" s="92"/>
      <c r="D15" s="75"/>
      <c r="E15" s="68"/>
      <c r="F15" s="68"/>
    </row>
    <row r="16" spans="1:6" x14ac:dyDescent="0.25">
      <c r="D16" s="61" t="s">
        <v>14</v>
      </c>
      <c r="E16" s="73">
        <f>E14/$B$8</f>
        <v>0.2</v>
      </c>
      <c r="F16" s="73">
        <f>F14/$B$8</f>
        <v>0.15</v>
      </c>
    </row>
    <row r="17" spans="4:13" x14ac:dyDescent="0.25">
      <c r="D17" s="61"/>
      <c r="E17" s="73"/>
      <c r="F17" s="73"/>
    </row>
    <row r="18" spans="4:13" x14ac:dyDescent="0.25">
      <c r="D18" s="75" t="s">
        <v>15</v>
      </c>
      <c r="E18" s="94">
        <f>E14/$B$12</f>
        <v>1</v>
      </c>
      <c r="F18" s="94">
        <f>F14/$B$12</f>
        <v>0.75</v>
      </c>
    </row>
    <row r="19" spans="4:13" ht="18" customHeight="1" thickBot="1" x14ac:dyDescent="0.3">
      <c r="D19" s="76"/>
      <c r="E19" s="95"/>
      <c r="F19" s="95"/>
    </row>
    <row r="20" spans="4:13" x14ac:dyDescent="0.25">
      <c r="D20" s="61" t="s">
        <v>14</v>
      </c>
      <c r="E20" s="73">
        <f>(B10*(B6/(B6+B8)))+(E16*(B8/(B6+B8)))</f>
        <v>0.15000000000000002</v>
      </c>
      <c r="F20" s="93">
        <f>(B10*(B6*(1-0.25)/(B6+B8)))+(F16*(B8/(B6+B8)))</f>
        <v>0.1125</v>
      </c>
    </row>
    <row r="21" spans="4:13" ht="15.75" x14ac:dyDescent="0.25">
      <c r="D21" s="61"/>
      <c r="E21" s="73"/>
      <c r="F21" s="93"/>
      <c r="G21" s="51" t="s">
        <v>44</v>
      </c>
      <c r="H21" s="51"/>
      <c r="I21" s="51"/>
      <c r="J21" s="51" t="s">
        <v>45</v>
      </c>
      <c r="K21" s="51"/>
      <c r="M21" s="52"/>
    </row>
    <row r="23" spans="4:13" x14ac:dyDescent="0.25">
      <c r="K23" s="2"/>
    </row>
    <row r="24" spans="4:13" x14ac:dyDescent="0.25">
      <c r="K24" s="2"/>
      <c r="M24" s="53"/>
    </row>
  </sheetData>
  <mergeCells count="43">
    <mergeCell ref="D20:D21"/>
    <mergeCell ref="E20:E21"/>
    <mergeCell ref="F20:F21"/>
    <mergeCell ref="D18:D19"/>
    <mergeCell ref="E18:E19"/>
    <mergeCell ref="F18:F19"/>
    <mergeCell ref="A14:A15"/>
    <mergeCell ref="B4:B5"/>
    <mergeCell ref="B6:B7"/>
    <mergeCell ref="B8:B9"/>
    <mergeCell ref="B10:B11"/>
    <mergeCell ref="B12:B13"/>
    <mergeCell ref="B14:B15"/>
    <mergeCell ref="A12:A13"/>
    <mergeCell ref="A2:A3"/>
    <mergeCell ref="A4:A5"/>
    <mergeCell ref="A6:A7"/>
    <mergeCell ref="A8:A9"/>
    <mergeCell ref="A10:A11"/>
    <mergeCell ref="D10:D11"/>
    <mergeCell ref="E10:E11"/>
    <mergeCell ref="F10:F11"/>
    <mergeCell ref="D16:D17"/>
    <mergeCell ref="E16:E17"/>
    <mergeCell ref="F16:F17"/>
    <mergeCell ref="F12:F13"/>
    <mergeCell ref="D12:D13"/>
    <mergeCell ref="E12:E13"/>
    <mergeCell ref="D14:D15"/>
    <mergeCell ref="E14:E15"/>
    <mergeCell ref="F14:F15"/>
    <mergeCell ref="D6:D7"/>
    <mergeCell ref="E6:E7"/>
    <mergeCell ref="F6:F7"/>
    <mergeCell ref="D8:D9"/>
    <mergeCell ref="E8:E9"/>
    <mergeCell ref="F8:F9"/>
    <mergeCell ref="D2:D3"/>
    <mergeCell ref="E2:E3"/>
    <mergeCell ref="F2:F3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Enfoque tradicional</vt:lpstr>
      <vt:lpstr>Enfoque Modigliani_Miller I</vt:lpstr>
      <vt:lpstr>Enfoque Modigliani_Miller II</vt:lpstr>
      <vt:lpstr>Efecto impuestos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2021-04-24T13:57:39Z</dcterms:created>
  <dcterms:modified xsi:type="dcterms:W3CDTF">2023-11-30T17:43:30Z</dcterms:modified>
</cp:coreProperties>
</file>