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Corporate Finance\C2\"/>
    </mc:Choice>
  </mc:AlternateContent>
  <xr:revisionPtr revIDLastSave="0" documentId="13_ncr:1_{E89BDFEC-BF29-4492-9D14-849A8CD78410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9" i="1" l="1"/>
  <c r="R29" i="1" s="1"/>
  <c r="Q30" i="1"/>
  <c r="Q31" i="1"/>
  <c r="R30" i="1" s="1"/>
  <c r="Q33" i="1"/>
  <c r="Q34" i="1"/>
  <c r="Q37" i="1"/>
  <c r="Q36" i="1" s="1"/>
  <c r="R33" i="1" s="1"/>
  <c r="S29" i="1" s="1"/>
  <c r="Q38" i="1"/>
  <c r="Q46" i="1"/>
  <c r="Q48" i="1" s="1"/>
  <c r="Q47" i="1"/>
  <c r="R47" i="1" s="1"/>
  <c r="Q51" i="1"/>
  <c r="Q50" i="1" s="1"/>
  <c r="R50" i="1" s="1"/>
  <c r="S46" i="1" s="1"/>
  <c r="Q53" i="1"/>
  <c r="Q54" i="1"/>
  <c r="Q55" i="1"/>
  <c r="Q67" i="1"/>
  <c r="Q71" i="1"/>
  <c r="Q74" i="1"/>
  <c r="Q75" i="1"/>
  <c r="J68" i="1"/>
  <c r="H23" i="1"/>
  <c r="Q73" i="1" l="1"/>
  <c r="R46" i="1"/>
  <c r="R67" i="1"/>
  <c r="H21" i="1" l="1"/>
  <c r="H17" i="1"/>
  <c r="H18" i="1"/>
  <c r="H11" i="1"/>
  <c r="H9" i="1"/>
  <c r="H7" i="1"/>
  <c r="H6" i="1"/>
  <c r="H5" i="1"/>
  <c r="C30" i="1"/>
  <c r="C38" i="1"/>
  <c r="C34" i="1"/>
  <c r="H10" i="1" s="1"/>
  <c r="C23" i="1"/>
  <c r="C17" i="1"/>
  <c r="B5" i="1"/>
  <c r="B11" i="1" s="1"/>
  <c r="C40" i="1" l="1"/>
  <c r="H4" i="1"/>
  <c r="C29" i="1"/>
  <c r="B12" i="1"/>
  <c r="K29" i="1" l="1"/>
  <c r="K30" i="1" s="1"/>
  <c r="B13" i="1"/>
  <c r="H20" i="1"/>
  <c r="H8" i="1"/>
  <c r="H34" i="1" l="1"/>
  <c r="H64" i="1"/>
  <c r="H29" i="1"/>
  <c r="H12" i="1"/>
  <c r="H16" i="1"/>
  <c r="H46" i="1" l="1"/>
  <c r="H47" i="1" s="1"/>
  <c r="H48" i="1"/>
  <c r="H31" i="1"/>
  <c r="H35" i="1" s="1"/>
  <c r="J34" i="1"/>
  <c r="K33" i="1"/>
  <c r="H30" i="1"/>
  <c r="H65" i="1"/>
  <c r="H66" i="1"/>
  <c r="H24" i="1"/>
  <c r="H36" i="1"/>
  <c r="H51" i="1"/>
  <c r="H52" i="1" l="1"/>
  <c r="H50" i="1"/>
  <c r="H33" i="1"/>
  <c r="H69" i="1"/>
  <c r="Q66" i="1" s="1"/>
  <c r="J51" i="1"/>
  <c r="H38" i="1"/>
  <c r="H75" i="1"/>
  <c r="J75" i="1" s="1"/>
  <c r="J36" i="1"/>
  <c r="H53" i="1"/>
  <c r="Q68" i="1" l="1"/>
  <c r="Q70" i="1"/>
  <c r="R70" i="1" s="1"/>
  <c r="S66" i="1" s="1"/>
  <c r="R66" i="1"/>
  <c r="K70" i="1"/>
  <c r="H72" i="1" s="1"/>
  <c r="H74" i="1"/>
  <c r="H78" i="1" s="1"/>
  <c r="H55" i="1"/>
  <c r="J53" i="1"/>
  <c r="H73" i="1" l="1"/>
  <c r="J73" i="1" s="1"/>
  <c r="H77" i="1"/>
  <c r="H81" i="1" s="1"/>
  <c r="H56" i="1"/>
  <c r="H59" i="1" s="1"/>
  <c r="H39" i="1"/>
  <c r="H42" i="1" s="1"/>
</calcChain>
</file>

<file path=xl/sharedStrings.xml><?xml version="1.0" encoding="utf-8"?>
<sst xmlns="http://schemas.openxmlformats.org/spreadsheetml/2006/main" count="150" uniqueCount="103">
  <si>
    <t>Cuenta resultados</t>
  </si>
  <si>
    <t>Año N</t>
  </si>
  <si>
    <t>Ventas</t>
  </si>
  <si>
    <t>Coste de ventas</t>
  </si>
  <si>
    <t>Margen contribución</t>
  </si>
  <si>
    <t>Salarios</t>
  </si>
  <si>
    <t>Alquileres</t>
  </si>
  <si>
    <t>Resto gastos generales</t>
  </si>
  <si>
    <t>Amortizaciones</t>
  </si>
  <si>
    <t>Resultado financiero</t>
  </si>
  <si>
    <t>Resultado antes impuestos</t>
  </si>
  <si>
    <t xml:space="preserve">Balance </t>
  </si>
  <si>
    <t>Activo corriente</t>
  </si>
  <si>
    <t>Existencias</t>
  </si>
  <si>
    <t>Deudores comerciales</t>
  </si>
  <si>
    <t>Inversiones financieras a c/p</t>
  </si>
  <si>
    <t>Periodificaciones a c/p</t>
  </si>
  <si>
    <t>Efectivo y otros activos líquidos</t>
  </si>
  <si>
    <t>Activo no corriente</t>
  </si>
  <si>
    <t>Intangible</t>
  </si>
  <si>
    <t>Material</t>
  </si>
  <si>
    <t>Inversiones inmobiliarias</t>
  </si>
  <si>
    <t>Inversiones financieras a l/p</t>
  </si>
  <si>
    <t>Activos por impuesto diferido</t>
  </si>
  <si>
    <t>Total activo</t>
  </si>
  <si>
    <t>Patrimonio neto</t>
  </si>
  <si>
    <t>Pasivo corriente</t>
  </si>
  <si>
    <t>Provisiones a corto plazo</t>
  </si>
  <si>
    <t>Deuda bancaria a c/p</t>
  </si>
  <si>
    <t>Acreedores comerciales y otras cuentas a pagar</t>
  </si>
  <si>
    <t>Pasivo no corriente</t>
  </si>
  <si>
    <t>Deuda bancaria a l/p</t>
  </si>
  <si>
    <t>Total pasivo</t>
  </si>
  <si>
    <t>1.- WACC</t>
  </si>
  <si>
    <t>Resultado después impuestos</t>
  </si>
  <si>
    <t>Beneficio retenido (60%)</t>
  </si>
  <si>
    <t>Dividendo (40%)</t>
  </si>
  <si>
    <t>kd</t>
  </si>
  <si>
    <t>D</t>
  </si>
  <si>
    <t>ke</t>
  </si>
  <si>
    <t>E</t>
  </si>
  <si>
    <t xml:space="preserve"> Ke . E/(E+D)</t>
  </si>
  <si>
    <t>Kd . D(1-i)/(E+D)</t>
  </si>
  <si>
    <t>WACC = Ke . E/(E+D) + Kd . D(1-i)/(E+D)</t>
  </si>
  <si>
    <t>2.-  WACC con dividendo 60%</t>
  </si>
  <si>
    <t>Beneficio retenido (40%)</t>
  </si>
  <si>
    <t>Dividendo (60%)</t>
  </si>
  <si>
    <t>Préstamo</t>
  </si>
  <si>
    <t>Tipo préstamo</t>
  </si>
  <si>
    <t>Deuda actual</t>
  </si>
  <si>
    <t>Tipo actual</t>
  </si>
  <si>
    <t>3.-  WACC con préstamo 1.000.000 a 5%</t>
  </si>
  <si>
    <t>Resultado después de impuestos</t>
  </si>
  <si>
    <t>Impuesto sobre beneficios</t>
  </si>
  <si>
    <t>Capitales invertidos</t>
  </si>
  <si>
    <t>Inmovilizados</t>
  </si>
  <si>
    <t>Inversiones</t>
  </si>
  <si>
    <t>Otros</t>
  </si>
  <si>
    <t>NOF</t>
  </si>
  <si>
    <t>Activo corriente operativo</t>
  </si>
  <si>
    <t>Pasivo corriente operativo</t>
  </si>
  <si>
    <t>Inversiones financieras temporales</t>
  </si>
  <si>
    <t>Total</t>
  </si>
  <si>
    <t>Capitales empleados</t>
  </si>
  <si>
    <t>Capital y reservas</t>
  </si>
  <si>
    <t>Pérdidas y ganancias</t>
  </si>
  <si>
    <t>Deudas a largo plazo</t>
  </si>
  <si>
    <t>Otros pasivos no corrientes</t>
  </si>
  <si>
    <t>Deudas  a corto plazo</t>
  </si>
  <si>
    <t>BALANCE FINANCIERO</t>
  </si>
  <si>
    <t>Capital social</t>
  </si>
  <si>
    <t>Reservas</t>
  </si>
  <si>
    <t>Resultado neto del ejercicio</t>
  </si>
  <si>
    <t>Teniendo en cuenta las siguientes premisas:</t>
  </si>
  <si>
    <t>1.-  Los importes de activos no corrientes son importes netos, esto es, valor de adquisición menos amortización acumulada.</t>
  </si>
  <si>
    <t>2. El saldo inicial y final para el año n de la deuda bancaria a corto y largo plazo es el mismo.</t>
  </si>
  <si>
    <t>3. El tipo de interés pagado por la deuda tanto a corto como a largo es el mismo. La remuneración de las inversiones financieras a corto y largo es 0%.</t>
  </si>
  <si>
    <t>4. El resultado financiero corresponde exclusivamente con los intereses de deuda.</t>
  </si>
  <si>
    <t>5. Los accionistas se retribuyen con un  40% del resultado neto de impuestos.</t>
  </si>
  <si>
    <t>Deberás calcular:</t>
  </si>
  <si>
    <t>1. El WACC de la situación actual.</t>
  </si>
  <si>
    <t>2. El WACC si el accionista pide un 60% del resultado neto.</t>
  </si>
  <si>
    <t>3. El WACC si tuviéramos adicionalmente (desde 01/01) un préstamo de 1.000.000,00 euros a un tipo del 5%.</t>
  </si>
  <si>
    <t>Tasa impuestos</t>
  </si>
  <si>
    <t>Tasa bancos</t>
  </si>
  <si>
    <t>Gasto financiero</t>
  </si>
  <si>
    <t>Valor</t>
  </si>
  <si>
    <t>%</t>
  </si>
  <si>
    <t>Coste</t>
  </si>
  <si>
    <t>Deuda (D)</t>
  </si>
  <si>
    <t>Patrimonio (E )</t>
  </si>
  <si>
    <t>Gasto impuesto</t>
  </si>
  <si>
    <t>Hola Oriol!</t>
  </si>
  <si>
    <t>Buen intento.  Mira tienes que revisar lo siguiente:</t>
  </si>
  <si>
    <t>1.-  D.  Debes tomar el total de deuda, a corto y largo plazo, pero no otras partidas de pasivo que tienen naturaleza comercial.</t>
  </si>
  <si>
    <t>2.-  Ke.  Es la rentabilidad del socio o accionista.  Para calcularla debes dividir el importe del dividento que calculaste anteriormente entre el total de fondos propios.</t>
  </si>
  <si>
    <t>3.-  En la parte tercera, no tuviste en cuenta los nuevos intereses del préstamo de un millón.</t>
  </si>
  <si>
    <t>Saludos.</t>
  </si>
  <si>
    <t>i</t>
  </si>
  <si>
    <t>%i</t>
  </si>
  <si>
    <t>%g.ginsnv</t>
  </si>
  <si>
    <t>Peso</t>
  </si>
  <si>
    <t>%gast fianc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</si>
</sst>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00%"/>
    <numFmt numFmtId="166" formatCode="_ * #,##0.00_ ;_ * \-#,##0.00_ ;_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Proxima Nova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3" borderId="3" xfId="0" applyFill="1" applyBorder="1" applyAlignment="1">
      <alignment wrapText="1"/>
    </xf>
    <xf numFmtId="0" fontId="2" fillId="2" borderId="1" xfId="0" applyFont="1" applyFill="1" applyBorder="1"/>
    <xf numFmtId="164" fontId="2" fillId="2" borderId="2" xfId="1" applyFont="1" applyFill="1" applyBorder="1" applyAlignment="1"/>
    <xf numFmtId="0" fontId="3" fillId="0" borderId="0" xfId="0" applyFont="1"/>
    <xf numFmtId="0" fontId="0" fillId="0" borderId="3" xfId="0" applyBorder="1"/>
    <xf numFmtId="164" fontId="0" fillId="0" borderId="4" xfId="1" applyFont="1" applyBorder="1" applyAlignment="1"/>
    <xf numFmtId="0" fontId="0" fillId="3" borderId="3" xfId="0" applyFill="1" applyBorder="1"/>
    <xf numFmtId="164" fontId="0" fillId="3" borderId="4" xfId="1" applyFont="1" applyFill="1" applyBorder="1" applyAlignment="1"/>
    <xf numFmtId="0" fontId="3" fillId="3" borderId="3" xfId="0" applyFont="1" applyFill="1" applyBorder="1"/>
    <xf numFmtId="0" fontId="2" fillId="2" borderId="5" xfId="0" applyFont="1" applyFill="1" applyBorder="1"/>
    <xf numFmtId="164" fontId="2" fillId="2" borderId="6" xfId="1" applyFont="1" applyFill="1" applyBorder="1" applyAlignment="1"/>
    <xf numFmtId="0" fontId="2" fillId="2" borderId="0" xfId="0" applyFont="1" applyFill="1"/>
    <xf numFmtId="164" fontId="2" fillId="2" borderId="0" xfId="1" applyFont="1" applyFill="1" applyBorder="1" applyAlignment="1"/>
    <xf numFmtId="164" fontId="0" fillId="0" borderId="0" xfId="1" applyFont="1" applyAlignment="1"/>
    <xf numFmtId="164" fontId="0" fillId="3" borderId="0" xfId="1" applyFont="1" applyFill="1" applyBorder="1" applyAlignment="1"/>
    <xf numFmtId="164" fontId="0" fillId="0" borderId="0" xfId="1" applyFont="1" applyBorder="1" applyAlignment="1"/>
    <xf numFmtId="10" fontId="0" fillId="0" borderId="0" xfId="2" applyNumberFormat="1" applyFont="1" applyAlignment="1"/>
    <xf numFmtId="0" fontId="2" fillId="2" borderId="3" xfId="0" applyFont="1" applyFill="1" applyBorder="1"/>
    <xf numFmtId="164" fontId="2" fillId="2" borderId="4" xfId="1" applyFont="1" applyFill="1" applyBorder="1" applyAlignment="1"/>
    <xf numFmtId="0" fontId="0" fillId="0" borderId="1" xfId="0" applyBorder="1"/>
    <xf numFmtId="164" fontId="0" fillId="0" borderId="2" xfId="1" applyFont="1" applyBorder="1" applyAlignment="1"/>
    <xf numFmtId="164" fontId="0" fillId="0" borderId="0" xfId="1" applyFont="1" applyFill="1" applyBorder="1" applyAlignment="1"/>
    <xf numFmtId="164" fontId="0" fillId="0" borderId="4" xfId="1" applyFont="1" applyFill="1" applyBorder="1" applyAlignment="1"/>
    <xf numFmtId="10" fontId="0" fillId="0" borderId="4" xfId="2" applyNumberFormat="1" applyFont="1" applyBorder="1" applyAlignment="1"/>
    <xf numFmtId="164" fontId="2" fillId="2" borderId="8" xfId="1" applyFont="1" applyFill="1" applyBorder="1" applyAlignment="1"/>
    <xf numFmtId="0" fontId="4" fillId="0" borderId="9" xfId="0" applyFont="1" applyBorder="1" applyAlignment="1">
      <alignment horizontal="center" readingOrder="1"/>
    </xf>
    <xf numFmtId="10" fontId="3" fillId="0" borderId="10" xfId="1" applyNumberFormat="1" applyFont="1" applyBorder="1" applyAlignment="1"/>
    <xf numFmtId="9" fontId="0" fillId="0" borderId="4" xfId="1" applyNumberFormat="1" applyFont="1" applyBorder="1" applyAlignment="1"/>
    <xf numFmtId="9" fontId="0" fillId="0" borderId="0" xfId="2" applyFont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2" applyNumberFormat="1" applyFont="1" applyAlignment="1"/>
    <xf numFmtId="164" fontId="2" fillId="4" borderId="0" xfId="1" quotePrefix="1" applyFont="1" applyFill="1" applyBorder="1" applyAlignment="1"/>
    <xf numFmtId="10" fontId="2" fillId="4" borderId="0" xfId="2" quotePrefix="1" applyNumberFormat="1" applyFont="1" applyFill="1" applyBorder="1" applyAlignment="1"/>
    <xf numFmtId="166" fontId="5" fillId="0" borderId="0" xfId="0" applyNumberFormat="1" applyFont="1"/>
    <xf numFmtId="10" fontId="5" fillId="0" borderId="0" xfId="2" applyNumberFormat="1" applyFont="1" applyBorder="1" applyAlignment="1">
      <alignment horizontal="center"/>
    </xf>
    <xf numFmtId="9" fontId="5" fillId="0" borderId="0" xfId="2" applyFont="1" applyBorder="1" applyAlignment="1">
      <alignment horizontal="center"/>
    </xf>
    <xf numFmtId="10" fontId="5" fillId="0" borderId="0" xfId="2" applyNumberFormat="1" applyFont="1" applyBorder="1"/>
    <xf numFmtId="10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0" xfId="1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9" fontId="0" fillId="0" borderId="0" xfId="2" applyFont="1"/>
    <xf numFmtId="10" fontId="0" fillId="0" borderId="0" xfId="2" applyNumberFormat="1" applyFont="1"/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"/>
  <sheetViews>
    <sheetView tabSelected="1" topLeftCell="C23" zoomScale="110" zoomScaleNormal="110" workbookViewId="0">
      <selection activeCell="K37" sqref="K37"/>
    </sheetView>
  </sheetViews>
  <sheetFormatPr defaultColWidth="11.42578125" defaultRowHeight="15"/>
  <cols>
    <col min="1" max="1" width="43.28515625" bestFit="1" customWidth="1"/>
    <col min="2" max="2" width="15.5703125" bestFit="1" customWidth="1"/>
    <col min="3" max="3" width="19.42578125" customWidth="1"/>
    <col min="4" max="6" width="2.7109375" customWidth="1"/>
    <col min="7" max="7" width="36.85546875" customWidth="1"/>
    <col min="8" max="8" width="17.140625" customWidth="1"/>
    <col min="9" max="9" width="7.7109375" customWidth="1"/>
    <col min="10" max="10" width="13" customWidth="1"/>
    <col min="11" max="11" width="16.85546875" bestFit="1" customWidth="1"/>
  </cols>
  <sheetData>
    <row r="1" spans="1:16">
      <c r="A1" s="2" t="s">
        <v>0</v>
      </c>
      <c r="B1" s="3" t="s">
        <v>1</v>
      </c>
      <c r="G1" s="4" t="s">
        <v>69</v>
      </c>
      <c r="J1" s="12" t="s">
        <v>73</v>
      </c>
    </row>
    <row r="2" spans="1:16" ht="15.75" thickBot="1">
      <c r="A2" s="5"/>
      <c r="B2" s="6"/>
    </row>
    <row r="3" spans="1:16">
      <c r="A3" s="5" t="s">
        <v>2</v>
      </c>
      <c r="B3" s="6">
        <v>28640179.370000001</v>
      </c>
      <c r="G3" s="2" t="s">
        <v>54</v>
      </c>
      <c r="H3" s="3" t="s">
        <v>1</v>
      </c>
      <c r="J3" s="46" t="s">
        <v>74</v>
      </c>
      <c r="K3" s="47"/>
      <c r="L3" s="47"/>
      <c r="M3" s="47"/>
      <c r="N3" s="47"/>
      <c r="O3" s="47"/>
    </row>
    <row r="4" spans="1:16">
      <c r="A4" s="5" t="s">
        <v>3</v>
      </c>
      <c r="B4" s="6">
        <v>14137051.630000001</v>
      </c>
      <c r="G4" s="7" t="s">
        <v>18</v>
      </c>
      <c r="H4" s="8">
        <f>SUM(H5:H7)</f>
        <v>10960785.169999998</v>
      </c>
    </row>
    <row r="5" spans="1:16">
      <c r="A5" s="9" t="s">
        <v>4</v>
      </c>
      <c r="B5" s="8">
        <f>B3-B4</f>
        <v>14503127.74</v>
      </c>
      <c r="G5" s="5" t="s">
        <v>55</v>
      </c>
      <c r="H5" s="6">
        <f>B24+B25</f>
        <v>9897122.4999999981</v>
      </c>
      <c r="J5" s="46" t="s">
        <v>75</v>
      </c>
      <c r="K5" s="47"/>
      <c r="L5" s="47"/>
      <c r="M5" s="47"/>
      <c r="N5" s="47"/>
    </row>
    <row r="6" spans="1:16">
      <c r="A6" s="5" t="s">
        <v>5</v>
      </c>
      <c r="B6" s="6">
        <v>6202467.21</v>
      </c>
      <c r="G6" s="5" t="s">
        <v>56</v>
      </c>
      <c r="H6" s="6">
        <f>B26+B27</f>
        <v>812920.1399999999</v>
      </c>
    </row>
    <row r="7" spans="1:16">
      <c r="A7" s="5" t="s">
        <v>6</v>
      </c>
      <c r="B7" s="6">
        <v>3628919.8</v>
      </c>
      <c r="G7" s="5" t="s">
        <v>57</v>
      </c>
      <c r="H7" s="6">
        <f>B28</f>
        <v>250742.53</v>
      </c>
      <c r="J7" s="42" t="s">
        <v>76</v>
      </c>
      <c r="K7" s="42"/>
      <c r="L7" s="42"/>
      <c r="M7" s="42"/>
      <c r="N7" s="42"/>
      <c r="O7" s="42"/>
      <c r="P7" s="42"/>
    </row>
    <row r="8" spans="1:16">
      <c r="A8" s="5" t="s">
        <v>7</v>
      </c>
      <c r="B8" s="6">
        <v>1884169.16</v>
      </c>
      <c r="G8" s="7" t="s">
        <v>58</v>
      </c>
      <c r="H8" s="8">
        <f>H9-H10</f>
        <v>7658909.620000001</v>
      </c>
    </row>
    <row r="9" spans="1:16" ht="21" customHeight="1">
      <c r="A9" s="5" t="s">
        <v>8</v>
      </c>
      <c r="B9" s="6">
        <v>1152161.3400000001</v>
      </c>
      <c r="G9" s="5" t="s">
        <v>59</v>
      </c>
      <c r="H9" s="6">
        <f>B18+B19+B21+B22</f>
        <v>10064452.960000001</v>
      </c>
      <c r="J9" t="s">
        <v>77</v>
      </c>
    </row>
    <row r="10" spans="1:16">
      <c r="A10" s="5" t="s">
        <v>9</v>
      </c>
      <c r="B10" s="6">
        <v>39331.269999999997</v>
      </c>
      <c r="G10" s="5" t="s">
        <v>60</v>
      </c>
      <c r="H10" s="6">
        <f>C34-B36</f>
        <v>2405543.34</v>
      </c>
    </row>
    <row r="11" spans="1:16" ht="15.75" thickBot="1">
      <c r="A11" s="10" t="s">
        <v>10</v>
      </c>
      <c r="B11" s="11">
        <f>B5-SUM(B6:B10)</f>
        <v>1596078.9600000009</v>
      </c>
      <c r="G11" s="1" t="s">
        <v>61</v>
      </c>
      <c r="H11" s="8">
        <f>B20</f>
        <v>1595202.28</v>
      </c>
      <c r="J11" t="s">
        <v>78</v>
      </c>
    </row>
    <row r="12" spans="1:16" ht="15.75" thickBot="1">
      <c r="A12" s="5" t="s">
        <v>53</v>
      </c>
      <c r="B12" s="6">
        <f>B11*0.25</f>
        <v>399019.74000000022</v>
      </c>
      <c r="G12" s="10" t="s">
        <v>62</v>
      </c>
      <c r="H12" s="11">
        <f>H4+H8+H11</f>
        <v>20214897.07</v>
      </c>
    </row>
    <row r="13" spans="1:16">
      <c r="A13" s="12" t="s">
        <v>52</v>
      </c>
      <c r="B13" s="13">
        <f>B11-B12</f>
        <v>1197059.2200000007</v>
      </c>
      <c r="J13" s="12" t="s">
        <v>79</v>
      </c>
    </row>
    <row r="14" spans="1:16" ht="15.75" thickBot="1">
      <c r="B14" s="14"/>
    </row>
    <row r="15" spans="1:16" ht="15.75" thickBot="1">
      <c r="B15" s="14"/>
      <c r="G15" s="2" t="s">
        <v>63</v>
      </c>
      <c r="H15" s="3" t="s">
        <v>1</v>
      </c>
      <c r="J15" t="s">
        <v>80</v>
      </c>
    </row>
    <row r="16" spans="1:16">
      <c r="A16" s="2" t="s">
        <v>11</v>
      </c>
      <c r="B16" s="44" t="s">
        <v>1</v>
      </c>
      <c r="C16" s="45"/>
      <c r="G16" s="7" t="s">
        <v>25</v>
      </c>
      <c r="H16" s="8">
        <f>SUM(H17:H19)</f>
        <v>13891676.610000001</v>
      </c>
    </row>
    <row r="17" spans="1:19">
      <c r="A17" s="7" t="s">
        <v>12</v>
      </c>
      <c r="B17" s="15"/>
      <c r="C17" s="8">
        <f>SUM(B18:B22)</f>
        <v>11659655.24</v>
      </c>
      <c r="G17" s="5" t="s">
        <v>64</v>
      </c>
      <c r="H17" s="6">
        <f>B31+B32</f>
        <v>12694617.390000001</v>
      </c>
      <c r="J17" t="s">
        <v>81</v>
      </c>
    </row>
    <row r="18" spans="1:19">
      <c r="A18" s="5" t="s">
        <v>13</v>
      </c>
      <c r="B18" s="16">
        <v>8266139.120000001</v>
      </c>
      <c r="C18" s="6"/>
      <c r="G18" s="5" t="s">
        <v>65</v>
      </c>
      <c r="H18" s="6">
        <f>B33</f>
        <v>1197059.22</v>
      </c>
    </row>
    <row r="19" spans="1:19">
      <c r="A19" s="5" t="s">
        <v>14</v>
      </c>
      <c r="B19" s="16">
        <v>245324.61</v>
      </c>
      <c r="C19" s="6"/>
      <c r="G19" s="5" t="s">
        <v>57</v>
      </c>
      <c r="H19" s="6"/>
      <c r="J19" t="s">
        <v>82</v>
      </c>
    </row>
    <row r="20" spans="1:19">
      <c r="A20" s="5" t="s">
        <v>15</v>
      </c>
      <c r="B20" s="16">
        <v>1595202.28</v>
      </c>
      <c r="C20" s="6"/>
      <c r="G20" s="7" t="s">
        <v>30</v>
      </c>
      <c r="H20" s="8">
        <f>SUM(H21:H22)</f>
        <v>3805661.17</v>
      </c>
    </row>
    <row r="21" spans="1:19">
      <c r="A21" s="5" t="s">
        <v>16</v>
      </c>
      <c r="B21" s="16">
        <v>184024.5</v>
      </c>
      <c r="C21" s="6"/>
      <c r="G21" s="5" t="s">
        <v>66</v>
      </c>
      <c r="H21" s="6">
        <f>B39</f>
        <v>3805661.17</v>
      </c>
    </row>
    <row r="22" spans="1:19">
      <c r="A22" s="5" t="s">
        <v>17</v>
      </c>
      <c r="B22" s="16">
        <v>1368964.7300000002</v>
      </c>
      <c r="C22" s="6"/>
      <c r="G22" s="5" t="s">
        <v>67</v>
      </c>
      <c r="H22" s="6"/>
    </row>
    <row r="23" spans="1:19">
      <c r="A23" s="7" t="s">
        <v>18</v>
      </c>
      <c r="B23" s="15"/>
      <c r="C23" s="8">
        <f>SUM(B24:B28)</f>
        <v>10960785.169999996</v>
      </c>
      <c r="G23" s="7" t="s">
        <v>68</v>
      </c>
      <c r="H23" s="8">
        <f>B36</f>
        <v>2517559.29</v>
      </c>
    </row>
    <row r="24" spans="1:19" ht="15.75" thickBot="1">
      <c r="A24" s="5" t="s">
        <v>19</v>
      </c>
      <c r="B24" s="16">
        <v>1017633.2</v>
      </c>
      <c r="C24" s="6"/>
      <c r="G24" s="10" t="s">
        <v>62</v>
      </c>
      <c r="H24" s="11">
        <f>H16+H20+H23</f>
        <v>20214897.07</v>
      </c>
    </row>
    <row r="25" spans="1:19">
      <c r="A25" s="5" t="s">
        <v>20</v>
      </c>
      <c r="B25" s="16">
        <v>8879489.2999999989</v>
      </c>
      <c r="C25" s="6"/>
    </row>
    <row r="26" spans="1:19">
      <c r="A26" s="5" t="s">
        <v>21</v>
      </c>
      <c r="B26" s="16">
        <v>155818.53999999998</v>
      </c>
      <c r="C26" s="6"/>
    </row>
    <row r="27" spans="1:19">
      <c r="A27" s="5" t="s">
        <v>22</v>
      </c>
      <c r="B27" s="16">
        <v>657101.6</v>
      </c>
      <c r="C27" s="6"/>
      <c r="G27" s="4" t="s">
        <v>33</v>
      </c>
      <c r="H27" s="14"/>
    </row>
    <row r="28" spans="1:19" ht="15.75" thickBot="1">
      <c r="A28" s="5" t="s">
        <v>23</v>
      </c>
      <c r="B28" s="16">
        <v>250742.53</v>
      </c>
      <c r="C28" s="6"/>
      <c r="H28" s="17"/>
      <c r="P28" s="33"/>
      <c r="Q28" s="33" t="s">
        <v>86</v>
      </c>
      <c r="R28" s="33" t="s">
        <v>87</v>
      </c>
      <c r="S28" s="34" t="s">
        <v>88</v>
      </c>
    </row>
    <row r="29" spans="1:19" ht="15.75">
      <c r="A29" s="18" t="s">
        <v>24</v>
      </c>
      <c r="B29" s="13"/>
      <c r="C29" s="19">
        <f>C17+C23</f>
        <v>22620440.409999996</v>
      </c>
      <c r="G29" s="20" t="s">
        <v>34</v>
      </c>
      <c r="H29" s="21">
        <f>B13</f>
        <v>1197059.2200000007</v>
      </c>
      <c r="J29" t="s">
        <v>98</v>
      </c>
      <c r="K29" s="30">
        <f>$B$12</f>
        <v>399019.74000000022</v>
      </c>
      <c r="P29" s="43" t="s">
        <v>89</v>
      </c>
      <c r="Q29" s="35">
        <f>$H$20+$H$23</f>
        <v>6323220.46</v>
      </c>
      <c r="R29" s="36">
        <f>Q29/$Q$31</f>
        <v>0.31280003247624749</v>
      </c>
      <c r="S29" s="36">
        <f>R33</f>
        <v>7.7751658053054808E-3</v>
      </c>
    </row>
    <row r="30" spans="1:19" ht="15.75">
      <c r="A30" s="7" t="s">
        <v>25</v>
      </c>
      <c r="B30" s="15"/>
      <c r="C30" s="8">
        <f>SUM(B31:B33)</f>
        <v>13891676.610000001</v>
      </c>
      <c r="G30" s="5" t="s">
        <v>35</v>
      </c>
      <c r="H30" s="6">
        <f>H29*60%</f>
        <v>718235.53200000036</v>
      </c>
      <c r="I30" s="29"/>
      <c r="J30" t="s">
        <v>99</v>
      </c>
      <c r="K30" s="48">
        <f>$K$29/B11</f>
        <v>0.25</v>
      </c>
      <c r="P30" s="43" t="s">
        <v>90</v>
      </c>
      <c r="Q30" s="35">
        <f>$H$16</f>
        <v>13891676.610000001</v>
      </c>
      <c r="R30" s="36">
        <f>Q30/$Q$31</f>
        <v>0.68719996752375256</v>
      </c>
      <c r="S30" s="36">
        <v>0.6</v>
      </c>
    </row>
    <row r="31" spans="1:19" ht="15.75">
      <c r="A31" s="5" t="s">
        <v>70</v>
      </c>
      <c r="B31" s="22">
        <v>200000</v>
      </c>
      <c r="C31" s="23"/>
      <c r="G31" s="5" t="s">
        <v>36</v>
      </c>
      <c r="H31" s="6">
        <f>$H$29*40%</f>
        <v>478823.68800000031</v>
      </c>
      <c r="P31" s="43"/>
      <c r="Q31" s="35">
        <f>SUM(Q29:Q30)</f>
        <v>20214897.07</v>
      </c>
      <c r="R31" s="37">
        <v>1</v>
      </c>
      <c r="S31" s="38"/>
    </row>
    <row r="32" spans="1:19" ht="15.75">
      <c r="A32" s="5" t="s">
        <v>71</v>
      </c>
      <c r="B32" s="22">
        <v>12494617.390000001</v>
      </c>
      <c r="C32" s="23"/>
      <c r="G32" s="5"/>
      <c r="H32" s="24"/>
      <c r="I32" s="31"/>
      <c r="P32" s="43"/>
      <c r="Q32" s="35"/>
      <c r="R32" s="37"/>
      <c r="S32" s="38"/>
    </row>
    <row r="33" spans="1:19" ht="15.75">
      <c r="A33" s="5" t="s">
        <v>72</v>
      </c>
      <c r="B33" s="22">
        <v>1197059.22</v>
      </c>
      <c r="C33" s="23"/>
      <c r="G33" s="5" t="s">
        <v>37</v>
      </c>
      <c r="H33" s="24">
        <f>$K$33*(1-$K$30)</f>
        <v>4.6650994831832892E-3</v>
      </c>
      <c r="I33" s="32"/>
      <c r="J33" t="s">
        <v>100</v>
      </c>
      <c r="K33" s="49">
        <f>$B$10/H34</f>
        <v>6.220132644244385E-3</v>
      </c>
      <c r="P33" s="43" t="s">
        <v>84</v>
      </c>
      <c r="Q33" s="39">
        <f>$Q$34/$Q$29</f>
        <v>6.220132644244385E-3</v>
      </c>
      <c r="R33" s="36">
        <f>Q33*(1-Q36)</f>
        <v>7.7751658053054808E-3</v>
      </c>
      <c r="S33" s="38"/>
    </row>
    <row r="34" spans="1:19" ht="15.75">
      <c r="A34" s="7" t="s">
        <v>26</v>
      </c>
      <c r="B34" s="15"/>
      <c r="C34" s="8">
        <f>SUM(B35:B37)</f>
        <v>4923102.63</v>
      </c>
      <c r="G34" s="5" t="s">
        <v>38</v>
      </c>
      <c r="H34" s="6">
        <f>$H$20+$H$23</f>
        <v>6323220.46</v>
      </c>
      <c r="J34" s="48">
        <f>H34/$H$24</f>
        <v>0.31280003247624749</v>
      </c>
      <c r="K34" t="s">
        <v>101</v>
      </c>
      <c r="P34" s="43" t="s">
        <v>85</v>
      </c>
      <c r="Q34" s="40">
        <f>$B$10</f>
        <v>39331.269999999997</v>
      </c>
      <c r="R34" s="36"/>
      <c r="S34" s="38"/>
    </row>
    <row r="35" spans="1:19" ht="15.75">
      <c r="A35" s="5" t="s">
        <v>27</v>
      </c>
      <c r="B35" s="16">
        <v>11488.3</v>
      </c>
      <c r="C35" s="6"/>
      <c r="G35" s="5" t="s">
        <v>39</v>
      </c>
      <c r="H35" s="24">
        <f>$H$31/$H$36</f>
        <v>3.4468387181955877E-2</v>
      </c>
      <c r="I35" s="30"/>
      <c r="P35" s="43"/>
      <c r="Q35" s="39"/>
      <c r="R35" s="36"/>
      <c r="S35" s="38"/>
    </row>
    <row r="36" spans="1:19" ht="15.75">
      <c r="A36" s="5" t="s">
        <v>28</v>
      </c>
      <c r="B36" s="16">
        <v>2517559.29</v>
      </c>
      <c r="C36" s="6"/>
      <c r="G36" s="5" t="s">
        <v>40</v>
      </c>
      <c r="H36" s="6">
        <f>$H$16</f>
        <v>13891676.610000001</v>
      </c>
      <c r="J36" s="48">
        <f>H36/$H$24</f>
        <v>0.68719996752375256</v>
      </c>
      <c r="P36" s="43" t="s">
        <v>83</v>
      </c>
      <c r="Q36" s="39">
        <f>$Q$37/$Q$38*-1</f>
        <v>-0.25</v>
      </c>
      <c r="R36" s="36"/>
      <c r="S36" s="38"/>
    </row>
    <row r="37" spans="1:19" ht="15.75">
      <c r="A37" s="5" t="s">
        <v>29</v>
      </c>
      <c r="B37" s="16">
        <v>2394055.04</v>
      </c>
      <c r="C37" s="6"/>
      <c r="G37" s="5"/>
      <c r="H37" s="6"/>
      <c r="P37" s="43" t="s">
        <v>91</v>
      </c>
      <c r="Q37" s="40">
        <f>$B$12</f>
        <v>399019.74000000022</v>
      </c>
      <c r="R37" s="36"/>
      <c r="S37" s="38"/>
    </row>
    <row r="38" spans="1:19" ht="15.75">
      <c r="A38" s="7" t="s">
        <v>30</v>
      </c>
      <c r="B38" s="15"/>
      <c r="C38" s="8">
        <f>SUM(B39)</f>
        <v>3805661.17</v>
      </c>
      <c r="G38" s="5" t="s">
        <v>41</v>
      </c>
      <c r="H38" s="24">
        <f>$H$35*$H$36/($H$36+$H$34)</f>
        <v>2.368667455203621E-2</v>
      </c>
      <c r="P38" s="43" t="s">
        <v>10</v>
      </c>
      <c r="Q38" s="40">
        <f>$B$11</f>
        <v>1596078.9600000009</v>
      </c>
      <c r="R38" s="36"/>
      <c r="S38" s="38"/>
    </row>
    <row r="39" spans="1:19" ht="15.75">
      <c r="A39" s="5" t="s">
        <v>31</v>
      </c>
      <c r="B39" s="16">
        <v>3805661.17</v>
      </c>
      <c r="C39" s="6"/>
      <c r="G39" s="5" t="s">
        <v>42</v>
      </c>
      <c r="H39" s="24">
        <f>H33*Q29/(H36+H34)</f>
        <v>1.4592432698446582E-3</v>
      </c>
      <c r="P39" s="43"/>
      <c r="Q39" s="39"/>
      <c r="R39" s="36"/>
      <c r="S39" s="38"/>
    </row>
    <row r="40" spans="1:19" ht="16.5" thickBot="1">
      <c r="A40" s="10" t="s">
        <v>32</v>
      </c>
      <c r="B40" s="25"/>
      <c r="C40" s="11">
        <f>C30+C34+C38</f>
        <v>22620440.410000004</v>
      </c>
      <c r="G40" s="5"/>
      <c r="H40" s="6"/>
      <c r="P40" s="43"/>
      <c r="Q40" s="39"/>
      <c r="R40" s="35"/>
      <c r="S40" s="38"/>
    </row>
    <row r="41" spans="1:19" ht="16.5" thickBot="1">
      <c r="G41" s="5"/>
      <c r="H41" s="6"/>
      <c r="P41" s="43"/>
      <c r="Q41" s="41"/>
      <c r="R41" s="35"/>
      <c r="S41" s="38"/>
    </row>
    <row r="42" spans="1:19" ht="15.75" thickBot="1">
      <c r="G42" s="26" t="s">
        <v>43</v>
      </c>
      <c r="H42" s="27">
        <f>H38+H39</f>
        <v>2.5145917821880869E-2</v>
      </c>
    </row>
    <row r="43" spans="1:19">
      <c r="H43" s="14"/>
    </row>
    <row r="44" spans="1:19">
      <c r="G44" s="4" t="s">
        <v>44</v>
      </c>
      <c r="H44" s="14"/>
    </row>
    <row r="45" spans="1:19" ht="15.75" thickBot="1">
      <c r="H45" s="14"/>
      <c r="P45" s="33"/>
      <c r="Q45" s="33" t="s">
        <v>86</v>
      </c>
      <c r="R45" s="33" t="s">
        <v>87</v>
      </c>
      <c r="S45" s="34" t="s">
        <v>88</v>
      </c>
    </row>
    <row r="46" spans="1:19" ht="15.75">
      <c r="G46" s="20" t="s">
        <v>34</v>
      </c>
      <c r="H46" s="21">
        <f>H29</f>
        <v>1197059.2200000007</v>
      </c>
      <c r="P46" s="43" t="s">
        <v>89</v>
      </c>
      <c r="Q46" s="35">
        <f>$H$20+$H$23</f>
        <v>6323220.46</v>
      </c>
      <c r="R46" s="36">
        <f>Q46/$Q$31</f>
        <v>0.31280003247624749</v>
      </c>
      <c r="S46" s="36">
        <f>R50</f>
        <v>7.7751658053054808E-3</v>
      </c>
    </row>
    <row r="47" spans="1:19" ht="15.75">
      <c r="G47" s="5" t="s">
        <v>45</v>
      </c>
      <c r="H47" s="6">
        <f>H46*0.4</f>
        <v>478823.68800000031</v>
      </c>
      <c r="P47" s="43" t="s">
        <v>90</v>
      </c>
      <c r="Q47" s="35">
        <f>$H$16</f>
        <v>13891676.610000001</v>
      </c>
      <c r="R47" s="36">
        <f>Q47/$Q$31</f>
        <v>0.68719996752375256</v>
      </c>
      <c r="S47" s="36">
        <v>0.6</v>
      </c>
    </row>
    <row r="48" spans="1:19" ht="15.75">
      <c r="G48" s="5" t="s">
        <v>46</v>
      </c>
      <c r="H48" s="6">
        <f>$H$29*60%</f>
        <v>718235.53200000036</v>
      </c>
      <c r="P48" s="43"/>
      <c r="Q48" s="35">
        <f>SUM(Q46:Q47)</f>
        <v>20214897.07</v>
      </c>
      <c r="R48" s="37">
        <v>1</v>
      </c>
      <c r="S48" s="38"/>
    </row>
    <row r="49" spans="7:19" ht="15.75">
      <c r="G49" s="5"/>
      <c r="H49" s="6"/>
      <c r="P49" s="43"/>
      <c r="Q49" s="35"/>
      <c r="R49" s="37"/>
      <c r="S49" s="38"/>
    </row>
    <row r="50" spans="7:19" ht="15.75">
      <c r="G50" s="5" t="s">
        <v>37</v>
      </c>
      <c r="H50" s="24">
        <f>$K$33*(1-$K$30)</f>
        <v>4.6650994831832892E-3</v>
      </c>
      <c r="P50" s="43" t="s">
        <v>84</v>
      </c>
      <c r="Q50" s="39">
        <f>Q51/Q46</f>
        <v>6.220132644244385E-3</v>
      </c>
      <c r="R50" s="36">
        <f>Q50*(1-Q53)</f>
        <v>7.7751658053054808E-3</v>
      </c>
      <c r="S50" s="38"/>
    </row>
    <row r="51" spans="7:19" ht="15.75">
      <c r="G51" s="5" t="s">
        <v>38</v>
      </c>
      <c r="H51" s="6">
        <f>Q46</f>
        <v>6323220.46</v>
      </c>
      <c r="J51" s="48">
        <f>H51/$H$24</f>
        <v>0.31280003247624749</v>
      </c>
      <c r="P51" s="43" t="s">
        <v>85</v>
      </c>
      <c r="Q51" s="40">
        <f>$B$10</f>
        <v>39331.269999999997</v>
      </c>
      <c r="R51" s="36"/>
      <c r="S51" s="38"/>
    </row>
    <row r="52" spans="7:19" ht="15.75">
      <c r="G52" s="5" t="s">
        <v>39</v>
      </c>
      <c r="H52" s="24">
        <f>H48/$H$36</f>
        <v>5.1702580772933805E-2</v>
      </c>
      <c r="P52" s="43"/>
      <c r="Q52" s="39"/>
      <c r="R52" s="36"/>
      <c r="S52" s="38"/>
    </row>
    <row r="53" spans="7:19" ht="15.75">
      <c r="G53" s="5" t="s">
        <v>40</v>
      </c>
      <c r="H53" s="6">
        <f>Q47</f>
        <v>13891676.610000001</v>
      </c>
      <c r="J53" s="48">
        <f>H53/$H$24</f>
        <v>0.68719996752375256</v>
      </c>
      <c r="P53" s="43" t="s">
        <v>83</v>
      </c>
      <c r="Q53" s="39">
        <f>$Q$37/$Q$38*-1</f>
        <v>-0.25</v>
      </c>
      <c r="R53" s="36"/>
      <c r="S53" s="38"/>
    </row>
    <row r="54" spans="7:19" ht="15.75">
      <c r="G54" s="5"/>
      <c r="H54" s="6"/>
      <c r="P54" s="43" t="s">
        <v>91</v>
      </c>
      <c r="Q54" s="40">
        <f>$B$12</f>
        <v>399019.74000000022</v>
      </c>
      <c r="R54" s="36"/>
      <c r="S54" s="38"/>
    </row>
    <row r="55" spans="7:19" ht="15.75">
      <c r="G55" s="5" t="s">
        <v>41</v>
      </c>
      <c r="H55" s="24">
        <f>H52*H53/(H53+H51)</f>
        <v>3.5530011828054306E-2</v>
      </c>
      <c r="P55" s="43" t="s">
        <v>10</v>
      </c>
      <c r="Q55" s="40">
        <f>$B$11</f>
        <v>1596078.9600000009</v>
      </c>
      <c r="R55" s="36"/>
      <c r="S55" s="38"/>
    </row>
    <row r="56" spans="7:19">
      <c r="G56" s="5" t="s">
        <v>42</v>
      </c>
      <c r="H56" s="24">
        <f>$H$33*$H$34*(1-$I$30)/($H$36+$H$34)</f>
        <v>1.4592432698446582E-3</v>
      </c>
    </row>
    <row r="57" spans="7:19">
      <c r="G57" s="5"/>
      <c r="H57" s="6"/>
    </row>
    <row r="58" spans="7:19" ht="15.75" thickBot="1">
      <c r="G58" s="5"/>
      <c r="H58" s="6"/>
    </row>
    <row r="59" spans="7:19" ht="15.75" thickBot="1">
      <c r="G59" s="26" t="s">
        <v>43</v>
      </c>
      <c r="H59" s="27">
        <f>H55+H56</f>
        <v>3.6989255097898965E-2</v>
      </c>
    </row>
    <row r="60" spans="7:19">
      <c r="H60" s="14"/>
    </row>
    <row r="61" spans="7:19">
      <c r="G61" s="4" t="s">
        <v>51</v>
      </c>
      <c r="H61" s="14"/>
    </row>
    <row r="62" spans="7:19">
      <c r="H62" s="14"/>
    </row>
    <row r="63" spans="7:19" ht="15.75" thickBot="1">
      <c r="H63" s="14"/>
    </row>
    <row r="64" spans="7:19">
      <c r="G64" s="20" t="s">
        <v>34</v>
      </c>
      <c r="H64" s="21">
        <f>B13</f>
        <v>1197059.2200000007</v>
      </c>
    </row>
    <row r="65" spans="7:19">
      <c r="G65" s="5" t="s">
        <v>35</v>
      </c>
      <c r="H65" s="6">
        <f>H64*60%</f>
        <v>718235.53200000036</v>
      </c>
      <c r="P65" s="33"/>
      <c r="Q65" s="33" t="s">
        <v>86</v>
      </c>
      <c r="R65" s="33" t="s">
        <v>87</v>
      </c>
      <c r="S65" s="34" t="s">
        <v>88</v>
      </c>
    </row>
    <row r="66" spans="7:19" ht="15.75">
      <c r="G66" s="5" t="s">
        <v>36</v>
      </c>
      <c r="H66" s="6">
        <f>H64*40%</f>
        <v>478823.68800000031</v>
      </c>
      <c r="P66" s="43" t="s">
        <v>89</v>
      </c>
      <c r="Q66" s="35">
        <f>H69+(H67*H68)</f>
        <v>7373220.46</v>
      </c>
      <c r="R66" s="36">
        <f>Q66/$Q$31</f>
        <v>0.36474192445640785</v>
      </c>
      <c r="S66" s="36">
        <f>R70</f>
        <v>6.6679258767206318E-3</v>
      </c>
    </row>
    <row r="67" spans="7:19" ht="15.75">
      <c r="G67" s="5" t="s">
        <v>47</v>
      </c>
      <c r="H67" s="6">
        <v>1000000</v>
      </c>
      <c r="P67" s="43" t="s">
        <v>90</v>
      </c>
      <c r="Q67" s="35">
        <f>$H$16</f>
        <v>13891676.610000001</v>
      </c>
      <c r="R67" s="36">
        <f>Q67/$Q$31</f>
        <v>0.68719996752375256</v>
      </c>
      <c r="S67" s="36">
        <v>0.4</v>
      </c>
    </row>
    <row r="68" spans="7:19" ht="15.75">
      <c r="G68" s="5" t="s">
        <v>48</v>
      </c>
      <c r="H68" s="28">
        <v>0.05</v>
      </c>
      <c r="J68" s="30">
        <f>H67*H68</f>
        <v>50000</v>
      </c>
      <c r="P68" s="43"/>
      <c r="Q68" s="35">
        <f>SUM(Q66:Q67)</f>
        <v>21264897.07</v>
      </c>
      <c r="R68" s="37">
        <v>1</v>
      </c>
      <c r="S68" s="38"/>
    </row>
    <row r="69" spans="7:19" ht="15.75">
      <c r="G69" s="5" t="s">
        <v>49</v>
      </c>
      <c r="H69" s="6">
        <f>H51+H67</f>
        <v>7323220.46</v>
      </c>
      <c r="P69" s="43"/>
      <c r="Q69" s="35"/>
      <c r="R69" s="37"/>
      <c r="S69" s="38"/>
    </row>
    <row r="70" spans="7:19" ht="15.75">
      <c r="G70" s="5" t="s">
        <v>50</v>
      </c>
      <c r="H70" s="24"/>
      <c r="J70" t="s">
        <v>102</v>
      </c>
      <c r="K70" s="49">
        <f>(J68+B10)/H69</f>
        <v>1.2198358698599112E-2</v>
      </c>
      <c r="P70" s="43" t="s">
        <v>84</v>
      </c>
      <c r="Q70" s="39">
        <f>$Q$34/$Q$66</f>
        <v>5.3343407013765054E-3</v>
      </c>
      <c r="R70" s="36">
        <f>Q70*(1-Q73)</f>
        <v>6.6679258767206318E-3</v>
      </c>
      <c r="S70" s="38"/>
    </row>
    <row r="71" spans="7:19" ht="15.75">
      <c r="G71" s="5"/>
      <c r="H71" s="24"/>
      <c r="P71" s="43" t="s">
        <v>85</v>
      </c>
      <c r="Q71" s="40">
        <f>$B$10</f>
        <v>39331.269999999997</v>
      </c>
      <c r="R71" s="36"/>
      <c r="S71" s="38"/>
    </row>
    <row r="72" spans="7:19" ht="15.75">
      <c r="G72" s="5" t="s">
        <v>37</v>
      </c>
      <c r="H72" s="24">
        <f>K70*(1-K30)</f>
        <v>9.1487690239493331E-3</v>
      </c>
      <c r="P72" s="43"/>
      <c r="Q72" s="39"/>
      <c r="R72" s="36"/>
      <c r="S72" s="38"/>
    </row>
    <row r="73" spans="7:19" ht="15.75">
      <c r="G73" s="5" t="s">
        <v>38</v>
      </c>
      <c r="H73" s="6">
        <f>Q66</f>
        <v>7373220.46</v>
      </c>
      <c r="J73" s="48">
        <f>H73/($H$24+H67)</f>
        <v>0.34754919789012201</v>
      </c>
      <c r="P73" s="43" t="s">
        <v>83</v>
      </c>
      <c r="Q73" s="39">
        <f>$Q$37/$Q$38*-1</f>
        <v>-0.25</v>
      </c>
      <c r="R73" s="36"/>
      <c r="S73" s="38"/>
    </row>
    <row r="74" spans="7:19" ht="15.75">
      <c r="G74" s="5" t="s">
        <v>39</v>
      </c>
      <c r="H74" s="24">
        <f>H66/H75</f>
        <v>3.4468387181955877E-2</v>
      </c>
      <c r="P74" s="43" t="s">
        <v>91</v>
      </c>
      <c r="Q74" s="40">
        <f>$B$12</f>
        <v>399019.74000000022</v>
      </c>
      <c r="R74" s="36"/>
      <c r="S74" s="38"/>
    </row>
    <row r="75" spans="7:19" ht="15.75">
      <c r="G75" s="5" t="s">
        <v>40</v>
      </c>
      <c r="H75" s="6">
        <f>H36</f>
        <v>13891676.610000001</v>
      </c>
      <c r="J75" s="48">
        <f>H75/($H$24+H67)</f>
        <v>0.65480763654725571</v>
      </c>
      <c r="P75" s="43" t="s">
        <v>10</v>
      </c>
      <c r="Q75" s="40">
        <f>$B$11</f>
        <v>1596078.9600000009</v>
      </c>
      <c r="R75" s="36"/>
      <c r="S75" s="38"/>
    </row>
    <row r="76" spans="7:19" ht="15.75">
      <c r="G76" s="5"/>
      <c r="H76" s="6"/>
      <c r="P76" s="43"/>
      <c r="Q76" s="39"/>
      <c r="R76" s="36"/>
      <c r="S76" s="38"/>
    </row>
    <row r="77" spans="7:19">
      <c r="G77" s="5" t="s">
        <v>41</v>
      </c>
      <c r="H77" s="24">
        <f>H72*J73</f>
        <v>3.1796473359555853E-3</v>
      </c>
    </row>
    <row r="78" spans="7:19">
      <c r="G78" s="5" t="s">
        <v>42</v>
      </c>
      <c r="H78" s="24">
        <f>H74*J75</f>
        <v>2.2570163146212251E-2</v>
      </c>
    </row>
    <row r="79" spans="7:19">
      <c r="G79" s="5"/>
      <c r="H79" s="6"/>
    </row>
    <row r="80" spans="7:19" ht="15.75" thickBot="1">
      <c r="G80" s="5"/>
      <c r="H80" s="6"/>
    </row>
    <row r="81" spans="1:8" ht="15.75" thickBot="1">
      <c r="G81" s="26" t="s">
        <v>43</v>
      </c>
      <c r="H81" s="27">
        <f>H77+H78</f>
        <v>2.5749810482167838E-2</v>
      </c>
    </row>
    <row r="87" spans="1:8">
      <c r="A87" t="s">
        <v>92</v>
      </c>
    </row>
    <row r="89" spans="1:8">
      <c r="A89" t="s">
        <v>93</v>
      </c>
    </row>
    <row r="91" spans="1:8">
      <c r="A91" t="s">
        <v>94</v>
      </c>
    </row>
    <row r="93" spans="1:8">
      <c r="A93" t="s">
        <v>95</v>
      </c>
    </row>
    <row r="95" spans="1:8">
      <c r="A95" t="s">
        <v>96</v>
      </c>
    </row>
    <row r="98" spans="1:1">
      <c r="A98" t="s">
        <v>97</v>
      </c>
    </row>
  </sheetData>
  <mergeCells count="3">
    <mergeCell ref="B16:C16"/>
    <mergeCell ref="J3:O3"/>
    <mergeCell ref="J5:N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Lorena Rivas Rodriguez</dc:creator>
  <cp:lastModifiedBy>PORTATIL28</cp:lastModifiedBy>
  <dcterms:created xsi:type="dcterms:W3CDTF">2021-11-02T11:37:24Z</dcterms:created>
  <dcterms:modified xsi:type="dcterms:W3CDTF">2023-12-07T15:15:06Z</dcterms:modified>
</cp:coreProperties>
</file>