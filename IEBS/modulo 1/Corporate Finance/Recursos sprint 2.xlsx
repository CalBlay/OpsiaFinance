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PORTATIL28\Desktop\IEBS\modulo 1\Corporate Finance\"/>
    </mc:Choice>
  </mc:AlternateContent>
  <xr:revisionPtr revIDLastSave="0" documentId="13_ncr:1_{7C5CA7D0-7C25-4228-97A4-D9B85CBDE0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4" i="1" l="1"/>
  <c r="K70" i="1" l="1"/>
  <c r="K50" i="1"/>
  <c r="K33" i="1"/>
  <c r="H35" i="1" l="1"/>
  <c r="H23" i="1"/>
  <c r="H21" i="1"/>
  <c r="H17" i="1"/>
  <c r="H18" i="1"/>
  <c r="H10" i="1"/>
  <c r="H11" i="1"/>
  <c r="H9" i="1"/>
  <c r="H7" i="1"/>
  <c r="H6" i="1"/>
  <c r="H5" i="1"/>
  <c r="C30" i="1"/>
  <c r="C38" i="1"/>
  <c r="C34" i="1"/>
  <c r="C23" i="1"/>
  <c r="C17" i="1"/>
  <c r="B5" i="1"/>
  <c r="B11" i="1" s="1"/>
  <c r="C40" i="1" l="1"/>
  <c r="K74" i="1"/>
  <c r="K37" i="1"/>
  <c r="K54" i="1"/>
  <c r="H4" i="1"/>
  <c r="C29" i="1"/>
  <c r="B12" i="1"/>
  <c r="B13" i="1" l="1"/>
  <c r="K53" i="1"/>
  <c r="K73" i="1"/>
  <c r="K36" i="1"/>
  <c r="H20" i="1"/>
  <c r="H8" i="1"/>
  <c r="K28" i="1" l="1"/>
  <c r="K45" i="1"/>
  <c r="H34" i="1"/>
  <c r="K52" i="1"/>
  <c r="K35" i="1"/>
  <c r="K72" i="1"/>
  <c r="H64" i="1"/>
  <c r="H29" i="1"/>
  <c r="H12" i="1"/>
  <c r="H16" i="1"/>
  <c r="H30" i="1" l="1"/>
  <c r="H31" i="1"/>
  <c r="H65" i="1"/>
  <c r="H66" i="1"/>
  <c r="H24" i="1"/>
  <c r="K66" i="1"/>
  <c r="K29" i="1"/>
  <c r="K30" i="1" s="1"/>
  <c r="K46" i="1"/>
  <c r="K47" i="1" s="1"/>
  <c r="H36" i="1"/>
  <c r="H38" i="1" s="1"/>
  <c r="K49" i="1"/>
  <c r="L49" i="1" s="1"/>
  <c r="M45" i="1" s="1"/>
  <c r="H50" i="1" s="1"/>
  <c r="H51" i="1"/>
  <c r="H69" i="1" s="1"/>
  <c r="K65" i="1" s="1"/>
  <c r="K32" i="1"/>
  <c r="L29" i="1" l="1"/>
  <c r="L28" i="1"/>
  <c r="H73" i="1"/>
  <c r="L65" i="1"/>
  <c r="K69" i="1"/>
  <c r="L69" i="1" s="1"/>
  <c r="M65" i="1" s="1"/>
  <c r="H72" i="1" s="1"/>
  <c r="H78" i="1" s="1"/>
  <c r="K67" i="1"/>
  <c r="H75" i="1" s="1"/>
  <c r="H77" i="1" s="1"/>
  <c r="H81" i="1" s="1"/>
  <c r="L46" i="1"/>
  <c r="H53" i="1"/>
  <c r="H55" i="1" s="1"/>
  <c r="L66" i="1"/>
  <c r="L45" i="1"/>
  <c r="L32" i="1" l="1"/>
  <c r="M28" i="1" s="1"/>
  <c r="H33" i="1" s="1"/>
  <c r="H56" i="1" l="1"/>
  <c r="H59" i="1" s="1"/>
  <c r="H39" i="1"/>
  <c r="H42" i="1" s="1"/>
</calcChain>
</file>

<file path=xl/sharedStrings.xml><?xml version="1.0" encoding="utf-8"?>
<sst xmlns="http://schemas.openxmlformats.org/spreadsheetml/2006/main" count="139" uniqueCount="92">
  <si>
    <t>Cuenta resultados</t>
  </si>
  <si>
    <t>Año N</t>
  </si>
  <si>
    <t>Ventas</t>
  </si>
  <si>
    <t>Coste de ventas</t>
  </si>
  <si>
    <t>Margen contribución</t>
  </si>
  <si>
    <t>Salarios</t>
  </si>
  <si>
    <t>Alquileres</t>
  </si>
  <si>
    <t>Resto gastos generales</t>
  </si>
  <si>
    <t>Amortizaciones</t>
  </si>
  <si>
    <t>Resultado financiero</t>
  </si>
  <si>
    <t>Resultado antes impuestos</t>
  </si>
  <si>
    <t xml:space="preserve">Balance </t>
  </si>
  <si>
    <t>Activo corriente</t>
  </si>
  <si>
    <t>Existencias</t>
  </si>
  <si>
    <t>Deudores comerciales</t>
  </si>
  <si>
    <t>Inversiones financieras a c/p</t>
  </si>
  <si>
    <t>Periodificaciones a c/p</t>
  </si>
  <si>
    <t>Efectivo y otros activos líquidos</t>
  </si>
  <si>
    <t>Activo no corriente</t>
  </si>
  <si>
    <t>Intangible</t>
  </si>
  <si>
    <t>Material</t>
  </si>
  <si>
    <t>Inversiones inmobiliarias</t>
  </si>
  <si>
    <t>Inversiones financieras a l/p</t>
  </si>
  <si>
    <t>Activos por impuesto diferido</t>
  </si>
  <si>
    <t>Total activo</t>
  </si>
  <si>
    <t>Patrimonio neto</t>
  </si>
  <si>
    <t>Pasivo corriente</t>
  </si>
  <si>
    <t>Provisiones a corto plazo</t>
  </si>
  <si>
    <t>Deuda bancaria a c/p</t>
  </si>
  <si>
    <t>Acreedores comerciales y otras cuentas a pagar</t>
  </si>
  <si>
    <t>Pasivo no corriente</t>
  </si>
  <si>
    <t>Deuda bancaria a l/p</t>
  </si>
  <si>
    <t>Total pasivo</t>
  </si>
  <si>
    <t>1.- WACC</t>
  </si>
  <si>
    <t>Resultado después impuestos</t>
  </si>
  <si>
    <t>Beneficio retenido (60%)</t>
  </si>
  <si>
    <t>Dividendo (40%)</t>
  </si>
  <si>
    <t>kd</t>
  </si>
  <si>
    <t>D</t>
  </si>
  <si>
    <t>ke</t>
  </si>
  <si>
    <t>E</t>
  </si>
  <si>
    <t xml:space="preserve"> Ke . E/(E+D)</t>
  </si>
  <si>
    <t>Kd . D(1-i)/(E+D)</t>
  </si>
  <si>
    <t>WACC = Ke . E/(E+D) + Kd . D(1-i)/(E+D)</t>
  </si>
  <si>
    <t>2.-  WACC con dividendo 60%</t>
  </si>
  <si>
    <t>Beneficio retenido (40%)</t>
  </si>
  <si>
    <t>Dividendo (60%)</t>
  </si>
  <si>
    <t>Préstamo</t>
  </si>
  <si>
    <t>Tipo préstamo</t>
  </si>
  <si>
    <t>Deuda actual</t>
  </si>
  <si>
    <t>Tipo actual</t>
  </si>
  <si>
    <t>3.-  WACC con préstamo 1.000.000 a 5%</t>
  </si>
  <si>
    <t>Resultado después de impuestos</t>
  </si>
  <si>
    <t>Impuesto sobre beneficios</t>
  </si>
  <si>
    <t>Capitales invertidos</t>
  </si>
  <si>
    <t>Inmovilizados</t>
  </si>
  <si>
    <t>Inversiones</t>
  </si>
  <si>
    <t>Otros</t>
  </si>
  <si>
    <t>NOF</t>
  </si>
  <si>
    <t>Activo corriente operativo</t>
  </si>
  <si>
    <t>Pasivo corriente operativo</t>
  </si>
  <si>
    <t>Inversiones financieras temporales</t>
  </si>
  <si>
    <t>Total</t>
  </si>
  <si>
    <t>Capitales empleados</t>
  </si>
  <si>
    <t>Capital y reservas</t>
  </si>
  <si>
    <t>Pérdidas y ganancias</t>
  </si>
  <si>
    <t>Deudas a largo plazo</t>
  </si>
  <si>
    <t>Otros pasivos no corrientes</t>
  </si>
  <si>
    <t>Deudas  a corto plazo</t>
  </si>
  <si>
    <t>BALANCE FINANCIERO</t>
  </si>
  <si>
    <t>Capital social</t>
  </si>
  <si>
    <t>Reservas</t>
  </si>
  <si>
    <t>Resultado neto del ejercicio</t>
  </si>
  <si>
    <t>Teniendo en cuenta las siguientes premisas:</t>
  </si>
  <si>
    <t>1.-  Los importes de activos no corrientes son importes netos, esto es, valor de adquisición menos amortización acumulada.</t>
  </si>
  <si>
    <t>2. El saldo inicial y final para el año n de la deuda bancaria a corto y largo plazo es el mismo.</t>
  </si>
  <si>
    <t>3. El tipo de interés pagado por la deuda tanto a corto como a largo es el mismo. La remuneración de las inversiones financieras a corto y largo es 0%.</t>
  </si>
  <si>
    <t>4. El resultado financiero corresponde exclusivamente con los intereses de deuda.</t>
  </si>
  <si>
    <t>5. Los accionistas se retribuyen con un  40% del resultado neto de impuestos.</t>
  </si>
  <si>
    <t>Deberás calcular:</t>
  </si>
  <si>
    <t>1. El WACC de la situación actual.</t>
  </si>
  <si>
    <t>2. El WACC si el accionista pide un 60% del resultado neto.</t>
  </si>
  <si>
    <t>3. El WACC si tuviéramos adicionalmente (desde 01/01) un préstamo de 1.000.000,00 euros a un tipo del 5%.</t>
  </si>
  <si>
    <t>Tasa impuestos</t>
  </si>
  <si>
    <t>Tasa bancos</t>
  </si>
  <si>
    <t>Gasto financiero</t>
  </si>
  <si>
    <t>Valor</t>
  </si>
  <si>
    <t>%</t>
  </si>
  <si>
    <t>Coste</t>
  </si>
  <si>
    <t>Deuda (D)</t>
  </si>
  <si>
    <t>Patrimonio (E )</t>
  </si>
  <si>
    <t>Gasto impuesto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</si>
</sst>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70" formatCode="0.000%"/>
    <numFmt numFmtId="171" formatCode="_ * #,##0.00_ ;_ * \-#,##0.00_ ;_ * &quot;-&quot;??_ ;_ @_ 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Proxima Nova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3" borderId="3" xfId="0" applyFill="1" applyBorder="1" applyAlignment="1">
      <alignment wrapText="1"/>
    </xf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/>
    <xf numFmtId="164" fontId="2" fillId="2" borderId="2" xfId="1" applyFont="1" applyFill="1" applyBorder="1" applyAlignment="1"/>
    <xf numFmtId="0" fontId="0" fillId="0" borderId="0" xfId="0" applyAlignment="1"/>
    <xf numFmtId="0" fontId="3" fillId="0" borderId="0" xfId="0" applyFont="1" applyAlignment="1"/>
    <xf numFmtId="0" fontId="0" fillId="0" borderId="3" xfId="0" applyBorder="1" applyAlignment="1"/>
    <xf numFmtId="164" fontId="0" fillId="0" borderId="4" xfId="1" applyFont="1" applyBorder="1" applyAlignment="1"/>
    <xf numFmtId="0" fontId="0" fillId="0" borderId="0" xfId="0" applyFont="1" applyAlignment="1"/>
    <xf numFmtId="0" fontId="0" fillId="3" borderId="3" xfId="0" applyFill="1" applyBorder="1" applyAlignment="1"/>
    <xf numFmtId="164" fontId="0" fillId="3" borderId="4" xfId="1" applyFont="1" applyFill="1" applyBorder="1" applyAlignment="1"/>
    <xf numFmtId="0" fontId="3" fillId="3" borderId="3" xfId="0" applyFont="1" applyFill="1" applyBorder="1" applyAlignment="1"/>
    <xf numFmtId="0" fontId="2" fillId="2" borderId="5" xfId="0" applyFont="1" applyFill="1" applyBorder="1" applyAlignment="1"/>
    <xf numFmtId="164" fontId="2" fillId="2" borderId="6" xfId="1" applyFont="1" applyFill="1" applyBorder="1" applyAlignment="1"/>
    <xf numFmtId="0" fontId="2" fillId="2" borderId="0" xfId="0" applyFont="1" applyFill="1" applyAlignment="1"/>
    <xf numFmtId="164" fontId="2" fillId="2" borderId="0" xfId="1" applyFont="1" applyFill="1" applyBorder="1" applyAlignment="1"/>
    <xf numFmtId="164" fontId="0" fillId="0" borderId="0" xfId="1" applyFont="1" applyAlignment="1"/>
    <xf numFmtId="164" fontId="0" fillId="3" borderId="0" xfId="1" applyFont="1" applyFill="1" applyBorder="1" applyAlignment="1"/>
    <xf numFmtId="164" fontId="0" fillId="0" borderId="0" xfId="1" applyFont="1" applyBorder="1" applyAlignment="1"/>
    <xf numFmtId="10" fontId="0" fillId="0" borderId="0" xfId="2" applyNumberFormat="1" applyFont="1" applyAlignment="1"/>
    <xf numFmtId="0" fontId="2" fillId="2" borderId="3" xfId="0" applyFont="1" applyFill="1" applyBorder="1" applyAlignment="1"/>
    <xf numFmtId="164" fontId="2" fillId="2" borderId="4" xfId="1" applyFont="1" applyFill="1" applyBorder="1" applyAlignment="1"/>
    <xf numFmtId="0" fontId="0" fillId="0" borderId="1" xfId="0" applyBorder="1" applyAlignment="1"/>
    <xf numFmtId="164" fontId="0" fillId="0" borderId="2" xfId="1" applyFont="1" applyBorder="1" applyAlignment="1"/>
    <xf numFmtId="164" fontId="0" fillId="0" borderId="0" xfId="1" applyFont="1" applyFill="1" applyBorder="1" applyAlignment="1"/>
    <xf numFmtId="164" fontId="0" fillId="0" borderId="4" xfId="1" applyFont="1" applyFill="1" applyBorder="1" applyAlignment="1"/>
    <xf numFmtId="10" fontId="0" fillId="0" borderId="4" xfId="2" applyNumberFormat="1" applyFont="1" applyBorder="1" applyAlignment="1"/>
    <xf numFmtId="164" fontId="2" fillId="2" borderId="8" xfId="1" applyFont="1" applyFill="1" applyBorder="1" applyAlignment="1"/>
    <xf numFmtId="0" fontId="4" fillId="0" borderId="9" xfId="0" applyFont="1" applyBorder="1" applyAlignment="1">
      <alignment horizontal="center" readingOrder="1"/>
    </xf>
    <xf numFmtId="10" fontId="3" fillId="0" borderId="10" xfId="1" applyNumberFormat="1" applyFont="1" applyBorder="1" applyAlignment="1"/>
    <xf numFmtId="9" fontId="0" fillId="0" borderId="4" xfId="1" applyNumberFormat="1" applyFont="1" applyBorder="1" applyAlignment="1"/>
    <xf numFmtId="9" fontId="0" fillId="0" borderId="0" xfId="2" applyFont="1" applyAlignment="1">
      <alignment horizontal="left"/>
    </xf>
    <xf numFmtId="164" fontId="0" fillId="0" borderId="0" xfId="0" applyNumberFormat="1" applyFont="1" applyAlignment="1"/>
    <xf numFmtId="164" fontId="0" fillId="0" borderId="0" xfId="0" applyNumberFormat="1" applyFont="1" applyAlignment="1">
      <alignment horizontal="left"/>
    </xf>
    <xf numFmtId="170" fontId="0" fillId="0" borderId="0" xfId="2" applyNumberFormat="1" applyFont="1" applyAlignment="1"/>
    <xf numFmtId="164" fontId="2" fillId="4" borderId="0" xfId="1" quotePrefix="1" applyFont="1" applyFill="1" applyBorder="1" applyAlignment="1"/>
    <xf numFmtId="10" fontId="2" fillId="4" borderId="0" xfId="2" quotePrefix="1" applyNumberFormat="1" applyFont="1" applyFill="1" applyBorder="1" applyAlignment="1"/>
    <xf numFmtId="171" fontId="5" fillId="0" borderId="0" xfId="0" applyNumberFormat="1" applyFont="1"/>
    <xf numFmtId="10" fontId="5" fillId="0" borderId="0" xfId="2" applyNumberFormat="1" applyFont="1" applyBorder="1" applyAlignment="1">
      <alignment horizontal="center"/>
    </xf>
    <xf numFmtId="9" fontId="5" fillId="0" borderId="0" xfId="2" applyFont="1" applyBorder="1" applyAlignment="1">
      <alignment horizontal="center"/>
    </xf>
    <xf numFmtId="10" fontId="5" fillId="0" borderId="0" xfId="2" applyNumberFormat="1" applyFont="1" applyBorder="1"/>
    <xf numFmtId="10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0" xfId="1" applyFont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171" fontId="5" fillId="0" borderId="0" xfId="0" applyNumberFormat="1" applyFont="1" applyBorder="1"/>
    <xf numFmtId="0" fontId="5" fillId="0" borderId="0" xfId="0" applyFont="1" applyBorder="1"/>
    <xf numFmtId="10" fontId="5" fillId="0" borderId="0" xfId="0" applyNumberFormat="1" applyFont="1" applyFill="1" applyAlignment="1">
      <alignment horizontal="center"/>
    </xf>
    <xf numFmtId="9" fontId="0" fillId="0" borderId="4" xfId="2" applyFont="1" applyBorder="1" applyAlignment="1"/>
    <xf numFmtId="0" fontId="2" fillId="2" borderId="0" xfId="0" applyFont="1" applyFill="1" applyBorder="1" applyAlignment="1"/>
    <xf numFmtId="0" fontId="0" fillId="0" borderId="0" xfId="0" applyBorder="1" applyAlignment="1"/>
    <xf numFmtId="0" fontId="0" fillId="0" borderId="0" xfId="0" applyBorder="1" applyAlignment="1">
      <alignment horizontal="left"/>
    </xf>
    <xf numFmtId="0" fontId="0" fillId="0" borderId="0" xfId="0" applyFont="1" applyBorder="1" applyAlignment="1"/>
  </cellXfs>
  <cellStyles count="3">
    <cellStyle name="Coma" xfId="1" builtinId="3"/>
    <cellStyle name="Normal" xfId="0" builtinId="0"/>
    <cellStyle name="Percentat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"/>
  <sheetViews>
    <sheetView tabSelected="1" topLeftCell="A27" zoomScale="110" zoomScaleNormal="110" workbookViewId="0">
      <selection activeCell="N41" sqref="N41"/>
    </sheetView>
  </sheetViews>
  <sheetFormatPr defaultColWidth="11.42578125" defaultRowHeight="15"/>
  <cols>
    <col min="1" max="1" width="43.28515625" style="6" bestFit="1" customWidth="1"/>
    <col min="2" max="2" width="15.5703125" style="6" bestFit="1" customWidth="1"/>
    <col min="3" max="3" width="19.42578125" style="6" customWidth="1"/>
    <col min="4" max="6" width="2.7109375" style="6" customWidth="1"/>
    <col min="7" max="7" width="36.85546875" style="6" customWidth="1"/>
    <col min="8" max="8" width="17.140625" style="6" customWidth="1"/>
    <col min="9" max="9" width="7.7109375" style="6" customWidth="1"/>
    <col min="10" max="10" width="28.42578125" style="54" customWidth="1"/>
    <col min="11" max="11" width="16.85546875" style="6" bestFit="1" customWidth="1"/>
    <col min="12" max="16384" width="11.42578125" style="6"/>
  </cols>
  <sheetData>
    <row r="1" spans="1:16">
      <c r="A1" s="4" t="s">
        <v>0</v>
      </c>
      <c r="B1" s="5" t="s">
        <v>1</v>
      </c>
      <c r="G1" s="7" t="s">
        <v>69</v>
      </c>
      <c r="J1" s="53" t="s">
        <v>73</v>
      </c>
    </row>
    <row r="2" spans="1:16" ht="15.75" thickBot="1">
      <c r="A2" s="8"/>
      <c r="B2" s="9"/>
    </row>
    <row r="3" spans="1:16">
      <c r="A3" s="8" t="s">
        <v>2</v>
      </c>
      <c r="B3" s="9">
        <v>28640179.370000001</v>
      </c>
      <c r="G3" s="4" t="s">
        <v>54</v>
      </c>
      <c r="H3" s="5" t="s">
        <v>1</v>
      </c>
      <c r="J3" s="46" t="s">
        <v>74</v>
      </c>
      <c r="K3" s="47"/>
      <c r="L3" s="47"/>
      <c r="M3" s="47"/>
      <c r="N3" s="47"/>
      <c r="O3" s="47"/>
    </row>
    <row r="4" spans="1:16">
      <c r="A4" s="8" t="s">
        <v>3</v>
      </c>
      <c r="B4" s="9">
        <v>14137051.630000001</v>
      </c>
      <c r="G4" s="11" t="s">
        <v>18</v>
      </c>
      <c r="H4" s="12">
        <f>SUM(H5:H7)</f>
        <v>10960785.169999998</v>
      </c>
    </row>
    <row r="5" spans="1:16">
      <c r="A5" s="13" t="s">
        <v>4</v>
      </c>
      <c r="B5" s="12">
        <f>B3-B4</f>
        <v>14503127.74</v>
      </c>
      <c r="G5" s="8" t="s">
        <v>55</v>
      </c>
      <c r="H5" s="9">
        <f>B24+B25</f>
        <v>9897122.4999999981</v>
      </c>
      <c r="J5" s="46" t="s">
        <v>75</v>
      </c>
      <c r="K5" s="47"/>
      <c r="L5" s="47"/>
      <c r="M5" s="47"/>
      <c r="N5" s="47"/>
    </row>
    <row r="6" spans="1:16">
      <c r="A6" s="8" t="s">
        <v>5</v>
      </c>
      <c r="B6" s="9">
        <v>6202467.21</v>
      </c>
      <c r="G6" s="8" t="s">
        <v>56</v>
      </c>
      <c r="H6" s="9">
        <f>B26+B27</f>
        <v>812920.1399999999</v>
      </c>
    </row>
    <row r="7" spans="1:16">
      <c r="A7" s="8" t="s">
        <v>6</v>
      </c>
      <c r="B7" s="9">
        <v>3628919.8</v>
      </c>
      <c r="G7" s="8" t="s">
        <v>57</v>
      </c>
      <c r="H7" s="9">
        <f>B28</f>
        <v>250742.53</v>
      </c>
      <c r="J7" s="55" t="s">
        <v>76</v>
      </c>
      <c r="K7" s="48"/>
      <c r="L7" s="48"/>
      <c r="M7" s="48"/>
      <c r="N7" s="48"/>
      <c r="O7" s="48"/>
      <c r="P7" s="48"/>
    </row>
    <row r="8" spans="1:16">
      <c r="A8" s="8" t="s">
        <v>7</v>
      </c>
      <c r="B8" s="9">
        <v>1884169.16</v>
      </c>
      <c r="G8" s="11" t="s">
        <v>58</v>
      </c>
      <c r="H8" s="12">
        <f>H9-H10</f>
        <v>5141350.330000001</v>
      </c>
    </row>
    <row r="9" spans="1:16" ht="21" customHeight="1">
      <c r="A9" s="8" t="s">
        <v>8</v>
      </c>
      <c r="B9" s="9">
        <v>1152161.3400000001</v>
      </c>
      <c r="G9" s="8" t="s">
        <v>59</v>
      </c>
      <c r="H9" s="9">
        <f>B18+B19+B21+B22</f>
        <v>10064452.960000001</v>
      </c>
      <c r="J9" s="54" t="s">
        <v>77</v>
      </c>
    </row>
    <row r="10" spans="1:16">
      <c r="A10" s="8" t="s">
        <v>9</v>
      </c>
      <c r="B10" s="9">
        <v>39331.269999999997</v>
      </c>
      <c r="G10" s="8" t="s">
        <v>60</v>
      </c>
      <c r="H10" s="9">
        <f>B35+B37+B36</f>
        <v>4923102.63</v>
      </c>
    </row>
    <row r="11" spans="1:16" ht="15.75" thickBot="1">
      <c r="A11" s="14" t="s">
        <v>10</v>
      </c>
      <c r="B11" s="15">
        <f>B5-SUM(B6:B10)</f>
        <v>1596078.9600000009</v>
      </c>
      <c r="G11" s="1" t="s">
        <v>61</v>
      </c>
      <c r="H11" s="12">
        <f>B20</f>
        <v>1595202.28</v>
      </c>
      <c r="J11" s="54" t="s">
        <v>78</v>
      </c>
    </row>
    <row r="12" spans="1:16" ht="15.75" thickBot="1">
      <c r="A12" s="8" t="s">
        <v>53</v>
      </c>
      <c r="B12" s="9">
        <f>B11*0.25</f>
        <v>399019.74000000022</v>
      </c>
      <c r="G12" s="14" t="s">
        <v>62</v>
      </c>
      <c r="H12" s="15">
        <f>H4+H8+H11</f>
        <v>17697337.780000001</v>
      </c>
    </row>
    <row r="13" spans="1:16">
      <c r="A13" s="16" t="s">
        <v>52</v>
      </c>
      <c r="B13" s="17">
        <f>B11-B12</f>
        <v>1197059.2200000007</v>
      </c>
      <c r="J13" s="53" t="s">
        <v>79</v>
      </c>
    </row>
    <row r="14" spans="1:16" ht="15.75" thickBot="1">
      <c r="B14" s="18"/>
    </row>
    <row r="15" spans="1:16" ht="15.75" thickBot="1">
      <c r="B15" s="18"/>
      <c r="G15" s="4" t="s">
        <v>63</v>
      </c>
      <c r="H15" s="5" t="s">
        <v>1</v>
      </c>
      <c r="J15" s="54" t="s">
        <v>80</v>
      </c>
    </row>
    <row r="16" spans="1:16">
      <c r="A16" s="4" t="s">
        <v>11</v>
      </c>
      <c r="B16" s="2" t="s">
        <v>1</v>
      </c>
      <c r="C16" s="3"/>
      <c r="G16" s="11" t="s">
        <v>25</v>
      </c>
      <c r="H16" s="12">
        <f>SUM(H17:H19)</f>
        <v>13891676.610000001</v>
      </c>
    </row>
    <row r="17" spans="1:13">
      <c r="A17" s="11" t="s">
        <v>12</v>
      </c>
      <c r="B17" s="19"/>
      <c r="C17" s="12">
        <f>SUM(B18:B22)</f>
        <v>11659655.24</v>
      </c>
      <c r="G17" s="8" t="s">
        <v>64</v>
      </c>
      <c r="H17" s="9">
        <f>B31+B32</f>
        <v>12694617.390000001</v>
      </c>
      <c r="J17" s="54" t="s">
        <v>81</v>
      </c>
    </row>
    <row r="18" spans="1:13">
      <c r="A18" s="8" t="s">
        <v>13</v>
      </c>
      <c r="B18" s="20">
        <v>8266139.120000001</v>
      </c>
      <c r="C18" s="9"/>
      <c r="G18" s="8" t="s">
        <v>65</v>
      </c>
      <c r="H18" s="9">
        <f>B33</f>
        <v>1197059.22</v>
      </c>
    </row>
    <row r="19" spans="1:13">
      <c r="A19" s="8" t="s">
        <v>14</v>
      </c>
      <c r="B19" s="20">
        <v>245324.61</v>
      </c>
      <c r="C19" s="9"/>
      <c r="G19" s="8" t="s">
        <v>57</v>
      </c>
      <c r="H19" s="9"/>
      <c r="J19" s="54" t="s">
        <v>82</v>
      </c>
    </row>
    <row r="20" spans="1:13">
      <c r="A20" s="8" t="s">
        <v>15</v>
      </c>
      <c r="B20" s="20">
        <v>1595202.28</v>
      </c>
      <c r="C20" s="9"/>
      <c r="G20" s="11" t="s">
        <v>30</v>
      </c>
      <c r="H20" s="12">
        <f>SUM(H21:H22)</f>
        <v>3805661.17</v>
      </c>
      <c r="J20" s="56"/>
    </row>
    <row r="21" spans="1:13">
      <c r="A21" s="8" t="s">
        <v>16</v>
      </c>
      <c r="B21" s="20">
        <v>184024.5</v>
      </c>
      <c r="C21" s="9"/>
      <c r="G21" s="8" t="s">
        <v>66</v>
      </c>
      <c r="H21" s="9">
        <f>B39</f>
        <v>3805661.17</v>
      </c>
      <c r="J21" s="56"/>
    </row>
    <row r="22" spans="1:13">
      <c r="A22" s="8" t="s">
        <v>17</v>
      </c>
      <c r="B22" s="20">
        <v>1368964.7300000002</v>
      </c>
      <c r="C22" s="9"/>
      <c r="G22" s="8" t="s">
        <v>67</v>
      </c>
      <c r="H22" s="9"/>
      <c r="J22" s="56"/>
    </row>
    <row r="23" spans="1:13">
      <c r="A23" s="11" t="s">
        <v>18</v>
      </c>
      <c r="B23" s="19"/>
      <c r="C23" s="12">
        <f>SUM(B24:B28)</f>
        <v>10960785.169999996</v>
      </c>
      <c r="G23" s="11" t="s">
        <v>68</v>
      </c>
      <c r="H23" s="12">
        <f>B35+B36+B37</f>
        <v>4923102.63</v>
      </c>
      <c r="J23" s="56"/>
    </row>
    <row r="24" spans="1:13" ht="15.75" thickBot="1">
      <c r="A24" s="8" t="s">
        <v>19</v>
      </c>
      <c r="B24" s="20">
        <v>1017633.2</v>
      </c>
      <c r="C24" s="9"/>
      <c r="G24" s="14" t="s">
        <v>62</v>
      </c>
      <c r="H24" s="15">
        <f>H16+H20+H23</f>
        <v>22620440.41</v>
      </c>
      <c r="J24" s="56"/>
    </row>
    <row r="25" spans="1:13">
      <c r="A25" s="8" t="s">
        <v>20</v>
      </c>
      <c r="B25" s="20">
        <v>8879489.2999999989</v>
      </c>
      <c r="C25" s="9"/>
      <c r="J25" s="56"/>
    </row>
    <row r="26" spans="1:13">
      <c r="A26" s="8" t="s">
        <v>21</v>
      </c>
      <c r="B26" s="20">
        <v>155818.53999999998</v>
      </c>
      <c r="C26" s="9"/>
      <c r="J26" s="56"/>
    </row>
    <row r="27" spans="1:13">
      <c r="A27" s="8" t="s">
        <v>22</v>
      </c>
      <c r="B27" s="20">
        <v>657101.6</v>
      </c>
      <c r="C27" s="9"/>
      <c r="G27" s="7" t="s">
        <v>33</v>
      </c>
      <c r="H27" s="18"/>
      <c r="J27" s="37"/>
      <c r="K27" s="37" t="s">
        <v>86</v>
      </c>
      <c r="L27" s="37" t="s">
        <v>87</v>
      </c>
      <c r="M27" s="38" t="s">
        <v>88</v>
      </c>
    </row>
    <row r="28" spans="1:13" ht="16.5" thickBot="1">
      <c r="A28" s="8" t="s">
        <v>23</v>
      </c>
      <c r="B28" s="20">
        <v>250742.53</v>
      </c>
      <c r="C28" s="9"/>
      <c r="H28" s="21"/>
      <c r="J28" s="50" t="s">
        <v>89</v>
      </c>
      <c r="K28" s="49">
        <f>$H$20+$H$23</f>
        <v>8728763.8000000007</v>
      </c>
      <c r="L28" s="40">
        <f>K28/$K$30</f>
        <v>0.38587948076117934</v>
      </c>
      <c r="M28" s="40">
        <f>L32</f>
        <v>5.6324227148866132E-3</v>
      </c>
    </row>
    <row r="29" spans="1:13" ht="15.75">
      <c r="A29" s="22" t="s">
        <v>24</v>
      </c>
      <c r="B29" s="17"/>
      <c r="C29" s="23">
        <f>C17+C23</f>
        <v>22620440.409999996</v>
      </c>
      <c r="G29" s="24" t="s">
        <v>34</v>
      </c>
      <c r="H29" s="25">
        <f>B13</f>
        <v>1197059.2200000007</v>
      </c>
      <c r="I29" s="10"/>
      <c r="J29" s="50" t="s">
        <v>90</v>
      </c>
      <c r="K29" s="49">
        <f>$H$16</f>
        <v>13891676.610000001</v>
      </c>
      <c r="L29" s="40">
        <f>K29/$K$30</f>
        <v>0.61412051923882061</v>
      </c>
      <c r="M29" s="40">
        <v>0.6</v>
      </c>
    </row>
    <row r="30" spans="1:13" ht="15.75">
      <c r="A30" s="11" t="s">
        <v>25</v>
      </c>
      <c r="B30" s="19"/>
      <c r="C30" s="12">
        <f>SUM(B31:B33)</f>
        <v>13891676.610000001</v>
      </c>
      <c r="G30" s="8" t="s">
        <v>35</v>
      </c>
      <c r="H30" s="9">
        <f>H29*60%</f>
        <v>718235.53200000036</v>
      </c>
      <c r="I30" s="33"/>
      <c r="J30" s="50"/>
      <c r="K30" s="49">
        <f>SUM(K28:K29)</f>
        <v>22620440.410000004</v>
      </c>
      <c r="L30" s="41">
        <v>1</v>
      </c>
      <c r="M30" s="42"/>
    </row>
    <row r="31" spans="1:13" ht="15.75">
      <c r="A31" s="8" t="s">
        <v>70</v>
      </c>
      <c r="B31" s="26">
        <v>200000</v>
      </c>
      <c r="C31" s="27"/>
      <c r="G31" s="8" t="s">
        <v>36</v>
      </c>
      <c r="H31" s="9">
        <f>H29*40%</f>
        <v>478823.68800000031</v>
      </c>
      <c r="I31" s="10"/>
      <c r="J31" s="50"/>
      <c r="K31" s="39"/>
      <c r="L31" s="41"/>
      <c r="M31" s="42"/>
    </row>
    <row r="32" spans="1:13" ht="15.75">
      <c r="A32" s="8" t="s">
        <v>71</v>
      </c>
      <c r="B32" s="26">
        <v>12494617.390000001</v>
      </c>
      <c r="C32" s="27"/>
      <c r="G32" s="8"/>
      <c r="H32" s="28"/>
      <c r="I32" s="35"/>
      <c r="J32" s="50" t="s">
        <v>84</v>
      </c>
      <c r="K32" s="43">
        <f>$K$33/$K$28</f>
        <v>4.5059381719092908E-3</v>
      </c>
      <c r="L32" s="40">
        <f>K32*(1-K35)</f>
        <v>5.6324227148866132E-3</v>
      </c>
      <c r="M32" s="42"/>
    </row>
    <row r="33" spans="1:13" ht="15.75">
      <c r="A33" s="8" t="s">
        <v>72</v>
      </c>
      <c r="B33" s="26">
        <v>1197059.22</v>
      </c>
      <c r="C33" s="27"/>
      <c r="G33" s="8" t="s">
        <v>37</v>
      </c>
      <c r="H33" s="28">
        <f>M28</f>
        <v>5.6324227148866132E-3</v>
      </c>
      <c r="I33" s="36"/>
      <c r="J33" s="50" t="s">
        <v>85</v>
      </c>
      <c r="K33" s="44">
        <f>$B$10</f>
        <v>39331.269999999997</v>
      </c>
      <c r="L33" s="40"/>
      <c r="M33" s="42"/>
    </row>
    <row r="34" spans="1:13" ht="15.75">
      <c r="A34" s="11" t="s">
        <v>26</v>
      </c>
      <c r="B34" s="19"/>
      <c r="C34" s="12">
        <f>SUM(B35:B37)</f>
        <v>4923102.63</v>
      </c>
      <c r="G34" s="8" t="s">
        <v>38</v>
      </c>
      <c r="H34" s="9">
        <f>$H$20+$H$23</f>
        <v>8728763.8000000007</v>
      </c>
      <c r="I34" s="10"/>
      <c r="J34" s="50"/>
      <c r="K34" s="43"/>
      <c r="L34" s="40"/>
      <c r="M34" s="42"/>
    </row>
    <row r="35" spans="1:13" ht="15.75">
      <c r="A35" s="8" t="s">
        <v>27</v>
      </c>
      <c r="B35" s="20">
        <v>11488.3</v>
      </c>
      <c r="C35" s="9"/>
      <c r="G35" s="8" t="s">
        <v>39</v>
      </c>
      <c r="H35" s="28">
        <f>40%</f>
        <v>0.4</v>
      </c>
      <c r="I35" s="34"/>
      <c r="J35" s="50" t="s">
        <v>83</v>
      </c>
      <c r="K35" s="51">
        <f>$K$36/$K$37*-1</f>
        <v>-0.25</v>
      </c>
      <c r="L35" s="40"/>
      <c r="M35" s="42"/>
    </row>
    <row r="36" spans="1:13" ht="15.75">
      <c r="A36" s="8" t="s">
        <v>28</v>
      </c>
      <c r="B36" s="20">
        <v>2517559.29</v>
      </c>
      <c r="C36" s="9"/>
      <c r="G36" s="8" t="s">
        <v>40</v>
      </c>
      <c r="H36" s="9">
        <f>$H$16</f>
        <v>13891676.610000001</v>
      </c>
      <c r="J36" s="50" t="s">
        <v>91</v>
      </c>
      <c r="K36" s="44">
        <f>$B$12</f>
        <v>399019.74000000022</v>
      </c>
      <c r="L36" s="40"/>
      <c r="M36" s="42"/>
    </row>
    <row r="37" spans="1:13" ht="15.75">
      <c r="A37" s="8" t="s">
        <v>29</v>
      </c>
      <c r="B37" s="20">
        <v>2394055.04</v>
      </c>
      <c r="C37" s="9"/>
      <c r="G37" s="8"/>
      <c r="H37" s="9"/>
      <c r="J37" s="50" t="s">
        <v>10</v>
      </c>
      <c r="K37" s="44">
        <f>$B$11</f>
        <v>1596078.9600000009</v>
      </c>
      <c r="L37" s="40"/>
      <c r="M37" s="42"/>
    </row>
    <row r="38" spans="1:13" ht="15.75">
      <c r="A38" s="11" t="s">
        <v>30</v>
      </c>
      <c r="B38" s="19"/>
      <c r="C38" s="12">
        <f>SUM(B39)</f>
        <v>3805661.17</v>
      </c>
      <c r="G38" s="8" t="s">
        <v>41</v>
      </c>
      <c r="H38" s="28">
        <f>$H$35*$H$36/($H$36+$H$34)</f>
        <v>0.24564820769552825</v>
      </c>
      <c r="J38" s="50"/>
      <c r="K38" s="43"/>
      <c r="L38" s="40"/>
      <c r="M38" s="42"/>
    </row>
    <row r="39" spans="1:13" ht="15.75">
      <c r="A39" s="8" t="s">
        <v>31</v>
      </c>
      <c r="B39" s="20">
        <v>3805661.17</v>
      </c>
      <c r="C39" s="9"/>
      <c r="G39" s="8" t="s">
        <v>42</v>
      </c>
      <c r="H39" s="28">
        <f>H33*K28/(H36+H34)</f>
        <v>2.1734363526479186E-3</v>
      </c>
      <c r="J39" s="50"/>
      <c r="K39" s="43"/>
      <c r="L39" s="39"/>
      <c r="M39" s="42"/>
    </row>
    <row r="40" spans="1:13" ht="16.5" thickBot="1">
      <c r="A40" s="14" t="s">
        <v>32</v>
      </c>
      <c r="B40" s="29"/>
      <c r="C40" s="15">
        <f>C30+C34+C38</f>
        <v>22620440.410000004</v>
      </c>
      <c r="G40" s="8"/>
      <c r="H40" s="9"/>
      <c r="J40" s="50"/>
      <c r="K40" s="45"/>
      <c r="L40" s="39"/>
      <c r="M40" s="42"/>
    </row>
    <row r="41" spans="1:13" ht="15.75" thickBot="1">
      <c r="G41" s="8"/>
      <c r="H41" s="9"/>
      <c r="J41" s="56"/>
    </row>
    <row r="42" spans="1:13" ht="15.75" thickBot="1">
      <c r="G42" s="30" t="s">
        <v>43</v>
      </c>
      <c r="H42" s="31">
        <f>H38+H39</f>
        <v>0.24782164404817617</v>
      </c>
      <c r="J42" s="56"/>
    </row>
    <row r="43" spans="1:13">
      <c r="H43" s="18"/>
      <c r="J43" s="56"/>
    </row>
    <row r="44" spans="1:13">
      <c r="G44" s="7" t="s">
        <v>44</v>
      </c>
      <c r="H44" s="18"/>
      <c r="J44" s="37"/>
      <c r="K44" s="37" t="s">
        <v>86</v>
      </c>
      <c r="L44" s="37" t="s">
        <v>87</v>
      </c>
      <c r="M44" s="38" t="s">
        <v>88</v>
      </c>
    </row>
    <row r="45" spans="1:13" ht="16.5" thickBot="1">
      <c r="H45" s="18"/>
      <c r="J45" s="50" t="s">
        <v>89</v>
      </c>
      <c r="K45" s="49">
        <f>$H$20+$H$23</f>
        <v>8728763.8000000007</v>
      </c>
      <c r="L45" s="40">
        <f>K45/$K$30</f>
        <v>0.38587948076117934</v>
      </c>
      <c r="M45" s="40">
        <f>L49</f>
        <v>5.6324227148866132E-3</v>
      </c>
    </row>
    <row r="46" spans="1:13" ht="15.75">
      <c r="G46" s="24" t="s">
        <v>34</v>
      </c>
      <c r="H46" s="25"/>
      <c r="J46" s="50" t="s">
        <v>90</v>
      </c>
      <c r="K46" s="49">
        <f>$H$16</f>
        <v>13891676.610000001</v>
      </c>
      <c r="L46" s="40">
        <f>K46/$K$30</f>
        <v>0.61412051923882061</v>
      </c>
      <c r="M46" s="40">
        <v>0.6</v>
      </c>
    </row>
    <row r="47" spans="1:13" ht="15.75">
      <c r="G47" s="8" t="s">
        <v>45</v>
      </c>
      <c r="H47" s="9"/>
      <c r="J47" s="50"/>
      <c r="K47" s="49">
        <f>SUM(K45:K46)</f>
        <v>22620440.410000004</v>
      </c>
      <c r="L47" s="41">
        <v>1</v>
      </c>
      <c r="M47" s="42"/>
    </row>
    <row r="48" spans="1:13" ht="15.75">
      <c r="G48" s="8" t="s">
        <v>46</v>
      </c>
      <c r="H48" s="9"/>
      <c r="J48" s="50"/>
      <c r="K48" s="39"/>
      <c r="L48" s="41"/>
      <c r="M48" s="42"/>
    </row>
    <row r="49" spans="7:13" ht="15.75">
      <c r="G49" s="8"/>
      <c r="H49" s="9"/>
      <c r="J49" s="50" t="s">
        <v>84</v>
      </c>
      <c r="K49" s="43">
        <f>K50/K45</f>
        <v>4.5059381719092908E-3</v>
      </c>
      <c r="L49" s="40">
        <f>K49*(1-K52)</f>
        <v>5.6324227148866132E-3</v>
      </c>
      <c r="M49" s="42"/>
    </row>
    <row r="50" spans="7:13" ht="15.75">
      <c r="G50" s="8" t="s">
        <v>37</v>
      </c>
      <c r="H50" s="28">
        <f>M45</f>
        <v>5.6324227148866132E-3</v>
      </c>
      <c r="J50" s="50" t="s">
        <v>85</v>
      </c>
      <c r="K50" s="44">
        <f>$B$10</f>
        <v>39331.269999999997</v>
      </c>
      <c r="L50" s="40"/>
      <c r="M50" s="42"/>
    </row>
    <row r="51" spans="7:13" ht="15.75">
      <c r="G51" s="8" t="s">
        <v>38</v>
      </c>
      <c r="H51" s="9">
        <f>K45</f>
        <v>8728763.8000000007</v>
      </c>
      <c r="J51" s="50"/>
      <c r="K51" s="43"/>
      <c r="L51" s="40"/>
      <c r="M51" s="42"/>
    </row>
    <row r="52" spans="7:13" ht="15.75">
      <c r="G52" s="8" t="s">
        <v>39</v>
      </c>
      <c r="H52" s="28">
        <v>0.6</v>
      </c>
      <c r="J52" s="50" t="s">
        <v>83</v>
      </c>
      <c r="K52" s="51">
        <f>$K$36/$K$37*-1</f>
        <v>-0.25</v>
      </c>
      <c r="L52" s="40"/>
      <c r="M52" s="42"/>
    </row>
    <row r="53" spans="7:13" ht="15.75">
      <c r="G53" s="8" t="s">
        <v>40</v>
      </c>
      <c r="H53" s="9">
        <f>K46</f>
        <v>13891676.610000001</v>
      </c>
      <c r="J53" s="50" t="s">
        <v>91</v>
      </c>
      <c r="K53" s="44">
        <f>$B$12</f>
        <v>399019.74000000022</v>
      </c>
      <c r="L53" s="40"/>
      <c r="M53" s="42"/>
    </row>
    <row r="54" spans="7:13" ht="15.75">
      <c r="G54" s="8"/>
      <c r="H54" s="9"/>
      <c r="J54" s="50" t="s">
        <v>10</v>
      </c>
      <c r="K54" s="44">
        <f>$B$11</f>
        <v>1596078.9600000009</v>
      </c>
      <c r="L54" s="40"/>
      <c r="M54" s="42"/>
    </row>
    <row r="55" spans="7:13">
      <c r="G55" s="8" t="s">
        <v>41</v>
      </c>
      <c r="H55" s="52">
        <f>H52*H53/(H53+H51)</f>
        <v>0.3684723115432923</v>
      </c>
    </row>
    <row r="56" spans="7:13">
      <c r="G56" s="8" t="s">
        <v>42</v>
      </c>
      <c r="H56" s="28">
        <f>$H$33*$H$34*(1-$I$30)/($H$36+$H$34)</f>
        <v>2.1734363526479186E-3</v>
      </c>
    </row>
    <row r="57" spans="7:13">
      <c r="G57" s="8"/>
      <c r="H57" s="9"/>
    </row>
    <row r="58" spans="7:13" ht="15.75" thickBot="1">
      <c r="G58" s="8"/>
      <c r="H58" s="9"/>
    </row>
    <row r="59" spans="7:13" ht="15.75" thickBot="1">
      <c r="G59" s="30" t="s">
        <v>43</v>
      </c>
      <c r="H59" s="31">
        <f>H55+H56</f>
        <v>0.37064574789594024</v>
      </c>
    </row>
    <row r="60" spans="7:13">
      <c r="H60" s="18"/>
    </row>
    <row r="61" spans="7:13">
      <c r="G61" s="7" t="s">
        <v>51</v>
      </c>
      <c r="H61" s="18"/>
    </row>
    <row r="62" spans="7:13">
      <c r="H62" s="18"/>
    </row>
    <row r="63" spans="7:13" ht="15.75" thickBot="1">
      <c r="H63" s="18"/>
    </row>
    <row r="64" spans="7:13">
      <c r="G64" s="24" t="s">
        <v>34</v>
      </c>
      <c r="H64" s="25">
        <f>B13</f>
        <v>1197059.2200000007</v>
      </c>
      <c r="J64" s="37"/>
      <c r="K64" s="37" t="s">
        <v>86</v>
      </c>
      <c r="L64" s="37" t="s">
        <v>87</v>
      </c>
      <c r="M64" s="38" t="s">
        <v>88</v>
      </c>
    </row>
    <row r="65" spans="7:13" ht="15.75">
      <c r="G65" s="8" t="s">
        <v>35</v>
      </c>
      <c r="H65" s="9">
        <f>H64*60%</f>
        <v>718235.53200000036</v>
      </c>
      <c r="J65" s="50" t="s">
        <v>89</v>
      </c>
      <c r="K65" s="49">
        <f>H69+(H67*H68)</f>
        <v>9778763.8000000007</v>
      </c>
      <c r="L65" s="40">
        <f>K65/$K$30</f>
        <v>0.43229767514504369</v>
      </c>
      <c r="M65" s="40">
        <f>L69</f>
        <v>5.027638309455843E-3</v>
      </c>
    </row>
    <row r="66" spans="7:13" ht="15.75">
      <c r="G66" s="8" t="s">
        <v>36</v>
      </c>
      <c r="H66" s="9">
        <f>H64*40%</f>
        <v>478823.68800000031</v>
      </c>
      <c r="J66" s="50" t="s">
        <v>90</v>
      </c>
      <c r="K66" s="49">
        <f>$H$16</f>
        <v>13891676.610000001</v>
      </c>
      <c r="L66" s="40">
        <f>K66/$K$30</f>
        <v>0.61412051923882061</v>
      </c>
      <c r="M66" s="40">
        <v>0.4</v>
      </c>
    </row>
    <row r="67" spans="7:13" ht="15.75">
      <c r="G67" s="8" t="s">
        <v>47</v>
      </c>
      <c r="H67" s="9">
        <v>1000000</v>
      </c>
      <c r="J67" s="50"/>
      <c r="K67" s="49">
        <f>SUM(K65:K66)</f>
        <v>23670440.410000004</v>
      </c>
      <c r="L67" s="41">
        <v>1</v>
      </c>
      <c r="M67" s="42"/>
    </row>
    <row r="68" spans="7:13" ht="15.75">
      <c r="G68" s="8" t="s">
        <v>48</v>
      </c>
      <c r="H68" s="32">
        <v>0.05</v>
      </c>
      <c r="J68" s="50"/>
      <c r="K68" s="39"/>
      <c r="L68" s="41"/>
      <c r="M68" s="42"/>
    </row>
    <row r="69" spans="7:13" ht="15.75">
      <c r="G69" s="8" t="s">
        <v>49</v>
      </c>
      <c r="H69" s="9">
        <f>H51+H67</f>
        <v>9728763.8000000007</v>
      </c>
      <c r="J69" s="50" t="s">
        <v>84</v>
      </c>
      <c r="K69" s="43">
        <f>$K$33/$K$65</f>
        <v>4.0221106475646744E-3</v>
      </c>
      <c r="L69" s="40">
        <f>K69*(1-K72)</f>
        <v>5.027638309455843E-3</v>
      </c>
      <c r="M69" s="42"/>
    </row>
    <row r="70" spans="7:13" ht="15.75">
      <c r="G70" s="8" t="s">
        <v>50</v>
      </c>
      <c r="H70" s="28"/>
      <c r="J70" s="50" t="s">
        <v>85</v>
      </c>
      <c r="K70" s="44">
        <f>$B$10</f>
        <v>39331.269999999997</v>
      </c>
      <c r="L70" s="40"/>
      <c r="M70" s="42"/>
    </row>
    <row r="71" spans="7:13" ht="15.75">
      <c r="G71" s="8"/>
      <c r="H71" s="28"/>
      <c r="J71" s="50"/>
      <c r="K71" s="43"/>
      <c r="L71" s="40"/>
      <c r="M71" s="42"/>
    </row>
    <row r="72" spans="7:13" ht="15.75">
      <c r="G72" s="8" t="s">
        <v>37</v>
      </c>
      <c r="H72" s="28">
        <f>M65</f>
        <v>5.027638309455843E-3</v>
      </c>
      <c r="J72" s="50" t="s">
        <v>83</v>
      </c>
      <c r="K72" s="51">
        <f>$K$36/$K$37*-1</f>
        <v>-0.25</v>
      </c>
      <c r="L72" s="40"/>
      <c r="M72" s="42"/>
    </row>
    <row r="73" spans="7:13" ht="15.75">
      <c r="G73" s="8" t="s">
        <v>38</v>
      </c>
      <c r="H73" s="9">
        <f>K65</f>
        <v>9778763.8000000007</v>
      </c>
      <c r="J73" s="50" t="s">
        <v>91</v>
      </c>
      <c r="K73" s="44">
        <f>$B$12</f>
        <v>399019.74000000022</v>
      </c>
      <c r="L73" s="40"/>
      <c r="M73" s="42"/>
    </row>
    <row r="74" spans="7:13" ht="15.75">
      <c r="G74" s="8" t="s">
        <v>39</v>
      </c>
      <c r="H74" s="28">
        <f>M66</f>
        <v>0.4</v>
      </c>
      <c r="J74" s="50" t="s">
        <v>10</v>
      </c>
      <c r="K74" s="44">
        <f>$B$11</f>
        <v>1596078.9600000009</v>
      </c>
      <c r="L74" s="40"/>
      <c r="M74" s="42"/>
    </row>
    <row r="75" spans="7:13" ht="15.75">
      <c r="G75" s="8" t="s">
        <v>40</v>
      </c>
      <c r="H75" s="9">
        <f>K67</f>
        <v>23670440.410000004</v>
      </c>
      <c r="J75" s="50"/>
      <c r="K75" s="43"/>
      <c r="L75" s="40"/>
      <c r="M75" s="42"/>
    </row>
    <row r="76" spans="7:13">
      <c r="G76" s="8"/>
      <c r="H76" s="9"/>
    </row>
    <row r="77" spans="7:13">
      <c r="G77" s="8" t="s">
        <v>41</v>
      </c>
      <c r="H77" s="28">
        <f>H74*H75/(H75+H73)</f>
        <v>0.28306132799324979</v>
      </c>
    </row>
    <row r="78" spans="7:13">
      <c r="G78" s="8" t="s">
        <v>42</v>
      </c>
      <c r="H78" s="28">
        <f>H72*H73/(H75+H73)</f>
        <v>1.469813368095073E-3</v>
      </c>
    </row>
    <row r="79" spans="7:13">
      <c r="G79" s="8"/>
      <c r="H79" s="9"/>
    </row>
    <row r="80" spans="7:13" ht="15.75" thickBot="1">
      <c r="G80" s="8"/>
      <c r="H80" s="9"/>
    </row>
    <row r="81" spans="7:8" ht="15.75" thickBot="1">
      <c r="G81" s="30" t="s">
        <v>43</v>
      </c>
      <c r="H81" s="31">
        <f>H77+H78</f>
        <v>0.28453114136134489</v>
      </c>
    </row>
  </sheetData>
  <mergeCells count="3">
    <mergeCell ref="B16:C16"/>
    <mergeCell ref="J3:O3"/>
    <mergeCell ref="J5:N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Lorena Rivas Rodriguez</dc:creator>
  <cp:lastModifiedBy>PORTATIL28</cp:lastModifiedBy>
  <dcterms:created xsi:type="dcterms:W3CDTF">2021-11-02T11:37:24Z</dcterms:created>
  <dcterms:modified xsi:type="dcterms:W3CDTF">2023-12-06T18:05:08Z</dcterms:modified>
</cp:coreProperties>
</file>