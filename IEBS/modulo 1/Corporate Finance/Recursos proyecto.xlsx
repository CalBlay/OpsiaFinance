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"/>
    </mc:Choice>
  </mc:AlternateContent>
  <xr:revisionPtr revIDLastSave="0" documentId="8_{2DE06D4D-99DE-47D4-A5B4-0C397AE3E946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  <c r="F6" i="1"/>
  <c r="F12" i="1" s="1"/>
  <c r="B6" i="1"/>
  <c r="B12" i="1" s="1"/>
  <c r="B13" i="1" s="1"/>
  <c r="B14" i="1" s="1"/>
  <c r="C39" i="1"/>
  <c r="C35" i="1"/>
  <c r="C24" i="1"/>
  <c r="C18" i="1"/>
  <c r="C30" i="1" s="1"/>
  <c r="C31" i="1"/>
  <c r="C41" i="1" s="1"/>
  <c r="G39" i="1" l="1"/>
  <c r="G35" i="1"/>
  <c r="G24" i="1"/>
  <c r="G18" i="1"/>
  <c r="F13" i="1"/>
  <c r="F14" i="1" s="1"/>
  <c r="F34" i="1" s="1"/>
  <c r="G31" i="1" s="1"/>
  <c r="G41" i="1" l="1"/>
  <c r="G30" i="1"/>
</calcChain>
</file>

<file path=xl/sharedStrings.xml><?xml version="1.0" encoding="utf-8"?>
<sst xmlns="http://schemas.openxmlformats.org/spreadsheetml/2006/main" count="110" uniqueCount="65">
  <si>
    <t>PYG AÑO N</t>
  </si>
  <si>
    <t>PYG PREVISIONAL n +1</t>
  </si>
  <si>
    <t>Concepto</t>
  </si>
  <si>
    <t>Año N</t>
  </si>
  <si>
    <t>Año n +1</t>
  </si>
  <si>
    <t>Ventas</t>
  </si>
  <si>
    <t>Coste de ventas</t>
  </si>
  <si>
    <t>Aprovisionamiento</t>
  </si>
  <si>
    <t>Margen contribución</t>
  </si>
  <si>
    <t>Salarios</t>
  </si>
  <si>
    <t>Alquileres</t>
  </si>
  <si>
    <t>Resto gastos generales</t>
  </si>
  <si>
    <t>Amortizaciones</t>
  </si>
  <si>
    <t>Amortización</t>
  </si>
  <si>
    <t>Resultado financiero</t>
  </si>
  <si>
    <t>Intereses préstamos</t>
  </si>
  <si>
    <t>Resultado antes impuestos</t>
  </si>
  <si>
    <t xml:space="preserve">Balance </t>
  </si>
  <si>
    <t>Año N+1</t>
  </si>
  <si>
    <t>Activo corriente</t>
  </si>
  <si>
    <t>Existencias</t>
  </si>
  <si>
    <t>Deudores comerciales</t>
  </si>
  <si>
    <t>Inversiones financieras a c/p</t>
  </si>
  <si>
    <t>Periodificaciones a c/p</t>
  </si>
  <si>
    <t>Efectivo y otros activos líquidos</t>
  </si>
  <si>
    <t>Activo no corriente</t>
  </si>
  <si>
    <t>Intangible</t>
  </si>
  <si>
    <t>Material</t>
  </si>
  <si>
    <t>Inversiones inmobiliarias</t>
  </si>
  <si>
    <t>Inversiones financieras a l/p</t>
  </si>
  <si>
    <t>Activos por impuesto diferido</t>
  </si>
  <si>
    <t>Total activo</t>
  </si>
  <si>
    <t>Patrimonio neto</t>
  </si>
  <si>
    <t>Pasivo corriente</t>
  </si>
  <si>
    <t>Provisiones a corto plazo</t>
  </si>
  <si>
    <t>Deuda bancaria a c/p</t>
  </si>
  <si>
    <t>Acreedores comerciales y otras cuentas a pagar</t>
  </si>
  <si>
    <t>Pasivo no corriente</t>
  </si>
  <si>
    <t>Deuda bancaria a l/p</t>
  </si>
  <si>
    <t>Total pasivo</t>
  </si>
  <si>
    <t>1.-  WACC con dividendo 60%</t>
  </si>
  <si>
    <t>Resultado después impuestos</t>
  </si>
  <si>
    <t>Beneficio retenido (40%)</t>
  </si>
  <si>
    <t>Dividendo (60%)</t>
  </si>
  <si>
    <t>kd</t>
  </si>
  <si>
    <t>D</t>
  </si>
  <si>
    <t>ke</t>
  </si>
  <si>
    <t>E</t>
  </si>
  <si>
    <t xml:space="preserve"> Ke . E/(E+D)</t>
  </si>
  <si>
    <t>Kd . D(1-i)/(E+D)</t>
  </si>
  <si>
    <t>WACC = Ke . E/(E+D) + Kd . D(1-i)/(E+D)</t>
  </si>
  <si>
    <t>2.-  EVA</t>
  </si>
  <si>
    <t>Activos netos</t>
  </si>
  <si>
    <t>NOF</t>
  </si>
  <si>
    <t>Capitales empleados</t>
  </si>
  <si>
    <t>EBIT</t>
  </si>
  <si>
    <t>ROCE</t>
  </si>
  <si>
    <t>EVA</t>
  </si>
  <si>
    <t>FASE 3:</t>
  </si>
  <si>
    <t>Capital social</t>
  </si>
  <si>
    <t>Reservas</t>
  </si>
  <si>
    <t>Resultado neto del ejercicio</t>
  </si>
  <si>
    <t>Impuesto sobre beneficios</t>
  </si>
  <si>
    <t>Resultado después de impuestos</t>
  </si>
  <si>
    <t>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</si>
</sst>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%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Proxima Nova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4" xfId="0" applyBorder="1"/>
    <xf numFmtId="164" fontId="0" fillId="0" borderId="5" xfId="1" applyFont="1" applyBorder="1"/>
    <xf numFmtId="165" fontId="0" fillId="0" borderId="0" xfId="2" applyNumberFormat="1" applyFont="1"/>
    <xf numFmtId="164" fontId="0" fillId="0" borderId="5" xfId="1" applyFont="1" applyBorder="1" applyAlignment="1">
      <alignment horizontal="left"/>
    </xf>
    <xf numFmtId="10" fontId="0" fillId="0" borderId="0" xfId="2" applyNumberFormat="1" applyFont="1"/>
    <xf numFmtId="0" fontId="3" fillId="3" borderId="4" xfId="0" applyFont="1" applyFill="1" applyBorder="1"/>
    <xf numFmtId="164" fontId="3" fillId="3" borderId="5" xfId="1" applyFont="1" applyFill="1" applyBorder="1"/>
    <xf numFmtId="164" fontId="0" fillId="4" borderId="5" xfId="1" applyFont="1" applyFill="1" applyBorder="1"/>
    <xf numFmtId="0" fontId="2" fillId="2" borderId="6" xfId="0" applyFont="1" applyFill="1" applyBorder="1"/>
    <xf numFmtId="164" fontId="2" fillId="2" borderId="7" xfId="1" applyFont="1" applyFill="1" applyBorder="1"/>
    <xf numFmtId="0" fontId="2" fillId="2" borderId="2" xfId="0" applyFont="1" applyFill="1" applyBorder="1"/>
    <xf numFmtId="0" fontId="0" fillId="3" borderId="4" xfId="0" applyFill="1" applyBorder="1"/>
    <xf numFmtId="164" fontId="0" fillId="3" borderId="0" xfId="1" applyFont="1" applyFill="1" applyBorder="1"/>
    <xf numFmtId="164" fontId="0" fillId="3" borderId="5" xfId="1" applyFont="1" applyFill="1" applyBorder="1"/>
    <xf numFmtId="164" fontId="0" fillId="0" borderId="0" xfId="1" applyFont="1" applyBorder="1"/>
    <xf numFmtId="0" fontId="2" fillId="2" borderId="4" xfId="0" applyFont="1" applyFill="1" applyBorder="1"/>
    <xf numFmtId="164" fontId="2" fillId="2" borderId="0" xfId="1" applyFont="1" applyFill="1" applyBorder="1"/>
    <xf numFmtId="164" fontId="2" fillId="2" borderId="5" xfId="1" applyFont="1" applyFill="1" applyBorder="1"/>
    <xf numFmtId="164" fontId="2" fillId="2" borderId="1" xfId="1" applyFont="1" applyFill="1" applyBorder="1"/>
    <xf numFmtId="0" fontId="3" fillId="0" borderId="0" xfId="0" applyFont="1"/>
    <xf numFmtId="164" fontId="0" fillId="0" borderId="0" xfId="1" applyFont="1"/>
    <xf numFmtId="0" fontId="0" fillId="0" borderId="2" xfId="0" applyBorder="1"/>
    <xf numFmtId="164" fontId="0" fillId="0" borderId="3" xfId="1" applyFont="1" applyBorder="1"/>
    <xf numFmtId="10" fontId="0" fillId="0" borderId="5" xfId="2" applyNumberFormat="1" applyFont="1" applyBorder="1"/>
    <xf numFmtId="0" fontId="4" fillId="0" borderId="9" xfId="0" applyFont="1" applyBorder="1" applyAlignment="1">
      <alignment horizontal="center" vertical="center" readingOrder="1"/>
    </xf>
    <xf numFmtId="10" fontId="3" fillId="0" borderId="10" xfId="1" applyNumberFormat="1" applyFont="1" applyBorder="1"/>
    <xf numFmtId="0" fontId="3" fillId="0" borderId="4" xfId="0" applyFont="1" applyBorder="1"/>
    <xf numFmtId="164" fontId="3" fillId="0" borderId="5" xfId="1" applyFont="1" applyBorder="1"/>
    <xf numFmtId="10" fontId="3" fillId="0" borderId="5" xfId="2" applyNumberFormat="1" applyFont="1" applyBorder="1"/>
    <xf numFmtId="0" fontId="4" fillId="0" borderId="4" xfId="0" applyFont="1" applyBorder="1" applyAlignment="1">
      <alignment horizontal="center" vertical="center" readingOrder="1"/>
    </xf>
    <xf numFmtId="10" fontId="3" fillId="0" borderId="5" xfId="1" applyNumberFormat="1" applyFont="1" applyBorder="1"/>
    <xf numFmtId="0" fontId="3" fillId="0" borderId="9" xfId="0" applyFont="1" applyBorder="1"/>
    <xf numFmtId="164" fontId="3" fillId="0" borderId="10" xfId="1" applyFont="1" applyBorder="1"/>
    <xf numFmtId="0" fontId="2" fillId="2" borderId="0" xfId="0" applyFont="1" applyFill="1"/>
    <xf numFmtId="164" fontId="0" fillId="0" borderId="0" xfId="1" applyFont="1" applyFill="1" applyBorder="1"/>
    <xf numFmtId="164" fontId="0" fillId="0" borderId="5" xfId="1" applyFont="1" applyFill="1" applyBorder="1"/>
    <xf numFmtId="164" fontId="0" fillId="0" borderId="0" xfId="0" applyNumberFormat="1"/>
    <xf numFmtId="0" fontId="2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2" borderId="3" xfId="1" applyFont="1" applyFill="1" applyBorder="1" applyAlignment="1">
      <alignment horizontal="center" vertical="center"/>
    </xf>
    <xf numFmtId="164" fontId="2" fillId="2" borderId="5" xfId="1" applyFont="1" applyFill="1" applyBorder="1" applyAlignment="1">
      <alignment horizontal="center" vertical="center"/>
    </xf>
  </cellXfs>
  <cellStyles count="3">
    <cellStyle name="Coma" xfId="1" builtinId="3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workbookViewId="0">
      <selection activeCell="A69" sqref="A69"/>
    </sheetView>
  </sheetViews>
  <sheetFormatPr defaultColWidth="11.5546875" defaultRowHeight="14.4"/>
  <cols>
    <col min="1" max="1" width="43.33203125" bestFit="1" customWidth="1"/>
    <col min="2" max="3" width="15.5546875" bestFit="1" customWidth="1"/>
    <col min="5" max="5" width="43.33203125" bestFit="1" customWidth="1"/>
    <col min="6" max="7" width="15.5546875" bestFit="1" customWidth="1"/>
  </cols>
  <sheetData>
    <row r="1" spans="1:7" ht="15" thickBot="1">
      <c r="A1" s="40" t="s">
        <v>0</v>
      </c>
      <c r="B1" s="40"/>
      <c r="E1" s="40" t="s">
        <v>1</v>
      </c>
      <c r="F1" s="40"/>
    </row>
    <row r="2" spans="1:7">
      <c r="A2" s="41" t="s">
        <v>2</v>
      </c>
      <c r="B2" s="43" t="s">
        <v>3</v>
      </c>
      <c r="E2" s="41" t="s">
        <v>2</v>
      </c>
      <c r="F2" s="43" t="s">
        <v>4</v>
      </c>
    </row>
    <row r="3" spans="1:7">
      <c r="A3" s="42"/>
      <c r="B3" s="44"/>
      <c r="E3" s="42"/>
      <c r="F3" s="44"/>
    </row>
    <row r="4" spans="1:7">
      <c r="A4" s="1" t="s">
        <v>5</v>
      </c>
      <c r="B4" s="2">
        <v>28640179.370000001</v>
      </c>
      <c r="E4" s="1" t="s">
        <v>5</v>
      </c>
      <c r="F4" s="2">
        <v>33078039.159999996</v>
      </c>
    </row>
    <row r="5" spans="1:7">
      <c r="A5" s="1" t="s">
        <v>6</v>
      </c>
      <c r="B5" s="2">
        <v>14137051.630000001</v>
      </c>
      <c r="C5" s="3"/>
      <c r="E5" s="1" t="s">
        <v>7</v>
      </c>
      <c r="F5" s="4">
        <v>16031268.082727101</v>
      </c>
      <c r="G5" s="5"/>
    </row>
    <row r="6" spans="1:7">
      <c r="A6" s="6" t="s">
        <v>8</v>
      </c>
      <c r="B6" s="7">
        <f>B4-B5</f>
        <v>14503127.74</v>
      </c>
      <c r="C6" s="3"/>
      <c r="E6" s="6" t="s">
        <v>8</v>
      </c>
      <c r="F6" s="7">
        <f>F4-F5</f>
        <v>17046771.077272896</v>
      </c>
      <c r="G6" s="5"/>
    </row>
    <row r="7" spans="1:7">
      <c r="A7" s="1" t="s">
        <v>9</v>
      </c>
      <c r="B7" s="2">
        <v>6202467.21</v>
      </c>
      <c r="C7" s="3"/>
      <c r="E7" s="1" t="s">
        <v>9</v>
      </c>
      <c r="F7" s="2">
        <v>7029790.4337999998</v>
      </c>
      <c r="G7" s="5"/>
    </row>
    <row r="8" spans="1:7">
      <c r="A8" s="1" t="s">
        <v>10</v>
      </c>
      <c r="B8" s="2">
        <v>3628919.8</v>
      </c>
      <c r="C8" s="3"/>
      <c r="E8" s="1" t="s">
        <v>10</v>
      </c>
      <c r="F8" s="2">
        <v>4098178.45205</v>
      </c>
      <c r="G8" s="5"/>
    </row>
    <row r="9" spans="1:7">
      <c r="A9" s="1" t="s">
        <v>11</v>
      </c>
      <c r="B9" s="2">
        <v>1884169.16</v>
      </c>
      <c r="C9" s="3"/>
      <c r="E9" s="1" t="s">
        <v>11</v>
      </c>
      <c r="F9" s="8">
        <v>2302560.63363592</v>
      </c>
      <c r="G9" s="5"/>
    </row>
    <row r="10" spans="1:7">
      <c r="A10" s="1" t="s">
        <v>12</v>
      </c>
      <c r="B10" s="2">
        <v>1152161.3400000001</v>
      </c>
      <c r="C10" s="3"/>
      <c r="E10" s="1" t="s">
        <v>13</v>
      </c>
      <c r="F10" s="2">
        <v>1319499.1742539699</v>
      </c>
      <c r="G10" s="5"/>
    </row>
    <row r="11" spans="1:7">
      <c r="A11" s="1" t="s">
        <v>14</v>
      </c>
      <c r="B11" s="2">
        <v>39331.269999999997</v>
      </c>
      <c r="C11" s="3"/>
      <c r="E11" s="1" t="s">
        <v>15</v>
      </c>
      <c r="F11" s="2">
        <v>63924.74</v>
      </c>
      <c r="G11" s="5"/>
    </row>
    <row r="12" spans="1:7" ht="15" thickBot="1">
      <c r="A12" s="9" t="s">
        <v>16</v>
      </c>
      <c r="B12" s="10">
        <f>B6-SUM(B7:B11)</f>
        <v>1596078.9600000009</v>
      </c>
      <c r="C12" s="3"/>
      <c r="E12" s="9" t="s">
        <v>16</v>
      </c>
      <c r="F12" s="10">
        <f>F6-SUM(F7:F11)</f>
        <v>2232817.6435330063</v>
      </c>
      <c r="G12" s="5"/>
    </row>
    <row r="13" spans="1:7">
      <c r="A13" s="1" t="s">
        <v>62</v>
      </c>
      <c r="B13" s="2">
        <f>B12*0.25</f>
        <v>399019.74000000022</v>
      </c>
      <c r="C13" s="3"/>
      <c r="E13" s="1" t="s">
        <v>62</v>
      </c>
      <c r="F13" s="2">
        <f>F12*0.25</f>
        <v>558204.41088325158</v>
      </c>
      <c r="G13" s="5"/>
    </row>
    <row r="14" spans="1:7">
      <c r="A14" s="34" t="s">
        <v>63</v>
      </c>
      <c r="B14" s="17">
        <f>B12-B13</f>
        <v>1197059.2200000007</v>
      </c>
      <c r="C14" s="3"/>
      <c r="E14" s="34" t="s">
        <v>63</v>
      </c>
      <c r="F14" s="17">
        <f>F12-F13</f>
        <v>1674613.2326497547</v>
      </c>
      <c r="G14" s="5"/>
    </row>
    <row r="16" spans="1:7" ht="15" thickBot="1"/>
    <row r="17" spans="1:7">
      <c r="A17" s="11" t="s">
        <v>17</v>
      </c>
      <c r="B17" s="38" t="s">
        <v>3</v>
      </c>
      <c r="C17" s="39"/>
      <c r="E17" s="11" t="s">
        <v>17</v>
      </c>
      <c r="F17" s="38" t="s">
        <v>18</v>
      </c>
      <c r="G17" s="39"/>
    </row>
    <row r="18" spans="1:7">
      <c r="A18" s="12" t="s">
        <v>19</v>
      </c>
      <c r="B18" s="13"/>
      <c r="C18" s="14">
        <f>SUM(B19:B23)</f>
        <v>11659655.24</v>
      </c>
      <c r="E18" s="12" t="s">
        <v>19</v>
      </c>
      <c r="F18" s="13"/>
      <c r="G18" s="14">
        <f>SUM(F19:F23)</f>
        <v>13296782.57</v>
      </c>
    </row>
    <row r="19" spans="1:7">
      <c r="A19" s="1" t="s">
        <v>20</v>
      </c>
      <c r="B19" s="15">
        <v>8266139.120000001</v>
      </c>
      <c r="C19" s="2"/>
      <c r="D19" s="5"/>
      <c r="E19" s="1" t="s">
        <v>20</v>
      </c>
      <c r="F19" s="15">
        <v>9288491.040000001</v>
      </c>
      <c r="G19" s="2"/>
    </row>
    <row r="20" spans="1:7">
      <c r="A20" s="1" t="s">
        <v>21</v>
      </c>
      <c r="B20" s="15">
        <v>245324.61</v>
      </c>
      <c r="C20" s="2"/>
      <c r="E20" s="1" t="s">
        <v>21</v>
      </c>
      <c r="F20" s="15">
        <v>645348</v>
      </c>
      <c r="G20" s="2"/>
    </row>
    <row r="21" spans="1:7">
      <c r="A21" s="1" t="s">
        <v>22</v>
      </c>
      <c r="B21" s="15">
        <v>1595202.28</v>
      </c>
      <c r="C21" s="2"/>
      <c r="E21" s="1" t="s">
        <v>22</v>
      </c>
      <c r="F21" s="15">
        <v>1836997.8599999999</v>
      </c>
      <c r="G21" s="2"/>
    </row>
    <row r="22" spans="1:7">
      <c r="A22" s="1" t="s">
        <v>23</v>
      </c>
      <c r="B22" s="15">
        <v>184024.5</v>
      </c>
      <c r="C22" s="2"/>
      <c r="E22" s="1" t="s">
        <v>23</v>
      </c>
      <c r="F22" s="15">
        <v>184024.5</v>
      </c>
      <c r="G22" s="2"/>
    </row>
    <row r="23" spans="1:7">
      <c r="A23" s="1" t="s">
        <v>24</v>
      </c>
      <c r="B23" s="15">
        <v>1368964.7300000002</v>
      </c>
      <c r="C23" s="2"/>
      <c r="E23" s="1" t="s">
        <v>24</v>
      </c>
      <c r="F23" s="15">
        <v>1341921.17</v>
      </c>
      <c r="G23" s="2"/>
    </row>
    <row r="24" spans="1:7">
      <c r="A24" s="12" t="s">
        <v>25</v>
      </c>
      <c r="B24" s="13"/>
      <c r="C24" s="14">
        <f>SUM(B25:B29)</f>
        <v>10960785.169999996</v>
      </c>
      <c r="E24" s="12" t="s">
        <v>25</v>
      </c>
      <c r="F24" s="13"/>
      <c r="G24" s="14">
        <f>SUM(F25:F29)</f>
        <v>11178250.239999998</v>
      </c>
    </row>
    <row r="25" spans="1:7">
      <c r="A25" s="1" t="s">
        <v>26</v>
      </c>
      <c r="B25" s="15">
        <v>1017633.2</v>
      </c>
      <c r="C25" s="2"/>
      <c r="E25" s="1" t="s">
        <v>26</v>
      </c>
      <c r="F25" s="15">
        <v>1017633.2</v>
      </c>
      <c r="G25" s="2"/>
    </row>
    <row r="26" spans="1:7">
      <c r="A26" s="1" t="s">
        <v>27</v>
      </c>
      <c r="B26" s="15">
        <v>8879489.2999999989</v>
      </c>
      <c r="C26" s="2"/>
      <c r="E26" s="1" t="s">
        <v>27</v>
      </c>
      <c r="F26" s="15">
        <v>9096954.370000001</v>
      </c>
      <c r="G26" s="2"/>
    </row>
    <row r="27" spans="1:7">
      <c r="A27" s="1" t="s">
        <v>28</v>
      </c>
      <c r="B27" s="15">
        <v>155818.53999999998</v>
      </c>
      <c r="C27" s="2"/>
      <c r="E27" s="1" t="s">
        <v>28</v>
      </c>
      <c r="F27" s="15">
        <v>155818.53999999998</v>
      </c>
      <c r="G27" s="2"/>
    </row>
    <row r="28" spans="1:7">
      <c r="A28" s="1" t="s">
        <v>29</v>
      </c>
      <c r="B28" s="15">
        <v>657101.6</v>
      </c>
      <c r="C28" s="2"/>
      <c r="E28" s="1" t="s">
        <v>29</v>
      </c>
      <c r="F28" s="15">
        <v>657101.6</v>
      </c>
      <c r="G28" s="2"/>
    </row>
    <row r="29" spans="1:7">
      <c r="A29" s="1" t="s">
        <v>30</v>
      </c>
      <c r="B29" s="15">
        <v>250742.53</v>
      </c>
      <c r="C29" s="2"/>
      <c r="E29" s="1" t="s">
        <v>30</v>
      </c>
      <c r="F29" s="15">
        <v>250742.53</v>
      </c>
      <c r="G29" s="2"/>
    </row>
    <row r="30" spans="1:7">
      <c r="A30" s="16" t="s">
        <v>31</v>
      </c>
      <c r="B30" s="17"/>
      <c r="C30" s="18">
        <f>C18+C24</f>
        <v>22620440.409999996</v>
      </c>
      <c r="E30" s="16" t="s">
        <v>31</v>
      </c>
      <c r="F30" s="17"/>
      <c r="G30" s="18">
        <f>G18+G24</f>
        <v>24475032.809999999</v>
      </c>
    </row>
    <row r="31" spans="1:7">
      <c r="A31" s="12" t="s">
        <v>32</v>
      </c>
      <c r="B31" s="13"/>
      <c r="C31" s="14">
        <f>SUM(B32:B34)</f>
        <v>13891676.610000001</v>
      </c>
      <c r="D31" s="3"/>
      <c r="E31" s="12" t="s">
        <v>32</v>
      </c>
      <c r="F31" s="13"/>
      <c r="G31" s="14">
        <f>SUM(F32:F34)</f>
        <v>14848054.310649754</v>
      </c>
    </row>
    <row r="32" spans="1:7">
      <c r="A32" s="1" t="s">
        <v>59</v>
      </c>
      <c r="B32" s="35">
        <v>200000</v>
      </c>
      <c r="C32" s="36"/>
      <c r="D32" s="3"/>
      <c r="E32" s="1" t="s">
        <v>59</v>
      </c>
      <c r="F32" s="35">
        <v>200000</v>
      </c>
      <c r="G32" s="36"/>
    </row>
    <row r="33" spans="1:7">
      <c r="A33" s="1" t="s">
        <v>60</v>
      </c>
      <c r="B33" s="35">
        <v>12494617.390000001</v>
      </c>
      <c r="C33" s="36"/>
      <c r="D33" s="3"/>
      <c r="E33" s="1" t="s">
        <v>60</v>
      </c>
      <c r="F33" s="35">
        <f>B33+B34*0.4</f>
        <v>12973441.078</v>
      </c>
      <c r="G33" s="36"/>
    </row>
    <row r="34" spans="1:7">
      <c r="A34" s="1" t="s">
        <v>61</v>
      </c>
      <c r="B34" s="35">
        <v>1197059.22</v>
      </c>
      <c r="C34" s="36"/>
      <c r="D34" s="3"/>
      <c r="E34" s="1" t="s">
        <v>61</v>
      </c>
      <c r="F34" s="35">
        <f>F14</f>
        <v>1674613.2326497547</v>
      </c>
      <c r="G34" s="36"/>
    </row>
    <row r="35" spans="1:7">
      <c r="A35" s="12" t="s">
        <v>33</v>
      </c>
      <c r="B35" s="13"/>
      <c r="C35" s="14">
        <f>SUM(B36:B38)</f>
        <v>4923102.63</v>
      </c>
      <c r="D35" s="3"/>
      <c r="E35" s="12" t="s">
        <v>33</v>
      </c>
      <c r="F35" s="13"/>
      <c r="G35" s="14">
        <f>SUM(F36:F38)</f>
        <v>4009325.16</v>
      </c>
    </row>
    <row r="36" spans="1:7">
      <c r="A36" s="1" t="s">
        <v>34</v>
      </c>
      <c r="B36" s="15">
        <v>11488.3</v>
      </c>
      <c r="C36" s="2"/>
      <c r="D36" s="5"/>
      <c r="E36" s="1" t="s">
        <v>34</v>
      </c>
      <c r="F36" s="15">
        <v>11488.3</v>
      </c>
      <c r="G36" s="2"/>
    </row>
    <row r="37" spans="1:7">
      <c r="A37" s="1" t="s">
        <v>35</v>
      </c>
      <c r="B37" s="15">
        <v>2517559.29</v>
      </c>
      <c r="C37" s="2"/>
      <c r="D37" s="5"/>
      <c r="E37" s="1" t="s">
        <v>35</v>
      </c>
      <c r="F37" s="15">
        <v>2194188.83</v>
      </c>
      <c r="G37" s="2"/>
    </row>
    <row r="38" spans="1:7">
      <c r="A38" s="1" t="s">
        <v>36</v>
      </c>
      <c r="B38" s="15">
        <v>2394055.04</v>
      </c>
      <c r="C38" s="2"/>
      <c r="D38" s="5"/>
      <c r="E38" s="1" t="s">
        <v>36</v>
      </c>
      <c r="F38" s="15">
        <v>1803648.03</v>
      </c>
      <c r="G38" s="2"/>
    </row>
    <row r="39" spans="1:7">
      <c r="A39" s="12" t="s">
        <v>37</v>
      </c>
      <c r="B39" s="13"/>
      <c r="C39" s="14">
        <f>SUM(B40)</f>
        <v>3805661.17</v>
      </c>
      <c r="D39" s="3"/>
      <c r="E39" s="12" t="s">
        <v>37</v>
      </c>
      <c r="F39" s="13"/>
      <c r="G39" s="14">
        <f>SUM(F40)</f>
        <v>5617653.3399999999</v>
      </c>
    </row>
    <row r="40" spans="1:7">
      <c r="A40" s="1" t="s">
        <v>38</v>
      </c>
      <c r="B40" s="15">
        <v>3805661.17</v>
      </c>
      <c r="C40" s="2"/>
      <c r="E40" s="1" t="s">
        <v>38</v>
      </c>
      <c r="F40" s="15">
        <v>5617653.3399999999</v>
      </c>
      <c r="G40" s="2"/>
    </row>
    <row r="41" spans="1:7" ht="15" thickBot="1">
      <c r="A41" s="9" t="s">
        <v>39</v>
      </c>
      <c r="B41" s="19"/>
      <c r="C41" s="10">
        <f>C31+C35+C39</f>
        <v>22620440.410000004</v>
      </c>
      <c r="E41" s="9" t="s">
        <v>39</v>
      </c>
      <c r="F41" s="19"/>
      <c r="G41" s="10">
        <f>G31+G35+G39</f>
        <v>24475032.810649756</v>
      </c>
    </row>
    <row r="43" spans="1:7">
      <c r="A43" s="20" t="s">
        <v>58</v>
      </c>
      <c r="G43" s="37"/>
    </row>
    <row r="45" spans="1:7">
      <c r="A45" s="20" t="s">
        <v>40</v>
      </c>
      <c r="B45" s="21"/>
    </row>
    <row r="46" spans="1:7" ht="15" thickBot="1">
      <c r="B46" s="21"/>
    </row>
    <row r="47" spans="1:7">
      <c r="A47" s="22" t="s">
        <v>41</v>
      </c>
      <c r="B47" s="23"/>
    </row>
    <row r="48" spans="1:7">
      <c r="A48" s="1" t="s">
        <v>42</v>
      </c>
      <c r="B48" s="2"/>
    </row>
    <row r="49" spans="1:2">
      <c r="A49" s="1" t="s">
        <v>43</v>
      </c>
      <c r="B49" s="2"/>
    </row>
    <row r="50" spans="1:2">
      <c r="A50" s="1"/>
      <c r="B50" s="2"/>
    </row>
    <row r="51" spans="1:2">
      <c r="A51" s="1" t="s">
        <v>44</v>
      </c>
      <c r="B51" s="24"/>
    </row>
    <row r="52" spans="1:2">
      <c r="A52" s="1" t="s">
        <v>45</v>
      </c>
      <c r="B52" s="2"/>
    </row>
    <row r="53" spans="1:2">
      <c r="A53" s="1" t="s">
        <v>46</v>
      </c>
      <c r="B53" s="24"/>
    </row>
    <row r="54" spans="1:2">
      <c r="A54" s="1" t="s">
        <v>47</v>
      </c>
      <c r="B54" s="2"/>
    </row>
    <row r="55" spans="1:2">
      <c r="A55" s="1"/>
      <c r="B55" s="2"/>
    </row>
    <row r="56" spans="1:2">
      <c r="A56" s="1" t="s">
        <v>48</v>
      </c>
      <c r="B56" s="24"/>
    </row>
    <row r="57" spans="1:2">
      <c r="A57" s="1" t="s">
        <v>49</v>
      </c>
      <c r="B57" s="24"/>
    </row>
    <row r="58" spans="1:2">
      <c r="A58" s="1"/>
      <c r="B58" s="2"/>
    </row>
    <row r="59" spans="1:2" ht="15" thickBot="1">
      <c r="A59" s="1"/>
      <c r="B59" s="2"/>
    </row>
    <row r="60" spans="1:2" ht="15" thickBot="1">
      <c r="A60" s="25" t="s">
        <v>50</v>
      </c>
      <c r="B60" s="26"/>
    </row>
    <row r="64" spans="1:2">
      <c r="A64" s="20" t="s">
        <v>51</v>
      </c>
      <c r="B64" s="21"/>
    </row>
    <row r="65" spans="1:2" ht="15" thickBot="1">
      <c r="A65" s="20"/>
      <c r="B65" s="21"/>
    </row>
    <row r="66" spans="1:2">
      <c r="A66" s="22" t="s">
        <v>52</v>
      </c>
      <c r="B66" s="23"/>
    </row>
    <row r="67" spans="1:2">
      <c r="A67" s="1" t="s">
        <v>53</v>
      </c>
      <c r="B67" s="2"/>
    </row>
    <row r="68" spans="1:2">
      <c r="A68" s="1" t="s">
        <v>64</v>
      </c>
      <c r="B68" s="2"/>
    </row>
    <row r="69" spans="1:2">
      <c r="A69" s="27" t="s">
        <v>54</v>
      </c>
      <c r="B69" s="28"/>
    </row>
    <row r="70" spans="1:2">
      <c r="A70" s="27"/>
      <c r="B70" s="2"/>
    </row>
    <row r="71" spans="1:2">
      <c r="A71" s="1" t="s">
        <v>55</v>
      </c>
      <c r="B71" s="2"/>
    </row>
    <row r="72" spans="1:2">
      <c r="A72" s="27" t="s">
        <v>56</v>
      </c>
      <c r="B72" s="29"/>
    </row>
    <row r="73" spans="1:2">
      <c r="A73" s="1"/>
      <c r="B73" s="2"/>
    </row>
    <row r="74" spans="1:2">
      <c r="A74" s="1" t="s">
        <v>41</v>
      </c>
      <c r="B74" s="2"/>
    </row>
    <row r="75" spans="1:2">
      <c r="A75" s="1" t="s">
        <v>42</v>
      </c>
      <c r="B75" s="2"/>
    </row>
    <row r="76" spans="1:2">
      <c r="A76" s="1" t="s">
        <v>43</v>
      </c>
      <c r="B76" s="2"/>
    </row>
    <row r="77" spans="1:2">
      <c r="A77" s="1"/>
      <c r="B77" s="2"/>
    </row>
    <row r="78" spans="1:2">
      <c r="A78" s="1" t="s">
        <v>44</v>
      </c>
      <c r="B78" s="24"/>
    </row>
    <row r="79" spans="1:2">
      <c r="A79" s="1" t="s">
        <v>45</v>
      </c>
      <c r="B79" s="2"/>
    </row>
    <row r="80" spans="1:2">
      <c r="A80" s="1" t="s">
        <v>46</v>
      </c>
      <c r="B80" s="24"/>
    </row>
    <row r="81" spans="1:2">
      <c r="A81" s="1" t="s">
        <v>47</v>
      </c>
      <c r="B81" s="2"/>
    </row>
    <row r="82" spans="1:2">
      <c r="A82" s="1"/>
      <c r="B82" s="2"/>
    </row>
    <row r="83" spans="1:2">
      <c r="A83" s="1" t="s">
        <v>48</v>
      </c>
      <c r="B83" s="24"/>
    </row>
    <row r="84" spans="1:2">
      <c r="A84" s="1" t="s">
        <v>49</v>
      </c>
      <c r="B84" s="24"/>
    </row>
    <row r="85" spans="1:2">
      <c r="A85" s="1"/>
      <c r="B85" s="2"/>
    </row>
    <row r="86" spans="1:2">
      <c r="A86" s="1"/>
      <c r="B86" s="2"/>
    </row>
    <row r="87" spans="1:2">
      <c r="A87" s="30" t="s">
        <v>50</v>
      </c>
      <c r="B87" s="31"/>
    </row>
    <row r="88" spans="1:2" ht="15" thickBot="1">
      <c r="A88" s="1"/>
      <c r="B88" s="2"/>
    </row>
    <row r="89" spans="1:2" ht="15" thickBot="1">
      <c r="A89" s="32" t="s">
        <v>57</v>
      </c>
      <c r="B89" s="33"/>
    </row>
  </sheetData>
  <mergeCells count="8">
    <mergeCell ref="B17:C17"/>
    <mergeCell ref="F17:G17"/>
    <mergeCell ref="A1:B1"/>
    <mergeCell ref="E1:F1"/>
    <mergeCell ref="A2:A3"/>
    <mergeCell ref="B2:B3"/>
    <mergeCell ref="E2:E3"/>
    <mergeCell ref="F2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Lorena Rivas Rodriguez</dc:creator>
  <cp:lastModifiedBy>PORTATIL28</cp:lastModifiedBy>
  <dcterms:created xsi:type="dcterms:W3CDTF">2021-11-02T11:57:25Z</dcterms:created>
  <dcterms:modified xsi:type="dcterms:W3CDTF">2023-11-22T18:44:36Z</dcterms:modified>
</cp:coreProperties>
</file>