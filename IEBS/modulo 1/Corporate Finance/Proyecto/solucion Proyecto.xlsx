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Proyecto\"/>
    </mc:Choice>
  </mc:AlternateContent>
  <xr:revisionPtr revIDLastSave="0" documentId="13_ncr:1_{57D71CD8-13C9-4917-9E59-FF7C78ECE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I37" i="1"/>
  <c r="F86" i="1"/>
  <c r="F85" i="1"/>
  <c r="E85" i="1"/>
  <c r="E86" i="1" s="1"/>
  <c r="G86" i="1" s="1"/>
  <c r="H70" i="1"/>
  <c r="I70" i="1" s="1"/>
  <c r="H69" i="1"/>
  <c r="I69" i="1" s="1"/>
  <c r="I20" i="1"/>
  <c r="I21" i="1"/>
  <c r="I22" i="1"/>
  <c r="I23" i="1"/>
  <c r="I19" i="1"/>
  <c r="G9" i="1"/>
  <c r="G10" i="1"/>
  <c r="G11" i="1"/>
  <c r="G8" i="1"/>
  <c r="C9" i="1"/>
  <c r="C10" i="1"/>
  <c r="C11" i="1"/>
  <c r="C8" i="1"/>
  <c r="C7" i="1"/>
  <c r="G7" i="1"/>
  <c r="C5" i="1"/>
  <c r="G5" i="1"/>
  <c r="H5" i="1" s="1"/>
  <c r="I5" i="1" s="1"/>
  <c r="G4" i="1"/>
  <c r="D95" i="1"/>
  <c r="D96" i="1"/>
  <c r="B87" i="1"/>
  <c r="B68" i="1"/>
  <c r="B67" i="1"/>
  <c r="F67" i="1"/>
  <c r="F66" i="1"/>
  <c r="F51" i="1"/>
  <c r="F47" i="1"/>
  <c r="B52" i="1" s="1"/>
  <c r="F50" i="1" l="1"/>
  <c r="H47" i="1" s="1"/>
  <c r="B51" i="1" s="1"/>
  <c r="F33" i="1"/>
  <c r="F6" i="1"/>
  <c r="G6" i="1" s="1"/>
  <c r="B12" i="1"/>
  <c r="C12" i="1" s="1"/>
  <c r="B6" i="1"/>
  <c r="C6" i="1" s="1"/>
  <c r="C39" i="1"/>
  <c r="C35" i="1"/>
  <c r="D37" i="1" s="1"/>
  <c r="C24" i="1"/>
  <c r="C18" i="1"/>
  <c r="C31" i="1"/>
  <c r="C41" i="1" s="1"/>
  <c r="B13" i="1" l="1"/>
  <c r="B14" i="1" s="1"/>
  <c r="C14" i="1" s="1"/>
  <c r="D23" i="1"/>
  <c r="D20" i="1"/>
  <c r="D22" i="1"/>
  <c r="D21" i="1"/>
  <c r="D19" i="1"/>
  <c r="F12" i="1"/>
  <c r="F13" i="1" s="1"/>
  <c r="C30" i="1"/>
  <c r="D26" i="1"/>
  <c r="D27" i="1"/>
  <c r="D25" i="1"/>
  <c r="D28" i="1"/>
  <c r="D29" i="1"/>
  <c r="D39" i="1"/>
  <c r="G39" i="1"/>
  <c r="G35" i="1"/>
  <c r="H37" i="1" s="1"/>
  <c r="J37" i="1" s="1"/>
  <c r="K37" i="1" s="1"/>
  <c r="G24" i="1"/>
  <c r="G18" i="1"/>
  <c r="F14" i="1" l="1"/>
  <c r="F53" i="1"/>
  <c r="F52" i="1" s="1"/>
  <c r="G13" i="1"/>
  <c r="H29" i="1"/>
  <c r="H27" i="1"/>
  <c r="H25" i="1"/>
  <c r="B66" i="1"/>
  <c r="B69" i="1" s="1"/>
  <c r="H26" i="1"/>
  <c r="H24" i="1"/>
  <c r="H28" i="1"/>
  <c r="H22" i="1"/>
  <c r="H20" i="1"/>
  <c r="J20" i="1" s="1"/>
  <c r="H23" i="1"/>
  <c r="J23" i="1" s="1"/>
  <c r="H21" i="1"/>
  <c r="H19" i="1"/>
  <c r="H18" i="1"/>
  <c r="F54" i="1"/>
  <c r="G12" i="1"/>
  <c r="B71" i="1"/>
  <c r="I39" i="1"/>
  <c r="G30" i="1"/>
  <c r="B72" i="1" l="1"/>
  <c r="B89" i="1" s="1"/>
  <c r="F34" i="1"/>
  <c r="G31" i="1" s="1"/>
  <c r="B47" i="1"/>
  <c r="G14" i="1"/>
  <c r="F48" i="1" l="1"/>
  <c r="G41" i="1"/>
  <c r="H39" i="1" s="1"/>
  <c r="J39" i="1" s="1"/>
  <c r="K39" i="1" s="1"/>
  <c r="B49" i="1"/>
  <c r="F56" i="1" s="1"/>
  <c r="B48" i="1"/>
  <c r="F55" i="1" l="1"/>
  <c r="H48" i="1" s="1"/>
  <c r="B53" i="1" s="1"/>
  <c r="B54" i="1"/>
  <c r="B57" i="1" s="1"/>
  <c r="F49" i="1"/>
  <c r="G48" i="1" l="1"/>
  <c r="I48" i="1" s="1"/>
  <c r="G47" i="1"/>
  <c r="B56" i="1"/>
  <c r="B60" i="1" s="1"/>
  <c r="I47" i="1" l="1"/>
  <c r="I49" i="1" s="1"/>
  <c r="G49" i="1"/>
</calcChain>
</file>

<file path=xl/sharedStrings.xml><?xml version="1.0" encoding="utf-8"?>
<sst xmlns="http://schemas.openxmlformats.org/spreadsheetml/2006/main" count="154" uniqueCount="102">
  <si>
    <t>PYG AÑO N</t>
  </si>
  <si>
    <t>PYG PREVISIONAL n +1</t>
  </si>
  <si>
    <t>Concepto</t>
  </si>
  <si>
    <t>Año N</t>
  </si>
  <si>
    <t>Año n +1</t>
  </si>
  <si>
    <t>Ventas</t>
  </si>
  <si>
    <t>Coste de ventas</t>
  </si>
  <si>
    <t>Aprovisionamiento</t>
  </si>
  <si>
    <t>Margen contribución</t>
  </si>
  <si>
    <t>Salarios</t>
  </si>
  <si>
    <t>Alquileres</t>
  </si>
  <si>
    <t>Resto gastos generales</t>
  </si>
  <si>
    <t>Amortizaciones</t>
  </si>
  <si>
    <t>Amortización</t>
  </si>
  <si>
    <t>Resultado financiero</t>
  </si>
  <si>
    <t>Intereses préstamos</t>
  </si>
  <si>
    <t>Resultado antes impuestos</t>
  </si>
  <si>
    <t xml:space="preserve">Balance </t>
  </si>
  <si>
    <t>Año N+1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</si>
  <si>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</si>
  <si>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</si>
  <si>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</si>
  <si>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</si>
  <si>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</si>
  <si>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</si>
  <si>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</si>
  <si>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</si>
  <si>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</si>
  <si>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</si>
  <si>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</si>
  <si>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</si>
  <si>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</si>
  <si>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</si>
  <si>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</si>
  <si>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</si>
  <si>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</si>
  <si>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</si>
  <si>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</si>
  <si>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</si>
  <si>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</si>
  <si>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WACC con dividendo 60%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</si>
  <si>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</si>
  <si>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</si>
  <si>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</si>
  <si>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</si>
  <si>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</si>
  <si>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</si>
  <si>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</si>
  <si>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</si>
  <si>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</si>
  <si>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</si>
  <si>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EVA</t>
  </si>
  <si>
    <t>Activos netos</t>
  </si>
  <si>
    <t>NOF</t>
  </si>
  <si>
    <t>Capitales empleados</t>
  </si>
  <si>
    <t>EBIT</t>
  </si>
  <si>
    <t>ROCE</t>
  </si>
  <si>
    <t>EVA</t>
  </si>
  <si>
    <t>FASE 3:</t>
  </si>
  <si>
    <t>Capital social</t>
  </si>
  <si>
    <t>Reservas</t>
  </si>
  <si>
    <t>Resultado neto del ejercicio</t>
  </si>
  <si>
    <t>Impuesto sobre beneficios</t>
  </si>
  <si>
    <t>Resultado después de impuestos</t>
  </si>
  <si>
    <t>IFT</t>
  </si>
  <si>
    <t>Año n</t>
  </si>
  <si>
    <t>Valor</t>
  </si>
  <si>
    <t>%</t>
  </si>
  <si>
    <t>Coste</t>
  </si>
  <si>
    <t>Coste promedio</t>
  </si>
  <si>
    <t>Deuda (D)</t>
  </si>
  <si>
    <t>Patrimonio (E )</t>
  </si>
  <si>
    <t>Tasa bancos</t>
  </si>
  <si>
    <t>Gasto financiero</t>
  </si>
  <si>
    <t>Tasa impuestos</t>
  </si>
  <si>
    <t>Gasto impuesto</t>
  </si>
  <si>
    <t>Tasa accionistas</t>
  </si>
  <si>
    <t>Dividendo</t>
  </si>
  <si>
    <t>WACC</t>
  </si>
  <si>
    <t>Activo corriente operativo</t>
  </si>
  <si>
    <t>Pasivo corriente operativo</t>
  </si>
  <si>
    <t>FASE 1:</t>
  </si>
  <si>
    <t>FASE 2:</t>
  </si>
  <si>
    <t xml:space="preserve">Aumentado los deudores </t>
  </si>
  <si>
    <t xml:space="preserve"> Nos deben dinero</t>
  </si>
  <si>
    <t>Tenemos menos efectivo respecto el total de activo, por el valor el mismo año anterior, cash flow…</t>
  </si>
  <si>
    <t>La parte buena es que las peridoifcaciones a c/p se mantiene</t>
  </si>
  <si>
    <t>Aumenta la deuda a largo plazo</t>
  </si>
  <si>
    <t>Deuda</t>
  </si>
  <si>
    <t>aumentado, pero sobretodo la deuda a largo plazo</t>
  </si>
  <si>
    <t>Agentes externos</t>
  </si>
  <si>
    <t>● Riesgos:</t>
  </si>
  <si>
    <t>○ Cierta incertidumbre respecto a su</t>
  </si>
  <si>
    <t>recuperación</t>
  </si>
  <si>
    <t>○ Hay que saber vender el proyecto</t>
  </si>
  <si>
    <t>y cumplir ciertos parámetros</t>
  </si>
  <si>
    <t>● Coste: Menor y deducible</t>
  </si>
  <si>
    <t>● Ratios: Peor ratio equilibrio y autonomía</t>
  </si>
  <si>
    <t>Ratio fondos propios vs deuda</t>
  </si>
  <si>
    <t>n+1</t>
  </si>
  <si>
    <t>n</t>
  </si>
  <si>
    <t>major ratio de la deuda arespecto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</si>
</sst>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%"/>
    <numFmt numFmtId="166" formatCode="0.0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603A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4" xfId="0" applyBorder="1"/>
    <xf numFmtId="164" fontId="0" fillId="0" borderId="5" xfId="1" applyFont="1" applyBorder="1"/>
    <xf numFmtId="165" fontId="0" fillId="0" borderId="0" xfId="2" applyNumberFormat="1" applyFont="1"/>
    <xf numFmtId="164" fontId="0" fillId="0" borderId="5" xfId="1" applyFont="1" applyBorder="1" applyAlignment="1">
      <alignment horizontal="left"/>
    </xf>
    <xf numFmtId="10" fontId="0" fillId="0" borderId="0" xfId="2" applyNumberFormat="1" applyFont="1"/>
    <xf numFmtId="0" fontId="3" fillId="3" borderId="4" xfId="0" applyFont="1" applyFill="1" applyBorder="1"/>
    <xf numFmtId="164" fontId="3" fillId="3" borderId="5" xfId="1" applyFont="1" applyFill="1" applyBorder="1"/>
    <xf numFmtId="164" fontId="0" fillId="4" borderId="5" xfId="1" applyFont="1" applyFill="1" applyBorder="1"/>
    <xf numFmtId="0" fontId="2" fillId="2" borderId="6" xfId="0" applyFont="1" applyFill="1" applyBorder="1"/>
    <xf numFmtId="164" fontId="2" fillId="2" borderId="7" xfId="1" applyFont="1" applyFill="1" applyBorder="1"/>
    <xf numFmtId="0" fontId="2" fillId="2" borderId="2" xfId="0" applyFont="1" applyFill="1" applyBorder="1"/>
    <xf numFmtId="0" fontId="0" fillId="3" borderId="4" xfId="0" applyFill="1" applyBorder="1"/>
    <xf numFmtId="164" fontId="0" fillId="3" borderId="0" xfId="1" applyFont="1" applyFill="1" applyBorder="1"/>
    <xf numFmtId="164" fontId="0" fillId="3" borderId="5" xfId="1" applyFont="1" applyFill="1" applyBorder="1"/>
    <xf numFmtId="164" fontId="0" fillId="0" borderId="0" xfId="1" applyFont="1" applyBorder="1"/>
    <xf numFmtId="0" fontId="2" fillId="2" borderId="4" xfId="0" applyFont="1" applyFill="1" applyBorder="1"/>
    <xf numFmtId="164" fontId="2" fillId="2" borderId="0" xfId="1" applyFont="1" applyFill="1" applyBorder="1"/>
    <xf numFmtId="164" fontId="2" fillId="2" borderId="5" xfId="1" applyFont="1" applyFill="1" applyBorder="1"/>
    <xf numFmtId="164" fontId="2" fillId="2" borderId="1" xfId="1" applyFont="1" applyFill="1" applyBorder="1"/>
    <xf numFmtId="0" fontId="3" fillId="0" borderId="0" xfId="0" applyFont="1"/>
    <xf numFmtId="164" fontId="0" fillId="0" borderId="0" xfId="1" applyFont="1"/>
    <xf numFmtId="0" fontId="0" fillId="0" borderId="2" xfId="0" applyBorder="1"/>
    <xf numFmtId="164" fontId="0" fillId="0" borderId="3" xfId="1" applyFont="1" applyBorder="1"/>
    <xf numFmtId="10" fontId="0" fillId="0" borderId="5" xfId="2" applyNumberFormat="1" applyFont="1" applyBorder="1"/>
    <xf numFmtId="0" fontId="4" fillId="0" borderId="9" xfId="0" applyFont="1" applyBorder="1" applyAlignment="1">
      <alignment horizontal="center" vertical="center" readingOrder="1"/>
    </xf>
    <xf numFmtId="10" fontId="3" fillId="0" borderId="10" xfId="1" applyNumberFormat="1" applyFont="1" applyBorder="1"/>
    <xf numFmtId="0" fontId="3" fillId="0" borderId="4" xfId="0" applyFont="1" applyBorder="1"/>
    <xf numFmtId="164" fontId="3" fillId="0" borderId="5" xfId="1" applyFont="1" applyBorder="1"/>
    <xf numFmtId="10" fontId="3" fillId="0" borderId="5" xfId="2" applyNumberFormat="1" applyFont="1" applyBorder="1"/>
    <xf numFmtId="0" fontId="4" fillId="0" borderId="4" xfId="0" applyFont="1" applyBorder="1" applyAlignment="1">
      <alignment horizontal="center" vertical="center" readingOrder="1"/>
    </xf>
    <xf numFmtId="0" fontId="3" fillId="0" borderId="9" xfId="0" applyFont="1" applyBorder="1"/>
    <xf numFmtId="0" fontId="2" fillId="2" borderId="0" xfId="0" applyFont="1" applyFill="1"/>
    <xf numFmtId="164" fontId="0" fillId="0" borderId="0" xfId="1" applyFont="1" applyFill="1" applyBorder="1"/>
    <xf numFmtId="164" fontId="0" fillId="0" borderId="5" xfId="1" applyFont="1" applyFill="1" applyBorder="1"/>
    <xf numFmtId="164" fontId="0" fillId="0" borderId="0" xfId="0" applyNumberFormat="1"/>
    <xf numFmtId="4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4" fontId="5" fillId="0" borderId="1" xfId="0" applyNumberFormat="1" applyFont="1" applyBorder="1" applyAlignment="1">
      <alignment wrapText="1"/>
    </xf>
    <xf numFmtId="10" fontId="5" fillId="0" borderId="1" xfId="0" applyNumberFormat="1" applyFont="1" applyBorder="1" applyAlignment="1">
      <alignment wrapText="1"/>
    </xf>
    <xf numFmtId="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0" fontId="0" fillId="0" borderId="0" xfId="0" applyNumberFormat="1"/>
    <xf numFmtId="0" fontId="3" fillId="4" borderId="2" xfId="0" applyFont="1" applyFill="1" applyBorder="1"/>
    <xf numFmtId="0" fontId="0" fillId="4" borderId="8" xfId="0" applyFill="1" applyBorder="1"/>
    <xf numFmtId="10" fontId="0" fillId="4" borderId="8" xfId="0" applyNumberForma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3" fillId="4" borderId="4" xfId="0" applyFont="1" applyFill="1" applyBorder="1"/>
    <xf numFmtId="164" fontId="0" fillId="4" borderId="0" xfId="1" applyFont="1" applyFill="1" applyBorder="1"/>
    <xf numFmtId="10" fontId="0" fillId="4" borderId="0" xfId="0" applyNumberFormat="1" applyFill="1"/>
    <xf numFmtId="10" fontId="0" fillId="4" borderId="5" xfId="0" applyNumberFormat="1" applyFill="1" applyBorder="1"/>
    <xf numFmtId="0" fontId="0" fillId="4" borderId="6" xfId="0" applyFill="1" applyBorder="1"/>
    <xf numFmtId="0" fontId="0" fillId="4" borderId="1" xfId="0" applyFill="1" applyBorder="1"/>
    <xf numFmtId="10" fontId="0" fillId="4" borderId="7" xfId="2" applyNumberFormat="1" applyFont="1" applyFill="1" applyBorder="1"/>
    <xf numFmtId="164" fontId="1" fillId="4" borderId="1" xfId="1" applyFont="1" applyFill="1" applyBorder="1"/>
    <xf numFmtId="0" fontId="0" fillId="5" borderId="0" xfId="0" applyFill="1"/>
    <xf numFmtId="166" fontId="0" fillId="0" borderId="0" xfId="2" applyNumberFormat="1" applyFont="1"/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3" xfId="1" applyFont="1" applyFill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wrapText="1"/>
    </xf>
    <xf numFmtId="10" fontId="5" fillId="0" borderId="6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Border="1"/>
    <xf numFmtId="0" fontId="6" fillId="0" borderId="0" xfId="0" applyFont="1" applyFill="1" applyAlignment="1">
      <alignment horizontal="center" vertical="center" wrapText="1"/>
    </xf>
    <xf numFmtId="164" fontId="3" fillId="6" borderId="10" xfId="1" applyFont="1" applyFill="1" applyBorder="1"/>
    <xf numFmtId="10" fontId="3" fillId="6" borderId="10" xfId="1" applyNumberFormat="1" applyFont="1" applyFill="1" applyBorder="1"/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colors>
    <mruColors>
      <color rgb="FFDA6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49</xdr:row>
      <xdr:rowOff>19049</xdr:rowOff>
    </xdr:from>
    <xdr:to>
      <xdr:col>14</xdr:col>
      <xdr:colOff>733425</xdr:colOff>
      <xdr:row>69</xdr:row>
      <xdr:rowOff>28574</xdr:rowOff>
    </xdr:to>
    <xdr:sp macro="" textlink="">
      <xdr:nvSpPr>
        <xdr:cNvPr id="2" name="QuadreDeText 1">
          <a:extLst>
            <a:ext uri="{FF2B5EF4-FFF2-40B4-BE49-F238E27FC236}">
              <a16:creationId xmlns:a16="http://schemas.microsoft.com/office/drawing/2014/main" id="{64AED8F6-EC56-FC39-B00F-FBD73341BB3F}"/>
            </a:ext>
          </a:extLst>
        </xdr:cNvPr>
        <xdr:cNvSpPr txBox="1"/>
      </xdr:nvSpPr>
      <xdr:spPr>
        <a:xfrm>
          <a:off x="14906625" y="9648824"/>
          <a:ext cx="3124200" cy="3914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Mayor WACC: Un mayor WACC puede indicar que la empresa tiene un mayor costo asociado al financiamiento de sus operaciones y proyectos, lo que puede reflejar un mayor riesgo percibido por los inversores.</a:t>
          </a:r>
        </a:p>
        <a:p>
          <a:endParaRPr lang="ca-E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Mayor EVA: Un EVA más alto sugiere que la empresa está generando un rendimiento superior al costo de su capital, lo que indica una buena rentabilidad en relación con el capital invertido.</a:t>
          </a:r>
        </a:p>
        <a:p>
          <a:endParaRPr lang="ca-E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Mejor deuda a largo plazo: Una mejor estructura de deuda a largo plazo puede implicar que la empresa tiene una gestión eficaz de su endeudamiento, lo que puede reducir el riesgo financiero y proporcionar estabilidad a largo plazo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ca-ES"/>
            <a:t> </a:t>
          </a:r>
        </a:p>
        <a:p>
          <a:endParaRPr lang="ca-ES" sz="1100"/>
        </a:p>
        <a:p>
          <a:r>
            <a:rPr lang="ca-ES" sz="1100"/>
            <a:t>En conjunto, estos elementos podrían indicar que la empresa está generando un rendimiento sólido sobre su capital, a pesar de tener un mayor costo de capital, y que su gestión de la deuda contribuye positivamente a su situación financiera.</a:t>
          </a:r>
        </a:p>
      </xdr:txBody>
    </xdr:sp>
    <xdr:clientData/>
  </xdr:twoCellAnchor>
  <xdr:twoCellAnchor>
    <xdr:from>
      <xdr:col>11</xdr:col>
      <xdr:colOff>28575</xdr:colOff>
      <xdr:row>70</xdr:row>
      <xdr:rowOff>142875</xdr:rowOff>
    </xdr:from>
    <xdr:to>
      <xdr:col>14</xdr:col>
      <xdr:colOff>752475</xdr:colOff>
      <xdr:row>87</xdr:row>
      <xdr:rowOff>28575</xdr:rowOff>
    </xdr:to>
    <xdr:sp macro="" textlink="">
      <xdr:nvSpPr>
        <xdr:cNvPr id="3" name="QuadreDeText 2">
          <a:extLst>
            <a:ext uri="{FF2B5EF4-FFF2-40B4-BE49-F238E27FC236}">
              <a16:creationId xmlns:a16="http://schemas.microsoft.com/office/drawing/2014/main" id="{1DAE4313-8636-859D-100C-5AFCAFA8CE4C}"/>
            </a:ext>
          </a:extLst>
        </xdr:cNvPr>
        <xdr:cNvSpPr txBox="1"/>
      </xdr:nvSpPr>
      <xdr:spPr>
        <a:xfrm>
          <a:off x="14925675" y="13868400"/>
          <a:ext cx="3124200" cy="314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Incremento de las ventas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pequeña mejora en el coste de ventas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Suben los alquileres, suben las ventas, es que hemos adquirido algun local nuevo, porIncremento de las ventas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pequeña mejora en el coste de ventas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Suben los alquileres, suben las ventas, es que hemos adquirido algun local nuevo, por debajo la media coste.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debajo la media coste.</a:t>
          </a:r>
          <a:r>
            <a:rPr lang="ca-ES"/>
            <a:t> </a:t>
          </a:r>
        </a:p>
        <a:p>
          <a:endParaRPr lang="ca-ES" sz="1100"/>
        </a:p>
        <a:p>
          <a:r>
            <a:rPr lang="ca-ES" sz="1100"/>
            <a:t>Mejoramos en las compra 1,82%</a:t>
          </a:r>
        </a:p>
        <a:p>
          <a:endParaRPr lang="ca-ES" sz="1100"/>
        </a:p>
        <a:p>
          <a:r>
            <a:rPr lang="ca-ES" sz="1100"/>
            <a:t>Aumenta salarios</a:t>
          </a:r>
        </a:p>
        <a:p>
          <a:endParaRPr lang="ca-ES" sz="1100"/>
        </a:p>
      </xdr:txBody>
    </xdr:sp>
    <xdr:clientData/>
  </xdr:twoCellAnchor>
  <xdr:oneCellAnchor>
    <xdr:from>
      <xdr:col>11</xdr:col>
      <xdr:colOff>104775</xdr:colOff>
      <xdr:row>88</xdr:row>
      <xdr:rowOff>142875</xdr:rowOff>
    </xdr:from>
    <xdr:ext cx="184731" cy="264560"/>
    <xdr:sp macro="" textlink="">
      <xdr:nvSpPr>
        <xdr:cNvPr id="4" name="QuadreDeText 3">
          <a:extLst>
            <a:ext uri="{FF2B5EF4-FFF2-40B4-BE49-F238E27FC236}">
              <a16:creationId xmlns:a16="http://schemas.microsoft.com/office/drawing/2014/main" id="{C102C2E1-1945-2085-6A25-439E8AE5C80E}"/>
            </a:ext>
          </a:extLst>
        </xdr:cNvPr>
        <xdr:cNvSpPr txBox="1"/>
      </xdr:nvSpPr>
      <xdr:spPr>
        <a:xfrm>
          <a:off x="15001875" y="17325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ca-ES" sz="1100"/>
        </a:p>
      </xdr:txBody>
    </xdr:sp>
    <xdr:clientData/>
  </xdr:oneCellAnchor>
  <xdr:twoCellAnchor>
    <xdr:from>
      <xdr:col>11</xdr:col>
      <xdr:colOff>104775</xdr:colOff>
      <xdr:row>88</xdr:row>
      <xdr:rowOff>85724</xdr:rowOff>
    </xdr:from>
    <xdr:to>
      <xdr:col>15</xdr:col>
      <xdr:colOff>28575</xdr:colOff>
      <xdr:row>124</xdr:row>
      <xdr:rowOff>180975</xdr:rowOff>
    </xdr:to>
    <xdr:sp macro="" textlink="">
      <xdr:nvSpPr>
        <xdr:cNvPr id="5" name="QuadreDeText 4">
          <a:extLst>
            <a:ext uri="{FF2B5EF4-FFF2-40B4-BE49-F238E27FC236}">
              <a16:creationId xmlns:a16="http://schemas.microsoft.com/office/drawing/2014/main" id="{0796A238-D617-52DE-9733-F6A89D27EE69}"/>
            </a:ext>
          </a:extLst>
        </xdr:cNvPr>
        <xdr:cNvSpPr txBox="1"/>
      </xdr:nvSpPr>
      <xdr:spPr>
        <a:xfrm>
          <a:off x="15001875" y="17268824"/>
          <a:ext cx="3086100" cy="6962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Crecimineto de activos,  mayores existencia, que es causa de un nueva</a:t>
          </a:r>
          <a:r>
            <a:rPr lang="ca-ES" sz="1100" baseline="0"/>
            <a:t> tienda, tener mas genero </a:t>
          </a:r>
          <a:endParaRPr lang="ca-ES" sz="1100"/>
        </a:p>
        <a:p>
          <a:r>
            <a:rPr lang="ca-ES" sz="1100"/>
            <a:t>Hemos aumentado en los deudores en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400.023,39   deudas comerciales esto implica que porcentual        400.023,39   </a:t>
          </a:r>
        </a:p>
        <a:p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mente tengamos menos</a:t>
          </a:r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efectivo.</a:t>
          </a:r>
        </a:p>
        <a:p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suma de las dos cosa han proivocado seguramente que hayamos tenido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Posiblemente hemos tenido que renegociar la deudas a l/p.</a:t>
          </a:r>
          <a:endParaRPr lang="ca-ES">
            <a:effectLst/>
          </a:endParaRPr>
        </a:p>
        <a:p>
          <a:endParaRPr lang="ca-E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Mayor % de deudores comerciales: Un aumento en el porcentaje de deudores comerciales puede significar que la empresa está extendiendo su crédito a los clientes, lo que puede afectar su flujo de efectivo y su necesidad de financiamiento adicional.</a:t>
          </a:r>
        </a:p>
        <a:p>
          <a:endParaRPr lang="ca-E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Aumento de existencias por apertura de nueva tienda: La apertura de una nueva tienda puede requerir un aumento en las existencias para satisfacer la demanda adicional, lo que podría implicar una inversión considerable en inventario.</a:t>
          </a:r>
        </a:p>
        <a:p>
          <a:endParaRPr lang="ca-E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Mayor deuda bancaria a largo plazo: La necesidad de financiar el aumento en los deudores comerciales y las existencias, especialmente debido a la apertura de una nueva tienda, podría llevar a la empresa a recurrir a una mayor deuda bancaria a largo plazo para financiar sus operaciones y expansión.</a:t>
          </a:r>
        </a:p>
        <a:p>
          <a:endParaRPr lang="ca-E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a-E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resumen, estos factores podrían estar relacionados con una mayor necesidad de financiamiento a largo plazo, lo que podría reflejarse en un aumento de la deuda bancaria a largo plazo.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topLeftCell="A71" workbookViewId="0">
      <selection activeCell="E92" sqref="E92"/>
    </sheetView>
  </sheetViews>
  <sheetFormatPr defaultColWidth="11.42578125" defaultRowHeight="15"/>
  <cols>
    <col min="1" max="1" width="43.28515625" bestFit="1" customWidth="1"/>
    <col min="2" max="2" width="17.7109375" customWidth="1"/>
    <col min="3" max="3" width="18.7109375" customWidth="1"/>
    <col min="5" max="5" width="43.28515625" bestFit="1" customWidth="1"/>
    <col min="6" max="6" width="18.42578125" customWidth="1"/>
    <col min="7" max="7" width="18.28515625" customWidth="1"/>
    <col min="8" max="9" width="14.7109375" bestFit="1" customWidth="1"/>
    <col min="14" max="14" width="13.140625" bestFit="1" customWidth="1"/>
  </cols>
  <sheetData>
    <row r="1" spans="1:9" ht="15.75" thickBot="1">
      <c r="A1" s="62" t="s">
        <v>0</v>
      </c>
      <c r="B1" s="62"/>
      <c r="E1" s="62" t="s">
        <v>1</v>
      </c>
      <c r="F1" s="62"/>
    </row>
    <row r="2" spans="1:9">
      <c r="A2" s="63" t="s">
        <v>2</v>
      </c>
      <c r="B2" s="65" t="s">
        <v>3</v>
      </c>
      <c r="E2" s="63" t="s">
        <v>2</v>
      </c>
      <c r="F2" s="65" t="s">
        <v>4</v>
      </c>
    </row>
    <row r="3" spans="1:9">
      <c r="A3" s="64"/>
      <c r="B3" s="66"/>
      <c r="E3" s="64"/>
      <c r="F3" s="66"/>
    </row>
    <row r="4" spans="1:9">
      <c r="A4" s="1" t="s">
        <v>5</v>
      </c>
      <c r="B4" s="2">
        <v>28640179.370000001</v>
      </c>
      <c r="E4" s="1" t="s">
        <v>5</v>
      </c>
      <c r="F4" s="2">
        <v>33078039.159999996</v>
      </c>
      <c r="G4" s="5">
        <f>(F4-B4)/B4</f>
        <v>0.15495223450480769</v>
      </c>
    </row>
    <row r="5" spans="1:9">
      <c r="A5" s="1" t="s">
        <v>6</v>
      </c>
      <c r="B5" s="2">
        <v>14137051.630000001</v>
      </c>
      <c r="C5" s="5">
        <f>B5/B4</f>
        <v>0.4936090464855214</v>
      </c>
      <c r="E5" s="1" t="s">
        <v>7</v>
      </c>
      <c r="F5" s="4">
        <v>16031268.082727101</v>
      </c>
      <c r="G5" s="5">
        <f>F5/F4</f>
        <v>0.48464989128234354</v>
      </c>
      <c r="H5" s="42">
        <f>G5-C5</f>
        <v>-8.9591552031778598E-3</v>
      </c>
      <c r="I5" s="42">
        <f>(H5/C5)*-1</f>
        <v>1.8150305929291049E-2</v>
      </c>
    </row>
    <row r="6" spans="1:9">
      <c r="A6" s="6" t="s">
        <v>8</v>
      </c>
      <c r="B6" s="7">
        <f>B4-B5</f>
        <v>14503127.74</v>
      </c>
      <c r="C6" s="5">
        <f>B6/B4</f>
        <v>0.5063909535144786</v>
      </c>
      <c r="E6" s="6" t="s">
        <v>8</v>
      </c>
      <c r="F6" s="7">
        <f>F4-F5</f>
        <v>17046771.077272896</v>
      </c>
      <c r="G6" s="5">
        <f>F6/F4</f>
        <v>0.51535010871765641</v>
      </c>
    </row>
    <row r="7" spans="1:9">
      <c r="A7" s="1" t="s">
        <v>9</v>
      </c>
      <c r="B7" s="2">
        <v>6202467.21</v>
      </c>
      <c r="C7" s="5">
        <f>B7/B4</f>
        <v>0.21656523619740164</v>
      </c>
      <c r="E7" s="1" t="s">
        <v>9</v>
      </c>
      <c r="F7" s="2">
        <v>7029790.4337999998</v>
      </c>
      <c r="G7" s="5">
        <f>F7/F4</f>
        <v>0.21252137709241409</v>
      </c>
      <c r="H7" s="35">
        <f>F7-B7</f>
        <v>827323.2237999998</v>
      </c>
    </row>
    <row r="8" spans="1:9">
      <c r="A8" s="1" t="s">
        <v>10</v>
      </c>
      <c r="B8" s="2">
        <v>3628919.8</v>
      </c>
      <c r="C8" s="5">
        <f>B8/$B$4</f>
        <v>0.12670730001786298</v>
      </c>
      <c r="E8" s="1" t="s">
        <v>10</v>
      </c>
      <c r="F8" s="2">
        <v>4098178.45205</v>
      </c>
      <c r="G8" s="5">
        <f>F8/$F$4</f>
        <v>0.12389423787265388</v>
      </c>
      <c r="H8" s="35">
        <f>F8-B8</f>
        <v>469258.65205000015</v>
      </c>
    </row>
    <row r="9" spans="1:9">
      <c r="A9" s="1" t="s">
        <v>11</v>
      </c>
      <c r="B9" s="2">
        <v>1884169.16</v>
      </c>
      <c r="C9" s="5">
        <f t="shared" ref="C9:C12" si="0">B9/$B$4</f>
        <v>6.5787617307090901E-2</v>
      </c>
      <c r="E9" s="1" t="s">
        <v>11</v>
      </c>
      <c r="F9" s="8">
        <v>2302560.63363592</v>
      </c>
      <c r="G9" s="5">
        <f t="shared" ref="G9:G12" si="1">F9/$F$4</f>
        <v>6.9609949444050426E-2</v>
      </c>
    </row>
    <row r="10" spans="1:9">
      <c r="A10" s="1" t="s">
        <v>12</v>
      </c>
      <c r="B10" s="2">
        <v>1152161.3400000001</v>
      </c>
      <c r="C10" s="5">
        <f t="shared" si="0"/>
        <v>4.0228845117040904E-2</v>
      </c>
      <c r="E10" s="1" t="s">
        <v>13</v>
      </c>
      <c r="F10" s="2">
        <v>1319499.1742539699</v>
      </c>
      <c r="G10" s="5">
        <f t="shared" si="1"/>
        <v>3.9890489513948871E-2</v>
      </c>
    </row>
    <row r="11" spans="1:9">
      <c r="A11" s="1" t="s">
        <v>14</v>
      </c>
      <c r="B11" s="2">
        <v>39331.269999999997</v>
      </c>
      <c r="C11" s="5">
        <f t="shared" si="0"/>
        <v>1.3732899327159485E-3</v>
      </c>
      <c r="E11" s="1" t="s">
        <v>15</v>
      </c>
      <c r="F11" s="2">
        <v>63924.74</v>
      </c>
      <c r="G11" s="5">
        <f t="shared" si="1"/>
        <v>1.9325432106417522E-3</v>
      </c>
    </row>
    <row r="12" spans="1:9" ht="15.75" thickBot="1">
      <c r="A12" s="9" t="s">
        <v>16</v>
      </c>
      <c r="B12" s="10">
        <f>B6-SUM(B7:B11)</f>
        <v>1596078.9600000009</v>
      </c>
      <c r="C12" s="5">
        <f t="shared" si="0"/>
        <v>5.5728664942366272E-2</v>
      </c>
      <c r="E12" s="9" t="s">
        <v>16</v>
      </c>
      <c r="F12" s="10">
        <f>F6-SUM(F7:F11)</f>
        <v>2232817.6435330063</v>
      </c>
      <c r="G12" s="5">
        <f t="shared" si="1"/>
        <v>6.7501511583947418E-2</v>
      </c>
    </row>
    <row r="13" spans="1:9">
      <c r="A13" s="1" t="s">
        <v>62</v>
      </c>
      <c r="B13" s="2">
        <f>B12*0.25</f>
        <v>399019.74000000022</v>
      </c>
      <c r="C13" s="3"/>
      <c r="E13" s="1" t="s">
        <v>62</v>
      </c>
      <c r="F13" s="2">
        <f>F12*0.25</f>
        <v>558204.41088325158</v>
      </c>
      <c r="G13" s="5">
        <f>F13/F12</f>
        <v>0.25</v>
      </c>
    </row>
    <row r="14" spans="1:9">
      <c r="A14" s="32" t="s">
        <v>63</v>
      </c>
      <c r="B14" s="17">
        <f>B12-B13</f>
        <v>1197059.2200000007</v>
      </c>
      <c r="C14" s="5">
        <f t="shared" ref="C14" si="2">B14/$B$4</f>
        <v>4.179649870677471E-2</v>
      </c>
      <c r="E14" s="32" t="s">
        <v>63</v>
      </c>
      <c r="F14" s="17">
        <f>F12-F13</f>
        <v>1674613.2326497547</v>
      </c>
      <c r="G14" s="5">
        <f t="shared" ref="G14" si="3">F14/$F$4</f>
        <v>5.0626133687960567E-2</v>
      </c>
    </row>
    <row r="16" spans="1:9" ht="15.75" thickBot="1"/>
    <row r="17" spans="1:14">
      <c r="A17" s="11" t="s">
        <v>17</v>
      </c>
      <c r="B17" s="60" t="s">
        <v>3</v>
      </c>
      <c r="C17" s="61"/>
      <c r="E17" s="11" t="s">
        <v>17</v>
      </c>
      <c r="F17" s="60" t="s">
        <v>18</v>
      </c>
      <c r="G17" s="61"/>
    </row>
    <row r="18" spans="1:14">
      <c r="A18" s="12" t="s">
        <v>19</v>
      </c>
      <c r="B18" s="13"/>
      <c r="C18" s="14">
        <f>SUM(B19:B23)</f>
        <v>11659655.24</v>
      </c>
      <c r="E18" s="12" t="s">
        <v>19</v>
      </c>
      <c r="F18" s="13"/>
      <c r="G18" s="14">
        <f>SUM(F19:F23)</f>
        <v>13296782.57</v>
      </c>
      <c r="H18" s="5">
        <f>(G18-C18)/C18</f>
        <v>0.14040958298523415</v>
      </c>
    </row>
    <row r="19" spans="1:14">
      <c r="A19" s="1" t="s">
        <v>20</v>
      </c>
      <c r="B19" s="15">
        <v>8266139.120000001</v>
      </c>
      <c r="C19" s="2"/>
      <c r="D19" s="5">
        <f>B19/$C$18</f>
        <v>0.70895227601944089</v>
      </c>
      <c r="E19" s="1" t="s">
        <v>20</v>
      </c>
      <c r="F19" s="15">
        <v>9288491.040000001</v>
      </c>
      <c r="G19" s="2"/>
      <c r="H19" s="5">
        <f>F19/$G$18</f>
        <v>0.69855177303993476</v>
      </c>
      <c r="I19" s="35">
        <f>F19-B19</f>
        <v>1022351.9199999999</v>
      </c>
    </row>
    <row r="20" spans="1:14">
      <c r="A20" s="1" t="s">
        <v>21</v>
      </c>
      <c r="B20" s="15">
        <v>245324.61</v>
      </c>
      <c r="C20" s="2"/>
      <c r="D20" s="5">
        <f t="shared" ref="D20:D23" si="4">B20/$C$18</f>
        <v>2.1040468603083669E-2</v>
      </c>
      <c r="E20" s="1" t="s">
        <v>21</v>
      </c>
      <c r="F20" s="15">
        <v>645348</v>
      </c>
      <c r="G20" s="2"/>
      <c r="H20" s="5">
        <f t="shared" ref="H20:H23" si="5">F20/$G$18</f>
        <v>4.8534147009068523E-2</v>
      </c>
      <c r="I20" s="35">
        <f t="shared" ref="I20:I23" si="6">F20-B20</f>
        <v>400023.39</v>
      </c>
      <c r="J20" s="42">
        <f>(H20-D20)/D20</f>
        <v>1.306704661604134</v>
      </c>
      <c r="K20" s="58" t="s">
        <v>83</v>
      </c>
      <c r="L20" s="58"/>
      <c r="M20" s="58" t="s">
        <v>84</v>
      </c>
      <c r="N20" s="58"/>
    </row>
    <row r="21" spans="1:14">
      <c r="A21" s="1" t="s">
        <v>22</v>
      </c>
      <c r="B21" s="15">
        <v>1595202.28</v>
      </c>
      <c r="C21" s="2"/>
      <c r="D21" s="5">
        <f t="shared" si="4"/>
        <v>0.13681384630717436</v>
      </c>
      <c r="E21" s="1" t="s">
        <v>22</v>
      </c>
      <c r="F21" s="15">
        <v>1836997.8599999999</v>
      </c>
      <c r="G21" s="2"/>
      <c r="H21" s="5">
        <f t="shared" si="5"/>
        <v>0.13815356085799332</v>
      </c>
      <c r="I21" s="35">
        <f t="shared" si="6"/>
        <v>241795.57999999984</v>
      </c>
    </row>
    <row r="22" spans="1:14">
      <c r="A22" s="1" t="s">
        <v>23</v>
      </c>
      <c r="B22" s="15">
        <v>184024.5</v>
      </c>
      <c r="C22" s="2"/>
      <c r="D22" s="5">
        <f t="shared" si="4"/>
        <v>1.5783013838066108E-2</v>
      </c>
      <c r="E22" s="1" t="s">
        <v>23</v>
      </c>
      <c r="F22" s="15">
        <v>184024.5</v>
      </c>
      <c r="G22" s="2"/>
      <c r="H22" s="5">
        <f t="shared" si="5"/>
        <v>1.3839776579876796E-2</v>
      </c>
      <c r="I22" s="35">
        <f t="shared" si="6"/>
        <v>0</v>
      </c>
    </row>
    <row r="23" spans="1:14">
      <c r="A23" s="1" t="s">
        <v>24</v>
      </c>
      <c r="B23" s="15">
        <v>1368964.7300000002</v>
      </c>
      <c r="C23" s="2"/>
      <c r="D23" s="5">
        <f t="shared" si="4"/>
        <v>0.11741039523223502</v>
      </c>
      <c r="E23" s="1" t="s">
        <v>24</v>
      </c>
      <c r="F23" s="15">
        <v>1341921.17</v>
      </c>
      <c r="G23" s="2"/>
      <c r="H23" s="5">
        <f t="shared" si="5"/>
        <v>0.1009207425131266</v>
      </c>
      <c r="I23" s="35">
        <f t="shared" si="6"/>
        <v>-27043.560000000289</v>
      </c>
      <c r="J23" s="42">
        <f>(H23-D23)/D23</f>
        <v>-0.14044457210532568</v>
      </c>
      <c r="K23" s="58" t="s">
        <v>85</v>
      </c>
      <c r="L23" s="58"/>
      <c r="M23" s="58"/>
    </row>
    <row r="24" spans="1:14">
      <c r="A24" s="12" t="s">
        <v>25</v>
      </c>
      <c r="B24" s="13"/>
      <c r="C24" s="14">
        <f>SUM(B25:B29)</f>
        <v>10960785.169999996</v>
      </c>
      <c r="E24" s="12" t="s">
        <v>25</v>
      </c>
      <c r="F24" s="13"/>
      <c r="G24" s="14">
        <f>SUM(F25:F29)</f>
        <v>11178250.239999998</v>
      </c>
      <c r="H24" s="5">
        <f>(G24-C24)/C24</f>
        <v>1.9840282117307682E-2</v>
      </c>
      <c r="K24" t="s">
        <v>86</v>
      </c>
    </row>
    <row r="25" spans="1:14">
      <c r="A25" s="1" t="s">
        <v>26</v>
      </c>
      <c r="B25" s="15">
        <v>1017633.2</v>
      </c>
      <c r="C25" s="2"/>
      <c r="D25" s="5">
        <f>B25/$C$24</f>
        <v>9.2843093283617409E-2</v>
      </c>
      <c r="E25" s="1" t="s">
        <v>26</v>
      </c>
      <c r="F25" s="15">
        <v>1017633.2</v>
      </c>
      <c r="G25" s="2"/>
      <c r="H25" s="5">
        <f>F25/$G$24</f>
        <v>9.1036895591988479E-2</v>
      </c>
    </row>
    <row r="26" spans="1:14">
      <c r="A26" s="1" t="s">
        <v>27</v>
      </c>
      <c r="B26" s="15">
        <v>8879489.2999999989</v>
      </c>
      <c r="C26" s="2"/>
      <c r="D26" s="5">
        <f t="shared" ref="D26:D29" si="7">B26/$C$24</f>
        <v>0.81011434512040548</v>
      </c>
      <c r="E26" s="1" t="s">
        <v>27</v>
      </c>
      <c r="F26" s="15">
        <v>9096954.370000001</v>
      </c>
      <c r="G26" s="2"/>
      <c r="H26" s="5">
        <f t="shared" ref="H26:H29" si="8">F26/$G$24</f>
        <v>0.81380843823371074</v>
      </c>
    </row>
    <row r="27" spans="1:14">
      <c r="A27" s="1" t="s">
        <v>28</v>
      </c>
      <c r="B27" s="15">
        <v>155818.53999999998</v>
      </c>
      <c r="C27" s="2"/>
      <c r="D27" s="5">
        <f t="shared" si="7"/>
        <v>1.4216001644342058E-2</v>
      </c>
      <c r="E27" s="1" t="s">
        <v>28</v>
      </c>
      <c r="F27" s="15">
        <v>155818.53999999998</v>
      </c>
      <c r="G27" s="2"/>
      <c r="H27" s="5">
        <f t="shared" si="8"/>
        <v>1.3939439237316626E-2</v>
      </c>
    </row>
    <row r="28" spans="1:14">
      <c r="A28" s="1" t="s">
        <v>29</v>
      </c>
      <c r="B28" s="15">
        <v>657101.6</v>
      </c>
      <c r="C28" s="2"/>
      <c r="D28" s="5">
        <f t="shared" si="7"/>
        <v>5.9950230736982885E-2</v>
      </c>
      <c r="E28" s="1" t="s">
        <v>29</v>
      </c>
      <c r="F28" s="15">
        <v>657101.6</v>
      </c>
      <c r="G28" s="2"/>
      <c r="H28" s="5">
        <f t="shared" si="8"/>
        <v>5.878394076817519E-2</v>
      </c>
    </row>
    <row r="29" spans="1:14">
      <c r="A29" s="1" t="s">
        <v>30</v>
      </c>
      <c r="B29" s="15">
        <v>250742.53</v>
      </c>
      <c r="C29" s="2"/>
      <c r="D29" s="5">
        <f t="shared" si="7"/>
        <v>2.2876329214652429E-2</v>
      </c>
      <c r="E29" s="1" t="s">
        <v>30</v>
      </c>
      <c r="F29" s="15">
        <v>250742.53</v>
      </c>
      <c r="G29" s="2"/>
      <c r="H29" s="5">
        <f t="shared" si="8"/>
        <v>2.2431286168809194E-2</v>
      </c>
    </row>
    <row r="30" spans="1:14">
      <c r="A30" s="16" t="s">
        <v>31</v>
      </c>
      <c r="B30" s="17"/>
      <c r="C30" s="18">
        <f>C18+C24</f>
        <v>22620440.409999996</v>
      </c>
      <c r="E30" s="16" t="s">
        <v>31</v>
      </c>
      <c r="F30" s="17"/>
      <c r="G30" s="18">
        <f>G18+G24</f>
        <v>24475032.809999999</v>
      </c>
    </row>
    <row r="31" spans="1:14">
      <c r="A31" s="12" t="s">
        <v>32</v>
      </c>
      <c r="B31" s="13"/>
      <c r="C31" s="14">
        <f>SUM(B32:B34)</f>
        <v>13891676.610000001</v>
      </c>
      <c r="D31" s="3"/>
      <c r="E31" s="12" t="s">
        <v>32</v>
      </c>
      <c r="F31" s="13"/>
      <c r="G31" s="14">
        <f>SUM(F32:F34)</f>
        <v>14848054.310649754</v>
      </c>
    </row>
    <row r="32" spans="1:14">
      <c r="A32" s="1" t="s">
        <v>59</v>
      </c>
      <c r="B32" s="33">
        <v>200000</v>
      </c>
      <c r="C32" s="34"/>
      <c r="D32" s="3"/>
      <c r="E32" s="1" t="s">
        <v>59</v>
      </c>
      <c r="F32" s="33">
        <v>200000</v>
      </c>
      <c r="G32" s="34"/>
    </row>
    <row r="33" spans="1:11">
      <c r="A33" s="1" t="s">
        <v>60</v>
      </c>
      <c r="B33" s="33">
        <v>12494617.390000001</v>
      </c>
      <c r="C33" s="34"/>
      <c r="D33" s="3"/>
      <c r="E33" s="1" t="s">
        <v>60</v>
      </c>
      <c r="F33" s="33">
        <f>B33+B34*0.4</f>
        <v>12973441.078</v>
      </c>
      <c r="G33" s="34"/>
    </row>
    <row r="34" spans="1:11">
      <c r="A34" s="1" t="s">
        <v>61</v>
      </c>
      <c r="B34" s="33">
        <v>1197059.22</v>
      </c>
      <c r="C34" s="34"/>
      <c r="D34" s="3"/>
      <c r="E34" s="1" t="s">
        <v>61</v>
      </c>
      <c r="F34" s="33">
        <f>F14</f>
        <v>1674613.2326497547</v>
      </c>
      <c r="G34" s="34"/>
    </row>
    <row r="35" spans="1:11">
      <c r="A35" s="12" t="s">
        <v>33</v>
      </c>
      <c r="B35" s="13"/>
      <c r="C35" s="14">
        <f>SUM(B36:B38)</f>
        <v>4923102.63</v>
      </c>
      <c r="D35" s="3"/>
      <c r="E35" s="12" t="s">
        <v>33</v>
      </c>
      <c r="F35" s="13"/>
      <c r="G35" s="14">
        <f>SUM(F36:F38)</f>
        <v>4009325.16</v>
      </c>
    </row>
    <row r="36" spans="1:11">
      <c r="A36" s="1" t="s">
        <v>34</v>
      </c>
      <c r="B36" s="15">
        <v>11488.3</v>
      </c>
      <c r="C36" s="2"/>
      <c r="D36" s="5"/>
      <c r="E36" s="1" t="s">
        <v>34</v>
      </c>
      <c r="F36" s="15">
        <v>11488.3</v>
      </c>
      <c r="G36" s="2"/>
    </row>
    <row r="37" spans="1:11">
      <c r="A37" s="1" t="s">
        <v>35</v>
      </c>
      <c r="B37" s="15">
        <v>2517559.29</v>
      </c>
      <c r="C37" s="2"/>
      <c r="D37" s="59">
        <f>B37/C35</f>
        <v>0.51137656051667568</v>
      </c>
      <c r="E37" s="1" t="s">
        <v>35</v>
      </c>
      <c r="F37" s="15">
        <v>2194188.83</v>
      </c>
      <c r="G37" s="2"/>
      <c r="H37" s="5">
        <f>F37/G35</f>
        <v>0.54727135925288728</v>
      </c>
      <c r="I37" s="35">
        <f>F37-B37</f>
        <v>-323370.45999999996</v>
      </c>
      <c r="J37" s="42">
        <f>H37-D37</f>
        <v>3.5894798736211597E-2</v>
      </c>
      <c r="K37" s="42">
        <f>J37/D37</f>
        <v>7.019249904599624E-2</v>
      </c>
    </row>
    <row r="38" spans="1:11">
      <c r="A38" s="1" t="s">
        <v>36</v>
      </c>
      <c r="B38" s="15">
        <v>2394055.04</v>
      </c>
      <c r="C38" s="2"/>
      <c r="D38" s="5"/>
      <c r="E38" s="1" t="s">
        <v>36</v>
      </c>
      <c r="F38" s="15">
        <v>1803648.03</v>
      </c>
      <c r="G38" s="2"/>
    </row>
    <row r="39" spans="1:11">
      <c r="A39" s="12" t="s">
        <v>37</v>
      </c>
      <c r="B39" s="13"/>
      <c r="C39" s="14">
        <f>SUM(B40)</f>
        <v>3805661.17</v>
      </c>
      <c r="D39" s="5">
        <f>C39/C41</f>
        <v>0.16823992376017577</v>
      </c>
      <c r="E39" s="12" t="s">
        <v>37</v>
      </c>
      <c r="F39" s="13"/>
      <c r="G39" s="14">
        <f>SUM(F40)</f>
        <v>5617653.3399999999</v>
      </c>
      <c r="H39" s="5">
        <f>G39/G41</f>
        <v>0.229525875755133</v>
      </c>
      <c r="I39" s="35">
        <f>G39-C39</f>
        <v>1811992.17</v>
      </c>
      <c r="J39" s="42">
        <f>H39-D39</f>
        <v>6.1285951994957233E-2</v>
      </c>
      <c r="K39" s="42">
        <f>J39/D39</f>
        <v>0.36427710275427672</v>
      </c>
    </row>
    <row r="40" spans="1:11">
      <c r="A40" s="1" t="s">
        <v>38</v>
      </c>
      <c r="B40" s="15">
        <v>3805661.17</v>
      </c>
      <c r="C40" s="2"/>
      <c r="E40" s="1" t="s">
        <v>38</v>
      </c>
      <c r="F40" s="15">
        <v>5617653.3399999999</v>
      </c>
      <c r="G40" s="2"/>
      <c r="H40" t="s">
        <v>87</v>
      </c>
    </row>
    <row r="41" spans="1:11" ht="15.75" thickBot="1">
      <c r="A41" s="9" t="s">
        <v>39</v>
      </c>
      <c r="B41" s="19"/>
      <c r="C41" s="10">
        <f>C31+C35+C39</f>
        <v>22620440.410000004</v>
      </c>
      <c r="E41" s="9" t="s">
        <v>39</v>
      </c>
      <c r="F41" s="19"/>
      <c r="G41" s="10">
        <f>G31+G35+G39</f>
        <v>24475032.810649756</v>
      </c>
    </row>
    <row r="43" spans="1:11">
      <c r="A43" s="20" t="s">
        <v>58</v>
      </c>
      <c r="G43" s="35"/>
    </row>
    <row r="45" spans="1:11">
      <c r="A45" s="20" t="s">
        <v>40</v>
      </c>
      <c r="B45" s="21"/>
    </row>
    <row r="46" spans="1:11" ht="30.75" thickBot="1">
      <c r="B46" s="21"/>
      <c r="E46" s="71" t="s">
        <v>65</v>
      </c>
      <c r="F46" s="71" t="s">
        <v>66</v>
      </c>
      <c r="G46" s="71" t="s">
        <v>67</v>
      </c>
      <c r="H46" s="71" t="s">
        <v>68</v>
      </c>
      <c r="I46" s="71" t="s">
        <v>69</v>
      </c>
    </row>
    <row r="47" spans="1:11" ht="15.75">
      <c r="A47" s="22" t="s">
        <v>41</v>
      </c>
      <c r="B47" s="23">
        <f>F14</f>
        <v>1674613.2326497547</v>
      </c>
      <c r="D47" s="70"/>
      <c r="E47" s="69" t="s">
        <v>70</v>
      </c>
      <c r="F47" s="36">
        <f>F37+F40</f>
        <v>7811842.1699999999</v>
      </c>
      <c r="G47" s="37">
        <f>F47/F49</f>
        <v>0.34474306520644799</v>
      </c>
      <c r="H47" s="37">
        <f>F50*(1-0.25)</f>
        <v>6.1372918137182486E-3</v>
      </c>
      <c r="I47" s="37">
        <f>G47*H47</f>
        <v>2.1157887919276697E-3</v>
      </c>
    </row>
    <row r="48" spans="1:11" ht="16.5" thickBot="1">
      <c r="A48" s="1" t="s">
        <v>42</v>
      </c>
      <c r="B48" s="2">
        <f>B47*0.4</f>
        <v>669845.29305990192</v>
      </c>
      <c r="D48" s="70"/>
      <c r="E48" s="69" t="s">
        <v>71</v>
      </c>
      <c r="F48" s="38">
        <f>G31</f>
        <v>14848054.310649754</v>
      </c>
      <c r="G48" s="39">
        <f>F48/F49</f>
        <v>0.65525693479355196</v>
      </c>
      <c r="H48" s="39">
        <f>F55</f>
        <v>6.7670007030428483E-2</v>
      </c>
      <c r="I48" s="39">
        <f>G48*H48</f>
        <v>4.4341241384216683E-2</v>
      </c>
    </row>
    <row r="49" spans="1:10" ht="16.5" thickBot="1">
      <c r="A49" s="1" t="s">
        <v>43</v>
      </c>
      <c r="B49" s="2">
        <f>B47*0.6</f>
        <v>1004767.9395898528</v>
      </c>
      <c r="D49" s="70"/>
      <c r="E49" s="69"/>
      <c r="F49" s="36">
        <f>F47+F48</f>
        <v>22659896.480649754</v>
      </c>
      <c r="G49" s="40">
        <f>G47+G48</f>
        <v>1</v>
      </c>
      <c r="H49" s="41"/>
      <c r="I49" s="68">
        <f>I47+I48</f>
        <v>4.6457030176144352E-2</v>
      </c>
      <c r="J49" t="s">
        <v>78</v>
      </c>
    </row>
    <row r="50" spans="1:10" ht="15.75">
      <c r="A50" s="1"/>
      <c r="B50" s="2"/>
      <c r="D50" s="70"/>
      <c r="E50" s="69" t="s">
        <v>72</v>
      </c>
      <c r="F50" s="37">
        <f>F51/F47</f>
        <v>8.1830557516243321E-3</v>
      </c>
    </row>
    <row r="51" spans="1:10" ht="15.75">
      <c r="A51" s="1" t="s">
        <v>44</v>
      </c>
      <c r="B51" s="24">
        <f>H47</f>
        <v>6.1372918137182486E-3</v>
      </c>
      <c r="D51" s="70"/>
      <c r="E51" s="69" t="s">
        <v>73</v>
      </c>
      <c r="F51" s="36">
        <f>F11</f>
        <v>63924.74</v>
      </c>
    </row>
    <row r="52" spans="1:10" ht="15.75">
      <c r="A52" s="1" t="s">
        <v>45</v>
      </c>
      <c r="B52" s="2">
        <f>F47</f>
        <v>7811842.1699999999</v>
      </c>
      <c r="D52" s="70"/>
      <c r="E52" s="69" t="s">
        <v>74</v>
      </c>
      <c r="F52" s="67">
        <f>F53/F54</f>
        <v>0.25</v>
      </c>
    </row>
    <row r="53" spans="1:10" ht="15.75">
      <c r="A53" s="1" t="s">
        <v>46</v>
      </c>
      <c r="B53" s="24">
        <f>H48</f>
        <v>6.7670007030428483E-2</v>
      </c>
      <c r="D53" s="70"/>
      <c r="E53" s="69" t="s">
        <v>75</v>
      </c>
      <c r="F53" s="36">
        <f>F13</f>
        <v>558204.41088325158</v>
      </c>
    </row>
    <row r="54" spans="1:10" ht="15.75">
      <c r="A54" s="1" t="s">
        <v>47</v>
      </c>
      <c r="B54" s="2">
        <f>F48</f>
        <v>14848054.310649754</v>
      </c>
      <c r="D54" s="70"/>
      <c r="E54" s="69" t="s">
        <v>16</v>
      </c>
      <c r="F54" s="36">
        <f>F12</f>
        <v>2232817.6435330063</v>
      </c>
    </row>
    <row r="55" spans="1:10" ht="15.75">
      <c r="A55" s="1"/>
      <c r="B55" s="2"/>
      <c r="D55" s="70"/>
      <c r="E55" s="69" t="s">
        <v>76</v>
      </c>
      <c r="F55" s="37">
        <f>F56/F48</f>
        <v>6.7670007030428483E-2</v>
      </c>
    </row>
    <row r="56" spans="1:10" ht="15.75">
      <c r="A56" s="1" t="s">
        <v>48</v>
      </c>
      <c r="B56" s="24">
        <f>B53*B54/(B54+B52)</f>
        <v>4.4341241384216683E-2</v>
      </c>
      <c r="D56" s="70"/>
      <c r="E56" s="69" t="s">
        <v>77</v>
      </c>
      <c r="F56" s="36">
        <f>B49</f>
        <v>1004767.9395898528</v>
      </c>
    </row>
    <row r="57" spans="1:10">
      <c r="A57" s="1" t="s">
        <v>49</v>
      </c>
      <c r="B57" s="24">
        <f>B51*B52/(B54+B52)</f>
        <v>2.1157887919276697E-3</v>
      </c>
    </row>
    <row r="58" spans="1:10">
      <c r="A58" s="1"/>
      <c r="B58" s="2"/>
    </row>
    <row r="59" spans="1:10" ht="15.75" thickBot="1">
      <c r="A59" s="1"/>
      <c r="B59" s="2"/>
    </row>
    <row r="60" spans="1:10" ht="15.75" thickBot="1">
      <c r="A60" s="25" t="s">
        <v>50</v>
      </c>
      <c r="B60" s="73">
        <f>B56+B57</f>
        <v>4.6457030176144352E-2</v>
      </c>
    </row>
    <row r="64" spans="1:10">
      <c r="A64" s="20" t="s">
        <v>51</v>
      </c>
      <c r="B64" s="21"/>
    </row>
    <row r="65" spans="1:9" ht="15.75" thickBot="1">
      <c r="A65" s="20"/>
      <c r="B65" s="21"/>
    </row>
    <row r="66" spans="1:9">
      <c r="A66" s="22" t="s">
        <v>52</v>
      </c>
      <c r="B66" s="23">
        <f>G24</f>
        <v>11178250.239999998</v>
      </c>
      <c r="E66" t="s">
        <v>79</v>
      </c>
      <c r="F66" s="35">
        <f>F19+F20+F22+F23</f>
        <v>11459784.710000001</v>
      </c>
    </row>
    <row r="67" spans="1:9">
      <c r="A67" s="1" t="s">
        <v>53</v>
      </c>
      <c r="B67" s="2">
        <f>F66-F67</f>
        <v>9644648.3800000008</v>
      </c>
      <c r="E67" t="s">
        <v>80</v>
      </c>
      <c r="F67" s="35">
        <f>F36+F38</f>
        <v>1815136.33</v>
      </c>
    </row>
    <row r="68" spans="1:9">
      <c r="A68" s="1" t="s">
        <v>64</v>
      </c>
      <c r="B68" s="2">
        <f>F21</f>
        <v>1836997.8599999999</v>
      </c>
    </row>
    <row r="69" spans="1:9">
      <c r="A69" s="27" t="s">
        <v>54</v>
      </c>
      <c r="B69" s="28">
        <f>B66+B67+B68</f>
        <v>22659896.479999997</v>
      </c>
      <c r="E69" t="s">
        <v>88</v>
      </c>
      <c r="F69" s="21">
        <v>6323220.46</v>
      </c>
      <c r="G69" s="2">
        <v>7811842.1699999999</v>
      </c>
      <c r="H69" s="35">
        <f>G69-F69</f>
        <v>1488621.71</v>
      </c>
      <c r="I69" s="5">
        <f>H69/F69</f>
        <v>0.23542144693781561</v>
      </c>
    </row>
    <row r="70" spans="1:9">
      <c r="A70" s="27"/>
      <c r="B70" s="2"/>
      <c r="E70" t="s">
        <v>44</v>
      </c>
      <c r="F70" s="5">
        <v>5.1700000000000003E-2</v>
      </c>
      <c r="G70" s="5">
        <v>6.7699999999999996E-2</v>
      </c>
      <c r="H70" s="5">
        <f>G70-F70</f>
        <v>1.5999999999999993E-2</v>
      </c>
      <c r="I70" s="5">
        <f>H70/F70</f>
        <v>0.30947775628626678</v>
      </c>
    </row>
    <row r="71" spans="1:9">
      <c r="A71" s="1" t="s">
        <v>55</v>
      </c>
      <c r="B71" s="2">
        <f>F12+F11</f>
        <v>2296742.3835330065</v>
      </c>
      <c r="F71" t="s">
        <v>89</v>
      </c>
    </row>
    <row r="72" spans="1:9">
      <c r="A72" s="27" t="s">
        <v>56</v>
      </c>
      <c r="B72" s="29">
        <f>B71*(1-F52)/B69</f>
        <v>7.6017857767801914E-2</v>
      </c>
    </row>
    <row r="73" spans="1:9">
      <c r="A73" s="1"/>
      <c r="B73" s="2"/>
      <c r="F73" t="s">
        <v>90</v>
      </c>
    </row>
    <row r="74" spans="1:9">
      <c r="A74" s="1" t="s">
        <v>41</v>
      </c>
      <c r="B74" s="2">
        <v>1674613.2326497547</v>
      </c>
      <c r="F74" t="s">
        <v>91</v>
      </c>
    </row>
    <row r="75" spans="1:9">
      <c r="A75" s="1" t="s">
        <v>42</v>
      </c>
      <c r="B75" s="2">
        <v>669845.29305990192</v>
      </c>
      <c r="F75" t="s">
        <v>92</v>
      </c>
    </row>
    <row r="76" spans="1:9">
      <c r="A76" s="1" t="s">
        <v>43</v>
      </c>
      <c r="B76" s="2">
        <v>1004767.9395898528</v>
      </c>
      <c r="F76" t="s">
        <v>93</v>
      </c>
    </row>
    <row r="77" spans="1:9">
      <c r="A77" s="1"/>
      <c r="B77" s="2"/>
      <c r="F77" t="s">
        <v>94</v>
      </c>
    </row>
    <row r="78" spans="1:9">
      <c r="A78" s="1" t="s">
        <v>44</v>
      </c>
      <c r="B78" s="24">
        <v>6.1372918137182486E-3</v>
      </c>
      <c r="F78" t="s">
        <v>95</v>
      </c>
    </row>
    <row r="79" spans="1:9">
      <c r="A79" s="1" t="s">
        <v>45</v>
      </c>
      <c r="B79" s="2">
        <v>7811842.1699999999</v>
      </c>
      <c r="F79" t="s">
        <v>96</v>
      </c>
    </row>
    <row r="80" spans="1:9">
      <c r="A80" s="1" t="s">
        <v>46</v>
      </c>
      <c r="B80" s="24">
        <v>6.7670007030428483E-2</v>
      </c>
      <c r="F80" t="s">
        <v>97</v>
      </c>
    </row>
    <row r="81" spans="1:8">
      <c r="A81" s="1" t="s">
        <v>47</v>
      </c>
      <c r="B81" s="2">
        <v>14848054.310649754</v>
      </c>
    </row>
    <row r="82" spans="1:8">
      <c r="A82" s="1"/>
      <c r="B82" s="2"/>
    </row>
    <row r="83" spans="1:8">
      <c r="A83" s="1" t="s">
        <v>48</v>
      </c>
      <c r="B83" s="24">
        <v>4.4341241384216683E-2</v>
      </c>
      <c r="E83" t="s">
        <v>98</v>
      </c>
    </row>
    <row r="84" spans="1:8">
      <c r="A84" s="1" t="s">
        <v>49</v>
      </c>
      <c r="B84" s="24">
        <v>2.1157887919276697E-3</v>
      </c>
      <c r="E84" t="s">
        <v>99</v>
      </c>
      <c r="F84" t="s">
        <v>100</v>
      </c>
    </row>
    <row r="85" spans="1:8">
      <c r="A85" s="1"/>
      <c r="B85" s="2"/>
      <c r="E85" s="35">
        <f>B79+B81</f>
        <v>22659896.480649754</v>
      </c>
      <c r="F85" s="35">
        <f>13891676.61+F69</f>
        <v>20214897.07</v>
      </c>
    </row>
    <row r="86" spans="1:8" ht="15.75" thickBot="1">
      <c r="A86" s="1"/>
      <c r="B86" s="2"/>
      <c r="E86" s="5">
        <f>B79/E85</f>
        <v>0.34474306520644799</v>
      </c>
      <c r="F86" s="5">
        <f>F69/F85</f>
        <v>0.31280003247624749</v>
      </c>
      <c r="G86" s="42">
        <f>E86-F86</f>
        <v>3.1943032730200493E-2</v>
      </c>
      <c r="H86" t="s">
        <v>101</v>
      </c>
    </row>
    <row r="87" spans="1:8" ht="15.75" thickBot="1">
      <c r="A87" s="30" t="s">
        <v>50</v>
      </c>
      <c r="B87" s="26">
        <f>B83+B84</f>
        <v>4.6457030176144352E-2</v>
      </c>
    </row>
    <row r="88" spans="1:8" ht="15.75" thickBot="1">
      <c r="A88" s="1"/>
      <c r="B88" s="2"/>
    </row>
    <row r="89" spans="1:8" ht="15.75" thickBot="1">
      <c r="A89" s="31" t="s">
        <v>57</v>
      </c>
      <c r="B89" s="72">
        <f>B69*(B72-B87)</f>
        <v>669845.29309008794</v>
      </c>
    </row>
    <row r="90" spans="1:8" ht="15.75" thickBot="1"/>
    <row r="91" spans="1:8">
      <c r="A91" s="43" t="s">
        <v>81</v>
      </c>
      <c r="B91" s="44" t="s">
        <v>78</v>
      </c>
      <c r="C91" s="45">
        <v>3.6999999999999998E-2</v>
      </c>
      <c r="D91" s="46"/>
    </row>
    <row r="92" spans="1:8">
      <c r="A92" s="47"/>
      <c r="B92" s="48"/>
      <c r="C92" s="48"/>
      <c r="D92" s="49"/>
    </row>
    <row r="93" spans="1:8">
      <c r="A93" s="50" t="s">
        <v>82</v>
      </c>
      <c r="B93" s="48" t="s">
        <v>57</v>
      </c>
      <c r="C93" s="51">
        <v>478606.48</v>
      </c>
      <c r="D93" s="49"/>
    </row>
    <row r="94" spans="1:8">
      <c r="A94" s="47"/>
      <c r="B94" s="48"/>
      <c r="C94" s="48"/>
      <c r="D94" s="49"/>
    </row>
    <row r="95" spans="1:8">
      <c r="A95" s="50" t="s">
        <v>58</v>
      </c>
      <c r="B95" s="48" t="s">
        <v>78</v>
      </c>
      <c r="C95" s="52">
        <v>4.65E-2</v>
      </c>
      <c r="D95" s="53">
        <f>(C95-C91)/C91</f>
        <v>0.2567567567567568</v>
      </c>
    </row>
    <row r="96" spans="1:8" ht="15.75" thickBot="1">
      <c r="A96" s="54"/>
      <c r="B96" s="55" t="s">
        <v>57</v>
      </c>
      <c r="C96" s="57">
        <v>669845.29309008794</v>
      </c>
      <c r="D96" s="56">
        <f>(C96-C93)/C93</f>
        <v>0.39957422450713154</v>
      </c>
    </row>
  </sheetData>
  <mergeCells count="8">
    <mergeCell ref="B17:C17"/>
    <mergeCell ref="F17:G17"/>
    <mergeCell ref="A1:B1"/>
    <mergeCell ref="E1:F1"/>
    <mergeCell ref="A2:A3"/>
    <mergeCell ref="B2:B3"/>
    <mergeCell ref="E2:E3"/>
    <mergeCell ref="F2:F3"/>
  </mergeCells>
  <pageMargins left="0.7" right="0.7" top="0.75" bottom="0.75" header="0.3" footer="0.3"/>
  <pageSetup paperSize="9" orientation="portrait" r:id="rId1"/>
  <ignoredErrors>
    <ignoredError sqref="F5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2021-11-02T11:57:25Z</dcterms:created>
  <dcterms:modified xsi:type="dcterms:W3CDTF">2023-12-17T11:29:14Z</dcterms:modified>
</cp:coreProperties>
</file>