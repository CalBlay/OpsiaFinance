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PORTATIL28\Desktop\IEBS\modulo 1\Corporate Finance\"/>
    </mc:Choice>
  </mc:AlternateContent>
  <xr:revisionPtr revIDLastSave="0" documentId="13_ncr:1_{C42947DB-523E-4B1F-9135-0684D6CF6838}" xr6:coauthVersionLast="47" xr6:coauthVersionMax="47" xr10:uidLastSave="{00000000-0000-0000-0000-000000000000}"/>
  <bookViews>
    <workbookView xWindow="22932" yWindow="-60" windowWidth="23256" windowHeight="12456" activeTab="4" xr2:uid="{00000000-000D-0000-FFFF-FFFF00000000}"/>
  </bookViews>
  <sheets>
    <sheet name="Activo" sheetId="1" r:id="rId1"/>
    <sheet name="Pasivo" sheetId="2" r:id="rId2"/>
    <sheet name="PYG" sheetId="6" r:id="rId3"/>
    <sheet name="Balance financiero" sheetId="15" r:id="rId4"/>
    <sheet name="WACC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5" l="1"/>
  <c r="J3" i="15" s="1"/>
  <c r="L3" i="15" s="1"/>
  <c r="I2" i="15"/>
  <c r="I13" i="15"/>
  <c r="I11" i="15"/>
  <c r="I10" i="15"/>
  <c r="I9" i="15"/>
  <c r="I7" i="15"/>
  <c r="I6" i="15" s="1"/>
  <c r="J6" i="15" s="1"/>
  <c r="K2" i="15" s="1"/>
  <c r="K3" i="15"/>
  <c r="I4" i="15" l="1"/>
  <c r="J2" i="15"/>
  <c r="L2" i="15" s="1"/>
  <c r="L4" i="15" s="1"/>
  <c r="B41" i="10" l="1"/>
  <c r="B26" i="10"/>
  <c r="B13" i="10"/>
  <c r="B10" i="10"/>
  <c r="C15" i="15"/>
  <c r="D15" i="15"/>
  <c r="C16" i="15"/>
  <c r="D16" i="15"/>
  <c r="B16" i="15"/>
  <c r="B15" i="15"/>
  <c r="C5" i="15"/>
  <c r="D5" i="15"/>
  <c r="B5" i="15"/>
  <c r="D3" i="10" l="1"/>
  <c r="D15" i="6" l="1"/>
  <c r="D2" i="6"/>
  <c r="C2" i="6"/>
  <c r="B2" i="6"/>
  <c r="D30" i="6" l="1"/>
  <c r="D26" i="6"/>
  <c r="B38" i="10" s="1"/>
  <c r="D23" i="6"/>
  <c r="D20" i="6"/>
  <c r="D9" i="6"/>
  <c r="D6" i="6"/>
  <c r="C30" i="6"/>
  <c r="C26" i="6"/>
  <c r="B23" i="10" s="1"/>
  <c r="C23" i="6"/>
  <c r="C20" i="6"/>
  <c r="C15" i="6"/>
  <c r="C9" i="6"/>
  <c r="C6" i="6"/>
  <c r="D39" i="2"/>
  <c r="D8" i="15" s="1"/>
  <c r="D32" i="2"/>
  <c r="D21" i="15" s="1"/>
  <c r="D20" i="2"/>
  <c r="D19" i="15" s="1"/>
  <c r="D18" i="15" s="1"/>
  <c r="D17" i="2"/>
  <c r="D20" i="15" s="1"/>
  <c r="D12" i="2"/>
  <c r="D17" i="15" s="1"/>
  <c r="D14" i="15" s="1"/>
  <c r="D3" i="2"/>
  <c r="C39" i="2"/>
  <c r="C8" i="15" s="1"/>
  <c r="C32" i="2"/>
  <c r="C21" i="15" s="1"/>
  <c r="C20" i="2"/>
  <c r="C19" i="15" s="1"/>
  <c r="C17" i="2"/>
  <c r="C20" i="15" s="1"/>
  <c r="C12" i="2"/>
  <c r="C17" i="15" s="1"/>
  <c r="C14" i="15" s="1"/>
  <c r="C3" i="2"/>
  <c r="D34" i="1"/>
  <c r="D30" i="1"/>
  <c r="D27" i="1"/>
  <c r="D9" i="15" s="1"/>
  <c r="D21" i="1"/>
  <c r="D7" i="15" s="1"/>
  <c r="D14" i="1"/>
  <c r="D11" i="1"/>
  <c r="D4" i="15" s="1"/>
  <c r="D9" i="1"/>
  <c r="D3" i="1"/>
  <c r="C34" i="1"/>
  <c r="C30" i="1"/>
  <c r="C27" i="1"/>
  <c r="C9" i="15" s="1"/>
  <c r="C21" i="1"/>
  <c r="C7" i="15" s="1"/>
  <c r="C6" i="15" s="1"/>
  <c r="C14" i="1"/>
  <c r="C11" i="1"/>
  <c r="C4" i="15" s="1"/>
  <c r="C9" i="1"/>
  <c r="C3" i="1"/>
  <c r="D6" i="15" l="1"/>
  <c r="C18" i="6"/>
  <c r="B34" i="10"/>
  <c r="D22" i="15"/>
  <c r="B37" i="10"/>
  <c r="C3" i="15"/>
  <c r="C2" i="15" s="1"/>
  <c r="C10" i="15" s="1"/>
  <c r="D3" i="15"/>
  <c r="D2" i="15" s="1"/>
  <c r="D10" i="15" s="1"/>
  <c r="C18" i="15"/>
  <c r="B18" i="10" s="1"/>
  <c r="B22" i="10" s="1"/>
  <c r="B19" i="10"/>
  <c r="B33" i="10"/>
  <c r="D19" i="6"/>
  <c r="D18" i="6"/>
  <c r="C19" i="6"/>
  <c r="D29" i="2"/>
  <c r="C29" i="2"/>
  <c r="C16" i="2"/>
  <c r="C46" i="2" s="1"/>
  <c r="C2" i="2"/>
  <c r="C19" i="1"/>
  <c r="C2" i="1"/>
  <c r="D33" i="6"/>
  <c r="D16" i="2"/>
  <c r="D2" i="2"/>
  <c r="D19" i="1"/>
  <c r="D2" i="1"/>
  <c r="B35" i="10" l="1"/>
  <c r="C34" i="10" s="1"/>
  <c r="E34" i="10" s="1"/>
  <c r="B44" i="10"/>
  <c r="D34" i="10" s="1"/>
  <c r="C22" i="15"/>
  <c r="C18" i="10"/>
  <c r="B20" i="10"/>
  <c r="C19" i="10" s="1"/>
  <c r="E19" i="10" s="1"/>
  <c r="B29" i="10"/>
  <c r="D19" i="10" s="1"/>
  <c r="C33" i="6"/>
  <c r="D46" i="2"/>
  <c r="C37" i="1"/>
  <c r="D34" i="6"/>
  <c r="B42" i="10" s="1"/>
  <c r="B40" i="10" s="1"/>
  <c r="C37" i="10" s="1"/>
  <c r="D33" i="10" s="1"/>
  <c r="D37" i="1"/>
  <c r="C33" i="10" l="1"/>
  <c r="E33" i="10" s="1"/>
  <c r="E35" i="10" s="1"/>
  <c r="D36" i="6"/>
  <c r="C34" i="6"/>
  <c r="B27" i="10" s="1"/>
  <c r="B25" i="10" s="1"/>
  <c r="C22" i="10" s="1"/>
  <c r="D18" i="10" s="1"/>
  <c r="E18" i="10" s="1"/>
  <c r="E20" i="10" s="1"/>
  <c r="B30" i="6"/>
  <c r="B26" i="6"/>
  <c r="B7" i="10" s="1"/>
  <c r="B23" i="6"/>
  <c r="B20" i="6"/>
  <c r="B15" i="6"/>
  <c r="B9" i="6"/>
  <c r="B6" i="6"/>
  <c r="B18" i="6" s="1"/>
  <c r="C36" i="6" l="1"/>
  <c r="B19" i="6"/>
  <c r="B39" i="2"/>
  <c r="B8" i="15" s="1"/>
  <c r="B32" i="2"/>
  <c r="B21" i="15" s="1"/>
  <c r="B33" i="6" l="1"/>
  <c r="B29" i="2"/>
  <c r="B20" i="2"/>
  <c r="B19" i="15" s="1"/>
  <c r="B18" i="15" s="1"/>
  <c r="B17" i="2"/>
  <c r="B20" i="15" s="1"/>
  <c r="B12" i="2"/>
  <c r="B17" i="15" s="1"/>
  <c r="B14" i="15" s="1"/>
  <c r="B3" i="2"/>
  <c r="B6" i="10" l="1"/>
  <c r="B3" i="10"/>
  <c r="B22" i="15"/>
  <c r="B16" i="2"/>
  <c r="B2" i="2"/>
  <c r="B34" i="1"/>
  <c r="B30" i="1"/>
  <c r="B27" i="1"/>
  <c r="B9" i="15" s="1"/>
  <c r="B21" i="1"/>
  <c r="B14" i="1"/>
  <c r="B11" i="1"/>
  <c r="B4" i="15" s="1"/>
  <c r="B9" i="1"/>
  <c r="B3" i="1"/>
  <c r="B3" i="15" s="1"/>
  <c r="B2" i="15" s="1"/>
  <c r="B4" i="10" l="1"/>
  <c r="C2" i="10" s="1"/>
  <c r="B7" i="15"/>
  <c r="B6" i="15" s="1"/>
  <c r="B10" i="15" s="1"/>
  <c r="B46" i="2"/>
  <c r="B2" i="1"/>
  <c r="B19" i="1"/>
  <c r="C3" i="10" l="1"/>
  <c r="E3" i="10" s="1"/>
  <c r="B34" i="6"/>
  <c r="B11" i="10" s="1"/>
  <c r="B9" i="10" s="1"/>
  <c r="C6" i="10" s="1"/>
  <c r="D2" i="10" s="1"/>
  <c r="E2" i="10" s="1"/>
  <c r="E4" i="10" s="1"/>
  <c r="B37" i="1"/>
  <c r="B36" i="6" l="1"/>
</calcChain>
</file>

<file path=xl/sharedStrings.xml><?xml version="1.0" encoding="utf-8"?>
<sst xmlns="http://schemas.openxmlformats.org/spreadsheetml/2006/main" count="214" uniqueCount="143">
  <si>
    <t>ACTIVO NO CORRIENTE</t>
  </si>
  <si>
    <t>Inmovilizado intangible</t>
  </si>
  <si>
    <t>Marcas</t>
  </si>
  <si>
    <t>Fondo de comercio</t>
  </si>
  <si>
    <t>Aplicaciones informáticas</t>
  </si>
  <si>
    <t>Gastos de desarrollo</t>
  </si>
  <si>
    <t>Derechos intangibles</t>
  </si>
  <si>
    <t>Inmovilizado material</t>
  </si>
  <si>
    <t>Instalaciones técnicas y otro inmovilizado material</t>
  </si>
  <si>
    <t>Inversiones en empresas del grupo y multigrupo a largo plazo</t>
  </si>
  <si>
    <t>Instrumentos de patrimonio</t>
  </si>
  <si>
    <t>Créditos a empresas</t>
  </si>
  <si>
    <t>Inversiones financieras a largo plazo</t>
  </si>
  <si>
    <t>Derivados</t>
  </si>
  <si>
    <t>Otros activos financieros</t>
  </si>
  <si>
    <t>Activos por impuesto diferido</t>
  </si>
  <si>
    <t>ACTIVO CORRIENTE</t>
  </si>
  <si>
    <t>Activos mantenidos para la venta</t>
  </si>
  <si>
    <t>Deudores comerciales y otras cuentas a cobrar</t>
  </si>
  <si>
    <t>Clientes por ventas y prestaciones de servicios</t>
  </si>
  <si>
    <t>Clientes, empresas grupo y multigrupo</t>
  </si>
  <si>
    <t>Deudores varios</t>
  </si>
  <si>
    <t>Personal</t>
  </si>
  <si>
    <t>Otros créditos con administraciones públicas</t>
  </si>
  <si>
    <t>Inversiones en empresas del grupo y multigrupo a corto plazo</t>
  </si>
  <si>
    <t>Inversiones financieras a corto plazo</t>
  </si>
  <si>
    <t>Periodificaciones a corto plazo</t>
  </si>
  <si>
    <t>Efectivo y otros activos líquidos equivalentes</t>
  </si>
  <si>
    <t>Tesorería</t>
  </si>
  <si>
    <t>Otros activos líquidos equivalentes</t>
  </si>
  <si>
    <t>TOTAL ACTIVO</t>
  </si>
  <si>
    <t>PATRIMONIO NETO</t>
  </si>
  <si>
    <t>Fondos propios</t>
  </si>
  <si>
    <t>Capital</t>
  </si>
  <si>
    <t>Prima de emisión</t>
  </si>
  <si>
    <t>Acciones propias</t>
  </si>
  <si>
    <t>Reservas</t>
  </si>
  <si>
    <t>Resultados de ejercicios anteriores</t>
  </si>
  <si>
    <t>Resultado del ejercicio</t>
  </si>
  <si>
    <t>Dividendo a cuenta</t>
  </si>
  <si>
    <t>Otros instrumentos de patrimonio neto</t>
  </si>
  <si>
    <t>Ajustes por cambios de valor</t>
  </si>
  <si>
    <t>Activos financieros disponibles para la venta</t>
  </si>
  <si>
    <t>Operaciones de cobertura</t>
  </si>
  <si>
    <t>Diferencias de conversión</t>
  </si>
  <si>
    <t>PASIVO NO CORRIENTE</t>
  </si>
  <si>
    <t>Provisiones a largo plazo</t>
  </si>
  <si>
    <t>Obligaciones por prestaciones a largo plazo al personal</t>
  </si>
  <si>
    <t>Otras provisiones</t>
  </si>
  <si>
    <t>Deudas a largo plazo</t>
  </si>
  <si>
    <t>Obligaciones y otros valores negociables</t>
  </si>
  <si>
    <t>Deudas con entidades de crédito y con terceros</t>
  </si>
  <si>
    <t>Acreedores por arrendamiento financiero</t>
  </si>
  <si>
    <t>Otros pasivos financieros</t>
  </si>
  <si>
    <t>Pasivo por impuesto diferido</t>
  </si>
  <si>
    <t>Periodificaciones a largo plazo</t>
  </si>
  <si>
    <t>PASIVO CORRIENTE</t>
  </si>
  <si>
    <t>Pasivos asociados a activos mantenidos para la venta</t>
  </si>
  <si>
    <t>Provisiones a corto plazo</t>
  </si>
  <si>
    <t>Deudas a corto plazo</t>
  </si>
  <si>
    <t>Deudas con empresas del grupo y multigrupo a corto plazo</t>
  </si>
  <si>
    <t>Deudas con empresas del grupo y multigrupo a largo plazo</t>
  </si>
  <si>
    <t>Acreedores comerciales y otras cuentas a pagar</t>
  </si>
  <si>
    <t>Proveedores</t>
  </si>
  <si>
    <t>Proveedores, empresas del grupo y multigrupo</t>
  </si>
  <si>
    <t>Acreedores varios</t>
  </si>
  <si>
    <t>Personal (remuneraciones pendientes de pago)</t>
  </si>
  <si>
    <t>Otras deudas con las administraciones públicas</t>
  </si>
  <si>
    <t>TOTAL PATRIMONIO NETO Y PASIVO</t>
  </si>
  <si>
    <t>Importe neto cifra de negocios</t>
  </si>
  <si>
    <t>Prestaciones de servicios</t>
  </si>
  <si>
    <t>Trabajos realizados por la empresa para su activo</t>
  </si>
  <si>
    <t>Otros ingresos de explotación</t>
  </si>
  <si>
    <t>Gastos de personal</t>
  </si>
  <si>
    <t>Sueldos, salarios y asimilados</t>
  </si>
  <si>
    <t>Cargas sociales</t>
  </si>
  <si>
    <t>Otros gastos de explotación</t>
  </si>
  <si>
    <t>Servicios exteriores</t>
  </si>
  <si>
    <t>Tributos</t>
  </si>
  <si>
    <t>Pérdidas, deterioros y variación de provisiones por operaciones comerciales</t>
  </si>
  <si>
    <t>Otros gastos de gestión corriente</t>
  </si>
  <si>
    <t>Amortización del inmovilizado</t>
  </si>
  <si>
    <t>Deterioro y resultado por enajenación del inmovilizado</t>
  </si>
  <si>
    <t>Deterioro y pérdidas</t>
  </si>
  <si>
    <t>Resultados por enajenaciones y otras</t>
  </si>
  <si>
    <t>RESULTADO DE EXPLOTACIÓN</t>
  </si>
  <si>
    <t>Ingresos financieros</t>
  </si>
  <si>
    <t>De participaciones en instrumentos de patrimonio</t>
  </si>
  <si>
    <t>En empresas del grupo y multigrupo</t>
  </si>
  <si>
    <t>En terceros</t>
  </si>
  <si>
    <t>De empresas del grupo y multigrupo</t>
  </si>
  <si>
    <t>De terceros</t>
  </si>
  <si>
    <t>Gastos financieros</t>
  </si>
  <si>
    <t>Por deudas con empresas del grupo y multigrupo</t>
  </si>
  <si>
    <t>Por deudas con terceros</t>
  </si>
  <si>
    <t>Diferencias de cambio</t>
  </si>
  <si>
    <t>Deterioro y resultado por enajenaciones de instrumentos financieros</t>
  </si>
  <si>
    <t>Resultado por enajenaciones y otras</t>
  </si>
  <si>
    <t>RESULTADO FINANCIERO</t>
  </si>
  <si>
    <t>RESULTADO ANTES DE IMPUESTOS</t>
  </si>
  <si>
    <t>Impuesto sobre beneficios</t>
  </si>
  <si>
    <t>RESULTADO DEL EJERCICIO</t>
  </si>
  <si>
    <t>De valores negociables y otros instrumentos financieros</t>
  </si>
  <si>
    <t>Resultado antes impuestos</t>
  </si>
  <si>
    <t>Dividendo</t>
  </si>
  <si>
    <t>2021</t>
  </si>
  <si>
    <t>2020</t>
  </si>
  <si>
    <t>2019</t>
  </si>
  <si>
    <t>Gasto financiero</t>
  </si>
  <si>
    <t>WACC</t>
  </si>
  <si>
    <t>NOF</t>
  </si>
  <si>
    <t>Capitales empleados</t>
  </si>
  <si>
    <t>ACTIVO (EN MILES)</t>
  </si>
  <si>
    <t>OPERACIONES CONTINUADAS (EN MILES)</t>
  </si>
  <si>
    <t>PASIVO (EN MILES)</t>
  </si>
  <si>
    <t>Valor</t>
  </si>
  <si>
    <t>Tasa bancos</t>
  </si>
  <si>
    <t>Tasa accionistas</t>
  </si>
  <si>
    <t>Capitales invertidos</t>
  </si>
  <si>
    <t>Inversiones financieras temporales</t>
  </si>
  <si>
    <t>Total</t>
  </si>
  <si>
    <t>Pérdidas y ganancias</t>
  </si>
  <si>
    <t>Activo no corriente</t>
  </si>
  <si>
    <t>Activo corriente operativo</t>
  </si>
  <si>
    <t>Pasivo corriente operativo</t>
  </si>
  <si>
    <t>Patrimonio neto</t>
  </si>
  <si>
    <t>Pasivo no corriente</t>
  </si>
  <si>
    <t>Deudas  a corto plazo</t>
  </si>
  <si>
    <t>Inmovilizados</t>
  </si>
  <si>
    <t>Inversiones</t>
  </si>
  <si>
    <t>Otros</t>
  </si>
  <si>
    <t>Capital y reservas</t>
  </si>
  <si>
    <t>Deuda (D)</t>
  </si>
  <si>
    <t>Tasa impuestos</t>
  </si>
  <si>
    <t>Gasto impuesto</t>
  </si>
  <si>
    <t>Año 2021</t>
  </si>
  <si>
    <t>Coste</t>
  </si>
  <si>
    <t>Coste promedio</t>
  </si>
  <si>
    <t>%</t>
  </si>
  <si>
    <t>Año 2020</t>
  </si>
  <si>
    <t>Patrimonio (E )</t>
  </si>
  <si>
    <t>Año 2019</t>
  </si>
  <si>
    <t>Otros pasivos no corrientes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</si>
</sst>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 * #,##0.00_ ;_ * \-#,##0.00_ ;_ * &quot;-&quot;??_ ;_ @_ 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Proxima Nova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3" fillId="0" borderId="0" xfId="0" applyFont="1"/>
    <xf numFmtId="164" fontId="0" fillId="0" borderId="0" xfId="1" applyFont="1" applyAlignment="1"/>
    <xf numFmtId="0" fontId="0" fillId="0" borderId="0" xfId="0" applyAlignment="1">
      <alignment wrapText="1"/>
    </xf>
    <xf numFmtId="10" fontId="0" fillId="0" borderId="0" xfId="2" applyNumberFormat="1" applyFont="1"/>
    <xf numFmtId="164" fontId="0" fillId="0" borderId="0" xfId="1" applyFont="1"/>
    <xf numFmtId="0" fontId="2" fillId="2" borderId="1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164" fontId="3" fillId="3" borderId="4" xfId="1" applyFont="1" applyFill="1" applyBorder="1" applyAlignment="1">
      <alignment wrapText="1"/>
    </xf>
    <xf numFmtId="0" fontId="0" fillId="4" borderId="3" xfId="0" applyFill="1" applyBorder="1" applyAlignment="1">
      <alignment wrapText="1"/>
    </xf>
    <xf numFmtId="164" fontId="0" fillId="4" borderId="4" xfId="1" applyFont="1" applyFill="1" applyBorder="1" applyAlignment="1">
      <alignment wrapText="1"/>
    </xf>
    <xf numFmtId="0" fontId="0" fillId="0" borderId="3" xfId="0" applyBorder="1" applyAlignment="1">
      <alignment horizontal="left" wrapText="1" indent="1"/>
    </xf>
    <xf numFmtId="164" fontId="0" fillId="0" borderId="4" xfId="1" applyFont="1" applyBorder="1" applyAlignment="1">
      <alignment horizontal="left" wrapText="1" indent="1"/>
    </xf>
    <xf numFmtId="0" fontId="0" fillId="0" borderId="3" xfId="0" applyBorder="1" applyAlignment="1">
      <alignment horizontal="left" indent="1"/>
    </xf>
    <xf numFmtId="164" fontId="0" fillId="0" borderId="4" xfId="1" applyFont="1" applyBorder="1" applyAlignment="1">
      <alignment horizontal="left" indent="1"/>
    </xf>
    <xf numFmtId="0" fontId="2" fillId="2" borderId="5" xfId="0" applyFont="1" applyFill="1" applyBorder="1" applyAlignment="1">
      <alignment wrapText="1"/>
    </xf>
    <xf numFmtId="164" fontId="2" fillId="2" borderId="6" xfId="1" applyFont="1" applyFill="1" applyBorder="1" applyAlignment="1">
      <alignment wrapText="1"/>
    </xf>
    <xf numFmtId="164" fontId="3" fillId="3" borderId="4" xfId="1" applyFont="1" applyFill="1" applyBorder="1" applyAlignment="1"/>
    <xf numFmtId="164" fontId="0" fillId="4" borderId="4" xfId="1" applyFont="1" applyFill="1" applyBorder="1" applyAlignment="1"/>
    <xf numFmtId="164" fontId="0" fillId="0" borderId="4" xfId="1" applyFont="1" applyBorder="1" applyAlignment="1"/>
    <xf numFmtId="164" fontId="2" fillId="2" borderId="6" xfId="1" applyFont="1" applyFill="1" applyBorder="1" applyAlignment="1"/>
    <xf numFmtId="164" fontId="0" fillId="0" borderId="4" xfId="1" applyFont="1" applyBorder="1"/>
    <xf numFmtId="0" fontId="2" fillId="2" borderId="7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0" fillId="5" borderId="3" xfId="0" applyFill="1" applyBorder="1" applyAlignment="1">
      <alignment wrapText="1"/>
    </xf>
    <xf numFmtId="164" fontId="0" fillId="5" borderId="4" xfId="1" applyFont="1" applyFill="1" applyBorder="1"/>
    <xf numFmtId="164" fontId="2" fillId="2" borderId="8" xfId="1" applyFont="1" applyFill="1" applyBorder="1" applyAlignment="1"/>
    <xf numFmtId="164" fontId="2" fillId="2" borderId="2" xfId="1" quotePrefix="1" applyFont="1" applyFill="1" applyBorder="1" applyAlignment="1"/>
    <xf numFmtId="164" fontId="2" fillId="2" borderId="10" xfId="1" quotePrefix="1" applyFont="1" applyFill="1" applyBorder="1" applyAlignment="1"/>
    <xf numFmtId="164" fontId="3" fillId="3" borderId="12" xfId="1" applyFont="1" applyFill="1" applyBorder="1" applyAlignment="1"/>
    <xf numFmtId="164" fontId="0" fillId="4" borderId="12" xfId="1" applyFont="1" applyFill="1" applyBorder="1" applyAlignment="1"/>
    <xf numFmtId="164" fontId="0" fillId="0" borderId="12" xfId="1" applyFont="1" applyBorder="1" applyAlignment="1"/>
    <xf numFmtId="164" fontId="2" fillId="2" borderId="11" xfId="1" applyFont="1" applyFill="1" applyBorder="1" applyAlignment="1"/>
    <xf numFmtId="164" fontId="2" fillId="2" borderId="2" xfId="1" quotePrefix="1" applyFont="1" applyFill="1" applyBorder="1" applyAlignment="1">
      <alignment wrapText="1"/>
    </xf>
    <xf numFmtId="164" fontId="2" fillId="2" borderId="10" xfId="1" quotePrefix="1" applyFont="1" applyFill="1" applyBorder="1" applyAlignment="1">
      <alignment wrapText="1"/>
    </xf>
    <xf numFmtId="164" fontId="3" fillId="3" borderId="12" xfId="1" applyFont="1" applyFill="1" applyBorder="1" applyAlignment="1">
      <alignment wrapText="1"/>
    </xf>
    <xf numFmtId="164" fontId="0" fillId="4" borderId="12" xfId="1" applyFont="1" applyFill="1" applyBorder="1" applyAlignment="1">
      <alignment wrapText="1"/>
    </xf>
    <xf numFmtId="164" fontId="0" fillId="0" borderId="12" xfId="1" applyFont="1" applyBorder="1" applyAlignment="1">
      <alignment horizontal="left" wrapText="1" indent="1"/>
    </xf>
    <xf numFmtId="164" fontId="0" fillId="0" borderId="12" xfId="1" applyFont="1" applyBorder="1" applyAlignment="1">
      <alignment horizontal="left" indent="1"/>
    </xf>
    <xf numFmtId="164" fontId="2" fillId="2" borderId="11" xfId="1" applyFont="1" applyFill="1" applyBorder="1" applyAlignment="1">
      <alignment wrapText="1"/>
    </xf>
    <xf numFmtId="164" fontId="0" fillId="0" borderId="12" xfId="1" applyFont="1" applyBorder="1"/>
    <xf numFmtId="164" fontId="0" fillId="5" borderId="12" xfId="1" applyFont="1" applyFill="1" applyBorder="1"/>
    <xf numFmtId="164" fontId="2" fillId="2" borderId="9" xfId="1" applyFont="1" applyFill="1" applyBorder="1" applyAlignment="1"/>
    <xf numFmtId="164" fontId="0" fillId="0" borderId="0" xfId="0" applyNumberFormat="1"/>
    <xf numFmtId="0" fontId="5" fillId="0" borderId="3" xfId="0" applyFont="1" applyBorder="1"/>
    <xf numFmtId="0" fontId="5" fillId="0" borderId="0" xfId="0" applyFont="1"/>
    <xf numFmtId="165" fontId="5" fillId="0" borderId="0" xfId="0" applyNumberFormat="1" applyFont="1"/>
    <xf numFmtId="10" fontId="5" fillId="0" borderId="0" xfId="2" applyNumberFormat="1" applyFont="1" applyBorder="1" applyAlignment="1">
      <alignment horizontal="center"/>
    </xf>
    <xf numFmtId="9" fontId="5" fillId="0" borderId="0" xfId="2" applyFont="1" applyBorder="1" applyAlignment="1">
      <alignment horizontal="center"/>
    </xf>
    <xf numFmtId="10" fontId="5" fillId="0" borderId="0" xfId="0" applyNumberFormat="1" applyFont="1" applyAlignment="1">
      <alignment horizontal="center"/>
    </xf>
    <xf numFmtId="10" fontId="5" fillId="0" borderId="14" xfId="2" applyNumberFormat="1" applyFont="1" applyBorder="1" applyAlignment="1">
      <alignment horizontal="center"/>
    </xf>
    <xf numFmtId="164" fontId="0" fillId="0" borderId="0" xfId="1" applyFont="1" applyBorder="1"/>
    <xf numFmtId="164" fontId="2" fillId="2" borderId="0" xfId="1" quotePrefix="1" applyFont="1" applyFill="1" applyBorder="1" applyAlignment="1"/>
    <xf numFmtId="164" fontId="0" fillId="4" borderId="0" xfId="0" applyNumberFormat="1" applyFill="1" applyAlignment="1">
      <alignment wrapText="1"/>
    </xf>
    <xf numFmtId="164" fontId="2" fillId="2" borderId="13" xfId="1" quotePrefix="1" applyFont="1" applyFill="1" applyBorder="1" applyAlignment="1"/>
    <xf numFmtId="164" fontId="0" fillId="4" borderId="4" xfId="0" applyNumberFormat="1" applyFill="1" applyBorder="1" applyAlignment="1">
      <alignment wrapText="1"/>
    </xf>
    <xf numFmtId="0" fontId="0" fillId="0" borderId="3" xfId="0" applyBorder="1"/>
    <xf numFmtId="164" fontId="2" fillId="2" borderId="14" xfId="1" quotePrefix="1" applyFont="1" applyFill="1" applyBorder="1" applyAlignment="1"/>
    <xf numFmtId="164" fontId="2" fillId="2" borderId="6" xfId="1" quotePrefix="1" applyFont="1" applyFill="1" applyBorder="1" applyAlignment="1"/>
    <xf numFmtId="10" fontId="0" fillId="0" borderId="0" xfId="2" applyNumberFormat="1" applyFont="1" applyFill="1"/>
    <xf numFmtId="164" fontId="5" fillId="0" borderId="0" xfId="0" applyNumberFormat="1" applyFont="1" applyAlignment="1">
      <alignment horizontal="center"/>
    </xf>
    <xf numFmtId="10" fontId="5" fillId="6" borderId="0" xfId="0" applyNumberFormat="1" applyFont="1" applyFill="1" applyAlignment="1">
      <alignment horizontal="center"/>
    </xf>
    <xf numFmtId="164" fontId="5" fillId="0" borderId="0" xfId="1" applyFont="1" applyBorder="1" applyAlignment="1">
      <alignment horizontal="center"/>
    </xf>
    <xf numFmtId="0" fontId="5" fillId="0" borderId="8" xfId="0" applyFont="1" applyBorder="1"/>
    <xf numFmtId="10" fontId="5" fillId="0" borderId="5" xfId="0" applyNumberFormat="1" applyFont="1" applyBorder="1" applyAlignment="1">
      <alignment horizontal="center"/>
    </xf>
    <xf numFmtId="165" fontId="5" fillId="0" borderId="14" xfId="0" applyNumberFormat="1" applyFont="1" applyBorder="1"/>
    <xf numFmtId="10" fontId="5" fillId="7" borderId="0" xfId="0" applyNumberFormat="1" applyFont="1" applyFill="1" applyAlignment="1">
      <alignment horizontal="center"/>
    </xf>
    <xf numFmtId="10" fontId="2" fillId="2" borderId="0" xfId="2" quotePrefix="1" applyNumberFormat="1" applyFont="1" applyFill="1" applyBorder="1" applyAlignment="1"/>
    <xf numFmtId="10" fontId="5" fillId="0" borderId="0" xfId="2" applyNumberFormat="1" applyFont="1" applyBorder="1"/>
    <xf numFmtId="0" fontId="4" fillId="0" borderId="0" xfId="0" applyFont="1" applyAlignment="1">
      <alignment horizontal="center" vertical="center" readingOrder="1"/>
    </xf>
  </cellXfs>
  <cellStyles count="3">
    <cellStyle name="Coma" xfId="1" builtinId="3"/>
    <cellStyle name="Normal" xfId="0" builtinId="0"/>
    <cellStyle name="Percentat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514350</xdr:colOff>
      <xdr:row>25</xdr:row>
      <xdr:rowOff>104775</xdr:rowOff>
    </xdr:from>
    <xdr:to>
      <xdr:col>17</xdr:col>
      <xdr:colOff>456255</xdr:colOff>
      <xdr:row>66</xdr:row>
      <xdr:rowOff>132345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24875" y="10115550"/>
          <a:ext cx="7561905" cy="80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showGridLines="0" topLeftCell="A12" workbookViewId="0">
      <selection activeCell="A27" sqref="A27"/>
    </sheetView>
  </sheetViews>
  <sheetFormatPr defaultColWidth="11.42578125" defaultRowHeight="15" outlineLevelRow="1"/>
  <cols>
    <col min="1" max="1" width="47.5703125" style="3" customWidth="1"/>
    <col min="2" max="4" width="23.140625" style="2" bestFit="1" customWidth="1"/>
    <col min="5" max="5" width="14.5703125" bestFit="1" customWidth="1"/>
  </cols>
  <sheetData>
    <row r="1" spans="1:5">
      <c r="A1" s="6" t="s">
        <v>112</v>
      </c>
      <c r="B1" s="28" t="s">
        <v>105</v>
      </c>
      <c r="C1" s="27" t="s">
        <v>106</v>
      </c>
      <c r="D1" s="27" t="s">
        <v>107</v>
      </c>
    </row>
    <row r="2" spans="1:5">
      <c r="A2" s="7" t="s">
        <v>0</v>
      </c>
      <c r="B2" s="29">
        <f>B3+B9+B11+B14+B18</f>
        <v>5677400</v>
      </c>
      <c r="C2" s="17">
        <f>C3+C9+C11+C14+C18</f>
        <v>5817200</v>
      </c>
      <c r="D2" s="17">
        <f>D3+D9+D11+D14+D18</f>
        <v>5727000</v>
      </c>
    </row>
    <row r="3" spans="1:5">
      <c r="A3" s="9" t="s">
        <v>1</v>
      </c>
      <c r="B3" s="30">
        <f>SUM(B4:B8)</f>
        <v>1241500</v>
      </c>
      <c r="C3" s="18">
        <f>SUM(C4:C8)</f>
        <v>1362300</v>
      </c>
      <c r="D3" s="18">
        <f>SUM(D4:D8)</f>
        <v>1537700</v>
      </c>
      <c r="E3" s="43"/>
    </row>
    <row r="4" spans="1:5" outlineLevel="1">
      <c r="A4" s="11" t="s">
        <v>2</v>
      </c>
      <c r="B4" s="31">
        <v>102800</v>
      </c>
      <c r="C4" s="19">
        <v>128400</v>
      </c>
      <c r="D4" s="19">
        <v>154000</v>
      </c>
      <c r="E4" s="43"/>
    </row>
    <row r="5" spans="1:5" outlineLevel="1">
      <c r="A5" s="11" t="s">
        <v>3</v>
      </c>
      <c r="B5" s="31">
        <v>555400</v>
      </c>
      <c r="C5" s="19">
        <v>694200</v>
      </c>
      <c r="D5" s="19">
        <v>833000</v>
      </c>
      <c r="E5" s="43"/>
    </row>
    <row r="6" spans="1:5" outlineLevel="1">
      <c r="A6" s="11" t="s">
        <v>4</v>
      </c>
      <c r="B6" s="31">
        <v>900</v>
      </c>
      <c r="C6" s="19">
        <v>2300</v>
      </c>
      <c r="D6" s="19">
        <v>6000</v>
      </c>
      <c r="E6" s="43"/>
    </row>
    <row r="7" spans="1:5" outlineLevel="1">
      <c r="A7" s="11" t="s">
        <v>5</v>
      </c>
      <c r="B7" s="31">
        <v>524700</v>
      </c>
      <c r="C7" s="19">
        <v>459600</v>
      </c>
      <c r="D7" s="19">
        <v>393300</v>
      </c>
      <c r="E7" s="43"/>
    </row>
    <row r="8" spans="1:5" outlineLevel="1">
      <c r="A8" s="11" t="s">
        <v>6</v>
      </c>
      <c r="B8" s="31">
        <v>57700</v>
      </c>
      <c r="C8" s="19">
        <v>77800</v>
      </c>
      <c r="D8" s="19">
        <v>151400</v>
      </c>
      <c r="E8" s="43"/>
    </row>
    <row r="9" spans="1:5">
      <c r="A9" s="9" t="s">
        <v>7</v>
      </c>
      <c r="B9" s="30">
        <f>SUM(B10)</f>
        <v>6500</v>
      </c>
      <c r="C9" s="18">
        <f>SUM(C10)</f>
        <v>6200</v>
      </c>
      <c r="D9" s="18">
        <f>SUM(D10)</f>
        <v>6400</v>
      </c>
      <c r="E9" s="43"/>
    </row>
    <row r="10" spans="1:5" ht="30" outlineLevel="1">
      <c r="A10" s="11" t="s">
        <v>8</v>
      </c>
      <c r="B10" s="31">
        <v>6500</v>
      </c>
      <c r="C10" s="19">
        <v>6200</v>
      </c>
      <c r="D10" s="19">
        <v>6400</v>
      </c>
      <c r="E10" s="43"/>
    </row>
    <row r="11" spans="1:5" ht="30">
      <c r="A11" s="9" t="s">
        <v>9</v>
      </c>
      <c r="B11" s="30">
        <f>SUM(B12:B13)</f>
        <v>3995600</v>
      </c>
      <c r="C11" s="18">
        <f>SUM(C12:C13)</f>
        <v>4057500</v>
      </c>
      <c r="D11" s="18">
        <f>SUM(D12:D13)</f>
        <v>3921200</v>
      </c>
      <c r="E11" s="43"/>
    </row>
    <row r="12" spans="1:5" outlineLevel="1">
      <c r="A12" s="11" t="s">
        <v>10</v>
      </c>
      <c r="B12" s="31">
        <v>3716700</v>
      </c>
      <c r="C12" s="19">
        <v>3715700</v>
      </c>
      <c r="D12" s="19">
        <v>3474900</v>
      </c>
      <c r="E12" s="43"/>
    </row>
    <row r="13" spans="1:5" outlineLevel="1">
      <c r="A13" s="11" t="s">
        <v>11</v>
      </c>
      <c r="B13" s="31">
        <v>278900</v>
      </c>
      <c r="C13" s="19">
        <v>341800</v>
      </c>
      <c r="D13" s="19">
        <v>446300</v>
      </c>
      <c r="E13" s="43"/>
    </row>
    <row r="14" spans="1:5">
      <c r="A14" s="9" t="s">
        <v>12</v>
      </c>
      <c r="B14" s="30">
        <f>SUM(B15:B17)</f>
        <v>86500</v>
      </c>
      <c r="C14" s="18">
        <f>SUM(C15:C17)</f>
        <v>113200</v>
      </c>
      <c r="D14" s="18">
        <f>SUM(D15:D17)</f>
        <v>104700</v>
      </c>
      <c r="E14" s="43"/>
    </row>
    <row r="15" spans="1:5" outlineLevel="1">
      <c r="A15" s="11" t="s">
        <v>10</v>
      </c>
      <c r="B15" s="31">
        <v>8700</v>
      </c>
      <c r="C15" s="19">
        <v>10300</v>
      </c>
      <c r="D15" s="19">
        <v>10200</v>
      </c>
      <c r="E15" s="43"/>
    </row>
    <row r="16" spans="1:5" outlineLevel="1">
      <c r="A16" s="11" t="s">
        <v>13</v>
      </c>
      <c r="B16" s="31">
        <v>1600</v>
      </c>
      <c r="C16" s="19">
        <v>21500</v>
      </c>
      <c r="D16" s="19">
        <v>3700</v>
      </c>
      <c r="E16" s="43"/>
    </row>
    <row r="17" spans="1:5" outlineLevel="1">
      <c r="A17" s="11" t="s">
        <v>14</v>
      </c>
      <c r="B17" s="31">
        <v>76200</v>
      </c>
      <c r="C17" s="19">
        <v>81400</v>
      </c>
      <c r="D17" s="19">
        <v>90800</v>
      </c>
      <c r="E17" s="43"/>
    </row>
    <row r="18" spans="1:5">
      <c r="A18" s="9" t="s">
        <v>15</v>
      </c>
      <c r="B18" s="30">
        <v>347300</v>
      </c>
      <c r="C18" s="18">
        <v>278000</v>
      </c>
      <c r="D18" s="18">
        <v>157000</v>
      </c>
      <c r="E18" s="43"/>
    </row>
    <row r="19" spans="1:5">
      <c r="A19" s="7" t="s">
        <v>16</v>
      </c>
      <c r="B19" s="29">
        <f>B20+B21+B27+B30+B33+B34</f>
        <v>2429600</v>
      </c>
      <c r="C19" s="17">
        <f>C20+C21+C27+C30+C33+C34</f>
        <v>2930200</v>
      </c>
      <c r="D19" s="17">
        <f>D20+D21+D27+D30+D33+D34</f>
        <v>926000</v>
      </c>
      <c r="E19" s="43"/>
    </row>
    <row r="20" spans="1:5">
      <c r="A20" s="9" t="s">
        <v>17</v>
      </c>
      <c r="B20" s="30">
        <v>0</v>
      </c>
      <c r="C20" s="18">
        <v>3200</v>
      </c>
      <c r="D20" s="18">
        <v>0</v>
      </c>
      <c r="E20" s="43"/>
    </row>
    <row r="21" spans="1:5">
      <c r="A21" s="9" t="s">
        <v>18</v>
      </c>
      <c r="B21" s="30">
        <f>SUM(B22:B26)</f>
        <v>413100</v>
      </c>
      <c r="C21" s="18">
        <f>SUM(C22:C26)</f>
        <v>230900</v>
      </c>
      <c r="D21" s="18">
        <f>SUM(D22:D26)</f>
        <v>376600</v>
      </c>
      <c r="E21" s="43"/>
    </row>
    <row r="22" spans="1:5" outlineLevel="1">
      <c r="A22" s="11" t="s">
        <v>19</v>
      </c>
      <c r="B22" s="31">
        <v>203600</v>
      </c>
      <c r="C22" s="19">
        <v>30200</v>
      </c>
      <c r="D22" s="19">
        <v>247900</v>
      </c>
      <c r="E22" s="43"/>
    </row>
    <row r="23" spans="1:5" outlineLevel="1">
      <c r="A23" s="11" t="s">
        <v>20</v>
      </c>
      <c r="B23" s="31">
        <v>85200</v>
      </c>
      <c r="C23" s="19">
        <v>69100</v>
      </c>
      <c r="D23" s="19">
        <v>42600</v>
      </c>
      <c r="E23" s="43"/>
    </row>
    <row r="24" spans="1:5" outlineLevel="1">
      <c r="A24" s="11" t="s">
        <v>21</v>
      </c>
      <c r="B24" s="31">
        <v>86500</v>
      </c>
      <c r="C24" s="19">
        <v>96500</v>
      </c>
      <c r="D24" s="19">
        <v>84100</v>
      </c>
      <c r="E24" s="43"/>
    </row>
    <row r="25" spans="1:5" outlineLevel="1">
      <c r="A25" s="11" t="s">
        <v>22</v>
      </c>
      <c r="B25" s="31">
        <v>2400</v>
      </c>
      <c r="C25" s="19">
        <v>1500</v>
      </c>
      <c r="D25" s="19">
        <v>1300</v>
      </c>
      <c r="E25" s="43"/>
    </row>
    <row r="26" spans="1:5" outlineLevel="1">
      <c r="A26" s="11" t="s">
        <v>23</v>
      </c>
      <c r="B26" s="31">
        <v>35400</v>
      </c>
      <c r="C26" s="19">
        <v>33600</v>
      </c>
      <c r="D26" s="19">
        <v>700</v>
      </c>
      <c r="E26" s="43"/>
    </row>
    <row r="27" spans="1:5" ht="30">
      <c r="A27" s="9" t="s">
        <v>24</v>
      </c>
      <c r="B27" s="30">
        <f>SUM(B28:B29)</f>
        <v>333800</v>
      </c>
      <c r="C27" s="18">
        <f>SUM(C28:C29)</f>
        <v>264300</v>
      </c>
      <c r="D27" s="18">
        <f>SUM(D28:D29)</f>
        <v>121200</v>
      </c>
      <c r="E27" s="43"/>
    </row>
    <row r="28" spans="1:5" outlineLevel="1">
      <c r="A28" s="11" t="s">
        <v>11</v>
      </c>
      <c r="B28" s="31">
        <v>331800</v>
      </c>
      <c r="C28" s="19">
        <v>259700</v>
      </c>
      <c r="D28" s="19">
        <v>119100</v>
      </c>
      <c r="E28" s="43"/>
    </row>
    <row r="29" spans="1:5" outlineLevel="1">
      <c r="A29" s="11" t="s">
        <v>14</v>
      </c>
      <c r="B29" s="31">
        <v>2000</v>
      </c>
      <c r="C29" s="19">
        <v>4600</v>
      </c>
      <c r="D29" s="19">
        <v>2100</v>
      </c>
      <c r="E29" s="43"/>
    </row>
    <row r="30" spans="1:5">
      <c r="A30" s="9" t="s">
        <v>25</v>
      </c>
      <c r="B30" s="30">
        <f>SUM(B31:B32)</f>
        <v>697900</v>
      </c>
      <c r="C30" s="18">
        <f>SUM(C31:C32)</f>
        <v>986500</v>
      </c>
      <c r="D30" s="18">
        <f>SUM(D31:D32)</f>
        <v>16500</v>
      </c>
      <c r="E30" s="43"/>
    </row>
    <row r="31" spans="1:5" outlineLevel="1">
      <c r="A31" s="11" t="s">
        <v>13</v>
      </c>
      <c r="B31" s="31">
        <v>8200</v>
      </c>
      <c r="C31" s="19">
        <v>78700</v>
      </c>
      <c r="D31" s="19">
        <v>9300</v>
      </c>
      <c r="E31" s="43"/>
    </row>
    <row r="32" spans="1:5" outlineLevel="1">
      <c r="A32" s="11" t="s">
        <v>14</v>
      </c>
      <c r="B32" s="31">
        <v>689700</v>
      </c>
      <c r="C32" s="19">
        <v>907800</v>
      </c>
      <c r="D32" s="19">
        <v>7200</v>
      </c>
      <c r="E32" s="43"/>
    </row>
    <row r="33" spans="1:5">
      <c r="A33" s="9" t="s">
        <v>26</v>
      </c>
      <c r="B33" s="30">
        <v>19000</v>
      </c>
      <c r="C33" s="18">
        <v>13400</v>
      </c>
      <c r="D33" s="18">
        <v>11400</v>
      </c>
      <c r="E33" s="43"/>
    </row>
    <row r="34" spans="1:5">
      <c r="A34" s="9" t="s">
        <v>27</v>
      </c>
      <c r="B34" s="30">
        <f>SUM(B35:B36)</f>
        <v>965800</v>
      </c>
      <c r="C34" s="18">
        <f>SUM(C35:C36)</f>
        <v>1431900</v>
      </c>
      <c r="D34" s="18">
        <f>SUM(D35:D36)</f>
        <v>400300</v>
      </c>
      <c r="E34" s="43"/>
    </row>
    <row r="35" spans="1:5" outlineLevel="1">
      <c r="A35" s="11" t="s">
        <v>28</v>
      </c>
      <c r="B35" s="31">
        <v>715800</v>
      </c>
      <c r="C35" s="19">
        <v>706800</v>
      </c>
      <c r="D35" s="19">
        <v>342400</v>
      </c>
      <c r="E35" s="43"/>
    </row>
    <row r="36" spans="1:5" outlineLevel="1">
      <c r="A36" s="11" t="s">
        <v>29</v>
      </c>
      <c r="B36" s="31">
        <v>250000</v>
      </c>
      <c r="C36" s="19">
        <v>725100</v>
      </c>
      <c r="D36" s="19">
        <v>57900</v>
      </c>
      <c r="E36" s="43"/>
    </row>
    <row r="37" spans="1:5" ht="15.75" thickBot="1">
      <c r="A37" s="15" t="s">
        <v>30</v>
      </c>
      <c r="B37" s="32">
        <f>B2+B19</f>
        <v>8107000</v>
      </c>
      <c r="C37" s="20">
        <f>C2+C19</f>
        <v>8747400</v>
      </c>
      <c r="D37" s="20">
        <f>D2+D19</f>
        <v>6653000</v>
      </c>
      <c r="E37" s="43"/>
    </row>
  </sheetData>
  <pageMargins left="0.7" right="0.7" top="0.75" bottom="0.75" header="0.3" footer="0.3"/>
  <pageSetup paperSize="9" orientation="portrait" r:id="rId1"/>
  <ignoredErrors>
    <ignoredError sqref="B14 B3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6"/>
  <sheetViews>
    <sheetView showGridLines="0" topLeftCell="A31" workbookViewId="0">
      <selection activeCell="A32" sqref="A32"/>
    </sheetView>
  </sheetViews>
  <sheetFormatPr defaultColWidth="11.42578125" defaultRowHeight="15" outlineLevelRow="1"/>
  <cols>
    <col min="1" max="1" width="50.140625" bestFit="1" customWidth="1"/>
    <col min="2" max="4" width="23.5703125" style="5" bestFit="1" customWidth="1"/>
    <col min="6" max="6" width="14.5703125" bestFit="1" customWidth="1"/>
  </cols>
  <sheetData>
    <row r="1" spans="1:13" ht="15" customHeight="1">
      <c r="A1" s="6" t="s">
        <v>114</v>
      </c>
      <c r="B1" s="34" t="s">
        <v>105</v>
      </c>
      <c r="C1" s="33" t="s">
        <v>106</v>
      </c>
      <c r="D1" s="33" t="s">
        <v>107</v>
      </c>
    </row>
    <row r="2" spans="1:13" ht="15" customHeight="1">
      <c r="A2" s="7" t="s">
        <v>31</v>
      </c>
      <c r="B2" s="35">
        <f>B3+B12</f>
        <v>1556800</v>
      </c>
      <c r="C2" s="8">
        <f>C3+C12</f>
        <v>1972000</v>
      </c>
      <c r="D2" s="8">
        <f>D3+D12</f>
        <v>1347300</v>
      </c>
      <c r="I2" s="1"/>
      <c r="J2" s="1"/>
      <c r="K2" s="1"/>
      <c r="L2" s="1"/>
    </row>
    <row r="3" spans="1:13" ht="15" customHeight="1">
      <c r="A3" s="9" t="s">
        <v>32</v>
      </c>
      <c r="B3" s="36">
        <f>SUM(B4:B11)</f>
        <v>1562300</v>
      </c>
      <c r="C3" s="10">
        <f>SUM(C4:C11)</f>
        <v>1932700</v>
      </c>
      <c r="D3" s="10">
        <f>SUM(D4:D11)</f>
        <v>1351600</v>
      </c>
      <c r="I3" s="1"/>
      <c r="J3" s="1"/>
      <c r="K3" s="1"/>
      <c r="L3" s="1"/>
      <c r="M3" s="1"/>
    </row>
    <row r="4" spans="1:13" ht="15" customHeight="1" outlineLevel="1">
      <c r="A4" s="11" t="s">
        <v>33</v>
      </c>
      <c r="B4" s="37">
        <v>4500</v>
      </c>
      <c r="C4" s="12">
        <v>4500</v>
      </c>
      <c r="D4" s="12">
        <v>4300</v>
      </c>
      <c r="F4" s="43"/>
      <c r="H4" s="1"/>
      <c r="I4" s="5"/>
      <c r="J4" s="5"/>
      <c r="K4" s="1"/>
      <c r="L4" s="5"/>
      <c r="M4" s="5"/>
    </row>
    <row r="5" spans="1:13" outlineLevel="1">
      <c r="A5" s="13" t="s">
        <v>34</v>
      </c>
      <c r="B5" s="38">
        <v>991300</v>
      </c>
      <c r="C5" s="14">
        <v>991300</v>
      </c>
      <c r="D5" s="14">
        <v>254500</v>
      </c>
      <c r="F5" s="43"/>
      <c r="H5" s="1"/>
      <c r="I5" s="5"/>
      <c r="J5" s="5"/>
      <c r="K5" s="1"/>
      <c r="L5" s="5"/>
      <c r="M5" s="5"/>
    </row>
    <row r="6" spans="1:13" outlineLevel="1">
      <c r="A6" s="13" t="s">
        <v>36</v>
      </c>
      <c r="B6" s="38">
        <v>1074900</v>
      </c>
      <c r="C6" s="14">
        <v>1071800</v>
      </c>
      <c r="D6" s="14">
        <v>670000</v>
      </c>
      <c r="F6" s="43"/>
      <c r="I6" s="5"/>
      <c r="J6" s="5"/>
      <c r="K6" s="5"/>
      <c r="L6" s="5"/>
      <c r="M6" s="5"/>
    </row>
    <row r="7" spans="1:13" outlineLevel="1">
      <c r="A7" s="13" t="s">
        <v>35</v>
      </c>
      <c r="B7" s="38">
        <v>-32900</v>
      </c>
      <c r="C7" s="14">
        <v>-9500</v>
      </c>
      <c r="D7" s="14">
        <v>-5600</v>
      </c>
      <c r="F7" s="43"/>
      <c r="J7" s="4"/>
      <c r="K7" s="4"/>
      <c r="L7" s="4"/>
      <c r="M7" s="4"/>
    </row>
    <row r="8" spans="1:13" outlineLevel="1">
      <c r="A8" s="13" t="s">
        <v>37</v>
      </c>
      <c r="B8" s="38">
        <v>-164800</v>
      </c>
      <c r="C8" s="14">
        <v>26500</v>
      </c>
      <c r="D8" s="14">
        <v>26400</v>
      </c>
      <c r="F8" s="43"/>
    </row>
    <row r="9" spans="1:13" outlineLevel="1">
      <c r="A9" s="13" t="s">
        <v>38</v>
      </c>
      <c r="B9" s="38">
        <v>-350100</v>
      </c>
      <c r="C9" s="14">
        <v>-191300</v>
      </c>
      <c r="D9" s="14">
        <v>643400</v>
      </c>
      <c r="F9" s="43"/>
    </row>
    <row r="10" spans="1:13" outlineLevel="1">
      <c r="A10" s="13" t="s">
        <v>39</v>
      </c>
      <c r="B10" s="38">
        <v>0</v>
      </c>
      <c r="C10" s="14">
        <v>0</v>
      </c>
      <c r="D10" s="14">
        <v>-241400</v>
      </c>
      <c r="F10" s="43"/>
    </row>
    <row r="11" spans="1:13" outlineLevel="1">
      <c r="A11" s="13" t="s">
        <v>40</v>
      </c>
      <c r="B11" s="38">
        <v>39400</v>
      </c>
      <c r="C11" s="14">
        <v>39400</v>
      </c>
      <c r="D11" s="14">
        <v>0</v>
      </c>
      <c r="F11" s="43"/>
    </row>
    <row r="12" spans="1:13">
      <c r="A12" s="9" t="s">
        <v>41</v>
      </c>
      <c r="B12" s="36">
        <f>SUM(B13:B15)</f>
        <v>-5500</v>
      </c>
      <c r="C12" s="10">
        <f>SUM(C13:C15)</f>
        <v>39300</v>
      </c>
      <c r="D12" s="10">
        <f>SUM(D13:D15)</f>
        <v>-4300</v>
      </c>
      <c r="F12" s="43"/>
    </row>
    <row r="13" spans="1:13" outlineLevel="1">
      <c r="A13" s="13" t="s">
        <v>42</v>
      </c>
      <c r="B13" s="38">
        <v>-100</v>
      </c>
      <c r="C13" s="14">
        <v>100</v>
      </c>
      <c r="D13" s="14">
        <v>100</v>
      </c>
      <c r="F13" s="43"/>
    </row>
    <row r="14" spans="1:13" outlineLevel="1">
      <c r="A14" s="13" t="s">
        <v>43</v>
      </c>
      <c r="B14" s="38">
        <v>-5700</v>
      </c>
      <c r="C14" s="14">
        <v>40100</v>
      </c>
      <c r="D14" s="14">
        <v>-4800</v>
      </c>
      <c r="F14" s="43"/>
    </row>
    <row r="15" spans="1:13" outlineLevel="1">
      <c r="A15" s="13" t="s">
        <v>44</v>
      </c>
      <c r="B15" s="38">
        <v>300</v>
      </c>
      <c r="C15" s="14">
        <v>-900</v>
      </c>
      <c r="D15" s="14">
        <v>400</v>
      </c>
      <c r="F15" s="43"/>
    </row>
    <row r="16" spans="1:13">
      <c r="A16" s="7" t="s">
        <v>45</v>
      </c>
      <c r="B16" s="35">
        <f>B17+B20+B26+B27+B28</f>
        <v>4598200</v>
      </c>
      <c r="C16" s="8">
        <f>C17+C20+C26+C27+C28</f>
        <v>4593700</v>
      </c>
      <c r="D16" s="8">
        <f>D17+D20+D26+D27+D28</f>
        <v>2509900</v>
      </c>
      <c r="F16" s="43"/>
    </row>
    <row r="17" spans="1:6">
      <c r="A17" s="9" t="s">
        <v>46</v>
      </c>
      <c r="B17" s="36">
        <f>SUM(B18:B19)</f>
        <v>172300</v>
      </c>
      <c r="C17" s="10">
        <f>SUM(C18:C19)</f>
        <v>150400</v>
      </c>
      <c r="D17" s="10">
        <f>SUM(D18:D19)</f>
        <v>153900</v>
      </c>
      <c r="F17" s="43"/>
    </row>
    <row r="18" spans="1:6" outlineLevel="1">
      <c r="A18" s="13" t="s">
        <v>47</v>
      </c>
      <c r="B18" s="38">
        <v>300</v>
      </c>
      <c r="C18" s="14">
        <v>300</v>
      </c>
      <c r="D18" s="14">
        <v>500</v>
      </c>
      <c r="F18" s="43"/>
    </row>
    <row r="19" spans="1:6" outlineLevel="1">
      <c r="A19" s="13" t="s">
        <v>48</v>
      </c>
      <c r="B19" s="38">
        <v>172000</v>
      </c>
      <c r="C19" s="14">
        <v>150100</v>
      </c>
      <c r="D19" s="14">
        <v>153400</v>
      </c>
      <c r="F19" s="43"/>
    </row>
    <row r="20" spans="1:6">
      <c r="A20" s="9" t="s">
        <v>49</v>
      </c>
      <c r="B20" s="36">
        <f>SUM(B21:B25)</f>
        <v>4157400</v>
      </c>
      <c r="C20" s="10">
        <f>SUM(C21:C25)</f>
        <v>4146400</v>
      </c>
      <c r="D20" s="10">
        <f>SUM(D21:D25)</f>
        <v>1561800</v>
      </c>
      <c r="F20" s="43"/>
    </row>
    <row r="21" spans="1:6" outlineLevel="1">
      <c r="A21" s="13" t="s">
        <v>50</v>
      </c>
      <c r="B21" s="38">
        <v>3945400</v>
      </c>
      <c r="C21" s="14">
        <v>3930500</v>
      </c>
      <c r="D21" s="14">
        <v>1493900</v>
      </c>
      <c r="F21" s="43"/>
    </row>
    <row r="22" spans="1:6" outlineLevel="1">
      <c r="A22" s="13" t="s">
        <v>51</v>
      </c>
      <c r="B22" s="38">
        <v>198900</v>
      </c>
      <c r="C22" s="14">
        <v>213500</v>
      </c>
      <c r="D22" s="14">
        <v>60700</v>
      </c>
      <c r="F22" s="43"/>
    </row>
    <row r="23" spans="1:6" outlineLevel="1">
      <c r="A23" s="13" t="s">
        <v>52</v>
      </c>
      <c r="B23" s="38">
        <v>200</v>
      </c>
      <c r="C23" s="14">
        <v>500</v>
      </c>
      <c r="D23" s="14">
        <v>600</v>
      </c>
      <c r="F23" s="43"/>
    </row>
    <row r="24" spans="1:6" outlineLevel="1">
      <c r="A24" s="13" t="s">
        <v>13</v>
      </c>
      <c r="B24" s="38">
        <v>11800</v>
      </c>
      <c r="C24" s="14">
        <v>1000</v>
      </c>
      <c r="D24" s="14">
        <v>6000</v>
      </c>
      <c r="F24" s="43"/>
    </row>
    <row r="25" spans="1:6" outlineLevel="1">
      <c r="A25" s="13" t="s">
        <v>53</v>
      </c>
      <c r="B25" s="38">
        <v>1100</v>
      </c>
      <c r="C25" s="14">
        <v>900</v>
      </c>
      <c r="D25" s="14">
        <v>600</v>
      </c>
      <c r="F25" s="43"/>
    </row>
    <row r="26" spans="1:6" ht="30">
      <c r="A26" s="9" t="s">
        <v>61</v>
      </c>
      <c r="B26" s="36">
        <v>0</v>
      </c>
      <c r="C26" s="10">
        <v>0</v>
      </c>
      <c r="D26" s="10">
        <v>497900</v>
      </c>
      <c r="F26" s="43"/>
    </row>
    <row r="27" spans="1:6">
      <c r="A27" s="9" t="s">
        <v>54</v>
      </c>
      <c r="B27" s="36">
        <v>42800</v>
      </c>
      <c r="C27" s="10">
        <v>58900</v>
      </c>
      <c r="D27" s="10">
        <v>65200</v>
      </c>
      <c r="F27" s="43"/>
    </row>
    <row r="28" spans="1:6">
      <c r="A28" s="9" t="s">
        <v>55</v>
      </c>
      <c r="B28" s="36">
        <v>225700</v>
      </c>
      <c r="C28" s="10">
        <v>238000</v>
      </c>
      <c r="D28" s="10">
        <v>231100</v>
      </c>
      <c r="F28" s="43"/>
    </row>
    <row r="29" spans="1:6">
      <c r="A29" s="7" t="s">
        <v>56</v>
      </c>
      <c r="B29" s="35">
        <f>B30+B31+B32+B38+B39+B45</f>
        <v>1952000</v>
      </c>
      <c r="C29" s="8">
        <f>C30+C31+C32+C38+C39+C45</f>
        <v>2181700</v>
      </c>
      <c r="D29" s="8">
        <f>D30+D31+D32+D38+D39+D45</f>
        <v>2795800</v>
      </c>
      <c r="F29" s="43"/>
    </row>
    <row r="30" spans="1:6">
      <c r="A30" s="9" t="s">
        <v>57</v>
      </c>
      <c r="B30" s="36">
        <v>0</v>
      </c>
      <c r="C30" s="10">
        <v>700</v>
      </c>
      <c r="D30" s="10">
        <v>0</v>
      </c>
      <c r="F30" s="43"/>
    </row>
    <row r="31" spans="1:6">
      <c r="A31" s="9" t="s">
        <v>58</v>
      </c>
      <c r="B31" s="36">
        <v>600</v>
      </c>
      <c r="C31" s="10">
        <v>700</v>
      </c>
      <c r="D31" s="10">
        <v>3200</v>
      </c>
      <c r="F31" s="43"/>
    </row>
    <row r="32" spans="1:6">
      <c r="A32" s="9" t="s">
        <v>59</v>
      </c>
      <c r="B32" s="36">
        <f>SUM(B33:B37)</f>
        <v>599500</v>
      </c>
      <c r="C32" s="10">
        <f>SUM(C33:C37)</f>
        <v>161800</v>
      </c>
      <c r="D32" s="10">
        <f>SUM(D33:D37)</f>
        <v>339700</v>
      </c>
      <c r="F32" s="43"/>
    </row>
    <row r="33" spans="1:6" outlineLevel="1">
      <c r="A33" s="13" t="s">
        <v>50</v>
      </c>
      <c r="B33" s="38">
        <v>526400</v>
      </c>
      <c r="C33" s="14">
        <v>26400</v>
      </c>
      <c r="D33" s="14">
        <v>3400</v>
      </c>
      <c r="F33" s="43"/>
    </row>
    <row r="34" spans="1:6" outlineLevel="1">
      <c r="A34" s="13" t="s">
        <v>51</v>
      </c>
      <c r="B34" s="38">
        <v>61100</v>
      </c>
      <c r="C34" s="14">
        <v>111500</v>
      </c>
      <c r="D34" s="14">
        <v>65900</v>
      </c>
      <c r="F34" s="43"/>
    </row>
    <row r="35" spans="1:6" outlineLevel="1">
      <c r="A35" s="13" t="s">
        <v>52</v>
      </c>
      <c r="B35" s="38">
        <v>400</v>
      </c>
      <c r="C35" s="14">
        <v>500</v>
      </c>
      <c r="D35" s="14">
        <v>600</v>
      </c>
      <c r="F35" s="43"/>
    </row>
    <row r="36" spans="1:6" outlineLevel="1">
      <c r="A36" s="13" t="s">
        <v>13</v>
      </c>
      <c r="B36" s="38">
        <v>11300</v>
      </c>
      <c r="C36" s="14">
        <v>22500</v>
      </c>
      <c r="D36" s="14">
        <v>28100</v>
      </c>
      <c r="F36" s="43"/>
    </row>
    <row r="37" spans="1:6" outlineLevel="1">
      <c r="A37" s="13" t="s">
        <v>53</v>
      </c>
      <c r="B37" s="38">
        <v>300</v>
      </c>
      <c r="C37" s="14">
        <v>900</v>
      </c>
      <c r="D37" s="14">
        <v>241700</v>
      </c>
      <c r="F37" s="43"/>
    </row>
    <row r="38" spans="1:6" ht="30">
      <c r="A38" s="9" t="s">
        <v>60</v>
      </c>
      <c r="B38" s="36">
        <v>512900</v>
      </c>
      <c r="C38" s="10">
        <v>1411200</v>
      </c>
      <c r="D38" s="10">
        <v>1544600</v>
      </c>
      <c r="F38" s="43"/>
    </row>
    <row r="39" spans="1:6">
      <c r="A39" s="9" t="s">
        <v>62</v>
      </c>
      <c r="B39" s="36">
        <f>SUM(B40:B44)</f>
        <v>801000</v>
      </c>
      <c r="C39" s="10">
        <f>SUM(C40:C44)</f>
        <v>573100</v>
      </c>
      <c r="D39" s="10">
        <f>SUM(D40:D44)</f>
        <v>840500</v>
      </c>
      <c r="F39" s="43"/>
    </row>
    <row r="40" spans="1:6" outlineLevel="1">
      <c r="A40" s="13" t="s">
        <v>63</v>
      </c>
      <c r="B40" s="38">
        <v>439200</v>
      </c>
      <c r="C40" s="14">
        <v>217700</v>
      </c>
      <c r="D40" s="14">
        <v>463300</v>
      </c>
      <c r="F40" s="43"/>
    </row>
    <row r="41" spans="1:6" outlineLevel="1">
      <c r="A41" s="13" t="s">
        <v>64</v>
      </c>
      <c r="B41" s="38">
        <v>337400</v>
      </c>
      <c r="C41" s="14">
        <v>326800</v>
      </c>
      <c r="D41" s="14">
        <v>321600</v>
      </c>
      <c r="F41" s="43"/>
    </row>
    <row r="42" spans="1:6" outlineLevel="1">
      <c r="A42" s="13" t="s">
        <v>65</v>
      </c>
      <c r="B42" s="38">
        <v>17900</v>
      </c>
      <c r="C42" s="14">
        <v>0</v>
      </c>
      <c r="D42" s="14">
        <v>1800</v>
      </c>
      <c r="F42" s="43"/>
    </row>
    <row r="43" spans="1:6" outlineLevel="1">
      <c r="A43" s="13" t="s">
        <v>66</v>
      </c>
      <c r="B43" s="38">
        <v>6000</v>
      </c>
      <c r="C43" s="14">
        <v>21700</v>
      </c>
      <c r="D43" s="14">
        <v>17400</v>
      </c>
      <c r="F43" s="43"/>
    </row>
    <row r="44" spans="1:6" outlineLevel="1">
      <c r="A44" s="13" t="s">
        <v>67</v>
      </c>
      <c r="B44" s="38">
        <v>500</v>
      </c>
      <c r="C44" s="14">
        <v>6900</v>
      </c>
      <c r="D44" s="14">
        <v>36400</v>
      </c>
      <c r="F44" s="43"/>
    </row>
    <row r="45" spans="1:6">
      <c r="A45" s="9" t="s">
        <v>26</v>
      </c>
      <c r="B45" s="36">
        <v>38000</v>
      </c>
      <c r="C45" s="10">
        <v>34200</v>
      </c>
      <c r="D45" s="10">
        <v>67800</v>
      </c>
      <c r="F45" s="43"/>
    </row>
    <row r="46" spans="1:6" ht="15.75" thickBot="1">
      <c r="A46" s="15" t="s">
        <v>68</v>
      </c>
      <c r="B46" s="39">
        <f>B2+B16+B29</f>
        <v>8107000</v>
      </c>
      <c r="C46" s="16">
        <f>C2+C16+C29</f>
        <v>8747400</v>
      </c>
      <c r="D46" s="16">
        <f>D2+D16+D29</f>
        <v>6653000</v>
      </c>
      <c r="F46" s="43"/>
    </row>
  </sheetData>
  <pageMargins left="0.7" right="0.7" top="0.75" bottom="0.75" header="0.3" footer="0.3"/>
  <ignoredErrors>
    <ignoredError sqref="B20 B32 B3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showGridLines="0" topLeftCell="A14" workbookViewId="0">
      <selection activeCell="A26" sqref="A26"/>
    </sheetView>
  </sheetViews>
  <sheetFormatPr defaultColWidth="11.42578125" defaultRowHeight="15" outlineLevelRow="1"/>
  <cols>
    <col min="1" max="1" width="40.42578125" style="3" customWidth="1"/>
    <col min="2" max="4" width="28.7109375" style="5" customWidth="1"/>
    <col min="5" max="5" width="14.5703125" bestFit="1" customWidth="1"/>
  </cols>
  <sheetData>
    <row r="1" spans="1:5" ht="15" customHeight="1">
      <c r="A1" s="6" t="s">
        <v>113</v>
      </c>
      <c r="B1" s="28" t="s">
        <v>105</v>
      </c>
      <c r="C1" s="27" t="s">
        <v>106</v>
      </c>
      <c r="D1" s="27" t="s">
        <v>107</v>
      </c>
    </row>
    <row r="2" spans="1:5" ht="15" customHeight="1">
      <c r="A2" s="9" t="s">
        <v>69</v>
      </c>
      <c r="B2" s="30">
        <f>SUM(B3)</f>
        <v>2014000</v>
      </c>
      <c r="C2" s="18">
        <f>C3</f>
        <v>1540500</v>
      </c>
      <c r="D2" s="18">
        <f>D3</f>
        <v>4737700</v>
      </c>
    </row>
    <row r="3" spans="1:5" ht="15" customHeight="1" outlineLevel="1">
      <c r="A3" s="23" t="s">
        <v>70</v>
      </c>
      <c r="B3" s="40">
        <v>2014000</v>
      </c>
      <c r="C3" s="21">
        <v>1540500</v>
      </c>
      <c r="D3" s="21">
        <v>4737700</v>
      </c>
      <c r="E3" s="43"/>
    </row>
    <row r="4" spans="1:5" ht="15" customHeight="1">
      <c r="A4" s="9" t="s">
        <v>71</v>
      </c>
      <c r="B4" s="30">
        <v>110600</v>
      </c>
      <c r="C4" s="18">
        <v>107600</v>
      </c>
      <c r="D4" s="18">
        <v>143800</v>
      </c>
      <c r="E4" s="43"/>
    </row>
    <row r="5" spans="1:5" ht="15" customHeight="1">
      <c r="A5" s="9" t="s">
        <v>72</v>
      </c>
      <c r="B5" s="30">
        <v>0</v>
      </c>
      <c r="C5" s="18">
        <v>0</v>
      </c>
      <c r="D5" s="18">
        <v>6900</v>
      </c>
      <c r="E5" s="43"/>
    </row>
    <row r="6" spans="1:5" ht="15" customHeight="1">
      <c r="A6" s="9" t="s">
        <v>73</v>
      </c>
      <c r="B6" s="30">
        <f>SUM(B7:B8)</f>
        <v>-120000</v>
      </c>
      <c r="C6" s="18">
        <f>SUM(C7:C8)</f>
        <v>-126600</v>
      </c>
      <c r="D6" s="18">
        <f>SUM(D7:D8)</f>
        <v>-127400</v>
      </c>
      <c r="E6" s="43"/>
    </row>
    <row r="7" spans="1:5" outlineLevel="1">
      <c r="A7" s="23" t="s">
        <v>74</v>
      </c>
      <c r="B7" s="40">
        <v>-89600</v>
      </c>
      <c r="C7" s="21">
        <v>-95700</v>
      </c>
      <c r="D7" s="21">
        <v>-94400</v>
      </c>
      <c r="E7" s="43"/>
    </row>
    <row r="8" spans="1:5" outlineLevel="1">
      <c r="A8" s="23" t="s">
        <v>75</v>
      </c>
      <c r="B8" s="40">
        <v>-30400</v>
      </c>
      <c r="C8" s="21">
        <v>-30900</v>
      </c>
      <c r="D8" s="21">
        <v>-33000</v>
      </c>
      <c r="E8" s="43"/>
    </row>
    <row r="9" spans="1:5">
      <c r="A9" s="9" t="s">
        <v>76</v>
      </c>
      <c r="B9" s="30">
        <f>SUM(B10:B13)</f>
        <v>-2019800</v>
      </c>
      <c r="C9" s="18">
        <f>SUM(C10:C13)</f>
        <v>-1867000</v>
      </c>
      <c r="D9" s="18">
        <f>SUM(D10:D13)</f>
        <v>-4000800</v>
      </c>
      <c r="E9" s="43"/>
    </row>
    <row r="10" spans="1:5" outlineLevel="1">
      <c r="A10" s="23" t="s">
        <v>77</v>
      </c>
      <c r="B10" s="40">
        <v>-81200</v>
      </c>
      <c r="C10" s="21">
        <v>-56500</v>
      </c>
      <c r="D10" s="21">
        <v>-68800</v>
      </c>
      <c r="E10" s="43"/>
    </row>
    <row r="11" spans="1:5" outlineLevel="1">
      <c r="A11" s="23" t="s">
        <v>78</v>
      </c>
      <c r="B11" s="40">
        <v>-21400</v>
      </c>
      <c r="C11" s="21">
        <v>-9900</v>
      </c>
      <c r="D11" s="21">
        <v>-400</v>
      </c>
      <c r="E11" s="43"/>
    </row>
    <row r="12" spans="1:5" ht="30" outlineLevel="1">
      <c r="A12" s="23" t="s">
        <v>79</v>
      </c>
      <c r="B12" s="40">
        <v>8000</v>
      </c>
      <c r="C12" s="21">
        <v>-22800</v>
      </c>
      <c r="D12" s="21">
        <v>-10400</v>
      </c>
      <c r="E12" s="43"/>
    </row>
    <row r="13" spans="1:5" outlineLevel="1">
      <c r="A13" s="23" t="s">
        <v>80</v>
      </c>
      <c r="B13" s="40">
        <v>-1925200</v>
      </c>
      <c r="C13" s="21">
        <v>-1777800</v>
      </c>
      <c r="D13" s="21">
        <v>-3921200</v>
      </c>
      <c r="E13" s="43"/>
    </row>
    <row r="14" spans="1:5">
      <c r="A14" s="9" t="s">
        <v>81</v>
      </c>
      <c r="B14" s="30">
        <v>-230100</v>
      </c>
      <c r="C14" s="18">
        <v>-267400</v>
      </c>
      <c r="D14" s="18">
        <v>-303200</v>
      </c>
      <c r="E14" s="43"/>
    </row>
    <row r="15" spans="1:5" ht="30">
      <c r="A15" s="9" t="s">
        <v>82</v>
      </c>
      <c r="B15" s="30">
        <f>SUM(B16:B17)</f>
        <v>-5000</v>
      </c>
      <c r="C15" s="18">
        <f>SUM(C16:C17)</f>
        <v>-17100</v>
      </c>
      <c r="D15" s="18">
        <f>SUM(D16:D17)</f>
        <v>-10500</v>
      </c>
      <c r="E15" s="43"/>
    </row>
    <row r="16" spans="1:5" outlineLevel="1">
      <c r="A16" s="23" t="s">
        <v>83</v>
      </c>
      <c r="B16" s="40">
        <v>-5000</v>
      </c>
      <c r="C16" s="21">
        <v>-17000</v>
      </c>
      <c r="D16" s="21">
        <v>-10500</v>
      </c>
      <c r="E16" s="43"/>
    </row>
    <row r="17" spans="1:5" outlineLevel="1">
      <c r="A17" s="23" t="s">
        <v>84</v>
      </c>
      <c r="B17" s="40">
        <v>0</v>
      </c>
      <c r="C17" s="21">
        <v>-100</v>
      </c>
      <c r="D17" s="21">
        <v>0</v>
      </c>
      <c r="E17" s="43"/>
    </row>
    <row r="18" spans="1:5">
      <c r="A18" s="7" t="s">
        <v>85</v>
      </c>
      <c r="B18" s="29">
        <f>B2+B4+B5+B6+B9+B14+B15</f>
        <v>-250300</v>
      </c>
      <c r="C18" s="17">
        <f>C2+C4+C5+C6+C9+C14+C15</f>
        <v>-630000</v>
      </c>
      <c r="D18" s="17">
        <f>D2+D4+D5+D6+D9+D14+D15</f>
        <v>446500</v>
      </c>
      <c r="E18" s="43"/>
    </row>
    <row r="19" spans="1:5">
      <c r="A19" s="9" t="s">
        <v>86</v>
      </c>
      <c r="B19" s="30">
        <f>B20+B23</f>
        <v>39700</v>
      </c>
      <c r="C19" s="18">
        <f>C20+C23</f>
        <v>416300</v>
      </c>
      <c r="D19" s="18">
        <f>D20+D23</f>
        <v>424700</v>
      </c>
      <c r="E19" s="43"/>
    </row>
    <row r="20" spans="1:5" ht="30">
      <c r="A20" s="24" t="s">
        <v>87</v>
      </c>
      <c r="B20" s="41">
        <f>SUM(B21:B22)</f>
        <v>25600</v>
      </c>
      <c r="C20" s="25">
        <f>SUM(C21:C22)</f>
        <v>390300</v>
      </c>
      <c r="D20" s="25">
        <f>SUM(D21:D22)</f>
        <v>378000</v>
      </c>
      <c r="E20" s="43"/>
    </row>
    <row r="21" spans="1:5" outlineLevel="1">
      <c r="A21" s="23" t="s">
        <v>88</v>
      </c>
      <c r="B21" s="40">
        <v>25600</v>
      </c>
      <c r="C21" s="21">
        <v>389800</v>
      </c>
      <c r="D21" s="21">
        <v>377400</v>
      </c>
      <c r="E21" s="43"/>
    </row>
    <row r="22" spans="1:5" outlineLevel="1">
      <c r="A22" s="23" t="s">
        <v>89</v>
      </c>
      <c r="B22" s="40">
        <v>0</v>
      </c>
      <c r="C22" s="21">
        <v>500</v>
      </c>
      <c r="D22" s="21">
        <v>600</v>
      </c>
      <c r="E22" s="43"/>
    </row>
    <row r="23" spans="1:5" ht="30">
      <c r="A23" s="24" t="s">
        <v>102</v>
      </c>
      <c r="B23" s="41">
        <f>SUM(B24:B25)</f>
        <v>14100</v>
      </c>
      <c r="C23" s="25">
        <f>SUM(C24:C25)</f>
        <v>26000</v>
      </c>
      <c r="D23" s="25">
        <f>SUM(D24:D25)</f>
        <v>46700</v>
      </c>
      <c r="E23" s="43"/>
    </row>
    <row r="24" spans="1:5" outlineLevel="1">
      <c r="A24" s="23" t="s">
        <v>90</v>
      </c>
      <c r="B24" s="40">
        <v>5200</v>
      </c>
      <c r="C24" s="21">
        <v>18300</v>
      </c>
      <c r="D24" s="21">
        <v>46400</v>
      </c>
      <c r="E24" s="43"/>
    </row>
    <row r="25" spans="1:5" outlineLevel="1">
      <c r="A25" s="23" t="s">
        <v>91</v>
      </c>
      <c r="B25" s="40">
        <v>8900</v>
      </c>
      <c r="C25" s="21">
        <v>7700</v>
      </c>
      <c r="D25" s="21">
        <v>300</v>
      </c>
      <c r="E25" s="43"/>
    </row>
    <row r="26" spans="1:5">
      <c r="A26" s="9" t="s">
        <v>92</v>
      </c>
      <c r="B26" s="30">
        <f>SUM(B27:B28)</f>
        <v>-100400</v>
      </c>
      <c r="C26" s="18">
        <f>SUM(C27:C28)</f>
        <v>-81000</v>
      </c>
      <c r="D26" s="18">
        <f>SUM(D27:D28)</f>
        <v>-43900</v>
      </c>
      <c r="E26" s="43"/>
    </row>
    <row r="27" spans="1:5" ht="30" outlineLevel="1">
      <c r="A27" s="23" t="s">
        <v>93</v>
      </c>
      <c r="B27" s="40">
        <v>-6200</v>
      </c>
      <c r="C27" s="21">
        <v>-13200</v>
      </c>
      <c r="D27" s="21">
        <v>-16600</v>
      </c>
      <c r="E27" s="43"/>
    </row>
    <row r="28" spans="1:5" outlineLevel="1">
      <c r="A28" s="23" t="s">
        <v>94</v>
      </c>
      <c r="B28" s="40">
        <v>-94200</v>
      </c>
      <c r="C28" s="21">
        <v>-67800</v>
      </c>
      <c r="D28" s="21">
        <v>-27300</v>
      </c>
      <c r="E28" s="43"/>
    </row>
    <row r="29" spans="1:5">
      <c r="A29" s="9" t="s">
        <v>95</v>
      </c>
      <c r="B29" s="30">
        <v>6200</v>
      </c>
      <c r="C29" s="18">
        <v>-19300</v>
      </c>
      <c r="D29" s="18">
        <v>-14500</v>
      </c>
      <c r="E29" s="43"/>
    </row>
    <row r="30" spans="1:5" ht="30">
      <c r="A30" s="9" t="s">
        <v>96</v>
      </c>
      <c r="B30" s="30">
        <f>SUM(B31:B32)</f>
        <v>-86300</v>
      </c>
      <c r="C30" s="18">
        <f>SUM(C31:C32)</f>
        <v>-23400</v>
      </c>
      <c r="D30" s="18">
        <f>SUM(D31:D32)</f>
        <v>-23500</v>
      </c>
      <c r="E30" s="43"/>
    </row>
    <row r="31" spans="1:5" outlineLevel="1">
      <c r="A31" s="23" t="s">
        <v>83</v>
      </c>
      <c r="B31" s="40">
        <v>-87400</v>
      </c>
      <c r="C31" s="21">
        <v>-28200</v>
      </c>
      <c r="D31" s="21">
        <v>-38500</v>
      </c>
      <c r="E31" s="43"/>
    </row>
    <row r="32" spans="1:5" outlineLevel="1">
      <c r="A32" s="23" t="s">
        <v>97</v>
      </c>
      <c r="B32" s="40">
        <v>1100</v>
      </c>
      <c r="C32" s="21">
        <v>4800</v>
      </c>
      <c r="D32" s="21">
        <v>15000</v>
      </c>
      <c r="E32" s="43"/>
    </row>
    <row r="33" spans="1:5">
      <c r="A33" s="7" t="s">
        <v>98</v>
      </c>
      <c r="B33" s="29">
        <f>B19+B26+B29+B30</f>
        <v>-140800</v>
      </c>
      <c r="C33" s="17">
        <f>C19+C26+C29+C30</f>
        <v>292600</v>
      </c>
      <c r="D33" s="17">
        <f>D19+D26+D29+D30</f>
        <v>342800</v>
      </c>
      <c r="E33" s="43"/>
    </row>
    <row r="34" spans="1:5">
      <c r="A34" s="7" t="s">
        <v>99</v>
      </c>
      <c r="B34" s="29">
        <f>B18+B33</f>
        <v>-391100</v>
      </c>
      <c r="C34" s="17">
        <f>C18+C33</f>
        <v>-337400</v>
      </c>
      <c r="D34" s="17">
        <f>D18+D33</f>
        <v>789300</v>
      </c>
      <c r="E34" s="43"/>
    </row>
    <row r="35" spans="1:5" ht="15.75" thickBot="1">
      <c r="A35" s="23" t="s">
        <v>100</v>
      </c>
      <c r="B35" s="40">
        <v>53400</v>
      </c>
      <c r="C35" s="21">
        <v>146100</v>
      </c>
      <c r="D35" s="21">
        <v>-145900</v>
      </c>
      <c r="E35" s="43"/>
    </row>
    <row r="36" spans="1:5" ht="15.75" thickBot="1">
      <c r="A36" s="22" t="s">
        <v>101</v>
      </c>
      <c r="B36" s="42">
        <f>B34+B35</f>
        <v>-337700</v>
      </c>
      <c r="C36" s="26">
        <f>C34+C35</f>
        <v>-191300</v>
      </c>
      <c r="D36" s="26">
        <f>D34+D35</f>
        <v>643400</v>
      </c>
    </row>
  </sheetData>
  <pageMargins left="0.7" right="0.7" top="0.75" bottom="0.75" header="0.3" footer="0.3"/>
  <ignoredErrors>
    <ignoredError sqref="B9 B26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2"/>
  <sheetViews>
    <sheetView workbookViewId="0">
      <selection activeCell="K3" sqref="K3"/>
    </sheetView>
  </sheetViews>
  <sheetFormatPr defaultColWidth="11.42578125" defaultRowHeight="15" customHeight="1"/>
  <cols>
    <col min="1" max="1" width="32.5703125" bestFit="1" customWidth="1"/>
    <col min="2" max="4" width="14.5703125" bestFit="1" customWidth="1"/>
    <col min="9" max="9" width="14.28515625" bestFit="1" customWidth="1"/>
  </cols>
  <sheetData>
    <row r="1" spans="1:13" ht="15" customHeight="1">
      <c r="A1" s="6" t="s">
        <v>118</v>
      </c>
      <c r="B1" s="54" t="s">
        <v>105</v>
      </c>
      <c r="C1" s="54" t="s">
        <v>106</v>
      </c>
      <c r="D1" s="27" t="s">
        <v>107</v>
      </c>
      <c r="H1" s="52" t="s">
        <v>135</v>
      </c>
      <c r="I1" s="52" t="s">
        <v>115</v>
      </c>
      <c r="J1" s="52" t="s">
        <v>138</v>
      </c>
      <c r="K1" s="67" t="s">
        <v>136</v>
      </c>
      <c r="L1" s="52" t="s">
        <v>137</v>
      </c>
      <c r="M1" s="45"/>
    </row>
    <row r="2" spans="1:13" ht="15" customHeight="1">
      <c r="A2" s="9" t="s">
        <v>122</v>
      </c>
      <c r="B2" s="53">
        <f>SUM(B3:B5)</f>
        <v>5677400</v>
      </c>
      <c r="C2" s="53">
        <f t="shared" ref="C2:D2" si="0">SUM(C3:C5)</f>
        <v>5817200</v>
      </c>
      <c r="D2" s="55">
        <f t="shared" si="0"/>
        <v>5727000</v>
      </c>
      <c r="H2" s="44" t="s">
        <v>132</v>
      </c>
      <c r="I2" s="46">
        <f>'Balance financiero'!B18+'Balance financiero'!B21</f>
        <v>5710600</v>
      </c>
      <c r="J2" s="47">
        <f>I2/$B$4</f>
        <v>1.3989368217339115</v>
      </c>
      <c r="K2" s="47" t="e">
        <f>J6</f>
        <v>#DIV/0!</v>
      </c>
      <c r="L2" s="47" t="e">
        <f>+J2*K2</f>
        <v>#DIV/0!</v>
      </c>
      <c r="M2" s="45"/>
    </row>
    <row r="3" spans="1:13" ht="15" customHeight="1" thickBot="1">
      <c r="A3" s="56" t="s">
        <v>128</v>
      </c>
      <c r="B3" s="51">
        <f>Activo!B3+Activo!B9</f>
        <v>1248000</v>
      </c>
      <c r="C3" s="51">
        <f>Activo!C3+Activo!C9</f>
        <v>1368500</v>
      </c>
      <c r="D3" s="21">
        <f>Activo!D3+Activo!D9</f>
        <v>1544100</v>
      </c>
      <c r="H3" s="44" t="s">
        <v>140</v>
      </c>
      <c r="I3" s="65">
        <f>'Balance financiero'!C14</f>
        <v>1972000</v>
      </c>
      <c r="J3" s="50">
        <f>I3/$B$4</f>
        <v>0.48308468680336103</v>
      </c>
      <c r="K3" s="50">
        <f>I13</f>
        <v>0</v>
      </c>
      <c r="L3" s="50">
        <f>+J3*K3</f>
        <v>0</v>
      </c>
      <c r="M3" s="45"/>
    </row>
    <row r="4" spans="1:13" ht="15" customHeight="1" thickBot="1">
      <c r="A4" s="56" t="s">
        <v>129</v>
      </c>
      <c r="B4" s="51">
        <f>Activo!B11+Activo!B14</f>
        <v>4082100</v>
      </c>
      <c r="C4" s="51">
        <f>Activo!C11+Activo!C14</f>
        <v>4170700</v>
      </c>
      <c r="D4" s="21">
        <f>Activo!D11+Activo!D14</f>
        <v>4025900</v>
      </c>
      <c r="H4" s="44"/>
      <c r="I4" s="46">
        <f>SUM(I2:I3)</f>
        <v>7682600</v>
      </c>
      <c r="J4" s="48">
        <v>1</v>
      </c>
      <c r="K4" s="68"/>
      <c r="L4" s="64" t="e">
        <f>SUM(L2:L3)</f>
        <v>#DIV/0!</v>
      </c>
      <c r="M4" s="63" t="s">
        <v>109</v>
      </c>
    </row>
    <row r="5" spans="1:13" ht="15" customHeight="1">
      <c r="A5" s="56" t="s">
        <v>130</v>
      </c>
      <c r="B5" s="51">
        <f>Activo!B18</f>
        <v>347300</v>
      </c>
      <c r="C5" s="51">
        <f>Activo!C18</f>
        <v>278000</v>
      </c>
      <c r="D5" s="21">
        <f>Activo!D18</f>
        <v>157000</v>
      </c>
      <c r="H5" s="44"/>
      <c r="I5" s="46"/>
      <c r="J5" s="48"/>
      <c r="K5" s="68"/>
      <c r="L5" s="45"/>
      <c r="M5" s="45"/>
    </row>
    <row r="6" spans="1:13" ht="15" customHeight="1">
      <c r="A6" s="9" t="s">
        <v>110</v>
      </c>
      <c r="B6" s="53">
        <f>B7-B8</f>
        <v>558300</v>
      </c>
      <c r="C6" s="53">
        <f t="shared" ref="C6:D6" si="1">C7-C8</f>
        <v>1070700</v>
      </c>
      <c r="D6" s="55">
        <f t="shared" si="1"/>
        <v>-123200</v>
      </c>
      <c r="H6" s="44" t="s">
        <v>116</v>
      </c>
      <c r="I6" s="49">
        <f>I7/I2</f>
        <v>0</v>
      </c>
      <c r="J6" s="47" t="e">
        <f>I6*(1-I9)</f>
        <v>#DIV/0!</v>
      </c>
      <c r="K6" s="68"/>
      <c r="L6" s="45"/>
      <c r="M6" s="45"/>
    </row>
    <row r="7" spans="1:13" ht="15" customHeight="1">
      <c r="A7" s="56" t="s">
        <v>123</v>
      </c>
      <c r="B7" s="51">
        <f>Activo!B20+Activo!B21+Activo!B33+Activo!B34</f>
        <v>1397900</v>
      </c>
      <c r="C7" s="51">
        <f>Activo!C20+Activo!C21+Activo!C33+Activo!C34</f>
        <v>1679400</v>
      </c>
      <c r="D7" s="21">
        <f>Activo!D20+Activo!D21+Activo!D33+Activo!D34</f>
        <v>788300</v>
      </c>
      <c r="H7" s="44" t="s">
        <v>108</v>
      </c>
      <c r="I7" s="60">
        <f>PYG!I26*-1</f>
        <v>0</v>
      </c>
      <c r="J7" s="47"/>
      <c r="K7" s="68"/>
      <c r="L7" s="45"/>
      <c r="M7" s="45"/>
    </row>
    <row r="8" spans="1:13" ht="15" customHeight="1">
      <c r="A8" s="56" t="s">
        <v>124</v>
      </c>
      <c r="B8" s="51">
        <f>Pasivo!B30+Pasivo!B31+Pasivo!B39+Pasivo!B45</f>
        <v>839600</v>
      </c>
      <c r="C8" s="51">
        <f>Pasivo!C30+Pasivo!C31+Pasivo!C39+Pasivo!C45</f>
        <v>608700</v>
      </c>
      <c r="D8" s="21">
        <f>Pasivo!D30+Pasivo!D31+Pasivo!D39+Pasivo!D45</f>
        <v>911500</v>
      </c>
      <c r="H8" s="44"/>
      <c r="I8" s="49"/>
      <c r="J8" s="47"/>
      <c r="K8" s="68"/>
      <c r="L8" s="45"/>
      <c r="M8" s="45"/>
    </row>
    <row r="9" spans="1:13" ht="15" customHeight="1">
      <c r="A9" s="9" t="s">
        <v>119</v>
      </c>
      <c r="B9" s="53">
        <f>Activo!B27+Activo!B30</f>
        <v>1031700</v>
      </c>
      <c r="C9" s="53">
        <f>Activo!C27+Activo!C30</f>
        <v>1250800</v>
      </c>
      <c r="D9" s="55">
        <f>Activo!D27+Activo!D30</f>
        <v>137700</v>
      </c>
      <c r="H9" s="44" t="s">
        <v>133</v>
      </c>
      <c r="I9" s="61" t="e">
        <f>I10/I11*-1</f>
        <v>#DIV/0!</v>
      </c>
      <c r="J9" s="47"/>
      <c r="K9" s="68"/>
      <c r="L9" s="45"/>
      <c r="M9" s="45"/>
    </row>
    <row r="10" spans="1:13" ht="15" customHeight="1" thickBot="1">
      <c r="A10" s="15" t="s">
        <v>120</v>
      </c>
      <c r="B10" s="57">
        <f>B2+B6+B9</f>
        <v>7267400</v>
      </c>
      <c r="C10" s="57">
        <f>C2+C6+C9</f>
        <v>8138700</v>
      </c>
      <c r="D10" s="58">
        <f>D2+D6+D9</f>
        <v>5741500</v>
      </c>
      <c r="H10" s="44" t="s">
        <v>134</v>
      </c>
      <c r="I10" s="60">
        <f>PYG!I35</f>
        <v>0</v>
      </c>
      <c r="J10" s="47"/>
      <c r="K10" s="68"/>
      <c r="L10" s="45"/>
      <c r="M10" s="45"/>
    </row>
    <row r="11" spans="1:13" ht="15" customHeight="1">
      <c r="H11" s="44" t="s">
        <v>103</v>
      </c>
      <c r="I11" s="60">
        <f>PYG!I34</f>
        <v>0</v>
      </c>
      <c r="J11" s="47"/>
      <c r="K11" s="68"/>
      <c r="L11" s="45"/>
      <c r="M11" s="45"/>
    </row>
    <row r="12" spans="1:13" ht="15" customHeight="1" thickBot="1">
      <c r="H12" s="44"/>
      <c r="I12" s="49"/>
      <c r="J12" s="47"/>
      <c r="K12" s="68"/>
      <c r="L12" s="45"/>
      <c r="M12" s="45"/>
    </row>
    <row r="13" spans="1:13" ht="15" customHeight="1">
      <c r="A13" s="6" t="s">
        <v>111</v>
      </c>
      <c r="B13" s="54" t="s">
        <v>105</v>
      </c>
      <c r="C13" s="54" t="s">
        <v>106</v>
      </c>
      <c r="D13" s="27" t="s">
        <v>107</v>
      </c>
      <c r="H13" s="44" t="s">
        <v>117</v>
      </c>
      <c r="I13" s="49">
        <f>0</f>
        <v>0</v>
      </c>
      <c r="J13" s="46"/>
      <c r="K13" s="68"/>
      <c r="L13" s="45"/>
      <c r="M13" s="45"/>
    </row>
    <row r="14" spans="1:13" ht="15" customHeight="1">
      <c r="A14" s="9" t="s">
        <v>125</v>
      </c>
      <c r="B14" s="53">
        <f>SUM(B15:B17)</f>
        <v>1556800</v>
      </c>
      <c r="C14" s="53">
        <f t="shared" ref="C14:D14" si="2">SUM(C15:C17)</f>
        <v>1972000</v>
      </c>
      <c r="D14" s="55">
        <f t="shared" si="2"/>
        <v>1347300</v>
      </c>
      <c r="H14" s="44" t="s">
        <v>104</v>
      </c>
      <c r="I14" s="62">
        <v>0</v>
      </c>
      <c r="J14" s="46"/>
      <c r="K14" s="68"/>
      <c r="L14" s="45"/>
      <c r="M14" s="45"/>
    </row>
    <row r="15" spans="1:13" ht="15" customHeight="1">
      <c r="A15" s="56" t="s">
        <v>131</v>
      </c>
      <c r="B15" s="51">
        <f>Pasivo!B4+Pasivo!B5+Pasivo!B6+Pasivo!B7+Pasivo!B8+Pasivo!B10+Pasivo!B11</f>
        <v>1912400</v>
      </c>
      <c r="C15" s="51">
        <f>Pasivo!C4+Pasivo!C5+Pasivo!C6+Pasivo!C7+Pasivo!C8+Pasivo!C10+Pasivo!C11</f>
        <v>2124000</v>
      </c>
      <c r="D15" s="21">
        <f>Pasivo!D4+Pasivo!D5+Pasivo!D6+Pasivo!D7+Pasivo!D8+Pasivo!D10+Pasivo!D11</f>
        <v>708200</v>
      </c>
    </row>
    <row r="16" spans="1:13" ht="15" customHeight="1">
      <c r="A16" s="56" t="s">
        <v>121</v>
      </c>
      <c r="B16" s="51">
        <f>Pasivo!B9</f>
        <v>-350100</v>
      </c>
      <c r="C16" s="51">
        <f>Pasivo!C9</f>
        <v>-191300</v>
      </c>
      <c r="D16" s="21">
        <f>Pasivo!D9</f>
        <v>643400</v>
      </c>
    </row>
    <row r="17" spans="1:4" ht="15" customHeight="1">
      <c r="A17" s="56" t="s">
        <v>130</v>
      </c>
      <c r="B17" s="51">
        <f>Pasivo!B12</f>
        <v>-5500</v>
      </c>
      <c r="C17" s="51">
        <f>Pasivo!C12</f>
        <v>39300</v>
      </c>
      <c r="D17" s="21">
        <f>Pasivo!D12</f>
        <v>-4300</v>
      </c>
    </row>
    <row r="18" spans="1:4" ht="15" customHeight="1">
      <c r="A18" s="9" t="s">
        <v>126</v>
      </c>
      <c r="B18" s="53">
        <f>SUM(B19:B20)</f>
        <v>4598200</v>
      </c>
      <c r="C18" s="53">
        <f t="shared" ref="C18:D18" si="3">SUM(C19:C20)</f>
        <v>4593700</v>
      </c>
      <c r="D18" s="55">
        <f t="shared" si="3"/>
        <v>2509900</v>
      </c>
    </row>
    <row r="19" spans="1:4" ht="15" customHeight="1">
      <c r="A19" s="56" t="s">
        <v>49</v>
      </c>
      <c r="B19" s="51">
        <f>Pasivo!B20+Pasivo!B26</f>
        <v>4157400</v>
      </c>
      <c r="C19" s="51">
        <f>Pasivo!C20+Pasivo!C26</f>
        <v>4146400</v>
      </c>
      <c r="D19" s="21">
        <f>Pasivo!D20+Pasivo!D26</f>
        <v>2059700</v>
      </c>
    </row>
    <row r="20" spans="1:4" ht="15" customHeight="1">
      <c r="A20" s="56" t="s">
        <v>142</v>
      </c>
      <c r="B20" s="51">
        <f>Pasivo!B17+Pasivo!B27+Pasivo!B28</f>
        <v>440800</v>
      </c>
      <c r="C20" s="51">
        <f>Pasivo!C17+Pasivo!C27+Pasivo!C28</f>
        <v>447300</v>
      </c>
      <c r="D20" s="21">
        <f>Pasivo!D17+Pasivo!D27+Pasivo!D28</f>
        <v>450200</v>
      </c>
    </row>
    <row r="21" spans="1:4" ht="15" customHeight="1">
      <c r="A21" s="9" t="s">
        <v>127</v>
      </c>
      <c r="B21" s="53">
        <f>Pasivo!B32+Pasivo!B38</f>
        <v>1112400</v>
      </c>
      <c r="C21" s="53">
        <f>Pasivo!C32+Pasivo!C38</f>
        <v>1573000</v>
      </c>
      <c r="D21" s="55">
        <f>Pasivo!D32+Pasivo!D38</f>
        <v>1884300</v>
      </c>
    </row>
    <row r="22" spans="1:4" ht="15" customHeight="1" thickBot="1">
      <c r="A22" s="15" t="s">
        <v>120</v>
      </c>
      <c r="B22" s="57">
        <f>B14+B18+B21</f>
        <v>7267400</v>
      </c>
      <c r="C22" s="57">
        <f>C14+C18+C21</f>
        <v>8138700</v>
      </c>
      <c r="D22" s="58">
        <f>D14+D18+D21</f>
        <v>5741500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2"/>
  <sheetViews>
    <sheetView tabSelected="1" workbookViewId="0">
      <selection activeCell="E35" sqref="E35"/>
    </sheetView>
  </sheetViews>
  <sheetFormatPr defaultColWidth="11.42578125" defaultRowHeight="15"/>
  <cols>
    <col min="1" max="1" width="30.5703125" bestFit="1" customWidth="1"/>
    <col min="2" max="2" width="14.5703125" bestFit="1" customWidth="1"/>
    <col min="3" max="3" width="14.5703125" customWidth="1"/>
    <col min="4" max="4" width="14.5703125" style="4" bestFit="1" customWidth="1"/>
    <col min="5" max="5" width="16.7109375" bestFit="1" customWidth="1"/>
    <col min="6" max="6" width="14.5703125" bestFit="1" customWidth="1"/>
    <col min="7" max="7" width="14.5703125" customWidth="1"/>
  </cols>
  <sheetData>
    <row r="1" spans="1:7" ht="15.75">
      <c r="A1" s="52" t="s">
        <v>135</v>
      </c>
      <c r="B1" s="52" t="s">
        <v>115</v>
      </c>
      <c r="C1" s="52" t="s">
        <v>138</v>
      </c>
      <c r="D1" s="67" t="s">
        <v>136</v>
      </c>
      <c r="E1" s="52" t="s">
        <v>137</v>
      </c>
      <c r="F1" s="45"/>
      <c r="G1" s="43"/>
    </row>
    <row r="2" spans="1:7" ht="15.75">
      <c r="A2" s="44" t="s">
        <v>132</v>
      </c>
      <c r="B2" s="46"/>
      <c r="C2" s="47">
        <f>B2/$B$4</f>
        <v>0</v>
      </c>
      <c r="D2" s="47" t="e">
        <f>C6</f>
        <v>#DIV/0!</v>
      </c>
      <c r="E2" s="47" t="e">
        <f>+C2*D2</f>
        <v>#DIV/0!</v>
      </c>
      <c r="F2" s="45"/>
      <c r="G2" s="43"/>
    </row>
    <row r="3" spans="1:7" ht="16.5" thickBot="1">
      <c r="A3" s="44" t="s">
        <v>140</v>
      </c>
      <c r="B3" s="65">
        <f>'Balance financiero'!B14</f>
        <v>1556800</v>
      </c>
      <c r="C3" s="50">
        <f>B3/$B$4</f>
        <v>1</v>
      </c>
      <c r="D3" s="50">
        <f>B13</f>
        <v>0</v>
      </c>
      <c r="E3" s="50">
        <f>+C3*D3</f>
        <v>0</v>
      </c>
      <c r="F3" s="45"/>
    </row>
    <row r="4" spans="1:7" ht="16.5" thickBot="1">
      <c r="A4" s="44"/>
      <c r="B4" s="46">
        <f>SUM(B2:B3)</f>
        <v>1556800</v>
      </c>
      <c r="C4" s="48">
        <v>1</v>
      </c>
      <c r="D4" s="68"/>
      <c r="E4" s="64" t="e">
        <f>SUM(E2:E3)</f>
        <v>#DIV/0!</v>
      </c>
      <c r="F4" s="63" t="s">
        <v>109</v>
      </c>
    </row>
    <row r="5" spans="1:7" ht="15.75">
      <c r="A5" s="44"/>
      <c r="B5" s="46"/>
      <c r="C5" s="48"/>
      <c r="D5" s="68"/>
      <c r="E5" s="45"/>
      <c r="F5" s="45"/>
    </row>
    <row r="6" spans="1:7" ht="15.75">
      <c r="A6" s="44" t="s">
        <v>116</v>
      </c>
      <c r="B6" s="49" t="e">
        <f>B7/B2</f>
        <v>#DIV/0!</v>
      </c>
      <c r="C6" s="47" t="e">
        <f>B6*(1-B9)</f>
        <v>#DIV/0!</v>
      </c>
      <c r="D6" s="68"/>
      <c r="E6" s="45"/>
      <c r="F6" s="45"/>
    </row>
    <row r="7" spans="1:7" ht="15.75">
      <c r="A7" s="44" t="s">
        <v>108</v>
      </c>
      <c r="B7" s="60">
        <f>PYG!B26*-1</f>
        <v>100400</v>
      </c>
      <c r="C7" s="47"/>
      <c r="D7" s="68"/>
      <c r="E7" s="45"/>
      <c r="F7" s="45"/>
    </row>
    <row r="8" spans="1:7" ht="15.75">
      <c r="A8" s="44"/>
      <c r="B8" s="49"/>
      <c r="C8" s="47"/>
      <c r="D8" s="68"/>
      <c r="E8" s="45"/>
      <c r="F8" s="45"/>
    </row>
    <row r="9" spans="1:7" ht="15.75">
      <c r="A9" s="44" t="s">
        <v>133</v>
      </c>
      <c r="B9" s="61">
        <f>B10/B11*-1</f>
        <v>0.13653796982868832</v>
      </c>
      <c r="C9" s="47"/>
      <c r="D9" s="68"/>
      <c r="E9" s="45"/>
      <c r="F9" s="45"/>
    </row>
    <row r="10" spans="1:7" ht="15.75">
      <c r="A10" s="44" t="s">
        <v>134</v>
      </c>
      <c r="B10" s="60">
        <f>PYG!B35</f>
        <v>53400</v>
      </c>
      <c r="C10" s="47"/>
      <c r="D10" s="68"/>
      <c r="E10" s="45"/>
      <c r="F10" s="45"/>
    </row>
    <row r="11" spans="1:7" ht="15.75">
      <c r="A11" s="44" t="s">
        <v>103</v>
      </c>
      <c r="B11" s="60">
        <f>PYG!B34</f>
        <v>-391100</v>
      </c>
      <c r="C11" s="47"/>
      <c r="D11" s="68"/>
      <c r="E11" s="45"/>
      <c r="F11" s="45"/>
    </row>
    <row r="12" spans="1:7" ht="15.75">
      <c r="A12" s="44"/>
      <c r="B12" s="49"/>
      <c r="C12" s="47"/>
      <c r="D12" s="68"/>
      <c r="E12" s="45"/>
      <c r="F12" s="45"/>
    </row>
    <row r="13" spans="1:7" ht="15.75">
      <c r="A13" s="44" t="s">
        <v>117</v>
      </c>
      <c r="B13" s="49">
        <f>0</f>
        <v>0</v>
      </c>
      <c r="C13" s="46"/>
      <c r="D13" s="68"/>
      <c r="E13" s="45"/>
      <c r="F13" s="45"/>
    </row>
    <row r="14" spans="1:7" ht="15.75">
      <c r="A14" s="44" t="s">
        <v>104</v>
      </c>
      <c r="B14" s="62">
        <v>0</v>
      </c>
      <c r="C14" s="46"/>
      <c r="D14" s="68"/>
      <c r="E14" s="45"/>
      <c r="F14" s="45"/>
    </row>
    <row r="17" spans="1:6" ht="15.75">
      <c r="A17" s="52" t="s">
        <v>139</v>
      </c>
      <c r="B17" s="52" t="s">
        <v>115</v>
      </c>
      <c r="C17" s="52" t="s">
        <v>138</v>
      </c>
      <c r="D17" s="67" t="s">
        <v>136</v>
      </c>
      <c r="E17" s="52" t="s">
        <v>137</v>
      </c>
      <c r="F17" s="45"/>
    </row>
    <row r="18" spans="1:6" ht="15.75">
      <c r="A18" s="44" t="s">
        <v>132</v>
      </c>
      <c r="B18" s="46">
        <f>'Balance financiero'!C18+'Balance financiero'!C21</f>
        <v>6166700</v>
      </c>
      <c r="C18" s="47">
        <f>B18/$B$20</f>
        <v>0.75770086131691794</v>
      </c>
      <c r="D18" s="47">
        <f>C22</f>
        <v>7.4473555690131371E-3</v>
      </c>
      <c r="E18" s="47">
        <f>+C18*D18</f>
        <v>5.6428677291745994E-3</v>
      </c>
      <c r="F18" s="45"/>
    </row>
    <row r="19" spans="1:6" ht="16.5" thickBot="1">
      <c r="A19" s="44" t="s">
        <v>140</v>
      </c>
      <c r="B19" s="65">
        <f>'Balance financiero'!C14</f>
        <v>1972000</v>
      </c>
      <c r="C19" s="50">
        <f>B19/$B$20</f>
        <v>0.24229913868308206</v>
      </c>
      <c r="D19" s="50">
        <f>B29</f>
        <v>0</v>
      </c>
      <c r="E19" s="50">
        <f>+C19*D19</f>
        <v>0</v>
      </c>
      <c r="F19" s="45"/>
    </row>
    <row r="20" spans="1:6" ht="16.5" thickBot="1">
      <c r="A20" s="44"/>
      <c r="B20" s="46">
        <f>SUM(B18:B19)</f>
        <v>8138700</v>
      </c>
      <c r="C20" s="48">
        <v>1</v>
      </c>
      <c r="D20" s="68"/>
      <c r="E20" s="64">
        <f>SUM(E18:E19)</f>
        <v>5.6428677291745994E-3</v>
      </c>
      <c r="F20" s="63" t="s">
        <v>109</v>
      </c>
    </row>
    <row r="21" spans="1:6" ht="15.75">
      <c r="A21" s="44"/>
      <c r="B21" s="46"/>
      <c r="C21" s="48"/>
      <c r="D21" s="68"/>
      <c r="E21" s="45"/>
      <c r="F21" s="45"/>
    </row>
    <row r="22" spans="1:6" ht="15.75">
      <c r="A22" s="44" t="s">
        <v>116</v>
      </c>
      <c r="B22" s="49">
        <f>B23/B18</f>
        <v>1.313506413478846E-2</v>
      </c>
      <c r="C22" s="47">
        <f>B22*(1-B25)</f>
        <v>7.4473555690131371E-3</v>
      </c>
      <c r="D22" s="68"/>
      <c r="E22" s="45"/>
      <c r="F22" s="45"/>
    </row>
    <row r="23" spans="1:6" ht="15.75">
      <c r="A23" s="44" t="s">
        <v>108</v>
      </c>
      <c r="B23" s="60">
        <f>PYG!C26*-1</f>
        <v>81000</v>
      </c>
      <c r="C23" s="47"/>
      <c r="D23" s="68"/>
      <c r="E23" s="45"/>
      <c r="F23" s="45"/>
    </row>
    <row r="24" spans="1:6" ht="15.75">
      <c r="A24" s="44"/>
      <c r="B24" s="49"/>
      <c r="C24" s="47"/>
      <c r="D24" s="68"/>
      <c r="E24" s="45"/>
      <c r="F24" s="45"/>
    </row>
    <row r="25" spans="1:6" ht="15.75">
      <c r="A25" s="44" t="s">
        <v>133</v>
      </c>
      <c r="B25" s="61">
        <f>B26/B27*-1</f>
        <v>0.43301719027860108</v>
      </c>
      <c r="C25" s="47"/>
      <c r="D25" s="68"/>
      <c r="E25" s="45"/>
      <c r="F25" s="45"/>
    </row>
    <row r="26" spans="1:6" ht="15.75">
      <c r="A26" s="44" t="s">
        <v>134</v>
      </c>
      <c r="B26" s="60">
        <f>PYG!C35</f>
        <v>146100</v>
      </c>
      <c r="C26" s="47"/>
      <c r="D26" s="68"/>
      <c r="E26" s="45"/>
      <c r="F26" s="45"/>
    </row>
    <row r="27" spans="1:6" ht="15.75">
      <c r="A27" s="44" t="s">
        <v>103</v>
      </c>
      <c r="B27" s="60">
        <f>PYG!C34</f>
        <v>-337400</v>
      </c>
      <c r="C27" s="47"/>
      <c r="D27" s="68"/>
      <c r="E27" s="45"/>
      <c r="F27" s="45"/>
    </row>
    <row r="28" spans="1:6" ht="15.75">
      <c r="A28" s="44"/>
      <c r="B28" s="49"/>
      <c r="C28" s="47"/>
      <c r="D28" s="68"/>
      <c r="E28" s="45"/>
      <c r="F28" s="45"/>
    </row>
    <row r="29" spans="1:6" ht="15.75">
      <c r="A29" s="44" t="s">
        <v>117</v>
      </c>
      <c r="B29" s="49">
        <f>B30/B19</f>
        <v>0</v>
      </c>
      <c r="C29" s="46"/>
      <c r="D29" s="68"/>
      <c r="E29" s="45"/>
      <c r="F29" s="45"/>
    </row>
    <row r="30" spans="1:6" ht="15.75">
      <c r="A30" s="44" t="s">
        <v>104</v>
      </c>
      <c r="B30" s="62">
        <v>0</v>
      </c>
      <c r="C30" s="46"/>
      <c r="D30" s="68"/>
      <c r="E30" s="45"/>
      <c r="F30" s="45"/>
    </row>
    <row r="32" spans="1:6" ht="15.75">
      <c r="A32" s="52" t="s">
        <v>141</v>
      </c>
      <c r="B32" s="52" t="s">
        <v>115</v>
      </c>
      <c r="C32" s="52" t="s">
        <v>138</v>
      </c>
      <c r="D32" s="67" t="s">
        <v>136</v>
      </c>
      <c r="E32" s="52" t="s">
        <v>137</v>
      </c>
      <c r="F32" s="45"/>
    </row>
    <row r="33" spans="1:6" ht="15.75">
      <c r="A33" s="44" t="s">
        <v>132</v>
      </c>
      <c r="B33" s="46">
        <f>'Balance financiero'!D18+'Balance financiero'!D21</f>
        <v>4394200</v>
      </c>
      <c r="C33" s="47">
        <f>B33/$B$35</f>
        <v>0.7653400679265</v>
      </c>
      <c r="D33" s="47">
        <f>C37</f>
        <v>8.1437353961563985E-3</v>
      </c>
      <c r="E33" s="47">
        <f>+C33*D33</f>
        <v>6.2327270012697807E-3</v>
      </c>
      <c r="F33" s="45"/>
    </row>
    <row r="34" spans="1:6" ht="16.5" thickBot="1">
      <c r="A34" s="44" t="s">
        <v>140</v>
      </c>
      <c r="B34" s="65">
        <f>'Balance financiero'!D14</f>
        <v>1347300</v>
      </c>
      <c r="C34" s="50">
        <f>B34/$B$35</f>
        <v>0.23465993207349994</v>
      </c>
      <c r="D34" s="50">
        <f>B44</f>
        <v>0.41612781117791137</v>
      </c>
      <c r="E34" s="50">
        <f>+C34*D34</f>
        <v>9.764852390490289E-2</v>
      </c>
      <c r="F34" s="45"/>
    </row>
    <row r="35" spans="1:6" ht="16.5" thickBot="1">
      <c r="A35" s="44"/>
      <c r="B35" s="46">
        <f>SUM(B33:B34)</f>
        <v>5741500</v>
      </c>
      <c r="C35" s="48">
        <v>1</v>
      </c>
      <c r="D35" s="68"/>
      <c r="E35" s="64">
        <f>SUM(E33:E34)</f>
        <v>0.10388125090617267</v>
      </c>
      <c r="F35" s="63" t="s">
        <v>109</v>
      </c>
    </row>
    <row r="36" spans="1:6" ht="15.75">
      <c r="A36" s="44"/>
      <c r="B36" s="46"/>
      <c r="C36" s="48"/>
      <c r="D36" s="68"/>
      <c r="E36" s="45"/>
      <c r="F36" s="45"/>
    </row>
    <row r="37" spans="1:6" ht="15.75">
      <c r="A37" s="44" t="s">
        <v>116</v>
      </c>
      <c r="B37" s="49">
        <f>B38/B33</f>
        <v>9.9904419462018123E-3</v>
      </c>
      <c r="C37" s="47">
        <f>B37*(1-B40)</f>
        <v>8.1437353961563985E-3</v>
      </c>
      <c r="D37" s="68"/>
      <c r="E37" s="45"/>
      <c r="F37" s="45"/>
    </row>
    <row r="38" spans="1:6" ht="15.75">
      <c r="A38" s="44" t="s">
        <v>108</v>
      </c>
      <c r="B38" s="60">
        <f>PYG!D26*-1</f>
        <v>43900</v>
      </c>
      <c r="C38" s="47"/>
      <c r="D38" s="68"/>
      <c r="E38" s="45"/>
      <c r="F38" s="45"/>
    </row>
    <row r="39" spans="1:6" ht="15.75">
      <c r="A39" s="44"/>
      <c r="B39" s="49"/>
      <c r="C39" s="47"/>
      <c r="D39" s="68"/>
      <c r="E39" s="45"/>
      <c r="F39" s="45"/>
    </row>
    <row r="40" spans="1:6" ht="15.75">
      <c r="A40" s="44" t="s">
        <v>133</v>
      </c>
      <c r="B40" s="66">
        <f>B41*-1/B42</f>
        <v>0.18484733307994425</v>
      </c>
      <c r="C40" s="47"/>
      <c r="D40" s="68"/>
      <c r="E40" s="45"/>
      <c r="F40" s="45"/>
    </row>
    <row r="41" spans="1:6" ht="15.75">
      <c r="A41" s="44" t="s">
        <v>134</v>
      </c>
      <c r="B41" s="60">
        <f>PYG!D35</f>
        <v>-145900</v>
      </c>
      <c r="C41" s="47"/>
      <c r="D41" s="68"/>
      <c r="E41" s="45"/>
      <c r="F41" s="45"/>
    </row>
    <row r="42" spans="1:6" ht="15.75">
      <c r="A42" s="44" t="s">
        <v>103</v>
      </c>
      <c r="B42" s="60">
        <f>PYG!D34</f>
        <v>789300</v>
      </c>
      <c r="C42" s="47"/>
      <c r="D42" s="68"/>
      <c r="E42" s="45"/>
      <c r="F42" s="45"/>
    </row>
    <row r="43" spans="1:6" ht="15.75">
      <c r="A43" s="44"/>
      <c r="B43" s="49"/>
      <c r="C43" s="47"/>
      <c r="D43" s="68"/>
      <c r="E43" s="45"/>
      <c r="F43" s="45"/>
    </row>
    <row r="44" spans="1:6" ht="15.75">
      <c r="A44" s="44" t="s">
        <v>117</v>
      </c>
      <c r="B44" s="49">
        <f>B45/B34</f>
        <v>0.41612781117791137</v>
      </c>
      <c r="C44" s="46"/>
      <c r="D44" s="68"/>
      <c r="E44" s="45"/>
      <c r="F44" s="45"/>
    </row>
    <row r="45" spans="1:6" ht="15.75">
      <c r="A45" s="44" t="s">
        <v>104</v>
      </c>
      <c r="B45" s="62">
        <v>560649</v>
      </c>
      <c r="C45" s="46"/>
      <c r="D45" s="68"/>
      <c r="E45" s="45"/>
      <c r="F45" s="45"/>
    </row>
    <row r="47" spans="1:6">
      <c r="A47" s="69"/>
    </row>
    <row r="50" spans="2:3">
      <c r="B50" s="43"/>
      <c r="C50" s="43"/>
    </row>
    <row r="52" spans="2:3">
      <c r="B52" s="59"/>
      <c r="C52" s="59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5</vt:i4>
      </vt:variant>
    </vt:vector>
  </HeadingPairs>
  <TitlesOfParts>
    <vt:vector size="5" baseType="lpstr">
      <vt:lpstr>Activo</vt:lpstr>
      <vt:lpstr>Pasivo</vt:lpstr>
      <vt:lpstr>PYG</vt:lpstr>
      <vt:lpstr>Balance financiero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Lorena Rivas Rodriguez</dc:creator>
  <cp:lastModifiedBy>PORTATIL28</cp:lastModifiedBy>
  <dcterms:created xsi:type="dcterms:W3CDTF">2022-02-24T16:09:39Z</dcterms:created>
  <dcterms:modified xsi:type="dcterms:W3CDTF">2023-12-06T18:08:53Z</dcterms:modified>
</cp:coreProperties>
</file>