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PORTATIL28\Desktop\IEBS\modulo 1\Corporate Finance\C3\"/>
    </mc:Choice>
  </mc:AlternateContent>
  <xr:revisionPtr revIDLastSave="0" documentId="8_{E6C0E503-EB0F-4475-B884-799FE2EC69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3" i="1" l="1"/>
  <c r="H72" i="1"/>
  <c r="H70" i="1"/>
  <c r="H69" i="1"/>
  <c r="H68" i="1"/>
  <c r="H67" i="1"/>
  <c r="H78" i="1"/>
  <c r="H76" i="1"/>
  <c r="S60" i="1"/>
  <c r="S59" i="1"/>
  <c r="S58" i="1"/>
  <c r="R58" i="1"/>
  <c r="P61" i="1"/>
  <c r="R59" i="1"/>
  <c r="P66" i="1"/>
  <c r="P67" i="1"/>
  <c r="P65" i="1"/>
  <c r="P64" i="1"/>
  <c r="Q60" i="1"/>
  <c r="Q59" i="1"/>
  <c r="Q58" i="1"/>
  <c r="P60" i="1"/>
  <c r="P58" i="1"/>
  <c r="P59" i="1"/>
  <c r="H65" i="1"/>
  <c r="H64" i="1"/>
  <c r="H63" i="1"/>
  <c r="H35" i="1"/>
  <c r="H61" i="1"/>
  <c r="H60" i="1"/>
  <c r="H34" i="1"/>
  <c r="H58" i="1"/>
  <c r="H32" i="1"/>
  <c r="H31" i="1"/>
  <c r="H57" i="1"/>
  <c r="H56" i="1"/>
  <c r="B76" i="1"/>
  <c r="B59" i="1"/>
  <c r="B105" i="1"/>
  <c r="B104" i="1"/>
  <c r="B86" i="1"/>
  <c r="B91" i="1"/>
  <c r="B62" i="1"/>
  <c r="B112" i="1"/>
  <c r="B118" i="1"/>
  <c r="B116" i="1"/>
  <c r="B65" i="1"/>
  <c r="B66" i="1"/>
  <c r="B67" i="1"/>
  <c r="B87" i="1"/>
  <c r="B113" i="1"/>
  <c r="C84" i="1"/>
  <c r="B111" i="1"/>
  <c r="B60" i="1"/>
  <c r="B106" i="1"/>
  <c r="H10" i="1"/>
  <c r="B102" i="1"/>
  <c r="B101" i="1"/>
  <c r="B100" i="1"/>
  <c r="B99" i="1"/>
  <c r="B58" i="1"/>
  <c r="B72" i="1"/>
  <c r="B78" i="1"/>
  <c r="B115" i="1"/>
  <c r="B119" i="1"/>
  <c r="B103" i="1"/>
  <c r="B107" i="1"/>
  <c r="C88" i="1"/>
  <c r="C92" i="1"/>
  <c r="C94" i="1"/>
  <c r="C71" i="1"/>
  <c r="C77" i="1"/>
  <c r="C83" i="1"/>
  <c r="J52" i="1"/>
  <c r="H52" i="1"/>
  <c r="H50" i="1"/>
  <c r="H47" i="1"/>
  <c r="H46" i="1"/>
  <c r="H44" i="1"/>
  <c r="H43" i="1"/>
  <c r="H42" i="1"/>
  <c r="H41" i="1"/>
  <c r="H37" i="1"/>
  <c r="H39" i="1"/>
  <c r="H38" i="1"/>
  <c r="H30" i="1"/>
  <c r="H29" i="1"/>
  <c r="H23" i="1"/>
  <c r="H21" i="1"/>
  <c r="H18" i="1"/>
  <c r="H17" i="1"/>
  <c r="H11" i="1"/>
  <c r="H9" i="1"/>
  <c r="H7" i="1"/>
  <c r="H6" i="1"/>
  <c r="H5" i="1"/>
  <c r="H20" i="1"/>
  <c r="C37" i="1"/>
  <c r="C33" i="1"/>
  <c r="C29" i="1"/>
  <c r="C39" i="1"/>
  <c r="C22" i="1"/>
  <c r="C16" i="1"/>
  <c r="B4" i="1"/>
  <c r="B10" i="1"/>
  <c r="C28" i="1"/>
  <c r="H4" i="1"/>
  <c r="H8" i="1"/>
  <c r="H12" i="1"/>
  <c r="H16" i="1"/>
  <c r="H24" i="1"/>
  <c r="B11" i="1"/>
  <c r="B12" i="1"/>
</calcChain>
</file>

<file path=xl/sharedStrings.xml><?xml version="1.0" encoding="utf-8"?>
<sst xmlns="http://schemas.openxmlformats.org/spreadsheetml/2006/main" count="194" uniqueCount="90">
  <si>
    <t>Cuenta resultados</t>
  </si>
  <si>
    <t>Año N</t>
  </si>
  <si>
    <t>Ventas</t>
  </si>
  <si>
    <t>Coste de ventas</t>
  </si>
  <si>
    <t>Margen contribución</t>
  </si>
  <si>
    <t>Salarios</t>
  </si>
  <si>
    <t>Alquileres</t>
  </si>
  <si>
    <t>Resto gastos generales</t>
  </si>
  <si>
    <t>Amortizaciones</t>
  </si>
  <si>
    <t>Resultado financiero</t>
  </si>
  <si>
    <t>Resultado antes impuestos</t>
  </si>
  <si>
    <t xml:space="preserve">Balance </t>
  </si>
  <si>
    <t>Activo corriente</t>
  </si>
  <si>
    <t>Existencias</t>
  </si>
  <si>
    <t>Deudores comerciales</t>
  </si>
  <si>
    <t>Inversiones financieras a c/p</t>
  </si>
  <si>
    <t>Periodificaciones a c/p</t>
  </si>
  <si>
    <t>Efectivo y otros activos líquidos</t>
  </si>
  <si>
    <t>Activo no corriente</t>
  </si>
  <si>
    <t>Intangible</t>
  </si>
  <si>
    <t>Material</t>
  </si>
  <si>
    <t>Inversiones inmobiliarias</t>
  </si>
  <si>
    <t>Inversiones financieras a l/p</t>
  </si>
  <si>
    <t>Activos por impuesto diferido</t>
  </si>
  <si>
    <t>Total activo</t>
  </si>
  <si>
    <t>Patrimonio neto</t>
  </si>
  <si>
    <t>Pasivo corriente</t>
  </si>
  <si>
    <t>Provisiones a corto plazo</t>
  </si>
  <si>
    <t>Deuda bancaria a c/p</t>
  </si>
  <si>
    <t>Acreedores comerciales y otras cuentas a pagar</t>
  </si>
  <si>
    <t>Pasivo no corriente</t>
  </si>
  <si>
    <t>Deuda bancaria a l/p</t>
  </si>
  <si>
    <t>Total pasivo</t>
  </si>
  <si>
    <t>1.-  EVA</t>
  </si>
  <si>
    <t>Activos netos</t>
  </si>
  <si>
    <t>NOF</t>
  </si>
  <si>
    <t>Capitales empleados</t>
  </si>
  <si>
    <t>EBIT</t>
  </si>
  <si>
    <t>ROCE</t>
  </si>
  <si>
    <t>Resultado después impuestos</t>
  </si>
  <si>
    <t>Beneficio retenido (40%)</t>
  </si>
  <si>
    <t>Dividendo (60%)</t>
  </si>
  <si>
    <t>kd</t>
  </si>
  <si>
    <t>D</t>
  </si>
  <si>
    <t>ke</t>
  </si>
  <si>
    <t>E</t>
  </si>
  <si>
    <t xml:space="preserve"> Ke . E/(E+D)</t>
  </si>
  <si>
    <t>Kd . D(1-i)/(E+D)</t>
  </si>
  <si>
    <t>WACC = Ke . E/(E+D) + Kd . D(1-i)/(E+D)</t>
  </si>
  <si>
    <t>EVA</t>
  </si>
  <si>
    <t>3.-  EVA</t>
  </si>
  <si>
    <t>Impuesto sobre beneficios</t>
  </si>
  <si>
    <t>Resultado después de impuestos</t>
  </si>
  <si>
    <t>Capital social</t>
  </si>
  <si>
    <t>Reservas</t>
  </si>
  <si>
    <t>Resultado neto del ejercicio</t>
  </si>
  <si>
    <t>BALANCE FINANCIERO</t>
  </si>
  <si>
    <t>Capitales invertidos</t>
  </si>
  <si>
    <t>Inmovilizados</t>
  </si>
  <si>
    <t>Inversiones</t>
  </si>
  <si>
    <t>Otros</t>
  </si>
  <si>
    <t>Activo corriente operativo</t>
  </si>
  <si>
    <t>Pasivo corriente operativo</t>
  </si>
  <si>
    <t>Inversiones financieras temporales</t>
  </si>
  <si>
    <t>Total</t>
  </si>
  <si>
    <t>Capital y reservas</t>
  </si>
  <si>
    <t>Pérdidas y ganancias</t>
  </si>
  <si>
    <t>Deudas a largo plazo</t>
  </si>
  <si>
    <t>Otros pasivos no corrientes</t>
  </si>
  <si>
    <t>Deudas  a corto plazo</t>
  </si>
  <si>
    <t>IFT</t>
  </si>
  <si>
    <t>Año n</t>
  </si>
  <si>
    <t>Valor</t>
  </si>
  <si>
    <t>%</t>
  </si>
  <si>
    <t>Coste</t>
  </si>
  <si>
    <t>Coste promedio</t>
  </si>
  <si>
    <t>Deuda (D)</t>
  </si>
  <si>
    <t>Patrimonio (E )</t>
  </si>
  <si>
    <t>WACC</t>
  </si>
  <si>
    <t>Tasa bancos</t>
  </si>
  <si>
    <t>Gasto financiero</t>
  </si>
  <si>
    <t>Tasa impuestos</t>
  </si>
  <si>
    <t>Gasto impuesto</t>
  </si>
  <si>
    <t>Tasa accionistas</t>
  </si>
  <si>
    <t>Dividendo</t>
  </si>
  <si>
    <t>EVA = CAPITALES EMPLEADOS*(ROCE-WACC)</t>
  </si>
  <si>
    <t>EVA = 20.214.987,07 * (6,07%-3,70%)</t>
  </si>
  <si>
    <t>2.ESTRATEGIA</t>
  </si>
  <si>
    <t>BALANCES ACTUALIZADOS</t>
  </si>
  <si>
    <t>(+IFT)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</si>
</sst>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€_-;\-* #,##0.00\ _€_-;_-* &quot;-&quot;??\ _€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Proxima Nova"/>
    </font>
    <font>
      <b/>
      <sz val="11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F4E78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/>
      <right/>
      <top/>
      <bottom style="medium">
        <color rgb="FF50505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2" fillId="2" borderId="1" xfId="0" applyFont="1" applyFill="1" applyBorder="1"/>
    <xf numFmtId="164" fontId="2" fillId="2" borderId="2" xfId="1" applyFont="1" applyFill="1" applyBorder="1"/>
    <xf numFmtId="0" fontId="0" fillId="0" borderId="3" xfId="0" applyBorder="1"/>
    <xf numFmtId="164" fontId="0" fillId="0" borderId="4" xfId="1" applyFont="1" applyBorder="1"/>
    <xf numFmtId="0" fontId="3" fillId="3" borderId="3" xfId="0" applyFont="1" applyFill="1" applyBorder="1"/>
    <xf numFmtId="164" fontId="0" fillId="3" borderId="4" xfId="1" applyFont="1" applyFill="1" applyBorder="1"/>
    <xf numFmtId="0" fontId="2" fillId="2" borderId="5" xfId="0" applyFont="1" applyFill="1" applyBorder="1"/>
    <xf numFmtId="164" fontId="2" fillId="2" borderId="6" xfId="1" applyFont="1" applyFill="1" applyBorder="1"/>
    <xf numFmtId="164" fontId="0" fillId="0" borderId="0" xfId="1" applyFont="1"/>
    <xf numFmtId="0" fontId="0" fillId="3" borderId="3" xfId="0" applyFill="1" applyBorder="1"/>
    <xf numFmtId="164" fontId="0" fillId="3" borderId="0" xfId="1" applyFont="1" applyFill="1" applyBorder="1"/>
    <xf numFmtId="164" fontId="0" fillId="0" borderId="0" xfId="1" applyFont="1" applyBorder="1"/>
    <xf numFmtId="0" fontId="2" fillId="2" borderId="3" xfId="0" applyFont="1" applyFill="1" applyBorder="1"/>
    <xf numFmtId="164" fontId="2" fillId="2" borderId="0" xfId="1" applyFont="1" applyFill="1" applyBorder="1"/>
    <xf numFmtId="164" fontId="2" fillId="2" borderId="4" xfId="1" applyFont="1" applyFill="1" applyBorder="1"/>
    <xf numFmtId="164" fontId="2" fillId="2" borderId="8" xfId="1" applyFont="1" applyFill="1" applyBorder="1"/>
    <xf numFmtId="0" fontId="3" fillId="0" borderId="0" xfId="0" applyFont="1"/>
    <xf numFmtId="0" fontId="0" fillId="0" borderId="1" xfId="0" applyBorder="1"/>
    <xf numFmtId="164" fontId="0" fillId="0" borderId="2" xfId="1" applyFont="1" applyBorder="1"/>
    <xf numFmtId="0" fontId="3" fillId="0" borderId="3" xfId="0" applyFont="1" applyBorder="1"/>
    <xf numFmtId="164" fontId="3" fillId="0" borderId="4" xfId="1" applyFont="1" applyBorder="1"/>
    <xf numFmtId="10" fontId="3" fillId="0" borderId="4" xfId="2" applyNumberFormat="1" applyFont="1" applyBorder="1"/>
    <xf numFmtId="10" fontId="0" fillId="0" borderId="4" xfId="2" applyNumberFormat="1" applyFont="1" applyBorder="1"/>
    <xf numFmtId="0" fontId="4" fillId="0" borderId="3" xfId="0" applyFont="1" applyBorder="1" applyAlignment="1">
      <alignment horizontal="center" vertical="center" readingOrder="1"/>
    </xf>
    <xf numFmtId="10" fontId="3" fillId="0" borderId="4" xfId="1" applyNumberFormat="1" applyFont="1" applyBorder="1"/>
    <xf numFmtId="0" fontId="3" fillId="0" borderId="9" xfId="0" applyFont="1" applyBorder="1"/>
    <xf numFmtId="0" fontId="2" fillId="2" borderId="0" xfId="0" applyFont="1" applyFill="1"/>
    <xf numFmtId="164" fontId="0" fillId="0" borderId="0" xfId="1" applyFont="1" applyFill="1" applyBorder="1"/>
    <xf numFmtId="164" fontId="0" fillId="0" borderId="4" xfId="1" applyFont="1" applyFill="1" applyBorder="1"/>
    <xf numFmtId="0" fontId="0" fillId="3" borderId="3" xfId="0" applyFill="1" applyBorder="1" applyAlignment="1">
      <alignment wrapText="1"/>
    </xf>
    <xf numFmtId="9" fontId="0" fillId="0" borderId="0" xfId="0" applyNumberFormat="1"/>
    <xf numFmtId="0" fontId="5" fillId="4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6" fillId="0" borderId="3" xfId="0" applyFont="1" applyBorder="1" applyAlignment="1">
      <alignment wrapText="1"/>
    </xf>
    <xf numFmtId="4" fontId="6" fillId="0" borderId="0" xfId="0" applyNumberFormat="1" applyFont="1" applyAlignment="1">
      <alignment wrapText="1"/>
    </xf>
    <xf numFmtId="10" fontId="6" fillId="0" borderId="0" xfId="0" applyNumberFormat="1" applyFont="1" applyAlignment="1">
      <alignment wrapText="1"/>
    </xf>
    <xf numFmtId="4" fontId="6" fillId="0" borderId="8" xfId="0" applyNumberFormat="1" applyFont="1" applyBorder="1" applyAlignment="1">
      <alignment wrapText="1"/>
    </xf>
    <xf numFmtId="10" fontId="6" fillId="0" borderId="8" xfId="0" applyNumberFormat="1" applyFont="1" applyBorder="1" applyAlignment="1">
      <alignment wrapText="1"/>
    </xf>
    <xf numFmtId="9" fontId="6" fillId="0" borderId="0" xfId="0" applyNumberFormat="1" applyFont="1" applyAlignment="1">
      <alignment wrapText="1"/>
    </xf>
    <xf numFmtId="10" fontId="6" fillId="5" borderId="5" xfId="0" applyNumberFormat="1" applyFont="1" applyFill="1" applyBorder="1" applyAlignment="1">
      <alignment wrapText="1"/>
    </xf>
    <xf numFmtId="0" fontId="6" fillId="0" borderId="10" xfId="0" applyFont="1" applyBorder="1" applyAlignment="1">
      <alignment wrapText="1"/>
    </xf>
    <xf numFmtId="10" fontId="6" fillId="6" borderId="0" xfId="0" applyNumberFormat="1" applyFont="1" applyFill="1" applyAlignment="1">
      <alignment wrapText="1"/>
    </xf>
    <xf numFmtId="0" fontId="0" fillId="0" borderId="11" xfId="0" applyBorder="1"/>
    <xf numFmtId="0" fontId="0" fillId="0" borderId="12" xfId="0" applyBorder="1"/>
    <xf numFmtId="43" fontId="0" fillId="0" borderId="0" xfId="0" applyNumberFormat="1"/>
    <xf numFmtId="164" fontId="3" fillId="7" borderId="10" xfId="1" applyFont="1" applyFill="1" applyBorder="1"/>
    <xf numFmtId="0" fontId="3" fillId="8" borderId="0" xfId="0" applyFont="1" applyFill="1"/>
    <xf numFmtId="0" fontId="0" fillId="0" borderId="13" xfId="0" applyBorder="1"/>
    <xf numFmtId="164" fontId="0" fillId="9" borderId="4" xfId="1" applyFont="1" applyFill="1" applyBorder="1"/>
    <xf numFmtId="164" fontId="0" fillId="9" borderId="0" xfId="1" applyFont="1" applyFill="1" applyBorder="1"/>
    <xf numFmtId="0" fontId="3" fillId="0" borderId="13" xfId="0" applyFont="1" applyBorder="1"/>
    <xf numFmtId="0" fontId="2" fillId="2" borderId="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3">
    <cellStyle name="Coma" xfId="1" builtinId="3"/>
    <cellStyle name="Normal" xfId="0" builtinId="0"/>
    <cellStyle name="Percentat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3464</xdr:colOff>
      <xdr:row>55</xdr:row>
      <xdr:rowOff>90054</xdr:rowOff>
    </xdr:from>
    <xdr:to>
      <xdr:col>13</xdr:col>
      <xdr:colOff>595745</xdr:colOff>
      <xdr:row>87</xdr:row>
      <xdr:rowOff>27708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B88580F-0BF7-615F-453E-2CECFEE4C200}"/>
            </a:ext>
          </a:extLst>
        </xdr:cNvPr>
        <xdr:cNvSpPr txBox="1"/>
      </xdr:nvSpPr>
      <xdr:spPr>
        <a:xfrm>
          <a:off x="12174682" y="10855036"/>
          <a:ext cx="5095009" cy="6172200"/>
        </a:xfrm>
        <a:prstGeom prst="rect">
          <a:avLst/>
        </a:prstGeom>
        <a:solidFill>
          <a:prstClr val="white"/>
        </a:solidFill>
        <a:ln>
          <a:solidFill>
            <a:prstClr val="black"/>
          </a:solidFill>
        </a:ln>
      </xdr:spPr>
      <xdr:txBody>
        <a:bodyPr vertOverflow="clip" horzOverflow="clip" wrap="square" rtlCol="0"/>
        <a:lstStyle/>
        <a:p>
          <a:pPr algn="l"/>
          <a:endParaRPr lang="es-ES"/>
        </a:p>
        <a:p>
          <a:pPr algn="l"/>
          <a:r>
            <a:rPr lang="es-ES"/>
            <a:t>La situación actual de la compañia es de un valor económico añadido de 478.606,48€.</a:t>
          </a:r>
        </a:p>
        <a:p>
          <a:pPr algn="l"/>
          <a:endParaRPr lang="es-ES"/>
        </a:p>
        <a:p>
          <a:pPr algn="l"/>
          <a:r>
            <a:rPr lang="es-ES"/>
            <a:t>La dirección de la empresa planea una estratégia para aumentar el valor comentado. Para ello se realizan los siguientes cambios:</a:t>
          </a:r>
        </a:p>
        <a:p>
          <a:pPr algn="l"/>
          <a:endParaRPr lang="es-ES" b="1"/>
        </a:p>
        <a:p>
          <a:pPr algn="l"/>
          <a:r>
            <a:rPr lang="es-ES" b="1"/>
            <a:t> -A) </a:t>
          </a:r>
          <a:r>
            <a:rPr lang="es-ES" b="0"/>
            <a:t>Se</a:t>
          </a:r>
          <a:r>
            <a:rPr lang="es-ES"/>
            <a:t> realizan recortes de personal gracias a la incorporación de un nuevo ERP, que facilita y optimiza las tareas de administración, se ven afectadas las siguientes partidas:</a:t>
          </a:r>
        </a:p>
        <a:p>
          <a:pPr algn="l"/>
          <a:endParaRPr lang="es-ES"/>
        </a:p>
        <a:p>
          <a:pPr algn="l"/>
          <a:r>
            <a:rPr lang="es-ES"/>
            <a:t>1. Pyg: los costes salariales se ven reducidos, pasamos de 6.202.467,21€ a 5.300.210,32€ , con lo cual también aumenta la tesoreria  por la diferencia, ya que nos hemos ahorrado esos salarios (902.256,89€) y provoca un incremento en reservas por el mismo importe.</a:t>
          </a:r>
        </a:p>
        <a:p>
          <a:pPr algn="l"/>
          <a:endParaRPr lang="es-ES"/>
        </a:p>
        <a:p>
          <a:pPr algn="l"/>
          <a:r>
            <a:rPr lang="es-ES"/>
            <a:t>2. El inmovilizado inmaterial aumenta de valor con el ERP, pasa de 1.017.633,20€ a 1.117.633,20€, el valor de adquisicon del software ha sido de 100.000€</a:t>
          </a:r>
        </a:p>
        <a:p>
          <a:pPr algn="l"/>
          <a:endParaRPr lang="es-ES"/>
        </a:p>
        <a:p>
          <a:pPr algn="l"/>
          <a:r>
            <a:rPr lang="es-ES"/>
            <a:t>3. La cuenta de tesoreria, ha disminuido en 100.000€ ya que el ERP se pagó al contado, se han sumado 100.000€ en el  pyg en gastos generales.</a:t>
          </a:r>
        </a:p>
        <a:p>
          <a:pPr algn="l"/>
          <a:endParaRPr lang="es-ES"/>
        </a:p>
        <a:p>
          <a:pPr algn="l"/>
          <a:endParaRPr lang="es-ES" b="1"/>
        </a:p>
        <a:p>
          <a:pPr algn="l"/>
          <a:r>
            <a:rPr lang="es-ES" b="1"/>
            <a:t>B) </a:t>
          </a:r>
          <a:r>
            <a:rPr lang="es-ES"/>
            <a:t>Se consigue aumentar el margen de las ventas gracias a un pacto de rappel por compras, el proveedor ha aceptado un descuento del 8% a la deuda actual. Las partidas afectadas son las siguientes:</a:t>
          </a:r>
        </a:p>
        <a:p>
          <a:pPr algn="l"/>
          <a:endParaRPr lang="es-ES"/>
        </a:p>
        <a:p>
          <a:pPr algn="l"/>
          <a:r>
            <a:rPr lang="es-ES"/>
            <a:t>1. Acreedores comerciales pasa de tener un valor de 2.394.055,04 a 2.202.530,63€. </a:t>
          </a:r>
        </a:p>
        <a:p>
          <a:pPr algn="l"/>
          <a:endParaRPr lang="es-ES"/>
        </a:p>
        <a:p>
          <a:pPr algn="l"/>
          <a:r>
            <a:rPr lang="es-ES"/>
            <a:t>2. El coste de las ventas en el PYG también se ve disminuido por 191.524,41€</a:t>
          </a:r>
        </a:p>
        <a:p>
          <a:pPr algn="l"/>
          <a:endParaRPr lang="es-ES"/>
        </a:p>
        <a:p>
          <a:pPr algn="l"/>
          <a:r>
            <a:rPr lang="es-ES"/>
            <a:t>3. El valor de las existencias en el balance también se ve disminuido por 191.524,41€</a:t>
          </a:r>
        </a:p>
        <a:p>
          <a:pPr algn="l"/>
          <a:endParaRPr lang="es-ES"/>
        </a:p>
        <a:p>
          <a:pPr algn="l"/>
          <a:r>
            <a:rPr lang="es-ES"/>
            <a:t>La diferencia del resultado del ejercicio inical al actual son 745.335,98€, nos vemos obligados a hacer una regularizacion incrementando el activo liquido, ya que este incremento es debido a una mejora del margen y no a un aumento de ventas.</a:t>
          </a:r>
        </a:p>
      </xdr:txBody>
    </xdr:sp>
    <xdr:clientData/>
  </xdr:twoCellAnchor>
  <xdr:twoCellAnchor>
    <xdr:from>
      <xdr:col>5</xdr:col>
      <xdr:colOff>48492</xdr:colOff>
      <xdr:row>89</xdr:row>
      <xdr:rowOff>34636</xdr:rowOff>
    </xdr:from>
    <xdr:to>
      <xdr:col>9</xdr:col>
      <xdr:colOff>290945</xdr:colOff>
      <xdr:row>98</xdr:row>
      <xdr:rowOff>152399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A1873D45-8E15-FE4A-0937-85182F01A931}"/>
            </a:ext>
          </a:extLst>
        </xdr:cNvPr>
        <xdr:cNvSpPr txBox="1"/>
      </xdr:nvSpPr>
      <xdr:spPr>
        <a:xfrm>
          <a:off x="6920346" y="18163308"/>
          <a:ext cx="5541817" cy="1877291"/>
        </a:xfrm>
        <a:prstGeom prst="rect">
          <a:avLst/>
        </a:prstGeom>
        <a:solidFill>
          <a:prstClr val="white"/>
        </a:solidFill>
        <a:ln>
          <a:solidFill>
            <a:prstClr val="black"/>
          </a:solidFill>
        </a:ln>
      </xdr:spPr>
      <xdr:txBody>
        <a:bodyPr vertOverflow="clip" horzOverflow="clip" wrap="square" rtlCol="0"/>
        <a:lstStyle/>
        <a:p>
          <a:pPr algn="l"/>
          <a:r>
            <a:rPr lang="es-ES" b="1"/>
            <a:t>CONCLUSIONES</a:t>
          </a:r>
        </a:p>
        <a:p>
          <a:pPr algn="l"/>
          <a:endParaRPr lang="es-ES"/>
        </a:p>
        <a:p>
          <a:pPr algn="l"/>
          <a:r>
            <a:rPr lang="es-ES"/>
            <a:t>Gracias a nuestra estrategia, hemos podido aumentar el valor economica añadido (EVA) en un 62,33% . </a:t>
          </a:r>
        </a:p>
        <a:p>
          <a:pPr algn="l"/>
          <a:endParaRPr lang="es-ES"/>
        </a:p>
        <a:p>
          <a:pPr algn="l"/>
          <a:r>
            <a:rPr lang="es-ES"/>
            <a:t>Hemos pasado de 478.606,48€ a 776.958,08€</a:t>
          </a:r>
        </a:p>
        <a:p>
          <a:pPr algn="l"/>
          <a:endParaRPr lang="es-ES"/>
        </a:p>
        <a:p>
          <a:pPr algn="l"/>
          <a:r>
            <a:rPr lang="es-ES"/>
            <a:t>Siendo honestos, es un escenario bastante positivo, pero se plasma perfectamente como afectan las decisiones estratégicas al valor de la empresa.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9"/>
  <sheetViews>
    <sheetView tabSelected="1" topLeftCell="A52" zoomScale="90" zoomScaleNormal="90" workbookViewId="0">
      <selection activeCell="K30" sqref="K30:P40"/>
    </sheetView>
  </sheetViews>
  <sheetFormatPr defaultColWidth="10.7109375" defaultRowHeight="15"/>
  <cols>
    <col min="1" max="1" width="43.28515625" bestFit="1" customWidth="1"/>
    <col min="2" max="2" width="16.5703125" bestFit="1" customWidth="1"/>
    <col min="3" max="3" width="18.5703125" customWidth="1"/>
    <col min="7" max="7" width="36.42578125" bestFit="1" customWidth="1"/>
    <col min="8" max="8" width="16.85546875" bestFit="1" customWidth="1"/>
    <col min="10" max="10" width="12.5703125" bestFit="1" customWidth="1"/>
    <col min="11" max="11" width="26" bestFit="1" customWidth="1"/>
    <col min="12" max="12" width="14.28515625" bestFit="1" customWidth="1"/>
    <col min="15" max="15" width="22" customWidth="1"/>
    <col min="16" max="16" width="14.28515625" bestFit="1" customWidth="1"/>
  </cols>
  <sheetData>
    <row r="1" spans="1:8">
      <c r="A1" s="1" t="s">
        <v>0</v>
      </c>
      <c r="B1" s="2" t="s">
        <v>1</v>
      </c>
      <c r="G1" s="17" t="s">
        <v>56</v>
      </c>
    </row>
    <row r="2" spans="1:8" ht="15.75" thickBot="1">
      <c r="A2" s="3" t="s">
        <v>2</v>
      </c>
      <c r="B2" s="4">
        <v>28640179.370000001</v>
      </c>
    </row>
    <row r="3" spans="1:8">
      <c r="A3" s="3" t="s">
        <v>3</v>
      </c>
      <c r="B3" s="4">
        <v>14137051.630000001</v>
      </c>
      <c r="G3" s="1" t="s">
        <v>57</v>
      </c>
      <c r="H3" s="2" t="s">
        <v>1</v>
      </c>
    </row>
    <row r="4" spans="1:8">
      <c r="A4" s="5" t="s">
        <v>4</v>
      </c>
      <c r="B4" s="6">
        <f>B2-B3</f>
        <v>14503127.74</v>
      </c>
      <c r="G4" s="10" t="s">
        <v>18</v>
      </c>
      <c r="H4" s="6">
        <f>SUM(H5:H7)</f>
        <v>10960785.169999996</v>
      </c>
    </row>
    <row r="5" spans="1:8">
      <c r="A5" s="3" t="s">
        <v>5</v>
      </c>
      <c r="B5" s="4">
        <v>6202467.21</v>
      </c>
      <c r="G5" s="3" t="s">
        <v>58</v>
      </c>
      <c r="H5" s="4">
        <f>B23+B24+B25</f>
        <v>10052941.039999997</v>
      </c>
    </row>
    <row r="6" spans="1:8">
      <c r="A6" s="3" t="s">
        <v>6</v>
      </c>
      <c r="B6" s="4">
        <v>3628919.8</v>
      </c>
      <c r="G6" s="3" t="s">
        <v>59</v>
      </c>
      <c r="H6" s="4">
        <f>B26</f>
        <v>657101.6</v>
      </c>
    </row>
    <row r="7" spans="1:8">
      <c r="A7" s="3" t="s">
        <v>7</v>
      </c>
      <c r="B7" s="4">
        <v>1884169.16</v>
      </c>
      <c r="G7" s="3" t="s">
        <v>60</v>
      </c>
      <c r="H7" s="4">
        <f>B27</f>
        <v>250742.53</v>
      </c>
    </row>
    <row r="8" spans="1:8">
      <c r="A8" s="3" t="s">
        <v>8</v>
      </c>
      <c r="B8" s="4">
        <v>1152161.3400000001</v>
      </c>
      <c r="G8" s="10" t="s">
        <v>35</v>
      </c>
      <c r="H8" s="6">
        <f>H9-H10</f>
        <v>7658909.620000001</v>
      </c>
    </row>
    <row r="9" spans="1:8">
      <c r="A9" s="3" t="s">
        <v>9</v>
      </c>
      <c r="B9" s="4">
        <v>39331.269999999997</v>
      </c>
      <c r="G9" s="3" t="s">
        <v>61</v>
      </c>
      <c r="H9" s="4">
        <f>B17+B18+B20+B21</f>
        <v>10064452.960000001</v>
      </c>
    </row>
    <row r="10" spans="1:8" ht="15.75" thickBot="1">
      <c r="A10" s="7" t="s">
        <v>10</v>
      </c>
      <c r="B10" s="8">
        <f>B4-SUM(B5:B9)</f>
        <v>1596078.9600000009</v>
      </c>
      <c r="G10" s="3" t="s">
        <v>62</v>
      </c>
      <c r="H10" s="4">
        <f>B34+B36</f>
        <v>2405543.34</v>
      </c>
    </row>
    <row r="11" spans="1:8">
      <c r="A11" s="3" t="s">
        <v>51</v>
      </c>
      <c r="B11" s="4">
        <f>B10*0.25</f>
        <v>399019.74000000022</v>
      </c>
      <c r="G11" s="30" t="s">
        <v>63</v>
      </c>
      <c r="H11" s="6">
        <f>B19</f>
        <v>1595202.28</v>
      </c>
    </row>
    <row r="12" spans="1:8" ht="15.75" thickBot="1">
      <c r="A12" s="27" t="s">
        <v>52</v>
      </c>
      <c r="B12" s="14">
        <f>B10-B11</f>
        <v>1197059.2200000007</v>
      </c>
      <c r="G12" s="7" t="s">
        <v>64</v>
      </c>
      <c r="H12" s="8">
        <f>H4+H8+H11</f>
        <v>20214897.07</v>
      </c>
    </row>
    <row r="13" spans="1:8">
      <c r="B13" s="9"/>
    </row>
    <row r="14" spans="1:8" ht="15.75" thickBot="1">
      <c r="B14" s="9"/>
    </row>
    <row r="15" spans="1:8">
      <c r="A15" s="1" t="s">
        <v>11</v>
      </c>
      <c r="B15" s="52" t="s">
        <v>1</v>
      </c>
      <c r="C15" s="53"/>
      <c r="G15" s="1" t="s">
        <v>36</v>
      </c>
      <c r="H15" s="2" t="s">
        <v>1</v>
      </c>
    </row>
    <row r="16" spans="1:8">
      <c r="A16" s="10" t="s">
        <v>12</v>
      </c>
      <c r="B16" s="11"/>
      <c r="C16" s="6">
        <f>SUM(B17:B21)</f>
        <v>11659655.24</v>
      </c>
      <c r="G16" s="10" t="s">
        <v>25</v>
      </c>
      <c r="H16" s="6">
        <f>SUM(H17:H19)</f>
        <v>13891676.610000001</v>
      </c>
    </row>
    <row r="17" spans="1:16">
      <c r="A17" s="3" t="s">
        <v>13</v>
      </c>
      <c r="B17" s="12">
        <v>8266139.120000001</v>
      </c>
      <c r="C17" s="4"/>
      <c r="G17" s="3" t="s">
        <v>65</v>
      </c>
      <c r="H17" s="4">
        <f>B30+B31</f>
        <v>12694617.390000001</v>
      </c>
    </row>
    <row r="18" spans="1:16">
      <c r="A18" s="3" t="s">
        <v>14</v>
      </c>
      <c r="B18" s="12">
        <v>245324.61</v>
      </c>
      <c r="C18" s="4"/>
      <c r="G18" s="3" t="s">
        <v>66</v>
      </c>
      <c r="H18" s="4">
        <f>B32</f>
        <v>1197059.22</v>
      </c>
    </row>
    <row r="19" spans="1:16">
      <c r="A19" s="3" t="s">
        <v>15</v>
      </c>
      <c r="B19" s="12">
        <v>1595202.28</v>
      </c>
      <c r="C19" s="4"/>
      <c r="G19" s="3" t="s">
        <v>60</v>
      </c>
      <c r="H19" s="4">
        <v>0</v>
      </c>
    </row>
    <row r="20" spans="1:16">
      <c r="A20" s="3" t="s">
        <v>16</v>
      </c>
      <c r="B20" s="12">
        <v>184024.5</v>
      </c>
      <c r="C20" s="4"/>
      <c r="G20" s="10" t="s">
        <v>30</v>
      </c>
      <c r="H20" s="6">
        <f>SUM(H21:H22)</f>
        <v>3805661.17</v>
      </c>
    </row>
    <row r="21" spans="1:16">
      <c r="A21" s="3" t="s">
        <v>17</v>
      </c>
      <c r="B21" s="12">
        <v>1368964.7300000002</v>
      </c>
      <c r="C21" s="4"/>
      <c r="G21" s="3" t="s">
        <v>67</v>
      </c>
      <c r="H21" s="4">
        <f>B38</f>
        <v>3805661.17</v>
      </c>
    </row>
    <row r="22" spans="1:16">
      <c r="A22" s="10" t="s">
        <v>18</v>
      </c>
      <c r="B22" s="11"/>
      <c r="C22" s="6">
        <f>SUM(B23:B27)</f>
        <v>10960785.169999996</v>
      </c>
      <c r="G22" s="3" t="s">
        <v>68</v>
      </c>
      <c r="H22" s="4">
        <v>0</v>
      </c>
    </row>
    <row r="23" spans="1:16">
      <c r="A23" s="3" t="s">
        <v>19</v>
      </c>
      <c r="B23" s="12">
        <v>1017633.2</v>
      </c>
      <c r="C23" s="4"/>
      <c r="G23" s="10" t="s">
        <v>69</v>
      </c>
      <c r="H23" s="6">
        <f>B35</f>
        <v>2517559.29</v>
      </c>
    </row>
    <row r="24" spans="1:16" ht="15.75" thickBot="1">
      <c r="A24" s="3" t="s">
        <v>20</v>
      </c>
      <c r="B24" s="12">
        <v>8879489.2999999989</v>
      </c>
      <c r="C24" s="4"/>
      <c r="G24" s="7" t="s">
        <v>64</v>
      </c>
      <c r="H24" s="8">
        <f>H16+H20+H23</f>
        <v>20214897.07</v>
      </c>
    </row>
    <row r="25" spans="1:16">
      <c r="A25" s="3" t="s">
        <v>21</v>
      </c>
      <c r="B25" s="12">
        <v>155818.53999999998</v>
      </c>
      <c r="C25" s="4"/>
    </row>
    <row r="26" spans="1:16">
      <c r="A26" s="3" t="s">
        <v>22</v>
      </c>
      <c r="B26" s="12">
        <v>657101.6</v>
      </c>
      <c r="C26" s="4"/>
    </row>
    <row r="27" spans="1:16">
      <c r="A27" s="3" t="s">
        <v>23</v>
      </c>
      <c r="B27" s="12">
        <v>250742.53</v>
      </c>
      <c r="C27" s="4"/>
      <c r="G27" s="47" t="s">
        <v>33</v>
      </c>
      <c r="H27" s="9"/>
    </row>
    <row r="28" spans="1:16" ht="15.75" thickBot="1">
      <c r="A28" s="13" t="s">
        <v>24</v>
      </c>
      <c r="B28" s="14"/>
      <c r="C28" s="15">
        <f>C16+C22</f>
        <v>22620440.409999996</v>
      </c>
      <c r="G28" s="17"/>
      <c r="H28" s="9"/>
    </row>
    <row r="29" spans="1:16">
      <c r="A29" s="10" t="s">
        <v>25</v>
      </c>
      <c r="B29" s="11"/>
      <c r="C29" s="6">
        <f>SUM(B30:B32)</f>
        <v>13891676.610000001</v>
      </c>
      <c r="G29" s="18" t="s">
        <v>34</v>
      </c>
      <c r="H29" s="19">
        <f>C22</f>
        <v>10960785.169999996</v>
      </c>
    </row>
    <row r="30" spans="1:16" ht="15.75">
      <c r="A30" s="3" t="s">
        <v>53</v>
      </c>
      <c r="B30" s="28">
        <v>200000</v>
      </c>
      <c r="C30" s="29"/>
      <c r="G30" s="3" t="s">
        <v>35</v>
      </c>
      <c r="H30" s="4">
        <f>(B17+B18+B20+B21)-(B34+B36)</f>
        <v>7658909.620000001</v>
      </c>
      <c r="K30" s="32" t="s">
        <v>71</v>
      </c>
      <c r="L30" s="32" t="s">
        <v>72</v>
      </c>
      <c r="M30" s="32" t="s">
        <v>73</v>
      </c>
      <c r="N30" s="32" t="s">
        <v>74</v>
      </c>
      <c r="O30" s="32" t="s">
        <v>75</v>
      </c>
      <c r="P30" s="33"/>
    </row>
    <row r="31" spans="1:16" ht="15.75">
      <c r="A31" s="3" t="s">
        <v>54</v>
      </c>
      <c r="B31" s="28">
        <v>12494617.390000001</v>
      </c>
      <c r="C31" s="29"/>
      <c r="G31" s="3" t="s">
        <v>70</v>
      </c>
      <c r="H31" s="4">
        <f>H11</f>
        <v>1595202.28</v>
      </c>
      <c r="K31" s="34" t="s">
        <v>76</v>
      </c>
      <c r="L31" s="35">
        <v>6323220.46</v>
      </c>
      <c r="M31" s="36">
        <v>0.31280000000000002</v>
      </c>
      <c r="N31" s="36">
        <v>4.7000000000000002E-3</v>
      </c>
      <c r="O31" s="36">
        <v>1.5E-3</v>
      </c>
      <c r="P31" s="33"/>
    </row>
    <row r="32" spans="1:16" ht="16.5" thickBot="1">
      <c r="A32" s="3" t="s">
        <v>55</v>
      </c>
      <c r="B32" s="28">
        <v>1197059.22</v>
      </c>
      <c r="C32" s="29"/>
      <c r="G32" s="20" t="s">
        <v>36</v>
      </c>
      <c r="H32" s="21">
        <f>H29+H30+H31</f>
        <v>20214897.07</v>
      </c>
      <c r="K32" s="34" t="s">
        <v>77</v>
      </c>
      <c r="L32" s="37">
        <v>13891676.609999999</v>
      </c>
      <c r="M32" s="38">
        <v>0.68720000000000003</v>
      </c>
      <c r="N32" s="38">
        <v>5.1700000000000003E-2</v>
      </c>
      <c r="O32" s="38">
        <v>3.5499999999999997E-2</v>
      </c>
      <c r="P32" s="33"/>
    </row>
    <row r="33" spans="1:16" ht="16.5" thickBot="1">
      <c r="A33" s="10" t="s">
        <v>26</v>
      </c>
      <c r="B33" s="11"/>
      <c r="C33" s="6">
        <f>SUM(B34:B36)</f>
        <v>4923102.63</v>
      </c>
      <c r="G33" s="20"/>
      <c r="H33" s="4"/>
      <c r="K33" s="34"/>
      <c r="L33" s="35">
        <v>20214897.07</v>
      </c>
      <c r="M33" s="39">
        <v>1</v>
      </c>
      <c r="N33" s="33"/>
      <c r="O33" s="40">
        <v>3.6999999999999998E-2</v>
      </c>
      <c r="P33" s="41" t="s">
        <v>78</v>
      </c>
    </row>
    <row r="34" spans="1:16" ht="15.75">
      <c r="A34" s="3" t="s">
        <v>27</v>
      </c>
      <c r="B34" s="12">
        <v>11488.3</v>
      </c>
      <c r="C34" s="4"/>
      <c r="G34" s="3" t="s">
        <v>37</v>
      </c>
      <c r="H34" s="4">
        <f>B10+B9</f>
        <v>1635410.2300000009</v>
      </c>
      <c r="K34" s="34" t="s">
        <v>79</v>
      </c>
      <c r="L34" s="36">
        <v>6.1999999999999998E-3</v>
      </c>
      <c r="M34" s="33"/>
      <c r="N34" s="33"/>
      <c r="O34" s="33"/>
      <c r="P34" s="33"/>
    </row>
    <row r="35" spans="1:16" ht="15.75">
      <c r="A35" s="3" t="s">
        <v>28</v>
      </c>
      <c r="B35" s="12">
        <v>2517559.29</v>
      </c>
      <c r="C35" s="4"/>
      <c r="G35" s="20" t="s">
        <v>38</v>
      </c>
      <c r="H35" s="22">
        <f>H34*(1-L36)/H32</f>
        <v>6.0675929649935179E-2</v>
      </c>
      <c r="J35" s="31"/>
      <c r="K35" s="34" t="s">
        <v>80</v>
      </c>
      <c r="L35" s="35">
        <v>39331.269999999997</v>
      </c>
      <c r="M35" s="33"/>
      <c r="N35" s="33"/>
      <c r="O35" s="33"/>
      <c r="P35" s="33"/>
    </row>
    <row r="36" spans="1:16" ht="15.75">
      <c r="A36" s="3" t="s">
        <v>29</v>
      </c>
      <c r="B36" s="12">
        <v>2394055.04</v>
      </c>
      <c r="C36" s="4"/>
      <c r="G36" s="3"/>
      <c r="H36" s="4"/>
      <c r="K36" s="34" t="s">
        <v>81</v>
      </c>
      <c r="L36" s="42">
        <v>0.25</v>
      </c>
      <c r="M36" s="33"/>
      <c r="N36" s="33"/>
      <c r="O36" s="33"/>
      <c r="P36" s="33"/>
    </row>
    <row r="37" spans="1:16" ht="15.75">
      <c r="A37" s="10" t="s">
        <v>30</v>
      </c>
      <c r="B37" s="11"/>
      <c r="C37" s="6">
        <f>SUM(B38)</f>
        <v>3805661.17</v>
      </c>
      <c r="G37" s="3" t="s">
        <v>39</v>
      </c>
      <c r="H37" s="4">
        <f>B12</f>
        <v>1197059.2200000007</v>
      </c>
      <c r="K37" s="34" t="s">
        <v>82</v>
      </c>
      <c r="L37" s="35">
        <v>399019.74</v>
      </c>
      <c r="M37" s="33"/>
      <c r="N37" s="33"/>
      <c r="O37" s="33"/>
      <c r="P37" s="33"/>
    </row>
    <row r="38" spans="1:16" ht="31.5">
      <c r="A38" s="3" t="s">
        <v>31</v>
      </c>
      <c r="B38" s="12">
        <v>3805661.17</v>
      </c>
      <c r="C38" s="4"/>
      <c r="G38" s="3" t="s">
        <v>40</v>
      </c>
      <c r="H38" s="4">
        <f>H37*0.4</f>
        <v>478823.68800000031</v>
      </c>
      <c r="K38" s="34" t="s">
        <v>10</v>
      </c>
      <c r="L38" s="35">
        <v>1596078.96</v>
      </c>
      <c r="M38" s="33"/>
      <c r="N38" s="33"/>
      <c r="O38" s="33"/>
      <c r="P38" s="33"/>
    </row>
    <row r="39" spans="1:16" ht="16.5" thickBot="1">
      <c r="A39" s="7" t="s">
        <v>32</v>
      </c>
      <c r="B39" s="16"/>
      <c r="C39" s="8">
        <f>C29+C33+C37</f>
        <v>22620440.410000004</v>
      </c>
      <c r="G39" s="3" t="s">
        <v>41</v>
      </c>
      <c r="H39" s="4">
        <f>H37*0.6</f>
        <v>718235.53200000036</v>
      </c>
      <c r="K39" s="34" t="s">
        <v>83</v>
      </c>
      <c r="L39" s="36">
        <v>5.1700000000000003E-2</v>
      </c>
      <c r="M39" s="33"/>
      <c r="N39" s="33"/>
      <c r="O39" s="33"/>
      <c r="P39" s="33"/>
    </row>
    <row r="40" spans="1:16" ht="15.75">
      <c r="G40" s="3"/>
      <c r="H40" s="4"/>
      <c r="K40" s="34" t="s">
        <v>84</v>
      </c>
      <c r="L40" s="35">
        <v>718235.53</v>
      </c>
      <c r="M40" s="33"/>
      <c r="N40" s="33"/>
      <c r="O40" s="33"/>
      <c r="P40" s="33"/>
    </row>
    <row r="41" spans="1:16">
      <c r="G41" s="3" t="s">
        <v>42</v>
      </c>
      <c r="H41" s="23">
        <f>N31</f>
        <v>4.7000000000000002E-3</v>
      </c>
    </row>
    <row r="42" spans="1:16">
      <c r="G42" s="3" t="s">
        <v>43</v>
      </c>
      <c r="H42" s="4">
        <f>L31</f>
        <v>6323220.46</v>
      </c>
    </row>
    <row r="43" spans="1:16">
      <c r="G43" s="3" t="s">
        <v>44</v>
      </c>
      <c r="H43" s="23">
        <f>N32</f>
        <v>5.1700000000000003E-2</v>
      </c>
    </row>
    <row r="44" spans="1:16">
      <c r="G44" s="3" t="s">
        <v>45</v>
      </c>
      <c r="H44" s="4">
        <f>L32</f>
        <v>13891676.609999999</v>
      </c>
    </row>
    <row r="45" spans="1:16">
      <c r="G45" s="3"/>
      <c r="H45" s="4"/>
    </row>
    <row r="46" spans="1:16">
      <c r="G46" s="3" t="s">
        <v>46</v>
      </c>
      <c r="H46" s="23">
        <f>(H43*H44)/(H44+H42)</f>
        <v>3.5528238320978005E-2</v>
      </c>
    </row>
    <row r="47" spans="1:16">
      <c r="G47" s="3" t="s">
        <v>47</v>
      </c>
      <c r="H47" s="23">
        <f>O31</f>
        <v>1.5E-3</v>
      </c>
    </row>
    <row r="48" spans="1:16" ht="15.75" thickBot="1">
      <c r="G48" s="3"/>
      <c r="H48" s="4"/>
    </row>
    <row r="49" spans="1:20" ht="15.75" thickBot="1">
      <c r="G49" s="3"/>
      <c r="H49" s="4"/>
      <c r="J49" s="43" t="s">
        <v>85</v>
      </c>
      <c r="K49" s="44"/>
    </row>
    <row r="50" spans="1:20">
      <c r="G50" s="24" t="s">
        <v>48</v>
      </c>
      <c r="H50" s="25">
        <f>O33</f>
        <v>3.6999999999999998E-2</v>
      </c>
    </row>
    <row r="51" spans="1:20" ht="15.75" thickBot="1">
      <c r="G51" s="3"/>
      <c r="H51" s="4"/>
      <c r="J51" t="s">
        <v>86</v>
      </c>
    </row>
    <row r="52" spans="1:20" ht="15.75" thickBot="1">
      <c r="G52" s="26" t="s">
        <v>49</v>
      </c>
      <c r="H52" s="46">
        <f>H32*(H35-H50)</f>
        <v>478606.4809100008</v>
      </c>
      <c r="J52" s="45">
        <f>H32*(H35-O33)</f>
        <v>478606.4809100008</v>
      </c>
    </row>
    <row r="53" spans="1:20">
      <c r="H53" s="9"/>
    </row>
    <row r="54" spans="1:20">
      <c r="G54" s="47" t="s">
        <v>50</v>
      </c>
      <c r="H54" s="9"/>
    </row>
    <row r="55" spans="1:20" ht="15.75" thickBot="1">
      <c r="A55" s="51" t="s">
        <v>88</v>
      </c>
      <c r="B55" s="48"/>
      <c r="C55" s="48"/>
      <c r="D55" s="48"/>
      <c r="E55" s="48"/>
      <c r="G55" s="17"/>
      <c r="H55" s="9"/>
      <c r="J55" s="47" t="s">
        <v>87</v>
      </c>
    </row>
    <row r="56" spans="1:20">
      <c r="A56" s="1" t="s">
        <v>0</v>
      </c>
      <c r="B56" s="2" t="s">
        <v>1</v>
      </c>
      <c r="G56" s="18" t="s">
        <v>34</v>
      </c>
      <c r="H56" s="19">
        <f>C77</f>
        <v>11060785.169999996</v>
      </c>
    </row>
    <row r="57" spans="1:20" ht="30">
      <c r="A57" s="3" t="s">
        <v>2</v>
      </c>
      <c r="B57" s="4">
        <v>28640179.370000001</v>
      </c>
      <c r="G57" s="3" t="s">
        <v>35</v>
      </c>
      <c r="H57" s="4">
        <f>B103</f>
        <v>9206502.4900000002</v>
      </c>
      <c r="O57" s="32" t="s">
        <v>71</v>
      </c>
      <c r="P57" s="32" t="s">
        <v>72</v>
      </c>
      <c r="Q57" s="32" t="s">
        <v>73</v>
      </c>
      <c r="R57" s="32" t="s">
        <v>74</v>
      </c>
      <c r="S57" s="32" t="s">
        <v>75</v>
      </c>
      <c r="T57" s="33"/>
    </row>
    <row r="58" spans="1:20" ht="15.75">
      <c r="A58" s="3" t="s">
        <v>3</v>
      </c>
      <c r="B58" s="49">
        <f>14137051.63-191524.41</f>
        <v>13945527.220000001</v>
      </c>
      <c r="F58" t="s">
        <v>89</v>
      </c>
      <c r="G58" s="20" t="s">
        <v>36</v>
      </c>
      <c r="H58" s="21">
        <f>H57+H56+B106</f>
        <v>21862489.939999998</v>
      </c>
      <c r="O58" s="34" t="s">
        <v>76</v>
      </c>
      <c r="P58" s="35">
        <f>B90+B93</f>
        <v>6323220.46</v>
      </c>
      <c r="Q58" s="36">
        <f>P58/P60</f>
        <v>0.28922691234162934</v>
      </c>
      <c r="R58" s="36">
        <f>P61*(1-0.25)</f>
        <v>4.6650994831832892E-3</v>
      </c>
      <c r="S58" s="36">
        <f>Q58*R58</f>
        <v>1.3492723192876335E-3</v>
      </c>
      <c r="T58" s="33"/>
    </row>
    <row r="59" spans="1:20" ht="16.5" thickBot="1">
      <c r="A59" s="5" t="s">
        <v>4</v>
      </c>
      <c r="B59" s="6">
        <f>B57-B58</f>
        <v>14694652.15</v>
      </c>
      <c r="G59" s="20"/>
      <c r="H59" s="4"/>
      <c r="O59" s="34" t="s">
        <v>77</v>
      </c>
      <c r="P59" s="37">
        <f>C84</f>
        <v>15539269.475000001</v>
      </c>
      <c r="Q59" s="38">
        <f>P59/P60</f>
        <v>0.71077308765837055</v>
      </c>
      <c r="R59" s="38">
        <f>P66</f>
        <v>7.4999479150225604E-2</v>
      </c>
      <c r="S59" s="38">
        <f>Q59*R59</f>
        <v>5.3307611368375439E-2</v>
      </c>
      <c r="T59" s="33"/>
    </row>
    <row r="60" spans="1:20" ht="16.5" thickBot="1">
      <c r="A60" s="3" t="s">
        <v>5</v>
      </c>
      <c r="B60" s="49">
        <f>B5-902256.89</f>
        <v>5300210.32</v>
      </c>
      <c r="G60" s="3" t="s">
        <v>37</v>
      </c>
      <c r="H60" s="4">
        <f>B65+B64</f>
        <v>2629191.5299999998</v>
      </c>
      <c r="O60" s="34"/>
      <c r="P60" s="35">
        <f>P58+P59</f>
        <v>21862489.935000002</v>
      </c>
      <c r="Q60" s="39">
        <f>Q58+Q59</f>
        <v>0.99999999999999989</v>
      </c>
      <c r="R60" s="33"/>
      <c r="S60" s="40">
        <f>S58+S59</f>
        <v>5.4656883687663076E-2</v>
      </c>
      <c r="T60" s="41" t="s">
        <v>78</v>
      </c>
    </row>
    <row r="61" spans="1:20" ht="15.75">
      <c r="A61" s="3" t="s">
        <v>6</v>
      </c>
      <c r="B61" s="4">
        <v>3628919.8</v>
      </c>
      <c r="G61" s="20" t="s">
        <v>38</v>
      </c>
      <c r="H61" s="22">
        <f>H60*(1-L36)/H58</f>
        <v>9.01952912459522E-2</v>
      </c>
      <c r="O61" s="34" t="s">
        <v>79</v>
      </c>
      <c r="P61" s="36">
        <f>P62/P58</f>
        <v>6.220132644244385E-3</v>
      </c>
    </row>
    <row r="62" spans="1:20" ht="15.75">
      <c r="A62" s="3" t="s">
        <v>7</v>
      </c>
      <c r="B62" s="49">
        <f>1884169.16+100000</f>
        <v>1984169.16</v>
      </c>
      <c r="G62" s="3"/>
      <c r="H62" s="4"/>
      <c r="O62" s="34" t="s">
        <v>80</v>
      </c>
      <c r="P62" s="35">
        <v>39331.269999999997</v>
      </c>
    </row>
    <row r="63" spans="1:20" ht="15.75">
      <c r="A63" s="3" t="s">
        <v>8</v>
      </c>
      <c r="B63" s="4">
        <v>1152161.3400000001</v>
      </c>
      <c r="G63" s="3" t="s">
        <v>39</v>
      </c>
      <c r="H63" s="4">
        <f>B67</f>
        <v>1942395.1949999998</v>
      </c>
      <c r="O63" s="34" t="s">
        <v>81</v>
      </c>
      <c r="P63" s="42">
        <v>0.25</v>
      </c>
    </row>
    <row r="64" spans="1:20" ht="15.75">
      <c r="A64" s="3" t="s">
        <v>9</v>
      </c>
      <c r="B64" s="4">
        <v>39331.269999999997</v>
      </c>
      <c r="G64" s="3" t="s">
        <v>40</v>
      </c>
      <c r="H64" s="4">
        <f>H63*0.4</f>
        <v>776958.07799999998</v>
      </c>
      <c r="O64" s="34" t="s">
        <v>82</v>
      </c>
      <c r="P64" s="35">
        <f>B66</f>
        <v>647465.06499999994</v>
      </c>
    </row>
    <row r="65" spans="1:16" ht="32.25" thickBot="1">
      <c r="A65" s="7" t="s">
        <v>10</v>
      </c>
      <c r="B65" s="8">
        <f>B59-SUM(B60:B64)</f>
        <v>2589860.2599999998</v>
      </c>
      <c r="G65" s="3" t="s">
        <v>41</v>
      </c>
      <c r="H65" s="4">
        <f>H63*0.6</f>
        <v>1165437.1169999999</v>
      </c>
      <c r="O65" s="34" t="s">
        <v>10</v>
      </c>
      <c r="P65" s="35">
        <f>B65</f>
        <v>2589860.2599999998</v>
      </c>
    </row>
    <row r="66" spans="1:16" ht="15.75">
      <c r="A66" s="3" t="s">
        <v>51</v>
      </c>
      <c r="B66" s="4">
        <f>B65*0.25</f>
        <v>647465.06499999994</v>
      </c>
      <c r="G66" s="3"/>
      <c r="H66" s="4"/>
      <c r="O66" s="34" t="s">
        <v>83</v>
      </c>
      <c r="P66" s="36">
        <f>P67/P59</f>
        <v>7.4999479150225604E-2</v>
      </c>
    </row>
    <row r="67" spans="1:16" ht="15.75">
      <c r="A67" s="27" t="s">
        <v>52</v>
      </c>
      <c r="B67" s="14">
        <f>B65-B66</f>
        <v>1942395.1949999998</v>
      </c>
      <c r="G67" s="3" t="s">
        <v>42</v>
      </c>
      <c r="H67" s="23">
        <f>R58</f>
        <v>4.6650994831832892E-3</v>
      </c>
      <c r="O67" s="34" t="s">
        <v>84</v>
      </c>
      <c r="P67" s="35">
        <f>H65</f>
        <v>1165437.1169999999</v>
      </c>
    </row>
    <row r="68" spans="1:16">
      <c r="B68" s="9"/>
      <c r="G68" s="3" t="s">
        <v>43</v>
      </c>
      <c r="H68" s="4">
        <f>P58</f>
        <v>6323220.46</v>
      </c>
    </row>
    <row r="69" spans="1:16" ht="15.75" thickBot="1">
      <c r="B69" s="9"/>
      <c r="G69" s="3" t="s">
        <v>44</v>
      </c>
      <c r="H69" s="23">
        <f>R59</f>
        <v>7.4999479150225604E-2</v>
      </c>
    </row>
    <row r="70" spans="1:16">
      <c r="A70" s="1" t="s">
        <v>11</v>
      </c>
      <c r="B70" s="52" t="s">
        <v>1</v>
      </c>
      <c r="C70" s="53"/>
      <c r="G70" s="3" t="s">
        <v>45</v>
      </c>
      <c r="H70" s="4">
        <f>P59</f>
        <v>15539269.475000001</v>
      </c>
    </row>
    <row r="71" spans="1:16">
      <c r="A71" s="10" t="s">
        <v>12</v>
      </c>
      <c r="B71" s="11"/>
      <c r="C71" s="6">
        <f>SUM(B72:B76)</f>
        <v>13015723.699999999</v>
      </c>
      <c r="G71" s="3"/>
      <c r="H71" s="4"/>
    </row>
    <row r="72" spans="1:16">
      <c r="A72" s="3" t="s">
        <v>13</v>
      </c>
      <c r="B72" s="50">
        <f>8266139.12-191524.41</f>
        <v>8074614.71</v>
      </c>
      <c r="C72" s="4"/>
      <c r="G72" s="3" t="s">
        <v>46</v>
      </c>
      <c r="H72" s="23">
        <f>S59</f>
        <v>5.3307611368375439E-2</v>
      </c>
    </row>
    <row r="73" spans="1:16">
      <c r="A73" s="3" t="s">
        <v>14</v>
      </c>
      <c r="B73" s="12">
        <v>245324.61</v>
      </c>
      <c r="C73" s="4"/>
      <c r="G73" s="3" t="s">
        <v>47</v>
      </c>
      <c r="H73" s="23">
        <f>S58</f>
        <v>1.3492723192876335E-3</v>
      </c>
    </row>
    <row r="74" spans="1:16">
      <c r="A74" s="3" t="s">
        <v>15</v>
      </c>
      <c r="B74" s="12">
        <v>1595202.28</v>
      </c>
      <c r="C74" s="4"/>
      <c r="G74" s="3"/>
      <c r="H74" s="4"/>
    </row>
    <row r="75" spans="1:16">
      <c r="A75" s="3" t="s">
        <v>16</v>
      </c>
      <c r="B75" s="12">
        <v>184024.5</v>
      </c>
      <c r="C75" s="4"/>
      <c r="G75" s="3"/>
      <c r="H75" s="4"/>
    </row>
    <row r="76" spans="1:16">
      <c r="A76" s="3" t="s">
        <v>17</v>
      </c>
      <c r="B76" s="50">
        <f>1368964.73-100000+902256.89+745335.98</f>
        <v>2916557.6</v>
      </c>
      <c r="C76" s="4"/>
      <c r="G76" s="24" t="s">
        <v>48</v>
      </c>
      <c r="H76" s="25">
        <f>S60</f>
        <v>5.4656883687663076E-2</v>
      </c>
    </row>
    <row r="77" spans="1:16" ht="15.75" thickBot="1">
      <c r="A77" s="10" t="s">
        <v>18</v>
      </c>
      <c r="B77" s="11"/>
      <c r="C77" s="6">
        <f>SUM(B78:B82)</f>
        <v>11060785.169999996</v>
      </c>
      <c r="G77" s="3"/>
      <c r="H77" s="4"/>
    </row>
    <row r="78" spans="1:16" ht="15.75" thickBot="1">
      <c r="A78" s="3" t="s">
        <v>19</v>
      </c>
      <c r="B78" s="50">
        <f>1017633.2+100000</f>
        <v>1117633.2</v>
      </c>
      <c r="C78" s="4"/>
      <c r="G78" s="26" t="s">
        <v>49</v>
      </c>
      <c r="H78" s="46">
        <f>H58*(H61-H76)</f>
        <v>776958.07772671583</v>
      </c>
    </row>
    <row r="79" spans="1:16">
      <c r="A79" s="3" t="s">
        <v>20</v>
      </c>
      <c r="B79" s="12">
        <v>8879489.2999999989</v>
      </c>
      <c r="C79" s="4"/>
    </row>
    <row r="80" spans="1:16">
      <c r="A80" s="3" t="s">
        <v>21</v>
      </c>
      <c r="B80" s="12">
        <v>155818.53999999998</v>
      </c>
      <c r="C80" s="4"/>
    </row>
    <row r="81" spans="1:3">
      <c r="A81" s="3" t="s">
        <v>22</v>
      </c>
      <c r="B81" s="12">
        <v>657101.6</v>
      </c>
      <c r="C81" s="4"/>
    </row>
    <row r="82" spans="1:3">
      <c r="A82" s="3" t="s">
        <v>23</v>
      </c>
      <c r="B82" s="12">
        <v>250742.53</v>
      </c>
      <c r="C82" s="4"/>
    </row>
    <row r="83" spans="1:3">
      <c r="A83" s="13" t="s">
        <v>24</v>
      </c>
      <c r="B83" s="14"/>
      <c r="C83" s="15">
        <f>C71+C77</f>
        <v>24076508.869999997</v>
      </c>
    </row>
    <row r="84" spans="1:3">
      <c r="A84" s="10" t="s">
        <v>25</v>
      </c>
      <c r="B84" s="11"/>
      <c r="C84" s="6">
        <f>SUM(B85:B87)</f>
        <v>15539269.475000001</v>
      </c>
    </row>
    <row r="85" spans="1:3">
      <c r="A85" s="3" t="s">
        <v>53</v>
      </c>
      <c r="B85" s="28">
        <v>200000</v>
      </c>
      <c r="C85" s="29"/>
    </row>
    <row r="86" spans="1:3">
      <c r="A86" s="3" t="s">
        <v>54</v>
      </c>
      <c r="B86" s="28">
        <f>12494617.39+902256.89</f>
        <v>13396874.280000001</v>
      </c>
      <c r="C86" s="29"/>
    </row>
    <row r="87" spans="1:3">
      <c r="A87" s="3" t="s">
        <v>55</v>
      </c>
      <c r="B87" s="28">
        <f>B67</f>
        <v>1942395.1949999998</v>
      </c>
      <c r="C87" s="29"/>
    </row>
    <row r="88" spans="1:3">
      <c r="A88" s="10" t="s">
        <v>26</v>
      </c>
      <c r="B88" s="11"/>
      <c r="C88" s="6">
        <f>SUM(B89:B91)</f>
        <v>4731578.22</v>
      </c>
    </row>
    <row r="89" spans="1:3">
      <c r="A89" s="3" t="s">
        <v>27</v>
      </c>
      <c r="B89" s="12">
        <v>11488.3</v>
      </c>
      <c r="C89" s="4"/>
    </row>
    <row r="90" spans="1:3">
      <c r="A90" s="3" t="s">
        <v>28</v>
      </c>
      <c r="B90" s="12">
        <v>2517559.29</v>
      </c>
      <c r="C90" s="4"/>
    </row>
    <row r="91" spans="1:3">
      <c r="A91" s="3" t="s">
        <v>29</v>
      </c>
      <c r="B91" s="50">
        <f>2394055.04-191524.41</f>
        <v>2202530.63</v>
      </c>
      <c r="C91" s="4"/>
    </row>
    <row r="92" spans="1:3">
      <c r="A92" s="10" t="s">
        <v>30</v>
      </c>
      <c r="B92" s="11"/>
      <c r="C92" s="6">
        <f>SUM(B93)</f>
        <v>3805661.17</v>
      </c>
    </row>
    <row r="93" spans="1:3">
      <c r="A93" s="3" t="s">
        <v>31</v>
      </c>
      <c r="B93" s="12">
        <v>3805661.17</v>
      </c>
      <c r="C93" s="4"/>
    </row>
    <row r="94" spans="1:3" ht="15.75" thickBot="1">
      <c r="A94" s="7" t="s">
        <v>32</v>
      </c>
      <c r="B94" s="16"/>
      <c r="C94" s="8">
        <f>C84+C88+C92</f>
        <v>24076508.865000002</v>
      </c>
    </row>
    <row r="96" spans="1:3">
      <c r="A96" s="17" t="s">
        <v>56</v>
      </c>
    </row>
    <row r="97" spans="1:2" ht="15.75" thickBot="1"/>
    <row r="98" spans="1:2">
      <c r="A98" s="1" t="s">
        <v>57</v>
      </c>
      <c r="B98" s="2" t="s">
        <v>1</v>
      </c>
    </row>
    <row r="99" spans="1:2">
      <c r="A99" s="10" t="s">
        <v>18</v>
      </c>
      <c r="B99" s="6">
        <f>C77</f>
        <v>11060785.169999996</v>
      </c>
    </row>
    <row r="100" spans="1:2">
      <c r="A100" s="3" t="s">
        <v>58</v>
      </c>
      <c r="B100" s="4">
        <f>B78+B79+B80</f>
        <v>10152941.039999997</v>
      </c>
    </row>
    <row r="101" spans="1:2">
      <c r="A101" s="3" t="s">
        <v>59</v>
      </c>
      <c r="B101" s="4">
        <f>B81</f>
        <v>657101.6</v>
      </c>
    </row>
    <row r="102" spans="1:2">
      <c r="A102" s="3" t="s">
        <v>60</v>
      </c>
      <c r="B102" s="4">
        <f>B82</f>
        <v>250742.53</v>
      </c>
    </row>
    <row r="103" spans="1:2">
      <c r="A103" s="10" t="s">
        <v>35</v>
      </c>
      <c r="B103" s="6">
        <f>B104-B105</f>
        <v>9206502.4900000002</v>
      </c>
    </row>
    <row r="104" spans="1:2">
      <c r="A104" s="3" t="s">
        <v>61</v>
      </c>
      <c r="B104" s="4">
        <f>B72+B73+B75+B76</f>
        <v>11420521.42</v>
      </c>
    </row>
    <row r="105" spans="1:2">
      <c r="A105" s="3" t="s">
        <v>62</v>
      </c>
      <c r="B105" s="4">
        <f>B89+B91</f>
        <v>2214018.9299999997</v>
      </c>
    </row>
    <row r="106" spans="1:2">
      <c r="A106" s="30" t="s">
        <v>63</v>
      </c>
      <c r="B106" s="6">
        <f>B74</f>
        <v>1595202.28</v>
      </c>
    </row>
    <row r="107" spans="1:2" ht="15.75" thickBot="1">
      <c r="A107" s="7" t="s">
        <v>64</v>
      </c>
      <c r="B107" s="8">
        <f>B99+B103+B106</f>
        <v>21862489.939999998</v>
      </c>
    </row>
    <row r="109" spans="1:2" ht="15.75" thickBot="1"/>
    <row r="110" spans="1:2">
      <c r="A110" s="1" t="s">
        <v>36</v>
      </c>
      <c r="B110" s="2" t="s">
        <v>1</v>
      </c>
    </row>
    <row r="111" spans="1:2">
      <c r="A111" s="10" t="s">
        <v>25</v>
      </c>
      <c r="B111" s="6">
        <f>C84</f>
        <v>15539269.475000001</v>
      </c>
    </row>
    <row r="112" spans="1:2">
      <c r="A112" s="3" t="s">
        <v>65</v>
      </c>
      <c r="B112" s="4">
        <f>B86+B85</f>
        <v>13596874.280000001</v>
      </c>
    </row>
    <row r="113" spans="1:2">
      <c r="A113" s="3" t="s">
        <v>66</v>
      </c>
      <c r="B113" s="4">
        <f>B87</f>
        <v>1942395.1949999998</v>
      </c>
    </row>
    <row r="114" spans="1:2">
      <c r="A114" s="3" t="s">
        <v>60</v>
      </c>
      <c r="B114" s="4">
        <v>0</v>
      </c>
    </row>
    <row r="115" spans="1:2">
      <c r="A115" s="10" t="s">
        <v>30</v>
      </c>
      <c r="B115" s="6">
        <f>SUM(B116:B117)</f>
        <v>3805661.17</v>
      </c>
    </row>
    <row r="116" spans="1:2">
      <c r="A116" s="3" t="s">
        <v>67</v>
      </c>
      <c r="B116" s="4">
        <f>B93</f>
        <v>3805661.17</v>
      </c>
    </row>
    <row r="117" spans="1:2">
      <c r="A117" s="3" t="s">
        <v>68</v>
      </c>
      <c r="B117" s="4">
        <v>0</v>
      </c>
    </row>
    <row r="118" spans="1:2">
      <c r="A118" s="10" t="s">
        <v>69</v>
      </c>
      <c r="B118" s="6">
        <f>B90</f>
        <v>2517559.29</v>
      </c>
    </row>
    <row r="119" spans="1:2" ht="15.75" thickBot="1">
      <c r="A119" s="7" t="s">
        <v>64</v>
      </c>
      <c r="B119" s="8">
        <f>B111+B115+B118</f>
        <v>21862489.935000002</v>
      </c>
    </row>
  </sheetData>
  <mergeCells count="2">
    <mergeCell ref="B15:C15"/>
    <mergeCell ref="B70:C7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Lorena Rivas Rodriguez</dc:creator>
  <cp:lastModifiedBy>PORTATIL28</cp:lastModifiedBy>
  <dcterms:created xsi:type="dcterms:W3CDTF">2021-11-02T11:46:44Z</dcterms:created>
  <dcterms:modified xsi:type="dcterms:W3CDTF">2023-12-16T11:54:03Z</dcterms:modified>
</cp:coreProperties>
</file>