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Corporate Finance\C3\"/>
    </mc:Choice>
  </mc:AlternateContent>
  <xr:revisionPtr revIDLastSave="0" documentId="13_ncr:1_{4B73D577-0C56-4865-84CB-6D68D62A5153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6" i="1" l="1"/>
  <c r="H73" i="1"/>
  <c r="H72" i="1"/>
  <c r="H69" i="1"/>
  <c r="H67" i="1"/>
  <c r="H41" i="1"/>
  <c r="H47" i="1" s="1"/>
  <c r="H65" i="1"/>
  <c r="H64" i="1"/>
  <c r="H63" i="1"/>
  <c r="M64" i="1"/>
  <c r="H58" i="1"/>
  <c r="H57" i="1"/>
  <c r="H56" i="1"/>
  <c r="H32" i="1"/>
  <c r="H31" i="1"/>
  <c r="H30" i="1"/>
  <c r="H29" i="1"/>
  <c r="N60" i="1"/>
  <c r="M65" i="1" s="1"/>
  <c r="D3" i="1"/>
  <c r="H34" i="1"/>
  <c r="H43" i="1"/>
  <c r="H39" i="1"/>
  <c r="I44" i="1"/>
  <c r="I42" i="1"/>
  <c r="H46" i="1"/>
  <c r="H44" i="1"/>
  <c r="J43" i="1"/>
  <c r="H42" i="1"/>
  <c r="J41" i="1"/>
  <c r="J40" i="1"/>
  <c r="H50" i="1" l="1"/>
  <c r="M66" i="1"/>
  <c r="M72" i="1" s="1"/>
  <c r="M73" i="1" l="1"/>
  <c r="M74" i="1" s="1"/>
  <c r="H60" i="1"/>
  <c r="H61" i="1" s="1"/>
  <c r="H38" i="1" l="1"/>
  <c r="H35" i="1"/>
  <c r="H52" i="1" s="1"/>
  <c r="H37" i="1"/>
  <c r="H23" i="1"/>
  <c r="H21" i="1"/>
  <c r="H18" i="1"/>
  <c r="H17" i="1"/>
  <c r="H11" i="1"/>
  <c r="H10" i="1"/>
  <c r="H9" i="1"/>
  <c r="H7" i="1"/>
  <c r="H6" i="1"/>
  <c r="H5" i="1"/>
  <c r="H20" i="1"/>
  <c r="C37" i="1"/>
  <c r="C33" i="1"/>
  <c r="C29" i="1"/>
  <c r="C39" i="1" s="1"/>
  <c r="C22" i="1"/>
  <c r="C16" i="1"/>
  <c r="B4" i="1"/>
  <c r="B10" i="1" s="1"/>
  <c r="C28" i="1" l="1"/>
  <c r="H4" i="1"/>
  <c r="H8" i="1"/>
  <c r="H12" i="1"/>
  <c r="H16" i="1"/>
  <c r="H24" i="1" s="1"/>
  <c r="B11" i="1"/>
  <c r="B12" i="1" s="1"/>
  <c r="H78" i="1" l="1"/>
</calcChain>
</file>

<file path=xl/sharedStrings.xml><?xml version="1.0" encoding="utf-8"?>
<sst xmlns="http://schemas.openxmlformats.org/spreadsheetml/2006/main" count="123" uniqueCount="84">
  <si>
    <t>Cuenta resultados</t>
  </si>
  <si>
    <t>Año N</t>
  </si>
  <si>
    <t>Ventas</t>
  </si>
  <si>
    <t>Coste de ventas</t>
  </si>
  <si>
    <t>Margen contribución</t>
  </si>
  <si>
    <t>Salarios</t>
  </si>
  <si>
    <t>Alquileres</t>
  </si>
  <si>
    <t>Resto gastos generales</t>
  </si>
  <si>
    <t>Amortizaciones</t>
  </si>
  <si>
    <t>Resultado financiero</t>
  </si>
  <si>
    <t>Resultado antes impuestos</t>
  </si>
  <si>
    <t xml:space="preserve">Balance </t>
  </si>
  <si>
    <t>Activo corriente</t>
  </si>
  <si>
    <t>Existencias</t>
  </si>
  <si>
    <t>Deudores comerciales</t>
  </si>
  <si>
    <t>Inversiones financieras a c/p</t>
  </si>
  <si>
    <t>Periodificaciones a c/p</t>
  </si>
  <si>
    <t>Efectivo y otros activos líquidos</t>
  </si>
  <si>
    <t>Activo no corriente</t>
  </si>
  <si>
    <t>Intangible</t>
  </si>
  <si>
    <t>Material</t>
  </si>
  <si>
    <t>Inversiones inmobiliarias</t>
  </si>
  <si>
    <t>Inversiones financieras a l/p</t>
  </si>
  <si>
    <t>Activos por impuesto diferido</t>
  </si>
  <si>
    <t>Total activo</t>
  </si>
  <si>
    <t>Patrimonio neto</t>
  </si>
  <si>
    <t>Pasivo corriente</t>
  </si>
  <si>
    <t>Provisiones a corto plazo</t>
  </si>
  <si>
    <t>Deuda bancaria a c/p</t>
  </si>
  <si>
    <t>Acreedores comerciales y otras cuentas a pagar</t>
  </si>
  <si>
    <t>Pasivo no corriente</t>
  </si>
  <si>
    <t>Deuda bancaria a l/p</t>
  </si>
  <si>
    <t>Total pasivo</t>
  </si>
  <si>
    <t>1.-  EVA</t>
  </si>
  <si>
    <t>Activos netos</t>
  </si>
  <si>
    <t>NOF</t>
  </si>
  <si>
    <t>Capitales empleados</t>
  </si>
  <si>
    <t>EBIT</t>
  </si>
  <si>
    <t>ROCE</t>
  </si>
  <si>
    <t>Resultado después impuestos</t>
  </si>
  <si>
    <t>Beneficio retenido (40%)</t>
  </si>
  <si>
    <t>Dividendo (60%)</t>
  </si>
  <si>
    <t>kd</t>
  </si>
  <si>
    <t>D</t>
  </si>
  <si>
    <t>ke</t>
  </si>
  <si>
    <t>E</t>
  </si>
  <si>
    <t xml:space="preserve"> Ke . E/(E+D)</t>
  </si>
  <si>
    <t>Kd . D(1-i)/(E+D)</t>
  </si>
  <si>
    <t>WACC = Ke . E/(E+D) + Kd . D(1-i)/(E+D)</t>
  </si>
  <si>
    <t>EVA</t>
  </si>
  <si>
    <t>3.-  EVA</t>
  </si>
  <si>
    <t>Impuesto sobre beneficios</t>
  </si>
  <si>
    <t>Resultado después de impuestos</t>
  </si>
  <si>
    <t>Capital social</t>
  </si>
  <si>
    <t>Reservas</t>
  </si>
  <si>
    <t>Resultado neto del ejercicio</t>
  </si>
  <si>
    <t>BALANCE FINANCIERO</t>
  </si>
  <si>
    <t>Capitales invertidos</t>
  </si>
  <si>
    <t>Inmovilizados</t>
  </si>
  <si>
    <t>Inversiones</t>
  </si>
  <si>
    <t>Otros</t>
  </si>
  <si>
    <t>Activo corriente operativo</t>
  </si>
  <si>
    <t>Pasivo corriente operativo</t>
  </si>
  <si>
    <t>Inversiones financieras temporales</t>
  </si>
  <si>
    <t>Total</t>
  </si>
  <si>
    <t>Capital y reservas</t>
  </si>
  <si>
    <t>Pérdidas y ganancias</t>
  </si>
  <si>
    <t>Deudas a largo plazo</t>
  </si>
  <si>
    <t>Otros pasivos no corrientes</t>
  </si>
  <si>
    <t>Deudas  a corto plazo</t>
  </si>
  <si>
    <t>IFT</t>
  </si>
  <si>
    <t>i</t>
  </si>
  <si>
    <t xml:space="preserve">%i </t>
  </si>
  <si>
    <t>% g. Financ</t>
  </si>
  <si>
    <t>Mejorar el ROCE</t>
  </si>
  <si>
    <t>Incrementar el ROCE:</t>
  </si>
  <si>
    <t>Incrementar margen de ventas ( via reduccion sotes o incremento precios)</t>
  </si>
  <si>
    <t>Incrementar volumen de vetnas</t>
  </si>
  <si>
    <t>Optimar los activos</t>
  </si>
  <si>
    <t>Disminuir el WACC:</t>
  </si>
  <si>
    <t>Reducir coste fuentes financiación</t>
  </si>
  <si>
    <t>%coste venta</t>
  </si>
  <si>
    <t>Reducir el coste venta</t>
  </si>
  <si>
    <t xml:space="preserve">Aumentar venta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</si>
</sst>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Proxima Nova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/>
    <xf numFmtId="164" fontId="2" fillId="2" borderId="2" xfId="1" applyFont="1" applyFill="1" applyBorder="1"/>
    <xf numFmtId="0" fontId="0" fillId="0" borderId="3" xfId="0" applyBorder="1"/>
    <xf numFmtId="164" fontId="0" fillId="0" borderId="4" xfId="1" applyFont="1" applyBorder="1"/>
    <xf numFmtId="0" fontId="3" fillId="3" borderId="3" xfId="0" applyFont="1" applyFill="1" applyBorder="1"/>
    <xf numFmtId="164" fontId="0" fillId="3" borderId="4" xfId="1" applyFont="1" applyFill="1" applyBorder="1"/>
    <xf numFmtId="0" fontId="2" fillId="2" borderId="5" xfId="0" applyFont="1" applyFill="1" applyBorder="1"/>
    <xf numFmtId="164" fontId="2" fillId="2" borderId="6" xfId="1" applyFont="1" applyFill="1" applyBorder="1"/>
    <xf numFmtId="164" fontId="0" fillId="0" borderId="0" xfId="1" applyFont="1"/>
    <xf numFmtId="0" fontId="0" fillId="3" borderId="3" xfId="0" applyFill="1" applyBorder="1"/>
    <xf numFmtId="164" fontId="0" fillId="3" borderId="0" xfId="1" applyFont="1" applyFill="1" applyBorder="1"/>
    <xf numFmtId="164" fontId="0" fillId="0" borderId="0" xfId="1" applyFont="1" applyBorder="1"/>
    <xf numFmtId="0" fontId="2" fillId="2" borderId="3" xfId="0" applyFont="1" applyFill="1" applyBorder="1"/>
    <xf numFmtId="164" fontId="2" fillId="2" borderId="0" xfId="1" applyFont="1" applyFill="1" applyBorder="1"/>
    <xf numFmtId="164" fontId="2" fillId="2" borderId="4" xfId="1" applyFont="1" applyFill="1" applyBorder="1"/>
    <xf numFmtId="164" fontId="2" fillId="2" borderId="8" xfId="1" applyFont="1" applyFill="1" applyBorder="1"/>
    <xf numFmtId="0" fontId="3" fillId="0" borderId="0" xfId="0" applyFont="1"/>
    <xf numFmtId="0" fontId="0" fillId="0" borderId="1" xfId="0" applyBorder="1"/>
    <xf numFmtId="164" fontId="0" fillId="0" borderId="2" xfId="1" applyFont="1" applyBorder="1"/>
    <xf numFmtId="0" fontId="3" fillId="0" borderId="3" xfId="0" applyFont="1" applyBorder="1"/>
    <xf numFmtId="164" fontId="3" fillId="0" borderId="4" xfId="1" applyFont="1" applyBorder="1"/>
    <xf numFmtId="10" fontId="3" fillId="0" borderId="4" xfId="2" applyNumberFormat="1" applyFont="1" applyBorder="1"/>
    <xf numFmtId="10" fontId="0" fillId="0" borderId="4" xfId="2" applyNumberFormat="1" applyFont="1" applyBorder="1"/>
    <xf numFmtId="0" fontId="4" fillId="0" borderId="3" xfId="0" applyFont="1" applyBorder="1" applyAlignment="1">
      <alignment horizontal="center" vertical="center" readingOrder="1"/>
    </xf>
    <xf numFmtId="10" fontId="3" fillId="0" borderId="4" xfId="1" applyNumberFormat="1" applyFont="1" applyBorder="1"/>
    <xf numFmtId="0" fontId="3" fillId="0" borderId="9" xfId="0" applyFont="1" applyBorder="1"/>
    <xf numFmtId="164" fontId="3" fillId="0" borderId="10" xfId="1" applyFont="1" applyBorder="1"/>
    <xf numFmtId="0" fontId="2" fillId="2" borderId="0" xfId="0" applyFont="1" applyFill="1"/>
    <xf numFmtId="164" fontId="0" fillId="0" borderId="0" xfId="1" applyFont="1" applyFill="1" applyBorder="1"/>
    <xf numFmtId="164" fontId="0" fillId="0" borderId="4" xfId="1" applyFont="1" applyFill="1" applyBorder="1"/>
    <xf numFmtId="0" fontId="0" fillId="3" borderId="3" xfId="0" applyFill="1" applyBorder="1" applyAlignment="1">
      <alignment wrapText="1"/>
    </xf>
    <xf numFmtId="164" fontId="0" fillId="0" borderId="0" xfId="0" applyNumberFormat="1"/>
    <xf numFmtId="0" fontId="0" fillId="0" borderId="0" xfId="0" applyAlignment="1">
      <alignment horizontal="right"/>
    </xf>
    <xf numFmtId="9" fontId="0" fillId="0" borderId="0" xfId="2" applyFont="1"/>
    <xf numFmtId="10" fontId="0" fillId="0" borderId="0" xfId="2" applyNumberFormat="1" applyFont="1"/>
    <xf numFmtId="9" fontId="0" fillId="0" borderId="0" xfId="0" applyNumberFormat="1"/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3">
    <cellStyle name="Coma" xfId="1" builtinId="3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abSelected="1" topLeftCell="C50" workbookViewId="0">
      <selection activeCell="L59" sqref="L59"/>
    </sheetView>
  </sheetViews>
  <sheetFormatPr defaultColWidth="11.42578125" defaultRowHeight="15"/>
  <cols>
    <col min="1" max="1" width="43.28515625" bestFit="1" customWidth="1"/>
    <col min="2" max="3" width="15.5703125" bestFit="1" customWidth="1"/>
    <col min="4" max="4" width="19.85546875" bestFit="1" customWidth="1"/>
    <col min="7" max="7" width="36.42578125" bestFit="1" customWidth="1"/>
    <col min="8" max="8" width="18.7109375" customWidth="1"/>
    <col min="10" max="10" width="13.140625" bestFit="1" customWidth="1"/>
    <col min="12" max="12" width="29.28515625" customWidth="1"/>
    <col min="13" max="13" width="36.5703125" customWidth="1"/>
  </cols>
  <sheetData>
    <row r="1" spans="1:8">
      <c r="A1" s="1" t="s">
        <v>0</v>
      </c>
      <c r="B1" s="2" t="s">
        <v>1</v>
      </c>
      <c r="G1" s="17" t="s">
        <v>56</v>
      </c>
    </row>
    <row r="2" spans="1:8" ht="15.75" thickBot="1">
      <c r="A2" s="3" t="s">
        <v>2</v>
      </c>
      <c r="B2" s="4">
        <v>28640179.370000001</v>
      </c>
    </row>
    <row r="3" spans="1:8">
      <c r="A3" s="3" t="s">
        <v>3</v>
      </c>
      <c r="B3" s="4">
        <v>14137051.630000001</v>
      </c>
      <c r="C3" t="s">
        <v>81</v>
      </c>
      <c r="D3" s="34">
        <f>B3/B2</f>
        <v>0.4936090464855214</v>
      </c>
      <c r="G3" s="1" t="s">
        <v>57</v>
      </c>
      <c r="H3" s="2" t="s">
        <v>1</v>
      </c>
    </row>
    <row r="4" spans="1:8">
      <c r="A4" s="5" t="s">
        <v>4</v>
      </c>
      <c r="B4" s="6">
        <f>B2-B3</f>
        <v>14503127.74</v>
      </c>
      <c r="G4" s="10" t="s">
        <v>18</v>
      </c>
      <c r="H4" s="6">
        <f>SUM(H5:H7)</f>
        <v>10960785.169999996</v>
      </c>
    </row>
    <row r="5" spans="1:8">
      <c r="A5" s="3" t="s">
        <v>5</v>
      </c>
      <c r="B5" s="4">
        <v>6202467.21</v>
      </c>
      <c r="G5" s="3" t="s">
        <v>58</v>
      </c>
      <c r="H5" s="4">
        <f>B23+B24+B25</f>
        <v>10052941.039999997</v>
      </c>
    </row>
    <row r="6" spans="1:8">
      <c r="A6" s="3" t="s">
        <v>6</v>
      </c>
      <c r="B6" s="4">
        <v>3628919.8</v>
      </c>
      <c r="G6" s="3" t="s">
        <v>59</v>
      </c>
      <c r="H6" s="4">
        <f>B26</f>
        <v>657101.6</v>
      </c>
    </row>
    <row r="7" spans="1:8">
      <c r="A7" s="3" t="s">
        <v>7</v>
      </c>
      <c r="B7" s="4">
        <v>1884169.16</v>
      </c>
      <c r="G7" s="3" t="s">
        <v>60</v>
      </c>
      <c r="H7" s="4">
        <f>B27</f>
        <v>250742.53</v>
      </c>
    </row>
    <row r="8" spans="1:8">
      <c r="A8" s="3" t="s">
        <v>8</v>
      </c>
      <c r="B8" s="4">
        <v>1152161.3400000001</v>
      </c>
      <c r="G8" s="10" t="s">
        <v>35</v>
      </c>
      <c r="H8" s="6">
        <f>H9-H10</f>
        <v>7658909.620000001</v>
      </c>
    </row>
    <row r="9" spans="1:8">
      <c r="A9" s="3" t="s">
        <v>9</v>
      </c>
      <c r="B9" s="4">
        <v>39331.269999999997</v>
      </c>
      <c r="G9" s="3" t="s">
        <v>61</v>
      </c>
      <c r="H9" s="4">
        <f>B17+B18+B20+B21</f>
        <v>10064452.960000001</v>
      </c>
    </row>
    <row r="10" spans="1:8" ht="15.75" thickBot="1">
      <c r="A10" s="7" t="s">
        <v>10</v>
      </c>
      <c r="B10" s="8">
        <f>B4-SUM(B5:B9)</f>
        <v>1596078.9600000009</v>
      </c>
      <c r="G10" s="3" t="s">
        <v>62</v>
      </c>
      <c r="H10" s="4">
        <f>B34+B36</f>
        <v>2405543.34</v>
      </c>
    </row>
    <row r="11" spans="1:8">
      <c r="A11" s="3" t="s">
        <v>51</v>
      </c>
      <c r="B11" s="4">
        <f>B10*0.25</f>
        <v>399019.74000000022</v>
      </c>
      <c r="G11" s="31" t="s">
        <v>63</v>
      </c>
      <c r="H11" s="6">
        <f>B19</f>
        <v>1595202.28</v>
      </c>
    </row>
    <row r="12" spans="1:8" ht="15.75" thickBot="1">
      <c r="A12" s="28" t="s">
        <v>52</v>
      </c>
      <c r="B12" s="14">
        <f>B10-B11</f>
        <v>1197059.2200000007</v>
      </c>
      <c r="G12" s="7" t="s">
        <v>64</v>
      </c>
      <c r="H12" s="8">
        <f>H4+H8+H11</f>
        <v>20214897.07</v>
      </c>
    </row>
    <row r="13" spans="1:8">
      <c r="B13" s="9"/>
    </row>
    <row r="14" spans="1:8" ht="15.75" thickBot="1">
      <c r="B14" s="9"/>
    </row>
    <row r="15" spans="1:8">
      <c r="A15" s="1" t="s">
        <v>11</v>
      </c>
      <c r="B15" s="37" t="s">
        <v>1</v>
      </c>
      <c r="C15" s="38"/>
      <c r="G15" s="1" t="s">
        <v>36</v>
      </c>
      <c r="H15" s="2" t="s">
        <v>1</v>
      </c>
    </row>
    <row r="16" spans="1:8">
      <c r="A16" s="10" t="s">
        <v>12</v>
      </c>
      <c r="B16" s="11"/>
      <c r="C16" s="6">
        <f>SUM(B17:B21)</f>
        <v>11659655.24</v>
      </c>
      <c r="G16" s="10" t="s">
        <v>25</v>
      </c>
      <c r="H16" s="6">
        <f>SUM(H17:H19)</f>
        <v>13891676.610000001</v>
      </c>
    </row>
    <row r="17" spans="1:8">
      <c r="A17" s="3" t="s">
        <v>13</v>
      </c>
      <c r="B17" s="12">
        <v>8266139.120000001</v>
      </c>
      <c r="C17" s="4"/>
      <c r="G17" s="3" t="s">
        <v>65</v>
      </c>
      <c r="H17" s="4">
        <f>B30+B31</f>
        <v>12694617.390000001</v>
      </c>
    </row>
    <row r="18" spans="1:8">
      <c r="A18" s="3" t="s">
        <v>14</v>
      </c>
      <c r="B18" s="12">
        <v>245324.61</v>
      </c>
      <c r="C18" s="4"/>
      <c r="G18" s="3" t="s">
        <v>66</v>
      </c>
      <c r="H18" s="4">
        <f>B32</f>
        <v>1197059.22</v>
      </c>
    </row>
    <row r="19" spans="1:8">
      <c r="A19" s="3" t="s">
        <v>15</v>
      </c>
      <c r="B19" s="12">
        <v>1595202.28</v>
      </c>
      <c r="C19" s="4"/>
      <c r="G19" s="3" t="s">
        <v>60</v>
      </c>
      <c r="H19" s="4">
        <v>0</v>
      </c>
    </row>
    <row r="20" spans="1:8">
      <c r="A20" s="3" t="s">
        <v>16</v>
      </c>
      <c r="B20" s="12">
        <v>184024.5</v>
      </c>
      <c r="C20" s="4"/>
      <c r="G20" s="10" t="s">
        <v>30</v>
      </c>
      <c r="H20" s="6">
        <f>SUM(H21:H22)</f>
        <v>3805661.17</v>
      </c>
    </row>
    <row r="21" spans="1:8">
      <c r="A21" s="3" t="s">
        <v>17</v>
      </c>
      <c r="B21" s="12">
        <v>1368964.7300000002</v>
      </c>
      <c r="C21" s="4"/>
      <c r="G21" s="3" t="s">
        <v>67</v>
      </c>
      <c r="H21" s="4">
        <f>B38</f>
        <v>3805661.17</v>
      </c>
    </row>
    <row r="22" spans="1:8">
      <c r="A22" s="10" t="s">
        <v>18</v>
      </c>
      <c r="B22" s="11"/>
      <c r="C22" s="6">
        <f>SUM(B23:B27)</f>
        <v>10960785.169999996</v>
      </c>
      <c r="G22" s="3" t="s">
        <v>68</v>
      </c>
      <c r="H22" s="4">
        <v>0</v>
      </c>
    </row>
    <row r="23" spans="1:8">
      <c r="A23" s="3" t="s">
        <v>19</v>
      </c>
      <c r="B23" s="12">
        <v>1017633.2</v>
      </c>
      <c r="C23" s="4"/>
      <c r="G23" s="10" t="s">
        <v>69</v>
      </c>
      <c r="H23" s="6">
        <f>B35</f>
        <v>2517559.29</v>
      </c>
    </row>
    <row r="24" spans="1:8" ht="15.75" thickBot="1">
      <c r="A24" s="3" t="s">
        <v>20</v>
      </c>
      <c r="B24" s="12">
        <v>8879489.2999999989</v>
      </c>
      <c r="C24" s="4"/>
      <c r="G24" s="7" t="s">
        <v>64</v>
      </c>
      <c r="H24" s="8">
        <f>H16+H20+H23</f>
        <v>20214897.07</v>
      </c>
    </row>
    <row r="25" spans="1:8">
      <c r="A25" s="3" t="s">
        <v>21</v>
      </c>
      <c r="B25" s="12">
        <v>155818.53999999998</v>
      </c>
      <c r="C25" s="4"/>
    </row>
    <row r="26" spans="1:8">
      <c r="A26" s="3" t="s">
        <v>22</v>
      </c>
      <c r="B26" s="12">
        <v>657101.6</v>
      </c>
      <c r="C26" s="4"/>
    </row>
    <row r="27" spans="1:8">
      <c r="A27" s="3" t="s">
        <v>23</v>
      </c>
      <c r="B27" s="12">
        <v>250742.53</v>
      </c>
      <c r="C27" s="4"/>
      <c r="G27" s="17" t="s">
        <v>33</v>
      </c>
      <c r="H27" s="9"/>
    </row>
    <row r="28" spans="1:8" ht="15.75" thickBot="1">
      <c r="A28" s="13" t="s">
        <v>24</v>
      </c>
      <c r="B28" s="14"/>
      <c r="C28" s="15">
        <f>C16+C22</f>
        <v>22620440.409999996</v>
      </c>
      <c r="G28" s="17"/>
      <c r="H28" s="9"/>
    </row>
    <row r="29" spans="1:8">
      <c r="A29" s="10" t="s">
        <v>25</v>
      </c>
      <c r="B29" s="11"/>
      <c r="C29" s="6">
        <f>SUM(B30:B32)</f>
        <v>13891676.610000001</v>
      </c>
      <c r="G29" s="18" t="s">
        <v>34</v>
      </c>
      <c r="H29" s="19">
        <f>$H$4</f>
        <v>10960785.169999996</v>
      </c>
    </row>
    <row r="30" spans="1:8">
      <c r="A30" s="3" t="s">
        <v>53</v>
      </c>
      <c r="B30" s="29">
        <v>200000</v>
      </c>
      <c r="C30" s="30"/>
      <c r="G30" s="3" t="s">
        <v>35</v>
      </c>
      <c r="H30" s="4">
        <f>$H$8</f>
        <v>7658909.620000001</v>
      </c>
    </row>
    <row r="31" spans="1:8">
      <c r="A31" s="3" t="s">
        <v>54</v>
      </c>
      <c r="B31" s="29">
        <v>12494617.390000001</v>
      </c>
      <c r="C31" s="30"/>
      <c r="G31" s="3" t="s">
        <v>70</v>
      </c>
      <c r="H31" s="4">
        <f>$H$11</f>
        <v>1595202.28</v>
      </c>
    </row>
    <row r="32" spans="1:8">
      <c r="A32" s="3" t="s">
        <v>55</v>
      </c>
      <c r="B32" s="29">
        <v>1197059.22</v>
      </c>
      <c r="C32" s="30"/>
      <c r="G32" s="20" t="s">
        <v>36</v>
      </c>
      <c r="H32" s="21">
        <f>SUM($H$29:$H$31)</f>
        <v>20214897.07</v>
      </c>
    </row>
    <row r="33" spans="1:10">
      <c r="A33" s="10" t="s">
        <v>26</v>
      </c>
      <c r="B33" s="11"/>
      <c r="C33" s="6">
        <f>SUM(B34:B36)</f>
        <v>4923102.63</v>
      </c>
      <c r="G33" s="20"/>
      <c r="H33" s="4"/>
    </row>
    <row r="34" spans="1:10">
      <c r="A34" s="3" t="s">
        <v>27</v>
      </c>
      <c r="B34" s="12">
        <v>11488.3</v>
      </c>
      <c r="C34" s="4"/>
      <c r="G34" s="3" t="s">
        <v>37</v>
      </c>
      <c r="H34" s="4">
        <f>B10-B9</f>
        <v>1556747.6900000009</v>
      </c>
    </row>
    <row r="35" spans="1:10">
      <c r="A35" s="3" t="s">
        <v>28</v>
      </c>
      <c r="B35" s="12">
        <v>2517559.29</v>
      </c>
      <c r="C35" s="4"/>
      <c r="G35" s="20" t="s">
        <v>38</v>
      </c>
      <c r="H35" s="22">
        <f>(H34*(1-J41))/H32</f>
        <v>5.7757443110245853E-2</v>
      </c>
    </row>
    <row r="36" spans="1:10">
      <c r="A36" s="3" t="s">
        <v>29</v>
      </c>
      <c r="B36" s="12">
        <v>2394055.04</v>
      </c>
      <c r="C36" s="4"/>
      <c r="G36" s="3"/>
      <c r="H36" s="4"/>
    </row>
    <row r="37" spans="1:10">
      <c r="A37" s="10" t="s">
        <v>30</v>
      </c>
      <c r="B37" s="11"/>
      <c r="C37" s="6">
        <f>SUM(B38)</f>
        <v>3805661.17</v>
      </c>
      <c r="G37" s="3" t="s">
        <v>39</v>
      </c>
      <c r="H37" s="4">
        <f>B12</f>
        <v>1197059.2200000007</v>
      </c>
    </row>
    <row r="38" spans="1:10">
      <c r="A38" s="3" t="s">
        <v>31</v>
      </c>
      <c r="B38" s="12">
        <v>3805661.17</v>
      </c>
      <c r="C38" s="4"/>
      <c r="G38" s="3" t="s">
        <v>40</v>
      </c>
      <c r="H38" s="4">
        <f>H37*0.4</f>
        <v>478823.68800000031</v>
      </c>
    </row>
    <row r="39" spans="1:10" ht="15.75" thickBot="1">
      <c r="A39" s="7" t="s">
        <v>32</v>
      </c>
      <c r="B39" s="16"/>
      <c r="C39" s="8">
        <f>C29+C33+C37</f>
        <v>22620440.410000004</v>
      </c>
      <c r="G39" s="3" t="s">
        <v>41</v>
      </c>
      <c r="H39" s="4">
        <f>H37*0.6</f>
        <v>718235.53200000036</v>
      </c>
    </row>
    <row r="40" spans="1:10">
      <c r="G40" s="3"/>
      <c r="H40" s="4"/>
      <c r="I40" s="33" t="s">
        <v>71</v>
      </c>
      <c r="J40" s="32">
        <f>B11</f>
        <v>399019.74000000022</v>
      </c>
    </row>
    <row r="41" spans="1:10">
      <c r="G41" s="3" t="s">
        <v>42</v>
      </c>
      <c r="H41" s="23">
        <f>$J$43*(1-$J$41)</f>
        <v>4.6650994831832892E-3</v>
      </c>
      <c r="I41" t="s">
        <v>72</v>
      </c>
      <c r="J41" s="34">
        <f>J40/B10</f>
        <v>0.25</v>
      </c>
    </row>
    <row r="42" spans="1:10">
      <c r="G42" s="3" t="s">
        <v>43</v>
      </c>
      <c r="H42" s="4">
        <f>H20+H23</f>
        <v>6323220.46</v>
      </c>
      <c r="I42" s="35">
        <f>H42/H24</f>
        <v>0.31280003247624749</v>
      </c>
    </row>
    <row r="43" spans="1:10">
      <c r="G43" s="3" t="s">
        <v>44</v>
      </c>
      <c r="H43" s="23">
        <f>H39/H44</f>
        <v>5.1702580772933805E-2</v>
      </c>
      <c r="I43" t="s">
        <v>73</v>
      </c>
      <c r="J43" s="35">
        <f>B9/H42</f>
        <v>6.220132644244385E-3</v>
      </c>
    </row>
    <row r="44" spans="1:10">
      <c r="G44" s="3" t="s">
        <v>45</v>
      </c>
      <c r="H44" s="4">
        <f>H16</f>
        <v>13891676.610000001</v>
      </c>
      <c r="I44" s="35">
        <f>H44/H24</f>
        <v>0.68719996752375256</v>
      </c>
    </row>
    <row r="45" spans="1:10">
      <c r="G45" s="3"/>
      <c r="H45" s="4"/>
    </row>
    <row r="46" spans="1:10">
      <c r="G46" s="3" t="s">
        <v>46</v>
      </c>
      <c r="H46" s="23">
        <f>H43*I44</f>
        <v>3.5530011828054306E-2</v>
      </c>
    </row>
    <row r="47" spans="1:10">
      <c r="G47" s="3" t="s">
        <v>47</v>
      </c>
      <c r="H47" s="23">
        <f>H41*I42</f>
        <v>1.4592432698446582E-3</v>
      </c>
    </row>
    <row r="48" spans="1:10">
      <c r="G48" s="3"/>
      <c r="H48" s="4"/>
    </row>
    <row r="49" spans="7:14">
      <c r="G49" s="3"/>
      <c r="H49" s="4"/>
    </row>
    <row r="50" spans="7:14">
      <c r="G50" s="24" t="s">
        <v>48</v>
      </c>
      <c r="H50" s="25">
        <f>H46+H47</f>
        <v>3.6989255097898965E-2</v>
      </c>
      <c r="L50" t="s">
        <v>74</v>
      </c>
    </row>
    <row r="51" spans="7:14" ht="15.75" thickBot="1">
      <c r="G51" s="3"/>
      <c r="H51" s="4"/>
      <c r="L51" t="s">
        <v>75</v>
      </c>
    </row>
    <row r="52" spans="7:14" ht="15.75" thickBot="1">
      <c r="G52" s="26" t="s">
        <v>49</v>
      </c>
      <c r="H52" s="27">
        <f>H32*(H35-H50)</f>
        <v>419826.78300000023</v>
      </c>
      <c r="M52" t="s">
        <v>76</v>
      </c>
    </row>
    <row r="53" spans="7:14">
      <c r="H53" s="9"/>
      <c r="M53" t="s">
        <v>77</v>
      </c>
    </row>
    <row r="54" spans="7:14">
      <c r="G54" s="17" t="s">
        <v>50</v>
      </c>
      <c r="H54" s="9"/>
      <c r="M54" t="s">
        <v>78</v>
      </c>
    </row>
    <row r="55" spans="7:14" ht="15.75" thickBot="1">
      <c r="G55" s="17"/>
      <c r="H55" s="9"/>
      <c r="L55" t="s">
        <v>79</v>
      </c>
    </row>
    <row r="56" spans="7:14">
      <c r="G56" s="18" t="s">
        <v>34</v>
      </c>
      <c r="H56" s="19">
        <f>$H$4</f>
        <v>10960785.169999996</v>
      </c>
      <c r="M56" t="s">
        <v>80</v>
      </c>
    </row>
    <row r="57" spans="7:14">
      <c r="G57" s="3" t="s">
        <v>35</v>
      </c>
      <c r="H57" s="4">
        <f>$H$8</f>
        <v>7658909.620000001</v>
      </c>
    </row>
    <row r="58" spans="7:14">
      <c r="G58" s="20" t="s">
        <v>36</v>
      </c>
      <c r="H58" s="21">
        <f>SUM($H$29:$H$31)</f>
        <v>20214897.07</v>
      </c>
    </row>
    <row r="59" spans="7:14">
      <c r="G59" s="20"/>
      <c r="H59" s="21"/>
      <c r="L59" t="s">
        <v>83</v>
      </c>
      <c r="M59" s="36">
        <v>0.1</v>
      </c>
    </row>
    <row r="60" spans="7:14">
      <c r="G60" s="3" t="s">
        <v>37</v>
      </c>
      <c r="H60" s="4">
        <f>M72-M71</f>
        <v>6157480.1947000008</v>
      </c>
      <c r="L60" t="s">
        <v>82</v>
      </c>
      <c r="M60" s="36">
        <v>0.1</v>
      </c>
      <c r="N60" s="36">
        <f>D3-M60</f>
        <v>0.39360904648552142</v>
      </c>
    </row>
    <row r="61" spans="7:14">
      <c r="G61" s="20" t="s">
        <v>38</v>
      </c>
      <c r="H61" s="22">
        <f>(H60*(1-J41))/H58</f>
        <v>0.22845083653077439</v>
      </c>
    </row>
    <row r="62" spans="7:14" ht="15.75" thickBot="1">
      <c r="G62" s="3"/>
      <c r="H62" s="4"/>
    </row>
    <row r="63" spans="7:14">
      <c r="G63" s="3" t="s">
        <v>39</v>
      </c>
      <c r="H63" s="4">
        <f>M72</f>
        <v>6196811.4647000004</v>
      </c>
      <c r="L63" s="1" t="s">
        <v>0</v>
      </c>
      <c r="M63" s="2" t="s">
        <v>1</v>
      </c>
    </row>
    <row r="64" spans="7:14">
      <c r="G64" s="3" t="s">
        <v>40</v>
      </c>
      <c r="H64" s="4">
        <f>H63*0.4</f>
        <v>2478724.5858800001</v>
      </c>
      <c r="L64" s="3" t="s">
        <v>2</v>
      </c>
      <c r="M64" s="4">
        <f>B2+(B2*M59)</f>
        <v>31504197.307</v>
      </c>
    </row>
    <row r="65" spans="7:13">
      <c r="G65" s="3" t="s">
        <v>41</v>
      </c>
      <c r="H65" s="4">
        <f>H63*0.6</f>
        <v>3718086.8788200002</v>
      </c>
      <c r="L65" s="3" t="s">
        <v>3</v>
      </c>
      <c r="M65" s="4">
        <f>M64*N60</f>
        <v>12400337.062300002</v>
      </c>
    </row>
    <row r="66" spans="7:13">
      <c r="G66" s="3"/>
      <c r="H66" s="4"/>
      <c r="L66" s="5" t="s">
        <v>4</v>
      </c>
      <c r="M66" s="6">
        <f>M64-M65</f>
        <v>19103860.2447</v>
      </c>
    </row>
    <row r="67" spans="7:13">
      <c r="G67" s="3" t="s">
        <v>42</v>
      </c>
      <c r="H67" s="23">
        <f>$J$43*(1-$J$41)</f>
        <v>4.6650994831832892E-3</v>
      </c>
      <c r="L67" s="3" t="s">
        <v>5</v>
      </c>
      <c r="M67" s="4">
        <v>6202467.21</v>
      </c>
    </row>
    <row r="68" spans="7:13">
      <c r="G68" s="3" t="s">
        <v>43</v>
      </c>
      <c r="H68" s="4">
        <v>6323220.46</v>
      </c>
      <c r="L68" s="3" t="s">
        <v>6</v>
      </c>
      <c r="M68" s="4">
        <v>3628919.8</v>
      </c>
    </row>
    <row r="69" spans="7:13">
      <c r="G69" s="3" t="s">
        <v>44</v>
      </c>
      <c r="H69" s="23">
        <f>H65/H70</f>
        <v>0.2676485339533109</v>
      </c>
      <c r="L69" s="3" t="s">
        <v>7</v>
      </c>
      <c r="M69" s="4">
        <v>1884169.16</v>
      </c>
    </row>
    <row r="70" spans="7:13">
      <c r="G70" s="3" t="s">
        <v>45</v>
      </c>
      <c r="H70" s="4">
        <v>13891676.610000001</v>
      </c>
      <c r="L70" s="3" t="s">
        <v>8</v>
      </c>
      <c r="M70" s="4">
        <v>1152161.3400000001</v>
      </c>
    </row>
    <row r="71" spans="7:13">
      <c r="G71" s="3"/>
      <c r="H71" s="4"/>
      <c r="L71" s="3" t="s">
        <v>9</v>
      </c>
      <c r="M71" s="4">
        <v>39331.269999999997</v>
      </c>
    </row>
    <row r="72" spans="7:13" ht="15.75" thickBot="1">
      <c r="G72" s="3" t="s">
        <v>46</v>
      </c>
      <c r="H72" s="23">
        <f>H69*I44</f>
        <v>0.18392806384049523</v>
      </c>
      <c r="L72" s="7" t="s">
        <v>10</v>
      </c>
      <c r="M72" s="8">
        <f>M66-SUM(M67:M71)</f>
        <v>6196811.4647000004</v>
      </c>
    </row>
    <row r="73" spans="7:13">
      <c r="G73" s="3" t="s">
        <v>47</v>
      </c>
      <c r="H73" s="23">
        <f>H67*I42</f>
        <v>1.4592432698446582E-3</v>
      </c>
      <c r="L73" s="3" t="s">
        <v>51</v>
      </c>
      <c r="M73" s="4">
        <f>M72*0.25</f>
        <v>1549202.8661750001</v>
      </c>
    </row>
    <row r="74" spans="7:13">
      <c r="G74" s="3"/>
      <c r="H74" s="4"/>
      <c r="L74" s="28" t="s">
        <v>52</v>
      </c>
      <c r="M74" s="14">
        <f>M72-M73</f>
        <v>4647608.5985250007</v>
      </c>
    </row>
    <row r="75" spans="7:13">
      <c r="G75" s="3"/>
      <c r="H75" s="4"/>
    </row>
    <row r="76" spans="7:13">
      <c r="G76" s="24" t="s">
        <v>48</v>
      </c>
      <c r="H76" s="25">
        <f>H72+H73</f>
        <v>0.18538730711033988</v>
      </c>
    </row>
    <row r="77" spans="7:13" ht="15.75" thickBot="1">
      <c r="G77" s="3"/>
      <c r="H77" s="4"/>
    </row>
    <row r="78" spans="7:13" ht="15.75" thickBot="1">
      <c r="G78" s="26" t="s">
        <v>49</v>
      </c>
      <c r="H78" s="27">
        <f>H58*(H61-H76)</f>
        <v>870524.81470500038</v>
      </c>
    </row>
  </sheetData>
  <mergeCells count="1"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Lorena Rivas Rodriguez</dc:creator>
  <cp:lastModifiedBy>PORTATIL28</cp:lastModifiedBy>
  <dcterms:created xsi:type="dcterms:W3CDTF">2021-11-02T11:46:44Z</dcterms:created>
  <dcterms:modified xsi:type="dcterms:W3CDTF">2023-12-13T19:38:57Z</dcterms:modified>
</cp:coreProperties>
</file>