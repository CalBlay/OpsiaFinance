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2/FINANCIACION TRADICIONAL/"/>
    </mc:Choice>
  </mc:AlternateContent>
  <xr:revisionPtr revIDLastSave="0" documentId="14_{01401A04-61B9-4AAD-A104-8F8F12238221}" xr6:coauthVersionLast="47" xr6:coauthVersionMax="47" xr10:uidLastSave="{00000000-0000-0000-0000-000000000000}"/>
  <bookViews>
    <workbookView xWindow="-120" yWindow="-120" windowWidth="29040" windowHeight="15720" activeTab="1" xr2:uid="{677A42FC-FACB-4B02-83C6-B5774A549CFF}"/>
  </bookViews>
  <sheets>
    <sheet name="Full1" sheetId="1" r:id="rId1"/>
    <sheet name="BBVA" sheetId="2" r:id="rId2"/>
    <sheet name="Santand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" l="1"/>
  <c r="F17" i="1"/>
  <c r="H16" i="1"/>
  <c r="I16" i="1" s="1"/>
  <c r="G16" i="1"/>
  <c r="F16" i="1"/>
  <c r="L11" i="1"/>
  <c r="K11" i="1"/>
  <c r="K10" i="1"/>
  <c r="J10" i="1"/>
  <c r="J9" i="1"/>
  <c r="E14" i="1"/>
  <c r="E13" i="1"/>
  <c r="AI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E11" i="1"/>
  <c r="F8" i="1"/>
  <c r="F10" i="1" s="1"/>
  <c r="E8" i="1"/>
  <c r="E10" i="1" s="1"/>
  <c r="H4" i="1"/>
  <c r="G4" i="1"/>
  <c r="F7" i="1"/>
  <c r="E7" i="1"/>
  <c r="F6" i="1"/>
  <c r="E6" i="1"/>
</calcChain>
</file>

<file path=xl/sharedStrings.xml><?xml version="1.0" encoding="utf-8"?>
<sst xmlns="http://schemas.openxmlformats.org/spreadsheetml/2006/main" count="49" uniqueCount="28">
  <si>
    <t>€</t>
  </si>
  <si>
    <t>a</t>
  </si>
  <si>
    <t>b</t>
  </si>
  <si>
    <t>Leasing</t>
  </si>
  <si>
    <t>Apertura</t>
  </si>
  <si>
    <t>Comision gastos de estudio</t>
  </si>
  <si>
    <t>Cancelacion anticipada</t>
  </si>
  <si>
    <t xml:space="preserve">Interes medio </t>
  </si>
  <si>
    <t>disponibilidad</t>
  </si>
  <si>
    <t>Préstamo personal a Crédito</t>
  </si>
  <si>
    <t>Prétamo hipotecario</t>
  </si>
  <si>
    <t>Interes fixe</t>
  </si>
  <si>
    <t>Operaciones a crédito</t>
  </si>
  <si>
    <t>Valoracion garantias</t>
  </si>
  <si>
    <t>https://www.bbva.es/general/tarifas.html</t>
  </si>
  <si>
    <t>Valoracion garantia</t>
  </si>
  <si>
    <t>https://www.bancosantander.es/tablon-anuncios</t>
  </si>
  <si>
    <t>3años o mes</t>
  </si>
  <si>
    <t>compatible ico</t>
  </si>
  <si>
    <t>15 anys</t>
  </si>
  <si>
    <t>https://www.bancosantander.es/ca/empresas/financiacion-avales/inversiones-proyectos-empresariales/leasing/inmobiliario</t>
  </si>
  <si>
    <t>BBVA</t>
  </si>
  <si>
    <t>B.Santander</t>
  </si>
  <si>
    <t>15 años</t>
  </si>
  <si>
    <t>10 años</t>
  </si>
  <si>
    <t>2 años</t>
  </si>
  <si>
    <t>TAE</t>
  </si>
  <si>
    <t>Duración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</si>
</sst>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9" fontId="0" fillId="0" borderId="0" xfId="2" applyFont="1"/>
    <xf numFmtId="164" fontId="0" fillId="0" borderId="0" xfId="2" applyNumberFormat="1" applyFont="1"/>
    <xf numFmtId="10" fontId="0" fillId="0" borderId="0" xfId="2" applyNumberFormat="1" applyFont="1"/>
    <xf numFmtId="0" fontId="0" fillId="0" borderId="0" xfId="1" applyNumberFormat="1" applyFont="1"/>
    <xf numFmtId="8" fontId="0" fillId="0" borderId="0" xfId="0" applyNumberFormat="1"/>
    <xf numFmtId="10" fontId="0" fillId="0" borderId="0" xfId="0" applyNumberFormat="1"/>
    <xf numFmtId="9" fontId="0" fillId="0" borderId="0" xfId="0" applyNumberFormat="1"/>
    <xf numFmtId="0" fontId="2" fillId="0" borderId="0" xfId="3"/>
    <xf numFmtId="0" fontId="0" fillId="0" borderId="9" xfId="0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4" borderId="4" xfId="0" applyFill="1" applyBorder="1"/>
    <xf numFmtId="0" fontId="0" fillId="4" borderId="6" xfId="0" applyFill="1" applyBorder="1"/>
    <xf numFmtId="0" fontId="5" fillId="3" borderId="3" xfId="0" applyFont="1" applyFill="1" applyBorder="1" applyAlignment="1">
      <alignment horizontal="right"/>
    </xf>
    <xf numFmtId="10" fontId="5" fillId="3" borderId="5" xfId="2" applyNumberFormat="1" applyFont="1" applyFill="1" applyBorder="1"/>
    <xf numFmtId="10" fontId="5" fillId="3" borderId="8" xfId="0" applyNumberFormat="1" applyFont="1" applyFill="1" applyBorder="1"/>
    <xf numFmtId="0" fontId="4" fillId="4" borderId="1" xfId="0" applyFont="1" applyFill="1" applyBorder="1" applyAlignment="1">
      <alignment horizontal="center"/>
    </xf>
    <xf numFmtId="10" fontId="0" fillId="2" borderId="1" xfId="2" applyNumberFormat="1" applyFont="1" applyFill="1" applyBorder="1"/>
    <xf numFmtId="10" fontId="5" fillId="3" borderId="1" xfId="0" applyNumberFormat="1" applyFont="1" applyFill="1" applyBorder="1"/>
    <xf numFmtId="10" fontId="5" fillId="3" borderId="8" xfId="2" applyNumberFormat="1" applyFont="1" applyFill="1" applyBorder="1"/>
    <xf numFmtId="0" fontId="0" fillId="0" borderId="0" xfId="0" applyAlignment="1"/>
    <xf numFmtId="0" fontId="0" fillId="4" borderId="9" xfId="0" applyFill="1" applyBorder="1" applyAlignment="1">
      <alignment horizontal="center"/>
    </xf>
    <xf numFmtId="44" fontId="0" fillId="4" borderId="9" xfId="1" applyFont="1" applyFill="1" applyBorder="1" applyAlignment="1">
      <alignment horizontal="center"/>
    </xf>
    <xf numFmtId="44" fontId="0" fillId="4" borderId="10" xfId="1" applyFont="1" applyFill="1" applyBorder="1" applyAlignment="1">
      <alignment horizontal="center"/>
    </xf>
    <xf numFmtId="0" fontId="0" fillId="2" borderId="11" xfId="0" applyFill="1" applyBorder="1" applyAlignment="1">
      <alignment horizontal="right"/>
    </xf>
    <xf numFmtId="10" fontId="0" fillId="2" borderId="12" xfId="0" applyNumberFormat="1" applyFill="1" applyBorder="1"/>
    <xf numFmtId="10" fontId="0" fillId="2" borderId="13" xfId="0" applyNumberFormat="1" applyFill="1" applyBorder="1"/>
    <xf numFmtId="0" fontId="0" fillId="4" borderId="9" xfId="0" applyFill="1" applyBorder="1" applyAlignment="1"/>
    <xf numFmtId="44" fontId="0" fillId="4" borderId="7" xfId="1" applyFont="1" applyFill="1" applyBorder="1" applyAlignment="1"/>
    <xf numFmtId="10" fontId="0" fillId="2" borderId="12" xfId="2" applyNumberFormat="1" applyFont="1" applyFill="1" applyBorder="1"/>
    <xf numFmtId="10" fontId="0" fillId="2" borderId="13" xfId="2" applyNumberFormat="1" applyFont="1" applyFill="1" applyBorder="1"/>
    <xf numFmtId="0" fontId="0" fillId="2" borderId="11" xfId="0" applyNumberFormat="1" applyFill="1" applyBorder="1" applyAlignment="1">
      <alignment horizontal="right"/>
    </xf>
    <xf numFmtId="9" fontId="0" fillId="2" borderId="12" xfId="0" applyNumberFormat="1" applyFill="1" applyBorder="1"/>
    <xf numFmtId="9" fontId="0" fillId="2" borderId="13" xfId="0" applyNumberFormat="1" applyFill="1" applyBorder="1"/>
    <xf numFmtId="44" fontId="0" fillId="0" borderId="0" xfId="0" applyNumberFormat="1"/>
  </cellXfs>
  <cellStyles count="4">
    <cellStyle name="Enllaç" xfId="3" builtinId="8"/>
    <cellStyle name="Moneda" xfId="1" builtinId="4"/>
    <cellStyle name="Normal" xfId="0" builtinId="0"/>
    <cellStyle name="Percentat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ncosantander.es/ca/empresas/financiacion-avales/inversiones-proyectos-empresariales/leasing/inmobiliar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1656-4414-49B4-B109-042DCF028308}">
  <dimension ref="B3:AI17"/>
  <sheetViews>
    <sheetView workbookViewId="0">
      <selection activeCell="N15" sqref="N15"/>
    </sheetView>
  </sheetViews>
  <sheetFormatPr defaultRowHeight="15" x14ac:dyDescent="0.25"/>
  <cols>
    <col min="5" max="5" width="14" customWidth="1"/>
    <col min="6" max="6" width="12.28515625" bestFit="1" customWidth="1"/>
    <col min="7" max="7" width="9.5703125" bestFit="1" customWidth="1"/>
    <col min="8" max="8" width="10.5703125" customWidth="1"/>
  </cols>
  <sheetData>
    <row r="3" spans="2:35" x14ac:dyDescent="0.25">
      <c r="F3" t="s">
        <v>0</v>
      </c>
    </row>
    <row r="4" spans="2:35" x14ac:dyDescent="0.25">
      <c r="F4">
        <v>12000</v>
      </c>
      <c r="G4">
        <f>F4/24</f>
        <v>500</v>
      </c>
      <c r="H4">
        <f>F4/8</f>
        <v>1500</v>
      </c>
    </row>
    <row r="5" spans="2:35" x14ac:dyDescent="0.25">
      <c r="B5" t="s">
        <v>1</v>
      </c>
      <c r="C5" t="s">
        <v>2</v>
      </c>
    </row>
    <row r="6" spans="2:35" x14ac:dyDescent="0.25">
      <c r="B6" s="2">
        <v>1.4999999999999999E-2</v>
      </c>
      <c r="C6" s="1">
        <v>0.01</v>
      </c>
      <c r="E6">
        <f>B6*F4</f>
        <v>180</v>
      </c>
      <c r="F6">
        <f>C6*F4</f>
        <v>120</v>
      </c>
      <c r="J6">
        <v>12000</v>
      </c>
      <c r="K6">
        <v>11500</v>
      </c>
      <c r="L6">
        <v>11000</v>
      </c>
      <c r="M6">
        <v>10500</v>
      </c>
      <c r="N6">
        <v>10000</v>
      </c>
      <c r="O6">
        <v>9500</v>
      </c>
      <c r="P6">
        <v>9000</v>
      </c>
      <c r="Q6">
        <v>8500</v>
      </c>
      <c r="R6">
        <v>8000</v>
      </c>
      <c r="S6">
        <v>7500</v>
      </c>
      <c r="T6">
        <v>7000</v>
      </c>
      <c r="U6">
        <v>6500</v>
      </c>
      <c r="V6">
        <v>6000</v>
      </c>
      <c r="W6">
        <v>5500</v>
      </c>
      <c r="X6">
        <v>5000</v>
      </c>
      <c r="Y6">
        <v>4500</v>
      </c>
      <c r="Z6">
        <v>4000</v>
      </c>
      <c r="AA6">
        <v>3500</v>
      </c>
      <c r="AB6">
        <v>3000</v>
      </c>
      <c r="AC6">
        <v>2500</v>
      </c>
      <c r="AD6">
        <v>2000</v>
      </c>
      <c r="AE6">
        <v>1500</v>
      </c>
      <c r="AF6">
        <v>1000</v>
      </c>
      <c r="AG6">
        <v>500</v>
      </c>
      <c r="AH6">
        <v>0</v>
      </c>
    </row>
    <row r="7" spans="2:35" x14ac:dyDescent="0.25">
      <c r="B7" s="3">
        <v>2E-3</v>
      </c>
      <c r="C7" s="3">
        <v>2E-3</v>
      </c>
      <c r="E7">
        <f>B7*F4</f>
        <v>24</v>
      </c>
      <c r="F7">
        <f>C7*F4</f>
        <v>24</v>
      </c>
      <c r="K7">
        <f t="shared" ref="K7:AH7" si="0">$B$8*K6</f>
        <v>1380</v>
      </c>
      <c r="L7">
        <f t="shared" si="0"/>
        <v>1320</v>
      </c>
      <c r="M7">
        <f t="shared" si="0"/>
        <v>1260</v>
      </c>
      <c r="N7">
        <f t="shared" si="0"/>
        <v>1200</v>
      </c>
      <c r="O7">
        <f t="shared" si="0"/>
        <v>1140</v>
      </c>
      <c r="P7">
        <f t="shared" si="0"/>
        <v>1080</v>
      </c>
      <c r="Q7">
        <f t="shared" si="0"/>
        <v>1020</v>
      </c>
      <c r="R7">
        <f t="shared" si="0"/>
        <v>960</v>
      </c>
      <c r="S7">
        <f t="shared" si="0"/>
        <v>900</v>
      </c>
      <c r="T7">
        <f t="shared" si="0"/>
        <v>840</v>
      </c>
      <c r="U7">
        <f t="shared" si="0"/>
        <v>780</v>
      </c>
      <c r="V7">
        <f t="shared" si="0"/>
        <v>720</v>
      </c>
      <c r="W7">
        <f t="shared" si="0"/>
        <v>660</v>
      </c>
      <c r="X7">
        <f t="shared" si="0"/>
        <v>600</v>
      </c>
      <c r="Y7">
        <f t="shared" si="0"/>
        <v>540</v>
      </c>
      <c r="Z7">
        <f t="shared" si="0"/>
        <v>480</v>
      </c>
      <c r="AA7">
        <f t="shared" si="0"/>
        <v>420</v>
      </c>
      <c r="AB7">
        <f t="shared" si="0"/>
        <v>360</v>
      </c>
      <c r="AC7">
        <f t="shared" si="0"/>
        <v>300</v>
      </c>
      <c r="AD7">
        <f t="shared" si="0"/>
        <v>240</v>
      </c>
      <c r="AE7">
        <f t="shared" si="0"/>
        <v>180</v>
      </c>
      <c r="AF7">
        <f t="shared" si="0"/>
        <v>120</v>
      </c>
      <c r="AG7">
        <f t="shared" si="0"/>
        <v>60</v>
      </c>
      <c r="AH7">
        <f t="shared" si="0"/>
        <v>0</v>
      </c>
      <c r="AI7">
        <f>SUM(J7:AH7)</f>
        <v>16560</v>
      </c>
    </row>
    <row r="8" spans="2:35" x14ac:dyDescent="0.25">
      <c r="B8" s="1">
        <v>0.12</v>
      </c>
      <c r="C8" s="2">
        <v>0.125</v>
      </c>
      <c r="E8">
        <f>(B8*G4)*24</f>
        <v>1440</v>
      </c>
      <c r="F8">
        <f>(C8*H4)*8</f>
        <v>1500</v>
      </c>
    </row>
    <row r="9" spans="2:35" x14ac:dyDescent="0.25">
      <c r="B9" s="4">
        <v>24</v>
      </c>
      <c r="C9" s="4">
        <v>8</v>
      </c>
      <c r="J9">
        <f>500*12%</f>
        <v>60</v>
      </c>
    </row>
    <row r="10" spans="2:35" x14ac:dyDescent="0.25">
      <c r="B10" s="1"/>
      <c r="C10" s="1"/>
      <c r="E10">
        <f>SUM(E6:E8)</f>
        <v>1644</v>
      </c>
      <c r="F10">
        <f>SUM(F6:F8)</f>
        <v>1644</v>
      </c>
      <c r="J10">
        <f>J9*24</f>
        <v>1440</v>
      </c>
      <c r="K10">
        <f>18000/24</f>
        <v>750</v>
      </c>
    </row>
    <row r="11" spans="2:35" x14ac:dyDescent="0.25">
      <c r="E11" s="3">
        <f>E10/F4</f>
        <v>0.13700000000000001</v>
      </c>
      <c r="K11">
        <f>K10*12%</f>
        <v>90</v>
      </c>
      <c r="L11">
        <f>K11*24</f>
        <v>2160</v>
      </c>
    </row>
    <row r="13" spans="2:35" x14ac:dyDescent="0.25">
      <c r="E13">
        <f>F4*15.06%</f>
        <v>1807.2</v>
      </c>
    </row>
    <row r="14" spans="2:35" x14ac:dyDescent="0.25">
      <c r="E14">
        <f>E13-(E7+E6)</f>
        <v>1603.2</v>
      </c>
      <c r="N14">
        <f>60000*1.1%</f>
        <v>660.00000000000011</v>
      </c>
    </row>
    <row r="16" spans="2:35" x14ac:dyDescent="0.25">
      <c r="F16" s="5">
        <f>PMT(12.5%,24,12000,0,0)</f>
        <v>-1594.3918567034584</v>
      </c>
      <c r="G16" s="5">
        <f>-F16+E6+E7</f>
        <v>1798.3918567034584</v>
      </c>
      <c r="H16" s="3">
        <f>G16/12000</f>
        <v>0.14986598805862153</v>
      </c>
      <c r="I16" s="6">
        <f>-(-H16+B6+B7)</f>
        <v>0.13286598805862154</v>
      </c>
    </row>
    <row r="17" spans="6:6" x14ac:dyDescent="0.25">
      <c r="F17" s="5">
        <f>F16/24</f>
        <v>-66.432994029310763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3B6B-F5DC-41C0-935C-25A6B117CDC2}">
  <dimension ref="B1:S22"/>
  <sheetViews>
    <sheetView tabSelected="1" workbookViewId="0">
      <selection activeCell="C22" sqref="C22:D22"/>
    </sheetView>
  </sheetViews>
  <sheetFormatPr defaultRowHeight="15" x14ac:dyDescent="0.25"/>
  <cols>
    <col min="2" max="2" width="27.7109375" customWidth="1"/>
    <col min="3" max="3" width="15" customWidth="1"/>
    <col min="4" max="4" width="15.28515625" customWidth="1"/>
    <col min="5" max="5" width="12.7109375" customWidth="1"/>
    <col min="6" max="6" width="12.42578125" customWidth="1"/>
    <col min="8" max="8" width="22.140625" customWidth="1"/>
    <col min="9" max="9" width="16.42578125" customWidth="1"/>
  </cols>
  <sheetData>
    <row r="1" spans="2:19" x14ac:dyDescent="0.25">
      <c r="B1" s="22"/>
    </row>
    <row r="2" spans="2:19" x14ac:dyDescent="0.25">
      <c r="B2" s="30"/>
      <c r="C2" s="11" t="s">
        <v>21</v>
      </c>
      <c r="D2" s="10" t="s">
        <v>22</v>
      </c>
    </row>
    <row r="3" spans="2:19" x14ac:dyDescent="0.25">
      <c r="B3" s="12" t="s">
        <v>3</v>
      </c>
      <c r="C3" s="24">
        <v>200000</v>
      </c>
      <c r="D3" s="25"/>
      <c r="J3" s="3"/>
    </row>
    <row r="4" spans="2:19" x14ac:dyDescent="0.25">
      <c r="B4" s="13" t="s">
        <v>27</v>
      </c>
      <c r="C4" s="26" t="s">
        <v>23</v>
      </c>
      <c r="D4" s="15" t="s">
        <v>23</v>
      </c>
      <c r="J4" s="3"/>
    </row>
    <row r="5" spans="2:19" x14ac:dyDescent="0.25">
      <c r="B5" s="13" t="s">
        <v>4</v>
      </c>
      <c r="C5" s="31">
        <v>0.03</v>
      </c>
      <c r="D5" s="16">
        <v>0.04</v>
      </c>
      <c r="E5" s="36"/>
      <c r="F5" s="36"/>
      <c r="J5" s="3"/>
      <c r="S5" t="s">
        <v>14</v>
      </c>
    </row>
    <row r="6" spans="2:19" x14ac:dyDescent="0.25">
      <c r="B6" s="13" t="s">
        <v>5</v>
      </c>
      <c r="C6" s="31">
        <v>2.5000000000000001E-2</v>
      </c>
      <c r="D6" s="16">
        <v>0.03</v>
      </c>
      <c r="E6" s="36"/>
      <c r="F6" s="36"/>
      <c r="J6" s="1"/>
    </row>
    <row r="7" spans="2:19" x14ac:dyDescent="0.25">
      <c r="B7" s="13" t="s">
        <v>6</v>
      </c>
      <c r="C7" s="31">
        <v>0.05</v>
      </c>
      <c r="D7" s="16">
        <v>0.05</v>
      </c>
      <c r="E7" s="36"/>
      <c r="F7" s="36"/>
    </row>
    <row r="8" spans="2:19" x14ac:dyDescent="0.25">
      <c r="B8" s="14" t="s">
        <v>7</v>
      </c>
      <c r="C8" s="32">
        <v>0.12</v>
      </c>
      <c r="D8" s="17">
        <v>0.12</v>
      </c>
      <c r="E8" s="36"/>
      <c r="F8" s="36"/>
    </row>
    <row r="9" spans="2:19" x14ac:dyDescent="0.25">
      <c r="B9" s="18" t="s">
        <v>26</v>
      </c>
      <c r="C9" s="19">
        <v>0.13320000000000001</v>
      </c>
      <c r="D9" s="20">
        <v>0.13544999999999999</v>
      </c>
    </row>
    <row r="10" spans="2:19" x14ac:dyDescent="0.25">
      <c r="B10" s="29"/>
      <c r="C10" s="23"/>
      <c r="D10" s="23"/>
    </row>
    <row r="11" spans="2:19" x14ac:dyDescent="0.25">
      <c r="B11" s="12" t="s">
        <v>10</v>
      </c>
      <c r="C11" s="24">
        <v>100000</v>
      </c>
      <c r="D11" s="25"/>
      <c r="H11" s="6"/>
    </row>
    <row r="12" spans="2:19" x14ac:dyDescent="0.25">
      <c r="B12" s="13" t="s">
        <v>27</v>
      </c>
      <c r="C12" s="26" t="s">
        <v>24</v>
      </c>
      <c r="D12" s="15" t="s">
        <v>24</v>
      </c>
      <c r="H12" s="6"/>
    </row>
    <row r="13" spans="2:19" x14ac:dyDescent="0.25">
      <c r="B13" s="13" t="s">
        <v>4</v>
      </c>
      <c r="C13" s="27">
        <v>2.5000000000000001E-2</v>
      </c>
      <c r="D13" s="16">
        <v>0.03</v>
      </c>
      <c r="E13" s="36"/>
      <c r="F13" s="36"/>
      <c r="H13" s="6"/>
    </row>
    <row r="14" spans="2:19" x14ac:dyDescent="0.25">
      <c r="B14" s="13" t="s">
        <v>11</v>
      </c>
      <c r="C14" s="27">
        <v>0.05</v>
      </c>
      <c r="D14" s="16">
        <v>2.75E-2</v>
      </c>
      <c r="H14" s="6"/>
    </row>
    <row r="15" spans="2:19" x14ac:dyDescent="0.25">
      <c r="B15" s="14" t="s">
        <v>13</v>
      </c>
      <c r="C15" s="28">
        <v>1E-3</v>
      </c>
      <c r="D15" s="21">
        <v>0.01</v>
      </c>
    </row>
    <row r="16" spans="2:19" x14ac:dyDescent="0.25">
      <c r="B16" s="18" t="s">
        <v>26</v>
      </c>
      <c r="C16" s="19">
        <v>5.6959999999999997E-2</v>
      </c>
      <c r="D16" s="20">
        <v>3.4410000000000003E-2</v>
      </c>
    </row>
    <row r="17" spans="2:9" x14ac:dyDescent="0.25">
      <c r="B17" s="9"/>
      <c r="C17" s="9"/>
      <c r="D17" s="9"/>
    </row>
    <row r="18" spans="2:9" x14ac:dyDescent="0.25">
      <c r="B18" s="12" t="s">
        <v>9</v>
      </c>
      <c r="C18" s="24">
        <v>50000</v>
      </c>
      <c r="D18" s="25"/>
      <c r="I18" s="6"/>
    </row>
    <row r="19" spans="2:9" x14ac:dyDescent="0.25">
      <c r="B19" s="13" t="s">
        <v>27</v>
      </c>
      <c r="C19" s="33" t="s">
        <v>25</v>
      </c>
      <c r="D19" s="15" t="s">
        <v>25</v>
      </c>
      <c r="I19" s="6"/>
    </row>
    <row r="20" spans="2:9" x14ac:dyDescent="0.25">
      <c r="B20" s="13" t="s">
        <v>4</v>
      </c>
      <c r="C20" s="34">
        <v>0.02</v>
      </c>
      <c r="D20" s="16">
        <v>1.4999999999999999E-2</v>
      </c>
      <c r="E20" s="36"/>
      <c r="F20" s="36"/>
      <c r="I20" s="6"/>
    </row>
    <row r="21" spans="2:9" x14ac:dyDescent="0.25">
      <c r="B21" s="14" t="s">
        <v>12</v>
      </c>
      <c r="C21" s="35">
        <v>0.05</v>
      </c>
      <c r="D21" s="21">
        <v>6.25E-2</v>
      </c>
      <c r="I21" s="7"/>
    </row>
    <row r="22" spans="2:9" x14ac:dyDescent="0.25">
      <c r="B22" s="18" t="s">
        <v>26</v>
      </c>
      <c r="C22" s="19">
        <v>7.2150000000000006E-2</v>
      </c>
      <c r="D22" s="20">
        <v>8.0229999999999996E-2</v>
      </c>
    </row>
  </sheetData>
  <mergeCells count="5">
    <mergeCell ref="C18:D18"/>
    <mergeCell ref="B17:D17"/>
    <mergeCell ref="C10:D10"/>
    <mergeCell ref="C11:D11"/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121C-BA1D-42D2-B6C2-578BE0774E09}">
  <dimension ref="B4:H22"/>
  <sheetViews>
    <sheetView topLeftCell="A4" workbookViewId="0">
      <selection activeCell="J20" sqref="J20:J24"/>
    </sheetView>
  </sheetViews>
  <sheetFormatPr defaultRowHeight="15" x14ac:dyDescent="0.25"/>
  <cols>
    <col min="2" max="2" width="26.140625" customWidth="1"/>
    <col min="3" max="3" width="11.5703125" customWidth="1"/>
  </cols>
  <sheetData>
    <row r="4" spans="2:8" x14ac:dyDescent="0.25">
      <c r="B4" t="s">
        <v>3</v>
      </c>
      <c r="C4" t="s">
        <v>19</v>
      </c>
      <c r="E4" t="s">
        <v>18</v>
      </c>
    </row>
    <row r="6" spans="2:8" x14ac:dyDescent="0.25">
      <c r="B6" t="s">
        <v>4</v>
      </c>
      <c r="C6" s="3">
        <v>0.04</v>
      </c>
    </row>
    <row r="7" spans="2:8" x14ac:dyDescent="0.25">
      <c r="B7" t="s">
        <v>5</v>
      </c>
      <c r="C7" s="3">
        <v>0.03</v>
      </c>
      <c r="H7" t="s">
        <v>16</v>
      </c>
    </row>
    <row r="8" spans="2:8" x14ac:dyDescent="0.25">
      <c r="B8" t="s">
        <v>6</v>
      </c>
      <c r="C8" s="1">
        <v>0.05</v>
      </c>
    </row>
    <row r="9" spans="2:8" x14ac:dyDescent="0.25">
      <c r="H9" s="8" t="s">
        <v>20</v>
      </c>
    </row>
    <row r="10" spans="2:8" x14ac:dyDescent="0.25">
      <c r="B10" t="s">
        <v>7</v>
      </c>
      <c r="C10" s="1">
        <v>0.02</v>
      </c>
    </row>
    <row r="13" spans="2:8" x14ac:dyDescent="0.25">
      <c r="B13" t="s">
        <v>10</v>
      </c>
    </row>
    <row r="14" spans="2:8" x14ac:dyDescent="0.25">
      <c r="B14" t="s">
        <v>4</v>
      </c>
      <c r="C14" s="6">
        <v>0.03</v>
      </c>
    </row>
    <row r="15" spans="2:8" x14ac:dyDescent="0.25">
      <c r="B15" t="s">
        <v>11</v>
      </c>
      <c r="C15" s="6">
        <v>2.75E-2</v>
      </c>
    </row>
    <row r="16" spans="2:8" x14ac:dyDescent="0.25">
      <c r="B16" t="s">
        <v>13</v>
      </c>
      <c r="C16" s="6">
        <v>0.01</v>
      </c>
    </row>
    <row r="18" spans="2:3" x14ac:dyDescent="0.25">
      <c r="B18" t="s">
        <v>9</v>
      </c>
      <c r="C18" s="6" t="s">
        <v>17</v>
      </c>
    </row>
    <row r="19" spans="2:3" x14ac:dyDescent="0.25">
      <c r="B19" t="s">
        <v>4</v>
      </c>
      <c r="C19" s="6">
        <v>1.4999999999999999E-2</v>
      </c>
    </row>
    <row r="20" spans="2:3" x14ac:dyDescent="0.25">
      <c r="B20" t="s">
        <v>8</v>
      </c>
      <c r="C20" s="6">
        <v>1E-3</v>
      </c>
    </row>
    <row r="21" spans="2:3" x14ac:dyDescent="0.25">
      <c r="B21" t="s">
        <v>12</v>
      </c>
      <c r="C21" s="7">
        <v>6.25E-2</v>
      </c>
    </row>
    <row r="22" spans="2:3" x14ac:dyDescent="0.25">
      <c r="B22" t="s">
        <v>15</v>
      </c>
      <c r="C22" s="7">
        <v>0.02</v>
      </c>
    </row>
  </sheetData>
  <hyperlinks>
    <hyperlink ref="H9" r:id="rId1" xr:uid="{2E17E588-18DE-415B-BA14-301143B094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3</vt:i4>
      </vt:variant>
    </vt:vector>
  </HeadingPairs>
  <TitlesOfParts>
    <vt:vector size="3" baseType="lpstr">
      <vt:lpstr>Full1</vt:lpstr>
      <vt:lpstr>BBVA</vt:lpstr>
      <vt:lpstr>Santander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2024-01-23T06:21:24Z</dcterms:created>
  <dcterms:modified xsi:type="dcterms:W3CDTF">2024-01-24T20:35:24Z</dcterms:modified>
</cp:coreProperties>
</file>