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FINANCIACION TRADICIONAL/"/>
    </mc:Choice>
  </mc:AlternateContent>
  <xr:revisionPtr revIDLastSave="30" documentId="8_{298F04BF-4FBB-4AD4-926C-1BCB41FDA31F}" xr6:coauthVersionLast="47" xr6:coauthVersionMax="47" xr10:uidLastSave="{EE0469E4-4F08-4129-AB20-19FBA05B74BF}"/>
  <bookViews>
    <workbookView xWindow="-120" yWindow="-120" windowWidth="29040" windowHeight="15720" xr2:uid="{B1A69B6A-C865-46B6-BE37-E890270F4ADF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1" l="1"/>
  <c r="L26" i="1"/>
  <c r="N23" i="1"/>
  <c r="N13" i="1"/>
  <c r="N14" i="1"/>
  <c r="N15" i="1"/>
  <c r="N16" i="1"/>
  <c r="N17" i="1"/>
  <c r="N18" i="1"/>
  <c r="N19" i="1"/>
  <c r="N20" i="1"/>
  <c r="N21" i="1"/>
  <c r="N22" i="1"/>
  <c r="N12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</calcChain>
</file>

<file path=xl/sharedStrings.xml><?xml version="1.0" encoding="utf-8"?>
<sst xmlns="http://schemas.openxmlformats.org/spreadsheetml/2006/main" count="15" uniqueCount="15">
  <si>
    <t>Ventas</t>
  </si>
  <si>
    <t>Consumo</t>
  </si>
  <si>
    <t>Gastos personal</t>
  </si>
  <si>
    <t>Gastos generales</t>
  </si>
  <si>
    <t>Servicio exteriores</t>
  </si>
  <si>
    <t>Insolvencias</t>
  </si>
  <si>
    <t>PREVISION CUENTA EXPLOTACION 2024</t>
  </si>
  <si>
    <t>Gastos extordinarios</t>
  </si>
  <si>
    <t>Amortizaciones</t>
  </si>
  <si>
    <t>Amortizaciones inmovilizado</t>
  </si>
  <si>
    <t>Amortizaciones FC</t>
  </si>
  <si>
    <t>Amorizaciones mobiliario</t>
  </si>
  <si>
    <t>GAStoso financieros</t>
  </si>
  <si>
    <t>BAI</t>
  </si>
  <si>
    <t>aumento de BAI resopeto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</si>
</sst>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4" fontId="0" fillId="0" borderId="0" xfId="0" applyNumberFormat="1"/>
    <xf numFmtId="9" fontId="0" fillId="0" borderId="0" xfId="2" applyFont="1"/>
    <xf numFmtId="10" fontId="0" fillId="0" borderId="0" xfId="2" applyNumberFormat="1" applyFont="1"/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5</xdr:row>
      <xdr:rowOff>76200</xdr:rowOff>
    </xdr:from>
    <xdr:to>
      <xdr:col>8</xdr:col>
      <xdr:colOff>187960</xdr:colOff>
      <xdr:row>32</xdr:row>
      <xdr:rowOff>50800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3CE7A69B-78EF-A998-86C1-242EB3EE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1028700"/>
          <a:ext cx="3807460" cy="5118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361950</xdr:colOff>
      <xdr:row>4</xdr:row>
      <xdr:rowOff>161925</xdr:rowOff>
    </xdr:from>
    <xdr:to>
      <xdr:col>24</xdr:col>
      <xdr:colOff>275590</xdr:colOff>
      <xdr:row>25</xdr:row>
      <xdr:rowOff>6350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7A156417-CBE5-F736-495E-4BCD6D24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923925"/>
          <a:ext cx="5400040" cy="3844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7301-4384-4566-BFCB-66F1A9E71370}">
  <dimension ref="L8:N26"/>
  <sheetViews>
    <sheetView tabSelected="1" workbookViewId="0">
      <selection activeCell="L29" sqref="L29"/>
    </sheetView>
  </sheetViews>
  <sheetFormatPr defaultRowHeight="15" x14ac:dyDescent="0.25"/>
  <cols>
    <col min="12" max="12" width="20.7109375" customWidth="1"/>
    <col min="13" max="13" width="11.5703125" bestFit="1" customWidth="1"/>
  </cols>
  <sheetData>
    <row r="8" spans="12:14" x14ac:dyDescent="0.25">
      <c r="L8" t="s">
        <v>6</v>
      </c>
    </row>
    <row r="9" spans="12:14" x14ac:dyDescent="0.25">
      <c r="M9">
        <v>2024</v>
      </c>
    </row>
    <row r="11" spans="12:14" x14ac:dyDescent="0.25">
      <c r="L11" t="s">
        <v>0</v>
      </c>
      <c r="M11" s="1">
        <f>16050+(16050*19%)</f>
        <v>19099.5</v>
      </c>
    </row>
    <row r="12" spans="12:14" x14ac:dyDescent="0.25">
      <c r="L12" t="s">
        <v>1</v>
      </c>
      <c r="M12" s="1">
        <f>6680+(6680*17%)</f>
        <v>7815.6</v>
      </c>
      <c r="N12" s="4">
        <f>M12/$M$11</f>
        <v>0.40920442943532553</v>
      </c>
    </row>
    <row r="13" spans="12:14" x14ac:dyDescent="0.25">
      <c r="L13" t="s">
        <v>2</v>
      </c>
      <c r="M13" s="1">
        <f>3600+(3600*15%)</f>
        <v>4140</v>
      </c>
      <c r="N13" s="4">
        <f t="shared" ref="N13:N23" si="0">M13/$M$11</f>
        <v>0.21675960103667635</v>
      </c>
    </row>
    <row r="14" spans="12:14" x14ac:dyDescent="0.25">
      <c r="L14" t="s">
        <v>3</v>
      </c>
      <c r="M14" s="1">
        <f>1200+(1200*13%)</f>
        <v>1356</v>
      </c>
      <c r="N14" s="4">
        <f t="shared" si="0"/>
        <v>7.0996622948244714E-2</v>
      </c>
    </row>
    <row r="15" spans="12:14" x14ac:dyDescent="0.25">
      <c r="L15" t="s">
        <v>4</v>
      </c>
      <c r="M15" s="1">
        <f>2500+(2500*15%)</f>
        <v>2875</v>
      </c>
      <c r="N15" s="4">
        <f t="shared" si="0"/>
        <v>0.15052750071991414</v>
      </c>
    </row>
    <row r="16" spans="12:14" x14ac:dyDescent="0.25">
      <c r="L16" t="s">
        <v>5</v>
      </c>
      <c r="M16" s="1">
        <f>M11*1%</f>
        <v>190.995</v>
      </c>
      <c r="N16" s="4">
        <f t="shared" si="0"/>
        <v>0.01</v>
      </c>
    </row>
    <row r="17" spans="12:14" x14ac:dyDescent="0.25">
      <c r="L17" t="s">
        <v>7</v>
      </c>
      <c r="M17" s="1">
        <f>M11*1.5%</f>
        <v>286.49250000000001</v>
      </c>
      <c r="N17" s="4">
        <f t="shared" si="0"/>
        <v>1.5000000000000001E-2</v>
      </c>
    </row>
    <row r="18" spans="12:14" x14ac:dyDescent="0.25">
      <c r="L18" t="s">
        <v>9</v>
      </c>
      <c r="M18" s="1">
        <f>((12528000+4000000)*3%)/1000</f>
        <v>495.84</v>
      </c>
      <c r="N18" s="4">
        <f t="shared" si="0"/>
        <v>2.5960889028508599E-2</v>
      </c>
    </row>
    <row r="19" spans="12:14" x14ac:dyDescent="0.25">
      <c r="L19" t="s">
        <v>10</v>
      </c>
      <c r="M19" s="1">
        <f>((1200000*10%)/1000)</f>
        <v>120</v>
      </c>
      <c r="N19" s="4">
        <f t="shared" si="0"/>
        <v>6.2828869865703295E-3</v>
      </c>
    </row>
    <row r="20" spans="12:14" x14ac:dyDescent="0.25">
      <c r="L20" t="s">
        <v>11</v>
      </c>
      <c r="M20" s="1">
        <f>((600000*15%)/1000)</f>
        <v>90</v>
      </c>
      <c r="N20" s="4">
        <f t="shared" si="0"/>
        <v>4.7121652399277469E-3</v>
      </c>
    </row>
    <row r="21" spans="12:14" x14ac:dyDescent="0.25">
      <c r="L21" t="s">
        <v>8</v>
      </c>
      <c r="M21" s="1">
        <f>M18+M19+M20</f>
        <v>705.83999999999992</v>
      </c>
      <c r="N21" s="4">
        <f t="shared" si="0"/>
        <v>3.6955941255006675E-2</v>
      </c>
    </row>
    <row r="22" spans="12:14" x14ac:dyDescent="0.25">
      <c r="L22" t="s">
        <v>12</v>
      </c>
      <c r="M22">
        <f>(5600+4600)*5%</f>
        <v>510</v>
      </c>
      <c r="N22" s="4">
        <f t="shared" si="0"/>
        <v>2.67022696929239E-2</v>
      </c>
    </row>
    <row r="23" spans="12:14" x14ac:dyDescent="0.25">
      <c r="L23" t="s">
        <v>13</v>
      </c>
      <c r="M23" s="2">
        <f>M11-(M12+M13+M14+M15+M16+M17+M21+M22)</f>
        <v>1219.5724999999984</v>
      </c>
      <c r="N23" s="4">
        <f t="shared" si="0"/>
        <v>6.3853634911908611E-2</v>
      </c>
    </row>
    <row r="25" spans="12:14" x14ac:dyDescent="0.25">
      <c r="L25" t="s">
        <v>14</v>
      </c>
    </row>
    <row r="26" spans="12:14" x14ac:dyDescent="0.25">
      <c r="L26" s="2">
        <f>M23-540</f>
        <v>679.5724999999984</v>
      </c>
      <c r="M26" s="3">
        <f>L26/540</f>
        <v>1.2584675925925897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2024-01-28T16:32:53Z</dcterms:created>
  <dcterms:modified xsi:type="dcterms:W3CDTF">2024-01-28T16:49:51Z</dcterms:modified>
</cp:coreProperties>
</file>