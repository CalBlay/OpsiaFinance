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2/FINANCIACION TRADICIONAL/"/>
    </mc:Choice>
  </mc:AlternateContent>
  <xr:revisionPtr revIDLastSave="108" documentId="13_ncr:1_{9D92376C-3BE0-4634-A207-59C23EA86DF7}" xr6:coauthVersionLast="47" xr6:coauthVersionMax="47" xr10:uidLastSave="{FD745DE4-209F-42A8-834F-7692D34E9B87}"/>
  <bookViews>
    <workbookView xWindow="22932" yWindow="-60" windowWidth="23256" windowHeight="12456" activeTab="1" xr2:uid="{B79414FB-BC93-4FA7-8A0E-EC94092B0954}"/>
  </bookViews>
  <sheets>
    <sheet name="Full1" sheetId="1" r:id="rId1"/>
    <sheet name="Cuenta Explotac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2" l="1"/>
  <c r="J11" i="2"/>
  <c r="J12" i="2"/>
  <c r="J13" i="2"/>
  <c r="J14" i="2"/>
  <c r="J15" i="2"/>
  <c r="I9" i="2"/>
  <c r="J9" i="2" s="1"/>
  <c r="F16" i="2"/>
  <c r="F11" i="2"/>
  <c r="F12" i="2"/>
  <c r="F13" i="2"/>
  <c r="F14" i="2"/>
  <c r="F15" i="2"/>
  <c r="F10" i="2"/>
  <c r="F9" i="2"/>
  <c r="F8" i="2"/>
  <c r="E9" i="2"/>
  <c r="D9" i="2"/>
  <c r="D10" i="2"/>
  <c r="D11" i="2"/>
  <c r="D12" i="2"/>
  <c r="D13" i="2"/>
  <c r="D14" i="2"/>
  <c r="D15" i="2"/>
  <c r="D16" i="2"/>
  <c r="D17" i="2"/>
  <c r="D18" i="2"/>
  <c r="D19" i="2"/>
  <c r="D20" i="2"/>
  <c r="D8" i="2"/>
  <c r="C9" i="2"/>
  <c r="E16" i="2"/>
  <c r="L23" i="2"/>
  <c r="R16" i="2"/>
  <c r="R18" i="2"/>
  <c r="R21" i="2"/>
  <c r="I12" i="2"/>
  <c r="I11" i="2"/>
  <c r="I10" i="2"/>
  <c r="I8" i="2"/>
  <c r="I7" i="2"/>
  <c r="I15" i="2" s="1"/>
  <c r="R19" i="2"/>
  <c r="R13" i="2"/>
  <c r="R12" i="2"/>
  <c r="R11" i="2"/>
  <c r="S11" i="2" s="1"/>
  <c r="R10" i="2"/>
  <c r="S10" i="2" s="1"/>
  <c r="R9" i="2"/>
  <c r="R15" i="2" s="1"/>
  <c r="S15" i="2" s="1"/>
  <c r="G19" i="2"/>
  <c r="H19" i="2" s="1"/>
  <c r="E18" i="2"/>
  <c r="F19" i="2" s="1"/>
  <c r="G15" i="2"/>
  <c r="H15" i="2" s="1"/>
  <c r="G14" i="2"/>
  <c r="H14" i="2" s="1"/>
  <c r="G13" i="2"/>
  <c r="H13" i="2" s="1"/>
  <c r="G17" i="2"/>
  <c r="H17" i="2" s="1"/>
  <c r="F17" i="2"/>
  <c r="G12" i="2"/>
  <c r="H12" i="2" s="1"/>
  <c r="G11" i="2"/>
  <c r="H11" i="2" s="1"/>
  <c r="G10" i="2"/>
  <c r="H10" i="2" s="1"/>
  <c r="G8" i="2"/>
  <c r="H8" i="2" s="1"/>
  <c r="G7" i="2"/>
  <c r="H7" i="2" s="1"/>
  <c r="X18" i="1"/>
  <c r="X19" i="1"/>
  <c r="X20" i="1"/>
  <c r="X21" i="1"/>
  <c r="X22" i="1"/>
  <c r="X23" i="1"/>
  <c r="X24" i="1"/>
  <c r="X25" i="1"/>
  <c r="X26" i="1"/>
  <c r="X27" i="1"/>
  <c r="X28" i="1"/>
  <c r="X17" i="1"/>
  <c r="W27" i="1"/>
  <c r="W25" i="1"/>
  <c r="W24" i="1"/>
  <c r="W23" i="1"/>
  <c r="W26" i="1" s="1"/>
  <c r="W21" i="1"/>
  <c r="W20" i="1"/>
  <c r="W19" i="1"/>
  <c r="W18" i="1"/>
  <c r="W17" i="1"/>
  <c r="W16" i="1"/>
  <c r="R20" i="1"/>
  <c r="R18" i="1"/>
  <c r="N5" i="1"/>
  <c r="I5" i="1"/>
  <c r="N16" i="1"/>
  <c r="N13" i="1"/>
  <c r="N10" i="1"/>
  <c r="N11" i="1"/>
  <c r="O7" i="1"/>
  <c r="O6" i="1"/>
  <c r="P7" i="1" s="1"/>
  <c r="O5" i="1"/>
  <c r="N6" i="1"/>
  <c r="F27" i="1"/>
  <c r="G26" i="1"/>
  <c r="H26" i="1"/>
  <c r="H19" i="1"/>
  <c r="H22" i="1"/>
  <c r="H23" i="1"/>
  <c r="G18" i="1"/>
  <c r="H18" i="1" s="1"/>
  <c r="G19" i="1"/>
  <c r="G20" i="1"/>
  <c r="H20" i="1" s="1"/>
  <c r="G21" i="1"/>
  <c r="H21" i="1" s="1"/>
  <c r="G22" i="1"/>
  <c r="G23" i="1"/>
  <c r="G24" i="1"/>
  <c r="H24" i="1" s="1"/>
  <c r="G25" i="1"/>
  <c r="H25" i="1" s="1"/>
  <c r="G27" i="1"/>
  <c r="H27" i="1" s="1"/>
  <c r="G17" i="1"/>
  <c r="H17" i="1" s="1"/>
  <c r="E28" i="1"/>
  <c r="F28" i="1" s="1"/>
  <c r="E26" i="1"/>
  <c r="F26" i="1" s="1"/>
  <c r="F19" i="1"/>
  <c r="F20" i="1"/>
  <c r="F21" i="1"/>
  <c r="F22" i="1"/>
  <c r="F23" i="1"/>
  <c r="F24" i="1"/>
  <c r="F25" i="1"/>
  <c r="F18" i="1"/>
  <c r="C26" i="1"/>
  <c r="D27" i="1" s="1"/>
  <c r="D19" i="1"/>
  <c r="D20" i="1"/>
  <c r="D21" i="1"/>
  <c r="D22" i="1"/>
  <c r="D23" i="1"/>
  <c r="D24" i="1"/>
  <c r="D25" i="1"/>
  <c r="D18" i="1"/>
  <c r="K9" i="1"/>
  <c r="K10" i="1"/>
  <c r="K11" i="1"/>
  <c r="J9" i="1"/>
  <c r="J10" i="1"/>
  <c r="J11" i="1"/>
  <c r="J8" i="1"/>
  <c r="K8" i="1" s="1"/>
  <c r="J7" i="1"/>
  <c r="K7" i="1" s="1"/>
  <c r="J6" i="1"/>
  <c r="K6" i="1" s="1"/>
  <c r="F6" i="1"/>
  <c r="E6" i="1"/>
  <c r="E7" i="1"/>
  <c r="F7" i="1" s="1"/>
  <c r="E8" i="1"/>
  <c r="F8" i="1" s="1"/>
  <c r="E5" i="1"/>
  <c r="F5" i="1" s="1"/>
  <c r="H12" i="1"/>
  <c r="D12" i="1"/>
  <c r="E12" i="1" s="1"/>
  <c r="F12" i="1" s="1"/>
  <c r="C12" i="1"/>
  <c r="J5" i="1"/>
  <c r="K5" i="1" s="1"/>
  <c r="I12" i="1"/>
  <c r="J12" i="1" s="1"/>
  <c r="K12" i="1" s="1"/>
  <c r="O10" i="1"/>
  <c r="O11" i="1" s="1"/>
  <c r="O13" i="1"/>
  <c r="C18" i="2" l="1"/>
  <c r="C16" i="2"/>
  <c r="G9" i="2"/>
  <c r="H9" i="2" s="1"/>
  <c r="S12" i="2"/>
  <c r="S13" i="2"/>
  <c r="S19" i="2"/>
  <c r="I14" i="2"/>
  <c r="S16" i="2"/>
  <c r="S18" i="2"/>
  <c r="S21" i="2"/>
  <c r="R14" i="2"/>
  <c r="S14" i="2" s="1"/>
  <c r="R20" i="2"/>
  <c r="S20" i="2" s="1"/>
  <c r="C20" i="2"/>
  <c r="E20" i="2"/>
  <c r="F18" i="2"/>
  <c r="W22" i="1"/>
  <c r="C28" i="1"/>
  <c r="D28" i="1" s="1"/>
  <c r="D26" i="1"/>
  <c r="N7" i="1"/>
  <c r="G18" i="2" l="1"/>
  <c r="H18" i="2" s="1"/>
  <c r="G16" i="2"/>
  <c r="H16" i="2" s="1"/>
  <c r="R22" i="2"/>
  <c r="S22" i="2" s="1"/>
  <c r="G20" i="2"/>
  <c r="H20" i="2" s="1"/>
  <c r="F20" i="2"/>
  <c r="W28" i="1"/>
  <c r="G28" i="1"/>
  <c r="H28" i="1" s="1"/>
  <c r="N9" i="1"/>
  <c r="O9" i="1" s="1"/>
  <c r="N18" i="1"/>
  <c r="V31" i="1" l="1"/>
  <c r="W31" i="1" s="1"/>
  <c r="O18" i="1"/>
  <c r="P18" i="1"/>
  <c r="Q18" i="1"/>
</calcChain>
</file>

<file path=xl/sharedStrings.xml><?xml version="1.0" encoding="utf-8"?>
<sst xmlns="http://schemas.openxmlformats.org/spreadsheetml/2006/main" count="93" uniqueCount="50">
  <si>
    <t>BALANCE DE SITUACION A 31/10 (miles €)</t>
  </si>
  <si>
    <t>ACTIVO</t>
  </si>
  <si>
    <t>Concepto</t>
  </si>
  <si>
    <t>PASIVO</t>
  </si>
  <si>
    <t xml:space="preserve">Concepto </t>
  </si>
  <si>
    <t>Inmov. Mat. Neto</t>
  </si>
  <si>
    <t>Capital Social</t>
  </si>
  <si>
    <t>Existencias</t>
  </si>
  <si>
    <t>Reservas</t>
  </si>
  <si>
    <t>Clientes deudores</t>
  </si>
  <si>
    <t>Beneficios Ejercicio</t>
  </si>
  <si>
    <t>Tesoreria</t>
  </si>
  <si>
    <t>Préstamos Bancarios LP</t>
  </si>
  <si>
    <t>Préstamos con socios a LP</t>
  </si>
  <si>
    <t>Proveedores</t>
  </si>
  <si>
    <t>Cred. Y Prest. Banc CP</t>
  </si>
  <si>
    <t>Total Activo</t>
  </si>
  <si>
    <t>Total Pasivo</t>
  </si>
  <si>
    <t>%</t>
  </si>
  <si>
    <t>Var. %</t>
  </si>
  <si>
    <t>Var. €</t>
  </si>
  <si>
    <t>CUENTA DE EXPLOTACIÓN</t>
  </si>
  <si>
    <t>Ventas</t>
  </si>
  <si>
    <t>Consumo</t>
  </si>
  <si>
    <t>Gastos de personal</t>
  </si>
  <si>
    <t>Gastos generales</t>
  </si>
  <si>
    <t>Servicios exteriores</t>
  </si>
  <si>
    <t>Gastos financieros</t>
  </si>
  <si>
    <t>Amortizaciones</t>
  </si>
  <si>
    <t>Provisiones por insolvencias</t>
  </si>
  <si>
    <t>Gastos extraordinarios</t>
  </si>
  <si>
    <t>Bneficio Antes Impuestos</t>
  </si>
  <si>
    <t>Impuesto de Sociedades</t>
  </si>
  <si>
    <t>Var €</t>
  </si>
  <si>
    <t>Var%</t>
  </si>
  <si>
    <t>Resultado del ejercicio</t>
  </si>
  <si>
    <t>PREVISION CUENTA EXPLOTACION 2024</t>
  </si>
  <si>
    <t>Gastos personal</t>
  </si>
  <si>
    <t>Servicio exteriores</t>
  </si>
  <si>
    <t>Insolvencias</t>
  </si>
  <si>
    <t>Gastos extordinarios</t>
  </si>
  <si>
    <t>Amortizaciones inmovilizado</t>
  </si>
  <si>
    <t>Amortizaciones FC</t>
  </si>
  <si>
    <t>Amorizaciones mobiliario</t>
  </si>
  <si>
    <t>GAStoso financieros</t>
  </si>
  <si>
    <t>BAI</t>
  </si>
  <si>
    <t>aumento de BAI resopeto 2023</t>
  </si>
  <si>
    <t>Previsión
2024</t>
  </si>
  <si>
    <t xml:space="preserve">BAII </t>
  </si>
  <si>
    <t>Margen Bruto Explotacion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</si>
</sst>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\ [$€-403]_-;\-* #,##0\ [$€-403]_-;_-* &quot;-&quot;??\ [$€-403]_-;_-@_-"/>
    <numFmt numFmtId="165" formatCode="0.0%"/>
    <numFmt numFmtId="166" formatCode="_-* #,##0.00\ _€_-;\-* #,##0.00\ _€_-;_-* &quot;-&quot;??\ _€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7">
    <xf numFmtId="0" fontId="0" fillId="0" borderId="0" xfId="0"/>
    <xf numFmtId="9" fontId="0" fillId="0" borderId="0" xfId="2" applyFont="1"/>
    <xf numFmtId="0" fontId="0" fillId="0" borderId="0" xfId="0" applyAlignment="1">
      <alignment vertical="center"/>
    </xf>
    <xf numFmtId="164" fontId="0" fillId="0" borderId="0" xfId="0" applyNumberFormat="1"/>
    <xf numFmtId="0" fontId="4" fillId="0" borderId="9" xfId="0" applyFont="1" applyBorder="1" applyAlignment="1">
      <alignment horizontal="left" vertical="center"/>
    </xf>
    <xf numFmtId="164" fontId="4" fillId="0" borderId="9" xfId="1" applyNumberFormat="1" applyFont="1" applyBorder="1" applyAlignment="1">
      <alignment vertical="center"/>
    </xf>
    <xf numFmtId="164" fontId="4" fillId="0" borderId="9" xfId="1" applyNumberFormat="1" applyFont="1" applyBorder="1" applyAlignment="1">
      <alignment horizontal="center" vertical="center"/>
    </xf>
    <xf numFmtId="10" fontId="4" fillId="3" borderId="9" xfId="2" applyNumberFormat="1" applyFont="1" applyFill="1" applyBorder="1" applyAlignment="1">
      <alignment horizontal="center" vertical="center"/>
    </xf>
    <xf numFmtId="164" fontId="4" fillId="3" borderId="9" xfId="1" applyNumberFormat="1" applyFont="1" applyFill="1" applyBorder="1" applyAlignment="1">
      <alignment vertical="center"/>
    </xf>
    <xf numFmtId="0" fontId="3" fillId="5" borderId="9" xfId="0" applyFont="1" applyFill="1" applyBorder="1" applyAlignment="1">
      <alignment horizontal="right" vertical="center" indent="1"/>
    </xf>
    <xf numFmtId="164" fontId="3" fillId="5" borderId="9" xfId="1" applyNumberFormat="1" applyFont="1" applyFill="1" applyBorder="1" applyAlignment="1">
      <alignment vertical="center"/>
    </xf>
    <xf numFmtId="0" fontId="4" fillId="0" borderId="0" xfId="0" applyFont="1"/>
    <xf numFmtId="164" fontId="4" fillId="0" borderId="0" xfId="1" applyNumberFormat="1" applyFont="1"/>
    <xf numFmtId="0" fontId="3" fillId="5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right" vertical="center"/>
    </xf>
    <xf numFmtId="0" fontId="3" fillId="3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 indent="1"/>
    </xf>
    <xf numFmtId="164" fontId="3" fillId="0" borderId="9" xfId="0" applyNumberFormat="1" applyFont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164" fontId="4" fillId="0" borderId="9" xfId="0" applyNumberFormat="1" applyFont="1" applyBorder="1" applyAlignment="1">
      <alignment vertical="center"/>
    </xf>
    <xf numFmtId="0" fontId="4" fillId="0" borderId="10" xfId="0" applyFont="1" applyBorder="1" applyAlignment="1">
      <alignment horizontal="left" vertical="center" indent="1"/>
    </xf>
    <xf numFmtId="164" fontId="4" fillId="0" borderId="10" xfId="0" applyNumberFormat="1" applyFont="1" applyBorder="1" applyAlignment="1">
      <alignment vertical="center"/>
    </xf>
    <xf numFmtId="0" fontId="3" fillId="6" borderId="1" xfId="0" applyFont="1" applyFill="1" applyBorder="1" applyAlignment="1">
      <alignment horizontal="left" vertical="center" indent="1"/>
    </xf>
    <xf numFmtId="164" fontId="3" fillId="6" borderId="2" xfId="0" applyNumberFormat="1" applyFont="1" applyFill="1" applyBorder="1" applyAlignment="1">
      <alignment vertical="center"/>
    </xf>
    <xf numFmtId="0" fontId="4" fillId="0" borderId="4" xfId="0" applyFont="1" applyBorder="1" applyAlignment="1">
      <alignment horizontal="left" vertical="center" indent="1"/>
    </xf>
    <xf numFmtId="164" fontId="4" fillId="0" borderId="0" xfId="0" applyNumberFormat="1" applyFont="1" applyAlignment="1">
      <alignment vertical="center"/>
    </xf>
    <xf numFmtId="0" fontId="5" fillId="2" borderId="6" xfId="0" applyFont="1" applyFill="1" applyBorder="1" applyAlignment="1">
      <alignment horizontal="left" vertical="center" indent="1"/>
    </xf>
    <xf numFmtId="164" fontId="5" fillId="2" borderId="7" xfId="0" applyNumberFormat="1" applyFont="1" applyFill="1" applyBorder="1" applyAlignment="1">
      <alignment vertical="center"/>
    </xf>
    <xf numFmtId="164" fontId="5" fillId="2" borderId="7" xfId="0" applyNumberFormat="1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9" fontId="0" fillId="0" borderId="0" xfId="2" applyFont="1" applyAlignment="1">
      <alignment vertical="center"/>
    </xf>
    <xf numFmtId="165" fontId="4" fillId="3" borderId="9" xfId="2" applyNumberFormat="1" applyFont="1" applyFill="1" applyBorder="1" applyAlignment="1">
      <alignment horizontal="center" vertical="center"/>
    </xf>
    <xf numFmtId="165" fontId="4" fillId="3" borderId="10" xfId="2" applyNumberFormat="1" applyFont="1" applyFill="1" applyBorder="1" applyAlignment="1">
      <alignment horizontal="center" vertical="center"/>
    </xf>
    <xf numFmtId="165" fontId="3" fillId="6" borderId="3" xfId="2" applyNumberFormat="1" applyFont="1" applyFill="1" applyBorder="1" applyAlignment="1">
      <alignment horizontal="center" vertical="center"/>
    </xf>
    <xf numFmtId="165" fontId="4" fillId="0" borderId="5" xfId="2" applyNumberFormat="1" applyFont="1" applyBorder="1" applyAlignment="1">
      <alignment horizontal="center" vertical="center"/>
    </xf>
    <xf numFmtId="165" fontId="5" fillId="2" borderId="8" xfId="2" applyNumberFormat="1" applyFont="1" applyFill="1" applyBorder="1" applyAlignment="1">
      <alignment horizontal="center" vertical="center"/>
    </xf>
    <xf numFmtId="165" fontId="3" fillId="6" borderId="2" xfId="2" applyNumberFormat="1" applyFont="1" applyFill="1" applyBorder="1" applyAlignment="1">
      <alignment horizontal="center" vertical="center"/>
    </xf>
    <xf numFmtId="165" fontId="4" fillId="0" borderId="0" xfId="2" applyNumberFormat="1" applyFont="1" applyBorder="1" applyAlignment="1">
      <alignment horizontal="center" vertical="center"/>
    </xf>
    <xf numFmtId="165" fontId="5" fillId="2" borderId="7" xfId="2" applyNumberFormat="1" applyFont="1" applyFill="1" applyBorder="1" applyAlignment="1">
      <alignment horizontal="center" vertical="center"/>
    </xf>
    <xf numFmtId="43" fontId="0" fillId="0" borderId="0" xfId="3" applyFont="1"/>
    <xf numFmtId="10" fontId="0" fillId="0" borderId="0" xfId="2" applyNumberFormat="1" applyFont="1"/>
    <xf numFmtId="166" fontId="0" fillId="0" borderId="0" xfId="0" applyNumberFormat="1"/>
    <xf numFmtId="0" fontId="3" fillId="5" borderId="10" xfId="0" applyFont="1" applyFill="1" applyBorder="1" applyAlignment="1">
      <alignment horizontal="center" vertical="center" wrapText="1"/>
    </xf>
    <xf numFmtId="165" fontId="4" fillId="6" borderId="9" xfId="2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165" fontId="4" fillId="0" borderId="9" xfId="2" applyNumberFormat="1" applyFont="1" applyBorder="1" applyAlignment="1">
      <alignment vertical="center"/>
    </xf>
    <xf numFmtId="165" fontId="4" fillId="0" borderId="10" xfId="2" applyNumberFormat="1" applyFont="1" applyBorder="1" applyAlignment="1">
      <alignment vertical="center"/>
    </xf>
  </cellXfs>
  <cellStyles count="4">
    <cellStyle name="Coma" xfId="3" builtinId="3"/>
    <cellStyle name="Moneda" xfId="1" builtinId="4"/>
    <cellStyle name="Normal" xfId="0" builtinId="0"/>
    <cellStyle name="Percentat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DC55F-F2A1-4AB7-82F9-3AD8B50ED743}">
  <dimension ref="B1:X31"/>
  <sheetViews>
    <sheetView showGridLines="0" topLeftCell="A3" workbookViewId="0">
      <selection activeCell="V13" sqref="V13:X28"/>
    </sheetView>
  </sheetViews>
  <sheetFormatPr defaultRowHeight="15" x14ac:dyDescent="0.25"/>
  <cols>
    <col min="2" max="2" width="21.140625" customWidth="1"/>
    <col min="3" max="3" width="8.42578125" customWidth="1"/>
    <col min="4" max="4" width="8.28515625" customWidth="1"/>
    <col min="5" max="5" width="8.7109375" customWidth="1"/>
    <col min="6" max="6" width="7.140625" customWidth="1"/>
    <col min="7" max="7" width="18.85546875" customWidth="1"/>
    <col min="8" max="8" width="8.7109375" customWidth="1"/>
    <col min="9" max="9" width="8.5703125" customWidth="1"/>
    <col min="10" max="10" width="7.42578125" customWidth="1"/>
    <col min="11" max="11" width="6.140625" customWidth="1"/>
    <col min="14" max="15" width="12" bestFit="1" customWidth="1"/>
    <col min="16" max="16" width="11" bestFit="1" customWidth="1"/>
    <col min="17" max="17" width="12" bestFit="1" customWidth="1"/>
    <col min="23" max="23" width="14.28515625" customWidth="1"/>
    <col min="24" max="24" width="12.7109375" customWidth="1"/>
  </cols>
  <sheetData>
    <row r="1" spans="2:23" ht="15.75" thickBot="1" x14ac:dyDescent="0.3"/>
    <row r="2" spans="2:23" x14ac:dyDescent="0.25">
      <c r="B2" s="47" t="s">
        <v>0</v>
      </c>
      <c r="C2" s="48"/>
      <c r="D2" s="48"/>
      <c r="E2" s="48"/>
      <c r="F2" s="48"/>
      <c r="G2" s="48"/>
      <c r="H2" s="48"/>
      <c r="I2" s="48"/>
      <c r="J2" s="48"/>
      <c r="K2" s="49"/>
    </row>
    <row r="3" spans="2:23" x14ac:dyDescent="0.25">
      <c r="B3" s="50" t="s">
        <v>1</v>
      </c>
      <c r="C3" s="50"/>
      <c r="D3" s="50"/>
      <c r="E3" s="50"/>
      <c r="F3" s="50"/>
      <c r="G3" s="51" t="s">
        <v>3</v>
      </c>
      <c r="H3" s="51"/>
      <c r="I3" s="51"/>
      <c r="J3" s="51"/>
      <c r="K3" s="52"/>
    </row>
    <row r="4" spans="2:23" x14ac:dyDescent="0.25">
      <c r="B4" s="30" t="s">
        <v>2</v>
      </c>
      <c r="C4" s="30">
        <v>2022</v>
      </c>
      <c r="D4" s="30">
        <v>2023</v>
      </c>
      <c r="E4" s="31" t="s">
        <v>20</v>
      </c>
      <c r="F4" s="16" t="s">
        <v>19</v>
      </c>
      <c r="G4" s="30" t="s">
        <v>4</v>
      </c>
      <c r="H4" s="30">
        <v>2022</v>
      </c>
      <c r="I4" s="30">
        <v>2023</v>
      </c>
      <c r="J4" s="31" t="s">
        <v>20</v>
      </c>
      <c r="K4" s="16" t="s">
        <v>19</v>
      </c>
    </row>
    <row r="5" spans="2:23" s="2" customFormat="1" ht="20.100000000000001" customHeight="1" x14ac:dyDescent="0.25">
      <c r="B5" s="4" t="s">
        <v>5</v>
      </c>
      <c r="C5" s="5">
        <v>11669</v>
      </c>
      <c r="D5" s="5">
        <v>12528</v>
      </c>
      <c r="E5" s="6">
        <f>D5-C5</f>
        <v>859</v>
      </c>
      <c r="F5" s="7">
        <f>E5/C5</f>
        <v>7.3613848658839659E-2</v>
      </c>
      <c r="G5" s="4" t="s">
        <v>6</v>
      </c>
      <c r="H5" s="5">
        <v>1300</v>
      </c>
      <c r="I5" s="5">
        <f>1300</f>
        <v>1300</v>
      </c>
      <c r="J5" s="5">
        <f>I5-H5</f>
        <v>0</v>
      </c>
      <c r="K5" s="7">
        <f>J5/H5</f>
        <v>0</v>
      </c>
      <c r="N5" s="32">
        <f>SUM(D6:D7)</f>
        <v>2862</v>
      </c>
      <c r="O5" s="32">
        <f>SUM(C6:C8)</f>
        <v>2781</v>
      </c>
    </row>
    <row r="6" spans="2:23" s="2" customFormat="1" ht="20.100000000000001" customHeight="1" x14ac:dyDescent="0.25">
      <c r="B6" s="4" t="s">
        <v>7</v>
      </c>
      <c r="C6" s="5">
        <v>540</v>
      </c>
      <c r="D6" s="5">
        <v>600</v>
      </c>
      <c r="E6" s="6">
        <f t="shared" ref="E6:E8" si="0">D6-C6</f>
        <v>60</v>
      </c>
      <c r="F6" s="7">
        <f t="shared" ref="F6:F8" si="1">E6/C6</f>
        <v>0.1111111111111111</v>
      </c>
      <c r="G6" s="4" t="s">
        <v>8</v>
      </c>
      <c r="H6" s="5">
        <v>5000</v>
      </c>
      <c r="I6" s="5">
        <v>5081</v>
      </c>
      <c r="J6" s="5">
        <f t="shared" ref="J6:J12" si="2">I6-H6</f>
        <v>81</v>
      </c>
      <c r="K6" s="7">
        <f t="shared" ref="K6:K12" si="3">J6/H6</f>
        <v>1.6199999999999999E-2</v>
      </c>
      <c r="N6" s="32">
        <f>SUM(I8:I11)</f>
        <v>8922</v>
      </c>
      <c r="O6" s="32">
        <f>SUM(H8:H11)</f>
        <v>7619</v>
      </c>
    </row>
    <row r="7" spans="2:23" s="2" customFormat="1" ht="20.100000000000001" customHeight="1" x14ac:dyDescent="0.25">
      <c r="B7" s="4" t="s">
        <v>9</v>
      </c>
      <c r="C7" s="5">
        <v>1741</v>
      </c>
      <c r="D7" s="5">
        <v>2262</v>
      </c>
      <c r="E7" s="6">
        <f t="shared" si="0"/>
        <v>521</v>
      </c>
      <c r="F7" s="7">
        <f t="shared" si="1"/>
        <v>0.29925330269959793</v>
      </c>
      <c r="G7" s="4" t="s">
        <v>10</v>
      </c>
      <c r="H7" s="5">
        <v>531</v>
      </c>
      <c r="I7" s="5">
        <v>487</v>
      </c>
      <c r="J7" s="5">
        <f t="shared" si="2"/>
        <v>-44</v>
      </c>
      <c r="K7" s="7">
        <f t="shared" si="3"/>
        <v>-8.2862523540489647E-2</v>
      </c>
      <c r="N7" s="32">
        <f>N5-N6</f>
        <v>-6060</v>
      </c>
      <c r="O7" s="32">
        <f>O5-O6</f>
        <v>-4838</v>
      </c>
      <c r="P7" s="2">
        <f>O5/O6</f>
        <v>0.36500853130332067</v>
      </c>
    </row>
    <row r="8" spans="2:23" s="2" customFormat="1" ht="20.100000000000001" customHeight="1" x14ac:dyDescent="0.25">
      <c r="B8" s="4" t="s">
        <v>11</v>
      </c>
      <c r="C8" s="5">
        <v>500</v>
      </c>
      <c r="D8" s="5">
        <v>400</v>
      </c>
      <c r="E8" s="6">
        <f t="shared" si="0"/>
        <v>-100</v>
      </c>
      <c r="F8" s="7">
        <f t="shared" si="1"/>
        <v>-0.2</v>
      </c>
      <c r="G8" s="4" t="s">
        <v>12</v>
      </c>
      <c r="H8" s="5">
        <v>5000</v>
      </c>
      <c r="I8" s="5">
        <v>5622</v>
      </c>
      <c r="J8" s="5">
        <f t="shared" si="2"/>
        <v>622</v>
      </c>
      <c r="K8" s="7">
        <f t="shared" si="3"/>
        <v>0.1244</v>
      </c>
    </row>
    <row r="9" spans="2:23" s="2" customFormat="1" ht="20.100000000000001" customHeight="1" x14ac:dyDescent="0.25">
      <c r="B9" s="4"/>
      <c r="C9" s="5"/>
      <c r="D9" s="5"/>
      <c r="E9" s="5"/>
      <c r="F9" s="8"/>
      <c r="G9" s="4" t="s">
        <v>13</v>
      </c>
      <c r="H9" s="5">
        <v>800</v>
      </c>
      <c r="I9" s="5">
        <v>1000</v>
      </c>
      <c r="J9" s="5">
        <f t="shared" si="2"/>
        <v>200</v>
      </c>
      <c r="K9" s="7">
        <f t="shared" si="3"/>
        <v>0.25</v>
      </c>
      <c r="N9" s="32">
        <f>N7-O7</f>
        <v>-1222</v>
      </c>
      <c r="O9" s="33">
        <f>N9/O7</f>
        <v>0.25258371227780074</v>
      </c>
    </row>
    <row r="10" spans="2:23" s="2" customFormat="1" ht="20.100000000000001" customHeight="1" x14ac:dyDescent="0.25">
      <c r="B10" s="4"/>
      <c r="C10" s="5"/>
      <c r="D10" s="5"/>
      <c r="E10" s="5"/>
      <c r="F10" s="8"/>
      <c r="G10" s="4" t="s">
        <v>14</v>
      </c>
      <c r="H10" s="5">
        <v>1000</v>
      </c>
      <c r="I10" s="5">
        <v>1200</v>
      </c>
      <c r="J10" s="5">
        <f t="shared" si="2"/>
        <v>200</v>
      </c>
      <c r="K10" s="7">
        <f t="shared" si="3"/>
        <v>0.2</v>
      </c>
      <c r="N10" s="32">
        <f>H5+H6+H7</f>
        <v>6831</v>
      </c>
      <c r="O10" s="32">
        <f>I5+I6+I7</f>
        <v>6868</v>
      </c>
    </row>
    <row r="11" spans="2:23" s="2" customFormat="1" ht="20.100000000000001" customHeight="1" x14ac:dyDescent="0.25">
      <c r="B11" s="4"/>
      <c r="C11" s="5"/>
      <c r="D11" s="5"/>
      <c r="E11" s="5"/>
      <c r="F11" s="8"/>
      <c r="G11" s="4" t="s">
        <v>15</v>
      </c>
      <c r="H11" s="5">
        <v>819</v>
      </c>
      <c r="I11" s="5">
        <v>1100</v>
      </c>
      <c r="J11" s="5">
        <f t="shared" si="2"/>
        <v>281</v>
      </c>
      <c r="K11" s="7">
        <f t="shared" si="3"/>
        <v>0.3431013431013431</v>
      </c>
      <c r="N11" s="2">
        <f>O6/N10</f>
        <v>1.1153564631825501</v>
      </c>
      <c r="O11" s="2">
        <f>N6/O10</f>
        <v>1.2990681421083285</v>
      </c>
    </row>
    <row r="12" spans="2:23" s="2" customFormat="1" ht="20.100000000000001" customHeight="1" x14ac:dyDescent="0.25">
      <c r="B12" s="9" t="s">
        <v>16</v>
      </c>
      <c r="C12" s="10">
        <f>SUM(C5:C11)</f>
        <v>14450</v>
      </c>
      <c r="D12" s="10">
        <f>SUM(D5:D11)</f>
        <v>15790</v>
      </c>
      <c r="E12" s="5">
        <f t="shared" ref="E12" si="4">D12-C12</f>
        <v>1340</v>
      </c>
      <c r="F12" s="7">
        <f t="shared" ref="F12" si="5">E12/C12</f>
        <v>9.2733564013840836E-2</v>
      </c>
      <c r="G12" s="9" t="s">
        <v>17</v>
      </c>
      <c r="H12" s="10">
        <f>SUM(H5:H11)</f>
        <v>14450</v>
      </c>
      <c r="I12" s="10">
        <f>SUM(I5:I11)</f>
        <v>15790</v>
      </c>
      <c r="J12" s="5">
        <f t="shared" si="2"/>
        <v>1340</v>
      </c>
      <c r="K12" s="7">
        <f t="shared" si="3"/>
        <v>9.2733564013840836E-2</v>
      </c>
    </row>
    <row r="13" spans="2:23" x14ac:dyDescent="0.25">
      <c r="B13" s="11"/>
      <c r="C13" s="12"/>
      <c r="D13" s="12"/>
      <c r="E13" s="12"/>
      <c r="F13" s="12"/>
      <c r="G13" s="11"/>
      <c r="H13" s="12"/>
      <c r="I13" s="12"/>
      <c r="J13" s="11"/>
      <c r="K13" s="11"/>
      <c r="N13">
        <f>(H7*100)/(H5+H6)</f>
        <v>8.4285714285714288</v>
      </c>
      <c r="O13">
        <f>(I7*100)/(I5+I6)</f>
        <v>7.6320325967716656</v>
      </c>
      <c r="V13" t="s">
        <v>36</v>
      </c>
    </row>
    <row r="14" spans="2:23" ht="15.75" thickBot="1" x14ac:dyDescent="0.3">
      <c r="B14" s="11"/>
      <c r="C14" s="11"/>
      <c r="D14" s="11"/>
      <c r="E14" s="11"/>
      <c r="F14" s="11"/>
      <c r="G14" s="11"/>
      <c r="H14" s="12"/>
      <c r="I14" s="12"/>
      <c r="J14" s="11"/>
      <c r="K14" s="11"/>
      <c r="W14">
        <v>2024</v>
      </c>
    </row>
    <row r="15" spans="2:23" x14ac:dyDescent="0.25">
      <c r="B15" s="47" t="s">
        <v>21</v>
      </c>
      <c r="C15" s="48"/>
      <c r="D15" s="48"/>
      <c r="E15" s="48"/>
      <c r="F15" s="48"/>
      <c r="G15" s="48"/>
      <c r="H15" s="48"/>
      <c r="I15" s="11"/>
      <c r="J15" s="11"/>
      <c r="K15" s="11"/>
    </row>
    <row r="16" spans="2:23" ht="18" customHeight="1" x14ac:dyDescent="0.25">
      <c r="B16" s="13" t="s">
        <v>2</v>
      </c>
      <c r="C16" s="13">
        <v>2022</v>
      </c>
      <c r="D16" s="14" t="s">
        <v>18</v>
      </c>
      <c r="E16" s="13">
        <v>2023</v>
      </c>
      <c r="F16" s="14" t="s">
        <v>18</v>
      </c>
      <c r="G16" s="15" t="s">
        <v>33</v>
      </c>
      <c r="H16" s="16" t="s">
        <v>34</v>
      </c>
      <c r="I16" s="11"/>
      <c r="J16" s="11"/>
      <c r="K16" s="11"/>
      <c r="N16" s="1">
        <f>H6/H5</f>
        <v>3.8461538461538463</v>
      </c>
      <c r="V16" t="s">
        <v>22</v>
      </c>
      <c r="W16" s="42">
        <f>16050+(16050*19%)</f>
        <v>19099.5</v>
      </c>
    </row>
    <row r="17" spans="2:24" ht="18" customHeight="1" x14ac:dyDescent="0.25">
      <c r="B17" s="17" t="s">
        <v>22</v>
      </c>
      <c r="C17" s="18">
        <v>14600</v>
      </c>
      <c r="D17" s="19"/>
      <c r="E17" s="18">
        <v>16050</v>
      </c>
      <c r="F17" s="19"/>
      <c r="G17" s="20">
        <f>E17-C17</f>
        <v>1450</v>
      </c>
      <c r="H17" s="34">
        <f>G17/C17</f>
        <v>9.9315068493150679E-2</v>
      </c>
      <c r="I17" s="11"/>
      <c r="J17" s="11"/>
      <c r="K17" s="11"/>
      <c r="O17" s="1">
        <v>0.1</v>
      </c>
      <c r="P17" s="1">
        <v>0.2</v>
      </c>
      <c r="Q17" s="1">
        <v>0.3</v>
      </c>
      <c r="R17" s="1">
        <v>0.7</v>
      </c>
      <c r="V17" t="s">
        <v>23</v>
      </c>
      <c r="W17" s="42">
        <f>6680+(6680*17%)</f>
        <v>7815.6</v>
      </c>
      <c r="X17" s="43">
        <f>W17/$W$16</f>
        <v>0.40920442943532553</v>
      </c>
    </row>
    <row r="18" spans="2:24" ht="18" customHeight="1" x14ac:dyDescent="0.25">
      <c r="B18" s="17" t="s">
        <v>23</v>
      </c>
      <c r="C18" s="20">
        <v>6500</v>
      </c>
      <c r="D18" s="34">
        <f>C18/$C$17</f>
        <v>0.4452054794520548</v>
      </c>
      <c r="E18" s="20">
        <v>6680</v>
      </c>
      <c r="F18" s="34">
        <f>E18/$E$17</f>
        <v>0.41619937694704051</v>
      </c>
      <c r="G18" s="20">
        <f t="shared" ref="G18:G28" si="6">E18-C18</f>
        <v>180</v>
      </c>
      <c r="H18" s="34">
        <f t="shared" ref="H18:H28" si="7">G18/C18</f>
        <v>2.7692307692307693E-2</v>
      </c>
      <c r="I18" s="11"/>
      <c r="J18" s="11"/>
      <c r="K18" s="11"/>
      <c r="N18" s="3">
        <f>(N7+I5)*-1</f>
        <v>4760</v>
      </c>
      <c r="O18" s="3">
        <f>$N$18*O17</f>
        <v>476</v>
      </c>
      <c r="P18" s="3">
        <f t="shared" ref="P18" si="8">$N$18*P17</f>
        <v>952</v>
      </c>
      <c r="Q18" s="3">
        <f>$N$18*Q17</f>
        <v>1428</v>
      </c>
      <c r="R18" s="3">
        <f>$N$18*R17</f>
        <v>3332</v>
      </c>
      <c r="V18" t="s">
        <v>37</v>
      </c>
      <c r="W18" s="42">
        <f>3600+(3600*15%)</f>
        <v>4140</v>
      </c>
      <c r="X18" s="43">
        <f t="shared" ref="X18:X28" si="9">W18/$W$16</f>
        <v>0.21675960103667635</v>
      </c>
    </row>
    <row r="19" spans="2:24" ht="18" customHeight="1" x14ac:dyDescent="0.25">
      <c r="B19" s="17" t="s">
        <v>24</v>
      </c>
      <c r="C19" s="20">
        <v>3175</v>
      </c>
      <c r="D19" s="34">
        <f t="shared" ref="D19:D25" si="10">C19/$C$17</f>
        <v>0.21746575342465754</v>
      </c>
      <c r="E19" s="20">
        <v>3600</v>
      </c>
      <c r="F19" s="34">
        <f t="shared" ref="F19:F25" si="11">E19/$E$17</f>
        <v>0.22429906542056074</v>
      </c>
      <c r="G19" s="20">
        <f t="shared" si="6"/>
        <v>425</v>
      </c>
      <c r="H19" s="34">
        <f t="shared" si="7"/>
        <v>0.13385826771653545</v>
      </c>
      <c r="I19" s="11"/>
      <c r="J19" s="11"/>
      <c r="K19" s="11"/>
      <c r="V19" t="s">
        <v>25</v>
      </c>
      <c r="W19" s="42">
        <f>1200+(1200*13%)</f>
        <v>1356</v>
      </c>
      <c r="X19" s="43">
        <f t="shared" si="9"/>
        <v>7.0996622948244714E-2</v>
      </c>
    </row>
    <row r="20" spans="2:24" ht="18" customHeight="1" x14ac:dyDescent="0.25">
      <c r="B20" s="17" t="s">
        <v>25</v>
      </c>
      <c r="C20" s="20">
        <v>1100</v>
      </c>
      <c r="D20" s="34">
        <f t="shared" si="10"/>
        <v>7.5342465753424653E-2</v>
      </c>
      <c r="E20" s="20">
        <v>1200</v>
      </c>
      <c r="F20" s="34">
        <f t="shared" si="11"/>
        <v>7.476635514018691E-2</v>
      </c>
      <c r="G20" s="20">
        <f t="shared" si="6"/>
        <v>100</v>
      </c>
      <c r="H20" s="34">
        <f t="shared" si="7"/>
        <v>9.0909090909090912E-2</v>
      </c>
      <c r="I20" s="11"/>
      <c r="J20" s="11"/>
      <c r="K20" s="11"/>
      <c r="Q20">
        <v>1300</v>
      </c>
      <c r="R20" s="1">
        <f>Q20/N18</f>
        <v>0.27310924369747897</v>
      </c>
      <c r="V20" t="s">
        <v>38</v>
      </c>
      <c r="W20" s="42">
        <f>2500+(2500*15%)</f>
        <v>2875</v>
      </c>
      <c r="X20" s="43">
        <f t="shared" si="9"/>
        <v>0.15052750071991414</v>
      </c>
    </row>
    <row r="21" spans="2:24" ht="18" customHeight="1" x14ac:dyDescent="0.25">
      <c r="B21" s="17" t="s">
        <v>26</v>
      </c>
      <c r="C21" s="20">
        <v>2200</v>
      </c>
      <c r="D21" s="34">
        <f t="shared" si="10"/>
        <v>0.15068493150684931</v>
      </c>
      <c r="E21" s="20">
        <v>2500</v>
      </c>
      <c r="F21" s="34">
        <f t="shared" si="11"/>
        <v>0.1557632398753894</v>
      </c>
      <c r="G21" s="20">
        <f t="shared" si="6"/>
        <v>300</v>
      </c>
      <c r="H21" s="34">
        <f t="shared" si="7"/>
        <v>0.13636363636363635</v>
      </c>
      <c r="I21" s="11"/>
      <c r="J21" s="11"/>
      <c r="K21" s="11"/>
      <c r="V21" t="s">
        <v>39</v>
      </c>
      <c r="W21" s="42">
        <f>W16*1%</f>
        <v>190.995</v>
      </c>
      <c r="X21" s="43">
        <f t="shared" si="9"/>
        <v>0.01</v>
      </c>
    </row>
    <row r="22" spans="2:24" ht="18" customHeight="1" x14ac:dyDescent="0.25">
      <c r="B22" s="17" t="s">
        <v>27</v>
      </c>
      <c r="C22" s="20">
        <v>200</v>
      </c>
      <c r="D22" s="34">
        <f t="shared" si="10"/>
        <v>1.3698630136986301E-2</v>
      </c>
      <c r="E22" s="20">
        <v>250</v>
      </c>
      <c r="F22" s="34">
        <f t="shared" si="11"/>
        <v>1.5576323987538941E-2</v>
      </c>
      <c r="G22" s="20">
        <f t="shared" si="6"/>
        <v>50</v>
      </c>
      <c r="H22" s="34">
        <f t="shared" si="7"/>
        <v>0.25</v>
      </c>
      <c r="I22" s="11"/>
      <c r="J22" s="11"/>
      <c r="K22" s="11"/>
      <c r="V22" t="s">
        <v>40</v>
      </c>
      <c r="W22" s="42">
        <f>W16*1.5%</f>
        <v>286.49250000000001</v>
      </c>
      <c r="X22" s="43">
        <f t="shared" si="9"/>
        <v>1.5000000000000001E-2</v>
      </c>
    </row>
    <row r="23" spans="2:24" ht="18" customHeight="1" x14ac:dyDescent="0.25">
      <c r="B23" s="17" t="s">
        <v>28</v>
      </c>
      <c r="C23" s="20">
        <v>450</v>
      </c>
      <c r="D23" s="34">
        <f t="shared" si="10"/>
        <v>3.0821917808219176E-2</v>
      </c>
      <c r="E23" s="20">
        <v>480</v>
      </c>
      <c r="F23" s="34">
        <f t="shared" si="11"/>
        <v>2.9906542056074768E-2</v>
      </c>
      <c r="G23" s="20">
        <f t="shared" si="6"/>
        <v>30</v>
      </c>
      <c r="H23" s="34">
        <f t="shared" si="7"/>
        <v>6.6666666666666666E-2</v>
      </c>
      <c r="I23" s="11"/>
      <c r="J23" s="11"/>
      <c r="K23" s="11"/>
      <c r="V23" t="s">
        <v>41</v>
      </c>
      <c r="W23" s="42">
        <f>((12528000+4000000)*3%)/1000</f>
        <v>495.84</v>
      </c>
      <c r="X23" s="43">
        <f t="shared" si="9"/>
        <v>2.5960889028508599E-2</v>
      </c>
    </row>
    <row r="24" spans="2:24" ht="18" customHeight="1" x14ac:dyDescent="0.25">
      <c r="B24" s="17" t="s">
        <v>29</v>
      </c>
      <c r="C24" s="20">
        <v>100</v>
      </c>
      <c r="D24" s="34">
        <f t="shared" si="10"/>
        <v>6.8493150684931503E-3</v>
      </c>
      <c r="E24" s="20">
        <v>600</v>
      </c>
      <c r="F24" s="34">
        <f t="shared" si="11"/>
        <v>3.7383177570093455E-2</v>
      </c>
      <c r="G24" s="20">
        <f t="shared" si="6"/>
        <v>500</v>
      </c>
      <c r="H24" s="34">
        <f t="shared" si="7"/>
        <v>5</v>
      </c>
      <c r="I24" s="11"/>
      <c r="J24" s="11"/>
      <c r="K24" s="11"/>
      <c r="V24" t="s">
        <v>42</v>
      </c>
      <c r="W24" s="42">
        <f>((1200000*10%)/1000)</f>
        <v>120</v>
      </c>
      <c r="X24" s="43">
        <f t="shared" si="9"/>
        <v>6.2828869865703295E-3</v>
      </c>
    </row>
    <row r="25" spans="2:24" ht="18" customHeight="1" thickBot="1" x14ac:dyDescent="0.3">
      <c r="B25" s="21" t="s">
        <v>30</v>
      </c>
      <c r="C25" s="22">
        <v>300</v>
      </c>
      <c r="D25" s="35">
        <f t="shared" si="10"/>
        <v>2.0547945205479451E-2</v>
      </c>
      <c r="E25" s="22">
        <v>200</v>
      </c>
      <c r="F25" s="35">
        <f t="shared" si="11"/>
        <v>1.2461059190031152E-2</v>
      </c>
      <c r="G25" s="22">
        <f t="shared" si="6"/>
        <v>-100</v>
      </c>
      <c r="H25" s="35">
        <f t="shared" si="7"/>
        <v>-0.33333333333333331</v>
      </c>
      <c r="I25" s="11"/>
      <c r="J25" s="11"/>
      <c r="K25" s="11"/>
      <c r="V25" t="s">
        <v>43</v>
      </c>
      <c r="W25" s="42">
        <f>((600000*15%)/1000)</f>
        <v>90</v>
      </c>
      <c r="X25" s="43">
        <f t="shared" si="9"/>
        <v>4.7121652399277469E-3</v>
      </c>
    </row>
    <row r="26" spans="2:24" ht="18" customHeight="1" x14ac:dyDescent="0.25">
      <c r="B26" s="23" t="s">
        <v>31</v>
      </c>
      <c r="C26" s="24">
        <f>C17-(SUM(C18:C25))</f>
        <v>575</v>
      </c>
      <c r="D26" s="39">
        <f>C26/C17</f>
        <v>3.9383561643835614E-2</v>
      </c>
      <c r="E26" s="24">
        <f>E17-(SUM(E18:E25))</f>
        <v>540</v>
      </c>
      <c r="F26" s="39">
        <f>E26/E17</f>
        <v>3.3644859813084113E-2</v>
      </c>
      <c r="G26" s="24">
        <f t="shared" si="6"/>
        <v>-35</v>
      </c>
      <c r="H26" s="36">
        <f t="shared" si="7"/>
        <v>-6.0869565217391307E-2</v>
      </c>
      <c r="I26" s="11"/>
      <c r="J26" s="11"/>
      <c r="K26" s="11"/>
      <c r="V26" t="s">
        <v>28</v>
      </c>
      <c r="W26" s="42">
        <f>W23+W24+W25</f>
        <v>705.83999999999992</v>
      </c>
      <c r="X26" s="43">
        <f t="shared" si="9"/>
        <v>3.6955941255006675E-2</v>
      </c>
    </row>
    <row r="27" spans="2:24" ht="18" customHeight="1" x14ac:dyDescent="0.25">
      <c r="B27" s="25" t="s">
        <v>32</v>
      </c>
      <c r="C27" s="26">
        <v>44</v>
      </c>
      <c r="D27" s="40">
        <f>C27/C26</f>
        <v>7.6521739130434779E-2</v>
      </c>
      <c r="E27" s="26">
        <v>53</v>
      </c>
      <c r="F27" s="40">
        <f>E27/E26</f>
        <v>9.8148148148148151E-2</v>
      </c>
      <c r="G27" s="26">
        <f t="shared" si="6"/>
        <v>9</v>
      </c>
      <c r="H27" s="37">
        <f t="shared" si="7"/>
        <v>0.20454545454545456</v>
      </c>
      <c r="I27" s="11"/>
      <c r="J27" s="11"/>
      <c r="K27" s="11"/>
      <c r="V27" t="s">
        <v>44</v>
      </c>
      <c r="W27">
        <f>(5600+4600)*5%</f>
        <v>510</v>
      </c>
      <c r="X27" s="43">
        <f t="shared" si="9"/>
        <v>2.67022696929239E-2</v>
      </c>
    </row>
    <row r="28" spans="2:24" ht="18" customHeight="1" thickBot="1" x14ac:dyDescent="0.3">
      <c r="B28" s="27" t="s">
        <v>35</v>
      </c>
      <c r="C28" s="28">
        <f>C26-C27</f>
        <v>531</v>
      </c>
      <c r="D28" s="41">
        <f>C28/C17</f>
        <v>3.6369863013698628E-2</v>
      </c>
      <c r="E28" s="28">
        <f>E26-E27</f>
        <v>487</v>
      </c>
      <c r="F28" s="41">
        <f>E28/E17</f>
        <v>3.0342679127725855E-2</v>
      </c>
      <c r="G28" s="29">
        <f t="shared" si="6"/>
        <v>-44</v>
      </c>
      <c r="H28" s="38">
        <f t="shared" si="7"/>
        <v>-8.2862523540489647E-2</v>
      </c>
      <c r="I28" s="11"/>
      <c r="J28" s="11"/>
      <c r="K28" s="11"/>
      <c r="V28" t="s">
        <v>45</v>
      </c>
      <c r="W28" s="44">
        <f>W16-(W17+W18+W19+W20+W21+W22+W26+W27)</f>
        <v>1219.5724999999984</v>
      </c>
      <c r="X28" s="43">
        <f t="shared" si="9"/>
        <v>6.3853634911908611E-2</v>
      </c>
    </row>
    <row r="30" spans="2:24" x14ac:dyDescent="0.25">
      <c r="V30" t="s">
        <v>46</v>
      </c>
    </row>
    <row r="31" spans="2:24" x14ac:dyDescent="0.25">
      <c r="V31" s="44">
        <f>W28-540</f>
        <v>679.5724999999984</v>
      </c>
      <c r="W31" s="1">
        <f>V31/540</f>
        <v>1.2584675925925897</v>
      </c>
    </row>
  </sheetData>
  <mergeCells count="4">
    <mergeCell ref="B2:K2"/>
    <mergeCell ref="B3:F3"/>
    <mergeCell ref="G3:K3"/>
    <mergeCell ref="B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42950-9F68-4ED8-8576-A6A83C80CA70}">
  <dimension ref="B5:S23"/>
  <sheetViews>
    <sheetView tabSelected="1" workbookViewId="0">
      <selection activeCell="L11" sqref="L11"/>
    </sheetView>
  </sheetViews>
  <sheetFormatPr defaultRowHeight="15" x14ac:dyDescent="0.25"/>
  <cols>
    <col min="2" max="2" width="20.7109375" customWidth="1"/>
    <col min="7" max="7" width="11.7109375" customWidth="1"/>
    <col min="8" max="8" width="7.85546875" customWidth="1"/>
    <col min="9" max="9" width="10.5703125" customWidth="1"/>
    <col min="10" max="10" width="7.85546875" customWidth="1"/>
    <col min="17" max="17" width="17" customWidth="1"/>
    <col min="18" max="18" width="12.42578125" customWidth="1"/>
  </cols>
  <sheetData>
    <row r="5" spans="2:19" x14ac:dyDescent="0.25">
      <c r="B5" s="53" t="s">
        <v>21</v>
      </c>
      <c r="C5" s="54"/>
      <c r="D5" s="54"/>
      <c r="E5" s="54"/>
      <c r="F5" s="54"/>
      <c r="G5" s="54"/>
      <c r="H5" s="54"/>
      <c r="I5" s="54"/>
      <c r="J5" s="54"/>
      <c r="K5" s="54"/>
      <c r="L5" s="54"/>
      <c r="Q5" t="s">
        <v>36</v>
      </c>
    </row>
    <row r="6" spans="2:19" ht="22.5" x14ac:dyDescent="0.25">
      <c r="B6" s="13" t="s">
        <v>2</v>
      </c>
      <c r="C6" s="13">
        <v>2022</v>
      </c>
      <c r="D6" s="14" t="s">
        <v>18</v>
      </c>
      <c r="E6" s="13">
        <v>2023</v>
      </c>
      <c r="F6" s="14" t="s">
        <v>18</v>
      </c>
      <c r="G6" s="31" t="s">
        <v>33</v>
      </c>
      <c r="H6" s="16" t="s">
        <v>34</v>
      </c>
      <c r="I6" s="45" t="s">
        <v>47</v>
      </c>
      <c r="J6" s="14" t="s">
        <v>18</v>
      </c>
      <c r="K6" s="31" t="s">
        <v>33</v>
      </c>
      <c r="L6" s="16" t="s">
        <v>34</v>
      </c>
      <c r="R6">
        <v>2024</v>
      </c>
    </row>
    <row r="7" spans="2:19" x14ac:dyDescent="0.25">
      <c r="B7" s="17" t="s">
        <v>22</v>
      </c>
      <c r="C7" s="18">
        <v>14600</v>
      </c>
      <c r="D7" s="19"/>
      <c r="E7" s="18">
        <v>16050</v>
      </c>
      <c r="F7" s="19"/>
      <c r="G7" s="20">
        <f>E7-C7</f>
        <v>1450</v>
      </c>
      <c r="H7" s="34">
        <f t="shared" ref="H7:H20" si="0">G7/C7</f>
        <v>9.9315068493150679E-2</v>
      </c>
      <c r="I7" s="18">
        <f>16050+(16050*19%)</f>
        <v>19099.5</v>
      </c>
      <c r="J7" s="20"/>
    </row>
    <row r="8" spans="2:19" ht="15.75" thickBot="1" x14ac:dyDescent="0.3">
      <c r="B8" s="17" t="s">
        <v>23</v>
      </c>
      <c r="C8" s="20">
        <v>6500</v>
      </c>
      <c r="D8" s="34">
        <f>C8/$C$7</f>
        <v>0.4452054794520548</v>
      </c>
      <c r="E8" s="20">
        <v>6680</v>
      </c>
      <c r="F8" s="34">
        <f>E8/$E$7</f>
        <v>0.41619937694704051</v>
      </c>
      <c r="G8" s="20">
        <f>E8-C8</f>
        <v>180</v>
      </c>
      <c r="H8" s="34">
        <f t="shared" si="0"/>
        <v>2.7692307692307693E-2</v>
      </c>
      <c r="I8" s="20">
        <f>6680+(6680*17%)</f>
        <v>7815.6</v>
      </c>
      <c r="J8" s="20"/>
    </row>
    <row r="9" spans="2:19" x14ac:dyDescent="0.25">
      <c r="B9" s="23" t="s">
        <v>49</v>
      </c>
      <c r="C9" s="24">
        <f>C7-C8</f>
        <v>8100</v>
      </c>
      <c r="D9" s="46">
        <f t="shared" ref="D9:D20" si="1">C9/$C$7</f>
        <v>0.5547945205479452</v>
      </c>
      <c r="E9" s="24">
        <f>E7-E8</f>
        <v>9370</v>
      </c>
      <c r="F9" s="39">
        <f>E9/$E$7</f>
        <v>0.58380062305295954</v>
      </c>
      <c r="G9" s="24">
        <f t="shared" ref="G9" si="2">E9-C9</f>
        <v>1270</v>
      </c>
      <c r="H9" s="36">
        <f t="shared" si="0"/>
        <v>0.15679012345679014</v>
      </c>
      <c r="I9" s="24">
        <f>I7-I8</f>
        <v>11283.9</v>
      </c>
      <c r="J9" s="36">
        <f>I9/$I$7</f>
        <v>0.59079557056467447</v>
      </c>
      <c r="Q9" t="s">
        <v>22</v>
      </c>
      <c r="R9" s="42">
        <f>16050+(16050*19%)</f>
        <v>19099.5</v>
      </c>
    </row>
    <row r="10" spans="2:19" x14ac:dyDescent="0.25">
      <c r="B10" s="17" t="s">
        <v>24</v>
      </c>
      <c r="C10" s="20">
        <v>3175</v>
      </c>
      <c r="D10" s="34">
        <f t="shared" si="1"/>
        <v>0.21746575342465754</v>
      </c>
      <c r="E10" s="20">
        <v>3600</v>
      </c>
      <c r="F10" s="34">
        <f>E10/$E$7</f>
        <v>0.22429906542056074</v>
      </c>
      <c r="G10" s="20">
        <f t="shared" ref="G10:G20" si="3">E10-C10</f>
        <v>425</v>
      </c>
      <c r="H10" s="34">
        <f t="shared" si="0"/>
        <v>0.13385826771653545</v>
      </c>
      <c r="I10" s="20">
        <f>3600+(3600*15%)</f>
        <v>4140</v>
      </c>
      <c r="J10" s="55">
        <f>I10/$I$7</f>
        <v>0.21675960103667635</v>
      </c>
      <c r="Q10" t="s">
        <v>23</v>
      </c>
      <c r="R10" s="42">
        <f>6680+(6680*17%)</f>
        <v>7815.6</v>
      </c>
      <c r="S10" s="43">
        <f>R10/$R$9</f>
        <v>0.40920442943532553</v>
      </c>
    </row>
    <row r="11" spans="2:19" x14ac:dyDescent="0.25">
      <c r="B11" s="17" t="s">
        <v>25</v>
      </c>
      <c r="C11" s="20">
        <v>1100</v>
      </c>
      <c r="D11" s="34">
        <f t="shared" si="1"/>
        <v>7.5342465753424653E-2</v>
      </c>
      <c r="E11" s="20">
        <v>1200</v>
      </c>
      <c r="F11" s="34">
        <f t="shared" ref="F11:F16" si="4">E11/$E$7</f>
        <v>7.476635514018691E-2</v>
      </c>
      <c r="G11" s="20">
        <f t="shared" si="3"/>
        <v>100</v>
      </c>
      <c r="H11" s="34">
        <f t="shared" si="0"/>
        <v>9.0909090909090912E-2</v>
      </c>
      <c r="I11" s="20">
        <f>1200+(1200*13%)</f>
        <v>1356</v>
      </c>
      <c r="J11" s="55">
        <f>I11/$I$7</f>
        <v>7.0996622948244714E-2</v>
      </c>
      <c r="Q11" t="s">
        <v>37</v>
      </c>
      <c r="R11" s="42">
        <f>3600+(3600*15%)</f>
        <v>4140</v>
      </c>
      <c r="S11" s="43">
        <f t="shared" ref="S11:S22" si="5">R11/$R$9</f>
        <v>0.21675960103667635</v>
      </c>
    </row>
    <row r="12" spans="2:19" x14ac:dyDescent="0.25">
      <c r="B12" s="17" t="s">
        <v>26</v>
      </c>
      <c r="C12" s="20">
        <v>2200</v>
      </c>
      <c r="D12" s="34">
        <f t="shared" si="1"/>
        <v>0.15068493150684931</v>
      </c>
      <c r="E12" s="20">
        <v>2500</v>
      </c>
      <c r="F12" s="34">
        <f t="shared" si="4"/>
        <v>0.1557632398753894</v>
      </c>
      <c r="G12" s="20">
        <f t="shared" si="3"/>
        <v>300</v>
      </c>
      <c r="H12" s="34">
        <f t="shared" si="0"/>
        <v>0.13636363636363635</v>
      </c>
      <c r="I12" s="20">
        <f>2500+(2500*15%)</f>
        <v>2875</v>
      </c>
      <c r="J12" s="55">
        <f>I12/$I$7</f>
        <v>0.15052750071991414</v>
      </c>
      <c r="Q12" t="s">
        <v>25</v>
      </c>
      <c r="R12" s="42">
        <f>1200+(1200*13%)</f>
        <v>1356</v>
      </c>
      <c r="S12" s="43">
        <f t="shared" si="5"/>
        <v>7.0996622948244714E-2</v>
      </c>
    </row>
    <row r="13" spans="2:19" x14ac:dyDescent="0.25">
      <c r="B13" s="17" t="s">
        <v>28</v>
      </c>
      <c r="C13" s="20">
        <v>450</v>
      </c>
      <c r="D13" s="34">
        <f t="shared" si="1"/>
        <v>3.0821917808219176E-2</v>
      </c>
      <c r="E13" s="20">
        <v>480</v>
      </c>
      <c r="F13" s="34">
        <f t="shared" si="4"/>
        <v>2.9906542056074768E-2</v>
      </c>
      <c r="G13" s="20">
        <f>E13-C13</f>
        <v>30</v>
      </c>
      <c r="H13" s="34">
        <f t="shared" si="0"/>
        <v>6.6666666666666666E-2</v>
      </c>
      <c r="I13" s="20">
        <v>750</v>
      </c>
      <c r="J13" s="55">
        <f>I13/$I$7</f>
        <v>3.9268043666064553E-2</v>
      </c>
      <c r="Q13" t="s">
        <v>38</v>
      </c>
      <c r="R13" s="42">
        <f>2500+(2500*15%)</f>
        <v>2875</v>
      </c>
      <c r="S13" s="43">
        <f t="shared" si="5"/>
        <v>0.15052750071991414</v>
      </c>
    </row>
    <row r="14" spans="2:19" x14ac:dyDescent="0.25">
      <c r="B14" s="17" t="s">
        <v>29</v>
      </c>
      <c r="C14" s="20">
        <v>100</v>
      </c>
      <c r="D14" s="34">
        <f t="shared" si="1"/>
        <v>6.8493150684931503E-3</v>
      </c>
      <c r="E14" s="20">
        <v>600</v>
      </c>
      <c r="F14" s="34">
        <f t="shared" si="4"/>
        <v>3.7383177570093455E-2</v>
      </c>
      <c r="G14" s="20">
        <f>E14-C14</f>
        <v>500</v>
      </c>
      <c r="H14" s="34">
        <f t="shared" si="0"/>
        <v>5</v>
      </c>
      <c r="I14" s="20">
        <f>I7*1%</f>
        <v>190.995</v>
      </c>
      <c r="J14" s="55">
        <f>I14/$I$7</f>
        <v>0.01</v>
      </c>
      <c r="Q14" t="s">
        <v>39</v>
      </c>
      <c r="R14" s="42">
        <f>R9*1%</f>
        <v>190.995</v>
      </c>
      <c r="S14" s="43">
        <f t="shared" si="5"/>
        <v>0.01</v>
      </c>
    </row>
    <row r="15" spans="2:19" ht="15.75" thickBot="1" x14ac:dyDescent="0.3">
      <c r="B15" s="21" t="s">
        <v>30</v>
      </c>
      <c r="C15" s="22">
        <v>300</v>
      </c>
      <c r="D15" s="34">
        <f t="shared" si="1"/>
        <v>2.0547945205479451E-2</v>
      </c>
      <c r="E15" s="22">
        <v>200</v>
      </c>
      <c r="F15" s="34">
        <f t="shared" si="4"/>
        <v>1.2461059190031152E-2</v>
      </c>
      <c r="G15" s="22">
        <f>E15-C15</f>
        <v>-100</v>
      </c>
      <c r="H15" s="35">
        <f t="shared" si="0"/>
        <v>-0.33333333333333331</v>
      </c>
      <c r="I15" s="20">
        <f>I7*1.5%</f>
        <v>286.49250000000001</v>
      </c>
      <c r="J15" s="56">
        <f>I15/$I$7</f>
        <v>1.5000000000000001E-2</v>
      </c>
      <c r="Q15" t="s">
        <v>40</v>
      </c>
      <c r="R15" s="42">
        <f>R9*1.5%</f>
        <v>286.49250000000001</v>
      </c>
      <c r="S15" s="43">
        <f t="shared" si="5"/>
        <v>1.5000000000000001E-2</v>
      </c>
    </row>
    <row r="16" spans="2:19" x14ac:dyDescent="0.25">
      <c r="B16" s="23" t="s">
        <v>48</v>
      </c>
      <c r="C16" s="24">
        <f>C6-(SUM(C7:C14))</f>
        <v>-34203</v>
      </c>
      <c r="D16" s="46">
        <f t="shared" si="1"/>
        <v>-2.3426712328767123</v>
      </c>
      <c r="E16" s="24">
        <f>E6-(SUM(E7:E14))</f>
        <v>-38457</v>
      </c>
      <c r="F16" s="39">
        <f t="shared" si="4"/>
        <v>-2.3960747663551403</v>
      </c>
      <c r="G16" s="24">
        <f t="shared" ref="G16" si="6">E16-C16</f>
        <v>-4254</v>
      </c>
      <c r="H16" s="36">
        <f t="shared" si="0"/>
        <v>0.12437505481975265</v>
      </c>
      <c r="I16" s="24"/>
      <c r="J16" s="24"/>
      <c r="Q16" t="s">
        <v>41</v>
      </c>
      <c r="R16" s="42">
        <f>((12528000+4000000)*3%)/1000</f>
        <v>495.84</v>
      </c>
      <c r="S16" s="43">
        <f t="shared" si="5"/>
        <v>2.5960889028508599E-2</v>
      </c>
    </row>
    <row r="17" spans="2:19" ht="15.75" thickBot="1" x14ac:dyDescent="0.3">
      <c r="B17" s="17" t="s">
        <v>27</v>
      </c>
      <c r="C17" s="20">
        <v>200</v>
      </c>
      <c r="D17" s="34">
        <f t="shared" si="1"/>
        <v>1.3698630136986301E-2</v>
      </c>
      <c r="E17" s="20">
        <v>250</v>
      </c>
      <c r="F17" s="34">
        <f>E17/$E$19</f>
        <v>4.716981132075472</v>
      </c>
      <c r="G17" s="20">
        <f>E17-C17</f>
        <v>50</v>
      </c>
      <c r="H17" s="34">
        <f t="shared" si="0"/>
        <v>0.25</v>
      </c>
      <c r="I17" s="20">
        <v>568</v>
      </c>
      <c r="J17" s="20"/>
      <c r="R17" s="42"/>
      <c r="S17" s="43"/>
    </row>
    <row r="18" spans="2:19" x14ac:dyDescent="0.25">
      <c r="B18" s="23" t="s">
        <v>31</v>
      </c>
      <c r="C18" s="24">
        <f>C7-(SUM(C8:C15))</f>
        <v>-7325</v>
      </c>
      <c r="D18" s="34">
        <f t="shared" si="1"/>
        <v>-0.50171232876712324</v>
      </c>
      <c r="E18" s="24">
        <f>E7-(SUM(E8:E15))</f>
        <v>-8580</v>
      </c>
      <c r="F18" s="39">
        <f>E18/E7</f>
        <v>-0.53457943925233642</v>
      </c>
      <c r="G18" s="24">
        <f t="shared" si="3"/>
        <v>-1255</v>
      </c>
      <c r="H18" s="36">
        <f t="shared" si="0"/>
        <v>0.17133105802047782</v>
      </c>
      <c r="I18" s="24"/>
      <c r="J18" s="24"/>
      <c r="Q18" t="s">
        <v>42</v>
      </c>
      <c r="R18" s="42">
        <f>((1200000*10%)/1000)</f>
        <v>120</v>
      </c>
      <c r="S18" s="43">
        <f t="shared" si="5"/>
        <v>6.2828869865703295E-3</v>
      </c>
    </row>
    <row r="19" spans="2:19" x14ac:dyDescent="0.25">
      <c r="B19" s="25" t="s">
        <v>32</v>
      </c>
      <c r="C19" s="26">
        <v>44</v>
      </c>
      <c r="D19" s="34">
        <f t="shared" si="1"/>
        <v>3.0136986301369864E-3</v>
      </c>
      <c r="E19" s="26">
        <v>53</v>
      </c>
      <c r="F19" s="40">
        <f>E19/E18</f>
        <v>-6.1771561771561774E-3</v>
      </c>
      <c r="G19" s="26">
        <f t="shared" si="3"/>
        <v>9</v>
      </c>
      <c r="H19" s="37">
        <f t="shared" si="0"/>
        <v>0.20454545454545456</v>
      </c>
      <c r="I19" s="26"/>
      <c r="J19" s="26"/>
      <c r="Q19" t="s">
        <v>43</v>
      </c>
      <c r="R19" s="42">
        <f>((600000*15%)/1000)</f>
        <v>90</v>
      </c>
      <c r="S19" s="43">
        <f t="shared" si="5"/>
        <v>4.7121652399277469E-3</v>
      </c>
    </row>
    <row r="20" spans="2:19" ht="15.75" thickBot="1" x14ac:dyDescent="0.3">
      <c r="B20" s="27" t="s">
        <v>35</v>
      </c>
      <c r="C20" s="28">
        <f>C18-C19</f>
        <v>-7369</v>
      </c>
      <c r="D20" s="34">
        <f t="shared" si="1"/>
        <v>-0.50472602739726025</v>
      </c>
      <c r="E20" s="28">
        <f>E18-E19</f>
        <v>-8633</v>
      </c>
      <c r="F20" s="41">
        <f>E20/E7</f>
        <v>-0.53788161993769468</v>
      </c>
      <c r="G20" s="29">
        <f t="shared" si="3"/>
        <v>-1264</v>
      </c>
      <c r="H20" s="38">
        <f t="shared" si="0"/>
        <v>0.17152937983444158</v>
      </c>
      <c r="I20" s="29"/>
      <c r="J20" s="29"/>
      <c r="Q20" t="s">
        <v>28</v>
      </c>
      <c r="R20" s="42">
        <f>R16+R18+R19</f>
        <v>705.83999999999992</v>
      </c>
      <c r="S20" s="43">
        <f t="shared" si="5"/>
        <v>3.6955941255006675E-2</v>
      </c>
    </row>
    <row r="21" spans="2:19" x14ac:dyDescent="0.25">
      <c r="Q21" t="s">
        <v>44</v>
      </c>
      <c r="R21">
        <f>((5600+(5600*2.5%))+4600+875+65)*5%</f>
        <v>564</v>
      </c>
      <c r="S21" s="43">
        <f t="shared" si="5"/>
        <v>2.9529568836880547E-2</v>
      </c>
    </row>
    <row r="22" spans="2:19" x14ac:dyDescent="0.25">
      <c r="Q22" t="s">
        <v>45</v>
      </c>
      <c r="R22" s="44">
        <f>R9-(R10+R11+R12+R13+R14+R15+R20+R21)</f>
        <v>1165.5724999999984</v>
      </c>
      <c r="S22" s="43">
        <f t="shared" si="5"/>
        <v>6.102633576795196E-2</v>
      </c>
    </row>
    <row r="23" spans="2:19" x14ac:dyDescent="0.25">
      <c r="L23">
        <f>19100/568</f>
        <v>33.62676056338028</v>
      </c>
    </row>
  </sheetData>
  <mergeCells count="1">
    <mergeCell ref="B5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</vt:i4>
      </vt:variant>
    </vt:vector>
  </HeadingPairs>
  <TitlesOfParts>
    <vt:vector size="2" baseType="lpstr">
      <vt:lpstr>Full1</vt:lpstr>
      <vt:lpstr>Cuenta Explotacion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PORTATIL28</dc:creator>
  <cp:lastModifiedBy>Oriol puig i Carreró</cp:lastModifiedBy>
  <dcterms:created xsi:type="dcterms:W3CDTF">2024-01-16T16:15:29Z</dcterms:created>
  <dcterms:modified xsi:type="dcterms:W3CDTF">2024-01-31T16:39:17Z</dcterms:modified>
</cp:coreProperties>
</file>