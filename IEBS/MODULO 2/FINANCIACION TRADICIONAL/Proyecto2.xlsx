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2/FINANCIACION TRADICIONAL/"/>
    </mc:Choice>
  </mc:AlternateContent>
  <xr:revisionPtr revIDLastSave="345" documentId="8_{13027FB9-56F8-4B13-9CCB-6C8EE55B897D}" xr6:coauthVersionLast="47" xr6:coauthVersionMax="47" xr10:uidLastSave="{368BF17B-3B80-49E6-A43F-BB563B53207C}"/>
  <bookViews>
    <workbookView xWindow="22932" yWindow="-60" windowWidth="23256" windowHeight="12456" activeTab="5" xr2:uid="{B79414FB-BC93-4FA7-8A0E-EC94092B0954}"/>
  </bookViews>
  <sheets>
    <sheet name="Full1" sheetId="1" r:id="rId1"/>
    <sheet name="Full2" sheetId="6" r:id="rId2"/>
    <sheet name="Cuenta Explotacion" sheetId="2" r:id="rId3"/>
    <sheet name="como financiar" sheetId="3" r:id="rId4"/>
    <sheet name="Full3" sheetId="4" r:id="rId5"/>
    <sheet name="Amorizacione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6" l="1"/>
  <c r="H20" i="2"/>
  <c r="K19" i="2"/>
  <c r="N6" i="6"/>
  <c r="D17" i="6"/>
  <c r="M6" i="6"/>
  <c r="H13" i="6"/>
  <c r="E13" i="6"/>
  <c r="F13" i="6" s="1"/>
  <c r="D13" i="6"/>
  <c r="C13" i="6"/>
  <c r="K12" i="6"/>
  <c r="L12" i="6" s="1"/>
  <c r="K11" i="6"/>
  <c r="L11" i="6" s="1"/>
  <c r="K10" i="6"/>
  <c r="L10" i="6" s="1"/>
  <c r="K9" i="6"/>
  <c r="L9" i="6" s="1"/>
  <c r="E9" i="6"/>
  <c r="F9" i="6" s="1"/>
  <c r="K8" i="6"/>
  <c r="L8" i="6" s="1"/>
  <c r="E8" i="6"/>
  <c r="F8" i="6" s="1"/>
  <c r="K7" i="6"/>
  <c r="L7" i="6" s="1"/>
  <c r="E7" i="6"/>
  <c r="F7" i="6" s="1"/>
  <c r="I6" i="6"/>
  <c r="I13" i="6" s="1"/>
  <c r="K13" i="6" s="1"/>
  <c r="L13" i="6" s="1"/>
  <c r="E6" i="6"/>
  <c r="F6" i="6" s="1"/>
  <c r="L6" i="1"/>
  <c r="L5" i="1"/>
  <c r="K6" i="6" l="1"/>
  <c r="L6" i="6" s="1"/>
  <c r="M18" i="5"/>
  <c r="I8" i="5"/>
  <c r="I9" i="5"/>
  <c r="I7" i="5"/>
  <c r="H10" i="5"/>
  <c r="F19" i="2"/>
  <c r="F17" i="2"/>
  <c r="G9" i="2"/>
  <c r="G10" i="2"/>
  <c r="G11" i="2"/>
  <c r="G12" i="2"/>
  <c r="G13" i="2"/>
  <c r="G14" i="2"/>
  <c r="G15" i="2"/>
  <c r="G16" i="2"/>
  <c r="G17" i="2"/>
  <c r="G18" i="2"/>
  <c r="G19" i="2"/>
  <c r="G20" i="2"/>
  <c r="G8" i="2"/>
  <c r="G7" i="2"/>
  <c r="F7" i="2"/>
  <c r="D7" i="2"/>
  <c r="J10" i="2"/>
  <c r="J11" i="2"/>
  <c r="J12" i="2"/>
  <c r="J13" i="2"/>
  <c r="J17" i="2"/>
  <c r="J19" i="2"/>
  <c r="F11" i="2"/>
  <c r="F12" i="2"/>
  <c r="F13" i="2"/>
  <c r="F14" i="2"/>
  <c r="F15" i="2"/>
  <c r="F10" i="2"/>
  <c r="F8" i="2"/>
  <c r="E9" i="2"/>
  <c r="E16" i="2" s="1"/>
  <c r="D10" i="2"/>
  <c r="D11" i="2"/>
  <c r="D12" i="2"/>
  <c r="D13" i="2"/>
  <c r="D14" i="2"/>
  <c r="D15" i="2"/>
  <c r="D17" i="2"/>
  <c r="D19" i="2"/>
  <c r="D8" i="2"/>
  <c r="C9" i="2"/>
  <c r="D9" i="2" s="1"/>
  <c r="J23" i="2"/>
  <c r="P16" i="2"/>
  <c r="P18" i="2"/>
  <c r="P21" i="2"/>
  <c r="H12" i="2"/>
  <c r="H11" i="2"/>
  <c r="H10" i="2"/>
  <c r="H8" i="2"/>
  <c r="J8" i="2" s="1"/>
  <c r="H7" i="2"/>
  <c r="H15" i="2" s="1"/>
  <c r="I15" i="2" s="1"/>
  <c r="P19" i="2"/>
  <c r="P13" i="2"/>
  <c r="P12" i="2"/>
  <c r="P11" i="2"/>
  <c r="P10" i="2"/>
  <c r="P9" i="2"/>
  <c r="P15" i="2" s="1"/>
  <c r="Q15" i="2" s="1"/>
  <c r="X18" i="1"/>
  <c r="X19" i="1"/>
  <c r="X20" i="1"/>
  <c r="X21" i="1"/>
  <c r="X22" i="1"/>
  <c r="X23" i="1"/>
  <c r="X24" i="1"/>
  <c r="X25" i="1"/>
  <c r="X26" i="1"/>
  <c r="X27" i="1"/>
  <c r="X28" i="1"/>
  <c r="X17" i="1"/>
  <c r="W27" i="1"/>
  <c r="W25" i="1"/>
  <c r="W24" i="1"/>
  <c r="W23" i="1"/>
  <c r="W26" i="1" s="1"/>
  <c r="W21" i="1"/>
  <c r="W20" i="1"/>
  <c r="W19" i="1"/>
  <c r="W18" i="1"/>
  <c r="W17" i="1"/>
  <c r="W16" i="1"/>
  <c r="R20" i="1"/>
  <c r="R18" i="1"/>
  <c r="N5" i="1"/>
  <c r="I5" i="1"/>
  <c r="N16" i="1"/>
  <c r="N13" i="1"/>
  <c r="N10" i="1"/>
  <c r="N11" i="1"/>
  <c r="O7" i="1"/>
  <c r="O6" i="1"/>
  <c r="P7" i="1" s="1"/>
  <c r="O5" i="1"/>
  <c r="N6" i="1"/>
  <c r="F27" i="1"/>
  <c r="G26" i="1"/>
  <c r="H26" i="1"/>
  <c r="H19" i="1"/>
  <c r="H22" i="1"/>
  <c r="H23" i="1"/>
  <c r="G18" i="1"/>
  <c r="H18" i="1" s="1"/>
  <c r="G19" i="1"/>
  <c r="G20" i="1"/>
  <c r="H20" i="1" s="1"/>
  <c r="G21" i="1"/>
  <c r="H21" i="1" s="1"/>
  <c r="G22" i="1"/>
  <c r="G23" i="1"/>
  <c r="G24" i="1"/>
  <c r="H24" i="1" s="1"/>
  <c r="G25" i="1"/>
  <c r="H25" i="1" s="1"/>
  <c r="G27" i="1"/>
  <c r="H27" i="1" s="1"/>
  <c r="G17" i="1"/>
  <c r="H17" i="1" s="1"/>
  <c r="E28" i="1"/>
  <c r="F28" i="1" s="1"/>
  <c r="E26" i="1"/>
  <c r="F26" i="1" s="1"/>
  <c r="F19" i="1"/>
  <c r="F20" i="1"/>
  <c r="F21" i="1"/>
  <c r="F22" i="1"/>
  <c r="F23" i="1"/>
  <c r="F24" i="1"/>
  <c r="F25" i="1"/>
  <c r="F18" i="1"/>
  <c r="C26" i="1"/>
  <c r="D27" i="1" s="1"/>
  <c r="D19" i="1"/>
  <c r="D20" i="1"/>
  <c r="D21" i="1"/>
  <c r="D22" i="1"/>
  <c r="D23" i="1"/>
  <c r="D24" i="1"/>
  <c r="D25" i="1"/>
  <c r="D18" i="1"/>
  <c r="K9" i="1"/>
  <c r="K10" i="1"/>
  <c r="K11" i="1"/>
  <c r="J9" i="1"/>
  <c r="J10" i="1"/>
  <c r="J11" i="1"/>
  <c r="J8" i="1"/>
  <c r="K8" i="1" s="1"/>
  <c r="J7" i="1"/>
  <c r="K7" i="1" s="1"/>
  <c r="J6" i="1"/>
  <c r="K6" i="1" s="1"/>
  <c r="F6" i="1"/>
  <c r="E6" i="1"/>
  <c r="E7" i="1"/>
  <c r="F7" i="1" s="1"/>
  <c r="E8" i="1"/>
  <c r="F8" i="1" s="1"/>
  <c r="E5" i="1"/>
  <c r="F5" i="1" s="1"/>
  <c r="H12" i="1"/>
  <c r="D12" i="1"/>
  <c r="E12" i="1" s="1"/>
  <c r="F12" i="1" s="1"/>
  <c r="C12" i="1"/>
  <c r="J5" i="1"/>
  <c r="K5" i="1" s="1"/>
  <c r="I12" i="1"/>
  <c r="J12" i="1" s="1"/>
  <c r="K12" i="1" s="1"/>
  <c r="O10" i="1"/>
  <c r="O11" i="1" s="1"/>
  <c r="O13" i="1"/>
  <c r="I10" i="5" l="1"/>
  <c r="J15" i="2"/>
  <c r="I7" i="2"/>
  <c r="I8" i="2"/>
  <c r="J7" i="2"/>
  <c r="E18" i="2"/>
  <c r="E20" i="2" s="1"/>
  <c r="F16" i="2"/>
  <c r="C16" i="2"/>
  <c r="I12" i="2"/>
  <c r="Q10" i="2"/>
  <c r="I13" i="2"/>
  <c r="I10" i="2"/>
  <c r="I11" i="2"/>
  <c r="Q11" i="2"/>
  <c r="I17" i="2"/>
  <c r="F9" i="2"/>
  <c r="H9" i="2"/>
  <c r="J9" i="2" s="1"/>
  <c r="I19" i="2"/>
  <c r="Q12" i="2"/>
  <c r="Q13" i="2"/>
  <c r="Q19" i="2"/>
  <c r="H14" i="2"/>
  <c r="Q16" i="2"/>
  <c r="Q18" i="2"/>
  <c r="Q21" i="2"/>
  <c r="P14" i="2"/>
  <c r="Q14" i="2" s="1"/>
  <c r="P20" i="2"/>
  <c r="Q20" i="2" s="1"/>
  <c r="W22" i="1"/>
  <c r="C28" i="1"/>
  <c r="D28" i="1" s="1"/>
  <c r="D26" i="1"/>
  <c r="N7" i="1"/>
  <c r="I14" i="2" l="1"/>
  <c r="J14" i="2"/>
  <c r="F18" i="2"/>
  <c r="C18" i="2"/>
  <c r="D16" i="2"/>
  <c r="I9" i="2"/>
  <c r="H16" i="2"/>
  <c r="J16" i="2" s="1"/>
  <c r="P22" i="2"/>
  <c r="Q22" i="2" s="1"/>
  <c r="F20" i="2"/>
  <c r="W28" i="1"/>
  <c r="G28" i="1"/>
  <c r="H28" i="1" s="1"/>
  <c r="N9" i="1"/>
  <c r="O9" i="1" s="1"/>
  <c r="N18" i="1"/>
  <c r="H18" i="2" l="1"/>
  <c r="J18" i="2" s="1"/>
  <c r="I16" i="2"/>
  <c r="D18" i="2"/>
  <c r="C20" i="2"/>
  <c r="V31" i="1"/>
  <c r="W31" i="1" s="1"/>
  <c r="O18" i="1"/>
  <c r="P18" i="1"/>
  <c r="Q18" i="1"/>
  <c r="D20" i="2" l="1"/>
  <c r="I18" i="2"/>
  <c r="I20" i="2" l="1"/>
  <c r="J20" i="2"/>
</calcChain>
</file>

<file path=xl/sharedStrings.xml><?xml version="1.0" encoding="utf-8"?>
<sst xmlns="http://schemas.openxmlformats.org/spreadsheetml/2006/main" count="196" uniqueCount="95">
  <si>
    <t>BALANCE DE SITUACION A 31/10 (miles €)</t>
  </si>
  <si>
    <t>ACTIVO</t>
  </si>
  <si>
    <t>Concepto</t>
  </si>
  <si>
    <t>PASIVO</t>
  </si>
  <si>
    <t xml:space="preserve">Concepto </t>
  </si>
  <si>
    <t>Inmov. Mat. Neto</t>
  </si>
  <si>
    <t>Capital Social</t>
  </si>
  <si>
    <t>Existencias</t>
  </si>
  <si>
    <t>Reservas</t>
  </si>
  <si>
    <t>Clientes deudores</t>
  </si>
  <si>
    <t>Beneficios Ejercicio</t>
  </si>
  <si>
    <t>Tesoreria</t>
  </si>
  <si>
    <t>Préstamos Bancarios LP</t>
  </si>
  <si>
    <t>Préstamos con socios a LP</t>
  </si>
  <si>
    <t>Proveedores</t>
  </si>
  <si>
    <t>Cred. Y Prest. Banc CP</t>
  </si>
  <si>
    <t>Total Activo</t>
  </si>
  <si>
    <t>Total Pasivo</t>
  </si>
  <si>
    <t>%</t>
  </si>
  <si>
    <t>Var. %</t>
  </si>
  <si>
    <t>Var. €</t>
  </si>
  <si>
    <t>CUENTA DE EXPLOTACIÓN</t>
  </si>
  <si>
    <t>Ventas</t>
  </si>
  <si>
    <t>Consumo</t>
  </si>
  <si>
    <t>Gastos de personal</t>
  </si>
  <si>
    <t>Gastos generales</t>
  </si>
  <si>
    <t>Servicios exteriores</t>
  </si>
  <si>
    <t>Gastos financieros</t>
  </si>
  <si>
    <t>Amortizaciones</t>
  </si>
  <si>
    <t>Provisiones por insolvencias</t>
  </si>
  <si>
    <t>Gastos extraordinarios</t>
  </si>
  <si>
    <t>Bneficio Antes Impuestos</t>
  </si>
  <si>
    <t>Impuesto de Sociedades</t>
  </si>
  <si>
    <t>Var €</t>
  </si>
  <si>
    <t>Var%</t>
  </si>
  <si>
    <t>Resultado del ejercicio</t>
  </si>
  <si>
    <t>PREVISION CUENTA EXPLOTACION 2024</t>
  </si>
  <si>
    <t>Gastos personal</t>
  </si>
  <si>
    <t>Servicio exteriores</t>
  </si>
  <si>
    <t>Insolvencias</t>
  </si>
  <si>
    <t>Gastos extordinarios</t>
  </si>
  <si>
    <t>Amortizaciones inmovilizado</t>
  </si>
  <si>
    <t>Amortizaciones FC</t>
  </si>
  <si>
    <t>Amorizaciones mobiliario</t>
  </si>
  <si>
    <t>GAStoso financieros</t>
  </si>
  <si>
    <t>BAI</t>
  </si>
  <si>
    <t>aumento de BAI resopeto 2023</t>
  </si>
  <si>
    <t>Previsión
2024</t>
  </si>
  <si>
    <t xml:space="preserve">BAII </t>
  </si>
  <si>
    <t>Margen Bruto Explotacion</t>
  </si>
  <si>
    <t>Leasing inmobiliario edificio</t>
  </si>
  <si>
    <t>Préstamo sobre Muebles</t>
  </si>
  <si>
    <t>Préstamo hipotecario fondo de comerico</t>
  </si>
  <si>
    <t>% Fin. Recursos 
Propios</t>
  </si>
  <si>
    <t>% fi. Ajena</t>
  </si>
  <si>
    <t>Importe a fiananciar</t>
  </si>
  <si>
    <t>Plazo</t>
  </si>
  <si>
    <t>Total a fiananciar</t>
  </si>
  <si>
    <t>Letras del Tesoro</t>
  </si>
  <si>
    <t>Bonos y Obligaciones</t>
  </si>
  <si>
    <t>Rentabilidades última subastas Tesoro público esapñol</t>
  </si>
  <si>
    <t>3 meses</t>
  </si>
  <si>
    <t>6 meses</t>
  </si>
  <si>
    <t>9 meses</t>
  </si>
  <si>
    <t>12 meses</t>
  </si>
  <si>
    <t>3 años</t>
  </si>
  <si>
    <t>5 años</t>
  </si>
  <si>
    <t>10 años</t>
  </si>
  <si>
    <t>15 años</t>
  </si>
  <si>
    <t>30 años</t>
  </si>
  <si>
    <t>50 años</t>
  </si>
  <si>
    <t>Fuente: Tesoro Público 01/2024</t>
  </si>
  <si>
    <t xml:space="preserve">euribor anual </t>
  </si>
  <si>
    <t>Total cuotas anuales</t>
  </si>
  <si>
    <t>Cuota Mensual</t>
  </si>
  <si>
    <t>Precio</t>
  </si>
  <si>
    <t>PAGOS ANUALES</t>
  </si>
  <si>
    <t>Año</t>
  </si>
  <si>
    <t>Total Cuotas</t>
  </si>
  <si>
    <t>Intereses</t>
  </si>
  <si>
    <t>Capital</t>
  </si>
  <si>
    <t>Capital Pte</t>
  </si>
  <si>
    <t>Capital Pagado</t>
  </si>
  <si>
    <t>PAGOS ANUALES Leasing inmobiliario</t>
  </si>
  <si>
    <t>DATOS PRÉSTAMO</t>
  </si>
  <si>
    <t>Interés</t>
  </si>
  <si>
    <t>Plazos</t>
  </si>
  <si>
    <t>Periodificación</t>
  </si>
  <si>
    <t>Mensual</t>
  </si>
  <si>
    <t>Fecha formalización:</t>
  </si>
  <si>
    <t>Carencia</t>
  </si>
  <si>
    <t>Cuota mensual</t>
  </si>
  <si>
    <t>Fecha Finalización</t>
  </si>
  <si>
    <t>PAGOS ANUALES Prestamo mobiliario</t>
  </si>
  <si>
    <t>Importe
a financiar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</si>
</sst>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\ [$€-403]_-;\-* #,##0\ [$€-403]_-;_-* &quot;-&quot;??\ [$€-403]_-;_-@_-"/>
    <numFmt numFmtId="165" formatCode="0.0%"/>
    <numFmt numFmtId="166" formatCode="_-* #,##0.00\ _€_-;\-* #,##0.00\ _€_-;_-* &quot;-&quot;??\ _€_-;_-@_-"/>
    <numFmt numFmtId="167" formatCode="_-* #,##0.0\ [$€-403]_-;\-* #,##0.0\ [$€-403]_-;_-* &quot;-&quot;??\ [$€-403]_-;_-@_-"/>
    <numFmt numFmtId="168" formatCode="_-* #,##0.00\ [$€-403]_-;\-* #,##0.00\ [$€-403]_-;_-* &quot;-&quot;??\ [$€-403]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800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1">
    <xf numFmtId="0" fontId="0" fillId="0" borderId="0" xfId="0"/>
    <xf numFmtId="9" fontId="0" fillId="0" borderId="0" xfId="2" applyFont="1"/>
    <xf numFmtId="0" fontId="0" fillId="0" borderId="0" xfId="0" applyAlignment="1">
      <alignment vertical="center"/>
    </xf>
    <xf numFmtId="164" fontId="0" fillId="0" borderId="0" xfId="0" applyNumberFormat="1"/>
    <xf numFmtId="0" fontId="4" fillId="0" borderId="9" xfId="0" applyFont="1" applyBorder="1" applyAlignment="1">
      <alignment horizontal="left" vertical="center"/>
    </xf>
    <xf numFmtId="164" fontId="4" fillId="0" borderId="9" xfId="1" applyNumberFormat="1" applyFont="1" applyBorder="1" applyAlignment="1">
      <alignment vertical="center"/>
    </xf>
    <xf numFmtId="164" fontId="4" fillId="0" borderId="9" xfId="1" applyNumberFormat="1" applyFont="1" applyBorder="1" applyAlignment="1">
      <alignment horizontal="center" vertical="center"/>
    </xf>
    <xf numFmtId="10" fontId="4" fillId="3" borderId="9" xfId="2" applyNumberFormat="1" applyFont="1" applyFill="1" applyBorder="1" applyAlignment="1">
      <alignment horizontal="center" vertical="center"/>
    </xf>
    <xf numFmtId="164" fontId="4" fillId="3" borderId="9" xfId="1" applyNumberFormat="1" applyFont="1" applyFill="1" applyBorder="1" applyAlignment="1">
      <alignment vertical="center"/>
    </xf>
    <xf numFmtId="0" fontId="3" fillId="5" borderId="9" xfId="0" applyFont="1" applyFill="1" applyBorder="1" applyAlignment="1">
      <alignment horizontal="right" vertical="center" indent="1"/>
    </xf>
    <xf numFmtId="164" fontId="3" fillId="5" borderId="9" xfId="1" applyNumberFormat="1" applyFont="1" applyFill="1" applyBorder="1" applyAlignment="1">
      <alignment vertical="center"/>
    </xf>
    <xf numFmtId="0" fontId="4" fillId="0" borderId="0" xfId="0" applyFont="1"/>
    <xf numFmtId="164" fontId="4" fillId="0" borderId="0" xfId="1" applyNumberFormat="1" applyFont="1"/>
    <xf numFmtId="0" fontId="3" fillId="5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right" vertical="center"/>
    </xf>
    <xf numFmtId="0" fontId="3" fillId="3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 indent="1"/>
    </xf>
    <xf numFmtId="164" fontId="3" fillId="0" borderId="9" xfId="0" applyNumberFormat="1" applyFont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0" fontId="4" fillId="0" borderId="10" xfId="0" applyFont="1" applyBorder="1" applyAlignment="1">
      <alignment horizontal="left" vertical="center" indent="1"/>
    </xf>
    <xf numFmtId="164" fontId="4" fillId="0" borderId="10" xfId="0" applyNumberFormat="1" applyFont="1" applyBorder="1" applyAlignment="1">
      <alignment vertical="center"/>
    </xf>
    <xf numFmtId="0" fontId="3" fillId="6" borderId="1" xfId="0" applyFont="1" applyFill="1" applyBorder="1" applyAlignment="1">
      <alignment horizontal="left" vertical="center" indent="1"/>
    </xf>
    <xf numFmtId="164" fontId="3" fillId="6" borderId="2" xfId="0" applyNumberFormat="1" applyFont="1" applyFill="1" applyBorder="1" applyAlignment="1">
      <alignment vertical="center"/>
    </xf>
    <xf numFmtId="0" fontId="4" fillId="0" borderId="4" xfId="0" applyFont="1" applyBorder="1" applyAlignment="1">
      <alignment horizontal="left" vertical="center" indent="1"/>
    </xf>
    <xf numFmtId="164" fontId="4" fillId="0" borderId="0" xfId="0" applyNumberFormat="1" applyFont="1" applyAlignment="1">
      <alignment vertical="center"/>
    </xf>
    <xf numFmtId="0" fontId="5" fillId="2" borderId="6" xfId="0" applyFont="1" applyFill="1" applyBorder="1" applyAlignment="1">
      <alignment horizontal="left" vertical="center" indent="1"/>
    </xf>
    <xf numFmtId="164" fontId="5" fillId="2" borderId="7" xfId="0" applyNumberFormat="1" applyFont="1" applyFill="1" applyBorder="1" applyAlignment="1">
      <alignment vertical="center"/>
    </xf>
    <xf numFmtId="164" fontId="5" fillId="2" borderId="7" xfId="0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9" fontId="0" fillId="0" borderId="0" xfId="2" applyFont="1" applyAlignment="1">
      <alignment vertical="center"/>
    </xf>
    <xf numFmtId="165" fontId="4" fillId="3" borderId="9" xfId="2" applyNumberFormat="1" applyFont="1" applyFill="1" applyBorder="1" applyAlignment="1">
      <alignment horizontal="center" vertical="center"/>
    </xf>
    <xf numFmtId="165" fontId="4" fillId="3" borderId="10" xfId="2" applyNumberFormat="1" applyFont="1" applyFill="1" applyBorder="1" applyAlignment="1">
      <alignment horizontal="center" vertical="center"/>
    </xf>
    <xf numFmtId="165" fontId="3" fillId="6" borderId="3" xfId="2" applyNumberFormat="1" applyFont="1" applyFill="1" applyBorder="1" applyAlignment="1">
      <alignment horizontal="center" vertical="center"/>
    </xf>
    <xf numFmtId="165" fontId="4" fillId="0" borderId="5" xfId="2" applyNumberFormat="1" applyFont="1" applyBorder="1" applyAlignment="1">
      <alignment horizontal="center" vertical="center"/>
    </xf>
    <xf numFmtId="165" fontId="5" fillId="2" borderId="8" xfId="2" applyNumberFormat="1" applyFont="1" applyFill="1" applyBorder="1" applyAlignment="1">
      <alignment horizontal="center" vertical="center"/>
    </xf>
    <xf numFmtId="165" fontId="3" fillId="6" borderId="2" xfId="2" applyNumberFormat="1" applyFont="1" applyFill="1" applyBorder="1" applyAlignment="1">
      <alignment horizontal="center" vertical="center"/>
    </xf>
    <xf numFmtId="165" fontId="4" fillId="0" borderId="0" xfId="2" applyNumberFormat="1" applyFont="1" applyBorder="1" applyAlignment="1">
      <alignment horizontal="center" vertical="center"/>
    </xf>
    <xf numFmtId="165" fontId="5" fillId="2" borderId="7" xfId="2" applyNumberFormat="1" applyFont="1" applyFill="1" applyBorder="1" applyAlignment="1">
      <alignment horizontal="center" vertical="center"/>
    </xf>
    <xf numFmtId="43" fontId="0" fillId="0" borderId="0" xfId="3" applyFont="1"/>
    <xf numFmtId="10" fontId="0" fillId="0" borderId="0" xfId="2" applyNumberFormat="1" applyFont="1"/>
    <xf numFmtId="166" fontId="0" fillId="0" borderId="0" xfId="0" applyNumberFormat="1"/>
    <xf numFmtId="0" fontId="3" fillId="5" borderId="10" xfId="0" applyFont="1" applyFill="1" applyBorder="1" applyAlignment="1">
      <alignment horizontal="center" vertical="center" wrapText="1"/>
    </xf>
    <xf numFmtId="165" fontId="4" fillId="6" borderId="9" xfId="2" applyNumberFormat="1" applyFont="1" applyFill="1" applyBorder="1" applyAlignment="1">
      <alignment horizontal="center" vertical="center"/>
    </xf>
    <xf numFmtId="9" fontId="4" fillId="3" borderId="9" xfId="2" applyFont="1" applyFill="1" applyBorder="1" applyAlignment="1">
      <alignment horizontal="center" vertical="center"/>
    </xf>
    <xf numFmtId="165" fontId="4" fillId="3" borderId="9" xfId="2" applyNumberFormat="1" applyFont="1" applyFill="1" applyBorder="1" applyAlignment="1">
      <alignment vertical="center"/>
    </xf>
    <xf numFmtId="165" fontId="4" fillId="3" borderId="10" xfId="2" applyNumberFormat="1" applyFont="1" applyFill="1" applyBorder="1" applyAlignment="1">
      <alignment vertical="center"/>
    </xf>
    <xf numFmtId="165" fontId="4" fillId="3" borderId="0" xfId="2" applyNumberFormat="1" applyFont="1" applyFill="1" applyAlignment="1">
      <alignment vertical="center"/>
    </xf>
    <xf numFmtId="165" fontId="4" fillId="3" borderId="13" xfId="2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1"/>
    </xf>
    <xf numFmtId="164" fontId="4" fillId="0" borderId="13" xfId="0" applyNumberFormat="1" applyFont="1" applyBorder="1" applyAlignment="1">
      <alignment vertical="center"/>
    </xf>
    <xf numFmtId="165" fontId="4" fillId="3" borderId="14" xfId="2" applyNumberFormat="1" applyFont="1" applyFill="1" applyBorder="1" applyAlignment="1">
      <alignment vertical="center"/>
    </xf>
    <xf numFmtId="165" fontId="4" fillId="3" borderId="13" xfId="2" applyNumberFormat="1" applyFont="1" applyFill="1" applyBorder="1" applyAlignment="1">
      <alignment vertical="center"/>
    </xf>
    <xf numFmtId="0" fontId="3" fillId="6" borderId="9" xfId="0" applyFont="1" applyFill="1" applyBorder="1" applyAlignment="1">
      <alignment horizontal="left" vertical="center" indent="1"/>
    </xf>
    <xf numFmtId="164" fontId="3" fillId="6" borderId="9" xfId="0" applyNumberFormat="1" applyFont="1" applyFill="1" applyBorder="1" applyAlignment="1">
      <alignment vertical="center"/>
    </xf>
    <xf numFmtId="10" fontId="3" fillId="6" borderId="9" xfId="2" applyNumberFormat="1" applyFont="1" applyFill="1" applyBorder="1" applyAlignment="1">
      <alignment vertical="center"/>
    </xf>
    <xf numFmtId="165" fontId="3" fillId="6" borderId="9" xfId="2" applyNumberFormat="1" applyFont="1" applyFill="1" applyBorder="1" applyAlignment="1">
      <alignment horizontal="center" vertical="center"/>
    </xf>
    <xf numFmtId="167" fontId="3" fillId="6" borderId="9" xfId="0" applyNumberFormat="1" applyFont="1" applyFill="1" applyBorder="1" applyAlignment="1">
      <alignment vertical="center"/>
    </xf>
    <xf numFmtId="0" fontId="4" fillId="0" borderId="14" xfId="0" applyFont="1" applyBorder="1" applyAlignment="1">
      <alignment horizontal="left" vertical="center" indent="1"/>
    </xf>
    <xf numFmtId="164" fontId="4" fillId="0" borderId="14" xfId="0" applyNumberFormat="1" applyFont="1" applyBorder="1" applyAlignment="1">
      <alignment vertical="center"/>
    </xf>
    <xf numFmtId="165" fontId="4" fillId="3" borderId="14" xfId="2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left" vertical="center" indent="1"/>
    </xf>
    <xf numFmtId="164" fontId="5" fillId="2" borderId="9" xfId="0" applyNumberFormat="1" applyFont="1" applyFill="1" applyBorder="1" applyAlignment="1">
      <alignment vertical="center"/>
    </xf>
    <xf numFmtId="165" fontId="5" fillId="2" borderId="9" xfId="2" applyNumberFormat="1" applyFont="1" applyFill="1" applyBorder="1" applyAlignment="1">
      <alignment vertical="center"/>
    </xf>
    <xf numFmtId="165" fontId="5" fillId="2" borderId="9" xfId="2" applyNumberFormat="1" applyFont="1" applyFill="1" applyBorder="1" applyAlignment="1">
      <alignment horizontal="center" vertical="center"/>
    </xf>
    <xf numFmtId="167" fontId="5" fillId="2" borderId="9" xfId="0" applyNumberFormat="1" applyFont="1" applyFill="1" applyBorder="1" applyAlignment="1">
      <alignment vertical="center"/>
    </xf>
    <xf numFmtId="0" fontId="0" fillId="7" borderId="0" xfId="0" applyFill="1"/>
    <xf numFmtId="0" fontId="0" fillId="7" borderId="0" xfId="0" applyFill="1" applyAlignment="1">
      <alignment horizontal="center" vertical="center" wrapText="1"/>
    </xf>
    <xf numFmtId="168" fontId="0" fillId="7" borderId="0" xfId="1" applyNumberFormat="1" applyFont="1" applyFill="1" applyAlignment="1">
      <alignment horizontal="center" vertical="center" wrapText="1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164" fontId="7" fillId="2" borderId="0" xfId="1" applyNumberFormat="1" applyFont="1" applyFill="1"/>
    <xf numFmtId="0" fontId="0" fillId="0" borderId="9" xfId="0" applyBorder="1" applyAlignment="1">
      <alignment horizontal="center"/>
    </xf>
    <xf numFmtId="164" fontId="0" fillId="0" borderId="9" xfId="1" applyNumberFormat="1" applyFont="1" applyBorder="1"/>
    <xf numFmtId="0" fontId="0" fillId="0" borderId="9" xfId="0" applyBorder="1"/>
    <xf numFmtId="0" fontId="8" fillId="0" borderId="9" xfId="0" applyFont="1" applyBorder="1" applyAlignment="1">
      <alignment horizontal="left" indent="1"/>
    </xf>
    <xf numFmtId="0" fontId="0" fillId="0" borderId="9" xfId="0" applyBorder="1" applyAlignment="1">
      <alignment horizontal="left" indent="1"/>
    </xf>
    <xf numFmtId="164" fontId="0" fillId="0" borderId="9" xfId="1" applyNumberFormat="1" applyFont="1" applyBorder="1" applyAlignment="1"/>
    <xf numFmtId="0" fontId="0" fillId="7" borderId="9" xfId="0" applyFill="1" applyBorder="1" applyAlignment="1">
      <alignment horizontal="center" vertical="center" wrapText="1"/>
    </xf>
    <xf numFmtId="168" fontId="0" fillId="7" borderId="9" xfId="1" applyNumberFormat="1" applyFont="1" applyFill="1" applyBorder="1" applyAlignment="1">
      <alignment horizontal="center" vertical="center" wrapText="1"/>
    </xf>
    <xf numFmtId="10" fontId="0" fillId="8" borderId="9" xfId="0" applyNumberFormat="1" applyFill="1" applyBorder="1"/>
    <xf numFmtId="168" fontId="0" fillId="0" borderId="0" xfId="0" applyNumberFormat="1"/>
    <xf numFmtId="164" fontId="0" fillId="0" borderId="9" xfId="0" applyNumberFormat="1" applyBorder="1"/>
    <xf numFmtId="0" fontId="12" fillId="10" borderId="17" xfId="0" applyFont="1" applyFill="1" applyBorder="1" applyAlignment="1">
      <alignment horizontal="center" vertical="center" wrapText="1"/>
    </xf>
    <xf numFmtId="0" fontId="12" fillId="10" borderId="18" xfId="0" applyFont="1" applyFill="1" applyBorder="1" applyAlignment="1">
      <alignment horizontal="center" vertical="center" wrapText="1"/>
    </xf>
    <xf numFmtId="0" fontId="13" fillId="11" borderId="0" xfId="0" applyFont="1" applyFill="1" applyAlignment="1">
      <alignment horizontal="center" wrapText="1"/>
    </xf>
    <xf numFmtId="4" fontId="13" fillId="11" borderId="0" xfId="0" applyNumberFormat="1" applyFont="1" applyFill="1" applyAlignment="1">
      <alignment horizontal="right" wrapText="1"/>
    </xf>
    <xf numFmtId="0" fontId="13" fillId="12" borderId="0" xfId="0" applyFont="1" applyFill="1" applyAlignment="1">
      <alignment horizontal="center" wrapText="1"/>
    </xf>
    <xf numFmtId="4" fontId="13" fillId="12" borderId="0" xfId="0" applyNumberFormat="1" applyFont="1" applyFill="1" applyAlignment="1">
      <alignment horizontal="right" wrapText="1"/>
    </xf>
    <xf numFmtId="0" fontId="13" fillId="11" borderId="0" xfId="0" applyFont="1" applyFill="1" applyAlignment="1">
      <alignment horizontal="right" wrapText="1"/>
    </xf>
    <xf numFmtId="0" fontId="13" fillId="13" borderId="0" xfId="0" applyFont="1" applyFill="1" applyAlignment="1">
      <alignment wrapText="1"/>
    </xf>
    <xf numFmtId="4" fontId="13" fillId="14" borderId="0" xfId="0" applyNumberFormat="1" applyFont="1" applyFill="1" applyAlignment="1">
      <alignment horizontal="right" wrapText="1"/>
    </xf>
    <xf numFmtId="10" fontId="13" fillId="14" borderId="0" xfId="0" applyNumberFormat="1" applyFont="1" applyFill="1" applyAlignment="1">
      <alignment horizontal="right" wrapText="1"/>
    </xf>
    <xf numFmtId="0" fontId="13" fillId="14" borderId="0" xfId="0" applyFont="1" applyFill="1" applyAlignment="1">
      <alignment horizontal="right" wrapText="1"/>
    </xf>
    <xf numFmtId="0" fontId="13" fillId="14" borderId="0" xfId="0" applyFont="1" applyFill="1" applyAlignment="1">
      <alignment horizontal="center" wrapText="1"/>
    </xf>
    <xf numFmtId="14" fontId="13" fillId="14" borderId="0" xfId="0" applyNumberFormat="1" applyFont="1" applyFill="1" applyAlignment="1">
      <alignment horizontal="right" wrapText="1"/>
    </xf>
    <xf numFmtId="0" fontId="14" fillId="0" borderId="0" xfId="0" applyFont="1" applyAlignment="1">
      <alignment wrapText="1"/>
    </xf>
    <xf numFmtId="0" fontId="12" fillId="15" borderId="0" xfId="0" applyFont="1" applyFill="1" applyAlignment="1">
      <alignment wrapText="1"/>
    </xf>
    <xf numFmtId="8" fontId="12" fillId="15" borderId="0" xfId="0" applyNumberFormat="1" applyFont="1" applyFill="1" applyAlignment="1">
      <alignment horizontal="right" wrapText="1"/>
    </xf>
    <xf numFmtId="14" fontId="12" fillId="15" borderId="0" xfId="0" applyNumberFormat="1" applyFont="1" applyFill="1" applyAlignment="1">
      <alignment horizontal="right" wrapText="1"/>
    </xf>
    <xf numFmtId="0" fontId="13" fillId="12" borderId="0" xfId="0" applyFont="1" applyFill="1" applyAlignment="1">
      <alignment horizontal="right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9" borderId="16" xfId="0" applyFont="1" applyFill="1" applyBorder="1" applyAlignment="1">
      <alignment horizontal="center" vertical="center" wrapText="1"/>
    </xf>
    <xf numFmtId="0" fontId="11" fillId="10" borderId="0" xfId="0" applyFont="1" applyFill="1" applyAlignment="1">
      <alignment horizontal="center" vertical="center" wrapText="1"/>
    </xf>
    <xf numFmtId="10" fontId="0" fillId="0" borderId="0" xfId="2" applyNumberFormat="1" applyFont="1" applyAlignment="1">
      <alignment vertical="center"/>
    </xf>
    <xf numFmtId="164" fontId="9" fillId="2" borderId="0" xfId="1" applyNumberFormat="1" applyFont="1" applyFill="1" applyAlignment="1"/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right"/>
    </xf>
  </cellXfs>
  <cellStyles count="4">
    <cellStyle name="Coma" xfId="3" builtinId="3"/>
    <cellStyle name="Moneda" xfId="1" builtinId="4"/>
    <cellStyle name="Normal" xfId="0" builtinId="0"/>
    <cellStyle name="Percentat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DC55F-F2A1-4AB7-82F9-3AD8B50ED743}">
  <dimension ref="B1:X31"/>
  <sheetViews>
    <sheetView showGridLines="0" workbookViewId="0">
      <selection activeCell="B2" sqref="B2:K12"/>
    </sheetView>
  </sheetViews>
  <sheetFormatPr defaultRowHeight="15" x14ac:dyDescent="0.25"/>
  <cols>
    <col min="2" max="2" width="21.140625" customWidth="1"/>
    <col min="3" max="3" width="8.42578125" customWidth="1"/>
    <col min="4" max="4" width="8.28515625" customWidth="1"/>
    <col min="5" max="5" width="8.7109375" customWidth="1"/>
    <col min="6" max="6" width="7.140625" customWidth="1"/>
    <col min="7" max="7" width="18.5703125" customWidth="1"/>
    <col min="8" max="8" width="8.7109375" customWidth="1"/>
    <col min="9" max="9" width="8.5703125" customWidth="1"/>
    <col min="10" max="10" width="7.42578125" customWidth="1"/>
    <col min="11" max="11" width="6.140625" customWidth="1"/>
    <col min="12" max="12" width="11" bestFit="1" customWidth="1"/>
    <col min="14" max="15" width="12" bestFit="1" customWidth="1"/>
    <col min="16" max="16" width="11" bestFit="1" customWidth="1"/>
    <col min="17" max="17" width="12" bestFit="1" customWidth="1"/>
    <col min="23" max="23" width="14.28515625" customWidth="1"/>
    <col min="24" max="24" width="12.7109375" customWidth="1"/>
  </cols>
  <sheetData>
    <row r="1" spans="2:23" ht="15.75" thickBot="1" x14ac:dyDescent="0.3"/>
    <row r="2" spans="2:23" x14ac:dyDescent="0.25">
      <c r="B2" s="104" t="s">
        <v>0</v>
      </c>
      <c r="C2" s="105"/>
      <c r="D2" s="105"/>
      <c r="E2" s="105"/>
      <c r="F2" s="105"/>
      <c r="G2" s="105"/>
      <c r="H2" s="105"/>
      <c r="I2" s="105"/>
      <c r="J2" s="105"/>
      <c r="K2" s="106"/>
    </row>
    <row r="3" spans="2:23" x14ac:dyDescent="0.25">
      <c r="B3" s="107" t="s">
        <v>1</v>
      </c>
      <c r="C3" s="107"/>
      <c r="D3" s="107"/>
      <c r="E3" s="107"/>
      <c r="F3" s="107"/>
      <c r="G3" s="108" t="s">
        <v>3</v>
      </c>
      <c r="H3" s="108"/>
      <c r="I3" s="108"/>
      <c r="J3" s="108"/>
      <c r="K3" s="109"/>
    </row>
    <row r="4" spans="2:23" x14ac:dyDescent="0.25">
      <c r="B4" s="30" t="s">
        <v>2</v>
      </c>
      <c r="C4" s="30">
        <v>2022</v>
      </c>
      <c r="D4" s="30">
        <v>2023</v>
      </c>
      <c r="E4" s="31" t="s">
        <v>20</v>
      </c>
      <c r="F4" s="16" t="s">
        <v>19</v>
      </c>
      <c r="G4" s="30" t="s">
        <v>4</v>
      </c>
      <c r="H4" s="30">
        <v>2022</v>
      </c>
      <c r="I4" s="30">
        <v>2023</v>
      </c>
      <c r="J4" s="31" t="s">
        <v>20</v>
      </c>
      <c r="K4" s="16" t="s">
        <v>19</v>
      </c>
    </row>
    <row r="5" spans="2:23" s="2" customFormat="1" ht="20.100000000000001" customHeight="1" x14ac:dyDescent="0.25">
      <c r="B5" s="4" t="s">
        <v>5</v>
      </c>
      <c r="C5" s="5">
        <v>11669</v>
      </c>
      <c r="D5" s="5">
        <v>12528</v>
      </c>
      <c r="E5" s="6">
        <f>D5-C5</f>
        <v>859</v>
      </c>
      <c r="F5" s="7">
        <f>E5/C5</f>
        <v>7.3613848658839659E-2</v>
      </c>
      <c r="G5" s="4" t="s">
        <v>6</v>
      </c>
      <c r="H5" s="5">
        <v>1300</v>
      </c>
      <c r="I5" s="5">
        <f>1300</f>
        <v>1300</v>
      </c>
      <c r="J5" s="5">
        <f>I5-H5</f>
        <v>0</v>
      </c>
      <c r="K5" s="7">
        <f>J5/H5</f>
        <v>0</v>
      </c>
      <c r="L5" s="32">
        <f>SUM(I5:I7)</f>
        <v>6868</v>
      </c>
      <c r="N5" s="32">
        <f>SUM(D6:D7)</f>
        <v>2862</v>
      </c>
      <c r="O5" s="32">
        <f>SUM(C6:C8)</f>
        <v>2781</v>
      </c>
    </row>
    <row r="6" spans="2:23" s="2" customFormat="1" ht="20.100000000000001" customHeight="1" x14ac:dyDescent="0.25">
      <c r="B6" s="4" t="s">
        <v>7</v>
      </c>
      <c r="C6" s="5">
        <v>540</v>
      </c>
      <c r="D6" s="5">
        <v>600</v>
      </c>
      <c r="E6" s="6">
        <f t="shared" ref="E6:E8" si="0">D6-C6</f>
        <v>60</v>
      </c>
      <c r="F6" s="7">
        <f t="shared" ref="F6:F8" si="1">E6/C6</f>
        <v>0.1111111111111111</v>
      </c>
      <c r="G6" s="4" t="s">
        <v>8</v>
      </c>
      <c r="H6" s="5">
        <v>5000</v>
      </c>
      <c r="I6" s="5">
        <v>5081</v>
      </c>
      <c r="J6" s="5">
        <f t="shared" ref="J6:J12" si="2">I6-H6</f>
        <v>81</v>
      </c>
      <c r="K6" s="7">
        <f t="shared" ref="K6:K12" si="3">J6/H6</f>
        <v>1.6199999999999999E-2</v>
      </c>
      <c r="L6" s="117">
        <f>L5/I12</f>
        <v>0.43495883470550983</v>
      </c>
      <c r="N6" s="32">
        <f>SUM(I8:I11)</f>
        <v>8922</v>
      </c>
      <c r="O6" s="32">
        <f>SUM(H8:H11)</f>
        <v>7619</v>
      </c>
    </row>
    <row r="7" spans="2:23" s="2" customFormat="1" ht="20.100000000000001" customHeight="1" x14ac:dyDescent="0.25">
      <c r="B7" s="4" t="s">
        <v>9</v>
      </c>
      <c r="C7" s="5">
        <v>1741</v>
      </c>
      <c r="D7" s="5">
        <v>2262</v>
      </c>
      <c r="E7" s="6">
        <f t="shared" si="0"/>
        <v>521</v>
      </c>
      <c r="F7" s="7">
        <f t="shared" si="1"/>
        <v>0.29925330269959793</v>
      </c>
      <c r="G7" s="4" t="s">
        <v>10</v>
      </c>
      <c r="H7" s="5">
        <v>531</v>
      </c>
      <c r="I7" s="5">
        <v>487</v>
      </c>
      <c r="J7" s="5">
        <f t="shared" si="2"/>
        <v>-44</v>
      </c>
      <c r="K7" s="7">
        <f t="shared" si="3"/>
        <v>-8.2862523540489647E-2</v>
      </c>
      <c r="N7" s="32">
        <f>N5-N6</f>
        <v>-6060</v>
      </c>
      <c r="O7" s="32">
        <f>O5-O6</f>
        <v>-4838</v>
      </c>
      <c r="P7" s="2">
        <f>O5/O6</f>
        <v>0.36500853130332067</v>
      </c>
    </row>
    <row r="8" spans="2:23" s="2" customFormat="1" ht="20.100000000000001" customHeight="1" x14ac:dyDescent="0.25">
      <c r="B8" s="4" t="s">
        <v>11</v>
      </c>
      <c r="C8" s="5">
        <v>500</v>
      </c>
      <c r="D8" s="5">
        <v>400</v>
      </c>
      <c r="E8" s="6">
        <f t="shared" si="0"/>
        <v>-100</v>
      </c>
      <c r="F8" s="7">
        <f t="shared" si="1"/>
        <v>-0.2</v>
      </c>
      <c r="G8" s="4" t="s">
        <v>12</v>
      </c>
      <c r="H8" s="5">
        <v>5000</v>
      </c>
      <c r="I8" s="5">
        <v>5622</v>
      </c>
      <c r="J8" s="5">
        <f t="shared" si="2"/>
        <v>622</v>
      </c>
      <c r="K8" s="7">
        <f t="shared" si="3"/>
        <v>0.1244</v>
      </c>
    </row>
    <row r="9" spans="2:23" s="2" customFormat="1" ht="20.100000000000001" customHeight="1" x14ac:dyDescent="0.25">
      <c r="B9" s="4"/>
      <c r="C9" s="5"/>
      <c r="D9" s="5"/>
      <c r="E9" s="5"/>
      <c r="F9" s="8"/>
      <c r="G9" s="4" t="s">
        <v>13</v>
      </c>
      <c r="H9" s="5">
        <v>800</v>
      </c>
      <c r="I9" s="5">
        <v>1000</v>
      </c>
      <c r="J9" s="5">
        <f t="shared" si="2"/>
        <v>200</v>
      </c>
      <c r="K9" s="7">
        <f t="shared" si="3"/>
        <v>0.25</v>
      </c>
      <c r="N9" s="32">
        <f>N7-O7</f>
        <v>-1222</v>
      </c>
      <c r="O9" s="33">
        <f>N9/O7</f>
        <v>0.25258371227780074</v>
      </c>
    </row>
    <row r="10" spans="2:23" s="2" customFormat="1" ht="20.100000000000001" customHeight="1" x14ac:dyDescent="0.25">
      <c r="B10" s="4"/>
      <c r="C10" s="5"/>
      <c r="D10" s="5"/>
      <c r="E10" s="5"/>
      <c r="F10" s="8"/>
      <c r="G10" s="4" t="s">
        <v>14</v>
      </c>
      <c r="H10" s="5">
        <v>1000</v>
      </c>
      <c r="I10" s="5">
        <v>1200</v>
      </c>
      <c r="J10" s="5">
        <f t="shared" si="2"/>
        <v>200</v>
      </c>
      <c r="K10" s="7">
        <f t="shared" si="3"/>
        <v>0.2</v>
      </c>
      <c r="N10" s="32">
        <f>H5+H6+H7</f>
        <v>6831</v>
      </c>
      <c r="O10" s="32">
        <f>I5+I6+I7</f>
        <v>6868</v>
      </c>
    </row>
    <row r="11" spans="2:23" s="2" customFormat="1" ht="20.100000000000001" customHeight="1" x14ac:dyDescent="0.25">
      <c r="B11" s="4"/>
      <c r="C11" s="5"/>
      <c r="D11" s="5"/>
      <c r="E11" s="5"/>
      <c r="F11" s="8"/>
      <c r="G11" s="4" t="s">
        <v>15</v>
      </c>
      <c r="H11" s="5">
        <v>819</v>
      </c>
      <c r="I11" s="5">
        <v>1100</v>
      </c>
      <c r="J11" s="5">
        <f t="shared" si="2"/>
        <v>281</v>
      </c>
      <c r="K11" s="7">
        <f t="shared" si="3"/>
        <v>0.3431013431013431</v>
      </c>
      <c r="N11" s="2">
        <f>O6/N10</f>
        <v>1.1153564631825501</v>
      </c>
      <c r="O11" s="2">
        <f>N6/O10</f>
        <v>1.2990681421083285</v>
      </c>
    </row>
    <row r="12" spans="2:23" s="2" customFormat="1" ht="20.100000000000001" customHeight="1" x14ac:dyDescent="0.25">
      <c r="B12" s="9" t="s">
        <v>16</v>
      </c>
      <c r="C12" s="10">
        <f>SUM(C5:C11)</f>
        <v>14450</v>
      </c>
      <c r="D12" s="10">
        <f>SUM(D5:D11)</f>
        <v>15790</v>
      </c>
      <c r="E12" s="5">
        <f t="shared" ref="E12" si="4">D12-C12</f>
        <v>1340</v>
      </c>
      <c r="F12" s="7">
        <f t="shared" ref="F12" si="5">E12/C12</f>
        <v>9.2733564013840836E-2</v>
      </c>
      <c r="G12" s="9" t="s">
        <v>17</v>
      </c>
      <c r="H12" s="10">
        <f>SUM(H5:H11)</f>
        <v>14450</v>
      </c>
      <c r="I12" s="10">
        <f>SUM(I5:I11)</f>
        <v>15790</v>
      </c>
      <c r="J12" s="5">
        <f t="shared" si="2"/>
        <v>1340</v>
      </c>
      <c r="K12" s="7">
        <f t="shared" si="3"/>
        <v>9.2733564013840836E-2</v>
      </c>
    </row>
    <row r="13" spans="2:23" x14ac:dyDescent="0.25">
      <c r="B13" s="11"/>
      <c r="C13" s="12"/>
      <c r="D13" s="12"/>
      <c r="E13" s="12"/>
      <c r="F13" s="12"/>
      <c r="G13" s="11"/>
      <c r="H13" s="12"/>
      <c r="I13" s="12"/>
      <c r="J13" s="11"/>
      <c r="K13" s="11"/>
      <c r="N13">
        <f>(H7*100)/(H5+H6)</f>
        <v>8.4285714285714288</v>
      </c>
      <c r="O13">
        <f>(I7*100)/(I5+I6)</f>
        <v>7.6320325967716656</v>
      </c>
      <c r="V13" t="s">
        <v>36</v>
      </c>
    </row>
    <row r="14" spans="2:23" ht="15.75" thickBot="1" x14ac:dyDescent="0.3">
      <c r="B14" s="11"/>
      <c r="C14" s="11"/>
      <c r="D14" s="11"/>
      <c r="E14" s="11"/>
      <c r="F14" s="11"/>
      <c r="G14" s="11"/>
      <c r="H14" s="12"/>
      <c r="I14" s="12"/>
      <c r="J14" s="11"/>
      <c r="K14" s="11"/>
      <c r="W14">
        <v>2024</v>
      </c>
    </row>
    <row r="15" spans="2:23" x14ac:dyDescent="0.25">
      <c r="B15" s="104" t="s">
        <v>21</v>
      </c>
      <c r="C15" s="105"/>
      <c r="D15" s="105"/>
      <c r="E15" s="105"/>
      <c r="F15" s="105"/>
      <c r="G15" s="105"/>
      <c r="H15" s="105"/>
      <c r="I15" s="11"/>
      <c r="J15" s="11"/>
      <c r="K15" s="11"/>
    </row>
    <row r="16" spans="2:23" ht="18" customHeight="1" x14ac:dyDescent="0.25">
      <c r="B16" s="13" t="s">
        <v>2</v>
      </c>
      <c r="C16" s="13">
        <v>2022</v>
      </c>
      <c r="D16" s="14" t="s">
        <v>18</v>
      </c>
      <c r="E16" s="13">
        <v>2023</v>
      </c>
      <c r="F16" s="14" t="s">
        <v>18</v>
      </c>
      <c r="G16" s="15" t="s">
        <v>33</v>
      </c>
      <c r="H16" s="16" t="s">
        <v>34</v>
      </c>
      <c r="I16" s="11"/>
      <c r="J16" s="11"/>
      <c r="K16" s="11"/>
      <c r="N16" s="1">
        <f>H6/H5</f>
        <v>3.8461538461538463</v>
      </c>
      <c r="V16" t="s">
        <v>22</v>
      </c>
      <c r="W16" s="42">
        <f>16050+(16050*19%)</f>
        <v>19099.5</v>
      </c>
    </row>
    <row r="17" spans="2:24" ht="18" customHeight="1" x14ac:dyDescent="0.25">
      <c r="B17" s="17" t="s">
        <v>22</v>
      </c>
      <c r="C17" s="18">
        <v>14600</v>
      </c>
      <c r="D17" s="19"/>
      <c r="E17" s="18">
        <v>16050</v>
      </c>
      <c r="F17" s="19"/>
      <c r="G17" s="20">
        <f>E17-C17</f>
        <v>1450</v>
      </c>
      <c r="H17" s="34">
        <f>G17/C17</f>
        <v>9.9315068493150679E-2</v>
      </c>
      <c r="I17" s="11"/>
      <c r="J17" s="11"/>
      <c r="K17" s="11"/>
      <c r="O17" s="1">
        <v>0.1</v>
      </c>
      <c r="P17" s="1">
        <v>0.2</v>
      </c>
      <c r="Q17" s="1">
        <v>0.3</v>
      </c>
      <c r="R17" s="1">
        <v>0.7</v>
      </c>
      <c r="V17" t="s">
        <v>23</v>
      </c>
      <c r="W17" s="42">
        <f>6680+(6680*17%)</f>
        <v>7815.6</v>
      </c>
      <c r="X17" s="43">
        <f>W17/$W$16</f>
        <v>0.40920442943532553</v>
      </c>
    </row>
    <row r="18" spans="2:24" ht="18" customHeight="1" x14ac:dyDescent="0.25">
      <c r="B18" s="17" t="s">
        <v>23</v>
      </c>
      <c r="C18" s="20">
        <v>6500</v>
      </c>
      <c r="D18" s="34">
        <f>C18/$C$17</f>
        <v>0.4452054794520548</v>
      </c>
      <c r="E18" s="20">
        <v>6680</v>
      </c>
      <c r="F18" s="34">
        <f>E18/$E$17</f>
        <v>0.41619937694704051</v>
      </c>
      <c r="G18" s="20">
        <f t="shared" ref="G18:G28" si="6">E18-C18</f>
        <v>180</v>
      </c>
      <c r="H18" s="34">
        <f t="shared" ref="H18:H28" si="7">G18/C18</f>
        <v>2.7692307692307693E-2</v>
      </c>
      <c r="I18" s="11"/>
      <c r="J18" s="11"/>
      <c r="K18" s="11"/>
      <c r="N18" s="3">
        <f>(N7+I5)*-1</f>
        <v>4760</v>
      </c>
      <c r="O18" s="3">
        <f>$N$18*O17</f>
        <v>476</v>
      </c>
      <c r="P18" s="3">
        <f t="shared" ref="P18" si="8">$N$18*P17</f>
        <v>952</v>
      </c>
      <c r="Q18" s="3">
        <f>$N$18*Q17</f>
        <v>1428</v>
      </c>
      <c r="R18" s="3">
        <f>$N$18*R17</f>
        <v>3332</v>
      </c>
      <c r="V18" t="s">
        <v>37</v>
      </c>
      <c r="W18" s="42">
        <f>3600+(3600*15%)</f>
        <v>4140</v>
      </c>
      <c r="X18" s="43">
        <f t="shared" ref="X18:X28" si="9">W18/$W$16</f>
        <v>0.21675960103667635</v>
      </c>
    </row>
    <row r="19" spans="2:24" ht="18" customHeight="1" x14ac:dyDescent="0.25">
      <c r="B19" s="17" t="s">
        <v>24</v>
      </c>
      <c r="C19" s="20">
        <v>3175</v>
      </c>
      <c r="D19" s="34">
        <f t="shared" ref="D19:D25" si="10">C19/$C$17</f>
        <v>0.21746575342465754</v>
      </c>
      <c r="E19" s="20">
        <v>3600</v>
      </c>
      <c r="F19" s="34">
        <f t="shared" ref="F19:F25" si="11">E19/$E$17</f>
        <v>0.22429906542056074</v>
      </c>
      <c r="G19" s="20">
        <f t="shared" si="6"/>
        <v>425</v>
      </c>
      <c r="H19" s="34">
        <f t="shared" si="7"/>
        <v>0.13385826771653545</v>
      </c>
      <c r="I19" s="11"/>
      <c r="J19" s="11"/>
      <c r="K19" s="11"/>
      <c r="V19" t="s">
        <v>25</v>
      </c>
      <c r="W19" s="42">
        <f>1200+(1200*13%)</f>
        <v>1356</v>
      </c>
      <c r="X19" s="43">
        <f t="shared" si="9"/>
        <v>7.0996622948244714E-2</v>
      </c>
    </row>
    <row r="20" spans="2:24" ht="18" customHeight="1" x14ac:dyDescent="0.25">
      <c r="B20" s="17" t="s">
        <v>25</v>
      </c>
      <c r="C20" s="20">
        <v>1100</v>
      </c>
      <c r="D20" s="34">
        <f t="shared" si="10"/>
        <v>7.5342465753424653E-2</v>
      </c>
      <c r="E20" s="20">
        <v>1200</v>
      </c>
      <c r="F20" s="34">
        <f t="shared" si="11"/>
        <v>7.476635514018691E-2</v>
      </c>
      <c r="G20" s="20">
        <f t="shared" si="6"/>
        <v>100</v>
      </c>
      <c r="H20" s="34">
        <f t="shared" si="7"/>
        <v>9.0909090909090912E-2</v>
      </c>
      <c r="I20" s="11"/>
      <c r="J20" s="11"/>
      <c r="K20" s="11"/>
      <c r="Q20">
        <v>1300</v>
      </c>
      <c r="R20" s="1">
        <f>Q20/N18</f>
        <v>0.27310924369747897</v>
      </c>
      <c r="V20" t="s">
        <v>38</v>
      </c>
      <c r="W20" s="42">
        <f>2500+(2500*15%)</f>
        <v>2875</v>
      </c>
      <c r="X20" s="43">
        <f t="shared" si="9"/>
        <v>0.15052750071991414</v>
      </c>
    </row>
    <row r="21" spans="2:24" ht="18" customHeight="1" x14ac:dyDescent="0.25">
      <c r="B21" s="17" t="s">
        <v>26</v>
      </c>
      <c r="C21" s="20">
        <v>2200</v>
      </c>
      <c r="D21" s="34">
        <f t="shared" si="10"/>
        <v>0.15068493150684931</v>
      </c>
      <c r="E21" s="20">
        <v>2500</v>
      </c>
      <c r="F21" s="34">
        <f t="shared" si="11"/>
        <v>0.1557632398753894</v>
      </c>
      <c r="G21" s="20">
        <f t="shared" si="6"/>
        <v>300</v>
      </c>
      <c r="H21" s="34">
        <f t="shared" si="7"/>
        <v>0.13636363636363635</v>
      </c>
      <c r="I21" s="11"/>
      <c r="J21" s="11"/>
      <c r="K21" s="11"/>
      <c r="V21" t="s">
        <v>39</v>
      </c>
      <c r="W21" s="42">
        <f>W16*1%</f>
        <v>190.995</v>
      </c>
      <c r="X21" s="43">
        <f t="shared" si="9"/>
        <v>0.01</v>
      </c>
    </row>
    <row r="22" spans="2:24" ht="18" customHeight="1" x14ac:dyDescent="0.25">
      <c r="B22" s="17" t="s">
        <v>27</v>
      </c>
      <c r="C22" s="20">
        <v>200</v>
      </c>
      <c r="D22" s="34">
        <f t="shared" si="10"/>
        <v>1.3698630136986301E-2</v>
      </c>
      <c r="E22" s="20">
        <v>250</v>
      </c>
      <c r="F22" s="34">
        <f t="shared" si="11"/>
        <v>1.5576323987538941E-2</v>
      </c>
      <c r="G22" s="20">
        <f t="shared" si="6"/>
        <v>50</v>
      </c>
      <c r="H22" s="34">
        <f t="shared" si="7"/>
        <v>0.25</v>
      </c>
      <c r="I22" s="11"/>
      <c r="J22" s="11"/>
      <c r="K22" s="11"/>
      <c r="V22" t="s">
        <v>40</v>
      </c>
      <c r="W22" s="42">
        <f>W16*1.5%</f>
        <v>286.49250000000001</v>
      </c>
      <c r="X22" s="43">
        <f t="shared" si="9"/>
        <v>1.5000000000000001E-2</v>
      </c>
    </row>
    <row r="23" spans="2:24" ht="18" customHeight="1" x14ac:dyDescent="0.25">
      <c r="B23" s="17" t="s">
        <v>28</v>
      </c>
      <c r="C23" s="20">
        <v>450</v>
      </c>
      <c r="D23" s="34">
        <f t="shared" si="10"/>
        <v>3.0821917808219176E-2</v>
      </c>
      <c r="E23" s="20">
        <v>480</v>
      </c>
      <c r="F23" s="34">
        <f t="shared" si="11"/>
        <v>2.9906542056074768E-2</v>
      </c>
      <c r="G23" s="20">
        <f t="shared" si="6"/>
        <v>30</v>
      </c>
      <c r="H23" s="34">
        <f t="shared" si="7"/>
        <v>6.6666666666666666E-2</v>
      </c>
      <c r="I23" s="11"/>
      <c r="J23" s="11"/>
      <c r="K23" s="11"/>
      <c r="V23" t="s">
        <v>41</v>
      </c>
      <c r="W23" s="42">
        <f>((12528000+4000000)*3%)/1000</f>
        <v>495.84</v>
      </c>
      <c r="X23" s="43">
        <f t="shared" si="9"/>
        <v>2.5960889028508599E-2</v>
      </c>
    </row>
    <row r="24" spans="2:24" ht="18" customHeight="1" x14ac:dyDescent="0.25">
      <c r="B24" s="17" t="s">
        <v>29</v>
      </c>
      <c r="C24" s="20">
        <v>100</v>
      </c>
      <c r="D24" s="34">
        <f t="shared" si="10"/>
        <v>6.8493150684931503E-3</v>
      </c>
      <c r="E24" s="20">
        <v>600</v>
      </c>
      <c r="F24" s="34">
        <f t="shared" si="11"/>
        <v>3.7383177570093455E-2</v>
      </c>
      <c r="G24" s="20">
        <f t="shared" si="6"/>
        <v>500</v>
      </c>
      <c r="H24" s="34">
        <f t="shared" si="7"/>
        <v>5</v>
      </c>
      <c r="I24" s="11"/>
      <c r="J24" s="11"/>
      <c r="K24" s="11"/>
      <c r="V24" t="s">
        <v>42</v>
      </c>
      <c r="W24" s="42">
        <f>((1200000*10%)/1000)</f>
        <v>120</v>
      </c>
      <c r="X24" s="43">
        <f t="shared" si="9"/>
        <v>6.2828869865703295E-3</v>
      </c>
    </row>
    <row r="25" spans="2:24" ht="18" customHeight="1" thickBot="1" x14ac:dyDescent="0.3">
      <c r="B25" s="21" t="s">
        <v>30</v>
      </c>
      <c r="C25" s="22">
        <v>300</v>
      </c>
      <c r="D25" s="35">
        <f t="shared" si="10"/>
        <v>2.0547945205479451E-2</v>
      </c>
      <c r="E25" s="22">
        <v>200</v>
      </c>
      <c r="F25" s="35">
        <f t="shared" si="11"/>
        <v>1.2461059190031152E-2</v>
      </c>
      <c r="G25" s="22">
        <f t="shared" si="6"/>
        <v>-100</v>
      </c>
      <c r="H25" s="35">
        <f t="shared" si="7"/>
        <v>-0.33333333333333331</v>
      </c>
      <c r="I25" s="11"/>
      <c r="J25" s="11"/>
      <c r="K25" s="11"/>
      <c r="V25" t="s">
        <v>43</v>
      </c>
      <c r="W25" s="42">
        <f>((600000*15%)/1000)</f>
        <v>90</v>
      </c>
      <c r="X25" s="43">
        <f t="shared" si="9"/>
        <v>4.7121652399277469E-3</v>
      </c>
    </row>
    <row r="26" spans="2:24" ht="18" customHeight="1" x14ac:dyDescent="0.25">
      <c r="B26" s="23" t="s">
        <v>31</v>
      </c>
      <c r="C26" s="24">
        <f>C17-(SUM(C18:C25))</f>
        <v>575</v>
      </c>
      <c r="D26" s="39">
        <f>C26/C17</f>
        <v>3.9383561643835614E-2</v>
      </c>
      <c r="E26" s="24">
        <f>E17-(SUM(E18:E25))</f>
        <v>540</v>
      </c>
      <c r="F26" s="39">
        <f>E26/E17</f>
        <v>3.3644859813084113E-2</v>
      </c>
      <c r="G26" s="24">
        <f t="shared" si="6"/>
        <v>-35</v>
      </c>
      <c r="H26" s="36">
        <f t="shared" si="7"/>
        <v>-6.0869565217391307E-2</v>
      </c>
      <c r="I26" s="11"/>
      <c r="J26" s="11"/>
      <c r="K26" s="11"/>
      <c r="V26" t="s">
        <v>28</v>
      </c>
      <c r="W26" s="42">
        <f>W23+W24+W25</f>
        <v>705.83999999999992</v>
      </c>
      <c r="X26" s="43">
        <f t="shared" si="9"/>
        <v>3.6955941255006675E-2</v>
      </c>
    </row>
    <row r="27" spans="2:24" ht="18" customHeight="1" x14ac:dyDescent="0.25">
      <c r="B27" s="25" t="s">
        <v>32</v>
      </c>
      <c r="C27" s="26">
        <v>44</v>
      </c>
      <c r="D27" s="40">
        <f>C27/C26</f>
        <v>7.6521739130434779E-2</v>
      </c>
      <c r="E27" s="26">
        <v>53</v>
      </c>
      <c r="F27" s="40">
        <f>E27/E26</f>
        <v>9.8148148148148151E-2</v>
      </c>
      <c r="G27" s="26">
        <f t="shared" si="6"/>
        <v>9</v>
      </c>
      <c r="H27" s="37">
        <f t="shared" si="7"/>
        <v>0.20454545454545456</v>
      </c>
      <c r="I27" s="11"/>
      <c r="J27" s="11"/>
      <c r="K27" s="11"/>
      <c r="V27" t="s">
        <v>44</v>
      </c>
      <c r="W27">
        <f>(5600+4600)*5%</f>
        <v>510</v>
      </c>
      <c r="X27" s="43">
        <f t="shared" si="9"/>
        <v>2.67022696929239E-2</v>
      </c>
    </row>
    <row r="28" spans="2:24" ht="18" customHeight="1" thickBot="1" x14ac:dyDescent="0.3">
      <c r="B28" s="27" t="s">
        <v>35</v>
      </c>
      <c r="C28" s="28">
        <f>C26-C27</f>
        <v>531</v>
      </c>
      <c r="D28" s="41">
        <f>C28/C17</f>
        <v>3.6369863013698628E-2</v>
      </c>
      <c r="E28" s="28">
        <f>E26-E27</f>
        <v>487</v>
      </c>
      <c r="F28" s="41">
        <f>E28/E17</f>
        <v>3.0342679127725855E-2</v>
      </c>
      <c r="G28" s="29">
        <f t="shared" si="6"/>
        <v>-44</v>
      </c>
      <c r="H28" s="38">
        <f t="shared" si="7"/>
        <v>-8.2862523540489647E-2</v>
      </c>
      <c r="I28" s="11"/>
      <c r="J28" s="11"/>
      <c r="K28" s="11"/>
      <c r="V28" t="s">
        <v>45</v>
      </c>
      <c r="W28" s="44">
        <f>W16-(W17+W18+W19+W20+W21+W22+W26+W27)</f>
        <v>1219.5724999999984</v>
      </c>
      <c r="X28" s="43">
        <f t="shared" si="9"/>
        <v>6.3853634911908611E-2</v>
      </c>
    </row>
    <row r="30" spans="2:24" x14ac:dyDescent="0.25">
      <c r="V30" t="s">
        <v>46</v>
      </c>
    </row>
    <row r="31" spans="2:24" x14ac:dyDescent="0.25">
      <c r="V31" s="44">
        <f>W28-540</f>
        <v>679.5724999999984</v>
      </c>
      <c r="W31" s="1">
        <f>V31/540</f>
        <v>1.2584675925925897</v>
      </c>
    </row>
  </sheetData>
  <mergeCells count="4">
    <mergeCell ref="B2:K2"/>
    <mergeCell ref="B3:F3"/>
    <mergeCell ref="G3:K3"/>
    <mergeCell ref="B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413F9-6C60-4846-BE7F-11D7194751DE}">
  <dimension ref="B2:N17"/>
  <sheetViews>
    <sheetView workbookViewId="0">
      <selection activeCell="N11" sqref="N11"/>
    </sheetView>
  </sheetViews>
  <sheetFormatPr defaultRowHeight="15" x14ac:dyDescent="0.25"/>
  <cols>
    <col min="2" max="2" width="16.42578125" customWidth="1"/>
    <col min="4" max="4" width="9.5703125" bestFit="1" customWidth="1"/>
    <col min="6" max="6" width="12.5703125" customWidth="1"/>
    <col min="7" max="7" width="14.5703125" customWidth="1"/>
    <col min="9" max="10" width="12.5703125" customWidth="1"/>
    <col min="14" max="14" width="11" bestFit="1" customWidth="1"/>
  </cols>
  <sheetData>
    <row r="2" spans="2:14" ht="15.75" thickBot="1" x14ac:dyDescent="0.3"/>
    <row r="3" spans="2:14" x14ac:dyDescent="0.25">
      <c r="B3" s="104" t="s">
        <v>0</v>
      </c>
      <c r="C3" s="105"/>
      <c r="D3" s="105"/>
      <c r="E3" s="105"/>
      <c r="F3" s="105"/>
      <c r="G3" s="105"/>
      <c r="H3" s="105"/>
      <c r="I3" s="105"/>
      <c r="J3" s="105"/>
      <c r="K3" s="105"/>
      <c r="L3" s="106"/>
    </row>
    <row r="4" spans="2:14" x14ac:dyDescent="0.25">
      <c r="B4" s="107" t="s">
        <v>1</v>
      </c>
      <c r="C4" s="107"/>
      <c r="D4" s="107"/>
      <c r="E4" s="107"/>
      <c r="F4" s="107"/>
      <c r="G4" s="108" t="s">
        <v>3</v>
      </c>
      <c r="H4" s="108"/>
      <c r="I4" s="108"/>
      <c r="J4" s="108"/>
      <c r="K4" s="108"/>
      <c r="L4" s="109"/>
    </row>
    <row r="5" spans="2:14" x14ac:dyDescent="0.25">
      <c r="B5" s="30" t="s">
        <v>2</v>
      </c>
      <c r="C5" s="30">
        <v>2022</v>
      </c>
      <c r="D5" s="30">
        <v>2023</v>
      </c>
      <c r="E5" s="31" t="s">
        <v>20</v>
      </c>
      <c r="F5" s="16" t="s">
        <v>19</v>
      </c>
      <c r="G5" s="30" t="s">
        <v>4</v>
      </c>
      <c r="H5" s="30">
        <v>2022</v>
      </c>
      <c r="I5" s="30">
        <v>2023</v>
      </c>
      <c r="J5" s="30"/>
      <c r="K5" s="31" t="s">
        <v>20</v>
      </c>
      <c r="L5" s="16" t="s">
        <v>19</v>
      </c>
    </row>
    <row r="6" spans="2:14" x14ac:dyDescent="0.25">
      <c r="B6" s="4" t="s">
        <v>5</v>
      </c>
      <c r="C6" s="5">
        <v>11669</v>
      </c>
      <c r="D6" s="5">
        <v>12528</v>
      </c>
      <c r="E6" s="6">
        <f>D6-C6</f>
        <v>859</v>
      </c>
      <c r="F6" s="7">
        <f>E6/C6</f>
        <v>7.3613848658839659E-2</v>
      </c>
      <c r="G6" s="4" t="s">
        <v>6</v>
      </c>
      <c r="H6" s="5">
        <v>1300</v>
      </c>
      <c r="I6" s="5">
        <f>1300</f>
        <v>1300</v>
      </c>
      <c r="J6" s="5">
        <v>2500</v>
      </c>
      <c r="K6" s="5">
        <f>I6-H6</f>
        <v>0</v>
      </c>
      <c r="L6" s="7">
        <f>K6/H6</f>
        <v>0</v>
      </c>
      <c r="M6" s="3">
        <f>SUM(J6:J8)</f>
        <v>7987</v>
      </c>
      <c r="N6" s="1">
        <f>M6/D17</f>
        <v>0.43578131820165866</v>
      </c>
    </row>
    <row r="7" spans="2:14" x14ac:dyDescent="0.25">
      <c r="B7" s="4" t="s">
        <v>7</v>
      </c>
      <c r="C7" s="5">
        <v>540</v>
      </c>
      <c r="D7" s="5">
        <v>600</v>
      </c>
      <c r="E7" s="6">
        <f t="shared" ref="E7:E9" si="0">D7-C7</f>
        <v>60</v>
      </c>
      <c r="F7" s="7">
        <f t="shared" ref="F7:F9" si="1">E7/C7</f>
        <v>0.1111111111111111</v>
      </c>
      <c r="G7" s="4" t="s">
        <v>8</v>
      </c>
      <c r="H7" s="5">
        <v>5000</v>
      </c>
      <c r="I7" s="5">
        <v>5081</v>
      </c>
      <c r="J7" s="5">
        <v>5000</v>
      </c>
      <c r="K7" s="5">
        <f t="shared" ref="K7:K13" si="2">I7-H7</f>
        <v>81</v>
      </c>
      <c r="L7" s="7">
        <f t="shared" ref="L7:L13" si="3">K7/H7</f>
        <v>1.6199999999999999E-2</v>
      </c>
    </row>
    <row r="8" spans="2:14" x14ac:dyDescent="0.25">
      <c r="B8" s="4" t="s">
        <v>9</v>
      </c>
      <c r="C8" s="5">
        <v>1741</v>
      </c>
      <c r="D8" s="5">
        <v>2262</v>
      </c>
      <c r="E8" s="6">
        <f t="shared" si="0"/>
        <v>521</v>
      </c>
      <c r="F8" s="7">
        <f t="shared" si="1"/>
        <v>0.29925330269959793</v>
      </c>
      <c r="G8" s="4" t="s">
        <v>10</v>
      </c>
      <c r="H8" s="5">
        <v>531</v>
      </c>
      <c r="I8" s="5">
        <v>487</v>
      </c>
      <c r="J8" s="5">
        <v>487</v>
      </c>
      <c r="K8" s="5">
        <f t="shared" si="2"/>
        <v>-44</v>
      </c>
      <c r="L8" s="7">
        <f t="shared" si="3"/>
        <v>-8.2862523540489647E-2</v>
      </c>
    </row>
    <row r="9" spans="2:14" x14ac:dyDescent="0.25">
      <c r="B9" s="4" t="s">
        <v>11</v>
      </c>
      <c r="C9" s="5">
        <v>500</v>
      </c>
      <c r="D9" s="5">
        <v>400</v>
      </c>
      <c r="E9" s="6">
        <f t="shared" si="0"/>
        <v>-100</v>
      </c>
      <c r="F9" s="7">
        <f t="shared" si="1"/>
        <v>-0.2</v>
      </c>
      <c r="G9" s="4" t="s">
        <v>12</v>
      </c>
      <c r="H9" s="5">
        <v>5000</v>
      </c>
      <c r="I9" s="5">
        <v>5622</v>
      </c>
      <c r="J9" s="5"/>
      <c r="K9" s="5">
        <f t="shared" si="2"/>
        <v>622</v>
      </c>
      <c r="L9" s="7">
        <f t="shared" si="3"/>
        <v>0.1244</v>
      </c>
    </row>
    <row r="10" spans="2:14" x14ac:dyDescent="0.25">
      <c r="B10" s="4"/>
      <c r="C10" s="5"/>
      <c r="D10" s="5"/>
      <c r="E10" s="5"/>
      <c r="F10" s="8"/>
      <c r="G10" s="4" t="s">
        <v>13</v>
      </c>
      <c r="H10" s="5">
        <v>800</v>
      </c>
      <c r="I10" s="5">
        <v>1000</v>
      </c>
      <c r="J10" s="5"/>
      <c r="K10" s="5">
        <f t="shared" si="2"/>
        <v>200</v>
      </c>
      <c r="L10" s="7">
        <f t="shared" si="3"/>
        <v>0.25</v>
      </c>
      <c r="N10" s="3">
        <f>SUM(I9+I12)</f>
        <v>6722</v>
      </c>
    </row>
    <row r="11" spans="2:14" x14ac:dyDescent="0.25">
      <c r="B11" s="4"/>
      <c r="C11" s="5"/>
      <c r="D11" s="5"/>
      <c r="E11" s="5"/>
      <c r="F11" s="8"/>
      <c r="G11" s="4" t="s">
        <v>14</v>
      </c>
      <c r="H11" s="5">
        <v>1000</v>
      </c>
      <c r="I11" s="5">
        <v>1200</v>
      </c>
      <c r="J11" s="5"/>
      <c r="K11" s="5">
        <f t="shared" si="2"/>
        <v>200</v>
      </c>
      <c r="L11" s="7">
        <f t="shared" si="3"/>
        <v>0.2</v>
      </c>
    </row>
    <row r="12" spans="2:14" x14ac:dyDescent="0.25">
      <c r="B12" s="4"/>
      <c r="C12" s="5"/>
      <c r="D12" s="5"/>
      <c r="E12" s="5"/>
      <c r="F12" s="8"/>
      <c r="G12" s="4" t="s">
        <v>15</v>
      </c>
      <c r="H12" s="5">
        <v>819</v>
      </c>
      <c r="I12" s="5">
        <v>1100</v>
      </c>
      <c r="J12" s="5"/>
      <c r="K12" s="5">
        <f t="shared" si="2"/>
        <v>281</v>
      </c>
      <c r="L12" s="7">
        <f t="shared" si="3"/>
        <v>0.3431013431013431</v>
      </c>
    </row>
    <row r="13" spans="2:14" x14ac:dyDescent="0.25">
      <c r="B13" s="9" t="s">
        <v>16</v>
      </c>
      <c r="C13" s="10">
        <f>SUM(C6:C12)</f>
        <v>14450</v>
      </c>
      <c r="D13" s="10">
        <f>SUM(D6:D12)</f>
        <v>15790</v>
      </c>
      <c r="E13" s="5">
        <f t="shared" ref="E13" si="4">D13-C13</f>
        <v>1340</v>
      </c>
      <c r="F13" s="7">
        <f t="shared" ref="F13" si="5">E13/C13</f>
        <v>9.2733564013840836E-2</v>
      </c>
      <c r="G13" s="9" t="s">
        <v>17</v>
      </c>
      <c r="H13" s="10">
        <f>SUM(H6:H12)</f>
        <v>14450</v>
      </c>
      <c r="I13" s="10">
        <f>SUM(I6:I12)</f>
        <v>15790</v>
      </c>
      <c r="J13" s="10"/>
      <c r="K13" s="5">
        <f t="shared" si="2"/>
        <v>1340</v>
      </c>
      <c r="L13" s="7">
        <f t="shared" si="3"/>
        <v>9.2733564013840836E-2</v>
      </c>
    </row>
    <row r="17" spans="4:4" x14ac:dyDescent="0.25">
      <c r="D17" s="3">
        <f>D6+5800</f>
        <v>18328</v>
      </c>
    </row>
  </sheetData>
  <mergeCells count="3">
    <mergeCell ref="B3:L3"/>
    <mergeCell ref="B4:F4"/>
    <mergeCell ref="G4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42950-9F68-4ED8-8576-A6A83C80CA70}">
  <dimension ref="B5:Q23"/>
  <sheetViews>
    <sheetView topLeftCell="A2" zoomScale="120" zoomScaleNormal="120" workbookViewId="0">
      <selection activeCell="H20" sqref="H20"/>
    </sheetView>
  </sheetViews>
  <sheetFormatPr defaultRowHeight="15" x14ac:dyDescent="0.25"/>
  <cols>
    <col min="2" max="2" width="20.7109375" customWidth="1"/>
    <col min="7" max="7" width="7.85546875" customWidth="1"/>
    <col min="8" max="8" width="10.5703125" customWidth="1"/>
    <col min="9" max="9" width="7.85546875" customWidth="1"/>
    <col min="15" max="15" width="17" customWidth="1"/>
    <col min="16" max="16" width="12.42578125" customWidth="1"/>
  </cols>
  <sheetData>
    <row r="5" spans="2:17" x14ac:dyDescent="0.25">
      <c r="B5" s="110" t="s">
        <v>21</v>
      </c>
      <c r="C5" s="111"/>
      <c r="D5" s="111"/>
      <c r="E5" s="111"/>
      <c r="F5" s="111"/>
      <c r="G5" s="111"/>
      <c r="H5" s="111"/>
      <c r="I5" s="111"/>
      <c r="J5" s="111"/>
      <c r="O5" t="s">
        <v>36</v>
      </c>
    </row>
    <row r="6" spans="2:17" ht="22.5" x14ac:dyDescent="0.25">
      <c r="B6" s="13" t="s">
        <v>2</v>
      </c>
      <c r="C6" s="13">
        <v>2022</v>
      </c>
      <c r="D6" s="14" t="s">
        <v>18</v>
      </c>
      <c r="E6" s="13">
        <v>2023</v>
      </c>
      <c r="F6" s="14" t="s">
        <v>18</v>
      </c>
      <c r="G6" s="16" t="s">
        <v>34</v>
      </c>
      <c r="H6" s="45" t="s">
        <v>47</v>
      </c>
      <c r="I6" s="14" t="s">
        <v>18</v>
      </c>
      <c r="J6" s="16" t="s">
        <v>34</v>
      </c>
      <c r="P6">
        <v>2024</v>
      </c>
    </row>
    <row r="7" spans="2:17" x14ac:dyDescent="0.25">
      <c r="B7" s="17" t="s">
        <v>22</v>
      </c>
      <c r="C7" s="18">
        <v>14600</v>
      </c>
      <c r="D7" s="47">
        <f>C7/C7</f>
        <v>1</v>
      </c>
      <c r="E7" s="18">
        <v>16050</v>
      </c>
      <c r="F7" s="47">
        <f>E7/E7</f>
        <v>1</v>
      </c>
      <c r="G7" s="34">
        <f>(E7-C7)/C7</f>
        <v>9.9315068493150679E-2</v>
      </c>
      <c r="H7" s="18">
        <f>16050+(16050*19%)</f>
        <v>19099.5</v>
      </c>
      <c r="I7" s="47">
        <f>H7/H7</f>
        <v>1</v>
      </c>
      <c r="J7" s="34">
        <f t="shared" ref="J7:J20" si="0">(H7-E7)/E7</f>
        <v>0.19</v>
      </c>
    </row>
    <row r="8" spans="2:17" x14ac:dyDescent="0.25">
      <c r="B8" s="21" t="s">
        <v>23</v>
      </c>
      <c r="C8" s="22">
        <v>6500</v>
      </c>
      <c r="D8" s="35">
        <f>C8/$C$7</f>
        <v>0.4452054794520548</v>
      </c>
      <c r="E8" s="22">
        <v>6680</v>
      </c>
      <c r="F8" s="35">
        <f>E8/$E$7</f>
        <v>0.41619937694704051</v>
      </c>
      <c r="G8" s="35">
        <f>(E8-C8)/C8</f>
        <v>2.7692307692307693E-2</v>
      </c>
      <c r="H8" s="22">
        <f>6680+(6680*17%)</f>
        <v>7815.6</v>
      </c>
      <c r="I8" s="49">
        <f t="shared" ref="I8:I20" si="1">H8/$H$7</f>
        <v>0.40920442943532553</v>
      </c>
      <c r="J8" s="35">
        <f t="shared" si="0"/>
        <v>0.17000000000000007</v>
      </c>
    </row>
    <row r="9" spans="2:17" x14ac:dyDescent="0.25">
      <c r="B9" s="56" t="s">
        <v>49</v>
      </c>
      <c r="C9" s="57">
        <f>C7-C8</f>
        <v>8100</v>
      </c>
      <c r="D9" s="58">
        <f t="shared" ref="D9:D20" si="2">C9/$C$7</f>
        <v>0.5547945205479452</v>
      </c>
      <c r="E9" s="57">
        <f>E7-E8</f>
        <v>9370</v>
      </c>
      <c r="F9" s="59">
        <f>E9/$E$7</f>
        <v>0.58380062305295954</v>
      </c>
      <c r="G9" s="59">
        <f t="shared" ref="G9:G20" si="3">(E9-C9)/C9</f>
        <v>0.15679012345679014</v>
      </c>
      <c r="H9" s="60">
        <f>H7-H8</f>
        <v>11283.9</v>
      </c>
      <c r="I9" s="59">
        <f t="shared" si="1"/>
        <v>0.59079557056467447</v>
      </c>
      <c r="J9" s="59">
        <f t="shared" si="0"/>
        <v>0.20425827107790817</v>
      </c>
      <c r="O9" t="s">
        <v>22</v>
      </c>
      <c r="P9" s="42">
        <f>16050+(16050*19%)</f>
        <v>19099.5</v>
      </c>
    </row>
    <row r="10" spans="2:17" x14ac:dyDescent="0.25">
      <c r="B10" s="52" t="s">
        <v>24</v>
      </c>
      <c r="C10" s="53">
        <v>3175</v>
      </c>
      <c r="D10" s="51">
        <f t="shared" si="2"/>
        <v>0.21746575342465754</v>
      </c>
      <c r="E10" s="53">
        <v>3600</v>
      </c>
      <c r="F10" s="51">
        <f>E10/$E$7</f>
        <v>0.22429906542056074</v>
      </c>
      <c r="G10" s="51">
        <f t="shared" si="3"/>
        <v>0.13385826771653545</v>
      </c>
      <c r="H10" s="53">
        <f>3600+(3600*15%)</f>
        <v>4140</v>
      </c>
      <c r="I10" s="55">
        <f t="shared" si="1"/>
        <v>0.21675960103667635</v>
      </c>
      <c r="J10" s="51">
        <f t="shared" si="0"/>
        <v>0.15</v>
      </c>
      <c r="O10" t="s">
        <v>23</v>
      </c>
      <c r="P10" s="42">
        <f>6680+(6680*17%)</f>
        <v>7815.6</v>
      </c>
      <c r="Q10" s="43">
        <f>P10/$P$9</f>
        <v>0.40920442943532553</v>
      </c>
    </row>
    <row r="11" spans="2:17" x14ac:dyDescent="0.25">
      <c r="B11" s="17" t="s">
        <v>25</v>
      </c>
      <c r="C11" s="20">
        <v>1100</v>
      </c>
      <c r="D11" s="34">
        <f t="shared" si="2"/>
        <v>7.5342465753424653E-2</v>
      </c>
      <c r="E11" s="20">
        <v>1200</v>
      </c>
      <c r="F11" s="34">
        <f t="shared" ref="F11:F19" si="4">E11/$E$7</f>
        <v>7.476635514018691E-2</v>
      </c>
      <c r="G11" s="34">
        <f t="shared" si="3"/>
        <v>9.0909090909090912E-2</v>
      </c>
      <c r="H11" s="20">
        <f>1200+(1200*13%)</f>
        <v>1356</v>
      </c>
      <c r="I11" s="48">
        <f t="shared" si="1"/>
        <v>7.0996622948244714E-2</v>
      </c>
      <c r="J11" s="34">
        <f t="shared" si="0"/>
        <v>0.13</v>
      </c>
      <c r="O11" t="s">
        <v>37</v>
      </c>
      <c r="P11" s="42">
        <f>3600+(3600*15%)</f>
        <v>4140</v>
      </c>
      <c r="Q11" s="43">
        <f t="shared" ref="Q11:Q22" si="5">P11/$P$9</f>
        <v>0.21675960103667635</v>
      </c>
    </row>
    <row r="12" spans="2:17" x14ac:dyDescent="0.25">
      <c r="B12" s="17" t="s">
        <v>26</v>
      </c>
      <c r="C12" s="20">
        <v>2200</v>
      </c>
      <c r="D12" s="34">
        <f t="shared" si="2"/>
        <v>0.15068493150684931</v>
      </c>
      <c r="E12" s="20">
        <v>2500</v>
      </c>
      <c r="F12" s="34">
        <f t="shared" si="4"/>
        <v>0.1557632398753894</v>
      </c>
      <c r="G12" s="34">
        <f t="shared" si="3"/>
        <v>0.13636363636363635</v>
      </c>
      <c r="H12" s="20">
        <f>2500+(2500*15%)</f>
        <v>2875</v>
      </c>
      <c r="I12" s="48">
        <f t="shared" si="1"/>
        <v>0.15052750071991414</v>
      </c>
      <c r="J12" s="34">
        <f t="shared" si="0"/>
        <v>0.15</v>
      </c>
      <c r="O12" t="s">
        <v>25</v>
      </c>
      <c r="P12" s="42">
        <f>1200+(1200*13%)</f>
        <v>1356</v>
      </c>
      <c r="Q12" s="43">
        <f t="shared" si="5"/>
        <v>7.0996622948244714E-2</v>
      </c>
    </row>
    <row r="13" spans="2:17" x14ac:dyDescent="0.25">
      <c r="B13" s="17" t="s">
        <v>28</v>
      </c>
      <c r="C13" s="20">
        <v>450</v>
      </c>
      <c r="D13" s="34">
        <f t="shared" si="2"/>
        <v>3.0821917808219176E-2</v>
      </c>
      <c r="E13" s="20">
        <v>480</v>
      </c>
      <c r="F13" s="34">
        <f t="shared" si="4"/>
        <v>2.9906542056074768E-2</v>
      </c>
      <c r="G13" s="34">
        <f t="shared" si="3"/>
        <v>6.6666666666666666E-2</v>
      </c>
      <c r="H13" s="20">
        <v>750</v>
      </c>
      <c r="I13" s="48">
        <f t="shared" si="1"/>
        <v>3.9268043666064553E-2</v>
      </c>
      <c r="J13" s="34">
        <f t="shared" si="0"/>
        <v>0.5625</v>
      </c>
      <c r="O13" t="s">
        <v>38</v>
      </c>
      <c r="P13" s="42">
        <f>2500+(2500*15%)</f>
        <v>2875</v>
      </c>
      <c r="Q13" s="43">
        <f t="shared" si="5"/>
        <v>0.15052750071991414</v>
      </c>
    </row>
    <row r="14" spans="2:17" x14ac:dyDescent="0.25">
      <c r="B14" s="17" t="s">
        <v>29</v>
      </c>
      <c r="C14" s="20">
        <v>100</v>
      </c>
      <c r="D14" s="34">
        <f t="shared" si="2"/>
        <v>6.8493150684931503E-3</v>
      </c>
      <c r="E14" s="20">
        <v>600</v>
      </c>
      <c r="F14" s="34">
        <f t="shared" si="4"/>
        <v>3.7383177570093455E-2</v>
      </c>
      <c r="G14" s="34">
        <f t="shared" si="3"/>
        <v>5</v>
      </c>
      <c r="H14" s="20">
        <f>H7*1%</f>
        <v>190.995</v>
      </c>
      <c r="I14" s="48">
        <f t="shared" si="1"/>
        <v>0.01</v>
      </c>
      <c r="J14" s="34">
        <f t="shared" si="0"/>
        <v>-0.68167500000000003</v>
      </c>
      <c r="O14" t="s">
        <v>39</v>
      </c>
      <c r="P14" s="42">
        <f>P9*1%</f>
        <v>190.995</v>
      </c>
      <c r="Q14" s="43">
        <f t="shared" si="5"/>
        <v>0.01</v>
      </c>
    </row>
    <row r="15" spans="2:17" x14ac:dyDescent="0.25">
      <c r="B15" s="21" t="s">
        <v>30</v>
      </c>
      <c r="C15" s="22">
        <v>300</v>
      </c>
      <c r="D15" s="35">
        <f t="shared" si="2"/>
        <v>2.0547945205479451E-2</v>
      </c>
      <c r="E15" s="22">
        <v>200</v>
      </c>
      <c r="F15" s="35">
        <f t="shared" si="4"/>
        <v>1.2461059190031152E-2</v>
      </c>
      <c r="G15" s="35">
        <f t="shared" si="3"/>
        <v>-0.33333333333333331</v>
      </c>
      <c r="H15" s="22">
        <f>H7*1.5%</f>
        <v>286.49250000000001</v>
      </c>
      <c r="I15" s="49">
        <f t="shared" si="1"/>
        <v>1.5000000000000001E-2</v>
      </c>
      <c r="J15" s="35">
        <f t="shared" si="0"/>
        <v>0.43246250000000003</v>
      </c>
      <c r="O15" t="s">
        <v>40</v>
      </c>
      <c r="P15" s="42">
        <f>P9*1.5%</f>
        <v>286.49250000000001</v>
      </c>
      <c r="Q15" s="43">
        <f t="shared" si="5"/>
        <v>1.5000000000000001E-2</v>
      </c>
    </row>
    <row r="16" spans="2:17" x14ac:dyDescent="0.25">
      <c r="B16" s="56" t="s">
        <v>48</v>
      </c>
      <c r="C16" s="60">
        <f>C9-(C10+C11+C12+C13+C14+C15)</f>
        <v>775</v>
      </c>
      <c r="D16" s="46">
        <f t="shared" si="2"/>
        <v>5.3082191780821915E-2</v>
      </c>
      <c r="E16" s="60">
        <f>E9-(E10+E11+E12+E13+E14+E15)</f>
        <v>790</v>
      </c>
      <c r="F16" s="59">
        <f t="shared" si="4"/>
        <v>4.9221183800623056E-2</v>
      </c>
      <c r="G16" s="59">
        <f t="shared" si="3"/>
        <v>1.935483870967742E-2</v>
      </c>
      <c r="H16" s="60">
        <f>H9-(H10+H11+H12+H13+H14+H15)</f>
        <v>1685.4124999999985</v>
      </c>
      <c r="I16" s="59">
        <f t="shared" si="1"/>
        <v>8.8243802193774631E-2</v>
      </c>
      <c r="J16" s="59">
        <f t="shared" si="0"/>
        <v>1.1334335443037957</v>
      </c>
      <c r="O16" t="s">
        <v>41</v>
      </c>
      <c r="P16" s="42">
        <f>((12528000+4000000)*3%)/1000</f>
        <v>495.84</v>
      </c>
      <c r="Q16" s="43">
        <f t="shared" si="5"/>
        <v>2.5960889028508599E-2</v>
      </c>
    </row>
    <row r="17" spans="2:17" x14ac:dyDescent="0.25">
      <c r="B17" s="61" t="s">
        <v>27</v>
      </c>
      <c r="C17" s="62">
        <v>200</v>
      </c>
      <c r="D17" s="63">
        <f t="shared" si="2"/>
        <v>1.3698630136986301E-2</v>
      </c>
      <c r="E17" s="62">
        <v>250</v>
      </c>
      <c r="F17" s="35">
        <f t="shared" si="4"/>
        <v>1.5576323987538941E-2</v>
      </c>
      <c r="G17" s="63">
        <f t="shared" si="3"/>
        <v>0.25</v>
      </c>
      <c r="H17" s="62">
        <v>568</v>
      </c>
      <c r="I17" s="54">
        <f t="shared" si="1"/>
        <v>2.9738998403099556E-2</v>
      </c>
      <c r="J17" s="63">
        <f t="shared" si="0"/>
        <v>1.272</v>
      </c>
      <c r="P17" s="42"/>
      <c r="Q17" s="43"/>
    </row>
    <row r="18" spans="2:17" x14ac:dyDescent="0.25">
      <c r="B18" s="56" t="s">
        <v>31</v>
      </c>
      <c r="C18" s="57">
        <f>C16-C17</f>
        <v>575</v>
      </c>
      <c r="D18" s="58">
        <f t="shared" si="2"/>
        <v>3.9383561643835614E-2</v>
      </c>
      <c r="E18" s="57">
        <f>E16-E17</f>
        <v>540</v>
      </c>
      <c r="F18" s="59">
        <f>E18/E7</f>
        <v>3.3644859813084113E-2</v>
      </c>
      <c r="G18" s="59">
        <f t="shared" si="3"/>
        <v>-6.0869565217391307E-2</v>
      </c>
      <c r="H18" s="60">
        <f>H16-H17</f>
        <v>1117.4124999999985</v>
      </c>
      <c r="I18" s="59">
        <f t="shared" si="1"/>
        <v>5.8504803790675075E-2</v>
      </c>
      <c r="J18" s="59">
        <f t="shared" si="0"/>
        <v>1.0692824074074048</v>
      </c>
      <c r="O18" t="s">
        <v>42</v>
      </c>
      <c r="P18" s="42">
        <f>((1200000*10%)/1000)</f>
        <v>120</v>
      </c>
      <c r="Q18" s="43">
        <f t="shared" si="5"/>
        <v>6.2828869865703295E-3</v>
      </c>
    </row>
    <row r="19" spans="2:17" x14ac:dyDescent="0.25">
      <c r="B19" s="25" t="s">
        <v>32</v>
      </c>
      <c r="C19" s="26">
        <v>44</v>
      </c>
      <c r="D19" s="63">
        <f t="shared" si="2"/>
        <v>3.0136986301369864E-3</v>
      </c>
      <c r="E19" s="26">
        <v>53</v>
      </c>
      <c r="F19" s="35">
        <f t="shared" si="4"/>
        <v>3.3021806853582554E-3</v>
      </c>
      <c r="G19" s="63">
        <f t="shared" si="3"/>
        <v>0.20454545454545456</v>
      </c>
      <c r="H19" s="26">
        <v>105</v>
      </c>
      <c r="I19" s="50">
        <f t="shared" si="1"/>
        <v>5.4975261132490377E-3</v>
      </c>
      <c r="J19" s="63">
        <f t="shared" si="0"/>
        <v>0.98113207547169812</v>
      </c>
      <c r="K19" s="3">
        <f>H7*0.35%</f>
        <v>66.848249999999993</v>
      </c>
      <c r="O19" t="s">
        <v>43</v>
      </c>
      <c r="P19" s="42">
        <f>((600000*15%)/1000)</f>
        <v>90</v>
      </c>
      <c r="Q19" s="43">
        <f t="shared" si="5"/>
        <v>4.7121652399277469E-3</v>
      </c>
    </row>
    <row r="20" spans="2:17" x14ac:dyDescent="0.25">
      <c r="B20" s="64" t="s">
        <v>35</v>
      </c>
      <c r="C20" s="65">
        <f>C18-C19</f>
        <v>531</v>
      </c>
      <c r="D20" s="66">
        <f t="shared" si="2"/>
        <v>3.6369863013698628E-2</v>
      </c>
      <c r="E20" s="65">
        <f>E18-E19</f>
        <v>487</v>
      </c>
      <c r="F20" s="67">
        <f>E20/E7</f>
        <v>3.0342679127725855E-2</v>
      </c>
      <c r="G20" s="67">
        <f t="shared" si="3"/>
        <v>-8.2862523540489647E-2</v>
      </c>
      <c r="H20" s="68">
        <f>H18-H19</f>
        <v>1012.4124999999985</v>
      </c>
      <c r="I20" s="67">
        <f t="shared" si="1"/>
        <v>5.3007277677426037E-2</v>
      </c>
      <c r="J20" s="67">
        <f t="shared" si="0"/>
        <v>1.0788757700205309</v>
      </c>
      <c r="O20" t="s">
        <v>28</v>
      </c>
      <c r="P20" s="42">
        <f>P16+P18+P19</f>
        <v>705.83999999999992</v>
      </c>
      <c r="Q20" s="43">
        <f t="shared" si="5"/>
        <v>3.6955941255006675E-2</v>
      </c>
    </row>
    <row r="21" spans="2:17" x14ac:dyDescent="0.25">
      <c r="O21" t="s">
        <v>44</v>
      </c>
      <c r="P21">
        <f>((5600+(5600*2.5%))+4600+875+65)*5%</f>
        <v>564</v>
      </c>
      <c r="Q21" s="43">
        <f t="shared" si="5"/>
        <v>2.9529568836880547E-2</v>
      </c>
    </row>
    <row r="22" spans="2:17" x14ac:dyDescent="0.25">
      <c r="O22" t="s">
        <v>45</v>
      </c>
      <c r="P22" s="44">
        <f>P9-(P10+P11+P12+P13+P14+P15+P20+P21)</f>
        <v>1165.5724999999984</v>
      </c>
      <c r="Q22" s="43">
        <f t="shared" si="5"/>
        <v>6.102633576795196E-2</v>
      </c>
    </row>
    <row r="23" spans="2:17" x14ac:dyDescent="0.25">
      <c r="J23">
        <f>19100/568</f>
        <v>33.62676056338028</v>
      </c>
    </row>
  </sheetData>
  <mergeCells count="1">
    <mergeCell ref="B5:J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9A998-1E37-43C4-9B87-BE29B4446BEF}">
  <dimension ref="C4:G8"/>
  <sheetViews>
    <sheetView workbookViewId="0">
      <selection activeCell="C4" sqref="C4:G8"/>
    </sheetView>
  </sheetViews>
  <sheetFormatPr defaultRowHeight="15" x14ac:dyDescent="0.25"/>
  <cols>
    <col min="3" max="3" width="37.28515625" customWidth="1"/>
    <col min="4" max="4" width="16" customWidth="1"/>
    <col min="5" max="5" width="13.28515625" customWidth="1"/>
    <col min="6" max="6" width="14.5703125" customWidth="1"/>
    <col min="7" max="7" width="12.42578125" customWidth="1"/>
  </cols>
  <sheetData>
    <row r="4" spans="3:7" ht="30" x14ac:dyDescent="0.25">
      <c r="D4" s="70" t="s">
        <v>53</v>
      </c>
      <c r="E4" s="70" t="s">
        <v>54</v>
      </c>
      <c r="F4" s="71" t="s">
        <v>55</v>
      </c>
      <c r="G4" s="70" t="s">
        <v>56</v>
      </c>
    </row>
    <row r="5" spans="3:7" x14ac:dyDescent="0.25">
      <c r="C5" s="69" t="s">
        <v>50</v>
      </c>
      <c r="D5" s="75">
        <v>25</v>
      </c>
      <c r="E5" s="75">
        <v>75</v>
      </c>
      <c r="F5" s="76">
        <v>3000000</v>
      </c>
      <c r="G5" s="77">
        <v>144</v>
      </c>
    </row>
    <row r="6" spans="3:7" x14ac:dyDescent="0.25">
      <c r="C6" s="69" t="s">
        <v>51</v>
      </c>
      <c r="D6" s="75">
        <v>0</v>
      </c>
      <c r="E6" s="75">
        <v>100</v>
      </c>
      <c r="F6" s="76">
        <v>600000</v>
      </c>
      <c r="G6" s="77">
        <v>48</v>
      </c>
    </row>
    <row r="7" spans="3:7" x14ac:dyDescent="0.25">
      <c r="C7" s="69" t="s">
        <v>52</v>
      </c>
      <c r="D7" s="75">
        <v>17</v>
      </c>
      <c r="E7" s="75">
        <v>83</v>
      </c>
      <c r="F7" s="76">
        <v>1000000</v>
      </c>
      <c r="G7" s="77">
        <v>60</v>
      </c>
    </row>
    <row r="8" spans="3:7" x14ac:dyDescent="0.25">
      <c r="C8" s="72" t="s">
        <v>57</v>
      </c>
      <c r="D8" s="73">
        <v>21</v>
      </c>
      <c r="E8" s="73">
        <v>79</v>
      </c>
      <c r="F8" s="74">
        <v>4600000</v>
      </c>
      <c r="G8" s="7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8AB28-6E3F-4861-9E84-055F6E6F076B}">
  <dimension ref="F4:I14"/>
  <sheetViews>
    <sheetView workbookViewId="0">
      <selection activeCell="F4" sqref="F4:I12"/>
    </sheetView>
  </sheetViews>
  <sheetFormatPr defaultRowHeight="15" x14ac:dyDescent="0.25"/>
  <cols>
    <col min="6" max="6" width="17.7109375" customWidth="1"/>
    <col min="7" max="7" width="12.42578125" customWidth="1"/>
    <col min="8" max="8" width="14.42578125" customWidth="1"/>
    <col min="9" max="9" width="12.85546875" customWidth="1"/>
  </cols>
  <sheetData>
    <row r="4" spans="6:9" ht="23.25" customHeight="1" x14ac:dyDescent="0.25">
      <c r="F4" s="113" t="s">
        <v>60</v>
      </c>
      <c r="G4" s="113"/>
      <c r="H4" s="113"/>
      <c r="I4" s="113"/>
    </row>
    <row r="5" spans="6:9" ht="22.5" customHeight="1" x14ac:dyDescent="0.25">
      <c r="F5" s="112" t="s">
        <v>58</v>
      </c>
      <c r="G5" s="112"/>
      <c r="H5" s="112" t="s">
        <v>59</v>
      </c>
      <c r="I5" s="112"/>
    </row>
    <row r="6" spans="6:9" ht="15.75" x14ac:dyDescent="0.25">
      <c r="F6" s="78" t="s">
        <v>61</v>
      </c>
      <c r="G6" s="77">
        <v>3.5059999999999998</v>
      </c>
      <c r="H6" s="79" t="s">
        <v>65</v>
      </c>
      <c r="I6" s="77">
        <v>2.7989999999999999</v>
      </c>
    </row>
    <row r="7" spans="6:9" ht="15.75" x14ac:dyDescent="0.25">
      <c r="F7" s="78" t="s">
        <v>62</v>
      </c>
      <c r="G7" s="77">
        <v>3.58</v>
      </c>
      <c r="H7" s="79" t="s">
        <v>66</v>
      </c>
      <c r="I7" s="77">
        <v>2.9540000000000002</v>
      </c>
    </row>
    <row r="8" spans="6:9" ht="15.75" x14ac:dyDescent="0.25">
      <c r="F8" s="78" t="s">
        <v>63</v>
      </c>
      <c r="G8" s="77">
        <v>3.4780000000000002</v>
      </c>
      <c r="H8" s="79" t="s">
        <v>67</v>
      </c>
      <c r="I8" s="77">
        <v>3.61</v>
      </c>
    </row>
    <row r="9" spans="6:9" ht="15.75" x14ac:dyDescent="0.25">
      <c r="F9" s="78" t="s">
        <v>64</v>
      </c>
      <c r="G9" s="77">
        <v>3.2930000000000001</v>
      </c>
      <c r="H9" s="79" t="s">
        <v>68</v>
      </c>
      <c r="I9" s="77">
        <v>3.63</v>
      </c>
    </row>
    <row r="10" spans="6:9" x14ac:dyDescent="0.25">
      <c r="F10" s="77"/>
      <c r="G10" s="77"/>
      <c r="H10" s="79" t="s">
        <v>69</v>
      </c>
      <c r="I10" s="77">
        <v>3.6930000000000001</v>
      </c>
    </row>
    <row r="11" spans="6:9" x14ac:dyDescent="0.25">
      <c r="F11" s="77"/>
      <c r="G11" s="77"/>
      <c r="H11" s="79" t="s">
        <v>70</v>
      </c>
      <c r="I11" s="77">
        <v>3.8740000000000001</v>
      </c>
    </row>
    <row r="12" spans="6:9" s="2" customFormat="1" ht="20.25" customHeight="1" x14ac:dyDescent="0.25">
      <c r="G12" s="114" t="s">
        <v>71</v>
      </c>
      <c r="H12" s="114"/>
    </row>
    <row r="14" spans="6:9" x14ac:dyDescent="0.25">
      <c r="F14" t="s">
        <v>72</v>
      </c>
      <c r="G14">
        <v>3.65</v>
      </c>
    </row>
  </sheetData>
  <mergeCells count="4">
    <mergeCell ref="F5:G5"/>
    <mergeCell ref="H5:I5"/>
    <mergeCell ref="F4:I4"/>
    <mergeCell ref="G12:H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CCE33-67D8-41BF-A1BC-D80164E641FD}">
  <dimension ref="D6:M59"/>
  <sheetViews>
    <sheetView tabSelected="1" topLeftCell="A4" workbookViewId="0">
      <selection activeCell="D6" sqref="D6:I10"/>
    </sheetView>
  </sheetViews>
  <sheetFormatPr defaultRowHeight="15" x14ac:dyDescent="0.25"/>
  <cols>
    <col min="4" max="4" width="36.5703125" customWidth="1"/>
    <col min="5" max="5" width="15.140625" customWidth="1"/>
    <col min="6" max="6" width="12.85546875" customWidth="1"/>
    <col min="7" max="7" width="11.7109375" customWidth="1"/>
    <col min="8" max="8" width="12.85546875" customWidth="1"/>
    <col min="9" max="9" width="12.28515625" customWidth="1"/>
    <col min="11" max="11" width="13.140625" bestFit="1" customWidth="1"/>
    <col min="12" max="13" width="11" bestFit="1" customWidth="1"/>
  </cols>
  <sheetData>
    <row r="6" spans="4:13" s="2" customFormat="1" ht="30" x14ac:dyDescent="0.25">
      <c r="E6" s="81" t="s">
        <v>94</v>
      </c>
      <c r="F6" s="81" t="s">
        <v>56</v>
      </c>
      <c r="G6" s="81" t="s">
        <v>75</v>
      </c>
      <c r="H6" s="82" t="s">
        <v>74</v>
      </c>
      <c r="I6" s="81" t="s">
        <v>73</v>
      </c>
    </row>
    <row r="7" spans="4:13" x14ac:dyDescent="0.25">
      <c r="D7" s="69" t="s">
        <v>50</v>
      </c>
      <c r="E7" s="80">
        <v>3000000</v>
      </c>
      <c r="F7" s="77">
        <v>144</v>
      </c>
      <c r="G7" s="83">
        <v>0.06</v>
      </c>
      <c r="H7" s="80">
        <v>29275.51</v>
      </c>
      <c r="I7" s="85">
        <f>H7*12</f>
        <v>351306.12</v>
      </c>
      <c r="K7" s="84"/>
      <c r="L7" s="84"/>
      <c r="M7" s="84"/>
    </row>
    <row r="8" spans="4:13" x14ac:dyDescent="0.25">
      <c r="D8" s="69" t="s">
        <v>51</v>
      </c>
      <c r="E8" s="80">
        <v>600000</v>
      </c>
      <c r="F8" s="77">
        <v>48</v>
      </c>
      <c r="G8" s="83">
        <v>6.5000000000000002E-2</v>
      </c>
      <c r="H8" s="80">
        <v>14228.97</v>
      </c>
      <c r="I8" s="85">
        <f t="shared" ref="I8:I9" si="0">H8*12</f>
        <v>170747.63999999998</v>
      </c>
    </row>
    <row r="9" spans="4:13" x14ac:dyDescent="0.25">
      <c r="D9" s="69" t="s">
        <v>52</v>
      </c>
      <c r="E9" s="80">
        <v>1000000</v>
      </c>
      <c r="F9" s="77">
        <v>60</v>
      </c>
      <c r="G9" s="83">
        <v>7.0000000000000007E-2</v>
      </c>
      <c r="H9" s="80">
        <v>19801</v>
      </c>
      <c r="I9" s="85">
        <f t="shared" si="0"/>
        <v>237612</v>
      </c>
      <c r="K9" s="84"/>
    </row>
    <row r="10" spans="4:13" ht="15.75" x14ac:dyDescent="0.25">
      <c r="D10" s="120" t="s">
        <v>57</v>
      </c>
      <c r="E10" s="118">
        <v>4600000</v>
      </c>
      <c r="F10" s="119"/>
      <c r="G10" s="119"/>
      <c r="H10" s="118">
        <f>SUM(H7:H9)</f>
        <v>63305.479999999996</v>
      </c>
      <c r="I10" s="118">
        <f>SUM(I7:I9)</f>
        <v>759665.76</v>
      </c>
    </row>
    <row r="12" spans="4:13" x14ac:dyDescent="0.25">
      <c r="K12" s="3"/>
    </row>
    <row r="13" spans="4:13" x14ac:dyDescent="0.25">
      <c r="K13" s="84"/>
    </row>
    <row r="16" spans="4:13" ht="15.75" thickBot="1" x14ac:dyDescent="0.3">
      <c r="D16" s="115" t="s">
        <v>83</v>
      </c>
      <c r="E16" s="115"/>
      <c r="F16" s="115"/>
      <c r="G16" s="115"/>
      <c r="H16" s="115"/>
      <c r="I16" s="115"/>
      <c r="K16" s="116" t="s">
        <v>84</v>
      </c>
      <c r="L16" s="116"/>
    </row>
    <row r="17" spans="4:13" ht="15.75" thickBot="1" x14ac:dyDescent="0.3">
      <c r="D17" s="86" t="s">
        <v>77</v>
      </c>
      <c r="E17" s="87" t="s">
        <v>78</v>
      </c>
      <c r="F17" s="87" t="s">
        <v>79</v>
      </c>
      <c r="G17" s="87" t="s">
        <v>80</v>
      </c>
      <c r="H17" s="87" t="s">
        <v>81</v>
      </c>
      <c r="I17" s="87" t="s">
        <v>82</v>
      </c>
      <c r="K17" s="116"/>
      <c r="L17" s="116"/>
    </row>
    <row r="18" spans="4:13" x14ac:dyDescent="0.25">
      <c r="D18" s="88">
        <v>2024</v>
      </c>
      <c r="E18" s="89">
        <v>313556.82</v>
      </c>
      <c r="F18" s="89">
        <v>147478.85</v>
      </c>
      <c r="G18" s="89">
        <v>166077.96</v>
      </c>
      <c r="H18" s="89">
        <v>2833922.04</v>
      </c>
      <c r="I18" s="89">
        <v>166077.96</v>
      </c>
      <c r="K18" s="93" t="s">
        <v>80</v>
      </c>
      <c r="L18" s="94">
        <v>3000000</v>
      </c>
      <c r="M18">
        <f>L18-(L18*21%)</f>
        <v>2370000</v>
      </c>
    </row>
    <row r="19" spans="4:13" x14ac:dyDescent="0.25">
      <c r="D19" s="90">
        <v>2025</v>
      </c>
      <c r="E19" s="91">
        <v>342061.98</v>
      </c>
      <c r="F19" s="91">
        <v>151099.56</v>
      </c>
      <c r="G19" s="91">
        <v>190962.42</v>
      </c>
      <c r="H19" s="91">
        <v>2642959.62</v>
      </c>
      <c r="I19" s="91">
        <v>357040.38</v>
      </c>
      <c r="K19" s="93" t="s">
        <v>85</v>
      </c>
      <c r="L19" s="95">
        <v>0.06</v>
      </c>
    </row>
    <row r="20" spans="4:13" x14ac:dyDescent="0.25">
      <c r="D20" s="88">
        <v>2026</v>
      </c>
      <c r="E20" s="89">
        <v>342061.98</v>
      </c>
      <c r="F20" s="89">
        <v>140327.78</v>
      </c>
      <c r="G20" s="89">
        <v>201734.2</v>
      </c>
      <c r="H20" s="89">
        <v>2441225.41</v>
      </c>
      <c r="I20" s="89">
        <v>558774.59</v>
      </c>
      <c r="K20" s="93" t="s">
        <v>86</v>
      </c>
      <c r="L20" s="96">
        <v>144</v>
      </c>
    </row>
    <row r="21" spans="4:13" x14ac:dyDescent="0.25">
      <c r="D21" s="90">
        <v>2027</v>
      </c>
      <c r="E21" s="91">
        <v>342061.98</v>
      </c>
      <c r="F21" s="91">
        <v>128948.38</v>
      </c>
      <c r="G21" s="91">
        <v>213113.60000000001</v>
      </c>
      <c r="H21" s="91">
        <v>2228111.8199999998</v>
      </c>
      <c r="I21" s="91">
        <v>771888.18</v>
      </c>
      <c r="K21" s="93" t="s">
        <v>87</v>
      </c>
      <c r="L21" s="97" t="s">
        <v>88</v>
      </c>
    </row>
    <row r="22" spans="4:13" ht="24.75" x14ac:dyDescent="0.25">
      <c r="D22" s="88">
        <v>2028</v>
      </c>
      <c r="E22" s="89">
        <v>342061.98</v>
      </c>
      <c r="F22" s="89">
        <v>116927.1</v>
      </c>
      <c r="G22" s="89">
        <v>225134.88</v>
      </c>
      <c r="H22" s="89">
        <v>2002976.94</v>
      </c>
      <c r="I22" s="89">
        <v>997023.06</v>
      </c>
      <c r="K22" s="93" t="s">
        <v>89</v>
      </c>
      <c r="L22" s="98">
        <v>45292</v>
      </c>
    </row>
    <row r="23" spans="4:13" x14ac:dyDescent="0.25">
      <c r="D23" s="90">
        <v>2029</v>
      </c>
      <c r="E23" s="91">
        <v>342061.98</v>
      </c>
      <c r="F23" s="91">
        <v>104227.73</v>
      </c>
      <c r="G23" s="91">
        <v>237834.26</v>
      </c>
      <c r="H23" s="91">
        <v>1765142.68</v>
      </c>
      <c r="I23" s="91">
        <v>1234857.32</v>
      </c>
      <c r="K23" s="93" t="s">
        <v>90</v>
      </c>
      <c r="L23" s="96">
        <v>0</v>
      </c>
    </row>
    <row r="24" spans="4:13" x14ac:dyDescent="0.25">
      <c r="D24" s="88">
        <v>2030</v>
      </c>
      <c r="E24" s="89">
        <v>342061.98</v>
      </c>
      <c r="F24" s="89">
        <v>90812</v>
      </c>
      <c r="G24" s="89">
        <v>251249.98</v>
      </c>
      <c r="H24" s="89">
        <v>1513892.71</v>
      </c>
      <c r="I24" s="89">
        <v>1486107.29</v>
      </c>
      <c r="K24" s="99"/>
      <c r="L24" s="99"/>
    </row>
    <row r="25" spans="4:13" ht="24.75" x14ac:dyDescent="0.25">
      <c r="D25" s="90">
        <v>2031</v>
      </c>
      <c r="E25" s="91">
        <v>342061.98</v>
      </c>
      <c r="F25" s="91">
        <v>76639.53</v>
      </c>
      <c r="G25" s="91">
        <v>265422.45</v>
      </c>
      <c r="H25" s="91">
        <v>1248470.26</v>
      </c>
      <c r="I25" s="91">
        <v>1751529.74</v>
      </c>
      <c r="K25" s="100" t="s">
        <v>91</v>
      </c>
      <c r="L25" s="101">
        <v>28505.17</v>
      </c>
    </row>
    <row r="26" spans="4:13" x14ac:dyDescent="0.25">
      <c r="D26" s="88">
        <v>2032</v>
      </c>
      <c r="E26" s="89">
        <v>342061.98</v>
      </c>
      <c r="F26" s="89">
        <v>61667.62</v>
      </c>
      <c r="G26" s="89">
        <v>280394.36</v>
      </c>
      <c r="H26" s="89">
        <v>968075.89</v>
      </c>
      <c r="I26" s="89">
        <v>2031924.11</v>
      </c>
      <c r="K26" s="99"/>
      <c r="L26" s="99"/>
    </row>
    <row r="27" spans="4:13" ht="24.75" x14ac:dyDescent="0.25">
      <c r="D27" s="90">
        <v>2033</v>
      </c>
      <c r="E27" s="91">
        <v>342061.98</v>
      </c>
      <c r="F27" s="91">
        <v>45851.17</v>
      </c>
      <c r="G27" s="91">
        <v>296210.81</v>
      </c>
      <c r="H27" s="91">
        <v>671865.08</v>
      </c>
      <c r="I27" s="91">
        <v>2328134.92</v>
      </c>
      <c r="K27" s="100" t="s">
        <v>92</v>
      </c>
      <c r="L27" s="102">
        <v>49675</v>
      </c>
    </row>
    <row r="28" spans="4:13" x14ac:dyDescent="0.25">
      <c r="D28" s="88">
        <v>2034</v>
      </c>
      <c r="E28" s="89">
        <v>342061.98</v>
      </c>
      <c r="F28" s="89">
        <v>29142.55</v>
      </c>
      <c r="G28" s="89">
        <v>312919.43</v>
      </c>
      <c r="H28" s="89">
        <v>358945.66</v>
      </c>
      <c r="I28" s="89">
        <v>2641054.34</v>
      </c>
    </row>
    <row r="29" spans="4:13" x14ac:dyDescent="0.25">
      <c r="D29" s="90">
        <v>2035</v>
      </c>
      <c r="E29" s="91">
        <v>342061.98</v>
      </c>
      <c r="F29" s="91">
        <v>11491.44</v>
      </c>
      <c r="G29" s="91">
        <v>330570.53999999998</v>
      </c>
      <c r="H29" s="91">
        <v>28375.11</v>
      </c>
      <c r="I29" s="91">
        <v>2971624.89</v>
      </c>
    </row>
    <row r="30" spans="4:13" x14ac:dyDescent="0.25">
      <c r="D30" s="88">
        <v>2036</v>
      </c>
      <c r="E30" s="89">
        <v>28505.17</v>
      </c>
      <c r="F30" s="92">
        <v>130.05000000000001</v>
      </c>
      <c r="G30" s="89">
        <v>28375.11</v>
      </c>
      <c r="H30" s="92">
        <v>0</v>
      </c>
      <c r="I30" s="89">
        <v>3000000</v>
      </c>
    </row>
    <row r="33" spans="4:12" ht="15.75" thickBot="1" x14ac:dyDescent="0.3">
      <c r="D33" s="115" t="s">
        <v>93</v>
      </c>
      <c r="E33" s="115"/>
      <c r="F33" s="115"/>
      <c r="G33" s="115"/>
      <c r="H33" s="115"/>
      <c r="I33" s="115"/>
      <c r="K33" s="116" t="s">
        <v>84</v>
      </c>
      <c r="L33" s="116"/>
    </row>
    <row r="34" spans="4:12" ht="15.75" thickBot="1" x14ac:dyDescent="0.3">
      <c r="D34" s="86" t="s">
        <v>77</v>
      </c>
      <c r="E34" s="87" t="s">
        <v>78</v>
      </c>
      <c r="F34" s="87" t="s">
        <v>79</v>
      </c>
      <c r="G34" s="87" t="s">
        <v>80</v>
      </c>
      <c r="H34" s="87" t="s">
        <v>81</v>
      </c>
      <c r="I34" s="87" t="s">
        <v>82</v>
      </c>
      <c r="K34" s="116"/>
      <c r="L34" s="116"/>
    </row>
    <row r="35" spans="4:12" x14ac:dyDescent="0.25">
      <c r="D35" s="88">
        <v>2024</v>
      </c>
      <c r="E35" s="89">
        <v>156518.69</v>
      </c>
      <c r="F35" s="89">
        <v>32425.45</v>
      </c>
      <c r="G35" s="89">
        <v>124093.24</v>
      </c>
      <c r="H35" s="89">
        <v>475906.76</v>
      </c>
      <c r="I35" s="89">
        <v>124093.24</v>
      </c>
      <c r="K35" s="93" t="s">
        <v>80</v>
      </c>
      <c r="L35" s="94">
        <v>600000</v>
      </c>
    </row>
    <row r="36" spans="4:12" x14ac:dyDescent="0.25">
      <c r="D36" s="90">
        <v>2025</v>
      </c>
      <c r="E36" s="91">
        <v>170747.66</v>
      </c>
      <c r="F36" s="91">
        <v>26692.52</v>
      </c>
      <c r="G36" s="91">
        <v>144055.14000000001</v>
      </c>
      <c r="H36" s="91">
        <v>331851.62</v>
      </c>
      <c r="I36" s="91">
        <v>268148.38</v>
      </c>
      <c r="K36" s="93" t="s">
        <v>85</v>
      </c>
      <c r="L36" s="95">
        <v>6.5000000000000002E-2</v>
      </c>
    </row>
    <row r="37" spans="4:12" x14ac:dyDescent="0.25">
      <c r="D37" s="88">
        <v>2026</v>
      </c>
      <c r="E37" s="89">
        <v>170747.66</v>
      </c>
      <c r="F37" s="89">
        <v>17044.89</v>
      </c>
      <c r="G37" s="89">
        <v>153702.78</v>
      </c>
      <c r="H37" s="89">
        <v>178148.85</v>
      </c>
      <c r="I37" s="89">
        <v>421851.15</v>
      </c>
      <c r="K37" s="93" t="s">
        <v>86</v>
      </c>
      <c r="L37" s="96">
        <v>48</v>
      </c>
    </row>
    <row r="38" spans="4:12" x14ac:dyDescent="0.25">
      <c r="D38" s="90">
        <v>2027</v>
      </c>
      <c r="E38" s="91">
        <v>170747.66</v>
      </c>
      <c r="F38" s="91">
        <v>6751.13</v>
      </c>
      <c r="G38" s="91">
        <v>163996.54</v>
      </c>
      <c r="H38" s="91">
        <v>14152.31</v>
      </c>
      <c r="I38" s="91">
        <v>585847.68999999994</v>
      </c>
      <c r="K38" s="93" t="s">
        <v>87</v>
      </c>
      <c r="L38" s="97" t="s">
        <v>88</v>
      </c>
    </row>
    <row r="39" spans="4:12" ht="24.75" x14ac:dyDescent="0.25">
      <c r="D39" s="88">
        <v>2028</v>
      </c>
      <c r="E39" s="89">
        <v>14228.97</v>
      </c>
      <c r="F39" s="92">
        <v>76.66</v>
      </c>
      <c r="G39" s="89">
        <v>14152.31</v>
      </c>
      <c r="H39" s="92">
        <v>0</v>
      </c>
      <c r="I39" s="89">
        <v>600000</v>
      </c>
      <c r="K39" s="93" t="s">
        <v>89</v>
      </c>
      <c r="L39" s="98">
        <v>45292</v>
      </c>
    </row>
    <row r="40" spans="4:12" x14ac:dyDescent="0.25">
      <c r="K40" s="93" t="s">
        <v>90</v>
      </c>
      <c r="L40" s="96">
        <v>0</v>
      </c>
    </row>
    <row r="41" spans="4:12" x14ac:dyDescent="0.25">
      <c r="K41" s="99"/>
      <c r="L41" s="99"/>
    </row>
    <row r="42" spans="4:12" ht="24.75" x14ac:dyDescent="0.25">
      <c r="K42" s="100" t="s">
        <v>91</v>
      </c>
      <c r="L42" s="101">
        <v>14228.97</v>
      </c>
    </row>
    <row r="43" spans="4:12" x14ac:dyDescent="0.25">
      <c r="K43" s="99"/>
      <c r="L43" s="99"/>
    </row>
    <row r="44" spans="4:12" ht="24.75" x14ac:dyDescent="0.25">
      <c r="K44" s="100" t="s">
        <v>92</v>
      </c>
      <c r="L44" s="102">
        <v>46753</v>
      </c>
    </row>
    <row r="48" spans="4:12" ht="15.75" thickBot="1" x14ac:dyDescent="0.3">
      <c r="D48" s="115" t="s">
        <v>76</v>
      </c>
      <c r="E48" s="115"/>
      <c r="F48" s="115"/>
      <c r="G48" s="115"/>
      <c r="H48" s="115"/>
      <c r="I48" s="115"/>
      <c r="K48" s="116" t="s">
        <v>84</v>
      </c>
      <c r="L48" s="116"/>
    </row>
    <row r="49" spans="4:12" ht="15.75" thickBot="1" x14ac:dyDescent="0.3">
      <c r="D49" s="86" t="s">
        <v>77</v>
      </c>
      <c r="E49" s="87" t="s">
        <v>78</v>
      </c>
      <c r="F49" s="87" t="s">
        <v>79</v>
      </c>
      <c r="G49" s="87" t="s">
        <v>80</v>
      </c>
      <c r="H49" s="87" t="s">
        <v>81</v>
      </c>
      <c r="I49" s="87" t="s">
        <v>82</v>
      </c>
      <c r="K49" s="116"/>
      <c r="L49" s="116"/>
    </row>
    <row r="50" spans="4:12" x14ac:dyDescent="0.25">
      <c r="D50" s="88">
        <v>2024</v>
      </c>
      <c r="E50" s="89">
        <v>217813.18</v>
      </c>
      <c r="F50" s="89">
        <v>59605.96</v>
      </c>
      <c r="G50" s="89">
        <v>158207.22</v>
      </c>
      <c r="H50" s="89">
        <v>841792.78</v>
      </c>
      <c r="I50" s="89">
        <v>158207.22</v>
      </c>
      <c r="K50" s="93" t="s">
        <v>80</v>
      </c>
      <c r="L50" s="94">
        <v>1000000</v>
      </c>
    </row>
    <row r="51" spans="4:12" x14ac:dyDescent="0.25">
      <c r="D51" s="90">
        <v>2025</v>
      </c>
      <c r="E51" s="91">
        <v>237614.38</v>
      </c>
      <c r="F51" s="91">
        <v>53079.61</v>
      </c>
      <c r="G51" s="91">
        <v>184534.77</v>
      </c>
      <c r="H51" s="91">
        <v>657258.01</v>
      </c>
      <c r="I51" s="91">
        <v>342741.99</v>
      </c>
      <c r="K51" s="93" t="s">
        <v>85</v>
      </c>
      <c r="L51" s="95">
        <v>7.0000000000000007E-2</v>
      </c>
    </row>
    <row r="52" spans="4:12" x14ac:dyDescent="0.25">
      <c r="D52" s="88">
        <v>2026</v>
      </c>
      <c r="E52" s="89">
        <v>237614.38</v>
      </c>
      <c r="F52" s="89">
        <v>39739.58</v>
      </c>
      <c r="G52" s="89">
        <v>197874.81</v>
      </c>
      <c r="H52" s="89">
        <v>459383.2</v>
      </c>
      <c r="I52" s="89">
        <v>540616.80000000005</v>
      </c>
      <c r="K52" s="93" t="s">
        <v>86</v>
      </c>
      <c r="L52" s="96">
        <v>60</v>
      </c>
    </row>
    <row r="53" spans="4:12" x14ac:dyDescent="0.25">
      <c r="D53" s="90">
        <v>2027</v>
      </c>
      <c r="E53" s="91">
        <v>237614.38</v>
      </c>
      <c r="F53" s="91">
        <v>25435.19</v>
      </c>
      <c r="G53" s="91">
        <v>212179.19</v>
      </c>
      <c r="H53" s="91">
        <v>247204.01</v>
      </c>
      <c r="I53" s="91">
        <v>752795.99</v>
      </c>
      <c r="K53" s="93" t="s">
        <v>87</v>
      </c>
      <c r="L53" s="97" t="s">
        <v>88</v>
      </c>
    </row>
    <row r="54" spans="4:12" ht="24.75" x14ac:dyDescent="0.25">
      <c r="D54" s="88">
        <v>2028</v>
      </c>
      <c r="E54" s="89">
        <v>237614.38</v>
      </c>
      <c r="F54" s="89">
        <v>10096.74</v>
      </c>
      <c r="G54" s="89">
        <v>227517.64</v>
      </c>
      <c r="H54" s="89">
        <v>19686.36</v>
      </c>
      <c r="I54" s="89">
        <v>980313.64</v>
      </c>
      <c r="K54" s="93" t="s">
        <v>89</v>
      </c>
      <c r="L54" s="98">
        <v>45292</v>
      </c>
    </row>
    <row r="55" spans="4:12" x14ac:dyDescent="0.25">
      <c r="D55" s="90">
        <v>2029</v>
      </c>
      <c r="E55" s="91">
        <v>19801.2</v>
      </c>
      <c r="F55" s="103">
        <v>114.84</v>
      </c>
      <c r="G55" s="91">
        <v>19686.36</v>
      </c>
      <c r="H55" s="103">
        <v>0</v>
      </c>
      <c r="I55" s="91">
        <v>1000000</v>
      </c>
      <c r="K55" s="93" t="s">
        <v>90</v>
      </c>
      <c r="L55" s="96">
        <v>0</v>
      </c>
    </row>
    <row r="56" spans="4:12" x14ac:dyDescent="0.25">
      <c r="K56" s="99"/>
      <c r="L56" s="99"/>
    </row>
    <row r="57" spans="4:12" x14ac:dyDescent="0.25">
      <c r="K57" s="100" t="s">
        <v>91</v>
      </c>
      <c r="L57" s="101">
        <v>19801.2</v>
      </c>
    </row>
    <row r="58" spans="4:12" x14ac:dyDescent="0.25">
      <c r="K58" s="99"/>
      <c r="L58" s="99"/>
    </row>
    <row r="59" spans="4:12" ht="24.75" x14ac:dyDescent="0.25">
      <c r="K59" s="100" t="s">
        <v>92</v>
      </c>
      <c r="L59" s="102">
        <v>47119</v>
      </c>
    </row>
  </sheetData>
  <mergeCells count="6">
    <mergeCell ref="D16:I16"/>
    <mergeCell ref="K16:L17"/>
    <mergeCell ref="K33:L34"/>
    <mergeCell ref="D33:I33"/>
    <mergeCell ref="K48:L49"/>
    <mergeCell ref="D48:I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6</vt:i4>
      </vt:variant>
    </vt:vector>
  </HeadingPairs>
  <TitlesOfParts>
    <vt:vector size="6" baseType="lpstr">
      <vt:lpstr>Full1</vt:lpstr>
      <vt:lpstr>Full2</vt:lpstr>
      <vt:lpstr>Cuenta Explotacion</vt:lpstr>
      <vt:lpstr>como financiar</vt:lpstr>
      <vt:lpstr>Full3</vt:lpstr>
      <vt:lpstr>Amorizaciones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PORTATIL28</dc:creator>
  <cp:lastModifiedBy>Oriol puig i Carreró</cp:lastModifiedBy>
  <dcterms:created xsi:type="dcterms:W3CDTF">2024-01-16T16:15:29Z</dcterms:created>
  <dcterms:modified xsi:type="dcterms:W3CDTF">2024-01-31T18:55:52Z</dcterms:modified>
</cp:coreProperties>
</file>