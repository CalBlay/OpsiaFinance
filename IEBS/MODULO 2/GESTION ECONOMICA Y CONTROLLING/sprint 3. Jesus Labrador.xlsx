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2/GESTION ECONOMICA Y CONTROLLING/"/>
    </mc:Choice>
  </mc:AlternateContent>
  <xr:revisionPtr revIDLastSave="0" documentId="8_{522B820C-725B-41C8-B8A2-31BAD46B95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3" l="1"/>
  <c r="B24" i="3"/>
  <c r="E26" i="3"/>
  <c r="E9" i="3"/>
  <c r="E10" i="3"/>
  <c r="E11" i="3"/>
  <c r="E13" i="3"/>
  <c r="E14" i="3"/>
  <c r="E15" i="3"/>
  <c r="E16" i="3"/>
  <c r="E17" i="3"/>
  <c r="E19" i="3" s="1"/>
  <c r="E18" i="3"/>
  <c r="E21" i="3"/>
  <c r="E22" i="3"/>
  <c r="E23" i="3"/>
  <c r="E25" i="3"/>
  <c r="E27" i="3"/>
  <c r="E32" i="3" s="1"/>
  <c r="E28" i="3"/>
  <c r="E29" i="3"/>
  <c r="E30" i="3"/>
  <c r="E31" i="3"/>
  <c r="E8" i="3"/>
  <c r="C32" i="3"/>
  <c r="B32" i="3"/>
  <c r="C26" i="3"/>
  <c r="B26" i="3"/>
  <c r="C19" i="3"/>
  <c r="B19" i="3"/>
  <c r="C12" i="3"/>
  <c r="B12" i="3"/>
  <c r="E24" i="3" l="1"/>
  <c r="E12" i="3"/>
  <c r="E20" i="3" s="1"/>
  <c r="B20" i="3"/>
  <c r="B33" i="3"/>
  <c r="E33" i="3"/>
</calcChain>
</file>

<file path=xl/sharedStrings.xml><?xml version="1.0" encoding="utf-8"?>
<sst xmlns="http://schemas.openxmlformats.org/spreadsheetml/2006/main" count="32" uniqueCount="32">
  <si>
    <t>Inmovilizado material</t>
  </si>
  <si>
    <t>Inversiones inmobiliarias</t>
  </si>
  <si>
    <t>Inversiones financieras a largo plazo, empresa del grupo</t>
  </si>
  <si>
    <t>Activo no corriente</t>
  </si>
  <si>
    <t>Existencias</t>
  </si>
  <si>
    <t>Deudores</t>
  </si>
  <si>
    <t>Activo corriente</t>
  </si>
  <si>
    <t>TOTAL ACTIVO</t>
  </si>
  <si>
    <t>Reservas</t>
  </si>
  <si>
    <t>Resultado del ejercicio</t>
  </si>
  <si>
    <t>Deudas a largo plazo</t>
  </si>
  <si>
    <t>Deudas a corto plazo</t>
  </si>
  <si>
    <t>Deudas a corto plazo, empresas del grupo</t>
  </si>
  <si>
    <t>Proveedores</t>
  </si>
  <si>
    <t>Personal</t>
  </si>
  <si>
    <t>TOTAL PASIVO Y PATRIMONIO NETO</t>
  </si>
  <si>
    <t>Inversiones financieras a largo plazo</t>
  </si>
  <si>
    <t>Proveedores, empresas del grupo</t>
  </si>
  <si>
    <t>Inversiones financieras a corto plazo</t>
  </si>
  <si>
    <t>Tesorería</t>
  </si>
  <si>
    <t>Patrimonio Neto</t>
  </si>
  <si>
    <t xml:space="preserve">Estado Financiero Consolidado </t>
  </si>
  <si>
    <t>Consolidado (€)</t>
  </si>
  <si>
    <t>CONTROL A (€)</t>
  </si>
  <si>
    <t>CONTROL B (€)</t>
  </si>
  <si>
    <t>Ajustes de Eliminación (€)</t>
  </si>
  <si>
    <t>Activo</t>
  </si>
  <si>
    <t>Clientes empresas del grupo</t>
  </si>
  <si>
    <t>Inversiones financieras a corto plazo empresas del grupo</t>
  </si>
  <si>
    <t>Capital social</t>
  </si>
  <si>
    <t>Pasivo a largo plazo</t>
  </si>
  <si>
    <t>Pasivo a corto plazo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</si>
</sst>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.6"/>
      <color rgb="FF374151"/>
      <name val="Segoe UI"/>
      <family val="2"/>
    </font>
    <font>
      <sz val="9.6"/>
      <color rgb="FF374151"/>
      <name val="Segoe UI"/>
      <family val="2"/>
    </font>
    <font>
      <sz val="11"/>
      <color rgb="FF374151"/>
      <name val="Calibri"/>
      <family val="2"/>
      <scheme val="minor"/>
    </font>
    <font>
      <b/>
      <sz val="9.6"/>
      <color rgb="FF37415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D9D9E3"/>
      </left>
      <right/>
      <top style="medium">
        <color indexed="64"/>
      </top>
      <bottom style="medium">
        <color rgb="FFD9D9E3"/>
      </bottom>
      <diagonal/>
    </border>
    <border>
      <left style="medium">
        <color rgb="FFD9D9E3"/>
      </left>
      <right style="medium">
        <color indexed="64"/>
      </right>
      <top style="medium">
        <color indexed="64"/>
      </top>
      <bottom style="medium">
        <color rgb="FFD9D9E3"/>
      </bottom>
      <diagonal/>
    </border>
    <border>
      <left style="medium">
        <color indexed="64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indexed="64"/>
      </right>
      <top/>
      <bottom style="medium">
        <color rgb="FFD9D9E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D9D9E3"/>
      </left>
      <right/>
      <top/>
      <bottom style="medium">
        <color indexed="64"/>
      </bottom>
      <diagonal/>
    </border>
    <border>
      <left style="medium">
        <color rgb="FFD9D9E3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4" fontId="4" fillId="0" borderId="1" xfId="0" applyNumberFormat="1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4" fontId="2" fillId="2" borderId="1" xfId="0" applyNumberFormat="1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4" fontId="4" fillId="3" borderId="1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0" fillId="4" borderId="2" xfId="0" applyFill="1" applyBorder="1"/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4" fontId="2" fillId="0" borderId="6" xfId="0" applyNumberFormat="1" applyFont="1" applyBorder="1" applyAlignment="1">
      <alignment vertical="center" wrapText="1"/>
    </xf>
    <xf numFmtId="4" fontId="2" fillId="2" borderId="6" xfId="0" applyNumberFormat="1" applyFont="1" applyFill="1" applyBorder="1" applyAlignment="1">
      <alignment vertical="center" wrapText="1"/>
    </xf>
    <xf numFmtId="4" fontId="4" fillId="0" borderId="6" xfId="0" applyNumberFormat="1" applyFont="1" applyBorder="1" applyAlignment="1">
      <alignment vertical="center" wrapText="1"/>
    </xf>
    <xf numFmtId="4" fontId="4" fillId="3" borderId="6" xfId="0" applyNumberFormat="1" applyFont="1" applyFill="1" applyBorder="1" applyAlignment="1">
      <alignment vertical="center" wrapText="1"/>
    </xf>
    <xf numFmtId="4" fontId="4" fillId="3" borderId="8" xfId="0" applyNumberFormat="1" applyFont="1" applyFill="1" applyBorder="1" applyAlignment="1">
      <alignment vertical="center" wrapText="1"/>
    </xf>
    <xf numFmtId="4" fontId="2" fillId="3" borderId="8" xfId="0" applyNumberFormat="1" applyFont="1" applyFill="1" applyBorder="1" applyAlignment="1">
      <alignment vertical="center" wrapText="1"/>
    </xf>
    <xf numFmtId="4" fontId="4" fillId="3" borderId="9" xfId="0" applyNumberFormat="1" applyFont="1" applyFill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36"/>
  <sheetViews>
    <sheetView tabSelected="1" topLeftCell="A2" workbookViewId="0">
      <selection activeCell="D16" sqref="D16"/>
    </sheetView>
  </sheetViews>
  <sheetFormatPr defaultColWidth="11.42578125" defaultRowHeight="15" x14ac:dyDescent="0.25"/>
  <cols>
    <col min="1" max="1" width="34" customWidth="1"/>
    <col min="2" max="2" width="12.28515625" bestFit="1" customWidth="1"/>
    <col min="3" max="3" width="11.140625" bestFit="1" customWidth="1"/>
    <col min="4" max="4" width="12.28515625" bestFit="1" customWidth="1"/>
    <col min="5" max="5" width="12.140625" customWidth="1"/>
  </cols>
  <sheetData>
    <row r="3" spans="1:5" x14ac:dyDescent="0.25">
      <c r="A3" s="3" t="s">
        <v>21</v>
      </c>
    </row>
    <row r="5" spans="1:5" ht="15.75" thickBot="1" x14ac:dyDescent="0.3"/>
    <row r="6" spans="1:5" ht="43.5" thickBot="1" x14ac:dyDescent="0.3">
      <c r="A6" s="14"/>
      <c r="B6" s="15" t="s">
        <v>23</v>
      </c>
      <c r="C6" s="15" t="s">
        <v>24</v>
      </c>
      <c r="D6" s="15" t="s">
        <v>25</v>
      </c>
      <c r="E6" s="16" t="s">
        <v>22</v>
      </c>
    </row>
    <row r="7" spans="1:5" ht="15.75" thickBot="1" x14ac:dyDescent="0.3">
      <c r="A7" s="4" t="s">
        <v>26</v>
      </c>
      <c r="B7" s="1"/>
      <c r="C7" s="1"/>
      <c r="D7" s="1"/>
      <c r="E7" s="5"/>
    </row>
    <row r="8" spans="1:5" ht="15.75" thickBot="1" x14ac:dyDescent="0.3">
      <c r="A8" s="6" t="s">
        <v>0</v>
      </c>
      <c r="B8" s="2">
        <v>4000000</v>
      </c>
      <c r="C8" s="2">
        <v>28000</v>
      </c>
      <c r="D8" s="2"/>
      <c r="E8" s="17">
        <f>B8+C8+D8</f>
        <v>4028000</v>
      </c>
    </row>
    <row r="9" spans="1:5" ht="15.75" thickBot="1" x14ac:dyDescent="0.3">
      <c r="A9" s="6" t="s">
        <v>1</v>
      </c>
      <c r="B9" s="2">
        <v>470000</v>
      </c>
      <c r="C9" s="2">
        <v>0</v>
      </c>
      <c r="D9" s="2"/>
      <c r="E9" s="17">
        <f t="shared" ref="E9:E31" si="0">B9+C9+D9</f>
        <v>470000</v>
      </c>
    </row>
    <row r="10" spans="1:5" ht="29.25" thickBot="1" x14ac:dyDescent="0.3">
      <c r="A10" s="6" t="s">
        <v>2</v>
      </c>
      <c r="B10" s="2">
        <v>10000</v>
      </c>
      <c r="C10" s="2">
        <v>0</v>
      </c>
      <c r="D10" s="2">
        <v>-10000</v>
      </c>
      <c r="E10" s="17">
        <f t="shared" si="0"/>
        <v>0</v>
      </c>
    </row>
    <row r="11" spans="1:5" ht="15.75" thickBot="1" x14ac:dyDescent="0.3">
      <c r="A11" s="6" t="s">
        <v>16</v>
      </c>
      <c r="B11" s="2">
        <v>0</v>
      </c>
      <c r="C11" s="2">
        <v>75000</v>
      </c>
      <c r="D11" s="2"/>
      <c r="E11" s="17">
        <f t="shared" si="0"/>
        <v>75000</v>
      </c>
    </row>
    <row r="12" spans="1:5" ht="15.75" thickBot="1" x14ac:dyDescent="0.3">
      <c r="A12" s="8" t="s">
        <v>3</v>
      </c>
      <c r="B12" s="7">
        <f>SUM(B8:B11)</f>
        <v>4480000</v>
      </c>
      <c r="C12" s="7">
        <f>SUM(C8:C11)</f>
        <v>103000</v>
      </c>
      <c r="D12" s="2"/>
      <c r="E12" s="19">
        <f>SUM(E8:E11)</f>
        <v>4573000</v>
      </c>
    </row>
    <row r="13" spans="1:5" ht="15.75" thickBot="1" x14ac:dyDescent="0.3">
      <c r="A13" s="6" t="s">
        <v>4</v>
      </c>
      <c r="B13" s="2">
        <v>77120</v>
      </c>
      <c r="C13" s="2">
        <v>76000</v>
      </c>
      <c r="D13" s="2"/>
      <c r="E13" s="17">
        <f t="shared" si="0"/>
        <v>153120</v>
      </c>
    </row>
    <row r="14" spans="1:5" ht="15.75" thickBot="1" x14ac:dyDescent="0.3">
      <c r="A14" s="6" t="s">
        <v>5</v>
      </c>
      <c r="B14" s="2">
        <v>350000</v>
      </c>
      <c r="C14" s="2">
        <v>460000</v>
      </c>
      <c r="D14" s="2"/>
      <c r="E14" s="17">
        <f t="shared" si="0"/>
        <v>810000</v>
      </c>
    </row>
    <row r="15" spans="1:5" ht="15.75" thickBot="1" x14ac:dyDescent="0.3">
      <c r="A15" s="6" t="s">
        <v>18</v>
      </c>
      <c r="B15" s="2">
        <v>150000</v>
      </c>
      <c r="C15" s="2">
        <v>21000</v>
      </c>
      <c r="D15" s="2"/>
      <c r="E15" s="17">
        <f t="shared" si="0"/>
        <v>171000</v>
      </c>
    </row>
    <row r="16" spans="1:5" ht="29.25" thickBot="1" x14ac:dyDescent="0.3">
      <c r="A16" s="9" t="s">
        <v>28</v>
      </c>
      <c r="B16" s="10">
        <v>0</v>
      </c>
      <c r="C16" s="10">
        <v>38000</v>
      </c>
      <c r="D16" s="10">
        <v>-38000</v>
      </c>
      <c r="E16" s="18">
        <f t="shared" si="0"/>
        <v>0</v>
      </c>
    </row>
    <row r="17" spans="1:5" ht="15.75" thickBot="1" x14ac:dyDescent="0.3">
      <c r="A17" s="9" t="s">
        <v>27</v>
      </c>
      <c r="B17" s="10">
        <v>10000</v>
      </c>
      <c r="C17" s="10">
        <v>0</v>
      </c>
      <c r="D17" s="10">
        <v>-10000</v>
      </c>
      <c r="E17" s="18">
        <f t="shared" si="0"/>
        <v>0</v>
      </c>
    </row>
    <row r="18" spans="1:5" ht="15.75" thickBot="1" x14ac:dyDescent="0.3">
      <c r="A18" s="6" t="s">
        <v>19</v>
      </c>
      <c r="B18" s="2">
        <v>150000</v>
      </c>
      <c r="C18" s="2">
        <v>22000</v>
      </c>
      <c r="D18" s="2"/>
      <c r="E18" s="17">
        <f t="shared" si="0"/>
        <v>172000</v>
      </c>
    </row>
    <row r="19" spans="1:5" ht="15.75" thickBot="1" x14ac:dyDescent="0.3">
      <c r="A19" s="8" t="s">
        <v>6</v>
      </c>
      <c r="B19" s="7">
        <f>SUM(B13:B18)</f>
        <v>737120</v>
      </c>
      <c r="C19" s="7">
        <f>SUM(C13:C18)</f>
        <v>617000</v>
      </c>
      <c r="D19" s="2"/>
      <c r="E19" s="19">
        <f>SUM(E13:E18)</f>
        <v>1306120</v>
      </c>
    </row>
    <row r="20" spans="1:5" ht="15.75" thickBot="1" x14ac:dyDescent="0.3">
      <c r="A20" s="11" t="s">
        <v>7</v>
      </c>
      <c r="B20" s="12">
        <f>+B12+B19</f>
        <v>5217120</v>
      </c>
      <c r="C20" s="12">
        <v>720000</v>
      </c>
      <c r="D20" s="12"/>
      <c r="E20" s="20">
        <f>+E12+E19</f>
        <v>5879120</v>
      </c>
    </row>
    <row r="21" spans="1:5" ht="15.75" thickBot="1" x14ac:dyDescent="0.3">
      <c r="A21" s="6" t="s">
        <v>29</v>
      </c>
      <c r="B21" s="2">
        <v>6000</v>
      </c>
      <c r="C21" s="2">
        <v>10000</v>
      </c>
      <c r="D21" s="2">
        <v>-10000</v>
      </c>
      <c r="E21" s="17">
        <f t="shared" si="0"/>
        <v>6000</v>
      </c>
    </row>
    <row r="22" spans="1:5" ht="15.75" thickBot="1" x14ac:dyDescent="0.3">
      <c r="A22" s="6" t="s">
        <v>8</v>
      </c>
      <c r="B22" s="2">
        <v>3142245.33</v>
      </c>
      <c r="C22" s="2">
        <v>122125</v>
      </c>
      <c r="D22" s="2"/>
      <c r="E22" s="17">
        <f t="shared" si="0"/>
        <v>3264370.33</v>
      </c>
    </row>
    <row r="23" spans="1:5" ht="15.75" thickBot="1" x14ac:dyDescent="0.3">
      <c r="A23" s="6" t="s">
        <v>9</v>
      </c>
      <c r="B23" s="2">
        <v>1047375</v>
      </c>
      <c r="C23" s="2">
        <v>157875</v>
      </c>
      <c r="D23" s="2"/>
      <c r="E23" s="17">
        <f t="shared" si="0"/>
        <v>1205250</v>
      </c>
    </row>
    <row r="24" spans="1:5" ht="15.75" thickBot="1" x14ac:dyDescent="0.3">
      <c r="A24" s="8" t="s">
        <v>20</v>
      </c>
      <c r="B24" s="7">
        <f>SUM(B21:B23)</f>
        <v>4195620.33</v>
      </c>
      <c r="C24" s="7">
        <f>SUM(C21:C23)</f>
        <v>290000</v>
      </c>
      <c r="D24" s="7"/>
      <c r="E24" s="19">
        <f>SUM(E21:E23)</f>
        <v>4475620.33</v>
      </c>
    </row>
    <row r="25" spans="1:5" ht="15.75" thickBot="1" x14ac:dyDescent="0.3">
      <c r="A25" s="6" t="s">
        <v>10</v>
      </c>
      <c r="B25" s="2">
        <v>416666.67</v>
      </c>
      <c r="C25" s="2">
        <v>50000</v>
      </c>
      <c r="D25" s="2"/>
      <c r="E25" s="17">
        <f t="shared" si="0"/>
        <v>466666.67</v>
      </c>
    </row>
    <row r="26" spans="1:5" ht="15.75" thickBot="1" x14ac:dyDescent="0.3">
      <c r="A26" s="8" t="s">
        <v>30</v>
      </c>
      <c r="B26" s="7">
        <f>+B25</f>
        <v>416666.67</v>
      </c>
      <c r="C26" s="7">
        <f>+C25</f>
        <v>50000</v>
      </c>
      <c r="D26" s="7"/>
      <c r="E26" s="19">
        <f>+E25</f>
        <v>466666.67</v>
      </c>
    </row>
    <row r="27" spans="1:5" ht="15.75" thickBot="1" x14ac:dyDescent="0.3">
      <c r="A27" s="6" t="s">
        <v>11</v>
      </c>
      <c r="B27" s="2">
        <v>33333</v>
      </c>
      <c r="C27" s="2">
        <v>10000</v>
      </c>
      <c r="D27" s="2"/>
      <c r="E27" s="17">
        <f t="shared" si="0"/>
        <v>43333</v>
      </c>
    </row>
    <row r="28" spans="1:5" ht="29.25" thickBot="1" x14ac:dyDescent="0.3">
      <c r="A28" s="9" t="s">
        <v>12</v>
      </c>
      <c r="B28" s="10">
        <v>38000</v>
      </c>
      <c r="C28" s="10"/>
      <c r="D28" s="10">
        <v>-38000</v>
      </c>
      <c r="E28" s="18">
        <f t="shared" si="0"/>
        <v>0</v>
      </c>
    </row>
    <row r="29" spans="1:5" ht="15.75" thickBot="1" x14ac:dyDescent="0.3">
      <c r="A29" s="6" t="s">
        <v>13</v>
      </c>
      <c r="B29" s="2">
        <v>460000</v>
      </c>
      <c r="C29" s="2">
        <v>350000</v>
      </c>
      <c r="D29" s="2"/>
      <c r="E29" s="17">
        <f t="shared" si="0"/>
        <v>810000</v>
      </c>
    </row>
    <row r="30" spans="1:5" ht="15.75" thickBot="1" x14ac:dyDescent="0.3">
      <c r="A30" s="9" t="s">
        <v>17</v>
      </c>
      <c r="B30" s="10">
        <v>0</v>
      </c>
      <c r="C30" s="10">
        <v>10000</v>
      </c>
      <c r="D30" s="10">
        <v>-10000</v>
      </c>
      <c r="E30" s="18">
        <f t="shared" si="0"/>
        <v>0</v>
      </c>
    </row>
    <row r="31" spans="1:5" ht="15.75" thickBot="1" x14ac:dyDescent="0.3">
      <c r="A31" s="6" t="s">
        <v>14</v>
      </c>
      <c r="B31" s="2">
        <v>73500</v>
      </c>
      <c r="C31" s="2">
        <v>10000</v>
      </c>
      <c r="D31" s="2"/>
      <c r="E31" s="17">
        <f t="shared" si="0"/>
        <v>83500</v>
      </c>
    </row>
    <row r="32" spans="1:5" ht="15.75" thickBot="1" x14ac:dyDescent="0.3">
      <c r="A32" s="8" t="s">
        <v>31</v>
      </c>
      <c r="B32" s="7">
        <f>SUM(B27:B31)</f>
        <v>604833</v>
      </c>
      <c r="C32" s="7">
        <f>SUM(C27:C31)</f>
        <v>380000</v>
      </c>
      <c r="D32" s="2"/>
      <c r="E32" s="19">
        <f>SUM(E27:E31)</f>
        <v>936833</v>
      </c>
    </row>
    <row r="33" spans="1:5" ht="29.25" thickBot="1" x14ac:dyDescent="0.3">
      <c r="A33" s="13" t="s">
        <v>15</v>
      </c>
      <c r="B33" s="21">
        <f>+B24+B26+B32</f>
        <v>5217120</v>
      </c>
      <c r="C33" s="21">
        <v>720000</v>
      </c>
      <c r="D33" s="22"/>
      <c r="E33" s="23">
        <f>+E24+E26+E32</f>
        <v>5879120</v>
      </c>
    </row>
    <row r="36" spans="1:5" x14ac:dyDescent="0.25">
      <c r="A36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jlabr</dc:creator>
  <cp:lastModifiedBy>Oriol puig i Carreró</cp:lastModifiedBy>
  <dcterms:created xsi:type="dcterms:W3CDTF">2024-01-20T07:38:32Z</dcterms:created>
  <dcterms:modified xsi:type="dcterms:W3CDTF">2024-01-30T18:52:31Z</dcterms:modified>
</cp:coreProperties>
</file>