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TIL28\Desktop\IEBS\MODULO 2\GESTION ECONOMICA Y CONTROLLING\"/>
    </mc:Choice>
  </mc:AlternateContent>
  <xr:revisionPtr revIDLastSave="0" documentId="13_ncr:1_{90CAFABD-61CE-4EA8-9520-F7CF7790F0D2}" xr6:coauthVersionLast="47" xr6:coauthVersionMax="47" xr10:uidLastSave="{00000000-0000-0000-0000-000000000000}"/>
  <bookViews>
    <workbookView xWindow="-120" yWindow="-120" windowWidth="29040" windowHeight="15720" activeTab="1" xr2:uid="{617436E2-D95D-4B23-9D93-B1AB1F83E0F8}"/>
  </bookViews>
  <sheets>
    <sheet name="PERIMETRO CONSOLIDACION" sheetId="3" r:id="rId1"/>
    <sheet name="Sábana de conoslidacion" sheetId="4" r:id="rId2"/>
    <sheet name="CONTROL A" sheetId="1" r:id="rId3"/>
    <sheet name="CONTROL B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4" l="1"/>
  <c r="I30" i="4"/>
  <c r="F30" i="4"/>
  <c r="G30" i="4"/>
  <c r="E30" i="4"/>
  <c r="C19" i="4"/>
  <c r="D23" i="4"/>
  <c r="J23" i="4" s="1"/>
  <c r="D24" i="4"/>
  <c r="J24" i="4" s="1"/>
  <c r="D25" i="4"/>
  <c r="J25" i="4" s="1"/>
  <c r="D26" i="4"/>
  <c r="J26" i="4" s="1"/>
  <c r="D22" i="4"/>
  <c r="J22" i="4" s="1"/>
  <c r="D20" i="4"/>
  <c r="D21" i="4" s="1"/>
  <c r="D17" i="4"/>
  <c r="J17" i="4" s="1"/>
  <c r="D18" i="4"/>
  <c r="J18" i="4" s="1"/>
  <c r="D16" i="4"/>
  <c r="J16" i="4" s="1"/>
  <c r="D9" i="4"/>
  <c r="J9" i="4" s="1"/>
  <c r="D10" i="4"/>
  <c r="J10" i="4" s="1"/>
  <c r="D11" i="4"/>
  <c r="J11" i="4" s="1"/>
  <c r="D12" i="4"/>
  <c r="J12" i="4" s="1"/>
  <c r="D13" i="4"/>
  <c r="J13" i="4" s="1"/>
  <c r="D8" i="4"/>
  <c r="J8" i="4" s="1"/>
  <c r="D4" i="4"/>
  <c r="J4" i="4" s="1"/>
  <c r="D5" i="4"/>
  <c r="J5" i="4" s="1"/>
  <c r="D6" i="4"/>
  <c r="J6" i="4" s="1"/>
  <c r="D3" i="4"/>
  <c r="J3" i="4" s="1"/>
  <c r="C27" i="4"/>
  <c r="C21" i="4"/>
  <c r="C14" i="4"/>
  <c r="C7" i="4"/>
  <c r="B27" i="4"/>
  <c r="B21" i="4"/>
  <c r="B19" i="4"/>
  <c r="B14" i="4"/>
  <c r="B7" i="4"/>
  <c r="B23" i="2"/>
  <c r="B24" i="2" s="1"/>
  <c r="B18" i="2"/>
  <c r="B16" i="2"/>
  <c r="B5" i="2"/>
  <c r="B11" i="2"/>
  <c r="B24" i="1"/>
  <c r="B17" i="1"/>
  <c r="B19" i="1"/>
  <c r="B12" i="1"/>
  <c r="B6" i="1"/>
  <c r="D7" i="4" l="1"/>
  <c r="J14" i="4"/>
  <c r="J7" i="4"/>
  <c r="D19" i="4"/>
  <c r="J20" i="4"/>
  <c r="J21" i="4" s="1"/>
  <c r="J27" i="4"/>
  <c r="J19" i="4"/>
  <c r="D27" i="4"/>
  <c r="D14" i="4"/>
  <c r="D15" i="4" s="1"/>
  <c r="B28" i="4"/>
  <c r="C28" i="4"/>
  <c r="C15" i="4"/>
  <c r="B15" i="4"/>
  <c r="B30" i="4" s="1"/>
  <c r="B12" i="2"/>
  <c r="B25" i="1"/>
  <c r="B13" i="1"/>
  <c r="J15" i="4" l="1"/>
  <c r="J28" i="4"/>
  <c r="D28" i="4"/>
  <c r="D30" i="4" s="1"/>
  <c r="C30" i="4"/>
  <c r="J30" i="4" l="1"/>
</calcChain>
</file>

<file path=xl/sharedStrings.xml><?xml version="1.0" encoding="utf-8"?>
<sst xmlns="http://schemas.openxmlformats.org/spreadsheetml/2006/main" count="86" uniqueCount="39">
  <si>
    <t>Inmovilizado material</t>
  </si>
  <si>
    <t>Inversiones inmobiliarias</t>
  </si>
  <si>
    <t>Inversiones financieras a l.p., empresas del grupo</t>
  </si>
  <si>
    <t>ACTIVO NO CORRIENTE</t>
  </si>
  <si>
    <t>Existencias</t>
  </si>
  <si>
    <t>Deudores</t>
  </si>
  <si>
    <t>Inversiones financieras a c.p.</t>
  </si>
  <si>
    <t>Clientes empresas del grupo</t>
  </si>
  <si>
    <t>Tesoreira</t>
  </si>
  <si>
    <t>ACTIVO CORRIENTE</t>
  </si>
  <si>
    <t>TOTAL ACTIVO</t>
  </si>
  <si>
    <t>CONTROL A</t>
  </si>
  <si>
    <t>CONTROL A BALANCE SITUACION</t>
  </si>
  <si>
    <t>Capital Social</t>
  </si>
  <si>
    <t>Reservas</t>
  </si>
  <si>
    <t>Resultado del ejercio</t>
  </si>
  <si>
    <t>Patrimonio Neto</t>
  </si>
  <si>
    <t>Deudas a l.p</t>
  </si>
  <si>
    <t>PASIVO NO CORRIENTE</t>
  </si>
  <si>
    <t>Deudas a c.p</t>
  </si>
  <si>
    <t>Deudas a c.p, empresas del grupo</t>
  </si>
  <si>
    <t>Proveedores</t>
  </si>
  <si>
    <t>Personal</t>
  </si>
  <si>
    <t>TOTAL PASIVO y PATRIMONIO NETO</t>
  </si>
  <si>
    <t>PASIVO CORRIENTE</t>
  </si>
  <si>
    <t>CONTROL B BALANCE SITUIACION</t>
  </si>
  <si>
    <t>Inversiones fiancieras a l.p</t>
  </si>
  <si>
    <t>Inversiones financieras a c.p. empresas del grupo</t>
  </si>
  <si>
    <t>Proveedores, empresas del grupo</t>
  </si>
  <si>
    <t>Control A creo a CONTROL B por un importe de 10000</t>
  </si>
  <si>
    <t>CONTROL B</t>
  </si>
  <si>
    <t>EMPRESA DEL GRUPO</t>
  </si>
  <si>
    <t>Integracion global.</t>
  </si>
  <si>
    <t>Control Balance</t>
  </si>
  <si>
    <t>AGREGADO</t>
  </si>
  <si>
    <t>Consolidado</t>
  </si>
  <si>
    <t>Eliminacion Clientes</t>
  </si>
  <si>
    <t>Eliminacion inversiones l.p</t>
  </si>
  <si>
    <t>Eliminacion inversiones c.p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</si>
</sst>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43" fontId="0" fillId="0" borderId="0" xfId="1" applyFont="1"/>
    <xf numFmtId="0" fontId="0" fillId="2" borderId="0" xfId="0" applyFill="1"/>
    <xf numFmtId="43" fontId="0" fillId="2" borderId="0" xfId="1" applyFont="1" applyFill="1"/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3" xfId="0" applyBorder="1"/>
    <xf numFmtId="43" fontId="0" fillId="0" borderId="0" xfId="1" applyFont="1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2" borderId="3" xfId="0" applyFill="1" applyBorder="1"/>
    <xf numFmtId="43" fontId="0" fillId="2" borderId="0" xfId="1" applyFont="1" applyFill="1" applyBorder="1"/>
    <xf numFmtId="0" fontId="2" fillId="3" borderId="5" xfId="0" applyFont="1" applyFill="1" applyBorder="1"/>
    <xf numFmtId="43" fontId="2" fillId="3" borderId="6" xfId="1" applyFont="1" applyFill="1" applyBorder="1"/>
    <xf numFmtId="43" fontId="0" fillId="0" borderId="4" xfId="1" applyFont="1" applyBorder="1"/>
    <xf numFmtId="0" fontId="0" fillId="0" borderId="0" xfId="0" applyFill="1" applyBorder="1"/>
    <xf numFmtId="43" fontId="0" fillId="2" borderId="4" xfId="1" applyFont="1" applyFill="1" applyBorder="1"/>
    <xf numFmtId="0" fontId="4" fillId="3" borderId="2" xfId="0" applyFont="1" applyFill="1" applyBorder="1" applyAlignment="1"/>
    <xf numFmtId="0" fontId="5" fillId="4" borderId="5" xfId="0" applyFont="1" applyFill="1" applyBorder="1"/>
    <xf numFmtId="43" fontId="5" fillId="4" borderId="6" xfId="1" applyFont="1" applyFill="1" applyBorder="1"/>
    <xf numFmtId="0" fontId="3" fillId="0" borderId="3" xfId="0" applyFont="1" applyFill="1" applyBorder="1"/>
    <xf numFmtId="43" fontId="0" fillId="0" borderId="0" xfId="1" applyFont="1" applyFill="1" applyBorder="1"/>
    <xf numFmtId="9" fontId="0" fillId="0" borderId="0" xfId="2" applyFont="1"/>
    <xf numFmtId="0" fontId="6" fillId="5" borderId="0" xfId="0" applyFont="1" applyFill="1"/>
    <xf numFmtId="43" fontId="0" fillId="0" borderId="0" xfId="0" applyNumberFormat="1"/>
    <xf numFmtId="165" fontId="0" fillId="0" borderId="0" xfId="0" applyNumberFormat="1"/>
    <xf numFmtId="43" fontId="3" fillId="0" borderId="0" xfId="1" applyFont="1" applyFill="1" applyBorder="1"/>
    <xf numFmtId="43" fontId="3" fillId="0" borderId="0" xfId="0" applyNumberFormat="1" applyFont="1"/>
    <xf numFmtId="0" fontId="5" fillId="4" borderId="7" xfId="0" applyFont="1" applyFill="1" applyBorder="1"/>
    <xf numFmtId="43" fontId="5" fillId="4" borderId="8" xfId="1" applyFont="1" applyFill="1" applyBorder="1"/>
    <xf numFmtId="43" fontId="5" fillId="4" borderId="9" xfId="1" applyFont="1" applyFill="1" applyBorder="1"/>
    <xf numFmtId="2" fontId="0" fillId="0" borderId="0" xfId="1" applyNumberFormat="1" applyFont="1"/>
    <xf numFmtId="2" fontId="0" fillId="2" borderId="0" xfId="1" applyNumberFormat="1" applyFont="1" applyFill="1"/>
    <xf numFmtId="2" fontId="0" fillId="2" borderId="4" xfId="1" applyNumberFormat="1" applyFont="1" applyFill="1" applyBorder="1"/>
    <xf numFmtId="2" fontId="0" fillId="2" borderId="0" xfId="1" applyNumberFormat="1" applyFont="1" applyFill="1" applyBorder="1"/>
    <xf numFmtId="9" fontId="0" fillId="0" borderId="0" xfId="2" applyFont="1" applyAlignment="1">
      <alignment horizontal="center"/>
    </xf>
  </cellXfs>
  <cellStyles count="3">
    <cellStyle name="Coma" xfId="1" builtinId="3"/>
    <cellStyle name="Normal" xfId="0" builtinId="0"/>
    <cellStyle name="Percentat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F119-602A-4A7B-8E73-B22A7F52C795}">
  <dimension ref="B3:D6"/>
  <sheetViews>
    <sheetView workbookViewId="0">
      <selection activeCell="E16" sqref="D16:E17"/>
    </sheetView>
  </sheetViews>
  <sheetFormatPr defaultRowHeight="15" x14ac:dyDescent="0.25"/>
  <cols>
    <col min="2" max="2" width="21" customWidth="1"/>
    <col min="3" max="3" width="18.28515625" customWidth="1"/>
    <col min="4" max="4" width="13.140625" customWidth="1"/>
  </cols>
  <sheetData>
    <row r="3" spans="2:4" x14ac:dyDescent="0.25">
      <c r="D3" s="4" t="s">
        <v>11</v>
      </c>
    </row>
    <row r="4" spans="2:4" x14ac:dyDescent="0.25">
      <c r="B4" s="23">
        <v>1</v>
      </c>
    </row>
    <row r="5" spans="2:4" x14ac:dyDescent="0.25">
      <c r="B5" s="4" t="s">
        <v>30</v>
      </c>
    </row>
    <row r="6" spans="2:4" x14ac:dyDescent="0.25">
      <c r="B6" s="24" t="s">
        <v>31</v>
      </c>
      <c r="C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0916-BB1A-4DFE-A79E-6AD61396EB8F}">
  <dimension ref="A1:J30"/>
  <sheetViews>
    <sheetView tabSelected="1" workbookViewId="0">
      <selection activeCell="G15" sqref="G15"/>
    </sheetView>
  </sheetViews>
  <sheetFormatPr defaultRowHeight="15" x14ac:dyDescent="0.25"/>
  <cols>
    <col min="1" max="1" width="45.28515625" customWidth="1"/>
    <col min="2" max="2" width="20.28515625" customWidth="1"/>
    <col min="3" max="3" width="31" customWidth="1"/>
    <col min="4" max="4" width="26.5703125" customWidth="1"/>
    <col min="5" max="5" width="30.42578125" customWidth="1"/>
    <col min="6" max="6" width="29.5703125" customWidth="1"/>
    <col min="7" max="7" width="23.5703125" customWidth="1"/>
    <col min="10" max="10" width="30.42578125" customWidth="1"/>
  </cols>
  <sheetData>
    <row r="1" spans="1:10" x14ac:dyDescent="0.25">
      <c r="C1" s="23">
        <v>1</v>
      </c>
      <c r="E1" s="4" t="s">
        <v>37</v>
      </c>
      <c r="F1" s="4" t="s">
        <v>38</v>
      </c>
      <c r="G1" s="4" t="s">
        <v>36</v>
      </c>
    </row>
    <row r="2" spans="1:10" x14ac:dyDescent="0.25">
      <c r="B2" s="4" t="s">
        <v>11</v>
      </c>
      <c r="C2" s="4" t="s">
        <v>30</v>
      </c>
      <c r="D2" s="36" t="s">
        <v>34</v>
      </c>
      <c r="E2" s="4"/>
      <c r="F2" s="4"/>
      <c r="G2" s="1"/>
      <c r="J2" t="s">
        <v>35</v>
      </c>
    </row>
    <row r="3" spans="1:10" x14ac:dyDescent="0.25">
      <c r="A3" s="7" t="s">
        <v>0</v>
      </c>
      <c r="B3" s="8">
        <v>4000000</v>
      </c>
      <c r="C3" s="8">
        <v>28000</v>
      </c>
      <c r="D3" s="8">
        <f>SUM(B3:C3)</f>
        <v>4028000</v>
      </c>
      <c r="E3" s="1"/>
      <c r="F3" s="1"/>
      <c r="G3" s="1"/>
      <c r="J3" s="26">
        <f>D3-(E3+F3+G3+H3+I3)</f>
        <v>4028000</v>
      </c>
    </row>
    <row r="4" spans="1:10" x14ac:dyDescent="0.25">
      <c r="A4" s="7" t="s">
        <v>1</v>
      </c>
      <c r="B4" s="8">
        <v>470000</v>
      </c>
      <c r="C4" s="32">
        <v>0</v>
      </c>
      <c r="D4" s="8">
        <f t="shared" ref="D4:D13" si="0">SUM(B4:C4)</f>
        <v>470000</v>
      </c>
      <c r="E4" s="1"/>
      <c r="F4" s="1"/>
      <c r="G4" s="1"/>
      <c r="J4" s="26">
        <f>D4-(E4+F4+G4+H4+I4)</f>
        <v>470000</v>
      </c>
    </row>
    <row r="5" spans="1:10" x14ac:dyDescent="0.25">
      <c r="A5" s="7" t="s">
        <v>26</v>
      </c>
      <c r="B5" s="32">
        <v>0</v>
      </c>
      <c r="C5" s="8">
        <v>75000</v>
      </c>
      <c r="D5" s="8">
        <f t="shared" si="0"/>
        <v>75000</v>
      </c>
      <c r="E5" s="1">
        <v>10000</v>
      </c>
      <c r="F5" s="1"/>
      <c r="G5" s="1"/>
      <c r="J5" s="26">
        <f>D5-(E5+F5+G5+H5+I5)</f>
        <v>65000</v>
      </c>
    </row>
    <row r="6" spans="1:10" x14ac:dyDescent="0.25">
      <c r="A6" s="11" t="s">
        <v>2</v>
      </c>
      <c r="B6" s="12">
        <v>10000</v>
      </c>
      <c r="C6" s="35">
        <v>0</v>
      </c>
      <c r="D6" s="8">
        <f t="shared" si="0"/>
        <v>10000</v>
      </c>
      <c r="E6" s="3">
        <v>-10000</v>
      </c>
      <c r="F6" s="3"/>
      <c r="G6" s="3"/>
      <c r="H6" s="2"/>
      <c r="I6" s="2"/>
      <c r="J6" s="26">
        <f>D6-(E6+F6+G6+H6+I6)</f>
        <v>20000</v>
      </c>
    </row>
    <row r="7" spans="1:10" x14ac:dyDescent="0.25">
      <c r="A7" s="21" t="s">
        <v>3</v>
      </c>
      <c r="B7" s="27">
        <f>SUM(B3:B6)</f>
        <v>4480000</v>
      </c>
      <c r="C7" s="28">
        <f>SUM(C3:C6)</f>
        <v>103000</v>
      </c>
      <c r="D7" s="28">
        <f>SUM(D3:D6)</f>
        <v>4583000</v>
      </c>
      <c r="E7" s="1"/>
      <c r="F7" s="1"/>
      <c r="G7" s="1"/>
      <c r="J7" s="28">
        <f>SUM(J3:J6)</f>
        <v>4583000</v>
      </c>
    </row>
    <row r="8" spans="1:10" x14ac:dyDescent="0.25">
      <c r="A8" s="7" t="s">
        <v>4</v>
      </c>
      <c r="B8" s="8">
        <v>77120</v>
      </c>
      <c r="C8" s="8">
        <v>76000</v>
      </c>
      <c r="D8" s="8">
        <f t="shared" si="0"/>
        <v>153120</v>
      </c>
      <c r="E8" s="1"/>
      <c r="F8" s="1"/>
      <c r="G8" s="1"/>
      <c r="J8" s="26">
        <f>D8-(E8+F8+G8+H8+I8)</f>
        <v>153120</v>
      </c>
    </row>
    <row r="9" spans="1:10" x14ac:dyDescent="0.25">
      <c r="A9" s="7" t="s">
        <v>5</v>
      </c>
      <c r="B9" s="8">
        <v>350000</v>
      </c>
      <c r="C9" s="8">
        <v>460000</v>
      </c>
      <c r="D9" s="8">
        <f t="shared" si="0"/>
        <v>810000</v>
      </c>
      <c r="E9" s="1"/>
      <c r="F9" s="1"/>
      <c r="G9" s="1">
        <v>10000</v>
      </c>
      <c r="J9" s="26">
        <f>D9-(E9+F9+G9+H9+I9)</f>
        <v>800000</v>
      </c>
    </row>
    <row r="10" spans="1:10" x14ac:dyDescent="0.25">
      <c r="A10" s="7" t="s">
        <v>6</v>
      </c>
      <c r="B10" s="8">
        <v>150000</v>
      </c>
      <c r="C10" s="8">
        <v>21000</v>
      </c>
      <c r="D10" s="8">
        <f t="shared" si="0"/>
        <v>171000</v>
      </c>
      <c r="E10" s="1"/>
      <c r="F10" s="1"/>
      <c r="G10" s="1"/>
      <c r="J10" s="26">
        <f>D10-(E10+F10+G10+H10+I10)</f>
        <v>171000</v>
      </c>
    </row>
    <row r="11" spans="1:10" x14ac:dyDescent="0.25">
      <c r="A11" s="11" t="s">
        <v>27</v>
      </c>
      <c r="B11" s="33">
        <v>0</v>
      </c>
      <c r="C11" s="12">
        <v>38000</v>
      </c>
      <c r="D11" s="8">
        <f t="shared" si="0"/>
        <v>38000</v>
      </c>
      <c r="E11" s="3"/>
      <c r="F11" s="3">
        <v>-38000</v>
      </c>
      <c r="G11" s="3"/>
      <c r="H11" s="2"/>
      <c r="I11" s="2"/>
      <c r="J11" s="26">
        <f>D11-(E11+F11+G11+H11+I11)</f>
        <v>76000</v>
      </c>
    </row>
    <row r="12" spans="1:10" x14ac:dyDescent="0.25">
      <c r="A12" s="11" t="s">
        <v>7</v>
      </c>
      <c r="B12" s="12">
        <v>10000</v>
      </c>
      <c r="C12" s="33">
        <v>0</v>
      </c>
      <c r="D12" s="8">
        <f t="shared" si="0"/>
        <v>10000</v>
      </c>
      <c r="E12" s="3"/>
      <c r="F12" s="3"/>
      <c r="G12" s="3">
        <v>-10000</v>
      </c>
      <c r="H12" s="2"/>
      <c r="I12" s="2"/>
      <c r="J12" s="26">
        <f>D12-(E12+F12+G12+H12+I12)</f>
        <v>20000</v>
      </c>
    </row>
    <row r="13" spans="1:10" x14ac:dyDescent="0.25">
      <c r="A13" s="7" t="s">
        <v>8</v>
      </c>
      <c r="B13" s="8">
        <v>150000</v>
      </c>
      <c r="C13" s="8">
        <v>22000</v>
      </c>
      <c r="D13" s="8">
        <f t="shared" si="0"/>
        <v>172000</v>
      </c>
      <c r="E13" s="1"/>
      <c r="F13" s="1">
        <v>38000</v>
      </c>
      <c r="G13" s="1"/>
      <c r="J13" s="26">
        <f>D13-(E13+F13+G13+H13+I13)</f>
        <v>134000</v>
      </c>
    </row>
    <row r="14" spans="1:10" x14ac:dyDescent="0.25">
      <c r="A14" s="21" t="s">
        <v>9</v>
      </c>
      <c r="B14" s="27">
        <f>SUM(B8:B13)</f>
        <v>737120</v>
      </c>
      <c r="C14" s="28">
        <f>SUM(C8:C13)</f>
        <v>617000</v>
      </c>
      <c r="D14" s="28">
        <f>SUM(D8:D13)</f>
        <v>1354120</v>
      </c>
      <c r="E14" s="1"/>
      <c r="F14" s="1"/>
      <c r="G14" s="1"/>
      <c r="J14" s="28">
        <f>SUM(J8:J13)</f>
        <v>1354120</v>
      </c>
    </row>
    <row r="15" spans="1:10" x14ac:dyDescent="0.25">
      <c r="A15" s="29" t="s">
        <v>10</v>
      </c>
      <c r="B15" s="30">
        <f>B7+B14</f>
        <v>5217120</v>
      </c>
      <c r="C15" s="31">
        <f>C14+C7</f>
        <v>720000</v>
      </c>
      <c r="D15" s="31">
        <f>D14+D7</f>
        <v>5937120</v>
      </c>
      <c r="E15" s="1"/>
      <c r="F15" s="1"/>
      <c r="G15" s="1"/>
      <c r="J15" s="31">
        <f>J7+J14</f>
        <v>5937120</v>
      </c>
    </row>
    <row r="16" spans="1:10" x14ac:dyDescent="0.25">
      <c r="A16" s="10" t="s">
        <v>13</v>
      </c>
      <c r="B16" s="15">
        <v>6000</v>
      </c>
      <c r="C16" s="15">
        <v>10000</v>
      </c>
      <c r="D16" s="8">
        <f t="shared" ref="D16:D20" si="1">SUM(B16:C16)</f>
        <v>16000</v>
      </c>
      <c r="E16" s="1"/>
      <c r="F16" s="1"/>
      <c r="G16" s="1"/>
      <c r="J16" s="26">
        <f>D16-(E16+F16+G16+H16+I16)</f>
        <v>16000</v>
      </c>
    </row>
    <row r="17" spans="1:10" x14ac:dyDescent="0.25">
      <c r="A17" s="10" t="s">
        <v>14</v>
      </c>
      <c r="B17" s="15">
        <v>3142245.33</v>
      </c>
      <c r="C17" s="15">
        <v>122125</v>
      </c>
      <c r="D17" s="8">
        <f t="shared" si="1"/>
        <v>3264370.33</v>
      </c>
      <c r="E17" s="1">
        <v>10000</v>
      </c>
      <c r="F17" s="22"/>
      <c r="G17" s="1"/>
      <c r="J17" s="26">
        <f>D17-(E17+F17+G17+H17+I17)</f>
        <v>3254370.33</v>
      </c>
    </row>
    <row r="18" spans="1:10" x14ac:dyDescent="0.25">
      <c r="A18" s="10" t="s">
        <v>15</v>
      </c>
      <c r="B18" s="15">
        <v>1047375</v>
      </c>
      <c r="C18" s="15">
        <v>157875</v>
      </c>
      <c r="D18" s="8">
        <f t="shared" si="1"/>
        <v>1205250</v>
      </c>
      <c r="E18" s="1"/>
      <c r="F18" s="1">
        <v>38000</v>
      </c>
      <c r="G18" s="1"/>
      <c r="J18" s="26">
        <f>D18-(E18+F18+G18+H18+I18)</f>
        <v>1167250</v>
      </c>
    </row>
    <row r="19" spans="1:10" x14ac:dyDescent="0.25">
      <c r="A19" s="21" t="s">
        <v>16</v>
      </c>
      <c r="B19" s="27">
        <f>SUM(B16:B18)</f>
        <v>4195620.33</v>
      </c>
      <c r="C19" s="28">
        <f>SUM(C16:C18)</f>
        <v>290000</v>
      </c>
      <c r="D19" s="28">
        <f>SUM(D16:D18)</f>
        <v>4485620.33</v>
      </c>
      <c r="E19" s="1"/>
      <c r="F19" s="1"/>
      <c r="G19" s="1"/>
      <c r="J19" s="28">
        <f>SUM(J16:J18)</f>
        <v>4437620.33</v>
      </c>
    </row>
    <row r="20" spans="1:10" x14ac:dyDescent="0.25">
      <c r="A20" s="16" t="s">
        <v>17</v>
      </c>
      <c r="B20" s="15">
        <v>416666.67</v>
      </c>
      <c r="C20" s="25">
        <v>50000</v>
      </c>
      <c r="D20" s="8">
        <f t="shared" si="1"/>
        <v>466666.67</v>
      </c>
      <c r="E20" s="1"/>
      <c r="F20" s="1"/>
      <c r="G20" s="1"/>
      <c r="J20" s="26">
        <f>D20-(E20+F20+G20+H20+I20)</f>
        <v>466666.67</v>
      </c>
    </row>
    <row r="21" spans="1:10" x14ac:dyDescent="0.25">
      <c r="A21" s="21" t="s">
        <v>18</v>
      </c>
      <c r="B21" s="27">
        <f>B20</f>
        <v>416666.67</v>
      </c>
      <c r="C21" s="28">
        <f>C20</f>
        <v>50000</v>
      </c>
      <c r="D21" s="28">
        <f>D20</f>
        <v>466666.67</v>
      </c>
      <c r="E21" s="1"/>
      <c r="F21" s="1"/>
      <c r="G21" s="1"/>
      <c r="J21" s="28">
        <f>J20</f>
        <v>466666.67</v>
      </c>
    </row>
    <row r="22" spans="1:10" x14ac:dyDescent="0.25">
      <c r="A22" s="7" t="s">
        <v>19</v>
      </c>
      <c r="B22" s="15">
        <v>33333</v>
      </c>
      <c r="C22" s="15">
        <v>10000</v>
      </c>
      <c r="D22" s="8">
        <f>SUM(B22:C22)</f>
        <v>43333</v>
      </c>
      <c r="E22" s="1"/>
      <c r="F22" s="1"/>
      <c r="G22" s="1"/>
      <c r="J22" s="26">
        <f>D22-(E22+F22+G22+H22+I22)</f>
        <v>43333</v>
      </c>
    </row>
    <row r="23" spans="1:10" x14ac:dyDescent="0.25">
      <c r="A23" s="11" t="s">
        <v>20</v>
      </c>
      <c r="B23" s="17">
        <v>38000</v>
      </c>
      <c r="C23" s="33">
        <v>0</v>
      </c>
      <c r="D23" s="8">
        <f t="shared" ref="D23:D26" si="2">SUM(B23:C23)</f>
        <v>38000</v>
      </c>
      <c r="E23" s="3"/>
      <c r="F23" s="12">
        <v>-38000</v>
      </c>
      <c r="G23" s="3"/>
      <c r="H23" s="2"/>
      <c r="I23" s="2"/>
      <c r="J23" s="26">
        <f>D23-(E23+F23+G23+H23+I23)</f>
        <v>76000</v>
      </c>
    </row>
    <row r="24" spans="1:10" x14ac:dyDescent="0.25">
      <c r="A24" s="7" t="s">
        <v>21</v>
      </c>
      <c r="B24" s="15">
        <v>460000</v>
      </c>
      <c r="C24" s="15">
        <v>350000</v>
      </c>
      <c r="D24" s="8">
        <f t="shared" si="2"/>
        <v>810000</v>
      </c>
      <c r="E24" s="1"/>
      <c r="F24" s="1"/>
      <c r="G24" s="1">
        <v>-10000</v>
      </c>
      <c r="J24" s="26">
        <f>D24-(E24+F24+G24+H24+I24)</f>
        <v>820000</v>
      </c>
    </row>
    <row r="25" spans="1:10" x14ac:dyDescent="0.25">
      <c r="A25" s="11" t="s">
        <v>28</v>
      </c>
      <c r="B25" s="34">
        <v>0</v>
      </c>
      <c r="C25" s="17">
        <v>10000</v>
      </c>
      <c r="D25" s="8">
        <f t="shared" si="2"/>
        <v>10000</v>
      </c>
      <c r="E25" s="3">
        <v>-10000</v>
      </c>
      <c r="F25" s="3"/>
      <c r="G25" s="3">
        <v>10000</v>
      </c>
      <c r="H25" s="2"/>
      <c r="I25" s="2"/>
      <c r="J25" s="26">
        <f>D25-(E25+F25+G25+H25+I25)</f>
        <v>10000</v>
      </c>
    </row>
    <row r="26" spans="1:10" x14ac:dyDescent="0.25">
      <c r="A26" s="7" t="s">
        <v>22</v>
      </c>
      <c r="B26" s="15">
        <v>73500</v>
      </c>
      <c r="C26" s="15">
        <v>10000</v>
      </c>
      <c r="D26" s="8">
        <f t="shared" si="2"/>
        <v>83500</v>
      </c>
      <c r="E26" s="1"/>
      <c r="F26" s="1"/>
      <c r="G26" s="1"/>
      <c r="J26" s="26">
        <f>D26-(E26+F26+G26+H26+I26)</f>
        <v>83500</v>
      </c>
    </row>
    <row r="27" spans="1:10" x14ac:dyDescent="0.25">
      <c r="A27" s="21" t="s">
        <v>24</v>
      </c>
      <c r="B27" s="27">
        <f>SUM(B22:B26)</f>
        <v>604833</v>
      </c>
      <c r="C27" s="28">
        <f>SUM(C22:C26)</f>
        <v>380000</v>
      </c>
      <c r="D27" s="28">
        <f>SUM(D22:D26)</f>
        <v>984833</v>
      </c>
      <c r="E27" s="1"/>
      <c r="F27" s="1"/>
      <c r="G27" s="1"/>
      <c r="J27" s="28">
        <f>SUM(J22:J26)</f>
        <v>1032833</v>
      </c>
    </row>
    <row r="28" spans="1:10" x14ac:dyDescent="0.25">
      <c r="A28" s="29" t="s">
        <v>23</v>
      </c>
      <c r="B28" s="30">
        <f>B19+B21+B27</f>
        <v>5217120</v>
      </c>
      <c r="C28" s="30">
        <f>C19+C21+C27</f>
        <v>720000</v>
      </c>
      <c r="D28" s="30">
        <f>D19+D21+D27</f>
        <v>5937120</v>
      </c>
      <c r="E28" s="1"/>
      <c r="F28" s="1"/>
      <c r="G28" s="1"/>
      <c r="J28" s="30">
        <f>SUM(J19+J21+J27)</f>
        <v>5937120</v>
      </c>
    </row>
    <row r="29" spans="1:10" x14ac:dyDescent="0.25">
      <c r="E29" s="1"/>
    </row>
    <row r="30" spans="1:10" x14ac:dyDescent="0.25">
      <c r="A30" t="s">
        <v>33</v>
      </c>
      <c r="B30" s="32">
        <f>B15-B28</f>
        <v>0</v>
      </c>
      <c r="C30" s="32">
        <f>C15-C28</f>
        <v>0</v>
      </c>
      <c r="D30" s="32">
        <f>D15-D28</f>
        <v>0</v>
      </c>
      <c r="E30" s="32">
        <f>SUM(E3:E28)</f>
        <v>0</v>
      </c>
      <c r="F30" s="32">
        <f t="shared" ref="F30:I30" si="3">SUM(F3:F28)</f>
        <v>0</v>
      </c>
      <c r="G30" s="32">
        <f t="shared" si="3"/>
        <v>0</v>
      </c>
      <c r="H30" s="32">
        <f t="shared" si="3"/>
        <v>0</v>
      </c>
      <c r="I30" s="32">
        <f t="shared" si="3"/>
        <v>0</v>
      </c>
      <c r="J30" s="32">
        <f t="shared" ref="J30" si="4">J15-J28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FC81D-56BA-46F5-B6BC-0D8EBB32A314}">
  <dimension ref="A2:C25"/>
  <sheetViews>
    <sheetView workbookViewId="0">
      <selection activeCell="A3" sqref="A3:B25"/>
    </sheetView>
  </sheetViews>
  <sheetFormatPr defaultRowHeight="15" x14ac:dyDescent="0.25"/>
  <cols>
    <col min="1" max="1" width="45.85546875" customWidth="1"/>
    <col min="2" max="2" width="21.7109375" customWidth="1"/>
    <col min="3" max="3" width="1.85546875" customWidth="1"/>
  </cols>
  <sheetData>
    <row r="2" spans="1:3" ht="15.75" x14ac:dyDescent="0.25">
      <c r="A2" s="5" t="s">
        <v>12</v>
      </c>
      <c r="B2" s="6"/>
      <c r="C2" s="18"/>
    </row>
    <row r="3" spans="1:3" x14ac:dyDescent="0.25">
      <c r="A3" s="7" t="s">
        <v>0</v>
      </c>
      <c r="B3" s="8">
        <v>4000000</v>
      </c>
      <c r="C3" s="9"/>
    </row>
    <row r="4" spans="1:3" x14ac:dyDescent="0.25">
      <c r="A4" s="7" t="s">
        <v>1</v>
      </c>
      <c r="B4" s="8">
        <v>470000</v>
      </c>
      <c r="C4" s="9"/>
    </row>
    <row r="5" spans="1:3" x14ac:dyDescent="0.25">
      <c r="A5" s="11" t="s">
        <v>2</v>
      </c>
      <c r="B5" s="12">
        <v>10000</v>
      </c>
      <c r="C5" s="9"/>
    </row>
    <row r="6" spans="1:3" x14ac:dyDescent="0.25">
      <c r="A6" s="21" t="s">
        <v>3</v>
      </c>
      <c r="B6" s="22">
        <f>SUM(B3:B5)</f>
        <v>4480000</v>
      </c>
      <c r="C6" s="9"/>
    </row>
    <row r="7" spans="1:3" x14ac:dyDescent="0.25">
      <c r="A7" s="7" t="s">
        <v>4</v>
      </c>
      <c r="B7" s="8">
        <v>77120</v>
      </c>
      <c r="C7" s="9"/>
    </row>
    <row r="8" spans="1:3" x14ac:dyDescent="0.25">
      <c r="A8" s="7" t="s">
        <v>5</v>
      </c>
      <c r="B8" s="8">
        <v>350000</v>
      </c>
      <c r="C8" s="9"/>
    </row>
    <row r="9" spans="1:3" x14ac:dyDescent="0.25">
      <c r="A9" s="7" t="s">
        <v>6</v>
      </c>
      <c r="B9" s="8">
        <v>150000</v>
      </c>
      <c r="C9" s="9"/>
    </row>
    <row r="10" spans="1:3" x14ac:dyDescent="0.25">
      <c r="A10" s="11" t="s">
        <v>7</v>
      </c>
      <c r="B10" s="12">
        <v>10000</v>
      </c>
      <c r="C10" s="9"/>
    </row>
    <row r="11" spans="1:3" x14ac:dyDescent="0.25">
      <c r="A11" s="7" t="s">
        <v>8</v>
      </c>
      <c r="B11" s="8">
        <v>150000</v>
      </c>
      <c r="C11" s="9"/>
    </row>
    <row r="12" spans="1:3" x14ac:dyDescent="0.25">
      <c r="A12" s="21" t="s">
        <v>9</v>
      </c>
      <c r="B12" s="22">
        <f>SUM(B7:B11)</f>
        <v>737120</v>
      </c>
      <c r="C12" s="9"/>
    </row>
    <row r="13" spans="1:3" x14ac:dyDescent="0.25">
      <c r="A13" s="19" t="s">
        <v>10</v>
      </c>
      <c r="B13" s="20">
        <f>B6+B12</f>
        <v>5217120</v>
      </c>
      <c r="C13" s="9"/>
    </row>
    <row r="14" spans="1:3" x14ac:dyDescent="0.25">
      <c r="A14" s="10" t="s">
        <v>13</v>
      </c>
      <c r="B14" s="15">
        <v>6000</v>
      </c>
      <c r="C14" s="9"/>
    </row>
    <row r="15" spans="1:3" x14ac:dyDescent="0.25">
      <c r="A15" s="10" t="s">
        <v>14</v>
      </c>
      <c r="B15" s="15">
        <v>3142245.33</v>
      </c>
      <c r="C15" s="9"/>
    </row>
    <row r="16" spans="1:3" x14ac:dyDescent="0.25">
      <c r="A16" s="10" t="s">
        <v>15</v>
      </c>
      <c r="B16" s="15">
        <v>1047375</v>
      </c>
      <c r="C16" s="9"/>
    </row>
    <row r="17" spans="1:3" x14ac:dyDescent="0.25">
      <c r="A17" s="21" t="s">
        <v>16</v>
      </c>
      <c r="B17" s="22">
        <f>SUM(B14:B16)</f>
        <v>4195620.33</v>
      </c>
      <c r="C17" s="9"/>
    </row>
    <row r="18" spans="1:3" x14ac:dyDescent="0.25">
      <c r="A18" s="16" t="s">
        <v>17</v>
      </c>
      <c r="B18" s="15">
        <v>416666.67</v>
      </c>
      <c r="C18" s="9"/>
    </row>
    <row r="19" spans="1:3" x14ac:dyDescent="0.25">
      <c r="A19" s="21" t="s">
        <v>18</v>
      </c>
      <c r="B19" s="22">
        <f>B18</f>
        <v>416666.67</v>
      </c>
      <c r="C19" s="9"/>
    </row>
    <row r="20" spans="1:3" x14ac:dyDescent="0.25">
      <c r="A20" s="7" t="s">
        <v>19</v>
      </c>
      <c r="B20" s="15">
        <v>33333</v>
      </c>
      <c r="C20" s="9"/>
    </row>
    <row r="21" spans="1:3" x14ac:dyDescent="0.25">
      <c r="A21" s="11" t="s">
        <v>20</v>
      </c>
      <c r="B21" s="17">
        <v>38000</v>
      </c>
      <c r="C21" s="9"/>
    </row>
    <row r="22" spans="1:3" x14ac:dyDescent="0.25">
      <c r="A22" s="7" t="s">
        <v>21</v>
      </c>
      <c r="B22" s="15">
        <v>460000</v>
      </c>
      <c r="C22" s="9"/>
    </row>
    <row r="23" spans="1:3" x14ac:dyDescent="0.25">
      <c r="A23" s="7" t="s">
        <v>22</v>
      </c>
      <c r="B23" s="15">
        <v>73500</v>
      </c>
      <c r="C23" s="9"/>
    </row>
    <row r="24" spans="1:3" x14ac:dyDescent="0.25">
      <c r="A24" s="19" t="s">
        <v>24</v>
      </c>
      <c r="B24" s="20">
        <f>SUM(B20:B23)</f>
        <v>604833</v>
      </c>
      <c r="C24" s="9"/>
    </row>
    <row r="25" spans="1:3" x14ac:dyDescent="0.25">
      <c r="A25" s="13" t="s">
        <v>23</v>
      </c>
      <c r="B25" s="14">
        <f>B17+B19+B24</f>
        <v>5217120</v>
      </c>
      <c r="C25" s="9"/>
    </row>
  </sheetData>
  <mergeCells count="2">
    <mergeCell ref="C3:C25"/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C5E-CA59-4823-9118-C22895613994}">
  <dimension ref="A2:G24"/>
  <sheetViews>
    <sheetView workbookViewId="0">
      <selection activeCell="A3" sqref="A3:B24"/>
    </sheetView>
  </sheetViews>
  <sheetFormatPr defaultRowHeight="15" x14ac:dyDescent="0.25"/>
  <cols>
    <col min="1" max="1" width="44.5703125" customWidth="1"/>
    <col min="2" max="2" width="19.5703125" customWidth="1"/>
  </cols>
  <sheetData>
    <row r="2" spans="1:7" ht="15.75" x14ac:dyDescent="0.25">
      <c r="A2" s="5" t="s">
        <v>25</v>
      </c>
      <c r="B2" s="6"/>
      <c r="G2" t="s">
        <v>29</v>
      </c>
    </row>
    <row r="3" spans="1:7" x14ac:dyDescent="0.25">
      <c r="A3" s="7" t="s">
        <v>0</v>
      </c>
      <c r="B3" s="8">
        <v>28000</v>
      </c>
    </row>
    <row r="4" spans="1:7" x14ac:dyDescent="0.25">
      <c r="A4" s="7" t="s">
        <v>26</v>
      </c>
      <c r="B4" s="8">
        <v>75000</v>
      </c>
    </row>
    <row r="5" spans="1:7" x14ac:dyDescent="0.25">
      <c r="A5" s="21" t="s">
        <v>3</v>
      </c>
      <c r="B5" s="22">
        <f>SUM(B3:B4)</f>
        <v>103000</v>
      </c>
    </row>
    <row r="6" spans="1:7" x14ac:dyDescent="0.25">
      <c r="A6" s="7" t="s">
        <v>4</v>
      </c>
      <c r="B6" s="8">
        <v>76000</v>
      </c>
    </row>
    <row r="7" spans="1:7" x14ac:dyDescent="0.25">
      <c r="A7" s="7" t="s">
        <v>5</v>
      </c>
      <c r="B7" s="8">
        <v>460000</v>
      </c>
    </row>
    <row r="8" spans="1:7" x14ac:dyDescent="0.25">
      <c r="A8" s="7" t="s">
        <v>6</v>
      </c>
      <c r="B8" s="8">
        <v>21000</v>
      </c>
    </row>
    <row r="9" spans="1:7" x14ac:dyDescent="0.25">
      <c r="A9" s="11" t="s">
        <v>27</v>
      </c>
      <c r="B9" s="12">
        <v>38000</v>
      </c>
    </row>
    <row r="10" spans="1:7" x14ac:dyDescent="0.25">
      <c r="A10" s="7" t="s">
        <v>8</v>
      </c>
      <c r="B10" s="8">
        <v>22000</v>
      </c>
    </row>
    <row r="11" spans="1:7" x14ac:dyDescent="0.25">
      <c r="A11" s="21" t="s">
        <v>9</v>
      </c>
      <c r="B11" s="22">
        <f>SUM(B6:B10)</f>
        <v>617000</v>
      </c>
    </row>
    <row r="12" spans="1:7" x14ac:dyDescent="0.25">
      <c r="A12" s="19" t="s">
        <v>10</v>
      </c>
      <c r="B12" s="20">
        <f>B11+B5</f>
        <v>720000</v>
      </c>
    </row>
    <row r="13" spans="1:7" x14ac:dyDescent="0.25">
      <c r="A13" s="10" t="s">
        <v>13</v>
      </c>
      <c r="B13" s="15">
        <v>10000</v>
      </c>
    </row>
    <row r="14" spans="1:7" x14ac:dyDescent="0.25">
      <c r="A14" s="10" t="s">
        <v>14</v>
      </c>
      <c r="B14" s="15">
        <v>122125</v>
      </c>
    </row>
    <row r="15" spans="1:7" x14ac:dyDescent="0.25">
      <c r="A15" s="10" t="s">
        <v>15</v>
      </c>
      <c r="B15" s="15">
        <v>157875</v>
      </c>
    </row>
    <row r="16" spans="1:7" x14ac:dyDescent="0.25">
      <c r="A16" s="21" t="s">
        <v>16</v>
      </c>
      <c r="B16" s="22">
        <f>SUM(B13:B15)</f>
        <v>290000</v>
      </c>
    </row>
    <row r="17" spans="1:2" x14ac:dyDescent="0.25">
      <c r="A17" s="16" t="s">
        <v>17</v>
      </c>
      <c r="B17" s="15">
        <v>50000</v>
      </c>
    </row>
    <row r="18" spans="1:2" x14ac:dyDescent="0.25">
      <c r="A18" s="21" t="s">
        <v>18</v>
      </c>
      <c r="B18" s="22">
        <f>B17</f>
        <v>50000</v>
      </c>
    </row>
    <row r="19" spans="1:2" x14ac:dyDescent="0.25">
      <c r="A19" s="7" t="s">
        <v>19</v>
      </c>
      <c r="B19" s="15">
        <v>10000</v>
      </c>
    </row>
    <row r="20" spans="1:2" x14ac:dyDescent="0.25">
      <c r="A20" s="7" t="s">
        <v>21</v>
      </c>
      <c r="B20" s="15">
        <v>350000</v>
      </c>
    </row>
    <row r="21" spans="1:2" x14ac:dyDescent="0.25">
      <c r="A21" s="11" t="s">
        <v>28</v>
      </c>
      <c r="B21" s="17">
        <v>10000</v>
      </c>
    </row>
    <row r="22" spans="1:2" x14ac:dyDescent="0.25">
      <c r="A22" s="7" t="s">
        <v>22</v>
      </c>
      <c r="B22" s="15">
        <v>10000</v>
      </c>
    </row>
    <row r="23" spans="1:2" x14ac:dyDescent="0.25">
      <c r="A23" s="19" t="s">
        <v>24</v>
      </c>
      <c r="B23" s="20">
        <f>SUM(B19:B22)</f>
        <v>380000</v>
      </c>
    </row>
    <row r="24" spans="1:2" x14ac:dyDescent="0.25">
      <c r="A24" s="13" t="s">
        <v>23</v>
      </c>
      <c r="B24" s="14">
        <f>B16+B18+B23</f>
        <v>720000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PERIMETRO CONSOLIDACION</vt:lpstr>
      <vt:lpstr>Sábana de conoslidacion</vt:lpstr>
      <vt:lpstr>CONTROL A</vt:lpstr>
      <vt:lpstr>CONTROL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PORTATIL28</cp:lastModifiedBy>
  <dcterms:created xsi:type="dcterms:W3CDTF">2024-01-21T09:39:31Z</dcterms:created>
  <dcterms:modified xsi:type="dcterms:W3CDTF">2024-01-21T11:11:03Z</dcterms:modified>
</cp:coreProperties>
</file>