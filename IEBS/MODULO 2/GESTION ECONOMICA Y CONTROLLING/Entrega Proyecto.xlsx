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2/GESTION ECONOMICA Y CONTROLLING/"/>
    </mc:Choice>
  </mc:AlternateContent>
  <xr:revisionPtr revIDLastSave="28" documentId="8_{D4D65FCE-DF62-47BD-916F-4A9BF15EA718}" xr6:coauthVersionLast="47" xr6:coauthVersionMax="47" xr10:uidLastSave="{BDE89F55-A1DE-4881-A866-2C80107A705A}"/>
  <bookViews>
    <workbookView xWindow="-120" yWindow="-120" windowWidth="29040" windowHeight="15720" xr2:uid="{00000000-000D-0000-FFFF-FFFF00000000}"/>
  </bookViews>
  <sheets>
    <sheet name="Proyecto" sheetId="2" r:id="rId1"/>
    <sheet name="Sprint 1" sheetId="3" r:id="rId2"/>
    <sheet name="Sprint 2" sheetId="4" r:id="rId3"/>
    <sheet name="Sprint3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iJ7MKimagNsgzSpbgtg/BkYj8ZWQ=="/>
    </ext>
  </extLst>
</workbook>
</file>

<file path=xl/calcChain.xml><?xml version="1.0" encoding="utf-8"?>
<calcChain xmlns="http://schemas.openxmlformats.org/spreadsheetml/2006/main">
  <c r="C39" i="2" l="1"/>
  <c r="B39" i="2"/>
  <c r="C31" i="2"/>
  <c r="B31" i="2"/>
  <c r="F5" i="2"/>
  <c r="L5" i="2"/>
  <c r="F50" i="2"/>
  <c r="C50" i="2"/>
  <c r="B50" i="2"/>
  <c r="D49" i="2"/>
  <c r="G49" i="2" s="1"/>
  <c r="D48" i="2"/>
  <c r="G48" i="2" s="1"/>
  <c r="G47" i="2"/>
  <c r="D47" i="2"/>
  <c r="D46" i="2"/>
  <c r="G46" i="2" s="1"/>
  <c r="D45" i="2"/>
  <c r="D50" i="2" s="1"/>
  <c r="F43" i="2"/>
  <c r="E43" i="2"/>
  <c r="C43" i="2"/>
  <c r="B43" i="2"/>
  <c r="D42" i="2"/>
  <c r="D43" i="2" s="1"/>
  <c r="G43" i="2" s="1"/>
  <c r="F40" i="2"/>
  <c r="F51" i="2" s="1"/>
  <c r="G35" i="2"/>
  <c r="D35" i="2"/>
  <c r="F33" i="2"/>
  <c r="F32" i="2"/>
  <c r="E32" i="2"/>
  <c r="D30" i="2"/>
  <c r="G30" i="2" s="1"/>
  <c r="G29" i="2"/>
  <c r="D29" i="2"/>
  <c r="G28" i="2"/>
  <c r="D28" i="2"/>
  <c r="G27" i="2"/>
  <c r="D27" i="2"/>
  <c r="F24" i="2"/>
  <c r="E24" i="2"/>
  <c r="E33" i="2" s="1"/>
  <c r="C24" i="2"/>
  <c r="B24" i="2"/>
  <c r="G23" i="2"/>
  <c r="D23" i="2"/>
  <c r="G22" i="2"/>
  <c r="D22" i="2"/>
  <c r="G21" i="2"/>
  <c r="D21" i="2"/>
  <c r="D20" i="2"/>
  <c r="D24" i="2" s="1"/>
  <c r="F33" i="6"/>
  <c r="F26" i="6"/>
  <c r="E26" i="6"/>
  <c r="F23" i="6"/>
  <c r="E19" i="6"/>
  <c r="E21" i="6" s="1"/>
  <c r="G21" i="6" s="1"/>
  <c r="F15" i="6"/>
  <c r="E15" i="6"/>
  <c r="F7" i="6"/>
  <c r="E7" i="6"/>
  <c r="E16" i="6" s="1"/>
  <c r="C33" i="6"/>
  <c r="B33" i="6"/>
  <c r="D32" i="6"/>
  <c r="G32" i="6" s="1"/>
  <c r="D31" i="6"/>
  <c r="G31" i="6" s="1"/>
  <c r="D30" i="6"/>
  <c r="G30" i="6" s="1"/>
  <c r="D29" i="6"/>
  <c r="G29" i="6" s="1"/>
  <c r="D28" i="6"/>
  <c r="G28" i="6" s="1"/>
  <c r="C26" i="6"/>
  <c r="B26" i="6"/>
  <c r="D25" i="6"/>
  <c r="D26" i="6" s="1"/>
  <c r="C23" i="6"/>
  <c r="B23" i="6"/>
  <c r="D22" i="6"/>
  <c r="D19" i="6"/>
  <c r="D18" i="6"/>
  <c r="G18" i="6" s="1"/>
  <c r="C15" i="6"/>
  <c r="B15" i="6"/>
  <c r="D14" i="6"/>
  <c r="G14" i="6" s="1"/>
  <c r="D13" i="6"/>
  <c r="G13" i="6" s="1"/>
  <c r="D12" i="6"/>
  <c r="G12" i="6" s="1"/>
  <c r="D11" i="6"/>
  <c r="G11" i="6" s="1"/>
  <c r="D10" i="6"/>
  <c r="G10" i="6" s="1"/>
  <c r="D9" i="6"/>
  <c r="G9" i="6" s="1"/>
  <c r="C7" i="6"/>
  <c r="B7" i="6"/>
  <c r="D6" i="6"/>
  <c r="G6" i="6" s="1"/>
  <c r="D5" i="6"/>
  <c r="G5" i="6" s="1"/>
  <c r="D4" i="6"/>
  <c r="G4" i="6" s="1"/>
  <c r="D3" i="6"/>
  <c r="G3" i="6" s="1"/>
  <c r="D39" i="2" l="1"/>
  <c r="D31" i="2"/>
  <c r="G31" i="2" s="1"/>
  <c r="G20" i="2"/>
  <c r="G24" i="2" s="1"/>
  <c r="G42" i="2"/>
  <c r="G45" i="2"/>
  <c r="G50" i="2" s="1"/>
  <c r="F16" i="6"/>
  <c r="F34" i="6"/>
  <c r="E23" i="6"/>
  <c r="E34" i="6" s="1"/>
  <c r="G26" i="6"/>
  <c r="G22" i="6"/>
  <c r="G19" i="6"/>
  <c r="G25" i="6"/>
  <c r="G15" i="6"/>
  <c r="G7" i="6"/>
  <c r="G33" i="6"/>
  <c r="D7" i="6"/>
  <c r="D23" i="6"/>
  <c r="G23" i="6" s="1"/>
  <c r="B34" i="6"/>
  <c r="C16" i="6"/>
  <c r="C34" i="6"/>
  <c r="B16" i="6"/>
  <c r="D33" i="6"/>
  <c r="D15" i="6"/>
  <c r="G34" i="6" l="1"/>
  <c r="G16" i="6"/>
  <c r="D16" i="6"/>
  <c r="D34" i="6"/>
  <c r="K42" i="3" l="1"/>
  <c r="L42" i="3" s="1"/>
  <c r="I10" i="2" s="1"/>
  <c r="C26" i="2" s="1"/>
  <c r="C32" i="2" s="1"/>
  <c r="C33" i="2" s="1"/>
  <c r="E42" i="3"/>
  <c r="F42" i="3" s="1"/>
  <c r="C10" i="2" s="1"/>
  <c r="B26" i="2" s="1"/>
  <c r="K33" i="3"/>
  <c r="J33" i="3"/>
  <c r="E33" i="3"/>
  <c r="E36" i="3" s="1"/>
  <c r="D33" i="3"/>
  <c r="K17" i="3"/>
  <c r="J17" i="3"/>
  <c r="L17" i="3" s="1"/>
  <c r="K16" i="3"/>
  <c r="J16" i="3"/>
  <c r="L16" i="3" s="1"/>
  <c r="E16" i="3"/>
  <c r="D16" i="3"/>
  <c r="F16" i="3" s="1"/>
  <c r="I14" i="2"/>
  <c r="C14" i="2"/>
  <c r="B32" i="2" l="1"/>
  <c r="B33" i="2" s="1"/>
  <c r="D26" i="2"/>
  <c r="L33" i="3"/>
  <c r="L4" i="2" s="1"/>
  <c r="C36" i="2" s="1"/>
  <c r="F33" i="3"/>
  <c r="L18" i="3"/>
  <c r="D41" i="4"/>
  <c r="B27" i="4"/>
  <c r="F28" i="4" s="1"/>
  <c r="B22" i="4"/>
  <c r="F23" i="4" s="1"/>
  <c r="B17" i="4"/>
  <c r="F18" i="4" s="1"/>
  <c r="F12" i="4"/>
  <c r="F9" i="4"/>
  <c r="I15" i="2"/>
  <c r="L15" i="2"/>
  <c r="C13" i="2"/>
  <c r="F12" i="2"/>
  <c r="F15" i="2" s="1"/>
  <c r="L9" i="2"/>
  <c r="F9" i="2"/>
  <c r="F8" i="2"/>
  <c r="I5" i="2"/>
  <c r="C5" i="2"/>
  <c r="C6" i="2" s="1"/>
  <c r="F36" i="3" l="1"/>
  <c r="F4" i="2"/>
  <c r="B36" i="2" s="1"/>
  <c r="E36" i="2"/>
  <c r="C40" i="2"/>
  <c r="C51" i="2" s="1"/>
  <c r="G26" i="2"/>
  <c r="G32" i="2" s="1"/>
  <c r="G33" i="2" s="1"/>
  <c r="D32" i="2"/>
  <c r="D33" i="2" s="1"/>
  <c r="B30" i="4"/>
  <c r="F31" i="4" s="1"/>
  <c r="I16" i="2"/>
  <c r="C15" i="2"/>
  <c r="C16" i="2" s="1"/>
  <c r="F6" i="2"/>
  <c r="F16" i="2" s="1"/>
  <c r="L6" i="2"/>
  <c r="L16" i="2" s="1"/>
  <c r="E38" i="2" l="1"/>
  <c r="E40" i="2"/>
  <c r="E51" i="2" s="1"/>
  <c r="B40" i="2"/>
  <c r="B51" i="2" s="1"/>
  <c r="D36" i="2"/>
  <c r="D40" i="2" l="1"/>
  <c r="G36" i="2"/>
  <c r="G38" i="2"/>
  <c r="G39" i="2"/>
  <c r="D51" i="2" l="1"/>
  <c r="G40" i="2"/>
  <c r="G51" i="2" s="1"/>
</calcChain>
</file>

<file path=xl/sharedStrings.xml><?xml version="1.0" encoding="utf-8"?>
<sst xmlns="http://schemas.openxmlformats.org/spreadsheetml/2006/main" count="232" uniqueCount="92">
  <si>
    <t>CONTROL A</t>
  </si>
  <si>
    <t>CONTROL B</t>
  </si>
  <si>
    <t>Inmovilizado material</t>
  </si>
  <si>
    <t>Capital Social</t>
  </si>
  <si>
    <t>Inversiones inmobiliarias</t>
  </si>
  <si>
    <t>Reservas</t>
  </si>
  <si>
    <t>Inversiones financieras a largo plazo</t>
  </si>
  <si>
    <t>Inversiones financieras a largo plazo, empresas del grupo</t>
  </si>
  <si>
    <t>Resultado del ejericio</t>
  </si>
  <si>
    <t>Activo no corriente</t>
  </si>
  <si>
    <t>Patrimonio Neto</t>
  </si>
  <si>
    <t>Deudas a largo plazo</t>
  </si>
  <si>
    <t>Pasivo no corriente</t>
  </si>
  <si>
    <t>Existencias</t>
  </si>
  <si>
    <t>Deudores</t>
  </si>
  <si>
    <t>Deudas a corto plazo</t>
  </si>
  <si>
    <t>Inversiones financieras a corto plazo</t>
  </si>
  <si>
    <t>Deudas a corto plazo, empresas del Grupo</t>
  </si>
  <si>
    <t>Inversiones finaniceras a corto plazo</t>
  </si>
  <si>
    <t>Proveedores</t>
  </si>
  <si>
    <t>Clientes empresas del grupo</t>
  </si>
  <si>
    <t>Inversiones finaniceras a corto plazo empresas del grupo</t>
  </si>
  <si>
    <t>Proveedores , empresas del grupo</t>
  </si>
  <si>
    <t>Tesorería</t>
  </si>
  <si>
    <t>Personal</t>
  </si>
  <si>
    <t>Activo corriente</t>
  </si>
  <si>
    <t>Pasivo corriente</t>
  </si>
  <si>
    <t>TOTAL ACTIVO</t>
  </si>
  <si>
    <t>TOTAL PASIVO Y PATRIMONIO NETO</t>
  </si>
  <si>
    <t>Valores de los inventarios de cada empresa a 31.10</t>
  </si>
  <si>
    <t>Mes</t>
  </si>
  <si>
    <t>Unidades</t>
  </si>
  <si>
    <t>Precio</t>
  </si>
  <si>
    <t>Compra</t>
  </si>
  <si>
    <t>Enero</t>
  </si>
  <si>
    <t>Marzo</t>
  </si>
  <si>
    <t>Venta</t>
  </si>
  <si>
    <t>Abril y Mayo</t>
  </si>
  <si>
    <t>Mayo</t>
  </si>
  <si>
    <t>Junio</t>
  </si>
  <si>
    <t>Julio y Agosto</t>
  </si>
  <si>
    <t>Septiembre</t>
  </si>
  <si>
    <t>Precio medio:</t>
  </si>
  <si>
    <t>FIFO:</t>
  </si>
  <si>
    <t>Valor</t>
  </si>
  <si>
    <t>Octubre</t>
  </si>
  <si>
    <t>Compra sept</t>
  </si>
  <si>
    <t>Compra julio</t>
  </si>
  <si>
    <t>Inventario consolidado</t>
  </si>
  <si>
    <t xml:space="preserve">1- Registrar las operaciones que han ocurrido desde el año de la adquisición hasta el 31 de diciembre de este año. </t>
  </si>
  <si>
    <t>Hace 2 años y medio:</t>
  </si>
  <si>
    <t>a</t>
  </si>
  <si>
    <t>Proveedores de inmovilizado</t>
  </si>
  <si>
    <t>Préstamo</t>
  </si>
  <si>
    <t>A final de año de hace 2 años:</t>
  </si>
  <si>
    <t>Gasto por amortización</t>
  </si>
  <si>
    <t>Amortización acumulada</t>
  </si>
  <si>
    <t>A final de año de hace 1 año:</t>
  </si>
  <si>
    <t>Hace 6 meses</t>
  </si>
  <si>
    <t>Si el alquiler del local se le realiza a la sociedad CONTROL B por importe de 10.000 euros, ¿cómo influiría a efectos del grupo?</t>
  </si>
  <si>
    <t>meses</t>
  </si>
  <si>
    <t>€</t>
  </si>
  <si>
    <t xml:space="preserve">Pago de </t>
  </si>
  <si>
    <t>Ingresos explotacion</t>
  </si>
  <si>
    <t>Ingreso por alquiler</t>
  </si>
  <si>
    <r>
      <t>En noviembre ha aparecido una nueva legislación por la cual se ha limitado el precio de venta a 8,75 euros que afecta a las ventas del grupo. </t>
    </r>
    <r>
      <rPr>
        <b/>
        <sz val="11"/>
        <color rgb="FF212529"/>
        <rFont val="Calibri"/>
        <family val="2"/>
        <scheme val="major"/>
      </rPr>
      <t>Se pide: </t>
    </r>
    <r>
      <rPr>
        <sz val="11"/>
        <color rgb="FF212529"/>
        <rFont val="Calibri"/>
        <family val="2"/>
        <scheme val="major"/>
      </rPr>
      <t>calcular el valor del inventario del grupo, así como el posible deterioro a 31 de diciembre.</t>
    </r>
  </si>
  <si>
    <t>CONROL A</t>
  </si>
  <si>
    <t>Nuevo precio</t>
  </si>
  <si>
    <t>Valor Inventario 
(Existencias)</t>
  </si>
  <si>
    <t>CONROL B</t>
  </si>
  <si>
    <t>Proveedores, empresas del grupo</t>
  </si>
  <si>
    <t>AGREGADO</t>
  </si>
  <si>
    <t>Inversiones fiancieras a l.p</t>
  </si>
  <si>
    <t>Inversiones financieras a l.p., empresas del grupo</t>
  </si>
  <si>
    <t>ACTIVO NO CORRIENTE</t>
  </si>
  <si>
    <t>Inversiones financieras a c.p.</t>
  </si>
  <si>
    <t>Inversiones financieras a c.p. empresas del grupo</t>
  </si>
  <si>
    <t>Tesoreira</t>
  </si>
  <si>
    <t>ACTIVO CORRIENTE</t>
  </si>
  <si>
    <t>Resultado del ejercio</t>
  </si>
  <si>
    <t>Deudas a l.p</t>
  </si>
  <si>
    <t>PASIVO NO CORRIENTE</t>
  </si>
  <si>
    <t>Deudas a c.p</t>
  </si>
  <si>
    <t>Deudas a c.p, empresas del grupo</t>
  </si>
  <si>
    <t>PASIVO CORRIENTE</t>
  </si>
  <si>
    <t>TOTAL PASIVO y PATRIMONIO NETO</t>
  </si>
  <si>
    <t>Eliminiación patrimonial</t>
  </si>
  <si>
    <t>Eliminacion de Saldos</t>
  </si>
  <si>
    <t>Reservas en sociedades consolidadas</t>
  </si>
  <si>
    <t>CONSOLIDADO</t>
  </si>
  <si>
    <t>INVENTARIO 31 OCTUBRE</t>
  </si>
  <si>
    <t>Eliminiación Patrimonial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</si>
</sst>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\ &quot;€&quot;_-;\-* #,##0\ &quot;€&quot;_-;_-* &quot;-&quot;??\ &quot;€&quot;_-;_-@_-"/>
  </numFmts>
  <fonts count="18" x14ac:knownFonts="1"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212529"/>
      <name val="Calibri"/>
      <family val="2"/>
      <scheme val="major"/>
    </font>
    <font>
      <b/>
      <sz val="11"/>
      <color rgb="FF212529"/>
      <name val="Calibri"/>
      <family val="2"/>
      <scheme val="major"/>
    </font>
    <font>
      <sz val="9.6"/>
      <color rgb="FF374151"/>
      <name val="Segoe UI"/>
      <family val="2"/>
    </font>
    <font>
      <b/>
      <sz val="9.6"/>
      <color rgb="FF374151"/>
      <name val="Segoe UI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374151"/>
      <name val="Segoe U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2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4.9989318521683403E-2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indexed="64"/>
      </right>
      <top/>
      <bottom style="medium">
        <color rgb="FFD9D9E3"/>
      </bottom>
      <diagonal/>
    </border>
    <border>
      <left style="medium">
        <color rgb="FFD9D9E3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D9D9E3"/>
      </left>
      <right/>
      <top/>
      <bottom/>
      <diagonal/>
    </border>
    <border>
      <left style="medium">
        <color rgb="FFD9D9E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D9D9E3"/>
      </left>
      <right style="thin">
        <color indexed="64"/>
      </right>
      <top/>
      <bottom style="medium">
        <color rgb="FFD9D9E3"/>
      </bottom>
      <diagonal/>
    </border>
    <border>
      <left style="medium">
        <color rgb="FFD9D9E3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6">
    <xf numFmtId="0" fontId="0" fillId="0" borderId="0" xfId="0"/>
    <xf numFmtId="0" fontId="0" fillId="0" borderId="4" xfId="0" applyBorder="1"/>
    <xf numFmtId="4" fontId="0" fillId="0" borderId="5" xfId="0" applyNumberFormat="1" applyBorder="1"/>
    <xf numFmtId="0" fontId="0" fillId="0" borderId="5" xfId="0" applyBorder="1"/>
    <xf numFmtId="4" fontId="0" fillId="0" borderId="6" xfId="0" applyNumberFormat="1" applyBorder="1"/>
    <xf numFmtId="0" fontId="0" fillId="0" borderId="7" xfId="0" applyBorder="1"/>
    <xf numFmtId="4" fontId="0" fillId="0" borderId="0" xfId="0" applyNumberFormat="1"/>
    <xf numFmtId="4" fontId="0" fillId="0" borderId="8" xfId="0" applyNumberFormat="1" applyBorder="1"/>
    <xf numFmtId="0" fontId="0" fillId="0" borderId="9" xfId="0" applyBorder="1"/>
    <xf numFmtId="4" fontId="0" fillId="0" borderId="10" xfId="0" applyNumberFormat="1" applyBorder="1"/>
    <xf numFmtId="0" fontId="0" fillId="0" borderId="10" xfId="0" applyBorder="1"/>
    <xf numFmtId="4" fontId="0" fillId="0" borderId="11" xfId="0" applyNumberFormat="1" applyBorder="1"/>
    <xf numFmtId="0" fontId="0" fillId="0" borderId="12" xfId="0" applyBorder="1"/>
    <xf numFmtId="4" fontId="0" fillId="0" borderId="13" xfId="0" applyNumberFormat="1" applyBorder="1"/>
    <xf numFmtId="0" fontId="0" fillId="0" borderId="14" xfId="0" applyBorder="1"/>
    <xf numFmtId="0" fontId="0" fillId="0" borderId="13" xfId="0" applyBorder="1"/>
    <xf numFmtId="4" fontId="0" fillId="0" borderId="15" xfId="0" applyNumberFormat="1" applyBorder="1"/>
    <xf numFmtId="0" fontId="1" fillId="0" borderId="0" xfId="0" applyFont="1"/>
    <xf numFmtId="4" fontId="2" fillId="0" borderId="16" xfId="0" applyNumberFormat="1" applyFont="1" applyBorder="1"/>
    <xf numFmtId="0" fontId="0" fillId="0" borderId="0" xfId="0" applyAlignment="1">
      <alignment horizontal="center"/>
    </xf>
    <xf numFmtId="4" fontId="2" fillId="0" borderId="0" xfId="0" applyNumberFormat="1" applyFont="1"/>
    <xf numFmtId="3" fontId="0" fillId="0" borderId="0" xfId="0" applyNumberFormat="1"/>
    <xf numFmtId="0" fontId="2" fillId="0" borderId="0" xfId="0" applyFont="1"/>
    <xf numFmtId="164" fontId="0" fillId="0" borderId="0" xfId="1" applyNumberFormat="1" applyFont="1"/>
    <xf numFmtId="164" fontId="0" fillId="2" borderId="0" xfId="1" applyNumberFormat="1" applyFont="1" applyFill="1"/>
    <xf numFmtId="4" fontId="0" fillId="2" borderId="0" xfId="0" applyNumberFormat="1" applyFill="1"/>
    <xf numFmtId="4" fontId="0" fillId="2" borderId="8" xfId="0" applyNumberForma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164" fontId="0" fillId="0" borderId="0" xfId="1" applyNumberFormat="1" applyFont="1" applyAlignment="1">
      <alignment horizontal="right"/>
    </xf>
    <xf numFmtId="4" fontId="0" fillId="2" borderId="10" xfId="0" applyNumberFormat="1" applyFill="1" applyBorder="1"/>
    <xf numFmtId="0" fontId="6" fillId="3" borderId="0" xfId="0" applyFont="1" applyFill="1" applyAlignment="1">
      <alignment horizontal="center"/>
    </xf>
    <xf numFmtId="0" fontId="1" fillId="2" borderId="17" xfId="0" applyFont="1" applyFill="1" applyBorder="1"/>
    <xf numFmtId="0" fontId="1" fillId="4" borderId="17" xfId="0" applyFont="1" applyFill="1" applyBorder="1" applyAlignment="1">
      <alignment horizontal="center"/>
    </xf>
    <xf numFmtId="3" fontId="0" fillId="4" borderId="17" xfId="0" applyNumberFormat="1" applyFill="1" applyBorder="1" applyAlignment="1">
      <alignment horizontal="center"/>
    </xf>
    <xf numFmtId="44" fontId="0" fillId="4" borderId="17" xfId="2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44" fontId="1" fillId="4" borderId="17" xfId="2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44" fontId="0" fillId="4" borderId="23" xfId="2" applyFont="1" applyFill="1" applyBorder="1" applyAlignment="1">
      <alignment horizontal="center"/>
    </xf>
    <xf numFmtId="3" fontId="0" fillId="4" borderId="23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4" fontId="9" fillId="0" borderId="25" xfId="0" applyNumberFormat="1" applyFont="1" applyBorder="1" applyAlignment="1">
      <alignment vertical="center" wrapText="1"/>
    </xf>
    <xf numFmtId="4" fontId="9" fillId="0" borderId="26" xfId="0" applyNumberFormat="1" applyFont="1" applyBorder="1" applyAlignment="1">
      <alignment vertical="center" wrapText="1"/>
    </xf>
    <xf numFmtId="4" fontId="10" fillId="0" borderId="26" xfId="0" applyNumberFormat="1" applyFont="1" applyBorder="1" applyAlignment="1">
      <alignment vertical="center" wrapText="1"/>
    </xf>
    <xf numFmtId="4" fontId="10" fillId="5" borderId="26" xfId="0" applyNumberFormat="1" applyFont="1" applyFill="1" applyBorder="1" applyAlignment="1">
      <alignment vertical="center" wrapText="1"/>
    </xf>
    <xf numFmtId="4" fontId="10" fillId="5" borderId="27" xfId="0" applyNumberFormat="1" applyFont="1" applyFill="1" applyBorder="1" applyAlignment="1">
      <alignment vertical="center" wrapText="1"/>
    </xf>
    <xf numFmtId="9" fontId="0" fillId="0" borderId="0" xfId="3" applyFont="1"/>
    <xf numFmtId="9" fontId="0" fillId="0" borderId="0" xfId="3" applyFont="1" applyAlignment="1">
      <alignment horizontal="center"/>
    </xf>
    <xf numFmtId="0" fontId="0" fillId="0" borderId="28" xfId="0" applyBorder="1"/>
    <xf numFmtId="43" fontId="0" fillId="0" borderId="0" xfId="1" applyFont="1" applyBorder="1"/>
    <xf numFmtId="2" fontId="0" fillId="0" borderId="0" xfId="1" applyNumberFormat="1" applyFont="1"/>
    <xf numFmtId="0" fontId="0" fillId="6" borderId="28" xfId="0" applyFill="1" applyBorder="1"/>
    <xf numFmtId="43" fontId="0" fillId="6" borderId="0" xfId="1" applyFont="1" applyFill="1" applyBorder="1"/>
    <xf numFmtId="2" fontId="0" fillId="6" borderId="0" xfId="1" applyNumberFormat="1" applyFont="1" applyFill="1" applyBorder="1"/>
    <xf numFmtId="0" fontId="5" fillId="0" borderId="28" xfId="0" applyFont="1" applyBorder="1"/>
    <xf numFmtId="43" fontId="5" fillId="0" borderId="0" xfId="1" applyFont="1" applyFill="1" applyBorder="1"/>
    <xf numFmtId="43" fontId="5" fillId="0" borderId="0" xfId="0" applyNumberFormat="1" applyFont="1"/>
    <xf numFmtId="2" fontId="0" fillId="6" borderId="0" xfId="1" applyNumberFormat="1" applyFont="1" applyFill="1"/>
    <xf numFmtId="0" fontId="11" fillId="2" borderId="19" xfId="0" applyFont="1" applyFill="1" applyBorder="1"/>
    <xf numFmtId="43" fontId="11" fillId="2" borderId="29" xfId="1" applyFont="1" applyFill="1" applyBorder="1"/>
    <xf numFmtId="43" fontId="11" fillId="2" borderId="20" xfId="1" applyFont="1" applyFill="1" applyBorder="1"/>
    <xf numFmtId="43" fontId="0" fillId="0" borderId="30" xfId="1" applyFont="1" applyBorder="1"/>
    <xf numFmtId="43" fontId="0" fillId="0" borderId="0" xfId="0" applyNumberFormat="1"/>
    <xf numFmtId="43" fontId="0" fillId="6" borderId="30" xfId="1" applyFont="1" applyFill="1" applyBorder="1"/>
    <xf numFmtId="2" fontId="0" fillId="6" borderId="30" xfId="1" applyNumberFormat="1" applyFont="1" applyFill="1" applyBorder="1"/>
    <xf numFmtId="4" fontId="9" fillId="6" borderId="25" xfId="0" applyNumberFormat="1" applyFont="1" applyFill="1" applyBorder="1" applyAlignment="1">
      <alignment vertical="center" wrapText="1"/>
    </xf>
    <xf numFmtId="9" fontId="1" fillId="0" borderId="0" xfId="3" applyFont="1" applyAlignment="1">
      <alignment horizontal="center"/>
    </xf>
    <xf numFmtId="0" fontId="2" fillId="7" borderId="28" xfId="0" applyFont="1" applyFill="1" applyBorder="1"/>
    <xf numFmtId="43" fontId="2" fillId="7" borderId="0" xfId="1" applyFont="1" applyFill="1" applyBorder="1"/>
    <xf numFmtId="4" fontId="10" fillId="7" borderId="25" xfId="0" applyNumberFormat="1" applyFont="1" applyFill="1" applyBorder="1" applyAlignment="1">
      <alignment vertical="center" wrapText="1"/>
    </xf>
    <xf numFmtId="4" fontId="9" fillId="0" borderId="31" xfId="0" applyNumberFormat="1" applyFont="1" applyBorder="1" applyAlignment="1">
      <alignment vertical="center" wrapText="1"/>
    </xf>
    <xf numFmtId="0" fontId="5" fillId="8" borderId="19" xfId="0" applyFont="1" applyFill="1" applyBorder="1"/>
    <xf numFmtId="43" fontId="5" fillId="8" borderId="29" xfId="1" applyFont="1" applyFill="1" applyBorder="1"/>
    <xf numFmtId="43" fontId="5" fillId="8" borderId="29" xfId="0" applyNumberFormat="1" applyFont="1" applyFill="1" applyBorder="1"/>
    <xf numFmtId="4" fontId="2" fillId="8" borderId="29" xfId="0" applyNumberFormat="1" applyFont="1" applyFill="1" applyBorder="1"/>
    <xf numFmtId="4" fontId="10" fillId="8" borderId="32" xfId="0" applyNumberFormat="1" applyFont="1" applyFill="1" applyBorder="1" applyAlignment="1">
      <alignment vertical="center" wrapText="1"/>
    </xf>
    <xf numFmtId="0" fontId="12" fillId="8" borderId="19" xfId="0" applyFont="1" applyFill="1" applyBorder="1"/>
    <xf numFmtId="43" fontId="12" fillId="8" borderId="29" xfId="1" applyFont="1" applyFill="1" applyBorder="1"/>
    <xf numFmtId="43" fontId="12" fillId="8" borderId="29" xfId="0" applyNumberFormat="1" applyFont="1" applyFill="1" applyBorder="1"/>
    <xf numFmtId="4" fontId="13" fillId="8" borderId="29" xfId="0" applyNumberFormat="1" applyFont="1" applyFill="1" applyBorder="1"/>
    <xf numFmtId="4" fontId="14" fillId="8" borderId="32" xfId="0" applyNumberFormat="1" applyFont="1" applyFill="1" applyBorder="1" applyAlignment="1">
      <alignment vertical="center" wrapText="1"/>
    </xf>
    <xf numFmtId="4" fontId="9" fillId="6" borderId="31" xfId="0" applyNumberFormat="1" applyFont="1" applyFill="1" applyBorder="1" applyAlignment="1">
      <alignment vertical="center" wrapText="1"/>
    </xf>
    <xf numFmtId="4" fontId="2" fillId="8" borderId="19" xfId="0" applyNumberFormat="1" applyFont="1" applyFill="1" applyBorder="1"/>
    <xf numFmtId="43" fontId="2" fillId="7" borderId="30" xfId="1" applyFont="1" applyFill="1" applyBorder="1"/>
    <xf numFmtId="0" fontId="0" fillId="7" borderId="0" xfId="0" applyFill="1"/>
    <xf numFmtId="4" fontId="10" fillId="7" borderId="31" xfId="0" applyNumberFormat="1" applyFont="1" applyFill="1" applyBorder="1" applyAlignment="1">
      <alignment vertical="center" wrapText="1"/>
    </xf>
    <xf numFmtId="0" fontId="0" fillId="0" borderId="0" xfId="0" applyBorder="1"/>
    <xf numFmtId="4" fontId="0" fillId="0" borderId="0" xfId="0" applyNumberFormat="1" applyBorder="1"/>
    <xf numFmtId="0" fontId="1" fillId="0" borderId="0" xfId="0" applyFont="1" applyBorder="1"/>
    <xf numFmtId="0" fontId="2" fillId="0" borderId="0" xfId="0" applyFont="1" applyBorder="1"/>
    <xf numFmtId="4" fontId="2" fillId="0" borderId="0" xfId="0" applyNumberFormat="1" applyFont="1" applyBorder="1"/>
    <xf numFmtId="0" fontId="0" fillId="0" borderId="0" xfId="0" applyBorder="1" applyAlignment="1">
      <alignment horizontal="center"/>
    </xf>
    <xf numFmtId="4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33" xfId="0" applyBorder="1"/>
    <xf numFmtId="0" fontId="2" fillId="0" borderId="34" xfId="0" applyFont="1" applyBorder="1" applyAlignment="1">
      <alignment horizontal="center"/>
    </xf>
    <xf numFmtId="9" fontId="2" fillId="0" borderId="34" xfId="3" applyFont="1" applyBorder="1" applyAlignment="1">
      <alignment horizontal="center"/>
    </xf>
    <xf numFmtId="9" fontId="2" fillId="0" borderId="35" xfId="3" applyFont="1" applyBorder="1" applyAlignment="1">
      <alignment horizontal="center"/>
    </xf>
    <xf numFmtId="4" fontId="9" fillId="0" borderId="36" xfId="0" applyNumberFormat="1" applyFont="1" applyBorder="1" applyAlignment="1">
      <alignment vertical="center" wrapText="1"/>
    </xf>
    <xf numFmtId="2" fontId="0" fillId="0" borderId="0" xfId="1" applyNumberFormat="1" applyFont="1" applyBorder="1"/>
    <xf numFmtId="4" fontId="9" fillId="6" borderId="37" xfId="0" applyNumberFormat="1" applyFont="1" applyFill="1" applyBorder="1" applyAlignment="1">
      <alignment vertical="center" wrapText="1"/>
    </xf>
    <xf numFmtId="0" fontId="0" fillId="0" borderId="30" xfId="0" applyBorder="1"/>
    <xf numFmtId="4" fontId="10" fillId="7" borderId="36" xfId="0" applyNumberFormat="1" applyFont="1" applyFill="1" applyBorder="1" applyAlignment="1">
      <alignment vertical="center" wrapText="1"/>
    </xf>
    <xf numFmtId="4" fontId="9" fillId="6" borderId="36" xfId="0" applyNumberFormat="1" applyFont="1" applyFill="1" applyBorder="1" applyAlignment="1">
      <alignment vertical="center" wrapText="1"/>
    </xf>
    <xf numFmtId="43" fontId="5" fillId="0" borderId="0" xfId="0" applyNumberFormat="1" applyFont="1" applyBorder="1"/>
    <xf numFmtId="4" fontId="10" fillId="0" borderId="37" xfId="0" applyNumberFormat="1" applyFont="1" applyBorder="1" applyAlignment="1">
      <alignment vertical="center" wrapText="1"/>
    </xf>
    <xf numFmtId="0" fontId="15" fillId="0" borderId="28" xfId="0" applyFont="1" applyBorder="1"/>
    <xf numFmtId="0" fontId="15" fillId="0" borderId="0" xfId="0" applyFont="1" applyBorder="1"/>
    <xf numFmtId="0" fontId="15" fillId="0" borderId="30" xfId="0" applyFont="1" applyBorder="1"/>
    <xf numFmtId="0" fontId="1" fillId="6" borderId="28" xfId="0" applyFont="1" applyFill="1" applyBorder="1"/>
    <xf numFmtId="4" fontId="0" fillId="6" borderId="0" xfId="0" applyNumberFormat="1" applyFill="1" applyBorder="1"/>
    <xf numFmtId="0" fontId="2" fillId="7" borderId="0" xfId="0" applyFont="1" applyFill="1" applyBorder="1"/>
    <xf numFmtId="4" fontId="10" fillId="7" borderId="37" xfId="0" applyNumberFormat="1" applyFont="1" applyFill="1" applyBorder="1" applyAlignment="1">
      <alignment vertical="center" wrapText="1"/>
    </xf>
    <xf numFmtId="43" fontId="0" fillId="0" borderId="0" xfId="0" applyNumberFormat="1" applyBorder="1"/>
    <xf numFmtId="4" fontId="9" fillId="0" borderId="37" xfId="0" applyNumberFormat="1" applyFont="1" applyBorder="1" applyAlignment="1">
      <alignment vertical="center" wrapText="1"/>
    </xf>
    <xf numFmtId="0" fontId="12" fillId="8" borderId="38" xfId="0" applyFont="1" applyFill="1" applyBorder="1"/>
    <xf numFmtId="43" fontId="12" fillId="8" borderId="18" xfId="1" applyFont="1" applyFill="1" applyBorder="1"/>
    <xf numFmtId="43" fontId="12" fillId="8" borderId="18" xfId="0" applyNumberFormat="1" applyFont="1" applyFill="1" applyBorder="1"/>
    <xf numFmtId="4" fontId="13" fillId="8" borderId="18" xfId="0" applyNumberFormat="1" applyFont="1" applyFill="1" applyBorder="1"/>
    <xf numFmtId="4" fontId="14" fillId="8" borderId="39" xfId="0" applyNumberFormat="1" applyFont="1" applyFill="1" applyBorder="1" applyAlignment="1">
      <alignment vertical="center" wrapText="1"/>
    </xf>
    <xf numFmtId="0" fontId="1" fillId="0" borderId="0" xfId="0" applyFont="1" applyFill="1" applyBorder="1"/>
    <xf numFmtId="0" fontId="0" fillId="0" borderId="0" xfId="0" applyFill="1" applyBorder="1"/>
    <xf numFmtId="43" fontId="1" fillId="2" borderId="39" xfId="1" applyFont="1" applyFill="1" applyBorder="1"/>
    <xf numFmtId="4" fontId="1" fillId="2" borderId="11" xfId="0" applyNumberFormat="1" applyFont="1" applyFill="1" applyBorder="1"/>
    <xf numFmtId="165" fontId="16" fillId="4" borderId="24" xfId="0" applyNumberFormat="1" applyFont="1" applyFill="1" applyBorder="1" applyAlignment="1">
      <alignment horizontal="center"/>
    </xf>
    <xf numFmtId="0" fontId="7" fillId="7" borderId="0" xfId="0" applyFont="1" applyFill="1" applyAlignment="1">
      <alignment horizontal="left" vertical="center" wrapText="1"/>
    </xf>
    <xf numFmtId="0" fontId="17" fillId="3" borderId="1" xfId="0" applyFont="1" applyFill="1" applyBorder="1" applyAlignment="1">
      <alignment horizontal="center"/>
    </xf>
    <xf numFmtId="0" fontId="17" fillId="3" borderId="2" xfId="0" applyFont="1" applyFill="1" applyBorder="1"/>
    <xf numFmtId="0" fontId="17" fillId="3" borderId="3" xfId="0" applyFont="1" applyFill="1" applyBorder="1"/>
  </cellXfs>
  <cellStyles count="4">
    <cellStyle name="Coma" xfId="1" builtinId="3"/>
    <cellStyle name="Moneda" xfId="2" builtinId="4"/>
    <cellStyle name="Normal" xfId="0" builtinId="0"/>
    <cellStyle name="Percentat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3084-C5A1-4BE9-9118-4E257309D575}">
  <dimension ref="A1:L138"/>
  <sheetViews>
    <sheetView tabSelected="1" workbookViewId="0">
      <selection activeCell="G9" sqref="G9"/>
    </sheetView>
  </sheetViews>
  <sheetFormatPr defaultRowHeight="15" x14ac:dyDescent="0.25"/>
  <cols>
    <col min="1" max="1" width="45.85546875" customWidth="1"/>
    <col min="2" max="2" width="28" customWidth="1"/>
    <col min="3" max="3" width="17.5703125" customWidth="1"/>
    <col min="4" max="4" width="16.140625" customWidth="1"/>
    <col min="5" max="5" width="34.5703125" customWidth="1"/>
    <col min="6" max="6" width="22.28515625" customWidth="1"/>
    <col min="7" max="7" width="20.28515625" customWidth="1"/>
    <col min="8" max="8" width="50.28515625" customWidth="1"/>
    <col min="9" max="9" width="13.28515625" customWidth="1"/>
    <col min="10" max="10" width="4.5703125" customWidth="1"/>
    <col min="11" max="11" width="20.7109375" customWidth="1"/>
    <col min="12" max="12" width="16" customWidth="1"/>
  </cols>
  <sheetData>
    <row r="1" spans="2:12" ht="15.75" thickBot="1" x14ac:dyDescent="0.3"/>
    <row r="2" spans="2:12" ht="16.5" thickBot="1" x14ac:dyDescent="0.3">
      <c r="B2" s="133" t="s">
        <v>0</v>
      </c>
      <c r="C2" s="134"/>
      <c r="D2" s="134"/>
      <c r="E2" s="134"/>
      <c r="F2" s="135"/>
      <c r="H2" s="133" t="s">
        <v>1</v>
      </c>
      <c r="I2" s="134"/>
      <c r="J2" s="134"/>
      <c r="K2" s="134"/>
      <c r="L2" s="135"/>
    </row>
    <row r="3" spans="2:12" x14ac:dyDescent="0.25">
      <c r="B3" s="1" t="s">
        <v>2</v>
      </c>
      <c r="C3" s="2">
        <v>4000000</v>
      </c>
      <c r="D3" s="3"/>
      <c r="E3" s="3" t="s">
        <v>3</v>
      </c>
      <c r="F3" s="4">
        <v>6000</v>
      </c>
      <c r="H3" s="1" t="s">
        <v>2</v>
      </c>
      <c r="I3" s="2">
        <v>28000</v>
      </c>
      <c r="J3" s="3"/>
      <c r="K3" s="3" t="s">
        <v>3</v>
      </c>
      <c r="L3" s="4">
        <v>10000</v>
      </c>
    </row>
    <row r="4" spans="2:12" x14ac:dyDescent="0.25">
      <c r="B4" s="5" t="s">
        <v>4</v>
      </c>
      <c r="C4" s="6">
        <v>470000</v>
      </c>
      <c r="E4" t="s">
        <v>5</v>
      </c>
      <c r="F4" s="26">
        <f>3142245.33-('Sprint 1'!F33-C10)</f>
        <v>3135125.33</v>
      </c>
      <c r="H4" s="8" t="s">
        <v>6</v>
      </c>
      <c r="I4" s="9">
        <v>75000</v>
      </c>
      <c r="K4" t="s">
        <v>5</v>
      </c>
      <c r="L4" s="26">
        <f>122125-('Sprint 1'!L33-I10)</f>
        <v>109485.18518518518</v>
      </c>
    </row>
    <row r="5" spans="2:12" x14ac:dyDescent="0.25">
      <c r="B5" s="8" t="s">
        <v>7</v>
      </c>
      <c r="C5" s="9">
        <f>+L3</f>
        <v>10000</v>
      </c>
      <c r="E5" s="10" t="s">
        <v>8</v>
      </c>
      <c r="F5" s="130">
        <f>1047375+60000</f>
        <v>1107375</v>
      </c>
      <c r="H5" s="5" t="s">
        <v>9</v>
      </c>
      <c r="I5" s="6">
        <f>+SUM(I3:I4)</f>
        <v>103000</v>
      </c>
      <c r="K5" s="10" t="s">
        <v>8</v>
      </c>
      <c r="L5" s="129">
        <f>157875-60000</f>
        <v>97875</v>
      </c>
    </row>
    <row r="6" spans="2:12" x14ac:dyDescent="0.25">
      <c r="B6" s="5" t="s">
        <v>9</v>
      </c>
      <c r="C6" s="6">
        <f>+SUM(C3:C5)</f>
        <v>4480000</v>
      </c>
      <c r="E6" t="s">
        <v>10</v>
      </c>
      <c r="F6" s="7">
        <f>+SUM(F3:F5)</f>
        <v>4248500.33</v>
      </c>
      <c r="H6" s="5"/>
      <c r="I6" s="6"/>
      <c r="K6" t="s">
        <v>10</v>
      </c>
      <c r="L6" s="7">
        <f>+SUM(L3:L5)</f>
        <v>217360.18518518517</v>
      </c>
    </row>
    <row r="7" spans="2:12" x14ac:dyDescent="0.25">
      <c r="B7" s="5"/>
      <c r="C7" s="6"/>
      <c r="F7" s="7"/>
      <c r="H7" s="5"/>
      <c r="I7" s="6"/>
      <c r="L7" s="7"/>
    </row>
    <row r="8" spans="2:12" x14ac:dyDescent="0.25">
      <c r="B8" s="5"/>
      <c r="C8" s="6"/>
      <c r="E8" s="10" t="s">
        <v>11</v>
      </c>
      <c r="F8" s="11">
        <f>500000/15*12.5</f>
        <v>416666.66666666669</v>
      </c>
      <c r="H8" s="5"/>
      <c r="I8" s="6"/>
      <c r="K8" s="10" t="s">
        <v>11</v>
      </c>
      <c r="L8" s="11">
        <v>50000</v>
      </c>
    </row>
    <row r="9" spans="2:12" x14ac:dyDescent="0.25">
      <c r="B9" s="5"/>
      <c r="C9" s="6"/>
      <c r="E9" t="s">
        <v>12</v>
      </c>
      <c r="F9" s="7">
        <f>+F8</f>
        <v>416666.66666666669</v>
      </c>
      <c r="H9" s="5"/>
      <c r="I9" s="6"/>
      <c r="K9" t="s">
        <v>12</v>
      </c>
      <c r="L9" s="7">
        <f>+L8</f>
        <v>50000</v>
      </c>
    </row>
    <row r="10" spans="2:12" x14ac:dyDescent="0.25">
      <c r="B10" s="5" t="s">
        <v>13</v>
      </c>
      <c r="C10" s="24">
        <f>'Sprint 1'!F42</f>
        <v>70000</v>
      </c>
      <c r="F10" s="7"/>
      <c r="H10" s="5" t="s">
        <v>13</v>
      </c>
      <c r="I10" s="25">
        <f>'Sprint 1'!L42</f>
        <v>63875</v>
      </c>
      <c r="L10" s="7"/>
    </row>
    <row r="11" spans="2:12" x14ac:dyDescent="0.25">
      <c r="B11" s="5" t="s">
        <v>14</v>
      </c>
      <c r="C11" s="6">
        <v>350000</v>
      </c>
      <c r="E11" t="s">
        <v>15</v>
      </c>
      <c r="F11" s="7">
        <v>33333</v>
      </c>
      <c r="H11" s="5" t="s">
        <v>14</v>
      </c>
      <c r="I11" s="6">
        <v>460000</v>
      </c>
      <c r="K11" t="s">
        <v>15</v>
      </c>
      <c r="L11" s="7">
        <v>10000</v>
      </c>
    </row>
    <row r="12" spans="2:12" x14ac:dyDescent="0.25">
      <c r="B12" s="5" t="s">
        <v>16</v>
      </c>
      <c r="C12" s="6">
        <v>150000</v>
      </c>
      <c r="E12" t="s">
        <v>17</v>
      </c>
      <c r="F12" s="7">
        <f>+I13</f>
        <v>38000</v>
      </c>
      <c r="H12" s="5" t="s">
        <v>18</v>
      </c>
      <c r="I12" s="6">
        <v>21000</v>
      </c>
      <c r="K12" t="s">
        <v>19</v>
      </c>
      <c r="L12" s="7">
        <v>350000</v>
      </c>
    </row>
    <row r="13" spans="2:12" x14ac:dyDescent="0.25">
      <c r="B13" s="5" t="s">
        <v>20</v>
      </c>
      <c r="C13" s="6">
        <f>+L13</f>
        <v>10000</v>
      </c>
      <c r="E13" t="s">
        <v>19</v>
      </c>
      <c r="F13" s="7">
        <v>460000</v>
      </c>
      <c r="H13" s="5" t="s">
        <v>21</v>
      </c>
      <c r="I13" s="6">
        <v>38000</v>
      </c>
      <c r="K13" t="s">
        <v>22</v>
      </c>
      <c r="L13" s="7">
        <v>10000</v>
      </c>
    </row>
    <row r="14" spans="2:12" x14ac:dyDescent="0.25">
      <c r="B14" s="8" t="s">
        <v>23</v>
      </c>
      <c r="C14" s="30">
        <f>150000+'Sprint 2'!G41</f>
        <v>210000</v>
      </c>
      <c r="E14" s="10" t="s">
        <v>24</v>
      </c>
      <c r="F14" s="11">
        <v>73500</v>
      </c>
      <c r="H14" s="8" t="s">
        <v>23</v>
      </c>
      <c r="I14" s="30">
        <f>22000-'Sprint 2'!G41</f>
        <v>-38000</v>
      </c>
      <c r="K14" s="10" t="s">
        <v>24</v>
      </c>
      <c r="L14" s="11">
        <v>10000</v>
      </c>
    </row>
    <row r="15" spans="2:12" x14ac:dyDescent="0.25">
      <c r="B15" s="5" t="s">
        <v>25</v>
      </c>
      <c r="C15" s="6">
        <f>+SUM(C10:C14)</f>
        <v>790000</v>
      </c>
      <c r="E15" t="s">
        <v>26</v>
      </c>
      <c r="F15" s="7">
        <f>+SUM(F11:F14)</f>
        <v>604833</v>
      </c>
      <c r="H15" s="5" t="s">
        <v>25</v>
      </c>
      <c r="I15" s="6">
        <f>+SUM(I10:I14)</f>
        <v>544875</v>
      </c>
      <c r="K15" t="s">
        <v>26</v>
      </c>
      <c r="L15" s="7">
        <f>+SUM(L11:L14)</f>
        <v>380000</v>
      </c>
    </row>
    <row r="16" spans="2:12" ht="15.75" thickBot="1" x14ac:dyDescent="0.3">
      <c r="B16" s="12" t="s">
        <v>27</v>
      </c>
      <c r="C16" s="13">
        <f>+C15+C6</f>
        <v>5270000</v>
      </c>
      <c r="D16" s="14"/>
      <c r="E16" s="15" t="s">
        <v>28</v>
      </c>
      <c r="F16" s="16">
        <f>+F6+F9+F15</f>
        <v>5269999.9966666671</v>
      </c>
      <c r="H16" s="12" t="s">
        <v>27</v>
      </c>
      <c r="I16" s="13">
        <f>+I15+I5</f>
        <v>647875</v>
      </c>
      <c r="J16" s="14"/>
      <c r="K16" s="15" t="s">
        <v>28</v>
      </c>
      <c r="L16" s="16">
        <f>+L6+L9+L15</f>
        <v>647360.18518518517</v>
      </c>
    </row>
    <row r="19" spans="1:9" x14ac:dyDescent="0.25">
      <c r="A19" s="101"/>
      <c r="B19" s="102" t="s">
        <v>0</v>
      </c>
      <c r="C19" s="102" t="s">
        <v>1</v>
      </c>
      <c r="D19" s="103" t="s">
        <v>71</v>
      </c>
      <c r="E19" s="103" t="s">
        <v>91</v>
      </c>
      <c r="F19" s="103" t="s">
        <v>87</v>
      </c>
      <c r="G19" s="104" t="s">
        <v>89</v>
      </c>
    </row>
    <row r="20" spans="1:9" ht="15.75" thickBot="1" x14ac:dyDescent="0.3">
      <c r="A20" s="55" t="s">
        <v>2</v>
      </c>
      <c r="B20" s="56">
        <v>4000000</v>
      </c>
      <c r="C20" s="56">
        <v>28000</v>
      </c>
      <c r="D20" s="56">
        <f>SUM(B20:C20)</f>
        <v>4028000</v>
      </c>
      <c r="E20" s="48"/>
      <c r="F20" s="48"/>
      <c r="G20" s="105">
        <f t="shared" ref="G20:G22" si="0">D20+E20+F20</f>
        <v>4028000</v>
      </c>
      <c r="H20" s="17"/>
      <c r="I20" s="6"/>
    </row>
    <row r="21" spans="1:9" ht="15.75" thickBot="1" x14ac:dyDescent="0.3">
      <c r="A21" s="55" t="s">
        <v>4</v>
      </c>
      <c r="B21" s="56">
        <v>470000</v>
      </c>
      <c r="C21" s="106">
        <v>0</v>
      </c>
      <c r="D21" s="56">
        <f t="shared" ref="D21:D23" si="1">SUM(B21:C21)</f>
        <v>470000</v>
      </c>
      <c r="E21" s="48"/>
      <c r="F21" s="48"/>
      <c r="G21" s="105">
        <f t="shared" si="0"/>
        <v>470000</v>
      </c>
      <c r="H21" s="17"/>
      <c r="I21" s="6"/>
    </row>
    <row r="22" spans="1:9" ht="15.75" thickBot="1" x14ac:dyDescent="0.3">
      <c r="A22" s="55" t="s">
        <v>72</v>
      </c>
      <c r="B22" s="106">
        <v>0</v>
      </c>
      <c r="C22" s="56">
        <v>75000</v>
      </c>
      <c r="D22" s="56">
        <f t="shared" si="1"/>
        <v>75000</v>
      </c>
      <c r="E22" s="48"/>
      <c r="F22" s="48"/>
      <c r="G22" s="105">
        <f t="shared" si="0"/>
        <v>75000</v>
      </c>
      <c r="H22" s="17"/>
      <c r="I22" s="6"/>
    </row>
    <row r="23" spans="1:9" x14ac:dyDescent="0.25">
      <c r="A23" s="58" t="s">
        <v>73</v>
      </c>
      <c r="B23" s="59">
        <v>10000</v>
      </c>
      <c r="C23" s="60">
        <v>0</v>
      </c>
      <c r="D23" s="59">
        <f t="shared" si="1"/>
        <v>10000</v>
      </c>
      <c r="E23" s="88">
        <v>-10000</v>
      </c>
      <c r="F23" s="88"/>
      <c r="G23" s="107">
        <f>D23+E23+F23</f>
        <v>0</v>
      </c>
      <c r="H23" s="93"/>
      <c r="I23" s="94"/>
    </row>
    <row r="24" spans="1:9" x14ac:dyDescent="0.25">
      <c r="A24" s="78" t="s">
        <v>74</v>
      </c>
      <c r="B24" s="79">
        <f>SUM(B20:B23)</f>
        <v>4480000</v>
      </c>
      <c r="C24" s="80">
        <f>SUM(C20:C23)</f>
        <v>103000</v>
      </c>
      <c r="D24" s="80">
        <f>SUM(D20:D23)</f>
        <v>4583000</v>
      </c>
      <c r="E24" s="89">
        <f t="shared" ref="E24:F24" si="2">+SUM(E20:E23)</f>
        <v>-10000</v>
      </c>
      <c r="F24" s="81">
        <f t="shared" si="2"/>
        <v>0</v>
      </c>
      <c r="G24" s="82">
        <f>SUM(G20:G23)</f>
        <v>4573000</v>
      </c>
      <c r="H24" s="95"/>
      <c r="I24" s="94"/>
    </row>
    <row r="25" spans="1:9" x14ac:dyDescent="0.25">
      <c r="A25" s="55"/>
      <c r="B25" s="93"/>
      <c r="C25" s="93"/>
      <c r="D25" s="93"/>
      <c r="E25" s="93"/>
      <c r="F25" s="93"/>
      <c r="G25" s="108"/>
      <c r="H25" s="93"/>
      <c r="I25" s="94"/>
    </row>
    <row r="26" spans="1:9" ht="15.75" thickBot="1" x14ac:dyDescent="0.3">
      <c r="A26" s="74" t="s">
        <v>13</v>
      </c>
      <c r="B26" s="75">
        <f>C10</f>
        <v>70000</v>
      </c>
      <c r="C26" s="75">
        <f>I10</f>
        <v>63875</v>
      </c>
      <c r="D26" s="75">
        <f>SUM(B26:C26)</f>
        <v>133875</v>
      </c>
      <c r="E26" s="76"/>
      <c r="F26" s="76"/>
      <c r="G26" s="109">
        <f t="shared" ref="G26:G29" si="3">D26+E26+F26</f>
        <v>133875</v>
      </c>
      <c r="H26" s="93"/>
      <c r="I26" s="94"/>
    </row>
    <row r="27" spans="1:9" ht="15.75" thickBot="1" x14ac:dyDescent="0.3">
      <c r="A27" s="55" t="s">
        <v>14</v>
      </c>
      <c r="B27" s="56">
        <v>350000</v>
      </c>
      <c r="C27" s="56">
        <v>460000</v>
      </c>
      <c r="D27" s="56">
        <f>SUM(B27:C27)</f>
        <v>810000</v>
      </c>
      <c r="E27" s="48"/>
      <c r="F27" s="48"/>
      <c r="G27" s="105">
        <f t="shared" si="3"/>
        <v>810000</v>
      </c>
      <c r="H27" s="95"/>
      <c r="I27" s="94"/>
    </row>
    <row r="28" spans="1:9" ht="15.75" thickBot="1" x14ac:dyDescent="0.3">
      <c r="A28" s="55" t="s">
        <v>75</v>
      </c>
      <c r="B28" s="56">
        <v>150000</v>
      </c>
      <c r="C28" s="56">
        <v>21000</v>
      </c>
      <c r="D28" s="56">
        <f>SUM(B28:C28)</f>
        <v>171000</v>
      </c>
      <c r="E28" s="48"/>
      <c r="F28" s="48"/>
      <c r="G28" s="105">
        <f t="shared" si="3"/>
        <v>171000</v>
      </c>
      <c r="H28" s="93"/>
      <c r="I28" s="94"/>
    </row>
    <row r="29" spans="1:9" ht="15.75" thickBot="1" x14ac:dyDescent="0.3">
      <c r="A29" s="58" t="s">
        <v>76</v>
      </c>
      <c r="B29" s="60">
        <v>0</v>
      </c>
      <c r="C29" s="59">
        <v>38000</v>
      </c>
      <c r="D29" s="59">
        <f>SUM(B29:C29)</f>
        <v>38000</v>
      </c>
      <c r="E29" s="72"/>
      <c r="F29" s="72">
        <v>-38000</v>
      </c>
      <c r="G29" s="110">
        <f t="shared" si="3"/>
        <v>0</v>
      </c>
      <c r="H29" s="95"/>
      <c r="I29" s="94"/>
    </row>
    <row r="30" spans="1:9" ht="15.75" thickBot="1" x14ac:dyDescent="0.3">
      <c r="A30" s="58" t="s">
        <v>20</v>
      </c>
      <c r="B30" s="59">
        <v>10000</v>
      </c>
      <c r="C30" s="60">
        <v>0</v>
      </c>
      <c r="D30" s="59">
        <f>SUM(B30:C30)</f>
        <v>10000</v>
      </c>
      <c r="E30" s="72"/>
      <c r="F30" s="72">
        <v>-10000</v>
      </c>
      <c r="G30" s="110">
        <f>D30+E30+F30</f>
        <v>0</v>
      </c>
      <c r="H30" s="95"/>
      <c r="I30" s="94"/>
    </row>
    <row r="31" spans="1:9" ht="15.75" thickBot="1" x14ac:dyDescent="0.3">
      <c r="A31" s="74" t="s">
        <v>77</v>
      </c>
      <c r="B31" s="75">
        <f>C14</f>
        <v>210000</v>
      </c>
      <c r="C31" s="75">
        <f>I14</f>
        <v>-38000</v>
      </c>
      <c r="D31" s="75">
        <f>SUM(B31:C31)</f>
        <v>172000</v>
      </c>
      <c r="E31" s="76"/>
      <c r="F31" s="76"/>
      <c r="G31" s="109">
        <f>D31+E31+F31</f>
        <v>172000</v>
      </c>
      <c r="H31" s="96"/>
      <c r="I31" s="97"/>
    </row>
    <row r="32" spans="1:9" x14ac:dyDescent="0.25">
      <c r="A32" s="61" t="s">
        <v>78</v>
      </c>
      <c r="B32" s="62">
        <f>SUM(B26:B31)</f>
        <v>790000</v>
      </c>
      <c r="C32" s="111">
        <f>SUM(C26:C31)</f>
        <v>544875</v>
      </c>
      <c r="D32" s="111">
        <f>SUM(D26:D31)</f>
        <v>1334875</v>
      </c>
      <c r="E32" s="94">
        <f t="shared" ref="E32:F32" si="4">+SUM(E26:E31)</f>
        <v>0</v>
      </c>
      <c r="F32" s="94">
        <f t="shared" si="4"/>
        <v>-48000</v>
      </c>
      <c r="G32" s="112">
        <f>SUM(G26:G31)</f>
        <v>1286875</v>
      </c>
      <c r="H32" s="93"/>
      <c r="I32" s="93"/>
    </row>
    <row r="33" spans="1:12" ht="17.25" x14ac:dyDescent="0.25">
      <c r="A33" s="83" t="s">
        <v>27</v>
      </c>
      <c r="B33" s="84">
        <f>B24+B32</f>
        <v>5270000</v>
      </c>
      <c r="C33" s="85">
        <f>C32+C24</f>
        <v>647875</v>
      </c>
      <c r="D33" s="85">
        <f>D32+D24</f>
        <v>5917875</v>
      </c>
      <c r="E33" s="86">
        <f t="shared" ref="E33:F33" si="5">+E24+E32</f>
        <v>-10000</v>
      </c>
      <c r="F33" s="86">
        <f t="shared" si="5"/>
        <v>-48000</v>
      </c>
      <c r="G33" s="87">
        <f>G32+G24</f>
        <v>5859875</v>
      </c>
      <c r="H33" s="93"/>
    </row>
    <row r="34" spans="1:12" ht="15.75" x14ac:dyDescent="0.25">
      <c r="A34" s="113"/>
      <c r="B34" s="114"/>
      <c r="C34" s="114"/>
      <c r="D34" s="114"/>
      <c r="E34" s="114"/>
      <c r="F34" s="114"/>
      <c r="G34" s="115"/>
      <c r="H34" s="93"/>
    </row>
    <row r="35" spans="1:12" ht="15.75" thickBot="1" x14ac:dyDescent="0.3">
      <c r="A35" s="58" t="s">
        <v>3</v>
      </c>
      <c r="B35" s="70">
        <v>6000</v>
      </c>
      <c r="C35" s="70">
        <v>10000</v>
      </c>
      <c r="D35" s="59">
        <f t="shared" ref="D35:D36" si="6">SUM(B35:C35)</f>
        <v>16000</v>
      </c>
      <c r="E35" s="72">
        <v>-10000</v>
      </c>
      <c r="F35" s="72"/>
      <c r="G35" s="110">
        <f>D35+E35+F35</f>
        <v>6000</v>
      </c>
      <c r="H35" s="93"/>
    </row>
    <row r="36" spans="1:12" ht="15.75" thickBot="1" x14ac:dyDescent="0.3">
      <c r="A36" s="74" t="s">
        <v>5</v>
      </c>
      <c r="B36" s="90">
        <f>F4</f>
        <v>3135125.33</v>
      </c>
      <c r="C36" s="90">
        <f>L4</f>
        <v>109485.18518518518</v>
      </c>
      <c r="D36" s="75">
        <f t="shared" si="6"/>
        <v>3244610.5151851852</v>
      </c>
      <c r="E36" s="76">
        <f>-C36</f>
        <v>-109485.18518518518</v>
      </c>
      <c r="F36" s="76"/>
      <c r="G36" s="109">
        <f t="shared" ref="G36" si="7">D36+E36+F36</f>
        <v>3135125.33</v>
      </c>
      <c r="H36" s="93"/>
    </row>
    <row r="37" spans="1:12" x14ac:dyDescent="0.25">
      <c r="A37" s="55"/>
      <c r="B37" s="93"/>
      <c r="C37" s="93"/>
      <c r="D37" s="93"/>
      <c r="E37" s="93"/>
      <c r="F37" s="93"/>
      <c r="G37" s="108"/>
      <c r="H37" s="93"/>
    </row>
    <row r="38" spans="1:12" ht="15.75" thickBot="1" x14ac:dyDescent="0.3">
      <c r="A38" s="116" t="s">
        <v>88</v>
      </c>
      <c r="B38" s="117">
        <v>0</v>
      </c>
      <c r="C38" s="117">
        <v>0</v>
      </c>
      <c r="D38" s="117">
        <v>0</v>
      </c>
      <c r="E38" s="72">
        <f>-E36</f>
        <v>109485.18518518518</v>
      </c>
      <c r="F38" s="72"/>
      <c r="G38" s="110">
        <f>D38+E38+F38</f>
        <v>109485.18518518518</v>
      </c>
      <c r="H38" s="100"/>
      <c r="I38" s="19"/>
      <c r="J38" s="19"/>
      <c r="K38" s="19"/>
      <c r="L38" s="19"/>
    </row>
    <row r="39" spans="1:12" x14ac:dyDescent="0.25">
      <c r="A39" s="74" t="s">
        <v>79</v>
      </c>
      <c r="B39" s="90">
        <f>F5</f>
        <v>1107375</v>
      </c>
      <c r="C39" s="90">
        <f>L5</f>
        <v>97875</v>
      </c>
      <c r="D39" s="75">
        <f>SUM(B39:C39)</f>
        <v>1205250</v>
      </c>
      <c r="E39" s="118"/>
      <c r="F39" s="92"/>
      <c r="G39" s="119">
        <f>D39+E38+F39</f>
        <v>1314735.1851851852</v>
      </c>
      <c r="H39" s="97"/>
    </row>
    <row r="40" spans="1:12" x14ac:dyDescent="0.25">
      <c r="A40" s="78" t="s">
        <v>10</v>
      </c>
      <c r="B40" s="79">
        <f>SUM(B35:B39)</f>
        <v>4248500.33</v>
      </c>
      <c r="C40" s="80">
        <f>SUM(C35:C39)</f>
        <v>217360.18518518517</v>
      </c>
      <c r="D40" s="80">
        <f>SUM(D35:D39)</f>
        <v>4465860.5151851848</v>
      </c>
      <c r="E40" s="81">
        <f t="shared" ref="E40:F40" si="8">+SUM(E35:E39)</f>
        <v>-10000</v>
      </c>
      <c r="F40" s="81">
        <f t="shared" si="8"/>
        <v>0</v>
      </c>
      <c r="G40" s="82">
        <f>D40+E40+F40</f>
        <v>4455860.5151851848</v>
      </c>
      <c r="H40" s="97"/>
    </row>
    <row r="41" spans="1:12" x14ac:dyDescent="0.25">
      <c r="A41" s="55"/>
      <c r="B41" s="93"/>
      <c r="C41" s="93"/>
      <c r="D41" s="93"/>
      <c r="E41" s="93"/>
      <c r="F41" s="93"/>
      <c r="G41" s="108"/>
      <c r="H41" s="97"/>
    </row>
    <row r="42" spans="1:12" x14ac:dyDescent="0.25">
      <c r="A42" s="55" t="s">
        <v>80</v>
      </c>
      <c r="B42" s="68">
        <v>416666.67</v>
      </c>
      <c r="C42" s="120">
        <v>50000</v>
      </c>
      <c r="D42" s="56">
        <f>SUM(B42:C42)</f>
        <v>466666.67</v>
      </c>
      <c r="E42" s="77"/>
      <c r="F42" s="77"/>
      <c r="G42" s="121">
        <f>D42+E42+F42</f>
        <v>466666.67</v>
      </c>
      <c r="H42" s="97"/>
    </row>
    <row r="43" spans="1:12" x14ac:dyDescent="0.25">
      <c r="A43" s="78" t="s">
        <v>81</v>
      </c>
      <c r="B43" s="79">
        <f>B42</f>
        <v>416666.67</v>
      </c>
      <c r="C43" s="80">
        <f>C42</f>
        <v>50000</v>
      </c>
      <c r="D43" s="80">
        <f>D42</f>
        <v>466666.67</v>
      </c>
      <c r="E43" s="81">
        <f t="shared" ref="E43:F43" si="9">+E42</f>
        <v>0</v>
      </c>
      <c r="F43" s="81">
        <f t="shared" si="9"/>
        <v>0</v>
      </c>
      <c r="G43" s="82">
        <f>D43+E43+F43</f>
        <v>466666.67</v>
      </c>
      <c r="H43" s="97"/>
    </row>
    <row r="44" spans="1:12" x14ac:dyDescent="0.25">
      <c r="A44" s="55"/>
      <c r="B44" s="93"/>
      <c r="C44" s="93"/>
      <c r="D44" s="93"/>
      <c r="E44" s="93"/>
      <c r="F44" s="93"/>
      <c r="G44" s="108"/>
      <c r="H44" s="97"/>
    </row>
    <row r="45" spans="1:12" ht="15.75" thickBot="1" x14ac:dyDescent="0.3">
      <c r="A45" s="55" t="s">
        <v>82</v>
      </c>
      <c r="B45" s="68">
        <v>33333</v>
      </c>
      <c r="C45" s="68">
        <v>10000</v>
      </c>
      <c r="D45" s="56">
        <f>SUM(B45:C45)</f>
        <v>43333</v>
      </c>
      <c r="E45" s="48"/>
      <c r="F45" s="48"/>
      <c r="G45" s="105">
        <f>D45+E45+F45</f>
        <v>43333</v>
      </c>
      <c r="H45" s="97"/>
    </row>
    <row r="46" spans="1:12" ht="15.75" thickBot="1" x14ac:dyDescent="0.3">
      <c r="A46" s="58" t="s">
        <v>83</v>
      </c>
      <c r="B46" s="70">
        <v>38000</v>
      </c>
      <c r="C46" s="60">
        <v>0</v>
      </c>
      <c r="D46" s="59">
        <f t="shared" ref="D46:D49" si="10">SUM(B46:C46)</f>
        <v>38000</v>
      </c>
      <c r="E46" s="72"/>
      <c r="F46" s="72">
        <v>-38000</v>
      </c>
      <c r="G46" s="110">
        <f>D46+E46+F46</f>
        <v>0</v>
      </c>
      <c r="H46" s="97"/>
    </row>
    <row r="47" spans="1:12" ht="15.75" thickBot="1" x14ac:dyDescent="0.3">
      <c r="A47" s="55" t="s">
        <v>19</v>
      </c>
      <c r="B47" s="68">
        <v>460000</v>
      </c>
      <c r="C47" s="68">
        <v>350000</v>
      </c>
      <c r="D47" s="56">
        <f t="shared" si="10"/>
        <v>810000</v>
      </c>
      <c r="E47" s="48"/>
      <c r="F47" s="48"/>
      <c r="G47" s="105">
        <f>D47+E47+F47</f>
        <v>810000</v>
      </c>
      <c r="H47" s="97"/>
    </row>
    <row r="48" spans="1:12" ht="15.75" thickBot="1" x14ac:dyDescent="0.3">
      <c r="A48" s="58" t="s">
        <v>70</v>
      </c>
      <c r="B48" s="71">
        <v>0</v>
      </c>
      <c r="C48" s="70">
        <v>10000</v>
      </c>
      <c r="D48" s="59">
        <f t="shared" si="10"/>
        <v>10000</v>
      </c>
      <c r="E48" s="72"/>
      <c r="F48" s="72">
        <v>-10000</v>
      </c>
      <c r="G48" s="110">
        <f>D48+E48+F48</f>
        <v>0</v>
      </c>
      <c r="H48" s="97"/>
    </row>
    <row r="49" spans="1:8" ht="15.75" thickBot="1" x14ac:dyDescent="0.3">
      <c r="A49" s="55" t="s">
        <v>24</v>
      </c>
      <c r="B49" s="68">
        <v>73500</v>
      </c>
      <c r="C49" s="68">
        <v>10000</v>
      </c>
      <c r="D49" s="56">
        <f t="shared" si="10"/>
        <v>83500</v>
      </c>
      <c r="E49" s="48"/>
      <c r="F49" s="48"/>
      <c r="G49" s="105">
        <f>D49+E49+F49</f>
        <v>83500</v>
      </c>
      <c r="H49" s="97"/>
    </row>
    <row r="50" spans="1:8" x14ac:dyDescent="0.25">
      <c r="A50" s="61" t="s">
        <v>84</v>
      </c>
      <c r="B50" s="62">
        <f>SUM(B45:B49)</f>
        <v>604833</v>
      </c>
      <c r="C50" s="111">
        <f>SUM(C45:C49)</f>
        <v>380000</v>
      </c>
      <c r="D50" s="111">
        <f>SUM(D45:D49)</f>
        <v>984833</v>
      </c>
      <c r="E50" s="77"/>
      <c r="F50" s="94">
        <f t="shared" ref="F50" si="11">+SUM(F45:F49)</f>
        <v>-48000</v>
      </c>
      <c r="G50" s="112">
        <f>SUM(G45:G49)</f>
        <v>936833</v>
      </c>
      <c r="H50" s="97"/>
    </row>
    <row r="51" spans="1:8" ht="17.25" x14ac:dyDescent="0.25">
      <c r="A51" s="122" t="s">
        <v>85</v>
      </c>
      <c r="B51" s="123">
        <f>B40+B43+B50</f>
        <v>5270000</v>
      </c>
      <c r="C51" s="124">
        <f>C40+C43+C50</f>
        <v>647360.18518518517</v>
      </c>
      <c r="D51" s="124">
        <f>D40+D43+D50</f>
        <v>5917360.1851851847</v>
      </c>
      <c r="E51" s="125">
        <f t="shared" ref="E51:F51" si="12">+E40+E43+E50</f>
        <v>-10000</v>
      </c>
      <c r="F51" s="125">
        <f t="shared" si="12"/>
        <v>-48000</v>
      </c>
      <c r="G51" s="126">
        <f>+G40+G43+G50</f>
        <v>5859360.1851851847</v>
      </c>
      <c r="H51" s="97"/>
    </row>
    <row r="52" spans="1:8" x14ac:dyDescent="0.25">
      <c r="A52" s="93"/>
      <c r="B52" s="96"/>
      <c r="C52" s="97"/>
      <c r="D52" s="97"/>
      <c r="E52" s="97"/>
      <c r="F52" s="97"/>
      <c r="G52" s="97"/>
      <c r="H52" s="97"/>
    </row>
    <row r="53" spans="1:8" x14ac:dyDescent="0.25">
      <c r="A53" s="93"/>
      <c r="B53" s="93"/>
      <c r="C53" s="94"/>
      <c r="D53" s="94"/>
      <c r="E53" s="94"/>
      <c r="F53" s="94"/>
      <c r="G53" s="94"/>
      <c r="H53" s="97"/>
    </row>
    <row r="54" spans="1:8" x14ac:dyDescent="0.25">
      <c r="A54" s="93"/>
      <c r="B54" s="95"/>
      <c r="C54" s="94"/>
      <c r="D54" s="94"/>
      <c r="E54" s="94"/>
      <c r="F54" s="94"/>
      <c r="G54" s="94"/>
      <c r="H54" s="97"/>
    </row>
    <row r="55" spans="1:8" x14ac:dyDescent="0.25">
      <c r="A55" s="93"/>
      <c r="B55" s="127"/>
      <c r="C55" s="94"/>
      <c r="D55" s="94"/>
      <c r="E55" s="94"/>
      <c r="F55" s="94"/>
      <c r="G55" s="94"/>
      <c r="H55" s="97"/>
    </row>
    <row r="56" spans="1:8" x14ac:dyDescent="0.25">
      <c r="A56" s="93"/>
      <c r="B56" s="127"/>
      <c r="C56" s="94"/>
      <c r="D56" s="94"/>
      <c r="E56" s="94"/>
      <c r="F56" s="94"/>
      <c r="G56" s="94"/>
      <c r="H56" s="97"/>
    </row>
    <row r="57" spans="1:8" x14ac:dyDescent="0.25">
      <c r="A57" s="93"/>
      <c r="B57" s="128"/>
      <c r="C57" s="94"/>
      <c r="D57" s="94"/>
      <c r="E57" s="94"/>
      <c r="F57" s="94"/>
      <c r="G57" s="94"/>
      <c r="H57" s="97"/>
    </row>
    <row r="58" spans="1:8" x14ac:dyDescent="0.25">
      <c r="A58" s="93"/>
      <c r="B58" s="95"/>
      <c r="C58" s="94"/>
      <c r="D58" s="94"/>
      <c r="E58" s="94"/>
      <c r="F58" s="94"/>
      <c r="G58" s="94"/>
      <c r="H58" s="97"/>
    </row>
    <row r="59" spans="1:8" x14ac:dyDescent="0.25">
      <c r="A59" s="93"/>
      <c r="B59" s="93"/>
      <c r="C59" s="94"/>
      <c r="D59" s="94"/>
      <c r="E59" s="94"/>
      <c r="F59" s="94"/>
      <c r="G59" s="94"/>
      <c r="H59" s="97"/>
    </row>
    <row r="60" spans="1:8" x14ac:dyDescent="0.25">
      <c r="A60" s="93"/>
      <c r="B60" s="93"/>
      <c r="C60" s="94"/>
      <c r="D60" s="94"/>
      <c r="E60" s="94"/>
      <c r="F60" s="94"/>
      <c r="G60" s="94"/>
      <c r="H60" s="97"/>
    </row>
    <row r="61" spans="1:8" x14ac:dyDescent="0.25">
      <c r="A61" s="93"/>
      <c r="B61" s="95"/>
      <c r="C61" s="94"/>
      <c r="D61" s="94"/>
      <c r="E61" s="94"/>
      <c r="F61" s="94"/>
      <c r="G61" s="94"/>
      <c r="H61" s="97"/>
    </row>
    <row r="62" spans="1:8" x14ac:dyDescent="0.25">
      <c r="A62" s="93"/>
      <c r="B62" s="93"/>
      <c r="C62" s="94"/>
      <c r="D62" s="94"/>
      <c r="E62" s="94"/>
      <c r="F62" s="94"/>
      <c r="G62" s="94"/>
      <c r="H62" s="97"/>
    </row>
    <row r="63" spans="1:8" x14ac:dyDescent="0.25">
      <c r="A63" s="93"/>
      <c r="B63" s="95"/>
      <c r="C63" s="94"/>
      <c r="D63" s="94"/>
      <c r="E63" s="94"/>
      <c r="F63" s="94"/>
      <c r="G63" s="94"/>
      <c r="H63" s="97"/>
    </row>
    <row r="64" spans="1:8" x14ac:dyDescent="0.25">
      <c r="A64" s="93"/>
      <c r="B64" s="95"/>
      <c r="C64" s="94"/>
      <c r="D64" s="94"/>
      <c r="E64" s="94"/>
      <c r="F64" s="94"/>
      <c r="G64" s="94"/>
      <c r="H64" s="97"/>
    </row>
    <row r="65" spans="1:8" x14ac:dyDescent="0.25">
      <c r="A65" s="93"/>
      <c r="B65" s="95"/>
      <c r="C65" s="94"/>
      <c r="D65" s="94"/>
      <c r="E65" s="94"/>
      <c r="F65" s="94"/>
      <c r="G65" s="94"/>
      <c r="H65" s="97"/>
    </row>
    <row r="66" spans="1:8" x14ac:dyDescent="0.25">
      <c r="A66" s="93"/>
      <c r="B66" s="93"/>
      <c r="C66" s="94"/>
      <c r="D66" s="94"/>
      <c r="E66" s="94"/>
      <c r="F66" s="94"/>
      <c r="G66" s="94"/>
      <c r="H66" s="97"/>
    </row>
    <row r="67" spans="1:8" x14ac:dyDescent="0.25">
      <c r="A67" s="93"/>
      <c r="B67" s="93"/>
      <c r="C67" s="94"/>
      <c r="D67" s="94"/>
      <c r="E67" s="94"/>
      <c r="F67" s="94"/>
      <c r="G67" s="94"/>
      <c r="H67" s="97"/>
    </row>
    <row r="68" spans="1:8" x14ac:dyDescent="0.25">
      <c r="A68" s="93"/>
      <c r="B68" s="95"/>
      <c r="C68" s="94"/>
      <c r="D68" s="94"/>
      <c r="E68" s="94"/>
      <c r="F68" s="94"/>
      <c r="G68" s="94"/>
      <c r="H68" s="97"/>
    </row>
    <row r="69" spans="1:8" x14ac:dyDescent="0.25">
      <c r="A69" s="93"/>
      <c r="B69" s="96"/>
      <c r="C69" s="97"/>
      <c r="D69" s="97"/>
      <c r="E69" s="97"/>
      <c r="F69" s="97"/>
      <c r="G69" s="97"/>
      <c r="H69" s="97"/>
    </row>
    <row r="70" spans="1:8" x14ac:dyDescent="0.25">
      <c r="A70" s="93"/>
      <c r="B70" s="93"/>
      <c r="C70" s="94"/>
      <c r="D70" s="94"/>
      <c r="E70" s="94"/>
      <c r="F70" s="94"/>
      <c r="G70" s="94"/>
      <c r="H70" s="97"/>
    </row>
    <row r="71" spans="1:8" x14ac:dyDescent="0.25">
      <c r="A71" s="93"/>
      <c r="B71" s="93"/>
      <c r="C71" s="94"/>
      <c r="D71" s="94"/>
      <c r="E71" s="94"/>
      <c r="F71" s="94"/>
      <c r="G71" s="94"/>
      <c r="H71" s="97"/>
    </row>
    <row r="72" spans="1:8" x14ac:dyDescent="0.25">
      <c r="A72" s="93"/>
      <c r="B72" s="93"/>
      <c r="C72" s="98"/>
      <c r="D72" s="99"/>
      <c r="E72" s="98"/>
      <c r="F72" s="98"/>
      <c r="G72" s="98"/>
      <c r="H72" s="100"/>
    </row>
    <row r="73" spans="1:8" x14ac:dyDescent="0.25">
      <c r="A73" s="93"/>
      <c r="B73" s="95"/>
      <c r="C73" s="94"/>
      <c r="D73" s="94"/>
      <c r="E73" s="94"/>
      <c r="F73" s="94"/>
      <c r="G73" s="94"/>
      <c r="H73" s="97"/>
    </row>
    <row r="74" spans="1:8" x14ac:dyDescent="0.25">
      <c r="A74" s="93"/>
      <c r="B74" s="95"/>
      <c r="C74" s="94"/>
      <c r="D74" s="94"/>
      <c r="E74" s="94"/>
      <c r="F74" s="94"/>
      <c r="G74" s="94"/>
      <c r="H74" s="97"/>
    </row>
    <row r="75" spans="1:8" x14ac:dyDescent="0.25">
      <c r="A75" s="93"/>
      <c r="B75" s="95"/>
      <c r="C75" s="94"/>
      <c r="D75" s="94"/>
      <c r="E75" s="94"/>
      <c r="F75" s="94"/>
      <c r="G75" s="94"/>
      <c r="H75" s="97"/>
    </row>
    <row r="76" spans="1:8" x14ac:dyDescent="0.25">
      <c r="A76" s="93"/>
      <c r="B76" s="95"/>
      <c r="C76" s="94"/>
      <c r="D76" s="94"/>
      <c r="E76" s="94"/>
      <c r="F76" s="94"/>
      <c r="G76" s="94"/>
      <c r="H76" s="97"/>
    </row>
    <row r="77" spans="1:8" x14ac:dyDescent="0.25">
      <c r="A77" s="93"/>
      <c r="B77" s="93"/>
      <c r="C77" s="94"/>
      <c r="D77" s="94"/>
      <c r="E77" s="94"/>
      <c r="F77" s="94"/>
      <c r="G77" s="94"/>
      <c r="H77" s="97"/>
    </row>
    <row r="78" spans="1:8" x14ac:dyDescent="0.25">
      <c r="A78" s="93"/>
      <c r="B78" s="95"/>
      <c r="C78" s="94"/>
      <c r="D78" s="94"/>
      <c r="E78" s="94"/>
      <c r="F78" s="94"/>
      <c r="G78" s="94"/>
      <c r="H78" s="97"/>
    </row>
    <row r="79" spans="1:8" x14ac:dyDescent="0.25">
      <c r="A79" s="93"/>
      <c r="B79" s="93"/>
      <c r="C79" s="94"/>
      <c r="D79" s="94"/>
      <c r="E79" s="94"/>
      <c r="F79" s="94"/>
      <c r="G79" s="94"/>
      <c r="H79" s="97"/>
    </row>
    <row r="80" spans="1:8" x14ac:dyDescent="0.25">
      <c r="A80" s="93"/>
      <c r="B80" s="93"/>
      <c r="C80" s="94"/>
      <c r="D80" s="94"/>
      <c r="E80" s="94"/>
      <c r="F80" s="94"/>
      <c r="G80" s="94"/>
      <c r="H80" s="97"/>
    </row>
    <row r="81" spans="1:8" x14ac:dyDescent="0.25">
      <c r="A81" s="93"/>
      <c r="B81" s="95"/>
      <c r="C81" s="94"/>
      <c r="D81" s="94"/>
      <c r="E81" s="94"/>
      <c r="F81" s="94"/>
      <c r="G81" s="94"/>
      <c r="H81" s="97"/>
    </row>
    <row r="82" spans="1:8" x14ac:dyDescent="0.25">
      <c r="A82" s="93"/>
      <c r="B82" s="93"/>
      <c r="C82" s="94"/>
      <c r="D82" s="94"/>
      <c r="E82" s="94"/>
      <c r="F82" s="94"/>
      <c r="G82" s="94"/>
      <c r="H82" s="97"/>
    </row>
    <row r="83" spans="1:8" x14ac:dyDescent="0.25">
      <c r="A83" s="93"/>
      <c r="B83" s="95"/>
      <c r="C83" s="94"/>
      <c r="D83" s="94"/>
      <c r="E83" s="94"/>
      <c r="F83" s="94"/>
      <c r="G83" s="94"/>
      <c r="H83" s="97"/>
    </row>
    <row r="84" spans="1:8" x14ac:dyDescent="0.25">
      <c r="A84" s="93"/>
      <c r="B84" s="95"/>
      <c r="C84" s="94"/>
      <c r="D84" s="94"/>
      <c r="E84" s="94"/>
      <c r="F84" s="94"/>
      <c r="G84" s="94"/>
      <c r="H84" s="97"/>
    </row>
    <row r="85" spans="1:8" x14ac:dyDescent="0.25">
      <c r="A85" s="93"/>
      <c r="B85" s="93"/>
      <c r="C85" s="94"/>
      <c r="D85" s="94"/>
      <c r="E85" s="94"/>
      <c r="F85" s="94"/>
      <c r="G85" s="94"/>
      <c r="H85" s="97"/>
    </row>
    <row r="86" spans="1:8" x14ac:dyDescent="0.25">
      <c r="A86" s="93"/>
      <c r="B86" s="93"/>
      <c r="C86" s="93"/>
      <c r="D86" s="93"/>
      <c r="E86" s="93"/>
      <c r="F86" s="93"/>
      <c r="G86" s="93"/>
      <c r="H86" s="93"/>
    </row>
    <row r="87" spans="1:8" x14ac:dyDescent="0.25">
      <c r="A87" s="93"/>
      <c r="B87" s="93"/>
      <c r="C87" s="93"/>
      <c r="D87" s="93"/>
      <c r="E87" s="93"/>
      <c r="F87" s="93"/>
      <c r="G87" s="93"/>
      <c r="H87" s="93"/>
    </row>
    <row r="88" spans="1:8" x14ac:dyDescent="0.25">
      <c r="A88" s="93"/>
      <c r="B88" s="93"/>
      <c r="C88" s="93"/>
      <c r="D88" s="93"/>
      <c r="E88" s="93"/>
      <c r="F88" s="93"/>
      <c r="G88" s="93"/>
      <c r="H88" s="93"/>
    </row>
    <row r="89" spans="1:8" x14ac:dyDescent="0.25">
      <c r="A89" s="93"/>
      <c r="B89" s="93"/>
      <c r="C89" s="93"/>
      <c r="D89" s="93"/>
      <c r="E89" s="93"/>
      <c r="F89" s="93"/>
      <c r="G89" s="93"/>
      <c r="H89" s="93"/>
    </row>
    <row r="90" spans="1:8" x14ac:dyDescent="0.25">
      <c r="A90" s="93"/>
      <c r="B90" s="93"/>
      <c r="C90" s="93"/>
      <c r="D90" s="93"/>
      <c r="E90" s="93"/>
      <c r="F90" s="93"/>
      <c r="G90" s="93"/>
      <c r="H90" s="93"/>
    </row>
    <row r="91" spans="1:8" x14ac:dyDescent="0.25">
      <c r="A91" s="93"/>
      <c r="B91" s="93"/>
      <c r="C91" s="93"/>
      <c r="D91" s="93"/>
      <c r="E91" s="93"/>
      <c r="F91" s="93"/>
      <c r="G91" s="93"/>
      <c r="H91" s="93"/>
    </row>
    <row r="92" spans="1:8" x14ac:dyDescent="0.25">
      <c r="A92" s="93"/>
      <c r="B92" s="93"/>
      <c r="C92" s="93"/>
      <c r="D92" s="93"/>
      <c r="E92" s="93"/>
      <c r="F92" s="93"/>
      <c r="G92" s="93"/>
      <c r="H92" s="93"/>
    </row>
    <row r="93" spans="1:8" x14ac:dyDescent="0.25">
      <c r="A93" s="93"/>
      <c r="B93" s="93"/>
      <c r="C93" s="93"/>
      <c r="D93" s="93"/>
      <c r="E93" s="93"/>
      <c r="F93" s="93"/>
      <c r="G93" s="93"/>
      <c r="H93" s="93"/>
    </row>
    <row r="94" spans="1:8" x14ac:dyDescent="0.25">
      <c r="A94" s="93"/>
      <c r="B94" s="93"/>
      <c r="C94" s="93"/>
      <c r="D94" s="93"/>
      <c r="E94" s="93"/>
      <c r="F94" s="93"/>
      <c r="G94" s="93"/>
      <c r="H94" s="93"/>
    </row>
    <row r="95" spans="1:8" x14ac:dyDescent="0.25">
      <c r="A95" s="93"/>
      <c r="B95" s="93"/>
      <c r="C95" s="93"/>
      <c r="D95" s="93"/>
      <c r="E95" s="93"/>
      <c r="F95" s="93"/>
      <c r="G95" s="93"/>
      <c r="H95" s="93"/>
    </row>
    <row r="96" spans="1:8" x14ac:dyDescent="0.25">
      <c r="A96" s="93"/>
      <c r="B96" s="93"/>
      <c r="C96" s="93"/>
      <c r="D96" s="93"/>
      <c r="E96" s="93"/>
      <c r="F96" s="93"/>
      <c r="G96" s="93"/>
      <c r="H96" s="93"/>
    </row>
    <row r="97" spans="1:8" x14ac:dyDescent="0.25">
      <c r="A97" s="93"/>
      <c r="B97" s="93"/>
      <c r="C97" s="93"/>
      <c r="D97" s="93"/>
      <c r="E97" s="93"/>
      <c r="F97" s="93"/>
      <c r="G97" s="93"/>
      <c r="H97" s="93"/>
    </row>
    <row r="98" spans="1:8" x14ac:dyDescent="0.25">
      <c r="A98" s="93"/>
      <c r="B98" s="93"/>
      <c r="C98" s="93"/>
      <c r="D98" s="93"/>
      <c r="E98" s="93"/>
      <c r="F98" s="93"/>
      <c r="G98" s="93"/>
      <c r="H98" s="93"/>
    </row>
    <row r="99" spans="1:8" x14ac:dyDescent="0.25">
      <c r="A99" s="93"/>
      <c r="B99" s="93"/>
      <c r="C99" s="93"/>
      <c r="D99" s="93"/>
      <c r="E99" s="93"/>
      <c r="F99" s="93"/>
      <c r="G99" s="93"/>
      <c r="H99" s="93"/>
    </row>
    <row r="100" spans="1:8" x14ac:dyDescent="0.25">
      <c r="A100" s="93"/>
      <c r="B100" s="93"/>
      <c r="C100" s="93"/>
      <c r="D100" s="93"/>
      <c r="E100" s="93"/>
      <c r="F100" s="93"/>
      <c r="G100" s="93"/>
      <c r="H100" s="93"/>
    </row>
    <row r="101" spans="1:8" x14ac:dyDescent="0.25">
      <c r="A101" s="93"/>
      <c r="B101" s="93"/>
      <c r="C101" s="93"/>
      <c r="D101" s="93"/>
      <c r="E101" s="93"/>
      <c r="F101" s="93"/>
      <c r="G101" s="93"/>
      <c r="H101" s="93"/>
    </row>
    <row r="102" spans="1:8" x14ac:dyDescent="0.25">
      <c r="A102" s="93"/>
      <c r="B102" s="93"/>
      <c r="C102" s="93"/>
      <c r="D102" s="93"/>
      <c r="E102" s="93"/>
      <c r="F102" s="93"/>
      <c r="G102" s="93"/>
      <c r="H102" s="93"/>
    </row>
    <row r="103" spans="1:8" x14ac:dyDescent="0.25">
      <c r="A103" s="93"/>
      <c r="B103" s="93"/>
      <c r="C103" s="93"/>
      <c r="D103" s="93"/>
      <c r="E103" s="93"/>
      <c r="F103" s="93"/>
      <c r="G103" s="93"/>
      <c r="H103" s="93"/>
    </row>
    <row r="104" spans="1:8" x14ac:dyDescent="0.25">
      <c r="A104" s="93"/>
      <c r="B104" s="93"/>
      <c r="C104" s="93"/>
      <c r="D104" s="93"/>
      <c r="E104" s="93"/>
      <c r="F104" s="93"/>
      <c r="G104" s="93"/>
      <c r="H104" s="93"/>
    </row>
    <row r="105" spans="1:8" x14ac:dyDescent="0.25">
      <c r="A105" s="93"/>
      <c r="B105" s="93"/>
      <c r="C105" s="93"/>
      <c r="D105" s="93"/>
      <c r="E105" s="93"/>
      <c r="F105" s="93"/>
      <c r="G105" s="93"/>
      <c r="H105" s="93"/>
    </row>
    <row r="106" spans="1:8" x14ac:dyDescent="0.25">
      <c r="A106" s="93"/>
      <c r="B106" s="93"/>
      <c r="C106" s="93"/>
      <c r="D106" s="93"/>
      <c r="E106" s="93"/>
      <c r="F106" s="93"/>
      <c r="G106" s="93"/>
      <c r="H106" s="93"/>
    </row>
    <row r="107" spans="1:8" x14ac:dyDescent="0.25">
      <c r="A107" s="93"/>
      <c r="B107" s="93"/>
      <c r="C107" s="93"/>
      <c r="D107" s="93"/>
      <c r="E107" s="93"/>
      <c r="F107" s="93"/>
      <c r="G107" s="93"/>
      <c r="H107" s="93"/>
    </row>
    <row r="108" spans="1:8" x14ac:dyDescent="0.25">
      <c r="A108" s="93"/>
      <c r="B108" s="93"/>
      <c r="C108" s="93"/>
      <c r="D108" s="93"/>
      <c r="E108" s="93"/>
      <c r="F108" s="93"/>
      <c r="G108" s="93"/>
      <c r="H108" s="93"/>
    </row>
    <row r="109" spans="1:8" x14ac:dyDescent="0.25">
      <c r="A109" s="93"/>
      <c r="B109" s="93"/>
      <c r="C109" s="93"/>
      <c r="D109" s="93"/>
      <c r="E109" s="93"/>
      <c r="F109" s="93"/>
      <c r="G109" s="93"/>
      <c r="H109" s="93"/>
    </row>
    <row r="110" spans="1:8" x14ac:dyDescent="0.25">
      <c r="A110" s="93"/>
      <c r="B110" s="93"/>
      <c r="C110" s="93"/>
      <c r="D110" s="93"/>
      <c r="E110" s="93"/>
      <c r="F110" s="93"/>
      <c r="G110" s="93"/>
      <c r="H110" s="93"/>
    </row>
    <row r="111" spans="1:8" x14ac:dyDescent="0.25">
      <c r="A111" s="93"/>
      <c r="B111" s="93"/>
      <c r="C111" s="93"/>
      <c r="D111" s="93"/>
      <c r="E111" s="93"/>
      <c r="F111" s="93"/>
      <c r="G111" s="93"/>
      <c r="H111" s="93"/>
    </row>
    <row r="112" spans="1:8" x14ac:dyDescent="0.25">
      <c r="A112" s="93"/>
      <c r="B112" s="93"/>
      <c r="C112" s="93"/>
      <c r="D112" s="93"/>
      <c r="E112" s="93"/>
      <c r="F112" s="93"/>
      <c r="G112" s="93"/>
      <c r="H112" s="93"/>
    </row>
    <row r="113" spans="1:8" x14ac:dyDescent="0.25">
      <c r="A113" s="93"/>
      <c r="B113" s="93"/>
      <c r="C113" s="93"/>
      <c r="D113" s="93"/>
      <c r="E113" s="93"/>
      <c r="F113" s="93"/>
      <c r="G113" s="93"/>
      <c r="H113" s="93"/>
    </row>
    <row r="114" spans="1:8" x14ac:dyDescent="0.25">
      <c r="A114" s="93"/>
      <c r="B114" s="93"/>
      <c r="C114" s="93"/>
      <c r="D114" s="93"/>
      <c r="E114" s="93"/>
      <c r="F114" s="93"/>
      <c r="G114" s="93"/>
      <c r="H114" s="93"/>
    </row>
    <row r="115" spans="1:8" x14ac:dyDescent="0.25">
      <c r="A115" s="93"/>
      <c r="B115" s="93"/>
      <c r="C115" s="93"/>
      <c r="D115" s="93"/>
      <c r="E115" s="93"/>
      <c r="F115" s="93"/>
      <c r="G115" s="93"/>
      <c r="H115" s="93"/>
    </row>
    <row r="116" spans="1:8" x14ac:dyDescent="0.25">
      <c r="A116" s="93"/>
      <c r="B116" s="93"/>
      <c r="C116" s="93"/>
      <c r="D116" s="93"/>
      <c r="E116" s="93"/>
      <c r="F116" s="93"/>
      <c r="G116" s="93"/>
      <c r="H116" s="93"/>
    </row>
    <row r="117" spans="1:8" x14ac:dyDescent="0.25">
      <c r="A117" s="93"/>
      <c r="B117" s="93"/>
      <c r="C117" s="93"/>
      <c r="D117" s="93"/>
      <c r="E117" s="93"/>
      <c r="F117" s="93"/>
      <c r="G117" s="93"/>
      <c r="H117" s="93"/>
    </row>
    <row r="118" spans="1:8" x14ac:dyDescent="0.25">
      <c r="A118" s="93"/>
      <c r="B118" s="93"/>
      <c r="C118" s="93"/>
      <c r="D118" s="93"/>
      <c r="E118" s="93"/>
      <c r="F118" s="93"/>
      <c r="G118" s="93"/>
      <c r="H118" s="93"/>
    </row>
    <row r="119" spans="1:8" x14ac:dyDescent="0.25">
      <c r="A119" s="93"/>
      <c r="B119" s="93"/>
      <c r="C119" s="93"/>
      <c r="D119" s="93"/>
      <c r="E119" s="93"/>
      <c r="F119" s="93"/>
      <c r="G119" s="93"/>
      <c r="H119" s="93"/>
    </row>
    <row r="120" spans="1:8" x14ac:dyDescent="0.25">
      <c r="A120" s="93"/>
      <c r="B120" s="93"/>
      <c r="C120" s="93"/>
      <c r="D120" s="93"/>
      <c r="E120" s="93"/>
      <c r="F120" s="93"/>
      <c r="G120" s="93"/>
      <c r="H120" s="93"/>
    </row>
    <row r="121" spans="1:8" x14ac:dyDescent="0.25">
      <c r="A121" s="93"/>
      <c r="B121" s="93"/>
      <c r="C121" s="93"/>
      <c r="D121" s="93"/>
      <c r="E121" s="93"/>
      <c r="F121" s="93"/>
      <c r="G121" s="93"/>
      <c r="H121" s="93"/>
    </row>
    <row r="122" spans="1:8" x14ac:dyDescent="0.25">
      <c r="A122" s="93"/>
      <c r="B122" s="93"/>
      <c r="C122" s="93"/>
      <c r="D122" s="93"/>
      <c r="E122" s="93"/>
      <c r="F122" s="93"/>
      <c r="G122" s="93"/>
      <c r="H122" s="93"/>
    </row>
    <row r="123" spans="1:8" x14ac:dyDescent="0.25">
      <c r="A123" s="93"/>
      <c r="B123" s="93"/>
      <c r="C123" s="93"/>
      <c r="D123" s="93"/>
      <c r="E123" s="93"/>
      <c r="F123" s="93"/>
      <c r="G123" s="93"/>
      <c r="H123" s="93"/>
    </row>
    <row r="124" spans="1:8" x14ac:dyDescent="0.25">
      <c r="A124" s="93"/>
      <c r="B124" s="93"/>
      <c r="C124" s="93"/>
      <c r="D124" s="93"/>
      <c r="E124" s="93"/>
      <c r="F124" s="93"/>
      <c r="G124" s="93"/>
      <c r="H124" s="93"/>
    </row>
    <row r="125" spans="1:8" x14ac:dyDescent="0.25">
      <c r="A125" s="93"/>
      <c r="B125" s="93"/>
      <c r="C125" s="93"/>
      <c r="D125" s="93"/>
      <c r="E125" s="93"/>
      <c r="F125" s="93"/>
      <c r="G125" s="93"/>
      <c r="H125" s="93"/>
    </row>
    <row r="126" spans="1:8" x14ac:dyDescent="0.25">
      <c r="A126" s="93"/>
      <c r="B126" s="93"/>
      <c r="C126" s="93"/>
      <c r="D126" s="93"/>
      <c r="E126" s="93"/>
      <c r="F126" s="93"/>
      <c r="G126" s="93"/>
      <c r="H126" s="93"/>
    </row>
    <row r="127" spans="1:8" x14ac:dyDescent="0.25">
      <c r="A127" s="93"/>
      <c r="B127" s="93"/>
      <c r="C127" s="93"/>
      <c r="D127" s="93"/>
      <c r="E127" s="93"/>
      <c r="F127" s="93"/>
      <c r="G127" s="93"/>
      <c r="H127" s="93"/>
    </row>
    <row r="128" spans="1:8" x14ac:dyDescent="0.25">
      <c r="A128" s="93"/>
      <c r="B128" s="93"/>
      <c r="C128" s="93"/>
      <c r="D128" s="93"/>
      <c r="E128" s="93"/>
      <c r="F128" s="93"/>
      <c r="G128" s="93"/>
      <c r="H128" s="93"/>
    </row>
    <row r="129" spans="1:8" x14ac:dyDescent="0.25">
      <c r="A129" s="93"/>
      <c r="B129" s="93"/>
      <c r="C129" s="93"/>
      <c r="D129" s="93"/>
      <c r="E129" s="93"/>
      <c r="F129" s="93"/>
      <c r="G129" s="93"/>
      <c r="H129" s="93"/>
    </row>
    <row r="130" spans="1:8" x14ac:dyDescent="0.25">
      <c r="A130" s="93"/>
      <c r="B130" s="93"/>
      <c r="C130" s="93"/>
      <c r="D130" s="93"/>
      <c r="E130" s="93"/>
      <c r="F130" s="93"/>
      <c r="G130" s="93"/>
      <c r="H130" s="93"/>
    </row>
    <row r="131" spans="1:8" x14ac:dyDescent="0.25">
      <c r="A131" s="93"/>
      <c r="B131" s="93"/>
      <c r="C131" s="93"/>
      <c r="D131" s="93"/>
      <c r="E131" s="93"/>
      <c r="F131" s="93"/>
      <c r="G131" s="93"/>
      <c r="H131" s="93"/>
    </row>
    <row r="132" spans="1:8" x14ac:dyDescent="0.25">
      <c r="A132" s="93"/>
      <c r="B132" s="93"/>
      <c r="C132" s="93"/>
      <c r="D132" s="93"/>
      <c r="E132" s="93"/>
      <c r="F132" s="93"/>
      <c r="G132" s="93"/>
      <c r="H132" s="93"/>
    </row>
    <row r="133" spans="1:8" x14ac:dyDescent="0.25">
      <c r="A133" s="93"/>
      <c r="B133" s="93"/>
      <c r="C133" s="93"/>
      <c r="D133" s="93"/>
      <c r="E133" s="93"/>
      <c r="F133" s="93"/>
      <c r="G133" s="93"/>
      <c r="H133" s="93"/>
    </row>
    <row r="134" spans="1:8" x14ac:dyDescent="0.25">
      <c r="A134" s="93"/>
      <c r="B134" s="93"/>
      <c r="C134" s="93"/>
      <c r="D134" s="93"/>
      <c r="E134" s="93"/>
      <c r="F134" s="93"/>
      <c r="G134" s="93"/>
      <c r="H134" s="93"/>
    </row>
    <row r="135" spans="1:8" x14ac:dyDescent="0.25">
      <c r="A135" s="93"/>
      <c r="B135" s="93"/>
      <c r="C135" s="93"/>
      <c r="D135" s="93"/>
      <c r="E135" s="93"/>
      <c r="F135" s="93"/>
      <c r="G135" s="93"/>
      <c r="H135" s="93"/>
    </row>
    <row r="136" spans="1:8" x14ac:dyDescent="0.25">
      <c r="A136" s="93"/>
      <c r="B136" s="93"/>
      <c r="C136" s="93"/>
      <c r="D136" s="93"/>
      <c r="E136" s="93"/>
      <c r="F136" s="93"/>
      <c r="G136" s="93"/>
      <c r="H136" s="93"/>
    </row>
    <row r="137" spans="1:8" x14ac:dyDescent="0.25">
      <c r="A137" s="93"/>
      <c r="B137" s="93"/>
      <c r="C137" s="93"/>
      <c r="D137" s="93"/>
      <c r="E137" s="93"/>
      <c r="F137" s="93"/>
      <c r="G137" s="93"/>
      <c r="H137" s="93"/>
    </row>
    <row r="138" spans="1:8" x14ac:dyDescent="0.25">
      <c r="A138" s="93"/>
      <c r="B138" s="93"/>
      <c r="C138" s="93"/>
      <c r="D138" s="93"/>
      <c r="E138" s="93"/>
      <c r="F138" s="93"/>
      <c r="G138" s="93"/>
      <c r="H138" s="93"/>
    </row>
  </sheetData>
  <mergeCells count="2">
    <mergeCell ref="B2:F2"/>
    <mergeCell ref="H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372B-242A-4944-8329-8109F28E5960}">
  <dimension ref="B4:W42"/>
  <sheetViews>
    <sheetView topLeftCell="A23" workbookViewId="0">
      <selection activeCell="K47" sqref="K47"/>
    </sheetView>
  </sheetViews>
  <sheetFormatPr defaultRowHeight="15" x14ac:dyDescent="0.25"/>
  <cols>
    <col min="4" max="4" width="16.42578125" customWidth="1"/>
    <col min="5" max="5" width="19.42578125" customWidth="1"/>
    <col min="6" max="6" width="17.7109375" customWidth="1"/>
    <col min="9" max="9" width="19" customWidth="1"/>
    <col min="10" max="10" width="14.7109375" customWidth="1"/>
    <col min="12" max="12" width="17.85546875" customWidth="1"/>
  </cols>
  <sheetData>
    <row r="4" spans="2:13" x14ac:dyDescent="0.25">
      <c r="B4" s="17">
        <v>1</v>
      </c>
      <c r="C4" s="17" t="s">
        <v>29</v>
      </c>
    </row>
    <row r="6" spans="2:13" x14ac:dyDescent="0.25">
      <c r="C6" s="22" t="s">
        <v>0</v>
      </c>
      <c r="I6" s="22" t="s">
        <v>1</v>
      </c>
    </row>
    <row r="7" spans="2:13" x14ac:dyDescent="0.25">
      <c r="D7" s="31" t="s">
        <v>30</v>
      </c>
      <c r="E7" s="31" t="s">
        <v>31</v>
      </c>
      <c r="F7" s="31" t="s">
        <v>32</v>
      </c>
      <c r="J7" s="31" t="s">
        <v>30</v>
      </c>
      <c r="K7" s="31" t="s">
        <v>31</v>
      </c>
      <c r="L7" s="31" t="s">
        <v>32</v>
      </c>
    </row>
    <row r="8" spans="2:13" x14ac:dyDescent="0.25">
      <c r="C8" s="32" t="s">
        <v>33</v>
      </c>
      <c r="D8" s="33" t="s">
        <v>34</v>
      </c>
      <c r="E8" s="34">
        <v>7000</v>
      </c>
      <c r="F8" s="35">
        <v>10</v>
      </c>
      <c r="G8" s="6"/>
      <c r="I8" s="32" t="s">
        <v>33</v>
      </c>
      <c r="J8" s="33" t="s">
        <v>35</v>
      </c>
      <c r="K8" s="34">
        <v>3500</v>
      </c>
      <c r="L8" s="35">
        <v>11</v>
      </c>
      <c r="M8" s="6"/>
    </row>
    <row r="9" spans="2:13" x14ac:dyDescent="0.25">
      <c r="C9" s="32" t="s">
        <v>36</v>
      </c>
      <c r="D9" s="33" t="s">
        <v>35</v>
      </c>
      <c r="E9" s="34">
        <v>-5000</v>
      </c>
      <c r="F9" s="35">
        <v>13</v>
      </c>
      <c r="G9" s="6"/>
      <c r="I9" s="32" t="s">
        <v>36</v>
      </c>
      <c r="J9" s="33" t="s">
        <v>37</v>
      </c>
      <c r="K9" s="34">
        <v>-2700</v>
      </c>
      <c r="L9" s="35">
        <v>13</v>
      </c>
      <c r="M9" s="6"/>
    </row>
    <row r="10" spans="2:13" x14ac:dyDescent="0.25">
      <c r="C10" s="32" t="s">
        <v>33</v>
      </c>
      <c r="D10" s="33" t="s">
        <v>38</v>
      </c>
      <c r="E10" s="34">
        <v>18000</v>
      </c>
      <c r="F10" s="35">
        <v>9.5</v>
      </c>
      <c r="G10" s="6"/>
      <c r="I10" s="32" t="s">
        <v>33</v>
      </c>
      <c r="J10" s="33" t="s">
        <v>39</v>
      </c>
      <c r="K10" s="34">
        <v>7000</v>
      </c>
      <c r="L10" s="35">
        <v>10</v>
      </c>
      <c r="M10" s="6"/>
    </row>
    <row r="11" spans="2:13" x14ac:dyDescent="0.25">
      <c r="C11" s="32" t="s">
        <v>36</v>
      </c>
      <c r="D11" s="33" t="s">
        <v>39</v>
      </c>
      <c r="E11" s="34">
        <v>-12000</v>
      </c>
      <c r="F11" s="35">
        <v>13</v>
      </c>
      <c r="G11" s="6"/>
      <c r="I11" s="32" t="s">
        <v>36</v>
      </c>
      <c r="J11" s="33" t="s">
        <v>40</v>
      </c>
      <c r="K11" s="34">
        <v>-3500</v>
      </c>
      <c r="L11" s="35">
        <v>13</v>
      </c>
      <c r="M11" s="6"/>
    </row>
    <row r="12" spans="2:13" x14ac:dyDescent="0.25">
      <c r="E12" s="21"/>
      <c r="F12" s="6"/>
      <c r="G12" s="6"/>
      <c r="I12" s="32" t="s">
        <v>33</v>
      </c>
      <c r="J12" s="33" t="s">
        <v>41</v>
      </c>
      <c r="K12" s="34">
        <v>3000</v>
      </c>
      <c r="L12" s="35">
        <v>11</v>
      </c>
      <c r="M12" s="6"/>
    </row>
    <row r="13" spans="2:13" x14ac:dyDescent="0.25">
      <c r="E13" s="6"/>
      <c r="F13" s="6"/>
      <c r="G13" s="6"/>
      <c r="K13" s="21"/>
      <c r="L13" s="6"/>
      <c r="M13" s="6"/>
    </row>
    <row r="14" spans="2:13" x14ac:dyDescent="0.25">
      <c r="D14" s="36" t="s">
        <v>42</v>
      </c>
      <c r="E14" s="36"/>
      <c r="F14" s="36"/>
      <c r="G14" s="6"/>
      <c r="J14" s="36" t="s">
        <v>43</v>
      </c>
      <c r="K14" s="36"/>
      <c r="L14" s="36"/>
      <c r="M14" s="6"/>
    </row>
    <row r="15" spans="2:13" x14ac:dyDescent="0.25">
      <c r="C15" s="32"/>
      <c r="D15" s="33" t="s">
        <v>32</v>
      </c>
      <c r="E15" s="34" t="s">
        <v>31</v>
      </c>
      <c r="F15" s="35" t="s">
        <v>44</v>
      </c>
      <c r="I15" s="32"/>
      <c r="J15" s="33" t="s">
        <v>32</v>
      </c>
      <c r="K15" s="34" t="s">
        <v>31</v>
      </c>
      <c r="L15" s="35" t="s">
        <v>44</v>
      </c>
    </row>
    <row r="16" spans="2:13" x14ac:dyDescent="0.25">
      <c r="C16" s="32" t="s">
        <v>45</v>
      </c>
      <c r="D16" s="37">
        <f>+((E8*F8)+(E10*F10))/(E8+E10)</f>
        <v>9.64</v>
      </c>
      <c r="E16" s="34">
        <f>+SUM($E$8:$E$11)</f>
        <v>8000</v>
      </c>
      <c r="F16" s="35">
        <f>+D16*E16</f>
        <v>77120</v>
      </c>
      <c r="I16" s="32" t="s">
        <v>46</v>
      </c>
      <c r="J16" s="37">
        <f t="shared" ref="J16:K16" si="0">+K12</f>
        <v>3000</v>
      </c>
      <c r="K16" s="34">
        <f t="shared" si="0"/>
        <v>11</v>
      </c>
      <c r="L16" s="35">
        <f t="shared" ref="L16:L17" si="1">+J16*K16</f>
        <v>33000</v>
      </c>
    </row>
    <row r="17" spans="2:12" x14ac:dyDescent="0.25">
      <c r="I17" s="32" t="s">
        <v>47</v>
      </c>
      <c r="J17" s="37">
        <f>+SUM(K8:K11)</f>
        <v>4300</v>
      </c>
      <c r="K17" s="34">
        <f>+L10</f>
        <v>10</v>
      </c>
      <c r="L17" s="35">
        <f t="shared" si="1"/>
        <v>43000</v>
      </c>
    </row>
    <row r="18" spans="2:12" x14ac:dyDescent="0.25">
      <c r="I18" s="32" t="s">
        <v>45</v>
      </c>
      <c r="J18" s="37"/>
      <c r="K18" s="34"/>
      <c r="L18" s="35">
        <f>+SUM(L16:L17)</f>
        <v>76000</v>
      </c>
    </row>
    <row r="19" spans="2:12" ht="0.75" customHeight="1" x14ac:dyDescent="0.25"/>
    <row r="21" spans="2:12" x14ac:dyDescent="0.25">
      <c r="B21" s="17"/>
      <c r="C21" s="17" t="s">
        <v>90</v>
      </c>
    </row>
    <row r="23" spans="2:12" x14ac:dyDescent="0.25">
      <c r="C23" s="22" t="s">
        <v>0</v>
      </c>
      <c r="I23" s="22" t="s">
        <v>1</v>
      </c>
    </row>
    <row r="24" spans="2:12" x14ac:dyDescent="0.25">
      <c r="D24" s="31" t="s">
        <v>30</v>
      </c>
      <c r="E24" s="31" t="s">
        <v>31</v>
      </c>
      <c r="F24" s="31" t="s">
        <v>32</v>
      </c>
      <c r="J24" s="31" t="s">
        <v>30</v>
      </c>
      <c r="K24" s="31" t="s">
        <v>31</v>
      </c>
      <c r="L24" s="31" t="s">
        <v>32</v>
      </c>
    </row>
    <row r="25" spans="2:12" x14ac:dyDescent="0.25">
      <c r="C25" s="32" t="s">
        <v>33</v>
      </c>
      <c r="D25" s="33" t="s">
        <v>34</v>
      </c>
      <c r="E25" s="34">
        <v>7000</v>
      </c>
      <c r="F25" s="35">
        <v>10</v>
      </c>
      <c r="G25" s="6"/>
      <c r="I25" s="32" t="s">
        <v>33</v>
      </c>
      <c r="J25" s="33" t="s">
        <v>35</v>
      </c>
      <c r="K25" s="34">
        <v>3500</v>
      </c>
      <c r="L25" s="35">
        <v>11</v>
      </c>
    </row>
    <row r="26" spans="2:12" x14ac:dyDescent="0.25">
      <c r="C26" s="32" t="s">
        <v>36</v>
      </c>
      <c r="D26" s="33" t="s">
        <v>35</v>
      </c>
      <c r="E26" s="34">
        <v>-5000</v>
      </c>
      <c r="F26" s="35">
        <v>13</v>
      </c>
      <c r="G26" s="6"/>
      <c r="I26" s="32" t="s">
        <v>36</v>
      </c>
      <c r="J26" s="33" t="s">
        <v>37</v>
      </c>
      <c r="K26" s="34">
        <v>-2700</v>
      </c>
      <c r="L26" s="35">
        <v>13</v>
      </c>
    </row>
    <row r="27" spans="2:12" x14ac:dyDescent="0.25">
      <c r="C27" s="32" t="s">
        <v>33</v>
      </c>
      <c r="D27" s="33" t="s">
        <v>38</v>
      </c>
      <c r="E27" s="34">
        <v>18000</v>
      </c>
      <c r="F27" s="35">
        <v>9.5</v>
      </c>
      <c r="G27" s="6"/>
      <c r="I27" s="32" t="s">
        <v>33</v>
      </c>
      <c r="J27" s="33" t="s">
        <v>39</v>
      </c>
      <c r="K27" s="34">
        <v>7000</v>
      </c>
      <c r="L27" s="35">
        <v>10</v>
      </c>
    </row>
    <row r="28" spans="2:12" x14ac:dyDescent="0.25">
      <c r="C28" s="32" t="s">
        <v>36</v>
      </c>
      <c r="D28" s="33" t="s">
        <v>39</v>
      </c>
      <c r="E28" s="34">
        <v>-12000</v>
      </c>
      <c r="F28" s="35">
        <v>13</v>
      </c>
      <c r="G28" s="6"/>
      <c r="I28" s="32" t="s">
        <v>36</v>
      </c>
      <c r="J28" s="33" t="s">
        <v>40</v>
      </c>
      <c r="K28" s="34">
        <v>-3500</v>
      </c>
      <c r="L28" s="35">
        <v>13</v>
      </c>
    </row>
    <row r="29" spans="2:12" x14ac:dyDescent="0.25">
      <c r="E29" s="21"/>
      <c r="F29" s="6"/>
      <c r="G29" s="6"/>
      <c r="I29" s="32" t="s">
        <v>33</v>
      </c>
      <c r="J29" s="33" t="s">
        <v>41</v>
      </c>
      <c r="K29" s="34">
        <v>3000</v>
      </c>
      <c r="L29" s="35">
        <v>11</v>
      </c>
    </row>
    <row r="30" spans="2:12" x14ac:dyDescent="0.25">
      <c r="E30" s="6"/>
      <c r="F30" s="6"/>
      <c r="G30" s="6"/>
      <c r="K30" s="21"/>
      <c r="L30" s="6"/>
    </row>
    <row r="31" spans="2:12" x14ac:dyDescent="0.25">
      <c r="D31" s="36" t="s">
        <v>42</v>
      </c>
      <c r="E31" s="36"/>
      <c r="F31" s="36"/>
      <c r="G31" s="6"/>
      <c r="J31" s="36" t="s">
        <v>42</v>
      </c>
      <c r="K31" s="36"/>
      <c r="L31" s="36"/>
    </row>
    <row r="32" spans="2:12" x14ac:dyDescent="0.25">
      <c r="C32" s="32"/>
      <c r="D32" s="33" t="s">
        <v>32</v>
      </c>
      <c r="E32" s="34" t="s">
        <v>31</v>
      </c>
      <c r="F32" s="35" t="s">
        <v>44</v>
      </c>
      <c r="I32" s="32"/>
      <c r="J32" s="33" t="s">
        <v>32</v>
      </c>
      <c r="K32" s="34" t="s">
        <v>31</v>
      </c>
      <c r="L32" s="35" t="s">
        <v>44</v>
      </c>
    </row>
    <row r="33" spans="2:23" x14ac:dyDescent="0.25">
      <c r="C33" s="32" t="s">
        <v>45</v>
      </c>
      <c r="D33" s="37">
        <f>+((E25*F25)+(E27*F27))/(E25+E27)</f>
        <v>9.64</v>
      </c>
      <c r="E33" s="34">
        <f>+SUM(E25:E28)</f>
        <v>8000</v>
      </c>
      <c r="F33" s="35">
        <f>+D33*E33</f>
        <v>77120</v>
      </c>
      <c r="I33" s="32" t="s">
        <v>45</v>
      </c>
      <c r="J33" s="37">
        <f>+((K25*L25)+(K27*L27)+(K29*L29))/(K25+K27+K29)</f>
        <v>10.481481481481481</v>
      </c>
      <c r="K33" s="34">
        <f>+SUM($K$25:$K$29)</f>
        <v>7300</v>
      </c>
      <c r="L33" s="35">
        <f>+J33*K33</f>
        <v>76514.814814814818</v>
      </c>
    </row>
    <row r="34" spans="2:23" x14ac:dyDescent="0.25">
      <c r="J34" s="21"/>
      <c r="K34" s="6"/>
      <c r="L34" s="20"/>
    </row>
    <row r="35" spans="2:23" x14ac:dyDescent="0.25">
      <c r="E35" s="38" t="s">
        <v>31</v>
      </c>
      <c r="F35" s="38" t="s">
        <v>44</v>
      </c>
      <c r="L35" s="6"/>
    </row>
    <row r="36" spans="2:23" x14ac:dyDescent="0.25">
      <c r="C36" s="39" t="s">
        <v>48</v>
      </c>
      <c r="D36" s="40"/>
      <c r="E36" s="34">
        <f t="shared" ref="E36:F36" si="2">+E33+K33</f>
        <v>15300</v>
      </c>
      <c r="F36" s="35">
        <f t="shared" si="2"/>
        <v>153634.81481481483</v>
      </c>
    </row>
    <row r="39" spans="2:23" x14ac:dyDescent="0.25">
      <c r="B39" s="91">
        <v>4</v>
      </c>
      <c r="C39" s="132" t="s">
        <v>65</v>
      </c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</row>
    <row r="41" spans="2:23" ht="75.75" thickBot="1" x14ac:dyDescent="0.3">
      <c r="C41" s="41" t="s">
        <v>66</v>
      </c>
      <c r="D41" s="42" t="s">
        <v>67</v>
      </c>
      <c r="E41" s="42" t="s">
        <v>31</v>
      </c>
      <c r="F41" s="43" t="s">
        <v>68</v>
      </c>
      <c r="I41" s="41" t="s">
        <v>69</v>
      </c>
      <c r="J41" s="42" t="s">
        <v>67</v>
      </c>
      <c r="K41" s="42" t="s">
        <v>31</v>
      </c>
      <c r="L41" s="43" t="s">
        <v>68</v>
      </c>
    </row>
    <row r="42" spans="2:23" ht="19.5" thickBot="1" x14ac:dyDescent="0.35">
      <c r="C42" s="44"/>
      <c r="D42" s="45">
        <v>8.75</v>
      </c>
      <c r="E42" s="46">
        <f>+SUM($E$8:$E$11)</f>
        <v>8000</v>
      </c>
      <c r="F42" s="131">
        <f>D42*E42</f>
        <v>70000</v>
      </c>
      <c r="H42" s="23"/>
      <c r="I42" s="44"/>
      <c r="J42" s="45">
        <v>8.75</v>
      </c>
      <c r="K42" s="46">
        <f>+SUM($K$25:$K$29)</f>
        <v>7300</v>
      </c>
      <c r="L42" s="131">
        <f>J42*K42</f>
        <v>63875</v>
      </c>
    </row>
  </sheetData>
  <mergeCells count="8">
    <mergeCell ref="C41:C42"/>
    <mergeCell ref="I41:I42"/>
    <mergeCell ref="D14:F14"/>
    <mergeCell ref="J14:L14"/>
    <mergeCell ref="D31:F31"/>
    <mergeCell ref="J31:L31"/>
    <mergeCell ref="C36:D36"/>
    <mergeCell ref="C39:W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19B3-4E67-4DCE-845B-DCA27FB37528}">
  <dimension ref="B4:M43"/>
  <sheetViews>
    <sheetView topLeftCell="A17" workbookViewId="0">
      <selection activeCell="E30" sqref="E30"/>
    </sheetView>
  </sheetViews>
  <sheetFormatPr defaultRowHeight="15" x14ac:dyDescent="0.25"/>
  <cols>
    <col min="2" max="2" width="19.85546875" customWidth="1"/>
    <col min="3" max="3" width="19.28515625" customWidth="1"/>
    <col min="4" max="4" width="16.85546875" customWidth="1"/>
    <col min="5" max="5" width="54.28515625" customWidth="1"/>
    <col min="6" max="6" width="25.42578125" customWidth="1"/>
    <col min="11" max="11" width="10.5703125" bestFit="1" customWidth="1"/>
    <col min="14" max="14" width="17.42578125" customWidth="1"/>
    <col min="15" max="15" width="21.28515625" customWidth="1"/>
    <col min="16" max="16" width="10.5703125" bestFit="1" customWidth="1"/>
  </cols>
  <sheetData>
    <row r="4" spans="2:7" x14ac:dyDescent="0.25">
      <c r="B4" s="17" t="s">
        <v>49</v>
      </c>
    </row>
    <row r="6" spans="2:7" x14ac:dyDescent="0.25">
      <c r="B6" s="17" t="s">
        <v>50</v>
      </c>
      <c r="G6" s="6"/>
    </row>
    <row r="7" spans="2:7" x14ac:dyDescent="0.25">
      <c r="G7" s="6"/>
    </row>
    <row r="8" spans="2:7" x14ac:dyDescent="0.25">
      <c r="B8" s="6">
        <v>500000</v>
      </c>
      <c r="C8" s="17" t="s">
        <v>2</v>
      </c>
    </row>
    <row r="9" spans="2:7" x14ac:dyDescent="0.25">
      <c r="B9" s="6"/>
      <c r="D9" s="17" t="s">
        <v>51</v>
      </c>
      <c r="E9" s="17" t="s">
        <v>52</v>
      </c>
      <c r="F9" s="6">
        <f>+B8</f>
        <v>500000</v>
      </c>
    </row>
    <row r="10" spans="2:7" x14ac:dyDescent="0.25">
      <c r="B10" s="6"/>
      <c r="F10" s="6"/>
    </row>
    <row r="11" spans="2:7" x14ac:dyDescent="0.25">
      <c r="B11" s="6">
        <v>500000</v>
      </c>
      <c r="C11" s="17" t="s">
        <v>52</v>
      </c>
      <c r="F11" s="6"/>
    </row>
    <row r="12" spans="2:7" x14ac:dyDescent="0.25">
      <c r="B12" s="6"/>
      <c r="D12" s="17" t="s">
        <v>51</v>
      </c>
      <c r="E12" s="17" t="s">
        <v>53</v>
      </c>
      <c r="F12" s="6">
        <f>+B11</f>
        <v>500000</v>
      </c>
    </row>
    <row r="13" spans="2:7" x14ac:dyDescent="0.25">
      <c r="B13" s="6"/>
      <c r="F13" s="6"/>
    </row>
    <row r="14" spans="2:7" x14ac:dyDescent="0.25">
      <c r="B14" s="6"/>
      <c r="F14" s="6"/>
    </row>
    <row r="15" spans="2:7" x14ac:dyDescent="0.25">
      <c r="B15" s="6" t="s">
        <v>54</v>
      </c>
      <c r="F15" s="6"/>
    </row>
    <row r="16" spans="2:7" x14ac:dyDescent="0.25">
      <c r="B16" s="6"/>
      <c r="F16" s="6"/>
    </row>
    <row r="17" spans="2:7" x14ac:dyDescent="0.25">
      <c r="B17" s="6">
        <f>+B11*0.03/2</f>
        <v>7500</v>
      </c>
      <c r="C17" s="17" t="s">
        <v>55</v>
      </c>
      <c r="F17" s="6"/>
    </row>
    <row r="18" spans="2:7" x14ac:dyDescent="0.25">
      <c r="B18" s="6"/>
      <c r="D18" s="17" t="s">
        <v>51</v>
      </c>
      <c r="E18" s="17" t="s">
        <v>56</v>
      </c>
      <c r="F18" s="6">
        <f>+B17</f>
        <v>7500</v>
      </c>
    </row>
    <row r="19" spans="2:7" x14ac:dyDescent="0.25">
      <c r="B19" s="6"/>
      <c r="F19" s="6"/>
    </row>
    <row r="20" spans="2:7" x14ac:dyDescent="0.25">
      <c r="B20" s="6" t="s">
        <v>57</v>
      </c>
      <c r="F20" s="6"/>
    </row>
    <row r="21" spans="2:7" x14ac:dyDescent="0.25">
      <c r="B21" s="6"/>
      <c r="F21" s="6"/>
    </row>
    <row r="22" spans="2:7" x14ac:dyDescent="0.25">
      <c r="B22" s="6">
        <f>+B11*0.03</f>
        <v>15000</v>
      </c>
      <c r="C22" s="17" t="s">
        <v>55</v>
      </c>
      <c r="F22" s="6"/>
    </row>
    <row r="23" spans="2:7" x14ac:dyDescent="0.25">
      <c r="B23" s="6"/>
      <c r="D23" s="17" t="s">
        <v>51</v>
      </c>
      <c r="E23" s="17" t="s">
        <v>56</v>
      </c>
      <c r="F23" s="6">
        <f>+B22</f>
        <v>15000</v>
      </c>
    </row>
    <row r="24" spans="2:7" x14ac:dyDescent="0.25">
      <c r="B24" s="6"/>
      <c r="F24" s="6"/>
    </row>
    <row r="25" spans="2:7" x14ac:dyDescent="0.25">
      <c r="B25" s="6" t="s">
        <v>58</v>
      </c>
      <c r="C25" s="27" t="s">
        <v>0</v>
      </c>
      <c r="F25" s="6"/>
    </row>
    <row r="26" spans="2:7" x14ac:dyDescent="0.25">
      <c r="B26" s="6"/>
      <c r="F26" s="6"/>
    </row>
    <row r="27" spans="2:7" x14ac:dyDescent="0.25">
      <c r="B27" s="6">
        <f>+B11*0.03/2</f>
        <v>7500</v>
      </c>
      <c r="C27" s="17" t="s">
        <v>55</v>
      </c>
      <c r="F27" s="6"/>
    </row>
    <row r="28" spans="2:7" x14ac:dyDescent="0.25">
      <c r="B28" s="6"/>
      <c r="D28" s="17" t="s">
        <v>51</v>
      </c>
      <c r="E28" s="17" t="s">
        <v>56</v>
      </c>
      <c r="F28" s="6">
        <f>+B27</f>
        <v>7500</v>
      </c>
    </row>
    <row r="29" spans="2:7" x14ac:dyDescent="0.25">
      <c r="B29" s="6"/>
      <c r="F29" s="6"/>
    </row>
    <row r="30" spans="2:7" x14ac:dyDescent="0.25">
      <c r="B30" s="6">
        <f>+B11-F18-F23-F28</f>
        <v>470000</v>
      </c>
      <c r="C30" s="17" t="s">
        <v>4</v>
      </c>
      <c r="F30" s="6"/>
    </row>
    <row r="31" spans="2:7" x14ac:dyDescent="0.25">
      <c r="B31" s="6"/>
      <c r="D31" s="17" t="s">
        <v>51</v>
      </c>
      <c r="E31" s="17" t="s">
        <v>2</v>
      </c>
      <c r="F31" s="6">
        <f>+B30</f>
        <v>470000</v>
      </c>
      <c r="G31" s="6"/>
    </row>
    <row r="32" spans="2:7" x14ac:dyDescent="0.25">
      <c r="B32" s="6"/>
      <c r="G32" s="6"/>
    </row>
    <row r="33" spans="2:13" ht="15.75" customHeight="1" x14ac:dyDescent="0.25">
      <c r="B33" s="6">
        <v>60000</v>
      </c>
      <c r="C33" s="27" t="s">
        <v>64</v>
      </c>
      <c r="G33" s="6"/>
    </row>
    <row r="34" spans="2:13" ht="15.75" customHeight="1" x14ac:dyDescent="0.25">
      <c r="B34" s="6"/>
      <c r="C34" s="27"/>
      <c r="D34" s="27"/>
      <c r="G34" s="6"/>
    </row>
    <row r="35" spans="2:13" x14ac:dyDescent="0.25">
      <c r="B35" s="6"/>
      <c r="G35" s="6"/>
    </row>
    <row r="36" spans="2:13" x14ac:dyDescent="0.25">
      <c r="B36" s="6"/>
      <c r="G36" s="6"/>
    </row>
    <row r="37" spans="2:13" x14ac:dyDescent="0.25">
      <c r="B37" s="47" t="s">
        <v>59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</row>
    <row r="38" spans="2:13" x14ac:dyDescent="0.25">
      <c r="B38" s="6"/>
      <c r="G38" s="6"/>
    </row>
    <row r="39" spans="2:13" x14ac:dyDescent="0.25">
      <c r="B39" s="17"/>
    </row>
    <row r="40" spans="2:13" x14ac:dyDescent="0.25">
      <c r="B40" s="28" t="s">
        <v>60</v>
      </c>
      <c r="C40" s="28" t="s">
        <v>61</v>
      </c>
      <c r="E40" s="27" t="s">
        <v>0</v>
      </c>
      <c r="F40" s="27" t="s">
        <v>63</v>
      </c>
      <c r="G40" s="23">
        <v>60000</v>
      </c>
    </row>
    <row r="41" spans="2:13" x14ac:dyDescent="0.25">
      <c r="B41" s="19">
        <v>6</v>
      </c>
      <c r="C41" s="23">
        <v>10000</v>
      </c>
      <c r="D41" s="23">
        <f>60000</f>
        <v>60000</v>
      </c>
      <c r="E41" s="27" t="s">
        <v>1</v>
      </c>
      <c r="F41" s="27" t="s">
        <v>62</v>
      </c>
      <c r="G41" s="29">
        <v>60000</v>
      </c>
    </row>
    <row r="42" spans="2:13" x14ac:dyDescent="0.25">
      <c r="B42" s="17"/>
    </row>
    <row r="43" spans="2:13" x14ac:dyDescent="0.25">
      <c r="B43" s="17"/>
    </row>
  </sheetData>
  <mergeCells count="1">
    <mergeCell ref="B37:M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B052-4C82-4482-B39F-88315E00A14A}">
  <dimension ref="A1:G34"/>
  <sheetViews>
    <sheetView topLeftCell="A9" workbookViewId="0">
      <pane xSplit="1" topLeftCell="B1" activePane="topRight" state="frozen"/>
      <selection pane="topRight" activeCell="K25" sqref="K25"/>
    </sheetView>
  </sheetViews>
  <sheetFormatPr defaultRowHeight="15" x14ac:dyDescent="0.25"/>
  <cols>
    <col min="1" max="1" width="46.5703125" customWidth="1"/>
    <col min="2" max="4" width="20.7109375" customWidth="1"/>
    <col min="5" max="5" width="23.140625" customWidth="1"/>
    <col min="6" max="6" width="22.85546875" customWidth="1"/>
    <col min="7" max="7" width="20.7109375" customWidth="1"/>
    <col min="9" max="9" width="2.85546875" customWidth="1"/>
  </cols>
  <sheetData>
    <row r="1" spans="1:7" x14ac:dyDescent="0.25">
      <c r="C1" s="53">
        <v>1</v>
      </c>
    </row>
    <row r="2" spans="1:7" x14ac:dyDescent="0.25">
      <c r="B2" s="19" t="s">
        <v>0</v>
      </c>
      <c r="C2" s="19" t="s">
        <v>1</v>
      </c>
      <c r="D2" s="54" t="s">
        <v>71</v>
      </c>
      <c r="E2" s="73" t="s">
        <v>86</v>
      </c>
      <c r="F2" s="73" t="s">
        <v>87</v>
      </c>
      <c r="G2" s="54"/>
    </row>
    <row r="3" spans="1:7" ht="15.75" thickBot="1" x14ac:dyDescent="0.3">
      <c r="A3" s="55" t="s">
        <v>2</v>
      </c>
      <c r="B3" s="56">
        <v>4000000</v>
      </c>
      <c r="C3" s="56">
        <v>28000</v>
      </c>
      <c r="D3" s="56">
        <f>SUM(B3:C3)</f>
        <v>4028000</v>
      </c>
      <c r="E3" s="48"/>
      <c r="F3" s="48"/>
      <c r="G3" s="49">
        <f t="shared" ref="G3:G5" si="0">D3+E3+F3</f>
        <v>4028000</v>
      </c>
    </row>
    <row r="4" spans="1:7" ht="15.75" thickBot="1" x14ac:dyDescent="0.3">
      <c r="A4" s="55" t="s">
        <v>4</v>
      </c>
      <c r="B4" s="56">
        <v>470000</v>
      </c>
      <c r="C4" s="57">
        <v>0</v>
      </c>
      <c r="D4" s="56">
        <f t="shared" ref="D4:D6" si="1">SUM(B4:C4)</f>
        <v>470000</v>
      </c>
      <c r="E4" s="48"/>
      <c r="F4" s="48"/>
      <c r="G4" s="49">
        <f t="shared" si="0"/>
        <v>470000</v>
      </c>
    </row>
    <row r="5" spans="1:7" ht="15.75" thickBot="1" x14ac:dyDescent="0.3">
      <c r="A5" s="55" t="s">
        <v>72</v>
      </c>
      <c r="B5" s="57">
        <v>0</v>
      </c>
      <c r="C5" s="56">
        <v>75000</v>
      </c>
      <c r="D5" s="56">
        <f t="shared" si="1"/>
        <v>75000</v>
      </c>
      <c r="E5" s="48"/>
      <c r="F5" s="48"/>
      <c r="G5" s="49">
        <f t="shared" si="0"/>
        <v>75000</v>
      </c>
    </row>
    <row r="6" spans="1:7" ht="15.75" thickBot="1" x14ac:dyDescent="0.3">
      <c r="A6" s="58" t="s">
        <v>73</v>
      </c>
      <c r="B6" s="59">
        <v>10000</v>
      </c>
      <c r="C6" s="60">
        <v>0</v>
      </c>
      <c r="D6" s="56">
        <f t="shared" si="1"/>
        <v>10000</v>
      </c>
      <c r="E6" s="48">
        <v>-10000</v>
      </c>
      <c r="F6" s="48"/>
      <c r="G6" s="49">
        <f>D6+E6+F6</f>
        <v>0</v>
      </c>
    </row>
    <row r="7" spans="1:7" ht="15.75" thickBot="1" x14ac:dyDescent="0.3">
      <c r="A7" s="61" t="s">
        <v>74</v>
      </c>
      <c r="B7" s="62">
        <f>SUM(B3:B6)</f>
        <v>4480000</v>
      </c>
      <c r="C7" s="63">
        <f>SUM(C3:C6)</f>
        <v>103000</v>
      </c>
      <c r="D7" s="63">
        <f>SUM(D3:D6)</f>
        <v>4583000</v>
      </c>
      <c r="E7" s="6">
        <f t="shared" ref="E7:F7" si="2">+SUM(E3:E6)</f>
        <v>-10000</v>
      </c>
      <c r="F7" s="6">
        <f t="shared" si="2"/>
        <v>0</v>
      </c>
      <c r="G7" s="50">
        <f>SUM(G3:G6)</f>
        <v>4573000</v>
      </c>
    </row>
    <row r="9" spans="1:7" ht="15.75" thickBot="1" x14ac:dyDescent="0.3">
      <c r="A9" s="55" t="s">
        <v>13</v>
      </c>
      <c r="B9" s="56">
        <v>77120</v>
      </c>
      <c r="C9" s="56">
        <v>76000</v>
      </c>
      <c r="D9" s="56">
        <f>SUM(B9:C9)</f>
        <v>153120</v>
      </c>
      <c r="E9" s="48"/>
      <c r="F9" s="48"/>
      <c r="G9" s="49">
        <f t="shared" ref="G9:G12" si="3">D9+E9+F9</f>
        <v>153120</v>
      </c>
    </row>
    <row r="10" spans="1:7" ht="15.75" thickBot="1" x14ac:dyDescent="0.3">
      <c r="A10" s="55" t="s">
        <v>14</v>
      </c>
      <c r="B10" s="56">
        <v>350000</v>
      </c>
      <c r="C10" s="56">
        <v>460000</v>
      </c>
      <c r="D10" s="56">
        <f>SUM(B10:C10)</f>
        <v>810000</v>
      </c>
      <c r="E10" s="48"/>
      <c r="F10" s="48"/>
      <c r="G10" s="49">
        <f t="shared" si="3"/>
        <v>810000</v>
      </c>
    </row>
    <row r="11" spans="1:7" ht="15.75" thickBot="1" x14ac:dyDescent="0.3">
      <c r="A11" s="55" t="s">
        <v>75</v>
      </c>
      <c r="B11" s="56">
        <v>150000</v>
      </c>
      <c r="C11" s="56">
        <v>21000</v>
      </c>
      <c r="D11" s="56">
        <f>SUM(B11:C11)</f>
        <v>171000</v>
      </c>
      <c r="E11" s="48"/>
      <c r="F11" s="48"/>
      <c r="G11" s="49">
        <f t="shared" si="3"/>
        <v>171000</v>
      </c>
    </row>
    <row r="12" spans="1:7" ht="15.75" thickBot="1" x14ac:dyDescent="0.3">
      <c r="A12" s="58" t="s">
        <v>76</v>
      </c>
      <c r="B12" s="64">
        <v>0</v>
      </c>
      <c r="C12" s="59">
        <v>38000</v>
      </c>
      <c r="D12" s="56">
        <f>SUM(B12:C12)</f>
        <v>38000</v>
      </c>
      <c r="E12" s="72"/>
      <c r="F12" s="72">
        <v>-38000</v>
      </c>
      <c r="G12" s="49">
        <f t="shared" si="3"/>
        <v>0</v>
      </c>
    </row>
    <row r="13" spans="1:7" ht="15.75" thickBot="1" x14ac:dyDescent="0.3">
      <c r="A13" s="58" t="s">
        <v>20</v>
      </c>
      <c r="B13" s="59">
        <v>10000</v>
      </c>
      <c r="C13" s="64">
        <v>0</v>
      </c>
      <c r="D13" s="56">
        <f>SUM(B13:C13)</f>
        <v>10000</v>
      </c>
      <c r="E13" s="72"/>
      <c r="F13" s="72">
        <v>-10000</v>
      </c>
      <c r="G13" s="49">
        <f>D13+E13+F13</f>
        <v>0</v>
      </c>
    </row>
    <row r="14" spans="1:7" ht="15.75" thickBot="1" x14ac:dyDescent="0.3">
      <c r="A14" s="55" t="s">
        <v>77</v>
      </c>
      <c r="B14" s="56">
        <v>150000</v>
      </c>
      <c r="C14" s="56">
        <v>22000</v>
      </c>
      <c r="D14" s="56">
        <f>SUM(B14:C14)</f>
        <v>172000</v>
      </c>
      <c r="E14" s="48"/>
      <c r="F14" s="48"/>
      <c r="G14" s="49">
        <f>D14+E14+F14</f>
        <v>172000</v>
      </c>
    </row>
    <row r="15" spans="1:7" ht="15.75" thickBot="1" x14ac:dyDescent="0.3">
      <c r="A15" s="61" t="s">
        <v>78</v>
      </c>
      <c r="B15" s="62">
        <f>SUM(B9:B14)</f>
        <v>737120</v>
      </c>
      <c r="C15" s="63">
        <f>SUM(C9:C14)</f>
        <v>617000</v>
      </c>
      <c r="D15" s="63">
        <f>SUM(D9:D14)</f>
        <v>1354120</v>
      </c>
      <c r="E15" s="6">
        <f t="shared" ref="E15:F15" si="4">+SUM(E9:E14)</f>
        <v>0</v>
      </c>
      <c r="F15" s="6">
        <f t="shared" si="4"/>
        <v>-48000</v>
      </c>
      <c r="G15" s="50">
        <f>SUM(G9:G14)</f>
        <v>1306120</v>
      </c>
    </row>
    <row r="16" spans="1:7" ht="15.75" thickBot="1" x14ac:dyDescent="0.3">
      <c r="A16" s="65" t="s">
        <v>27</v>
      </c>
      <c r="B16" s="66">
        <f>B7+B15</f>
        <v>5217120</v>
      </c>
      <c r="C16" s="67">
        <f>C15+C7</f>
        <v>720000</v>
      </c>
      <c r="D16" s="67">
        <f>D15+D7</f>
        <v>5937120</v>
      </c>
      <c r="E16" s="18">
        <f t="shared" ref="E16:F16" si="5">+E7+E15</f>
        <v>-10000</v>
      </c>
      <c r="F16" s="18">
        <f t="shared" si="5"/>
        <v>-48000</v>
      </c>
      <c r="G16" s="51">
        <f>G15+G7</f>
        <v>5879120</v>
      </c>
    </row>
    <row r="18" spans="1:7" ht="15.75" thickBot="1" x14ac:dyDescent="0.3">
      <c r="A18" t="s">
        <v>3</v>
      </c>
      <c r="B18" s="68">
        <v>6000</v>
      </c>
      <c r="C18" s="68">
        <v>10000</v>
      </c>
      <c r="D18" s="56">
        <f t="shared" ref="D18:D19" si="6">SUM(B18:C18)</f>
        <v>16000</v>
      </c>
      <c r="E18" s="48">
        <v>-10000</v>
      </c>
      <c r="F18" s="48"/>
      <c r="G18" s="49">
        <f>D18+E18+F18</f>
        <v>6000</v>
      </c>
    </row>
    <row r="19" spans="1:7" ht="15.75" thickBot="1" x14ac:dyDescent="0.3">
      <c r="A19" t="s">
        <v>5</v>
      </c>
      <c r="B19" s="68">
        <v>3142245.33</v>
      </c>
      <c r="C19" s="68">
        <v>122125</v>
      </c>
      <c r="D19" s="56">
        <f t="shared" si="6"/>
        <v>3264370.33</v>
      </c>
      <c r="E19" s="48">
        <f>-C19</f>
        <v>-122125</v>
      </c>
      <c r="F19" s="48"/>
      <c r="G19" s="49">
        <f t="shared" ref="G19" si="7">D19+E19+F19</f>
        <v>3142245.33</v>
      </c>
    </row>
    <row r="21" spans="1:7" ht="15.75" thickBot="1" x14ac:dyDescent="0.3">
      <c r="A21" s="17" t="s">
        <v>88</v>
      </c>
      <c r="B21" s="6">
        <v>0</v>
      </c>
      <c r="C21" s="6">
        <v>0</v>
      </c>
      <c r="D21" s="6">
        <v>0</v>
      </c>
      <c r="E21" s="48">
        <f>-E19</f>
        <v>122125</v>
      </c>
      <c r="F21" s="48"/>
      <c r="G21" s="49">
        <f>D21+E21+F21</f>
        <v>122125</v>
      </c>
    </row>
    <row r="22" spans="1:7" ht="15.75" thickBot="1" x14ac:dyDescent="0.3">
      <c r="A22" t="s">
        <v>79</v>
      </c>
      <c r="B22" s="68">
        <v>1047375</v>
      </c>
      <c r="C22" s="68">
        <v>157875</v>
      </c>
      <c r="D22" s="56">
        <f>SUM(B22:C22)</f>
        <v>1205250</v>
      </c>
      <c r="F22" s="48"/>
      <c r="G22" s="49">
        <f>D22+E21+F22</f>
        <v>1327375</v>
      </c>
    </row>
    <row r="23" spans="1:7" ht="15.75" thickBot="1" x14ac:dyDescent="0.3">
      <c r="A23" s="61" t="s">
        <v>10</v>
      </c>
      <c r="B23" s="62">
        <f>SUM(B18:B22)</f>
        <v>4195620.33</v>
      </c>
      <c r="C23" s="63">
        <f>SUM(C18:C22)</f>
        <v>290000</v>
      </c>
      <c r="D23" s="63">
        <f>SUM(D18:D22)</f>
        <v>4485620.33</v>
      </c>
      <c r="E23" s="6">
        <f t="shared" ref="E23:F23" si="8">+SUM(E18:E22)</f>
        <v>-10000</v>
      </c>
      <c r="F23" s="6">
        <f t="shared" si="8"/>
        <v>0</v>
      </c>
      <c r="G23" s="49">
        <f>D23+E23+F23</f>
        <v>4475620.33</v>
      </c>
    </row>
    <row r="25" spans="1:7" ht="15.75" thickBot="1" x14ac:dyDescent="0.3">
      <c r="A25" t="s">
        <v>80</v>
      </c>
      <c r="B25" s="68">
        <v>416666.67</v>
      </c>
      <c r="C25" s="69">
        <v>50000</v>
      </c>
      <c r="D25" s="56">
        <f>SUM(B25:C25)</f>
        <v>466666.67</v>
      </c>
      <c r="E25" s="48"/>
      <c r="F25" s="48"/>
      <c r="G25" s="49">
        <f>D25+E25+F25</f>
        <v>466666.67</v>
      </c>
    </row>
    <row r="26" spans="1:7" ht="15.75" thickBot="1" x14ac:dyDescent="0.3">
      <c r="A26" s="61" t="s">
        <v>81</v>
      </c>
      <c r="B26" s="62">
        <f>B25</f>
        <v>416666.67</v>
      </c>
      <c r="C26" s="63">
        <f>C25</f>
        <v>50000</v>
      </c>
      <c r="D26" s="63">
        <f>D25</f>
        <v>466666.67</v>
      </c>
      <c r="E26" s="6">
        <f t="shared" ref="E26:F26" si="9">+E25</f>
        <v>0</v>
      </c>
      <c r="F26" s="6">
        <f t="shared" si="9"/>
        <v>0</v>
      </c>
      <c r="G26" s="49">
        <f>D26+E26+F26</f>
        <v>466666.67</v>
      </c>
    </row>
    <row r="28" spans="1:7" ht="15.75" thickBot="1" x14ac:dyDescent="0.3">
      <c r="A28" s="55" t="s">
        <v>82</v>
      </c>
      <c r="B28" s="68">
        <v>33333</v>
      </c>
      <c r="C28" s="68">
        <v>10000</v>
      </c>
      <c r="D28" s="56">
        <f>SUM(B28:C28)</f>
        <v>43333</v>
      </c>
      <c r="E28" s="48"/>
      <c r="F28" s="48"/>
      <c r="G28" s="49">
        <f>D28+E28+F28</f>
        <v>43333</v>
      </c>
    </row>
    <row r="29" spans="1:7" ht="15.75" thickBot="1" x14ac:dyDescent="0.3">
      <c r="A29" s="58" t="s">
        <v>83</v>
      </c>
      <c r="B29" s="70">
        <v>38000</v>
      </c>
      <c r="C29" s="64">
        <v>0</v>
      </c>
      <c r="D29" s="56">
        <f t="shared" ref="D29:D32" si="10">SUM(B29:C29)</f>
        <v>38000</v>
      </c>
      <c r="E29" s="72"/>
      <c r="F29" s="72">
        <v>-38000</v>
      </c>
      <c r="G29" s="49">
        <f>D29+E29+F29</f>
        <v>0</v>
      </c>
    </row>
    <row r="30" spans="1:7" ht="15.75" thickBot="1" x14ac:dyDescent="0.3">
      <c r="A30" s="55" t="s">
        <v>19</v>
      </c>
      <c r="B30" s="68">
        <v>460000</v>
      </c>
      <c r="C30" s="68">
        <v>350000</v>
      </c>
      <c r="D30" s="56">
        <f t="shared" si="10"/>
        <v>810000</v>
      </c>
      <c r="E30" s="48"/>
      <c r="F30" s="48"/>
      <c r="G30" s="49">
        <f>D30+E30+F30</f>
        <v>810000</v>
      </c>
    </row>
    <row r="31" spans="1:7" ht="15.75" thickBot="1" x14ac:dyDescent="0.3">
      <c r="A31" s="58" t="s">
        <v>70</v>
      </c>
      <c r="B31" s="71">
        <v>0</v>
      </c>
      <c r="C31" s="70">
        <v>10000</v>
      </c>
      <c r="D31" s="56">
        <f t="shared" si="10"/>
        <v>10000</v>
      </c>
      <c r="E31" s="72"/>
      <c r="F31" s="72">
        <v>-10000</v>
      </c>
      <c r="G31" s="49">
        <f>D31+E31+F31</f>
        <v>0</v>
      </c>
    </row>
    <row r="32" spans="1:7" ht="15.75" thickBot="1" x14ac:dyDescent="0.3">
      <c r="A32" s="55" t="s">
        <v>24</v>
      </c>
      <c r="B32" s="68">
        <v>73500</v>
      </c>
      <c r="C32" s="68">
        <v>10000</v>
      </c>
      <c r="D32" s="56">
        <f t="shared" si="10"/>
        <v>83500</v>
      </c>
      <c r="E32" s="48"/>
      <c r="F32" s="48"/>
      <c r="G32" s="49">
        <f>D32+E32+F32</f>
        <v>83500</v>
      </c>
    </row>
    <row r="33" spans="1:7" ht="15.75" thickBot="1" x14ac:dyDescent="0.3">
      <c r="A33" s="61" t="s">
        <v>84</v>
      </c>
      <c r="B33" s="62">
        <f>SUM(B28:B32)</f>
        <v>604833</v>
      </c>
      <c r="C33" s="63">
        <f>SUM(C28:C32)</f>
        <v>380000</v>
      </c>
      <c r="D33" s="63">
        <f>SUM(D28:D32)</f>
        <v>984833</v>
      </c>
      <c r="E33" s="48"/>
      <c r="F33" s="6">
        <f t="shared" ref="F33" si="11">+SUM(F28:F32)</f>
        <v>-48000</v>
      </c>
      <c r="G33" s="50">
        <f>SUM(G28:G32)</f>
        <v>936833</v>
      </c>
    </row>
    <row r="34" spans="1:7" ht="15.75" thickBot="1" x14ac:dyDescent="0.3">
      <c r="A34" s="65" t="s">
        <v>85</v>
      </c>
      <c r="B34" s="66">
        <f>B23+B26+B33</f>
        <v>5217120</v>
      </c>
      <c r="C34" s="66">
        <f>C23+C26+C33</f>
        <v>720000</v>
      </c>
      <c r="D34" s="66">
        <f>D23+D26+D33</f>
        <v>5937120</v>
      </c>
      <c r="E34" s="18">
        <f t="shared" ref="E34:F34" si="12">+E23+E26+E33</f>
        <v>-10000</v>
      </c>
      <c r="F34" s="18">
        <f t="shared" si="12"/>
        <v>-48000</v>
      </c>
      <c r="G34" s="52">
        <f>+G23+G26+G33</f>
        <v>5879120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Proyecto</vt:lpstr>
      <vt:lpstr>Sprint 1</vt:lpstr>
      <vt:lpstr>Sprint 2</vt:lpstr>
      <vt:lpstr>Sprint3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Caldentey Rincón</dc:creator>
  <cp:lastModifiedBy>Oriol puig i Carreró</cp:lastModifiedBy>
  <dcterms:created xsi:type="dcterms:W3CDTF">2022-03-15T21:21:12Z</dcterms:created>
  <dcterms:modified xsi:type="dcterms:W3CDTF">2024-01-31T21:31:37Z</dcterms:modified>
</cp:coreProperties>
</file>