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2/GESTION ECONOMICA Y CONTROLLING/"/>
    </mc:Choice>
  </mc:AlternateContent>
  <xr:revisionPtr revIDLastSave="15" documentId="8_{F55EE64F-1ABC-4D68-9EAC-250ABDFE0B5E}" xr6:coauthVersionLast="47" xr6:coauthVersionMax="47" xr10:uidLastSave="{47C114F0-7D73-4690-9FB8-0AA06D2F113A}"/>
  <bookViews>
    <workbookView xWindow="-120" yWindow="-120" windowWidth="29040" windowHeight="15720" xr2:uid="{00000000-000D-0000-FFFF-FFFF00000000}"/>
  </bookViews>
  <sheets>
    <sheet name="Sprint 4,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ixCIdKoaJgw2b5PG/sQWxTSuIk4g=="/>
    </ext>
  </extLst>
</workbook>
</file>

<file path=xl/calcChain.xml><?xml version="1.0" encoding="utf-8"?>
<calcChain xmlns="http://schemas.openxmlformats.org/spreadsheetml/2006/main">
  <c r="K50" i="1" l="1"/>
  <c r="L50" i="1" s="1"/>
  <c r="K41" i="1"/>
  <c r="E50" i="1"/>
  <c r="F50" i="1" s="1"/>
  <c r="E16" i="1"/>
  <c r="J41" i="1"/>
  <c r="E41" i="1"/>
  <c r="D41" i="1"/>
  <c r="F41" i="1" s="1"/>
  <c r="K17" i="1"/>
  <c r="J17" i="1"/>
  <c r="K16" i="1"/>
  <c r="J16" i="1"/>
  <c r="L16" i="1" s="1"/>
  <c r="D16" i="1"/>
  <c r="L17" i="1" l="1"/>
  <c r="L18" i="1" s="1"/>
  <c r="F16" i="1"/>
  <c r="L41" i="1"/>
  <c r="F44" i="1" s="1"/>
  <c r="E44" i="1"/>
</calcChain>
</file>

<file path=xl/sharedStrings.xml><?xml version="1.0" encoding="utf-8"?>
<sst xmlns="http://schemas.openxmlformats.org/spreadsheetml/2006/main" count="92" uniqueCount="32">
  <si>
    <t>Valores de los inventarios de cada empresa a 31.10</t>
  </si>
  <si>
    <t>CONTROL A</t>
  </si>
  <si>
    <t>CONTROL B</t>
  </si>
  <si>
    <t>Mes</t>
  </si>
  <si>
    <t>Unidades</t>
  </si>
  <si>
    <t>Precio</t>
  </si>
  <si>
    <t>Compra</t>
  </si>
  <si>
    <t>Enero</t>
  </si>
  <si>
    <t>Marzo</t>
  </si>
  <si>
    <t>Venta</t>
  </si>
  <si>
    <t>Abril y Mayo</t>
  </si>
  <si>
    <t>Mayo</t>
  </si>
  <si>
    <t>Junio</t>
  </si>
  <si>
    <t>Julio y Agosto</t>
  </si>
  <si>
    <t>Septiembre</t>
  </si>
  <si>
    <t>Precio medio:</t>
  </si>
  <si>
    <t>FIFO:</t>
  </si>
  <si>
    <t>Valor</t>
  </si>
  <si>
    <t>Octubre</t>
  </si>
  <si>
    <t>Compra sept</t>
  </si>
  <si>
    <t>Compra julio</t>
  </si>
  <si>
    <t>¿Qué habría que hacer con las existencias para poder realizar los estados financieros consolidados?</t>
  </si>
  <si>
    <t>Para poder proceder a realizar los estados financieros tenemos que homogeneizar las partidas  de existencias de las diferentes empresas</t>
  </si>
  <si>
    <t>de modo que tenemos que aplicar las mismas políticas. De esta forma como cada uno tiene una forma de valorar su inventario, deberemos</t>
  </si>
  <si>
    <t>recalcular el valor de las existencias utilizando el criterio de la matriz que en este caso sería el Precio Medio Ponderado.</t>
  </si>
  <si>
    <t>Calcular el valor del inventario del grupo a 31 de octubre.</t>
  </si>
  <si>
    <t>Inventario consolidado</t>
  </si>
  <si>
    <r>
      <t>En noviembre ha aparecido una nueva legislación por la cual se ha limitado el precio de venta a 8,75 euros que afecta a las ventas del grupo. </t>
    </r>
    <r>
      <rPr>
        <b/>
        <sz val="11"/>
        <color rgb="FF212529"/>
        <rFont val="Calibri"/>
        <family val="2"/>
        <scheme val="major"/>
      </rPr>
      <t>Se pide: </t>
    </r>
    <r>
      <rPr>
        <sz val="11"/>
        <color rgb="FF212529"/>
        <rFont val="Calibri"/>
        <family val="2"/>
        <scheme val="major"/>
      </rPr>
      <t>calcular el valor del inventario del grupo, así como el posible deterioro a 31 de diciembre.</t>
    </r>
  </si>
  <si>
    <t>Nuevo precio</t>
  </si>
  <si>
    <t>CONROL A</t>
  </si>
  <si>
    <t>Valor Inventario 
(Existencias)</t>
  </si>
  <si>
    <t>CONROL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</si>
</sst>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70" formatCode="_-* #,##0\ &quot;€&quot;_-;\-* #,##0\ &quot;€&quot;_-;_-* &quot;-&quot;??\ &quot;€&quot;_-;_-@_-"/>
  </numFmts>
  <fonts count="7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212529"/>
      <name val="Calibri"/>
      <family val="2"/>
      <scheme val="major"/>
    </font>
    <font>
      <b/>
      <sz val="11"/>
      <color rgb="FF212529"/>
      <name val="Calibri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  <xf numFmtId="0" fontId="2" fillId="0" borderId="0" xfId="0" applyFont="1"/>
    <xf numFmtId="4" fontId="2" fillId="0" borderId="0" xfId="0" applyNumberFormat="1" applyFont="1"/>
    <xf numFmtId="164" fontId="0" fillId="0" borderId="0" xfId="1" applyNumberFormat="1" applyFont="1"/>
    <xf numFmtId="0" fontId="4" fillId="2" borderId="0" xfId="0" applyFont="1" applyFill="1" applyAlignment="1">
      <alignment horizontal="center"/>
    </xf>
    <xf numFmtId="0" fontId="1" fillId="4" borderId="1" xfId="0" applyFont="1" applyFill="1" applyBorder="1"/>
    <xf numFmtId="0" fontId="1" fillId="3" borderId="1" xfId="0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44" fontId="0" fillId="3" borderId="1" xfId="2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4" fontId="1" fillId="3" borderId="1" xfId="2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170" fontId="0" fillId="3" borderId="6" xfId="0" applyNumberFormat="1" applyFill="1" applyBorder="1" applyAlignment="1">
      <alignment horizontal="center"/>
    </xf>
    <xf numFmtId="3" fontId="0" fillId="3" borderId="7" xfId="0" applyNumberFormat="1" applyFill="1" applyBorder="1" applyAlignment="1">
      <alignment horizontal="center"/>
    </xf>
    <xf numFmtId="44" fontId="0" fillId="3" borderId="7" xfId="2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</cellXfs>
  <cellStyles count="3">
    <cellStyle name="Coma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000"/>
  <sheetViews>
    <sheetView tabSelected="1" topLeftCell="B12" workbookViewId="0">
      <selection activeCell="L18" sqref="L18"/>
    </sheetView>
  </sheetViews>
  <sheetFormatPr defaultColWidth="14.42578125" defaultRowHeight="15" customHeight="1" x14ac:dyDescent="0.25"/>
  <cols>
    <col min="1" max="2" width="10.7109375" customWidth="1"/>
    <col min="3" max="3" width="14.42578125" customWidth="1"/>
    <col min="4" max="4" width="16.85546875" customWidth="1"/>
    <col min="5" max="5" width="10.7109375" customWidth="1"/>
    <col min="6" max="6" width="18.5703125" customWidth="1"/>
    <col min="7" max="7" width="7.28515625" customWidth="1"/>
    <col min="8" max="8" width="10.7109375" customWidth="1"/>
    <col min="9" max="9" width="18.85546875" customWidth="1"/>
    <col min="10" max="10" width="13.140625" customWidth="1"/>
    <col min="11" max="11" width="10.7109375" customWidth="1"/>
    <col min="12" max="12" width="17.85546875" customWidth="1"/>
    <col min="13" max="26" width="10.7109375" customWidth="1"/>
  </cols>
  <sheetData>
    <row r="1" spans="2:13" ht="14.25" customHeight="1" x14ac:dyDescent="0.25"/>
    <row r="2" spans="2:13" ht="14.25" customHeight="1" x14ac:dyDescent="0.25"/>
    <row r="3" spans="2:13" ht="14.25" customHeight="1" x14ac:dyDescent="0.25"/>
    <row r="4" spans="2:13" ht="14.25" customHeight="1" x14ac:dyDescent="0.25">
      <c r="B4" s="1">
        <v>1</v>
      </c>
      <c r="C4" s="1" t="s">
        <v>0</v>
      </c>
    </row>
    <row r="5" spans="2:13" ht="14.25" customHeight="1" x14ac:dyDescent="0.25"/>
    <row r="6" spans="2:13" ht="14.25" customHeight="1" x14ac:dyDescent="0.25">
      <c r="C6" s="4" t="s">
        <v>1</v>
      </c>
      <c r="I6" s="4" t="s">
        <v>2</v>
      </c>
    </row>
    <row r="7" spans="2:13" ht="14.25" customHeight="1" x14ac:dyDescent="0.25">
      <c r="D7" s="7" t="s">
        <v>3</v>
      </c>
      <c r="E7" s="7" t="s">
        <v>4</v>
      </c>
      <c r="F7" s="7" t="s">
        <v>5</v>
      </c>
      <c r="J7" s="7" t="s">
        <v>3</v>
      </c>
      <c r="K7" s="7" t="s">
        <v>4</v>
      </c>
      <c r="L7" s="7" t="s">
        <v>5</v>
      </c>
    </row>
    <row r="8" spans="2:13" ht="14.25" customHeight="1" x14ac:dyDescent="0.25">
      <c r="C8" s="8" t="s">
        <v>6</v>
      </c>
      <c r="D8" s="9" t="s">
        <v>7</v>
      </c>
      <c r="E8" s="10">
        <v>7000</v>
      </c>
      <c r="F8" s="11">
        <v>10</v>
      </c>
      <c r="G8" s="3"/>
      <c r="I8" s="8" t="s">
        <v>6</v>
      </c>
      <c r="J8" s="9" t="s">
        <v>8</v>
      </c>
      <c r="K8" s="10">
        <v>3500</v>
      </c>
      <c r="L8" s="11">
        <v>11</v>
      </c>
      <c r="M8" s="3"/>
    </row>
    <row r="9" spans="2:13" ht="14.25" customHeight="1" x14ac:dyDescent="0.25">
      <c r="C9" s="8" t="s">
        <v>9</v>
      </c>
      <c r="D9" s="9" t="s">
        <v>8</v>
      </c>
      <c r="E9" s="10">
        <v>-5000</v>
      </c>
      <c r="F9" s="11">
        <v>13</v>
      </c>
      <c r="G9" s="3"/>
      <c r="I9" s="8" t="s">
        <v>9</v>
      </c>
      <c r="J9" s="9" t="s">
        <v>10</v>
      </c>
      <c r="K9" s="10">
        <v>-2700</v>
      </c>
      <c r="L9" s="11">
        <v>13</v>
      </c>
      <c r="M9" s="3"/>
    </row>
    <row r="10" spans="2:13" ht="14.25" customHeight="1" x14ac:dyDescent="0.25">
      <c r="C10" s="8" t="s">
        <v>6</v>
      </c>
      <c r="D10" s="9" t="s">
        <v>11</v>
      </c>
      <c r="E10" s="10">
        <v>18000</v>
      </c>
      <c r="F10" s="11">
        <v>9.5</v>
      </c>
      <c r="G10" s="3"/>
      <c r="I10" s="8" t="s">
        <v>6</v>
      </c>
      <c r="J10" s="9" t="s">
        <v>12</v>
      </c>
      <c r="K10" s="10">
        <v>7000</v>
      </c>
      <c r="L10" s="11">
        <v>10</v>
      </c>
      <c r="M10" s="3"/>
    </row>
    <row r="11" spans="2:13" ht="14.25" customHeight="1" x14ac:dyDescent="0.25">
      <c r="C11" s="8" t="s">
        <v>9</v>
      </c>
      <c r="D11" s="9" t="s">
        <v>12</v>
      </c>
      <c r="E11" s="10">
        <v>-12000</v>
      </c>
      <c r="F11" s="11">
        <v>13</v>
      </c>
      <c r="G11" s="3"/>
      <c r="I11" s="8" t="s">
        <v>9</v>
      </c>
      <c r="J11" s="9" t="s">
        <v>13</v>
      </c>
      <c r="K11" s="10">
        <v>-3500</v>
      </c>
      <c r="L11" s="11">
        <v>13</v>
      </c>
      <c r="M11" s="3"/>
    </row>
    <row r="12" spans="2:13" ht="14.25" customHeight="1" x14ac:dyDescent="0.25">
      <c r="E12" s="2"/>
      <c r="F12" s="3"/>
      <c r="G12" s="3"/>
      <c r="I12" s="8" t="s">
        <v>6</v>
      </c>
      <c r="J12" s="9" t="s">
        <v>14</v>
      </c>
      <c r="K12" s="10">
        <v>3000</v>
      </c>
      <c r="L12" s="11">
        <v>11</v>
      </c>
      <c r="M12" s="3"/>
    </row>
    <row r="13" spans="2:13" ht="14.25" customHeight="1" x14ac:dyDescent="0.25">
      <c r="E13" s="3"/>
      <c r="F13" s="3"/>
      <c r="G13" s="3"/>
      <c r="K13" s="2"/>
      <c r="L13" s="3"/>
      <c r="M13" s="3"/>
    </row>
    <row r="14" spans="2:13" ht="14.25" customHeight="1" x14ac:dyDescent="0.25">
      <c r="D14" s="12" t="s">
        <v>15</v>
      </c>
      <c r="E14" s="12"/>
      <c r="F14" s="12"/>
      <c r="G14" s="3"/>
      <c r="J14" s="12" t="s">
        <v>16</v>
      </c>
      <c r="K14" s="12"/>
      <c r="L14" s="12"/>
      <c r="M14" s="3"/>
    </row>
    <row r="15" spans="2:13" ht="14.25" customHeight="1" x14ac:dyDescent="0.25">
      <c r="C15" s="8"/>
      <c r="D15" s="9" t="s">
        <v>5</v>
      </c>
      <c r="E15" s="10" t="s">
        <v>4</v>
      </c>
      <c r="F15" s="11" t="s">
        <v>17</v>
      </c>
      <c r="I15" s="8"/>
      <c r="J15" s="9" t="s">
        <v>5</v>
      </c>
      <c r="K15" s="10" t="s">
        <v>4</v>
      </c>
      <c r="L15" s="11" t="s">
        <v>17</v>
      </c>
    </row>
    <row r="16" spans="2:13" ht="14.25" customHeight="1" x14ac:dyDescent="0.25">
      <c r="C16" s="8" t="s">
        <v>18</v>
      </c>
      <c r="D16" s="16">
        <f>+((E8*F8)+(E10*F10))/(E8+E10)</f>
        <v>9.64</v>
      </c>
      <c r="E16" s="10">
        <f>+SUM($E$8:$E$11)</f>
        <v>8000</v>
      </c>
      <c r="F16" s="11">
        <f>+D16*E16</f>
        <v>77120</v>
      </c>
      <c r="I16" s="8" t="s">
        <v>19</v>
      </c>
      <c r="J16" s="16">
        <f t="shared" ref="J16:K16" si="0">+K12</f>
        <v>3000</v>
      </c>
      <c r="K16" s="10">
        <f t="shared" si="0"/>
        <v>11</v>
      </c>
      <c r="L16" s="11">
        <f t="shared" ref="L16:L17" si="1">+J16*K16</f>
        <v>33000</v>
      </c>
    </row>
    <row r="17" spans="2:12" ht="14.25" customHeight="1" x14ac:dyDescent="0.25">
      <c r="I17" s="8" t="s">
        <v>20</v>
      </c>
      <c r="J17" s="16">
        <f>+SUM(K8:K11)</f>
        <v>4300</v>
      </c>
      <c r="K17" s="10">
        <f>+L10</f>
        <v>10</v>
      </c>
      <c r="L17" s="11">
        <f t="shared" si="1"/>
        <v>43000</v>
      </c>
    </row>
    <row r="18" spans="2:12" ht="14.25" customHeight="1" x14ac:dyDescent="0.25">
      <c r="I18" s="8" t="s">
        <v>18</v>
      </c>
      <c r="J18" s="16"/>
      <c r="K18" s="10"/>
      <c r="L18" s="11">
        <f>+SUM(L16:L17)</f>
        <v>76000</v>
      </c>
    </row>
    <row r="19" spans="2:12" ht="14.25" customHeight="1" x14ac:dyDescent="0.25"/>
    <row r="20" spans="2:12" ht="14.25" customHeight="1" x14ac:dyDescent="0.25"/>
    <row r="21" spans="2:12" ht="14.25" customHeight="1" x14ac:dyDescent="0.25"/>
    <row r="22" spans="2:12" ht="14.25" customHeight="1" x14ac:dyDescent="0.25">
      <c r="B22" s="1">
        <v>2</v>
      </c>
      <c r="C22" s="1" t="s">
        <v>21</v>
      </c>
    </row>
    <row r="23" spans="2:12" ht="14.25" customHeight="1" x14ac:dyDescent="0.25"/>
    <row r="24" spans="2:12" ht="14.25" customHeight="1" x14ac:dyDescent="0.25">
      <c r="C24" s="1" t="s">
        <v>22</v>
      </c>
    </row>
    <row r="25" spans="2:12" ht="14.25" customHeight="1" x14ac:dyDescent="0.25">
      <c r="C25" s="1" t="s">
        <v>23</v>
      </c>
    </row>
    <row r="26" spans="2:12" ht="14.25" customHeight="1" x14ac:dyDescent="0.25">
      <c r="C26" s="1" t="s">
        <v>24</v>
      </c>
    </row>
    <row r="27" spans="2:12" ht="14.25" customHeight="1" x14ac:dyDescent="0.25"/>
    <row r="28" spans="2:12" ht="14.25" customHeight="1" x14ac:dyDescent="0.25"/>
    <row r="29" spans="2:12" ht="14.25" customHeight="1" x14ac:dyDescent="0.25">
      <c r="B29" s="1">
        <v>3</v>
      </c>
      <c r="C29" s="1" t="s">
        <v>25</v>
      </c>
    </row>
    <row r="30" spans="2:12" ht="14.25" customHeight="1" x14ac:dyDescent="0.25"/>
    <row r="31" spans="2:12" ht="14.25" customHeight="1" x14ac:dyDescent="0.25">
      <c r="C31" s="4" t="s">
        <v>1</v>
      </c>
      <c r="I31" s="4" t="s">
        <v>2</v>
      </c>
    </row>
    <row r="32" spans="2:12" ht="14.25" customHeight="1" x14ac:dyDescent="0.25">
      <c r="D32" s="7" t="s">
        <v>3</v>
      </c>
      <c r="E32" s="7" t="s">
        <v>4</v>
      </c>
      <c r="F32" s="7" t="s">
        <v>5</v>
      </c>
      <c r="J32" s="7" t="s">
        <v>3</v>
      </c>
      <c r="K32" s="7" t="s">
        <v>4</v>
      </c>
      <c r="L32" s="7" t="s">
        <v>5</v>
      </c>
    </row>
    <row r="33" spans="2:23" ht="14.25" customHeight="1" x14ac:dyDescent="0.25">
      <c r="C33" s="8" t="s">
        <v>6</v>
      </c>
      <c r="D33" s="9" t="s">
        <v>7</v>
      </c>
      <c r="E33" s="10">
        <v>7000</v>
      </c>
      <c r="F33" s="11">
        <v>10</v>
      </c>
      <c r="G33" s="3"/>
      <c r="I33" s="8" t="s">
        <v>6</v>
      </c>
      <c r="J33" s="9" t="s">
        <v>8</v>
      </c>
      <c r="K33" s="10">
        <v>3500</v>
      </c>
      <c r="L33" s="11">
        <v>11</v>
      </c>
    </row>
    <row r="34" spans="2:23" ht="14.25" customHeight="1" x14ac:dyDescent="0.25">
      <c r="C34" s="8" t="s">
        <v>9</v>
      </c>
      <c r="D34" s="9" t="s">
        <v>8</v>
      </c>
      <c r="E34" s="10">
        <v>-5000</v>
      </c>
      <c r="F34" s="11">
        <v>13</v>
      </c>
      <c r="G34" s="3"/>
      <c r="I34" s="8" t="s">
        <v>9</v>
      </c>
      <c r="J34" s="9" t="s">
        <v>10</v>
      </c>
      <c r="K34" s="10">
        <v>-2700</v>
      </c>
      <c r="L34" s="11">
        <v>13</v>
      </c>
    </row>
    <row r="35" spans="2:23" ht="14.25" customHeight="1" x14ac:dyDescent="0.25">
      <c r="C35" s="8" t="s">
        <v>6</v>
      </c>
      <c r="D35" s="9" t="s">
        <v>11</v>
      </c>
      <c r="E35" s="10">
        <v>18000</v>
      </c>
      <c r="F35" s="11">
        <v>9.5</v>
      </c>
      <c r="G35" s="3"/>
      <c r="I35" s="8" t="s">
        <v>6</v>
      </c>
      <c r="J35" s="9" t="s">
        <v>12</v>
      </c>
      <c r="K35" s="10">
        <v>7000</v>
      </c>
      <c r="L35" s="11">
        <v>10</v>
      </c>
    </row>
    <row r="36" spans="2:23" ht="14.25" customHeight="1" x14ac:dyDescent="0.25">
      <c r="C36" s="8" t="s">
        <v>9</v>
      </c>
      <c r="D36" s="9" t="s">
        <v>12</v>
      </c>
      <c r="E36" s="10">
        <v>-12000</v>
      </c>
      <c r="F36" s="11">
        <v>13</v>
      </c>
      <c r="G36" s="3"/>
      <c r="I36" s="8" t="s">
        <v>9</v>
      </c>
      <c r="J36" s="9" t="s">
        <v>13</v>
      </c>
      <c r="K36" s="10">
        <v>-3500</v>
      </c>
      <c r="L36" s="11">
        <v>13</v>
      </c>
    </row>
    <row r="37" spans="2:23" ht="14.25" customHeight="1" x14ac:dyDescent="0.25">
      <c r="E37" s="2"/>
      <c r="F37" s="3"/>
      <c r="G37" s="3"/>
      <c r="I37" s="8" t="s">
        <v>6</v>
      </c>
      <c r="J37" s="9" t="s">
        <v>14</v>
      </c>
      <c r="K37" s="10">
        <v>3000</v>
      </c>
      <c r="L37" s="11">
        <v>11</v>
      </c>
    </row>
    <row r="38" spans="2:23" ht="14.25" customHeight="1" x14ac:dyDescent="0.25">
      <c r="E38" s="3"/>
      <c r="F38" s="3"/>
      <c r="G38" s="3"/>
      <c r="K38" s="2"/>
      <c r="L38" s="3"/>
    </row>
    <row r="39" spans="2:23" ht="14.25" customHeight="1" x14ac:dyDescent="0.25">
      <c r="D39" s="12" t="s">
        <v>15</v>
      </c>
      <c r="E39" s="12"/>
      <c r="F39" s="12"/>
      <c r="G39" s="3"/>
      <c r="J39" s="12" t="s">
        <v>15</v>
      </c>
      <c r="K39" s="12"/>
      <c r="L39" s="12"/>
    </row>
    <row r="40" spans="2:23" ht="14.25" customHeight="1" x14ac:dyDescent="0.25">
      <c r="C40" s="8"/>
      <c r="D40" s="9" t="s">
        <v>5</v>
      </c>
      <c r="E40" s="10" t="s">
        <v>4</v>
      </c>
      <c r="F40" s="11" t="s">
        <v>17</v>
      </c>
      <c r="I40" s="8"/>
      <c r="J40" s="9" t="s">
        <v>5</v>
      </c>
      <c r="K40" s="10" t="s">
        <v>4</v>
      </c>
      <c r="L40" s="11" t="s">
        <v>17</v>
      </c>
    </row>
    <row r="41" spans="2:23" ht="14.25" customHeight="1" x14ac:dyDescent="0.25">
      <c r="C41" s="8" t="s">
        <v>18</v>
      </c>
      <c r="D41" s="16">
        <f>+((E33*F33)+(E35*F35))/(E33+E35)</f>
        <v>9.64</v>
      </c>
      <c r="E41" s="10">
        <f>+SUM(E33:E36)</f>
        <v>8000</v>
      </c>
      <c r="F41" s="11">
        <f>+D41*E41</f>
        <v>77120</v>
      </c>
      <c r="I41" s="8" t="s">
        <v>18</v>
      </c>
      <c r="J41" s="16">
        <f>+((K33*L33)+(K35*L35)+(K37*L37))/(K33+K35+K37)</f>
        <v>10.481481481481481</v>
      </c>
      <c r="K41" s="10">
        <f>+SUM($K$33:$K$37)</f>
        <v>7300</v>
      </c>
      <c r="L41" s="11">
        <f>+J41*K41</f>
        <v>76514.814814814818</v>
      </c>
    </row>
    <row r="42" spans="2:23" ht="14.25" customHeight="1" x14ac:dyDescent="0.25">
      <c r="J42" s="2"/>
      <c r="K42" s="3"/>
      <c r="L42" s="5"/>
    </row>
    <row r="43" spans="2:23" ht="14.25" customHeight="1" x14ac:dyDescent="0.25">
      <c r="E43" s="15" t="s">
        <v>4</v>
      </c>
      <c r="F43" s="15" t="s">
        <v>17</v>
      </c>
      <c r="L43" s="3"/>
    </row>
    <row r="44" spans="2:23" ht="14.25" customHeight="1" x14ac:dyDescent="0.25">
      <c r="C44" s="13" t="s">
        <v>26</v>
      </c>
      <c r="D44" s="14"/>
      <c r="E44" s="10">
        <f t="shared" ref="E44:F44" si="2">+E41+K41</f>
        <v>15300</v>
      </c>
      <c r="F44" s="11">
        <f t="shared" si="2"/>
        <v>153634.81481481483</v>
      </c>
    </row>
    <row r="45" spans="2:23" ht="14.25" customHeight="1" x14ac:dyDescent="0.25"/>
    <row r="46" spans="2:23" ht="14.25" customHeight="1" x14ac:dyDescent="0.25"/>
    <row r="47" spans="2:23" ht="14.25" customHeight="1" x14ac:dyDescent="0.25">
      <c r="B47">
        <v>4</v>
      </c>
      <c r="C47" s="17" t="s">
        <v>27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spans="2:23" ht="14.25" customHeight="1" x14ac:dyDescent="0.25"/>
    <row r="49" spans="3:12" ht="27.75" customHeight="1" thickBot="1" x14ac:dyDescent="0.3">
      <c r="C49" s="23" t="s">
        <v>29</v>
      </c>
      <c r="D49" s="18" t="s">
        <v>28</v>
      </c>
      <c r="E49" s="18" t="s">
        <v>4</v>
      </c>
      <c r="F49" s="19" t="s">
        <v>30</v>
      </c>
      <c r="I49" s="23" t="s">
        <v>31</v>
      </c>
      <c r="J49" s="18" t="s">
        <v>28</v>
      </c>
      <c r="K49" s="18" t="s">
        <v>4</v>
      </c>
      <c r="L49" s="19" t="s">
        <v>30</v>
      </c>
    </row>
    <row r="50" spans="3:12" ht="14.25" customHeight="1" thickBot="1" x14ac:dyDescent="0.3">
      <c r="C50" s="24"/>
      <c r="D50" s="22">
        <v>8.75</v>
      </c>
      <c r="E50" s="21">
        <f>+SUM($E$8:$E$11)</f>
        <v>8000</v>
      </c>
      <c r="F50" s="20">
        <f>D50*E50</f>
        <v>70000</v>
      </c>
      <c r="H50" s="6"/>
      <c r="I50" s="24"/>
      <c r="J50" s="22">
        <v>8.75</v>
      </c>
      <c r="K50" s="21">
        <f>+SUM($K$33:$K$37)</f>
        <v>7300</v>
      </c>
      <c r="L50" s="20">
        <f>J50*K50</f>
        <v>63875</v>
      </c>
    </row>
    <row r="51" spans="3:12" ht="14.25" customHeight="1" x14ac:dyDescent="0.25"/>
    <row r="52" spans="3:12" ht="14.25" customHeight="1" x14ac:dyDescent="0.25"/>
    <row r="53" spans="3:12" ht="14.25" customHeight="1" x14ac:dyDescent="0.25"/>
    <row r="54" spans="3:12" ht="14.25" customHeight="1" x14ac:dyDescent="0.25"/>
    <row r="55" spans="3:12" ht="14.25" customHeight="1" x14ac:dyDescent="0.25"/>
    <row r="56" spans="3:12" ht="14.25" customHeight="1" x14ac:dyDescent="0.25"/>
    <row r="57" spans="3:12" ht="14.25" customHeight="1" x14ac:dyDescent="0.25"/>
    <row r="58" spans="3:12" ht="14.25" customHeight="1" x14ac:dyDescent="0.25"/>
    <row r="59" spans="3:12" ht="14.25" customHeight="1" x14ac:dyDescent="0.25"/>
    <row r="60" spans="3:12" ht="14.25" customHeight="1" x14ac:dyDescent="0.25"/>
    <row r="61" spans="3:12" ht="14.25" customHeight="1" x14ac:dyDescent="0.25"/>
    <row r="62" spans="3:12" ht="14.25" customHeight="1" x14ac:dyDescent="0.25"/>
    <row r="63" spans="3:12" ht="14.25" customHeight="1" x14ac:dyDescent="0.25"/>
    <row r="64" spans="3:1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49:C50"/>
    <mergeCell ref="I49:I50"/>
    <mergeCell ref="D14:F14"/>
    <mergeCell ref="J14:L14"/>
    <mergeCell ref="D39:F39"/>
    <mergeCell ref="J39:L39"/>
    <mergeCell ref="C44:D44"/>
    <mergeCell ref="C47:W47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Sprint 4,1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Caldentey Rincón</dc:creator>
  <cp:lastModifiedBy>Oriol puig i Carreró</cp:lastModifiedBy>
  <dcterms:created xsi:type="dcterms:W3CDTF">2022-03-15T21:21:12Z</dcterms:created>
  <dcterms:modified xsi:type="dcterms:W3CDTF">2024-01-31T20:32:52Z</dcterms:modified>
</cp:coreProperties>
</file>