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e6c7bcb4eb356115/Escritorio/IEBS/MODULO 5/ANALISIS FINANCIERO/"/>
    </mc:Choice>
  </mc:AlternateContent>
  <xr:revisionPtr revIDLastSave="1296" documentId="8_{ADA6E13C-54B6-4DD1-9B58-57A68F67F8D4}" xr6:coauthVersionLast="47" xr6:coauthVersionMax="47" xr10:uidLastSave="{48AAB1A1-312E-4510-91D3-B4C86BA98EB1}"/>
  <bookViews>
    <workbookView xWindow="-120" yWindow="-120" windowWidth="29040" windowHeight="15720" activeTab="6" xr2:uid="{4C31E77F-CAA4-4984-A07A-0C1BEE1E495D}"/>
  </bookViews>
  <sheets>
    <sheet name="Datos Estructurados" sheetId="1" r:id="rId1"/>
    <sheet name="Full3" sheetId="7" r:id="rId2"/>
    <sheet name="Analisis vertical y horizontal" sheetId="2" r:id="rId3"/>
    <sheet name="Consolidació" sheetId="3" r:id="rId4"/>
    <sheet name="SPRINT2" sheetId="4" r:id="rId5"/>
    <sheet name="Full2" sheetId="5" r:id="rId6"/>
    <sheet name="TOTS RATIO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4" i="6" l="1"/>
  <c r="N74" i="6"/>
  <c r="O74" i="6"/>
  <c r="M73" i="6"/>
  <c r="N73" i="6"/>
  <c r="O73" i="6"/>
  <c r="M72" i="6"/>
  <c r="N72" i="6"/>
  <c r="O72" i="6"/>
  <c r="M71" i="6"/>
  <c r="N71" i="6"/>
  <c r="O71" i="6"/>
  <c r="M70" i="6"/>
  <c r="N70" i="6"/>
  <c r="O70" i="6"/>
  <c r="M69" i="6"/>
  <c r="N69" i="6"/>
  <c r="O69" i="6"/>
  <c r="M68" i="6"/>
  <c r="N68" i="6"/>
  <c r="O68" i="6"/>
  <c r="M67" i="6"/>
  <c r="N67" i="6"/>
  <c r="O67" i="6"/>
  <c r="M66" i="6"/>
  <c r="N66" i="6"/>
  <c r="O66" i="6"/>
  <c r="M65" i="6"/>
  <c r="N65" i="6"/>
  <c r="O65" i="6"/>
  <c r="M64" i="6"/>
  <c r="N64" i="6"/>
  <c r="O64" i="6"/>
  <c r="M63" i="6"/>
  <c r="N63" i="6"/>
  <c r="O63" i="6"/>
  <c r="M62" i="6"/>
  <c r="N62" i="6"/>
  <c r="O62" i="6"/>
  <c r="M61" i="6"/>
  <c r="N61" i="6"/>
  <c r="O61" i="6"/>
  <c r="L60" i="6"/>
  <c r="M52" i="6"/>
  <c r="N52" i="6"/>
  <c r="M50" i="6"/>
  <c r="N50" i="6"/>
  <c r="O50" i="6"/>
  <c r="M49" i="6"/>
  <c r="N49" i="6"/>
  <c r="O49" i="6"/>
  <c r="M48" i="6"/>
  <c r="N48" i="6"/>
  <c r="O48" i="6"/>
  <c r="M47" i="6"/>
  <c r="N47" i="6"/>
  <c r="O47" i="6"/>
  <c r="M46" i="6"/>
  <c r="N46" i="6"/>
  <c r="O46" i="6"/>
  <c r="M45" i="6"/>
  <c r="N45" i="6"/>
  <c r="O45" i="6"/>
  <c r="M44" i="6"/>
  <c r="N44" i="6"/>
  <c r="O44" i="6"/>
  <c r="D57" i="6"/>
  <c r="E57" i="6"/>
  <c r="C57" i="6"/>
  <c r="E59" i="6"/>
  <c r="O57" i="6" s="1"/>
  <c r="D59" i="6"/>
  <c r="N57" i="6" s="1"/>
  <c r="C59" i="6"/>
  <c r="M57" i="6" s="1"/>
  <c r="D55" i="6"/>
  <c r="N56" i="6" s="1"/>
  <c r="E55" i="6"/>
  <c r="O56" i="6" s="1"/>
  <c r="C55" i="6"/>
  <c r="M56" i="6" s="1"/>
  <c r="D49" i="6"/>
  <c r="D51" i="6" s="1"/>
  <c r="N55" i="6" s="1"/>
  <c r="E49" i="6"/>
  <c r="E51" i="6" s="1"/>
  <c r="O55" i="6" s="1"/>
  <c r="D50" i="6"/>
  <c r="E50" i="6"/>
  <c r="C51" i="6"/>
  <c r="M55" i="6" s="1"/>
  <c r="C50" i="6"/>
  <c r="C49" i="6"/>
  <c r="D46" i="6"/>
  <c r="E46" i="6"/>
  <c r="C46" i="6"/>
  <c r="D45" i="6"/>
  <c r="D47" i="6" s="1"/>
  <c r="N54" i="6" s="1"/>
  <c r="E45" i="6"/>
  <c r="E47" i="6" s="1"/>
  <c r="O54" i="6" s="1"/>
  <c r="C45" i="6"/>
  <c r="C47" i="6" s="1"/>
  <c r="M54" i="6" s="1"/>
  <c r="D43" i="6"/>
  <c r="N53" i="6" s="1"/>
  <c r="E43" i="6"/>
  <c r="O53" i="6" s="1"/>
  <c r="C43" i="6"/>
  <c r="M53" i="6" s="1"/>
  <c r="I49" i="4"/>
  <c r="J49" i="4"/>
  <c r="H49" i="4"/>
  <c r="I48" i="4"/>
  <c r="I47" i="4"/>
  <c r="I46" i="4"/>
  <c r="I45" i="4"/>
  <c r="I43" i="4"/>
  <c r="I42" i="4"/>
  <c r="I41" i="4"/>
  <c r="I40" i="4"/>
  <c r="I38" i="4"/>
  <c r="I37" i="4"/>
  <c r="I35" i="4"/>
  <c r="I34" i="4"/>
  <c r="I33" i="4"/>
  <c r="D88" i="6"/>
  <c r="E88" i="6"/>
  <c r="C88" i="6"/>
  <c r="D84" i="6"/>
  <c r="E84" i="6"/>
  <c r="C84" i="6"/>
  <c r="D39" i="6"/>
  <c r="E39" i="6"/>
  <c r="C39" i="6"/>
  <c r="D80" i="6"/>
  <c r="E80" i="6"/>
  <c r="O52" i="6" s="1"/>
  <c r="C80" i="6"/>
  <c r="D76" i="6"/>
  <c r="N51" i="6" s="1"/>
  <c r="E76" i="6"/>
  <c r="O51" i="6" s="1"/>
  <c r="C76" i="6"/>
  <c r="M51" i="6" s="1"/>
  <c r="D35" i="6"/>
  <c r="E35" i="6"/>
  <c r="C35" i="6"/>
  <c r="D29" i="6"/>
  <c r="E29" i="6"/>
  <c r="C29" i="6"/>
  <c r="E23" i="6"/>
  <c r="D23" i="6"/>
  <c r="C23" i="6"/>
  <c r="D19" i="6"/>
  <c r="E19" i="6"/>
  <c r="C19" i="6"/>
  <c r="D13" i="6"/>
  <c r="E13" i="6"/>
  <c r="C13" i="6"/>
  <c r="C9" i="6"/>
  <c r="D9" i="6"/>
  <c r="E9" i="6"/>
  <c r="D5" i="6"/>
  <c r="E5" i="6"/>
  <c r="C5" i="6"/>
  <c r="H13" i="5"/>
  <c r="G13" i="5"/>
  <c r="H5" i="5"/>
  <c r="H10" i="5" s="1"/>
  <c r="H14" i="5" s="1"/>
  <c r="G5" i="5"/>
  <c r="G10" i="5" s="1"/>
  <c r="G14" i="5" s="1"/>
  <c r="D21" i="5"/>
  <c r="C21" i="5"/>
  <c r="D19" i="5"/>
  <c r="C19" i="5"/>
  <c r="D14" i="5"/>
  <c r="C14" i="5"/>
  <c r="D8" i="5"/>
  <c r="C8" i="5"/>
  <c r="D4" i="5"/>
  <c r="C4" i="5"/>
  <c r="C12" i="5" s="1"/>
  <c r="J48" i="4"/>
  <c r="H48" i="4"/>
  <c r="J47" i="4"/>
  <c r="H47" i="4"/>
  <c r="J45" i="4"/>
  <c r="H45" i="4"/>
  <c r="H41" i="4"/>
  <c r="N40" i="4"/>
  <c r="J35" i="4"/>
  <c r="H35" i="4"/>
  <c r="J34" i="4"/>
  <c r="J33" i="4"/>
  <c r="H34" i="4"/>
  <c r="H33" i="4"/>
  <c r="J15" i="4"/>
  <c r="I15" i="4"/>
  <c r="H15" i="4"/>
  <c r="J7" i="4"/>
  <c r="J12" i="4" s="1"/>
  <c r="I7" i="4"/>
  <c r="I12" i="4" s="1"/>
  <c r="H7" i="4"/>
  <c r="H12" i="4" s="1"/>
  <c r="E25" i="4"/>
  <c r="J38" i="4" s="1"/>
  <c r="D25" i="4"/>
  <c r="C25" i="4"/>
  <c r="H38" i="4" s="1"/>
  <c r="E23" i="4"/>
  <c r="J37" i="4" s="1"/>
  <c r="D23" i="4"/>
  <c r="C23" i="4"/>
  <c r="H37" i="4" s="1"/>
  <c r="E18" i="4"/>
  <c r="D18" i="4"/>
  <c r="C18" i="4"/>
  <c r="E10" i="4"/>
  <c r="J42" i="4" s="1"/>
  <c r="D10" i="4"/>
  <c r="C10" i="4"/>
  <c r="E6" i="4"/>
  <c r="D6" i="4"/>
  <c r="C6" i="4"/>
  <c r="U14" i="3"/>
  <c r="R14" i="3"/>
  <c r="O14" i="3"/>
  <c r="U13" i="3"/>
  <c r="R13" i="3"/>
  <c r="O13" i="3"/>
  <c r="O10" i="3"/>
  <c r="I16" i="3"/>
  <c r="F16" i="3"/>
  <c r="C16" i="3"/>
  <c r="I4" i="3"/>
  <c r="F4" i="3"/>
  <c r="C4" i="3"/>
  <c r="H12" i="2"/>
  <c r="H11" i="2"/>
  <c r="U5" i="3"/>
  <c r="R5" i="3"/>
  <c r="O5" i="3"/>
  <c r="I21" i="3"/>
  <c r="F21" i="3"/>
  <c r="C21" i="3"/>
  <c r="I23" i="3"/>
  <c r="F23" i="3"/>
  <c r="C23" i="3"/>
  <c r="I8" i="3"/>
  <c r="F8" i="3"/>
  <c r="C8" i="3"/>
  <c r="P31" i="2"/>
  <c r="P32" i="2"/>
  <c r="P33" i="2"/>
  <c r="P34" i="2"/>
  <c r="P35" i="2"/>
  <c r="P36" i="2"/>
  <c r="P37" i="2"/>
  <c r="P38" i="2"/>
  <c r="P39" i="2"/>
  <c r="P40" i="2"/>
  <c r="P41" i="2"/>
  <c r="P30" i="2"/>
  <c r="N31" i="2"/>
  <c r="N32" i="2"/>
  <c r="N33" i="2"/>
  <c r="N34" i="2"/>
  <c r="N35" i="2"/>
  <c r="N36" i="2"/>
  <c r="N37" i="2"/>
  <c r="N38" i="2"/>
  <c r="N39" i="2"/>
  <c r="N40" i="2"/>
  <c r="N41" i="2"/>
  <c r="N30" i="2"/>
  <c r="P16" i="2"/>
  <c r="P17" i="2"/>
  <c r="P18" i="2"/>
  <c r="P19" i="2"/>
  <c r="P20" i="2"/>
  <c r="P21" i="2"/>
  <c r="P22" i="2"/>
  <c r="P23" i="2"/>
  <c r="P24" i="2"/>
  <c r="P25" i="2"/>
  <c r="P26" i="2"/>
  <c r="P15" i="2"/>
  <c r="N16" i="2"/>
  <c r="N17" i="2"/>
  <c r="N18" i="2"/>
  <c r="N19" i="2"/>
  <c r="N20" i="2"/>
  <c r="N21" i="2"/>
  <c r="N22" i="2"/>
  <c r="N23" i="2"/>
  <c r="N24" i="2"/>
  <c r="N25" i="2"/>
  <c r="N26" i="2"/>
  <c r="N15" i="2"/>
  <c r="P5" i="2"/>
  <c r="P6" i="2"/>
  <c r="P7" i="2"/>
  <c r="P10" i="2"/>
  <c r="P11" i="2"/>
  <c r="P12" i="2"/>
  <c r="P13" i="2"/>
  <c r="N5" i="2"/>
  <c r="N6" i="2"/>
  <c r="N7" i="2"/>
  <c r="N10" i="2"/>
  <c r="N11" i="2"/>
  <c r="N12" i="2"/>
  <c r="N13" i="2"/>
  <c r="P4" i="2"/>
  <c r="N4" i="2"/>
  <c r="O34" i="2"/>
  <c r="O36" i="2" s="1"/>
  <c r="M34" i="2"/>
  <c r="M36" i="2" s="1"/>
  <c r="O30" i="2"/>
  <c r="M30" i="2"/>
  <c r="K30" i="2"/>
  <c r="K34" i="2" s="1"/>
  <c r="O24" i="2"/>
  <c r="M24" i="2"/>
  <c r="K24" i="2"/>
  <c r="O19" i="2"/>
  <c r="M19" i="2"/>
  <c r="K19" i="2"/>
  <c r="O15" i="2"/>
  <c r="O26" i="2" s="1"/>
  <c r="M15" i="2"/>
  <c r="M26" i="2" s="1"/>
  <c r="K15" i="2"/>
  <c r="K26" i="2" s="1"/>
  <c r="O10" i="2"/>
  <c r="M10" i="2"/>
  <c r="K10" i="2"/>
  <c r="O7" i="2"/>
  <c r="M7" i="2"/>
  <c r="M4" i="2" s="1"/>
  <c r="K7" i="2"/>
  <c r="K4" i="2" s="1"/>
  <c r="O4" i="2"/>
  <c r="O13" i="2" s="1"/>
  <c r="H32" i="2"/>
  <c r="H33" i="2"/>
  <c r="H34" i="2"/>
  <c r="H35" i="2"/>
  <c r="H36" i="2"/>
  <c r="H37" i="2"/>
  <c r="H38" i="2"/>
  <c r="H39" i="2"/>
  <c r="H40" i="2"/>
  <c r="H41" i="2"/>
  <c r="H31" i="2"/>
  <c r="F32" i="2"/>
  <c r="F33" i="2"/>
  <c r="F34" i="2"/>
  <c r="F35" i="2"/>
  <c r="F36" i="2"/>
  <c r="F37" i="2"/>
  <c r="F38" i="2"/>
  <c r="F39" i="2"/>
  <c r="F40" i="2"/>
  <c r="F41" i="2"/>
  <c r="F31" i="2"/>
  <c r="D35" i="2"/>
  <c r="D36" i="2"/>
  <c r="D37" i="2"/>
  <c r="D38" i="2"/>
  <c r="D39" i="2"/>
  <c r="D40" i="2"/>
  <c r="D41" i="2"/>
  <c r="D34" i="2"/>
  <c r="D32" i="2"/>
  <c r="D33" i="2"/>
  <c r="D31" i="2"/>
  <c r="H30" i="2"/>
  <c r="F30" i="2"/>
  <c r="D30" i="2"/>
  <c r="H21" i="2"/>
  <c r="H22" i="2"/>
  <c r="H23" i="2"/>
  <c r="H20" i="2"/>
  <c r="H17" i="2"/>
  <c r="H18" i="2"/>
  <c r="H16" i="2"/>
  <c r="H25" i="2"/>
  <c r="H24" i="2"/>
  <c r="H19" i="2"/>
  <c r="H15" i="2"/>
  <c r="F21" i="2"/>
  <c r="F22" i="2"/>
  <c r="F23" i="2"/>
  <c r="F20" i="2"/>
  <c r="F17" i="2"/>
  <c r="F18" i="2"/>
  <c r="F16" i="2"/>
  <c r="F25" i="2"/>
  <c r="F24" i="2"/>
  <c r="F19" i="2"/>
  <c r="F15" i="2"/>
  <c r="D25" i="2"/>
  <c r="D21" i="2"/>
  <c r="D22" i="2"/>
  <c r="D23" i="2"/>
  <c r="D20" i="2"/>
  <c r="D17" i="2"/>
  <c r="D18" i="2"/>
  <c r="D16" i="2"/>
  <c r="G19" i="2"/>
  <c r="E19" i="2"/>
  <c r="C19" i="2"/>
  <c r="G7" i="2"/>
  <c r="G4" i="2" s="1"/>
  <c r="E7" i="2"/>
  <c r="E4" i="2" s="1"/>
  <c r="F7" i="2" s="1"/>
  <c r="C7" i="2"/>
  <c r="C4" i="2" s="1"/>
  <c r="D5" i="2" s="1"/>
  <c r="F11" i="2"/>
  <c r="G30" i="2"/>
  <c r="G34" i="2" s="1"/>
  <c r="G36" i="2" s="1"/>
  <c r="G39" i="2" s="1"/>
  <c r="G24" i="2"/>
  <c r="G15" i="2"/>
  <c r="G10" i="2"/>
  <c r="E30" i="2"/>
  <c r="E34" i="2" s="1"/>
  <c r="E36" i="2" s="1"/>
  <c r="E39" i="2" s="1"/>
  <c r="C30" i="2"/>
  <c r="C34" i="2" s="1"/>
  <c r="C36" i="2" s="1"/>
  <c r="C39" i="2" s="1"/>
  <c r="E24" i="2"/>
  <c r="C24" i="2"/>
  <c r="E15" i="2"/>
  <c r="C15" i="2"/>
  <c r="E10" i="2"/>
  <c r="F12" i="2" s="1"/>
  <c r="C10" i="2"/>
  <c r="D11" i="2" s="1"/>
  <c r="L30" i="1"/>
  <c r="L34" i="1" s="1"/>
  <c r="L36" i="1" s="1"/>
  <c r="L39" i="1" s="1"/>
  <c r="M30" i="1"/>
  <c r="M34" i="1" s="1"/>
  <c r="M36" i="1" s="1"/>
  <c r="M39" i="1" s="1"/>
  <c r="K30" i="1"/>
  <c r="K34" i="1" s="1"/>
  <c r="K36" i="1" s="1"/>
  <c r="K39" i="1" s="1"/>
  <c r="L23" i="1"/>
  <c r="M23" i="1"/>
  <c r="K23" i="1"/>
  <c r="L19" i="1"/>
  <c r="M19" i="1"/>
  <c r="K19" i="1"/>
  <c r="L15" i="1"/>
  <c r="M15" i="1"/>
  <c r="K15" i="1"/>
  <c r="L10" i="1"/>
  <c r="M10" i="1"/>
  <c r="K10" i="1"/>
  <c r="L5" i="1"/>
  <c r="M5" i="1"/>
  <c r="K5" i="1"/>
  <c r="I16" i="4" l="1"/>
  <c r="J16" i="4"/>
  <c r="H42" i="4"/>
  <c r="H43" i="4"/>
  <c r="J43" i="4"/>
  <c r="J41" i="4"/>
  <c r="C25" i="5"/>
  <c r="D12" i="5"/>
  <c r="D25" i="5"/>
  <c r="H16" i="4"/>
  <c r="E14" i="4"/>
  <c r="E29" i="4"/>
  <c r="C29" i="4"/>
  <c r="C14" i="4"/>
  <c r="D29" i="4"/>
  <c r="D14" i="4"/>
  <c r="F27" i="3"/>
  <c r="R10" i="3"/>
  <c r="U10" i="3"/>
  <c r="C27" i="3"/>
  <c r="I27" i="3"/>
  <c r="I12" i="3"/>
  <c r="C12" i="3"/>
  <c r="F12" i="3"/>
  <c r="G8" i="3" s="1"/>
  <c r="K13" i="2"/>
  <c r="O39" i="2"/>
  <c r="M13" i="2"/>
  <c r="K36" i="2"/>
  <c r="M39" i="2"/>
  <c r="G26" i="2"/>
  <c r="D7" i="2"/>
  <c r="H7" i="2"/>
  <c r="H5" i="2"/>
  <c r="H6" i="2"/>
  <c r="F6" i="2"/>
  <c r="D12" i="2"/>
  <c r="F5" i="2"/>
  <c r="D6" i="2"/>
  <c r="G13" i="2"/>
  <c r="H4" i="2" s="1"/>
  <c r="C13" i="2"/>
  <c r="D4" i="2" s="1"/>
  <c r="E26" i="2"/>
  <c r="C26" i="2"/>
  <c r="E13" i="2"/>
  <c r="K26" i="1"/>
  <c r="L13" i="1"/>
  <c r="K13" i="1"/>
  <c r="M26" i="1"/>
  <c r="L26" i="1"/>
  <c r="M13" i="1"/>
  <c r="H46" i="4" l="1"/>
  <c r="H40" i="4"/>
  <c r="J40" i="4"/>
  <c r="J46" i="4"/>
  <c r="G26" i="3"/>
  <c r="G23" i="3"/>
  <c r="G25" i="3"/>
  <c r="G24" i="3"/>
  <c r="G18" i="3"/>
  <c r="G22" i="3"/>
  <c r="G20" i="3"/>
  <c r="G17" i="3"/>
  <c r="G19" i="3"/>
  <c r="G21" i="3"/>
  <c r="J18" i="3"/>
  <c r="J22" i="3"/>
  <c r="J26" i="3"/>
  <c r="J20" i="3"/>
  <c r="J17" i="3"/>
  <c r="J21" i="3"/>
  <c r="J19" i="3"/>
  <c r="J25" i="3"/>
  <c r="J24" i="3"/>
  <c r="J23" i="3"/>
  <c r="D24" i="3"/>
  <c r="D25" i="3"/>
  <c r="D20" i="3"/>
  <c r="D26" i="3"/>
  <c r="D17" i="3"/>
  <c r="D19" i="3"/>
  <c r="D23" i="3"/>
  <c r="D18" i="3"/>
  <c r="D22" i="3"/>
  <c r="D21" i="3"/>
  <c r="J6" i="3"/>
  <c r="J11" i="3"/>
  <c r="J5" i="3"/>
  <c r="J7" i="3"/>
  <c r="J10" i="3"/>
  <c r="J9" i="3"/>
  <c r="D6" i="3"/>
  <c r="D7" i="3"/>
  <c r="D5" i="3"/>
  <c r="D10" i="3"/>
  <c r="D11" i="3"/>
  <c r="D9" i="3"/>
  <c r="J8" i="3"/>
  <c r="G7" i="3"/>
  <c r="G11" i="3"/>
  <c r="G5" i="3"/>
  <c r="G9" i="3"/>
  <c r="G10" i="3"/>
  <c r="G6" i="3"/>
  <c r="D8" i="3"/>
  <c r="D16" i="3"/>
  <c r="G16" i="3"/>
  <c r="J16" i="3"/>
  <c r="J4" i="3"/>
  <c r="G4" i="3"/>
  <c r="D4" i="3"/>
  <c r="K39" i="2"/>
  <c r="D19" i="2"/>
  <c r="D15" i="2"/>
  <c r="D24" i="2"/>
  <c r="D10" i="2"/>
  <c r="F10" i="2"/>
  <c r="F4" i="2"/>
  <c r="H10" i="2"/>
</calcChain>
</file>

<file path=xl/sharedStrings.xml><?xml version="1.0" encoding="utf-8"?>
<sst xmlns="http://schemas.openxmlformats.org/spreadsheetml/2006/main" count="555" uniqueCount="142">
  <si>
    <t>ACTIVO</t>
  </si>
  <si>
    <t>Inmovilizado material bruto</t>
  </si>
  <si>
    <t>Clientes y deudores</t>
  </si>
  <si>
    <t>Inmovilizado inmaterial</t>
  </si>
  <si>
    <t>Existencias</t>
  </si>
  <si>
    <t>Amortizacion acumulada</t>
  </si>
  <si>
    <t>Tesorería</t>
  </si>
  <si>
    <t>PASIVO</t>
  </si>
  <si>
    <t>Capital social</t>
  </si>
  <si>
    <t>Deudas bancarias a L.P.</t>
  </si>
  <si>
    <t>Pérdidas y ganancias</t>
  </si>
  <si>
    <t>Otros acreedores</t>
  </si>
  <si>
    <t>Reservas</t>
  </si>
  <si>
    <t>Deudas bancarias a C.P.</t>
  </si>
  <si>
    <t>Proveedores</t>
  </si>
  <si>
    <t>Dividendo a cuenta</t>
  </si>
  <si>
    <t>Año 5</t>
  </si>
  <si>
    <t>Año 6</t>
  </si>
  <si>
    <t>Año 7</t>
  </si>
  <si>
    <t>CUENTA DE RESULTADOS</t>
  </si>
  <si>
    <t>Amortizaciones</t>
  </si>
  <si>
    <t>Gastos financieros</t>
  </si>
  <si>
    <t>Costes de personal</t>
  </si>
  <si>
    <t>Ventas netas</t>
  </si>
  <si>
    <t>Otros gastos de explotación</t>
  </si>
  <si>
    <t>Ingresos Financieros</t>
  </si>
  <si>
    <t>Aprovisionamientos</t>
  </si>
  <si>
    <t>Resultados extraordinarios</t>
  </si>
  <si>
    <t>Impuesto de Sociedades</t>
  </si>
  <si>
    <t>Beneficio neto</t>
  </si>
  <si>
    <t>Distribución de resultados</t>
  </si>
  <si>
    <t>A reservas</t>
  </si>
  <si>
    <t>A dividendo</t>
  </si>
  <si>
    <t>ACTIVO NO CORRIENTE</t>
  </si>
  <si>
    <t>ACTIVO CORRIENTE</t>
  </si>
  <si>
    <t>PASIVO CORRIENTE</t>
  </si>
  <si>
    <t>PASIVO NO CORRIENTE</t>
  </si>
  <si>
    <t>PATRIMONIO NETO</t>
  </si>
  <si>
    <t>TOTAL INGRESOS</t>
  </si>
  <si>
    <t>EBITDA</t>
  </si>
  <si>
    <t>EBIT</t>
  </si>
  <si>
    <t>BAI</t>
  </si>
  <si>
    <t>BENEFICIO NETO</t>
  </si>
  <si>
    <t>TOTAL ACTIVO</t>
  </si>
  <si>
    <t>TOTAL PASIVO Y PN</t>
  </si>
  <si>
    <t>VERTICAL</t>
  </si>
  <si>
    <t>%</t>
  </si>
  <si>
    <t>Inmovilizado material</t>
  </si>
  <si>
    <t>Vertical</t>
  </si>
  <si>
    <t>HORITZONTAL</t>
  </si>
  <si>
    <t>% Respecto 
año anterior</t>
  </si>
  <si>
    <t xml:space="preserve">% </t>
  </si>
  <si>
    <t>BALANCE DE SITUACION ANALISIS VERTICAL&amp; HORITZONTAL</t>
  </si>
  <si>
    <t>% H</t>
  </si>
  <si>
    <t>% V</t>
  </si>
  <si>
    <t>Activo no corriente vemos que tenemos problemas de tesoreria</t>
  </si>
  <si>
    <t>Una de las causas podria ser el aumento de deudores, vemos el gran incremento en el Año 6</t>
  </si>
  <si>
    <t>Pasivo vemos una disminución del ^Patrimonio neto</t>
  </si>
  <si>
    <t>Aumento del credito a CP para hacer frente a los problemas de tesoreria</t>
  </si>
  <si>
    <t>Ampliacion de capital en año 7 por falta de tesoreria y compensar las perdidas seguramente para mejorar el ratio de edeundamiento.</t>
  </si>
  <si>
    <t>Nos cuesta hacer frente al pago de proveedores va en aumento la deuda.</t>
  </si>
  <si>
    <t>Para el aumento del inmovilizado aumento cdreditos L:P</t>
  </si>
  <si>
    <t xml:space="preserve">Tenemos un crecimiento  de la ventas. </t>
  </si>
  <si>
    <t>Tenemos una aumento mu significativo de costes de fabricacion</t>
  </si>
  <si>
    <t>Aumento del inmovilizado material (maquinaria)</t>
  </si>
  <si>
    <t>Cuanto mas vendemos mas costes tenemos.</t>
  </si>
  <si>
    <t>Los intereses de los creditos pedidos ghace que entremos en perdidas al año 7</t>
  </si>
  <si>
    <t>Resultado de Explotación</t>
  </si>
  <si>
    <t>Resultado Financiero</t>
  </si>
  <si>
    <t>Resultado Antes de impuestos</t>
  </si>
  <si>
    <t>Fuerte crecimiento del balance con importantes incrementos en inmovilizado, clientes y existencias, debido al mayor volumen de producción que requiere la nueva línea de negocio en la que están entrando Este crecimiento se ha financiado con de deuda a largo plazo (€209M Año 7 vs €42M Año 5) y con proveedores (€199M Año 7 vs €54M Año 5); si bien la compañía ha realizado una ampliación de capital en el Año 7 por valor de €40M La apertura de la nueva línea de negocio provoca aumentos en ventas (+200% Año 7 vs Año 5) si bien esos mayores ingresos no se reflejan en un mayor “Resultado de Explotación”, puesto que los aprovisionamientos crecen más rápido que las ventas (+285% Año 7 vs Año 5). Esto implica que están instalando un mayor volumen de ventanas pero con un menor margen que cuando operaban únicamente el canal minorista El análisis vertical nos muestra como el “Resultado de Explotación” pasa de suponer un 14,7% (Año 5) a un 2,4% (Año 7) Los gastos financieros reflejan el incremento de la financiación a largo plazo que soporta el crecimiento de la compañía, y junto al empeoramiento del “Resultado de Explotación” provocan un deterioro financiero que lleva a la compañía a registrar pérdidas en el últim</t>
  </si>
  <si>
    <t>Liquidez</t>
  </si>
  <si>
    <t>NOF</t>
  </si>
  <si>
    <t>Son las inversiones en circulante que la empresa necesita para su funcionamiento</t>
  </si>
  <si>
    <t>somos menos eficientes</t>
  </si>
  <si>
    <t>Endeudamineto</t>
  </si>
  <si>
    <t>Emperoa el ratio endeudamiento a cp</t>
  </si>
  <si>
    <t>Ratio de endeudamiento se dispara siendo 3,5 veces mayor</t>
  </si>
  <si>
    <t>1,5 - 2</t>
  </si>
  <si>
    <t>Perdida de liquidez pero aun dentro del margen estándar</t>
  </si>
  <si>
    <t>Acid test</t>
  </si>
  <si>
    <t>año 7 estamos en mala posicion</t>
  </si>
  <si>
    <t>Un valor de 0,82 podría sugerir que la empresa puede tener dificultades para cubrir completamente sus pasivos corrientes con sus activos líquidos.</t>
  </si>
  <si>
    <t>Tesoreria</t>
  </si>
  <si>
    <t>Grave problema deberia estar alrededor del 0,3 esta en riesgo serio de suspension de pagos</t>
  </si>
  <si>
    <t>Ratio estructura economica</t>
  </si>
  <si>
    <t>ROE</t>
  </si>
  <si>
    <t>ROA</t>
  </si>
  <si>
    <t>Benefecio obtenido en relacion capital aportado por los socios.</t>
  </si>
  <si>
    <t>correlacion entre beneficio i el activo empleado para generarlo</t>
  </si>
  <si>
    <t>Payaout</t>
  </si>
  <si>
    <t>% se dedica del beneficio atribuir a los accionistas</t>
  </si>
  <si>
    <t>Cash flow</t>
  </si>
  <si>
    <t>Perdida de Cashflow.</t>
  </si>
  <si>
    <t xml:space="preserve">BALANCE DE SITUACION </t>
  </si>
  <si>
    <t>Ratio /Periodo</t>
  </si>
  <si>
    <t>Endeudamiento a C.P</t>
  </si>
  <si>
    <t>Rotacion Productos terminados</t>
  </si>
  <si>
    <t>Periodo PT</t>
  </si>
  <si>
    <t>Ratio de liquidez</t>
  </si>
  <si>
    <t>VENTANIZATE</t>
  </si>
  <si>
    <t>Activo Circulante</t>
  </si>
  <si>
    <t>Exigible a corto Plazo</t>
  </si>
  <si>
    <t>Clientes + Disponible</t>
  </si>
  <si>
    <t>Exigible a Corto Plazo</t>
  </si>
  <si>
    <t>Ratio de Tesoreria</t>
  </si>
  <si>
    <t>Disponible</t>
  </si>
  <si>
    <t>Ratio de Disponibilidad</t>
  </si>
  <si>
    <t>Periodo Medio Pago y Cobro</t>
  </si>
  <si>
    <t>Saldo Medio Cuentas Clientes</t>
  </si>
  <si>
    <t>Ventas Netas</t>
  </si>
  <si>
    <t>Periodo Medio Cobro</t>
  </si>
  <si>
    <t>Saldo Medio Proveedores</t>
  </si>
  <si>
    <t>Compras Netas</t>
  </si>
  <si>
    <t>Periodo Medio Pago</t>
  </si>
  <si>
    <t>Ratio de Solvencia</t>
  </si>
  <si>
    <t>Activo Total Real</t>
  </si>
  <si>
    <t>Recursos Ajenos</t>
  </si>
  <si>
    <t>Ratios de Estructura y Endeudamiento</t>
  </si>
  <si>
    <t>Recursos Propios</t>
  </si>
  <si>
    <t>Ratio de Endeudamiento</t>
  </si>
  <si>
    <t>Pasivo Total</t>
  </si>
  <si>
    <t>Activo Total</t>
  </si>
  <si>
    <t>Total Deuda</t>
  </si>
  <si>
    <t>Calidad de la Deuda</t>
  </si>
  <si>
    <t>Deuda a Medio y Largo Plazo</t>
  </si>
  <si>
    <t>Ratio de Estrucutura Endeudamiento</t>
  </si>
  <si>
    <t>Activo total</t>
  </si>
  <si>
    <t>Grado autonomía Financiera</t>
  </si>
  <si>
    <t>Grado Dependencia Financiera</t>
  </si>
  <si>
    <t>MASVENTAS S.A.</t>
  </si>
  <si>
    <t>Ratio de Deuda</t>
  </si>
  <si>
    <t>Fondo Maniobra</t>
  </si>
  <si>
    <t>Payout</t>
  </si>
  <si>
    <t>Fondop de maniobrfa</t>
  </si>
  <si>
    <t>Activo Corriente</t>
  </si>
  <si>
    <t>Pasivo Corriente</t>
  </si>
  <si>
    <t>Activo Circulante Operativo</t>
  </si>
  <si>
    <t>Pasivo Circulante Operativo</t>
  </si>
  <si>
    <t>Beneficio Neto</t>
  </si>
  <si>
    <t>Capital Social</t>
  </si>
  <si>
    <t>Dividendo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</si>
</sst>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i/>
      <sz val="10"/>
      <color theme="1"/>
      <name val="Calibri"/>
      <family val="2"/>
      <scheme val="minor"/>
    </font>
    <font>
      <sz val="11"/>
      <color theme="5" tint="-0.249977111117893"/>
      <name val="Calibri"/>
      <family val="2"/>
      <scheme val="minor"/>
    </font>
    <font>
      <b/>
      <sz val="11"/>
      <name val="Calibri"/>
      <family val="2"/>
      <scheme val="minor"/>
    </font>
    <font>
      <sz val="10"/>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2"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4">
    <xf numFmtId="0" fontId="0" fillId="0" borderId="0" xfId="0"/>
    <xf numFmtId="164" fontId="0" fillId="0" borderId="0" xfId="1" applyNumberFormat="1" applyFont="1"/>
    <xf numFmtId="0" fontId="2" fillId="2" borderId="0" xfId="0" applyFont="1" applyFill="1" applyAlignment="1">
      <alignment horizontal="center"/>
    </xf>
    <xf numFmtId="0" fontId="2" fillId="0" borderId="0" xfId="0" applyFont="1"/>
    <xf numFmtId="0" fontId="0" fillId="2" borderId="0" xfId="0" applyFill="1"/>
    <xf numFmtId="164" fontId="0" fillId="0" borderId="0" xfId="0" applyNumberFormat="1"/>
    <xf numFmtId="164" fontId="2" fillId="0" borderId="0" xfId="0" applyNumberFormat="1" applyFont="1"/>
    <xf numFmtId="0" fontId="2" fillId="3" borderId="0" xfId="0" applyFont="1" applyFill="1"/>
    <xf numFmtId="164" fontId="2" fillId="3" borderId="0" xfId="0" applyNumberFormat="1" applyFont="1" applyFill="1"/>
    <xf numFmtId="9" fontId="2" fillId="0" borderId="0" xfId="2" applyFont="1"/>
    <xf numFmtId="10" fontId="2" fillId="0" borderId="0" xfId="2" applyNumberFormat="1" applyFont="1"/>
    <xf numFmtId="9" fontId="0" fillId="0" borderId="0" xfId="2" applyFont="1"/>
    <xf numFmtId="10" fontId="0" fillId="0" borderId="0" xfId="2" applyNumberFormat="1" applyFont="1"/>
    <xf numFmtId="0" fontId="5" fillId="0" borderId="0" xfId="0" applyFont="1"/>
    <xf numFmtId="164" fontId="5" fillId="0" borderId="0" xfId="1" applyNumberFormat="1" applyFont="1"/>
    <xf numFmtId="0" fontId="2" fillId="5" borderId="0" xfId="0" applyFont="1" applyFill="1"/>
    <xf numFmtId="164" fontId="2" fillId="5" borderId="0" xfId="0" applyNumberFormat="1" applyFont="1" applyFill="1"/>
    <xf numFmtId="10" fontId="2" fillId="5" borderId="0" xfId="2" applyNumberFormat="1" applyFont="1" applyFill="1"/>
    <xf numFmtId="164" fontId="2" fillId="5" borderId="0" xfId="1" applyNumberFormat="1" applyFont="1" applyFill="1"/>
    <xf numFmtId="10" fontId="6" fillId="0" borderId="0" xfId="2" applyNumberFormat="1" applyFont="1"/>
    <xf numFmtId="10" fontId="1" fillId="0" borderId="0" xfId="2" applyNumberFormat="1" applyFont="1"/>
    <xf numFmtId="10" fontId="2" fillId="3" borderId="0" xfId="2" applyNumberFormat="1" applyFont="1" applyFill="1"/>
    <xf numFmtId="10" fontId="2" fillId="0" borderId="0" xfId="2" applyNumberFormat="1" applyFont="1" applyFill="1"/>
    <xf numFmtId="0" fontId="2" fillId="2" borderId="0" xfId="0" applyFont="1" applyFill="1" applyAlignment="1">
      <alignment horizontal="center" vertical="center"/>
    </xf>
    <xf numFmtId="0" fontId="0" fillId="0" borderId="0" xfId="0" applyAlignment="1">
      <alignment vertical="center"/>
    </xf>
    <xf numFmtId="0" fontId="2" fillId="2" borderId="0" xfId="0" applyFont="1" applyFill="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vertical="center"/>
    </xf>
    <xf numFmtId="164" fontId="2" fillId="3" borderId="0" xfId="0" applyNumberFormat="1" applyFont="1" applyFill="1" applyAlignment="1">
      <alignment vertical="center"/>
    </xf>
    <xf numFmtId="10" fontId="2" fillId="3" borderId="0" xfId="2" applyNumberFormat="1" applyFont="1" applyFill="1" applyAlignment="1">
      <alignment vertical="center"/>
    </xf>
    <xf numFmtId="10" fontId="2" fillId="0" borderId="0" xfId="2" applyNumberFormat="1" applyFont="1" applyFill="1" applyAlignment="1">
      <alignment vertical="center"/>
    </xf>
    <xf numFmtId="164" fontId="0" fillId="0" borderId="0" xfId="1" applyNumberFormat="1" applyFont="1" applyFill="1" applyAlignment="1">
      <alignment vertical="center"/>
    </xf>
    <xf numFmtId="9" fontId="2" fillId="0" borderId="0" xfId="2" applyFont="1" applyFill="1" applyAlignment="1">
      <alignment vertical="center"/>
    </xf>
    <xf numFmtId="10" fontId="0" fillId="0" borderId="0" xfId="2" applyNumberFormat="1" applyFont="1" applyFill="1" applyAlignment="1">
      <alignment vertical="center"/>
    </xf>
    <xf numFmtId="10" fontId="6" fillId="0" borderId="0" xfId="2" applyNumberFormat="1"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vertical="center"/>
    </xf>
    <xf numFmtId="164" fontId="2" fillId="0" borderId="1" xfId="0" applyNumberFormat="1" applyFont="1" applyBorder="1" applyAlignment="1">
      <alignment vertical="center"/>
    </xf>
    <xf numFmtId="10" fontId="2" fillId="0" borderId="1" xfId="2" applyNumberFormat="1" applyFont="1" applyBorder="1" applyAlignment="1">
      <alignment vertical="center"/>
    </xf>
    <xf numFmtId="0" fontId="0" fillId="0" borderId="1" xfId="0" applyBorder="1" applyAlignment="1">
      <alignment vertical="center"/>
    </xf>
    <xf numFmtId="164" fontId="0" fillId="0" borderId="1" xfId="1" applyNumberFormat="1" applyFont="1" applyBorder="1" applyAlignment="1">
      <alignment vertical="center"/>
    </xf>
    <xf numFmtId="10" fontId="0" fillId="0" borderId="1" xfId="2" applyNumberFormat="1" applyFont="1" applyBorder="1" applyAlignment="1">
      <alignment vertical="center"/>
    </xf>
    <xf numFmtId="10" fontId="1" fillId="0" borderId="1" xfId="2" applyNumberFormat="1" applyFont="1" applyBorder="1" applyAlignment="1">
      <alignment vertical="center"/>
    </xf>
    <xf numFmtId="164" fontId="5" fillId="0" borderId="1" xfId="1" applyNumberFormat="1" applyFont="1" applyBorder="1" applyAlignment="1">
      <alignment vertical="center"/>
    </xf>
    <xf numFmtId="10" fontId="2" fillId="0" borderId="1" xfId="2" applyNumberFormat="1" applyFont="1" applyFill="1" applyBorder="1" applyAlignment="1">
      <alignment vertical="center"/>
    </xf>
    <xf numFmtId="9" fontId="0" fillId="0" borderId="1" xfId="2" applyFont="1" applyBorder="1" applyAlignment="1">
      <alignment vertical="center"/>
    </xf>
    <xf numFmtId="0" fontId="0" fillId="0" borderId="1" xfId="0" applyBorder="1"/>
    <xf numFmtId="164" fontId="0" fillId="0" borderId="1" xfId="1" applyNumberFormat="1" applyFont="1" applyBorder="1"/>
    <xf numFmtId="0" fontId="2" fillId="0" borderId="1" xfId="0" applyFont="1" applyBorder="1"/>
    <xf numFmtId="164" fontId="2" fillId="0" borderId="1" xfId="0" applyNumberFormat="1" applyFont="1" applyBorder="1"/>
    <xf numFmtId="9" fontId="2" fillId="0" borderId="1" xfId="2" applyFont="1" applyBorder="1"/>
    <xf numFmtId="10" fontId="0" fillId="0" borderId="1" xfId="2" applyNumberFormat="1" applyFont="1" applyBorder="1"/>
    <xf numFmtId="10" fontId="6" fillId="0" borderId="1" xfId="2" applyNumberFormat="1" applyFont="1" applyBorder="1"/>
    <xf numFmtId="0" fontId="2" fillId="5" borderId="1" xfId="0" applyFont="1" applyFill="1" applyBorder="1"/>
    <xf numFmtId="164" fontId="2" fillId="5" borderId="1" xfId="0" applyNumberFormat="1" applyFont="1" applyFill="1" applyBorder="1"/>
    <xf numFmtId="10" fontId="2" fillId="5" borderId="1" xfId="2" applyNumberFormat="1" applyFont="1" applyFill="1" applyBorder="1"/>
    <xf numFmtId="10" fontId="2" fillId="0" borderId="1" xfId="2" applyNumberFormat="1" applyFont="1" applyBorder="1"/>
    <xf numFmtId="164" fontId="2" fillId="5" borderId="1" xfId="1" applyNumberFormat="1" applyFont="1" applyFill="1" applyBorder="1"/>
    <xf numFmtId="164" fontId="7" fillId="0" borderId="1" xfId="0" applyNumberFormat="1" applyFont="1" applyBorder="1" applyAlignment="1">
      <alignment vertical="center"/>
    </xf>
    <xf numFmtId="10" fontId="7" fillId="0" borderId="1" xfId="2" applyNumberFormat="1" applyFont="1" applyBorder="1" applyAlignment="1">
      <alignment vertical="center"/>
    </xf>
    <xf numFmtId="164" fontId="4" fillId="0" borderId="1" xfId="1" applyNumberFormat="1" applyFont="1" applyBorder="1" applyAlignment="1">
      <alignment vertical="center"/>
    </xf>
    <xf numFmtId="10" fontId="4" fillId="0" borderId="1" xfId="2" applyNumberFormat="1" applyFont="1" applyBorder="1" applyAlignment="1">
      <alignment vertical="center"/>
    </xf>
    <xf numFmtId="10" fontId="1" fillId="0" borderId="1" xfId="2" applyNumberFormat="1" applyFont="1" applyBorder="1"/>
    <xf numFmtId="0" fontId="8" fillId="0" borderId="1" xfId="0" applyFont="1" applyBorder="1" applyAlignment="1">
      <alignment vertical="center"/>
    </xf>
    <xf numFmtId="43" fontId="0" fillId="0" borderId="0" xfId="1" applyFont="1"/>
    <xf numFmtId="0" fontId="2" fillId="2" borderId="2" xfId="0" applyFont="1" applyFill="1" applyBorder="1" applyAlignment="1">
      <alignment horizontal="center" vertical="center"/>
    </xf>
    <xf numFmtId="0" fontId="0" fillId="6" borderId="1" xfId="0" applyFill="1" applyBorder="1"/>
    <xf numFmtId="43" fontId="0" fillId="6" borderId="1" xfId="1" applyFont="1" applyFill="1" applyBorder="1"/>
    <xf numFmtId="164" fontId="0" fillId="6" borderId="1" xfId="0" applyNumberFormat="1" applyFill="1" applyBorder="1"/>
    <xf numFmtId="9" fontId="0" fillId="6" borderId="1" xfId="2" applyFont="1" applyFill="1" applyBorder="1"/>
    <xf numFmtId="43" fontId="0" fillId="6" borderId="1" xfId="0" applyNumberFormat="1" applyFill="1" applyBorder="1"/>
    <xf numFmtId="0" fontId="3" fillId="4" borderId="0" xfId="0" applyFont="1" applyFill="1" applyAlignment="1">
      <alignment horizontal="center"/>
    </xf>
    <xf numFmtId="0" fontId="3" fillId="4" borderId="0" xfId="0" applyFont="1" applyFill="1" applyAlignment="1">
      <alignment horizontal="center" vertical="center"/>
    </xf>
    <xf numFmtId="0" fontId="0" fillId="0" borderId="0" xfId="0" applyAlignment="1">
      <alignment horizontal="left" indent="1"/>
    </xf>
    <xf numFmtId="0" fontId="0" fillId="0" borderId="0" xfId="0" applyAlignment="1">
      <alignment horizontal="center"/>
    </xf>
    <xf numFmtId="0" fontId="9" fillId="4" borderId="0" xfId="0" applyFont="1" applyFill="1" applyBorder="1" applyAlignment="1">
      <alignment horizontal="center"/>
    </xf>
    <xf numFmtId="0" fontId="0" fillId="6" borderId="0" xfId="0" applyFill="1" applyBorder="1"/>
    <xf numFmtId="43" fontId="0" fillId="6" borderId="0" xfId="1" applyFont="1" applyFill="1" applyBorder="1"/>
    <xf numFmtId="9" fontId="0" fillId="6" borderId="0" xfId="2" applyFont="1" applyFill="1" applyBorder="1"/>
    <xf numFmtId="0" fontId="2" fillId="0" borderId="4" xfId="0" applyFont="1" applyFill="1" applyBorder="1" applyAlignment="1">
      <alignment horizontal="center" vertical="center"/>
    </xf>
    <xf numFmtId="0" fontId="7" fillId="7" borderId="3" xfId="0" applyFont="1" applyFill="1" applyBorder="1"/>
    <xf numFmtId="0" fontId="0" fillId="6" borderId="7" xfId="0" applyFill="1" applyBorder="1"/>
    <xf numFmtId="165" fontId="7" fillId="7" borderId="3" xfId="0" applyNumberFormat="1" applyFont="1" applyFill="1" applyBorder="1"/>
    <xf numFmtId="164" fontId="0" fillId="6" borderId="7" xfId="1" applyNumberFormat="1" applyFont="1" applyFill="1" applyBorder="1" applyAlignment="1">
      <alignment horizontal="left" indent="2"/>
    </xf>
    <xf numFmtId="164" fontId="0" fillId="6" borderId="0" xfId="1" applyNumberFormat="1" applyFont="1" applyFill="1" applyBorder="1" applyAlignment="1">
      <alignment horizontal="left" indent="4"/>
    </xf>
    <xf numFmtId="164" fontId="0" fillId="6" borderId="0" xfId="1" applyNumberFormat="1" applyFont="1" applyFill="1" applyBorder="1" applyAlignment="1">
      <alignment horizontal="left" indent="2"/>
    </xf>
    <xf numFmtId="0" fontId="2" fillId="0" borderId="4" xfId="0" applyFont="1" applyFill="1" applyBorder="1" applyAlignment="1">
      <alignment horizontal="left" vertical="center"/>
    </xf>
    <xf numFmtId="0" fontId="0" fillId="6" borderId="5" xfId="0" applyFill="1" applyBorder="1"/>
    <xf numFmtId="164" fontId="0" fillId="6" borderId="5" xfId="1" applyNumberFormat="1" applyFont="1" applyFill="1" applyBorder="1" applyAlignment="1">
      <alignment horizontal="left" indent="2"/>
    </xf>
    <xf numFmtId="9" fontId="0" fillId="6" borderId="5" xfId="2" applyFont="1" applyFill="1" applyBorder="1"/>
    <xf numFmtId="0" fontId="0" fillId="0" borderId="5" xfId="0" applyBorder="1"/>
    <xf numFmtId="0" fontId="7" fillId="7" borderId="6" xfId="0" applyFont="1" applyFill="1" applyBorder="1"/>
    <xf numFmtId="165" fontId="7" fillId="7" borderId="6" xfId="0" applyNumberFormat="1" applyFont="1" applyFill="1" applyBorder="1"/>
    <xf numFmtId="0" fontId="9" fillId="8" borderId="0" xfId="0" applyFont="1" applyFill="1" applyBorder="1" applyAlignment="1">
      <alignment horizontal="center"/>
    </xf>
    <xf numFmtId="0" fontId="0" fillId="6" borderId="8" xfId="0" applyFill="1" applyBorder="1"/>
    <xf numFmtId="164" fontId="0" fillId="6" borderId="7" xfId="1" applyNumberFormat="1" applyFont="1" applyFill="1" applyBorder="1" applyAlignment="1">
      <alignment horizontal="left" indent="4"/>
    </xf>
    <xf numFmtId="164" fontId="0" fillId="6" borderId="7" xfId="1" applyNumberFormat="1" applyFont="1" applyFill="1" applyBorder="1" applyAlignment="1">
      <alignment horizontal="right" indent="4"/>
    </xf>
    <xf numFmtId="9" fontId="7" fillId="7" borderId="6" xfId="2" applyFont="1" applyFill="1" applyBorder="1"/>
    <xf numFmtId="9" fontId="7" fillId="7" borderId="6" xfId="2" applyFont="1" applyFill="1" applyBorder="1" applyAlignment="1">
      <alignment horizontal="right"/>
    </xf>
    <xf numFmtId="0" fontId="7" fillId="0" borderId="3" xfId="0" applyFont="1" applyFill="1" applyBorder="1"/>
    <xf numFmtId="0" fontId="2" fillId="2" borderId="6" xfId="0" applyFont="1" applyFill="1" applyBorder="1" applyAlignment="1">
      <alignment horizontal="center"/>
    </xf>
    <xf numFmtId="165" fontId="7" fillId="0" borderId="3" xfId="0" applyNumberFormat="1" applyFont="1" applyFill="1" applyBorder="1"/>
    <xf numFmtId="9" fontId="7" fillId="0" borderId="3" xfId="0" applyNumberFormat="1" applyFont="1" applyFill="1" applyBorder="1"/>
  </cellXfs>
  <cellStyles count="3">
    <cellStyle name="Coma" xfId="1" builtinId="3"/>
    <cellStyle name="Normal" xfId="0" builtinId="0"/>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B247-27EE-46A5-9722-0CDE64F15ECD}">
  <dimension ref="C4:P41"/>
  <sheetViews>
    <sheetView workbookViewId="0">
      <selection activeCell="C4" sqref="C4:F10"/>
    </sheetView>
  </sheetViews>
  <sheetFormatPr defaultRowHeight="15" x14ac:dyDescent="0.25"/>
  <cols>
    <col min="3" max="3" width="29.42578125" customWidth="1"/>
    <col min="4" max="4" width="11.5703125" bestFit="1" customWidth="1"/>
    <col min="5" max="6" width="13.28515625" bestFit="1" customWidth="1"/>
    <col min="10" max="10" width="29.5703125" customWidth="1"/>
    <col min="12" max="12" width="11.28515625" customWidth="1"/>
    <col min="13" max="13" width="12.42578125" customWidth="1"/>
  </cols>
  <sheetData>
    <row r="4" spans="3:13" x14ac:dyDescent="0.25">
      <c r="C4" s="2" t="s">
        <v>0</v>
      </c>
      <c r="D4" s="2" t="s">
        <v>16</v>
      </c>
      <c r="E4" s="2" t="s">
        <v>17</v>
      </c>
      <c r="F4" s="2" t="s">
        <v>18</v>
      </c>
      <c r="J4" s="2" t="s">
        <v>0</v>
      </c>
      <c r="K4" s="2" t="s">
        <v>16</v>
      </c>
      <c r="L4" s="2" t="s">
        <v>17</v>
      </c>
      <c r="M4" s="2" t="s">
        <v>18</v>
      </c>
    </row>
    <row r="5" spans="3:13" x14ac:dyDescent="0.25">
      <c r="C5" t="s">
        <v>1</v>
      </c>
      <c r="D5" s="1">
        <v>7500</v>
      </c>
      <c r="E5" s="1">
        <v>175000</v>
      </c>
      <c r="F5" s="1">
        <v>250000</v>
      </c>
      <c r="J5" s="3" t="s">
        <v>33</v>
      </c>
      <c r="K5" s="6">
        <f>SUM(K6:K9)</f>
        <v>90000</v>
      </c>
      <c r="L5" s="6">
        <f t="shared" ref="L5:M5" si="0">SUM(L6:L9)</f>
        <v>179000</v>
      </c>
      <c r="M5" s="6">
        <f t="shared" si="0"/>
        <v>234000</v>
      </c>
    </row>
    <row r="6" spans="3:13" x14ac:dyDescent="0.25">
      <c r="C6" t="s">
        <v>2</v>
      </c>
      <c r="D6" s="1">
        <v>38000</v>
      </c>
      <c r="E6" s="1">
        <v>108000</v>
      </c>
      <c r="F6" s="1">
        <v>206000</v>
      </c>
      <c r="J6" t="s">
        <v>3</v>
      </c>
      <c r="K6" s="1">
        <v>3000</v>
      </c>
      <c r="L6" s="1">
        <v>5000</v>
      </c>
      <c r="M6" s="1">
        <v>8000</v>
      </c>
    </row>
    <row r="7" spans="3:13" x14ac:dyDescent="0.25">
      <c r="C7" t="s">
        <v>3</v>
      </c>
      <c r="D7" s="1">
        <v>3000</v>
      </c>
      <c r="E7" s="1">
        <v>5000</v>
      </c>
      <c r="F7" s="1">
        <v>8000</v>
      </c>
      <c r="J7" t="s">
        <v>6</v>
      </c>
      <c r="K7" s="1">
        <v>27000</v>
      </c>
      <c r="L7" s="1">
        <v>19000</v>
      </c>
      <c r="M7" s="1">
        <v>6000</v>
      </c>
    </row>
    <row r="8" spans="3:13" x14ac:dyDescent="0.25">
      <c r="C8" t="s">
        <v>4</v>
      </c>
      <c r="D8" s="1">
        <v>123000</v>
      </c>
      <c r="E8" s="1">
        <v>162000</v>
      </c>
      <c r="F8" s="1">
        <v>203500</v>
      </c>
      <c r="J8" t="s">
        <v>1</v>
      </c>
      <c r="K8" s="1">
        <v>75000</v>
      </c>
      <c r="L8" s="1">
        <v>175000</v>
      </c>
      <c r="M8" s="1">
        <v>250000</v>
      </c>
    </row>
    <row r="9" spans="3:13" x14ac:dyDescent="0.25">
      <c r="C9" t="s">
        <v>5</v>
      </c>
      <c r="D9" s="1">
        <v>-15000</v>
      </c>
      <c r="E9" s="1">
        <v>-20000</v>
      </c>
      <c r="F9" s="1">
        <v>-30000</v>
      </c>
      <c r="J9" t="s">
        <v>5</v>
      </c>
      <c r="K9" s="1">
        <v>-15000</v>
      </c>
      <c r="L9" s="1">
        <v>-20000</v>
      </c>
      <c r="M9" s="1">
        <v>-30000</v>
      </c>
    </row>
    <row r="10" spans="3:13" x14ac:dyDescent="0.25">
      <c r="C10" t="s">
        <v>6</v>
      </c>
      <c r="D10" s="1">
        <v>27000</v>
      </c>
      <c r="E10" s="1">
        <v>19000</v>
      </c>
      <c r="F10" s="1">
        <v>6000</v>
      </c>
      <c r="J10" s="3" t="s">
        <v>34</v>
      </c>
      <c r="K10" s="6">
        <f>SUM(K11:K12)</f>
        <v>161000</v>
      </c>
      <c r="L10" s="6">
        <f t="shared" ref="L10:M10" si="1">SUM(L11:L12)</f>
        <v>270000</v>
      </c>
      <c r="M10" s="6">
        <f t="shared" si="1"/>
        <v>409500</v>
      </c>
    </row>
    <row r="11" spans="3:13" x14ac:dyDescent="0.25">
      <c r="D11" s="1"/>
      <c r="E11" s="1"/>
      <c r="F11" s="1"/>
      <c r="J11" t="s">
        <v>4</v>
      </c>
      <c r="K11" s="1">
        <v>123000</v>
      </c>
      <c r="L11" s="1">
        <v>162000</v>
      </c>
      <c r="M11" s="1">
        <v>203500</v>
      </c>
    </row>
    <row r="12" spans="3:13" x14ac:dyDescent="0.25">
      <c r="D12" s="1"/>
      <c r="E12" s="1"/>
      <c r="F12" s="1"/>
      <c r="J12" t="s">
        <v>2</v>
      </c>
      <c r="K12" s="1">
        <v>38000</v>
      </c>
      <c r="L12" s="1">
        <v>108000</v>
      </c>
      <c r="M12" s="1">
        <v>206000</v>
      </c>
    </row>
    <row r="13" spans="3:13" x14ac:dyDescent="0.25">
      <c r="C13" s="2" t="s">
        <v>7</v>
      </c>
      <c r="D13" s="2" t="s">
        <v>16</v>
      </c>
      <c r="E13" s="2" t="s">
        <v>17</v>
      </c>
      <c r="F13" s="2" t="s">
        <v>18</v>
      </c>
      <c r="J13" s="7" t="s">
        <v>43</v>
      </c>
      <c r="K13" s="8">
        <f>K5+K10</f>
        <v>251000</v>
      </c>
      <c r="L13" s="8">
        <f t="shared" ref="L13:M13" si="2">L5+L10</f>
        <v>449000</v>
      </c>
      <c r="M13" s="8">
        <f t="shared" si="2"/>
        <v>643500</v>
      </c>
    </row>
    <row r="14" spans="3:13" x14ac:dyDescent="0.25">
      <c r="C14" t="s">
        <v>8</v>
      </c>
      <c r="D14" s="1">
        <v>25000</v>
      </c>
      <c r="E14" s="1">
        <v>25000</v>
      </c>
      <c r="F14" s="1">
        <v>65000</v>
      </c>
      <c r="J14" s="2" t="s">
        <v>7</v>
      </c>
      <c r="K14" s="2" t="s">
        <v>16</v>
      </c>
      <c r="L14" s="2" t="s">
        <v>17</v>
      </c>
      <c r="M14" s="2" t="s">
        <v>18</v>
      </c>
    </row>
    <row r="15" spans="3:13" x14ac:dyDescent="0.25">
      <c r="C15" t="s">
        <v>9</v>
      </c>
      <c r="D15" s="1">
        <v>42000</v>
      </c>
      <c r="E15" s="1">
        <v>136931</v>
      </c>
      <c r="F15" s="1">
        <v>209356</v>
      </c>
      <c r="J15" s="3" t="s">
        <v>37</v>
      </c>
      <c r="K15" s="6">
        <f>SUM(K16:K18)</f>
        <v>188675</v>
      </c>
      <c r="L15" s="6">
        <f t="shared" ref="L15:M15" si="3">SUM(L16:L18)</f>
        <v>204425</v>
      </c>
      <c r="M15" s="6">
        <f t="shared" si="3"/>
        <v>176644</v>
      </c>
    </row>
    <row r="16" spans="3:13" x14ac:dyDescent="0.25">
      <c r="C16" t="s">
        <v>10</v>
      </c>
      <c r="D16" s="1">
        <v>76125</v>
      </c>
      <c r="E16" s="1">
        <v>61425</v>
      </c>
      <c r="F16" s="1">
        <v>-52425</v>
      </c>
      <c r="J16" t="s">
        <v>8</v>
      </c>
      <c r="K16" s="1">
        <v>25000</v>
      </c>
      <c r="L16" s="1">
        <v>25000</v>
      </c>
      <c r="M16" s="1">
        <v>65000</v>
      </c>
    </row>
    <row r="17" spans="3:13" x14ac:dyDescent="0.25">
      <c r="C17" t="s">
        <v>11</v>
      </c>
      <c r="D17" s="1">
        <v>5000</v>
      </c>
      <c r="E17" s="1">
        <v>3000</v>
      </c>
      <c r="F17" s="1">
        <v>18000</v>
      </c>
      <c r="J17" t="s">
        <v>12</v>
      </c>
      <c r="K17" s="1">
        <v>87550</v>
      </c>
      <c r="L17" s="1">
        <v>118000</v>
      </c>
      <c r="M17" s="1">
        <v>164069</v>
      </c>
    </row>
    <row r="18" spans="3:13" x14ac:dyDescent="0.25">
      <c r="C18" t="s">
        <v>12</v>
      </c>
      <c r="D18" s="1">
        <v>87550</v>
      </c>
      <c r="E18" s="1">
        <v>118000</v>
      </c>
      <c r="F18" s="1">
        <v>164069</v>
      </c>
      <c r="J18" t="s">
        <v>10</v>
      </c>
      <c r="K18" s="1">
        <v>76125</v>
      </c>
      <c r="L18" s="1">
        <v>61425</v>
      </c>
      <c r="M18" s="1">
        <v>-52425</v>
      </c>
    </row>
    <row r="19" spans="3:13" x14ac:dyDescent="0.25">
      <c r="C19" t="s">
        <v>13</v>
      </c>
      <c r="D19" s="1">
        <v>7000</v>
      </c>
      <c r="E19" s="1">
        <v>21000</v>
      </c>
      <c r="F19" s="1">
        <v>41000</v>
      </c>
      <c r="J19" s="3" t="s">
        <v>35</v>
      </c>
      <c r="K19" s="6">
        <f>SUM(K20:K22)</f>
        <v>66000</v>
      </c>
      <c r="L19" s="6">
        <f t="shared" ref="L19:M19" si="4">SUM(L20:L22)</f>
        <v>123000</v>
      </c>
      <c r="M19" s="6">
        <f t="shared" si="4"/>
        <v>257500</v>
      </c>
    </row>
    <row r="20" spans="3:13" x14ac:dyDescent="0.25">
      <c r="C20" t="s">
        <v>14</v>
      </c>
      <c r="D20" s="1">
        <v>54000</v>
      </c>
      <c r="E20" s="1">
        <v>99000</v>
      </c>
      <c r="F20" s="1">
        <v>198500</v>
      </c>
      <c r="J20" t="s">
        <v>13</v>
      </c>
      <c r="K20" s="1">
        <v>7000</v>
      </c>
      <c r="L20" s="1">
        <v>21000</v>
      </c>
      <c r="M20" s="1">
        <v>41000</v>
      </c>
    </row>
    <row r="21" spans="3:13" x14ac:dyDescent="0.25">
      <c r="C21" t="s">
        <v>15</v>
      </c>
      <c r="D21" s="1">
        <v>-45675</v>
      </c>
      <c r="E21" s="1">
        <v>-15356</v>
      </c>
      <c r="F21" s="1">
        <v>0</v>
      </c>
      <c r="J21" t="s">
        <v>14</v>
      </c>
      <c r="K21" s="1">
        <v>54000</v>
      </c>
      <c r="L21" s="1">
        <v>99000</v>
      </c>
      <c r="M21" s="1">
        <v>198500</v>
      </c>
    </row>
    <row r="22" spans="3:13" x14ac:dyDescent="0.25">
      <c r="D22" s="1"/>
      <c r="E22" s="1"/>
      <c r="F22" s="1"/>
      <c r="J22" t="s">
        <v>11</v>
      </c>
      <c r="K22" s="1">
        <v>5000</v>
      </c>
      <c r="L22" s="1">
        <v>3000</v>
      </c>
      <c r="M22" s="1">
        <v>18000</v>
      </c>
    </row>
    <row r="23" spans="3:13" x14ac:dyDescent="0.25">
      <c r="D23" s="1"/>
      <c r="E23" s="1"/>
      <c r="F23" s="1"/>
      <c r="J23" s="3" t="s">
        <v>36</v>
      </c>
      <c r="K23" s="6">
        <f>SUM(K24:K25)</f>
        <v>-3675</v>
      </c>
      <c r="L23" s="6">
        <f t="shared" ref="L23:M23" si="5">SUM(L24:L25)</f>
        <v>121575</v>
      </c>
      <c r="M23" s="6">
        <f t="shared" si="5"/>
        <v>209356</v>
      </c>
    </row>
    <row r="24" spans="3:13" x14ac:dyDescent="0.25">
      <c r="C24" s="2" t="s">
        <v>19</v>
      </c>
      <c r="D24" s="2" t="s">
        <v>16</v>
      </c>
      <c r="E24" s="2" t="s">
        <v>17</v>
      </c>
      <c r="F24" s="2" t="s">
        <v>18</v>
      </c>
      <c r="J24" t="s">
        <v>9</v>
      </c>
      <c r="K24" s="1">
        <v>42000</v>
      </c>
      <c r="L24" s="1">
        <v>136931</v>
      </c>
      <c r="M24" s="1">
        <v>209356</v>
      </c>
    </row>
    <row r="25" spans="3:13" x14ac:dyDescent="0.25">
      <c r="C25" s="4" t="s">
        <v>20</v>
      </c>
      <c r="D25" s="1">
        <v>1500</v>
      </c>
      <c r="E25" s="1">
        <v>5000</v>
      </c>
      <c r="F25" s="1">
        <v>10000</v>
      </c>
      <c r="J25" t="s">
        <v>15</v>
      </c>
      <c r="K25" s="1">
        <v>-45675</v>
      </c>
      <c r="L25" s="1">
        <v>-15356</v>
      </c>
    </row>
    <row r="26" spans="3:13" x14ac:dyDescent="0.25">
      <c r="C26" s="4" t="s">
        <v>21</v>
      </c>
      <c r="D26" s="1">
        <v>12000</v>
      </c>
      <c r="E26" s="1">
        <v>67000</v>
      </c>
      <c r="F26" s="1">
        <v>132000</v>
      </c>
      <c r="J26" s="7" t="s">
        <v>44</v>
      </c>
      <c r="K26" s="8">
        <f>K15+K19+K23</f>
        <v>251000</v>
      </c>
      <c r="L26" s="8">
        <f t="shared" ref="L26:M26" si="6">L15+L19+L23</f>
        <v>449000</v>
      </c>
      <c r="M26" s="8">
        <f t="shared" si="6"/>
        <v>643500</v>
      </c>
    </row>
    <row r="27" spans="3:13" x14ac:dyDescent="0.25">
      <c r="C27" s="4" t="s">
        <v>22</v>
      </c>
      <c r="D27" s="1">
        <v>210000</v>
      </c>
      <c r="E27" s="1">
        <v>364000</v>
      </c>
      <c r="F27" s="1">
        <v>618800</v>
      </c>
    </row>
    <row r="28" spans="3:13" x14ac:dyDescent="0.25">
      <c r="C28" s="4" t="s">
        <v>23</v>
      </c>
      <c r="D28" s="1">
        <v>750000</v>
      </c>
      <c r="E28" s="1">
        <v>1250000</v>
      </c>
      <c r="F28" s="1">
        <v>2300000</v>
      </c>
      <c r="J28" s="2" t="s">
        <v>19</v>
      </c>
      <c r="K28" s="2" t="s">
        <v>16</v>
      </c>
      <c r="L28" s="2" t="s">
        <v>17</v>
      </c>
      <c r="M28" s="2" t="s">
        <v>18</v>
      </c>
    </row>
    <row r="29" spans="3:13" x14ac:dyDescent="0.25">
      <c r="C29" s="4" t="s">
        <v>24</v>
      </c>
      <c r="D29" s="1">
        <v>18000</v>
      </c>
      <c r="E29" s="1">
        <v>21600</v>
      </c>
      <c r="F29" s="1">
        <v>36600</v>
      </c>
      <c r="J29" t="s">
        <v>23</v>
      </c>
      <c r="K29" s="1">
        <v>750000</v>
      </c>
      <c r="L29" s="1">
        <v>1250000</v>
      </c>
      <c r="M29" s="1">
        <v>2300000</v>
      </c>
    </row>
    <row r="30" spans="3:13" x14ac:dyDescent="0.25">
      <c r="C30" s="4" t="s">
        <v>25</v>
      </c>
      <c r="D30" s="1">
        <v>3000</v>
      </c>
      <c r="E30" s="1">
        <v>7000</v>
      </c>
      <c r="F30" s="1">
        <v>6000</v>
      </c>
      <c r="J30" s="3" t="s">
        <v>38</v>
      </c>
      <c r="K30" s="6">
        <f>K29</f>
        <v>750000</v>
      </c>
      <c r="L30" s="6">
        <f t="shared" ref="L30:M30" si="7">L29</f>
        <v>1250000</v>
      </c>
      <c r="M30" s="6">
        <f t="shared" si="7"/>
        <v>2300000</v>
      </c>
    </row>
    <row r="31" spans="3:13" x14ac:dyDescent="0.25">
      <c r="C31" s="4" t="s">
        <v>26</v>
      </c>
      <c r="D31" s="1">
        <v>410000</v>
      </c>
      <c r="E31" s="1">
        <v>717500</v>
      </c>
      <c r="F31" s="1">
        <v>1578500</v>
      </c>
      <c r="J31" t="s">
        <v>22</v>
      </c>
      <c r="K31" s="1">
        <v>210000</v>
      </c>
      <c r="L31" s="1">
        <v>364000</v>
      </c>
      <c r="M31" s="1">
        <v>618800</v>
      </c>
    </row>
    <row r="32" spans="3:13" x14ac:dyDescent="0.25">
      <c r="C32" t="s">
        <v>27</v>
      </c>
      <c r="D32" s="1">
        <v>0</v>
      </c>
      <c r="E32" s="1">
        <v>0</v>
      </c>
      <c r="F32" s="1">
        <v>0</v>
      </c>
      <c r="J32" t="s">
        <v>26</v>
      </c>
      <c r="K32" s="1">
        <v>410000</v>
      </c>
      <c r="L32" s="1">
        <v>717500</v>
      </c>
      <c r="M32" s="1">
        <v>1578500</v>
      </c>
    </row>
    <row r="33" spans="3:16" x14ac:dyDescent="0.25">
      <c r="C33" t="s">
        <v>28</v>
      </c>
      <c r="D33" s="1">
        <v>25375</v>
      </c>
      <c r="E33" s="1">
        <v>20475</v>
      </c>
      <c r="F33" s="1">
        <v>-17475</v>
      </c>
      <c r="J33" t="s">
        <v>24</v>
      </c>
      <c r="K33" s="1">
        <v>18000</v>
      </c>
      <c r="L33" s="1">
        <v>21600</v>
      </c>
      <c r="M33" s="1">
        <v>36600</v>
      </c>
    </row>
    <row r="34" spans="3:16" x14ac:dyDescent="0.25">
      <c r="C34" t="s">
        <v>29</v>
      </c>
      <c r="D34" s="1">
        <v>76125</v>
      </c>
      <c r="E34" s="1">
        <v>61425</v>
      </c>
      <c r="F34" s="1">
        <v>-52425</v>
      </c>
      <c r="J34" s="3" t="s">
        <v>39</v>
      </c>
      <c r="K34" s="6">
        <f>K30-(K31+K32+K33)</f>
        <v>112000</v>
      </c>
      <c r="L34" s="6">
        <f t="shared" ref="L34:M34" si="8">L30-(L31+L32+L33)</f>
        <v>146900</v>
      </c>
      <c r="M34" s="6">
        <f t="shared" si="8"/>
        <v>66100</v>
      </c>
    </row>
    <row r="35" spans="3:16" x14ac:dyDescent="0.25">
      <c r="D35" s="1"/>
      <c r="E35" s="1"/>
      <c r="F35" s="1"/>
      <c r="J35" t="s">
        <v>20</v>
      </c>
      <c r="K35" s="1">
        <v>1500</v>
      </c>
      <c r="L35" s="1">
        <v>5000</v>
      </c>
      <c r="M35" s="1">
        <v>10000</v>
      </c>
    </row>
    <row r="36" spans="3:16" x14ac:dyDescent="0.25">
      <c r="D36" s="1"/>
      <c r="E36" s="1"/>
      <c r="F36" s="1"/>
      <c r="J36" s="3" t="s">
        <v>40</v>
      </c>
      <c r="K36" s="6">
        <f>K34-K35</f>
        <v>110500</v>
      </c>
      <c r="L36" s="6">
        <f t="shared" ref="L36:M36" si="9">L34-L35</f>
        <v>141900</v>
      </c>
      <c r="M36" s="6">
        <f t="shared" si="9"/>
        <v>56100</v>
      </c>
    </row>
    <row r="37" spans="3:16" x14ac:dyDescent="0.25">
      <c r="C37" t="s">
        <v>30</v>
      </c>
      <c r="D37" s="1"/>
      <c r="E37" s="1"/>
      <c r="F37" s="1"/>
      <c r="J37" t="s">
        <v>25</v>
      </c>
      <c r="K37" s="1">
        <v>3000</v>
      </c>
      <c r="L37" s="1">
        <v>7000</v>
      </c>
      <c r="M37" s="1">
        <v>6000</v>
      </c>
    </row>
    <row r="38" spans="3:16" x14ac:dyDescent="0.25">
      <c r="C38" t="s">
        <v>31</v>
      </c>
      <c r="D38" s="1">
        <v>30450</v>
      </c>
      <c r="E38" s="1">
        <v>46069</v>
      </c>
      <c r="F38" s="1">
        <v>-52425</v>
      </c>
      <c r="J38" t="s">
        <v>21</v>
      </c>
      <c r="K38" s="1">
        <v>12000</v>
      </c>
      <c r="L38" s="1">
        <v>67000</v>
      </c>
      <c r="M38" s="1">
        <v>132000</v>
      </c>
    </row>
    <row r="39" spans="3:16" x14ac:dyDescent="0.25">
      <c r="C39" t="s">
        <v>32</v>
      </c>
      <c r="D39" s="1">
        <v>45675</v>
      </c>
      <c r="E39" s="1">
        <v>15356</v>
      </c>
      <c r="F39" s="1">
        <v>0</v>
      </c>
      <c r="J39" s="3" t="s">
        <v>41</v>
      </c>
      <c r="K39" s="6">
        <f>(K37-K38)+K36</f>
        <v>101500</v>
      </c>
      <c r="L39" s="6">
        <f t="shared" ref="L39:M39" si="10">(L37-L38)+L36</f>
        <v>81900</v>
      </c>
      <c r="M39" s="6">
        <f t="shared" si="10"/>
        <v>-69900</v>
      </c>
      <c r="P39" s="5"/>
    </row>
    <row r="40" spans="3:16" x14ac:dyDescent="0.25">
      <c r="J40" t="s">
        <v>28</v>
      </c>
      <c r="K40" s="1">
        <v>25375</v>
      </c>
      <c r="L40" s="1">
        <v>20475</v>
      </c>
      <c r="M40" s="1">
        <v>-17475</v>
      </c>
    </row>
    <row r="41" spans="3:16" x14ac:dyDescent="0.25">
      <c r="J41" s="3" t="s">
        <v>42</v>
      </c>
      <c r="K41" s="1">
        <v>76125</v>
      </c>
      <c r="L41" s="1">
        <v>61425</v>
      </c>
      <c r="M41" s="1">
        <v>-52425</v>
      </c>
      <c r="O41"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1EE70-3A62-49BF-8A1E-E47C3146BB9D}">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09154-2EEF-44B3-82D0-FAD7B1897288}">
  <dimension ref="B2:P41"/>
  <sheetViews>
    <sheetView showGridLines="0" workbookViewId="0">
      <selection activeCell="B2" sqref="B2:H26"/>
    </sheetView>
  </sheetViews>
  <sheetFormatPr defaultRowHeight="15" x14ac:dyDescent="0.25"/>
  <cols>
    <col min="1" max="1" width="4" customWidth="1"/>
    <col min="2" max="2" width="29" customWidth="1"/>
    <col min="3" max="8" width="13.7109375" customWidth="1"/>
    <col min="10" max="10" width="27.140625" customWidth="1"/>
    <col min="11" max="11" width="13.7109375" customWidth="1"/>
    <col min="12" max="12" width="4.140625" customWidth="1"/>
    <col min="13" max="16" width="13.7109375" customWidth="1"/>
  </cols>
  <sheetData>
    <row r="2" spans="2:16" x14ac:dyDescent="0.25">
      <c r="B2" s="72" t="s">
        <v>45</v>
      </c>
      <c r="C2" s="72"/>
      <c r="D2" s="72"/>
      <c r="E2" s="72"/>
      <c r="F2" s="72"/>
      <c r="G2" s="72"/>
      <c r="H2" s="72"/>
      <c r="J2" s="72" t="s">
        <v>49</v>
      </c>
      <c r="K2" s="72"/>
      <c r="L2" s="72"/>
      <c r="M2" s="72"/>
      <c r="N2" s="72"/>
      <c r="O2" s="72"/>
      <c r="P2" s="72"/>
    </row>
    <row r="3" spans="2:16" s="24" customFormat="1" ht="30" x14ac:dyDescent="0.25">
      <c r="B3" s="23" t="s">
        <v>0</v>
      </c>
      <c r="C3" s="23" t="s">
        <v>16</v>
      </c>
      <c r="D3" s="23" t="s">
        <v>51</v>
      </c>
      <c r="E3" s="23" t="s">
        <v>17</v>
      </c>
      <c r="F3" s="23" t="s">
        <v>46</v>
      </c>
      <c r="G3" s="23" t="s">
        <v>18</v>
      </c>
      <c r="H3" s="23" t="s">
        <v>46</v>
      </c>
      <c r="J3" s="23" t="s">
        <v>0</v>
      </c>
      <c r="K3" s="23" t="s">
        <v>16</v>
      </c>
      <c r="L3" s="23" t="s">
        <v>46</v>
      </c>
      <c r="M3" s="23" t="s">
        <v>17</v>
      </c>
      <c r="N3" s="25" t="s">
        <v>50</v>
      </c>
      <c r="O3" s="23" t="s">
        <v>18</v>
      </c>
      <c r="P3" s="25" t="s">
        <v>50</v>
      </c>
    </row>
    <row r="4" spans="2:16" x14ac:dyDescent="0.25">
      <c r="B4" s="3" t="s">
        <v>33</v>
      </c>
      <c r="C4" s="6">
        <f>SUM(C5:C7)</f>
        <v>90000</v>
      </c>
      <c r="D4" s="10">
        <f>C4/C13</f>
        <v>0.35856573705179284</v>
      </c>
      <c r="E4" s="6">
        <f>SUM(E5:E7)</f>
        <v>179000</v>
      </c>
      <c r="F4" s="10">
        <f>E4/E13</f>
        <v>0.39866369710467708</v>
      </c>
      <c r="G4" s="6">
        <f>SUM(G5:G7)</f>
        <v>234000</v>
      </c>
      <c r="H4" s="10">
        <f>G4/G13</f>
        <v>0.36363636363636365</v>
      </c>
      <c r="J4" s="3" t="s">
        <v>33</v>
      </c>
      <c r="K4" s="6">
        <f>SUM(K5:K7)</f>
        <v>90000</v>
      </c>
      <c r="L4" s="10"/>
      <c r="M4" s="6">
        <f>SUM(M5:M7)</f>
        <v>179000</v>
      </c>
      <c r="N4" s="10">
        <f>(M4-K4)/K4</f>
        <v>0.98888888888888893</v>
      </c>
      <c r="O4" s="6">
        <f>SUM(O5:O7)</f>
        <v>234000</v>
      </c>
      <c r="P4" s="10">
        <f>(O4-M4)/M4</f>
        <v>0.30726256983240224</v>
      </c>
    </row>
    <row r="5" spans="2:16" x14ac:dyDescent="0.25">
      <c r="B5" t="s">
        <v>3</v>
      </c>
      <c r="C5" s="1">
        <v>3000</v>
      </c>
      <c r="D5" s="12">
        <f>C5/$C$4</f>
        <v>3.3333333333333333E-2</v>
      </c>
      <c r="E5" s="1">
        <v>5000</v>
      </c>
      <c r="F5" s="12">
        <f>E5/$E$4</f>
        <v>2.7932960893854747E-2</v>
      </c>
      <c r="G5" s="1">
        <v>8000</v>
      </c>
      <c r="H5" s="12">
        <f>G5/$G$4</f>
        <v>3.4188034188034191E-2</v>
      </c>
      <c r="J5" t="s">
        <v>3</v>
      </c>
      <c r="K5" s="1">
        <v>3000</v>
      </c>
      <c r="L5" s="12"/>
      <c r="M5" s="1">
        <v>5000</v>
      </c>
      <c r="N5" s="20">
        <f t="shared" ref="N5:N13" si="0">(M5-K5)/K5</f>
        <v>0.66666666666666663</v>
      </c>
      <c r="O5" s="1">
        <v>8000</v>
      </c>
      <c r="P5" s="20">
        <f t="shared" ref="P5:P13" si="1">(O5-M5)/M5</f>
        <v>0.6</v>
      </c>
    </row>
    <row r="6" spans="2:16" x14ac:dyDescent="0.25">
      <c r="B6" t="s">
        <v>6</v>
      </c>
      <c r="C6" s="1">
        <v>27000</v>
      </c>
      <c r="D6" s="12">
        <f>C6/$C$4</f>
        <v>0.3</v>
      </c>
      <c r="E6" s="1">
        <v>19000</v>
      </c>
      <c r="F6" s="12">
        <f>E6/$E$4</f>
        <v>0.10614525139664804</v>
      </c>
      <c r="G6" s="1">
        <v>6000</v>
      </c>
      <c r="H6" s="12">
        <f>G6/$G$4</f>
        <v>2.564102564102564E-2</v>
      </c>
      <c r="J6" t="s">
        <v>6</v>
      </c>
      <c r="K6" s="1">
        <v>27000</v>
      </c>
      <c r="L6" s="12"/>
      <c r="M6" s="1">
        <v>19000</v>
      </c>
      <c r="N6" s="20">
        <f t="shared" si="0"/>
        <v>-0.29629629629629628</v>
      </c>
      <c r="O6" s="1">
        <v>6000</v>
      </c>
      <c r="P6" s="20">
        <f t="shared" si="1"/>
        <v>-0.68421052631578949</v>
      </c>
    </row>
    <row r="7" spans="2:16" x14ac:dyDescent="0.25">
      <c r="B7" t="s">
        <v>47</v>
      </c>
      <c r="C7" s="1">
        <f>C8+C9</f>
        <v>60000</v>
      </c>
      <c r="D7" s="12">
        <f>C7/$C$4</f>
        <v>0.66666666666666663</v>
      </c>
      <c r="E7" s="1">
        <f>E8+E9</f>
        <v>155000</v>
      </c>
      <c r="F7" s="12">
        <f>E7/$E$4</f>
        <v>0.86592178770949724</v>
      </c>
      <c r="G7" s="1">
        <f>G8+G9</f>
        <v>220000</v>
      </c>
      <c r="H7" s="12">
        <f>G7/$G$4</f>
        <v>0.94017094017094016</v>
      </c>
      <c r="J7" t="s">
        <v>47</v>
      </c>
      <c r="K7" s="1">
        <f>K8+K9</f>
        <v>60000</v>
      </c>
      <c r="L7" s="12"/>
      <c r="M7" s="1">
        <f>M8+M9</f>
        <v>155000</v>
      </c>
      <c r="N7" s="20">
        <f t="shared" si="0"/>
        <v>1.5833333333333333</v>
      </c>
      <c r="O7" s="1">
        <f>O8+O9</f>
        <v>220000</v>
      </c>
      <c r="P7" s="20">
        <f t="shared" si="1"/>
        <v>0.41935483870967744</v>
      </c>
    </row>
    <row r="8" spans="2:16" x14ac:dyDescent="0.25">
      <c r="B8" s="13" t="s">
        <v>1</v>
      </c>
      <c r="C8" s="14">
        <v>75000</v>
      </c>
      <c r="D8" s="12"/>
      <c r="E8" s="14">
        <v>175000</v>
      </c>
      <c r="F8" s="14"/>
      <c r="G8" s="14">
        <v>250000</v>
      </c>
      <c r="H8" s="12"/>
      <c r="J8" s="13" t="s">
        <v>1</v>
      </c>
      <c r="K8" s="14">
        <v>75000</v>
      </c>
      <c r="L8" s="12"/>
      <c r="M8" s="14">
        <v>175000</v>
      </c>
      <c r="N8" s="20"/>
      <c r="O8" s="14">
        <v>250000</v>
      </c>
      <c r="P8" s="20"/>
    </row>
    <row r="9" spans="2:16" x14ac:dyDescent="0.25">
      <c r="B9" s="13" t="s">
        <v>5</v>
      </c>
      <c r="C9" s="14">
        <v>-15000</v>
      </c>
      <c r="D9" s="12"/>
      <c r="E9" s="14">
        <v>-20000</v>
      </c>
      <c r="F9" s="14"/>
      <c r="G9" s="14">
        <v>-30000</v>
      </c>
      <c r="H9" s="12"/>
      <c r="J9" s="13" t="s">
        <v>5</v>
      </c>
      <c r="K9" s="14">
        <v>-15000</v>
      </c>
      <c r="L9" s="12"/>
      <c r="M9" s="14">
        <v>-20000</v>
      </c>
      <c r="N9" s="20"/>
      <c r="O9" s="14">
        <v>-30000</v>
      </c>
      <c r="P9" s="20"/>
    </row>
    <row r="10" spans="2:16" x14ac:dyDescent="0.25">
      <c r="B10" s="3" t="s">
        <v>34</v>
      </c>
      <c r="C10" s="6">
        <f>SUM(C11:C12)</f>
        <v>161000</v>
      </c>
      <c r="D10" s="10">
        <f>C10/C13</f>
        <v>0.64143426294820716</v>
      </c>
      <c r="E10" s="6">
        <f t="shared" ref="E10" si="2">SUM(E11:E12)</f>
        <v>270000</v>
      </c>
      <c r="F10" s="10">
        <f>E10/E13</f>
        <v>0.60133630289532292</v>
      </c>
      <c r="G10" s="6">
        <f t="shared" ref="G10" si="3">SUM(G11:G12)</f>
        <v>409500</v>
      </c>
      <c r="H10" s="10">
        <f>G10/G13</f>
        <v>0.63636363636363635</v>
      </c>
      <c r="J10" s="3" t="s">
        <v>34</v>
      </c>
      <c r="K10" s="6">
        <f>SUM(K11:K12)</f>
        <v>161000</v>
      </c>
      <c r="L10" s="10"/>
      <c r="M10" s="6">
        <f t="shared" ref="M10" si="4">SUM(M11:M12)</f>
        <v>270000</v>
      </c>
      <c r="N10" s="10">
        <f t="shared" si="0"/>
        <v>0.67701863354037262</v>
      </c>
      <c r="O10" s="6">
        <f t="shared" ref="O10" si="5">SUM(O11:O12)</f>
        <v>409500</v>
      </c>
      <c r="P10" s="10">
        <f t="shared" si="1"/>
        <v>0.51666666666666672</v>
      </c>
    </row>
    <row r="11" spans="2:16" x14ac:dyDescent="0.25">
      <c r="B11" t="s">
        <v>4</v>
      </c>
      <c r="C11" s="1">
        <v>123000</v>
      </c>
      <c r="D11" s="12">
        <f>C11/$C$10</f>
        <v>0.7639751552795031</v>
      </c>
      <c r="E11" s="1">
        <v>162000</v>
      </c>
      <c r="F11" s="12">
        <f>E11/$E$10</f>
        <v>0.6</v>
      </c>
      <c r="G11" s="1">
        <v>203500</v>
      </c>
      <c r="H11" s="12">
        <f>G11/$G$10</f>
        <v>0.49694749694749696</v>
      </c>
      <c r="J11" t="s">
        <v>4</v>
      </c>
      <c r="K11" s="1">
        <v>123000</v>
      </c>
      <c r="L11" s="12"/>
      <c r="M11" s="1">
        <v>162000</v>
      </c>
      <c r="N11" s="20">
        <f t="shared" si="0"/>
        <v>0.31707317073170732</v>
      </c>
      <c r="O11" s="1">
        <v>203500</v>
      </c>
      <c r="P11" s="20">
        <f t="shared" si="1"/>
        <v>0.25617283950617287</v>
      </c>
    </row>
    <row r="12" spans="2:16" x14ac:dyDescent="0.25">
      <c r="B12" t="s">
        <v>2</v>
      </c>
      <c r="C12" s="1">
        <v>38000</v>
      </c>
      <c r="D12" s="12">
        <f>C12/$C$10</f>
        <v>0.2360248447204969</v>
      </c>
      <c r="E12" s="1">
        <v>108000</v>
      </c>
      <c r="F12" s="12">
        <f>E12/$E$10</f>
        <v>0.4</v>
      </c>
      <c r="G12" s="1">
        <v>206000</v>
      </c>
      <c r="H12" s="12">
        <f>G12/$G$10</f>
        <v>0.50305250305250304</v>
      </c>
      <c r="J12" t="s">
        <v>2</v>
      </c>
      <c r="K12" s="1">
        <v>38000</v>
      </c>
      <c r="L12" s="12"/>
      <c r="M12" s="1">
        <v>108000</v>
      </c>
      <c r="N12" s="20">
        <f t="shared" si="0"/>
        <v>1.8421052631578947</v>
      </c>
      <c r="O12" s="1">
        <v>206000</v>
      </c>
      <c r="P12" s="20">
        <f t="shared" si="1"/>
        <v>0.90740740740740744</v>
      </c>
    </row>
    <row r="13" spans="2:16" x14ac:dyDescent="0.25">
      <c r="B13" s="7" t="s">
        <v>43</v>
      </c>
      <c r="C13" s="8">
        <f>C4+C10</f>
        <v>251000</v>
      </c>
      <c r="D13" s="8"/>
      <c r="E13" s="8">
        <f>E4+E10</f>
        <v>449000</v>
      </c>
      <c r="F13" s="8"/>
      <c r="G13" s="8">
        <f t="shared" ref="G13" si="6">G4+G10</f>
        <v>643500</v>
      </c>
      <c r="H13" s="8"/>
      <c r="J13" s="7" t="s">
        <v>43</v>
      </c>
      <c r="K13" s="8">
        <f>K4+K10</f>
        <v>251000</v>
      </c>
      <c r="L13" s="8"/>
      <c r="M13" s="8">
        <f>M4+M10</f>
        <v>449000</v>
      </c>
      <c r="N13" s="21">
        <f t="shared" si="0"/>
        <v>0.78884462151394419</v>
      </c>
      <c r="O13" s="8">
        <f t="shared" ref="O13" si="7">O4+O10</f>
        <v>643500</v>
      </c>
      <c r="P13" s="21">
        <f t="shared" si="1"/>
        <v>0.43318485523385303</v>
      </c>
    </row>
    <row r="14" spans="2:16" x14ac:dyDescent="0.25">
      <c r="B14" s="2" t="s">
        <v>7</v>
      </c>
      <c r="C14" s="2" t="s">
        <v>16</v>
      </c>
      <c r="D14" s="2"/>
      <c r="E14" s="2" t="s">
        <v>17</v>
      </c>
      <c r="F14" s="2"/>
      <c r="G14" s="2" t="s">
        <v>18</v>
      </c>
      <c r="H14" s="2"/>
      <c r="J14" s="2" t="s">
        <v>7</v>
      </c>
      <c r="K14" s="2" t="s">
        <v>16</v>
      </c>
      <c r="L14" s="2"/>
      <c r="M14" s="2" t="s">
        <v>17</v>
      </c>
      <c r="N14" s="2"/>
      <c r="O14" s="2" t="s">
        <v>18</v>
      </c>
      <c r="P14" s="2"/>
    </row>
    <row r="15" spans="2:16" x14ac:dyDescent="0.25">
      <c r="B15" s="3" t="s">
        <v>37</v>
      </c>
      <c r="C15" s="6">
        <f>SUM(C16:C18)</f>
        <v>188675</v>
      </c>
      <c r="D15" s="10">
        <f>C15/C26</f>
        <v>0.75169322709163344</v>
      </c>
      <c r="E15" s="6">
        <f t="shared" ref="E15" si="8">SUM(E16:E18)</f>
        <v>204425</v>
      </c>
      <c r="F15" s="10">
        <f>E15/E26</f>
        <v>0.45528953229398661</v>
      </c>
      <c r="G15" s="6">
        <f t="shared" ref="G15" si="9">SUM(G16:G18)</f>
        <v>176644</v>
      </c>
      <c r="H15" s="10">
        <f>G15/G26</f>
        <v>0.27450505050505053</v>
      </c>
      <c r="J15" s="3" t="s">
        <v>37</v>
      </c>
      <c r="K15" s="6">
        <f>SUM(K16:K18)</f>
        <v>188675</v>
      </c>
      <c r="L15" s="10"/>
      <c r="M15" s="6">
        <f t="shared" ref="M15" si="10">SUM(M16:M18)</f>
        <v>204425</v>
      </c>
      <c r="N15" s="10">
        <f>(M15-K15)/K15</f>
        <v>8.3476878229760174E-2</v>
      </c>
      <c r="O15" s="6">
        <f t="shared" ref="O15" si="11">SUM(O16:O18)</f>
        <v>176644</v>
      </c>
      <c r="P15" s="10">
        <f>(O15-M15)/M15</f>
        <v>-0.13589825119236884</v>
      </c>
    </row>
    <row r="16" spans="2:16" x14ac:dyDescent="0.25">
      <c r="B16" t="s">
        <v>8</v>
      </c>
      <c r="C16" s="1">
        <v>25000</v>
      </c>
      <c r="D16" s="12">
        <f>C16/$C$15</f>
        <v>0.13250298131707963</v>
      </c>
      <c r="E16" s="1">
        <v>25000</v>
      </c>
      <c r="F16" s="12">
        <f>E16/$E$15</f>
        <v>0.12229423994129876</v>
      </c>
      <c r="G16" s="1">
        <v>65000</v>
      </c>
      <c r="H16" s="12">
        <f>G16/$G$15</f>
        <v>0.36797173977038561</v>
      </c>
      <c r="J16" t="s">
        <v>8</v>
      </c>
      <c r="K16" s="1">
        <v>25000</v>
      </c>
      <c r="L16" s="12"/>
      <c r="M16" s="1">
        <v>25000</v>
      </c>
      <c r="N16" s="20">
        <f t="shared" ref="N16:N26" si="12">(M16-K16)/K16</f>
        <v>0</v>
      </c>
      <c r="O16" s="1">
        <v>65000</v>
      </c>
      <c r="P16" s="20">
        <f t="shared" ref="P16:P26" si="13">(O16-M16)/M16</f>
        <v>1.6</v>
      </c>
    </row>
    <row r="17" spans="2:16" x14ac:dyDescent="0.25">
      <c r="B17" t="s">
        <v>12</v>
      </c>
      <c r="C17" s="1">
        <v>87550</v>
      </c>
      <c r="D17" s="12">
        <f t="shared" ref="D17:D18" si="14">C17/$C$15</f>
        <v>0.46402544057241291</v>
      </c>
      <c r="E17" s="1">
        <v>118000</v>
      </c>
      <c r="F17" s="12">
        <f t="shared" ref="F17:F18" si="15">E17/$E$15</f>
        <v>0.57722881252293012</v>
      </c>
      <c r="G17" s="1">
        <v>164069</v>
      </c>
      <c r="H17" s="12">
        <f t="shared" ref="H17:H18" si="16">G17/$G$15</f>
        <v>0.92881162111365234</v>
      </c>
      <c r="J17" t="s">
        <v>12</v>
      </c>
      <c r="K17" s="1">
        <v>87550</v>
      </c>
      <c r="L17" s="12"/>
      <c r="M17" s="1">
        <v>118000</v>
      </c>
      <c r="N17" s="20">
        <f t="shared" si="12"/>
        <v>0.34780125642490006</v>
      </c>
      <c r="O17" s="1">
        <v>164069</v>
      </c>
      <c r="P17" s="20">
        <f t="shared" si="13"/>
        <v>0.39041525423728812</v>
      </c>
    </row>
    <row r="18" spans="2:16" x14ac:dyDescent="0.25">
      <c r="B18" t="s">
        <v>10</v>
      </c>
      <c r="C18" s="1">
        <v>76125</v>
      </c>
      <c r="D18" s="12">
        <f t="shared" si="14"/>
        <v>0.40347157811050749</v>
      </c>
      <c r="E18" s="1">
        <v>61425</v>
      </c>
      <c r="F18" s="12">
        <f t="shared" si="15"/>
        <v>0.30047694753577109</v>
      </c>
      <c r="G18" s="1">
        <v>-52425</v>
      </c>
      <c r="H18" s="12">
        <f t="shared" si="16"/>
        <v>-0.29678336088403795</v>
      </c>
      <c r="J18" t="s">
        <v>10</v>
      </c>
      <c r="K18" s="1">
        <v>76125</v>
      </c>
      <c r="L18" s="12"/>
      <c r="M18" s="1">
        <v>61425</v>
      </c>
      <c r="N18" s="20">
        <f t="shared" si="12"/>
        <v>-0.19310344827586207</v>
      </c>
      <c r="O18" s="1">
        <v>-52425</v>
      </c>
      <c r="P18" s="20">
        <f t="shared" si="13"/>
        <v>-1.8534798534798536</v>
      </c>
    </row>
    <row r="19" spans="2:16" x14ac:dyDescent="0.25">
      <c r="B19" s="3" t="s">
        <v>35</v>
      </c>
      <c r="C19" s="6">
        <f>SUM(C20:C23)</f>
        <v>20325</v>
      </c>
      <c r="D19" s="10">
        <f>C19/C26</f>
        <v>8.0976095617529886E-2</v>
      </c>
      <c r="E19" s="6">
        <f>SUM(E20:E23)</f>
        <v>107644</v>
      </c>
      <c r="F19" s="10">
        <f>E19/E26</f>
        <v>0.23974164810690424</v>
      </c>
      <c r="G19" s="6">
        <f>SUM(G20:G23)</f>
        <v>257500</v>
      </c>
      <c r="H19" s="10">
        <f>G19/G26</f>
        <v>0.40015540015540013</v>
      </c>
      <c r="J19" s="3" t="s">
        <v>35</v>
      </c>
      <c r="K19" s="6">
        <f>SUM(K20:K23)</f>
        <v>20325</v>
      </c>
      <c r="L19" s="10"/>
      <c r="M19" s="6">
        <f>SUM(M20:M23)</f>
        <v>107644</v>
      </c>
      <c r="N19" s="10">
        <f t="shared" si="12"/>
        <v>4.2961377613776142</v>
      </c>
      <c r="O19" s="6">
        <f>SUM(O20:O23)</f>
        <v>257500</v>
      </c>
      <c r="P19" s="10">
        <f t="shared" si="13"/>
        <v>1.3921444762364832</v>
      </c>
    </row>
    <row r="20" spans="2:16" x14ac:dyDescent="0.25">
      <c r="B20" t="s">
        <v>13</v>
      </c>
      <c r="C20" s="1">
        <v>7000</v>
      </c>
      <c r="D20" s="12">
        <f>C20/$C$19</f>
        <v>0.34440344403444034</v>
      </c>
      <c r="E20" s="1">
        <v>21000</v>
      </c>
      <c r="F20" s="12">
        <f>E20/$E$19</f>
        <v>0.19508751068336369</v>
      </c>
      <c r="G20" s="1">
        <v>41000</v>
      </c>
      <c r="H20" s="12">
        <f>G20/$G$19</f>
        <v>0.15922330097087378</v>
      </c>
      <c r="J20" t="s">
        <v>13</v>
      </c>
      <c r="K20" s="1">
        <v>7000</v>
      </c>
      <c r="L20" s="12"/>
      <c r="M20" s="1">
        <v>21000</v>
      </c>
      <c r="N20" s="20">
        <f t="shared" si="12"/>
        <v>2</v>
      </c>
      <c r="O20" s="1">
        <v>41000</v>
      </c>
      <c r="P20" s="20">
        <f t="shared" si="13"/>
        <v>0.95238095238095233</v>
      </c>
    </row>
    <row r="21" spans="2:16" x14ac:dyDescent="0.25">
      <c r="B21" t="s">
        <v>14</v>
      </c>
      <c r="C21" s="1">
        <v>54000</v>
      </c>
      <c r="D21" s="12">
        <f t="shared" ref="D21:D23" si="17">C21/$C$19</f>
        <v>2.6568265682656826</v>
      </c>
      <c r="E21" s="1">
        <v>99000</v>
      </c>
      <c r="F21" s="12">
        <f t="shared" ref="F21:F23" si="18">E21/$E$19</f>
        <v>0.91969826465014304</v>
      </c>
      <c r="G21" s="1">
        <v>198500</v>
      </c>
      <c r="H21" s="12">
        <f t="shared" ref="H21:H23" si="19">G21/$G$19</f>
        <v>0.77087378640776694</v>
      </c>
      <c r="J21" t="s">
        <v>14</v>
      </c>
      <c r="K21" s="1">
        <v>54000</v>
      </c>
      <c r="L21" s="12"/>
      <c r="M21" s="1">
        <v>99000</v>
      </c>
      <c r="N21" s="20">
        <f t="shared" si="12"/>
        <v>0.83333333333333337</v>
      </c>
      <c r="O21" s="1">
        <v>198500</v>
      </c>
      <c r="P21" s="20">
        <f t="shared" si="13"/>
        <v>1.005050505050505</v>
      </c>
    </row>
    <row r="22" spans="2:16" x14ac:dyDescent="0.25">
      <c r="B22" t="s">
        <v>11</v>
      </c>
      <c r="C22" s="1">
        <v>5000</v>
      </c>
      <c r="D22" s="12">
        <f t="shared" si="17"/>
        <v>0.24600246002460024</v>
      </c>
      <c r="E22" s="1">
        <v>3000</v>
      </c>
      <c r="F22" s="12">
        <f t="shared" si="18"/>
        <v>2.786964438333767E-2</v>
      </c>
      <c r="G22" s="1">
        <v>18000</v>
      </c>
      <c r="H22" s="12">
        <f t="shared" si="19"/>
        <v>6.9902912621359226E-2</v>
      </c>
      <c r="J22" t="s">
        <v>11</v>
      </c>
      <c r="K22" s="1">
        <v>5000</v>
      </c>
      <c r="L22" s="12"/>
      <c r="M22" s="1">
        <v>3000</v>
      </c>
      <c r="N22" s="20">
        <f t="shared" si="12"/>
        <v>-0.4</v>
      </c>
      <c r="O22" s="1">
        <v>18000</v>
      </c>
      <c r="P22" s="20">
        <f t="shared" si="13"/>
        <v>5</v>
      </c>
    </row>
    <row r="23" spans="2:16" x14ac:dyDescent="0.25">
      <c r="B23" t="s">
        <v>15</v>
      </c>
      <c r="C23" s="1">
        <v>-45675</v>
      </c>
      <c r="D23" s="12">
        <f t="shared" si="17"/>
        <v>-2.2472324723247232</v>
      </c>
      <c r="E23" s="1">
        <v>-15356</v>
      </c>
      <c r="F23" s="12">
        <f t="shared" si="18"/>
        <v>-0.14265541971684442</v>
      </c>
      <c r="H23" s="12">
        <f t="shared" si="19"/>
        <v>0</v>
      </c>
      <c r="J23" t="s">
        <v>15</v>
      </c>
      <c r="K23" s="1">
        <v>-45675</v>
      </c>
      <c r="L23" s="12"/>
      <c r="M23" s="1">
        <v>-15356</v>
      </c>
      <c r="N23" s="20">
        <f t="shared" si="12"/>
        <v>-0.66379857690202515</v>
      </c>
      <c r="P23" s="20">
        <f t="shared" si="13"/>
        <v>-1</v>
      </c>
    </row>
    <row r="24" spans="2:16" x14ac:dyDescent="0.25">
      <c r="B24" s="3" t="s">
        <v>36</v>
      </c>
      <c r="C24" s="6">
        <f>SUM(C25:C25)</f>
        <v>42000</v>
      </c>
      <c r="D24" s="10">
        <f>C24/C26</f>
        <v>0.16733067729083664</v>
      </c>
      <c r="E24" s="6">
        <f>SUM(E25:E25)</f>
        <v>136931</v>
      </c>
      <c r="F24" s="10">
        <f>E24/E26</f>
        <v>0.30496881959910915</v>
      </c>
      <c r="G24" s="6">
        <f>SUM(G25:G25)</f>
        <v>209356</v>
      </c>
      <c r="H24" s="10">
        <f>G24/G26</f>
        <v>0.32533954933954934</v>
      </c>
      <c r="J24" s="3" t="s">
        <v>36</v>
      </c>
      <c r="K24" s="6">
        <f>SUM(K25:K25)</f>
        <v>42000</v>
      </c>
      <c r="L24" s="10"/>
      <c r="M24" s="6">
        <f>SUM(M25:M25)</f>
        <v>136931</v>
      </c>
      <c r="N24" s="22">
        <f t="shared" si="12"/>
        <v>2.2602619047619048</v>
      </c>
      <c r="O24" s="6">
        <f>SUM(O25:O25)</f>
        <v>209356</v>
      </c>
      <c r="P24" s="22">
        <f t="shared" si="13"/>
        <v>0.52891602339864607</v>
      </c>
    </row>
    <row r="25" spans="2:16" x14ac:dyDescent="0.25">
      <c r="B25" t="s">
        <v>9</v>
      </c>
      <c r="C25" s="1">
        <v>42000</v>
      </c>
      <c r="D25" s="11">
        <f>C25/C24</f>
        <v>1</v>
      </c>
      <c r="E25" s="1">
        <v>136931</v>
      </c>
      <c r="F25" s="11">
        <f>E25/E24</f>
        <v>1</v>
      </c>
      <c r="G25" s="1">
        <v>209356</v>
      </c>
      <c r="H25" s="11">
        <f>G25/G24</f>
        <v>1</v>
      </c>
      <c r="J25" t="s">
        <v>9</v>
      </c>
      <c r="K25" s="1">
        <v>42000</v>
      </c>
      <c r="L25" s="11"/>
      <c r="M25" s="1">
        <v>136931</v>
      </c>
      <c r="N25" s="20">
        <f t="shared" si="12"/>
        <v>2.2602619047619048</v>
      </c>
      <c r="O25" s="1">
        <v>209356</v>
      </c>
      <c r="P25" s="20">
        <f t="shared" si="13"/>
        <v>0.52891602339864607</v>
      </c>
    </row>
    <row r="26" spans="2:16" x14ac:dyDescent="0.25">
      <c r="B26" s="7" t="s">
        <v>44</v>
      </c>
      <c r="C26" s="8">
        <f>C15+C19+C24</f>
        <v>251000</v>
      </c>
      <c r="D26" s="8"/>
      <c r="E26" s="8">
        <f>E15+E19+E24</f>
        <v>449000</v>
      </c>
      <c r="F26" s="8"/>
      <c r="G26" s="8">
        <f>G15+G19+G24</f>
        <v>643500</v>
      </c>
      <c r="H26" s="8"/>
      <c r="J26" s="7" t="s">
        <v>44</v>
      </c>
      <c r="K26" s="8">
        <f>K15+K19+K24</f>
        <v>251000</v>
      </c>
      <c r="L26" s="8"/>
      <c r="M26" s="8">
        <f>M15+M19+M24</f>
        <v>449000</v>
      </c>
      <c r="N26" s="21">
        <f t="shared" si="12"/>
        <v>0.78884462151394419</v>
      </c>
      <c r="O26" s="8">
        <f>O15+O19+O24</f>
        <v>643500</v>
      </c>
      <c r="P26" s="21">
        <f t="shared" si="13"/>
        <v>0.43318485523385303</v>
      </c>
    </row>
    <row r="28" spans="2:16" s="24" customFormat="1" ht="30" x14ac:dyDescent="0.25">
      <c r="B28" s="23" t="s">
        <v>19</v>
      </c>
      <c r="C28" s="23" t="s">
        <v>16</v>
      </c>
      <c r="D28" s="23" t="s">
        <v>48</v>
      </c>
      <c r="E28" s="23" t="s">
        <v>17</v>
      </c>
      <c r="F28" s="23"/>
      <c r="G28" s="23" t="s">
        <v>18</v>
      </c>
      <c r="H28" s="23"/>
      <c r="J28" s="23" t="s">
        <v>19</v>
      </c>
      <c r="K28" s="23" t="s">
        <v>16</v>
      </c>
      <c r="L28" s="23"/>
      <c r="M28" s="23" t="s">
        <v>17</v>
      </c>
      <c r="N28" s="25" t="s">
        <v>50</v>
      </c>
      <c r="O28" s="23" t="s">
        <v>18</v>
      </c>
      <c r="P28" s="25" t="s">
        <v>50</v>
      </c>
    </row>
    <row r="29" spans="2:16" x14ac:dyDescent="0.25">
      <c r="B29" t="s">
        <v>23</v>
      </c>
      <c r="C29" s="1">
        <v>750000</v>
      </c>
      <c r="D29" s="1"/>
      <c r="E29" s="1">
        <v>1250000</v>
      </c>
      <c r="F29" s="1"/>
      <c r="G29" s="1">
        <v>2300000</v>
      </c>
      <c r="H29" s="1"/>
      <c r="J29" t="s">
        <v>23</v>
      </c>
      <c r="K29" s="1">
        <v>750000</v>
      </c>
      <c r="L29" s="1"/>
      <c r="M29" s="1">
        <v>1250000</v>
      </c>
      <c r="N29" s="1"/>
      <c r="O29" s="1">
        <v>2300000</v>
      </c>
      <c r="P29" s="1"/>
    </row>
    <row r="30" spans="2:16" x14ac:dyDescent="0.25">
      <c r="B30" s="3" t="s">
        <v>38</v>
      </c>
      <c r="C30" s="6">
        <f>C29</f>
        <v>750000</v>
      </c>
      <c r="D30" s="9">
        <f>C30/C29</f>
        <v>1</v>
      </c>
      <c r="E30" s="6">
        <f t="shared" ref="E30" si="20">E29</f>
        <v>1250000</v>
      </c>
      <c r="F30" s="9">
        <f>E30/E29</f>
        <v>1</v>
      </c>
      <c r="G30" s="6">
        <f t="shared" ref="G30" si="21">G29</f>
        <v>2300000</v>
      </c>
      <c r="H30" s="9">
        <f>G30/G29</f>
        <v>1</v>
      </c>
      <c r="J30" s="3" t="s">
        <v>38</v>
      </c>
      <c r="K30" s="6">
        <f>K29</f>
        <v>750000</v>
      </c>
      <c r="L30" s="9"/>
      <c r="M30" s="6">
        <f t="shared" ref="M30" si="22">M29</f>
        <v>1250000</v>
      </c>
      <c r="N30" s="10">
        <f>(M30-K30)/K30</f>
        <v>0.66666666666666663</v>
      </c>
      <c r="O30" s="6">
        <f t="shared" ref="O30" si="23">O29</f>
        <v>2300000</v>
      </c>
      <c r="P30" s="10">
        <f>(O30-M30)/M30</f>
        <v>0.84</v>
      </c>
    </row>
    <row r="31" spans="2:16" x14ac:dyDescent="0.25">
      <c r="B31" t="s">
        <v>22</v>
      </c>
      <c r="C31" s="1">
        <v>210000</v>
      </c>
      <c r="D31" s="12">
        <f>C31/$C$30</f>
        <v>0.28000000000000003</v>
      </c>
      <c r="E31" s="1">
        <v>364000</v>
      </c>
      <c r="F31" s="12">
        <f>E31/$E$30</f>
        <v>0.29120000000000001</v>
      </c>
      <c r="G31" s="1">
        <v>618800</v>
      </c>
      <c r="H31" s="12">
        <f>G31/$G$30</f>
        <v>0.26904347826086955</v>
      </c>
      <c r="J31" t="s">
        <v>22</v>
      </c>
      <c r="K31" s="1">
        <v>210000</v>
      </c>
      <c r="L31" s="12"/>
      <c r="M31" s="1">
        <v>364000</v>
      </c>
      <c r="N31" s="20">
        <f t="shared" ref="N31:N41" si="24">(M31-K31)/K31</f>
        <v>0.73333333333333328</v>
      </c>
      <c r="O31" s="1">
        <v>618800</v>
      </c>
      <c r="P31" s="20">
        <f t="shared" ref="P31:P41" si="25">(O31-M31)/M31</f>
        <v>0.7</v>
      </c>
    </row>
    <row r="32" spans="2:16" x14ac:dyDescent="0.25">
      <c r="B32" t="s">
        <v>26</v>
      </c>
      <c r="C32" s="1">
        <v>410000</v>
      </c>
      <c r="D32" s="19">
        <f t="shared" ref="D32:D41" si="26">C32/$C$30</f>
        <v>0.54666666666666663</v>
      </c>
      <c r="E32" s="1">
        <v>717500</v>
      </c>
      <c r="F32" s="19">
        <f t="shared" ref="F32:F41" si="27">E32/$E$30</f>
        <v>0.57399999999999995</v>
      </c>
      <c r="G32" s="1">
        <v>1578500</v>
      </c>
      <c r="H32" s="19">
        <f t="shared" ref="H32:H41" si="28">G32/$G$30</f>
        <v>0.68630434782608696</v>
      </c>
      <c r="J32" t="s">
        <v>26</v>
      </c>
      <c r="K32" s="1">
        <v>410000</v>
      </c>
      <c r="L32" s="19"/>
      <c r="M32" s="1">
        <v>717500</v>
      </c>
      <c r="N32" s="20">
        <f t="shared" si="24"/>
        <v>0.75</v>
      </c>
      <c r="O32" s="1">
        <v>1578500</v>
      </c>
      <c r="P32" s="20">
        <f t="shared" si="25"/>
        <v>1.2</v>
      </c>
    </row>
    <row r="33" spans="2:16" x14ac:dyDescent="0.25">
      <c r="B33" t="s">
        <v>24</v>
      </c>
      <c r="C33" s="1">
        <v>18000</v>
      </c>
      <c r="D33" s="12">
        <f t="shared" si="26"/>
        <v>2.4E-2</v>
      </c>
      <c r="E33" s="1">
        <v>21600</v>
      </c>
      <c r="F33" s="12">
        <f t="shared" si="27"/>
        <v>1.728E-2</v>
      </c>
      <c r="G33" s="1">
        <v>36600</v>
      </c>
      <c r="H33" s="12">
        <f t="shared" si="28"/>
        <v>1.591304347826087E-2</v>
      </c>
      <c r="J33" t="s">
        <v>24</v>
      </c>
      <c r="K33" s="1">
        <v>18000</v>
      </c>
      <c r="L33" s="12"/>
      <c r="M33" s="1">
        <v>21600</v>
      </c>
      <c r="N33" s="20">
        <f t="shared" si="24"/>
        <v>0.2</v>
      </c>
      <c r="O33" s="1">
        <v>36600</v>
      </c>
      <c r="P33" s="20">
        <f t="shared" si="25"/>
        <v>0.69444444444444442</v>
      </c>
    </row>
    <row r="34" spans="2:16" x14ac:dyDescent="0.25">
      <c r="B34" s="15" t="s">
        <v>39</v>
      </c>
      <c r="C34" s="16">
        <f>C30-(C31+C32+C33)</f>
        <v>112000</v>
      </c>
      <c r="D34" s="17">
        <f t="shared" si="26"/>
        <v>0.14933333333333335</v>
      </c>
      <c r="E34" s="16">
        <f t="shared" ref="E34" si="29">E30-(E31+E32+E33)</f>
        <v>146900</v>
      </c>
      <c r="F34" s="17">
        <f t="shared" si="27"/>
        <v>0.11752</v>
      </c>
      <c r="G34" s="16">
        <f t="shared" ref="G34" si="30">G30-(G31+G32+G33)</f>
        <v>66100</v>
      </c>
      <c r="H34" s="17">
        <f t="shared" si="28"/>
        <v>2.8739130434782607E-2</v>
      </c>
      <c r="J34" s="15" t="s">
        <v>39</v>
      </c>
      <c r="K34" s="16">
        <f>K30-(K31+K32+K33)</f>
        <v>112000</v>
      </c>
      <c r="L34" s="17"/>
      <c r="M34" s="16">
        <f t="shared" ref="M34" si="31">M30-(M31+M32+M33)</f>
        <v>146900</v>
      </c>
      <c r="N34" s="17">
        <f t="shared" si="24"/>
        <v>0.31160714285714286</v>
      </c>
      <c r="O34" s="16">
        <f t="shared" ref="O34" si="32">O30-(O31+O32+O33)</f>
        <v>66100</v>
      </c>
      <c r="P34" s="17">
        <f t="shared" si="25"/>
        <v>-0.55003403675970053</v>
      </c>
    </row>
    <row r="35" spans="2:16" x14ac:dyDescent="0.25">
      <c r="B35" t="s">
        <v>20</v>
      </c>
      <c r="C35" s="1">
        <v>1500</v>
      </c>
      <c r="D35" s="10">
        <f t="shared" si="26"/>
        <v>2E-3</v>
      </c>
      <c r="E35" s="1">
        <v>5000</v>
      </c>
      <c r="F35" s="12">
        <f t="shared" si="27"/>
        <v>4.0000000000000001E-3</v>
      </c>
      <c r="G35" s="1">
        <v>10000</v>
      </c>
      <c r="H35" s="12">
        <f t="shared" si="28"/>
        <v>4.3478260869565218E-3</v>
      </c>
      <c r="J35" t="s">
        <v>20</v>
      </c>
      <c r="K35" s="1">
        <v>1500</v>
      </c>
      <c r="L35" s="10"/>
      <c r="M35" s="1">
        <v>5000</v>
      </c>
      <c r="N35" s="20">
        <f t="shared" si="24"/>
        <v>2.3333333333333335</v>
      </c>
      <c r="O35" s="1">
        <v>10000</v>
      </c>
      <c r="P35" s="20">
        <f t="shared" si="25"/>
        <v>1</v>
      </c>
    </row>
    <row r="36" spans="2:16" x14ac:dyDescent="0.25">
      <c r="B36" s="3" t="s">
        <v>40</v>
      </c>
      <c r="C36" s="6">
        <f>C34-C35</f>
        <v>110500</v>
      </c>
      <c r="D36" s="10">
        <f t="shared" si="26"/>
        <v>0.14733333333333334</v>
      </c>
      <c r="E36" s="6">
        <f t="shared" ref="E36" si="33">E34-E35</f>
        <v>141900</v>
      </c>
      <c r="F36" s="12">
        <f t="shared" si="27"/>
        <v>0.11352</v>
      </c>
      <c r="G36" s="6">
        <f t="shared" ref="G36" si="34">G34-G35</f>
        <v>56100</v>
      </c>
      <c r="H36" s="12">
        <f t="shared" si="28"/>
        <v>2.4391304347826086E-2</v>
      </c>
      <c r="J36" s="3" t="s">
        <v>40</v>
      </c>
      <c r="K36" s="6">
        <f>K34-K35</f>
        <v>110500</v>
      </c>
      <c r="L36" s="10"/>
      <c r="M36" s="6">
        <f t="shared" ref="M36" si="35">M34-M35</f>
        <v>141900</v>
      </c>
      <c r="N36" s="10">
        <f t="shared" si="24"/>
        <v>0.2841628959276018</v>
      </c>
      <c r="O36" s="6">
        <f t="shared" ref="O36" si="36">O34-O35</f>
        <v>56100</v>
      </c>
      <c r="P36" s="10">
        <f t="shared" si="25"/>
        <v>-0.60465116279069764</v>
      </c>
    </row>
    <row r="37" spans="2:16" x14ac:dyDescent="0.25">
      <c r="B37" t="s">
        <v>25</v>
      </c>
      <c r="C37" s="1">
        <v>3000</v>
      </c>
      <c r="D37" s="10">
        <f t="shared" si="26"/>
        <v>4.0000000000000001E-3</v>
      </c>
      <c r="E37" s="1">
        <v>7000</v>
      </c>
      <c r="F37" s="12">
        <f t="shared" si="27"/>
        <v>5.5999999999999999E-3</v>
      </c>
      <c r="G37" s="1">
        <v>6000</v>
      </c>
      <c r="H37" s="12">
        <f t="shared" si="28"/>
        <v>2.6086956521739132E-3</v>
      </c>
      <c r="J37" t="s">
        <v>25</v>
      </c>
      <c r="K37" s="1">
        <v>3000</v>
      </c>
      <c r="L37" s="10"/>
      <c r="M37" s="1">
        <v>7000</v>
      </c>
      <c r="N37" s="20">
        <f t="shared" si="24"/>
        <v>1.3333333333333333</v>
      </c>
      <c r="O37" s="1">
        <v>6000</v>
      </c>
      <c r="P37" s="20">
        <f t="shared" si="25"/>
        <v>-0.14285714285714285</v>
      </c>
    </row>
    <row r="38" spans="2:16" x14ac:dyDescent="0.25">
      <c r="B38" t="s">
        <v>21</v>
      </c>
      <c r="C38" s="1">
        <v>12000</v>
      </c>
      <c r="D38" s="10">
        <f t="shared" si="26"/>
        <v>1.6E-2</v>
      </c>
      <c r="E38" s="1">
        <v>67000</v>
      </c>
      <c r="F38" s="12">
        <f t="shared" si="27"/>
        <v>5.3600000000000002E-2</v>
      </c>
      <c r="G38" s="1">
        <v>132000</v>
      </c>
      <c r="H38" s="12">
        <f t="shared" si="28"/>
        <v>5.7391304347826085E-2</v>
      </c>
      <c r="J38" t="s">
        <v>21</v>
      </c>
      <c r="K38" s="1">
        <v>12000</v>
      </c>
      <c r="L38" s="10"/>
      <c r="M38" s="1">
        <v>67000</v>
      </c>
      <c r="N38" s="20">
        <f t="shared" si="24"/>
        <v>4.583333333333333</v>
      </c>
      <c r="O38" s="1">
        <v>132000</v>
      </c>
      <c r="P38" s="20">
        <f t="shared" si="25"/>
        <v>0.97014925373134331</v>
      </c>
    </row>
    <row r="39" spans="2:16" x14ac:dyDescent="0.25">
      <c r="B39" s="3" t="s">
        <v>41</v>
      </c>
      <c r="C39" s="6">
        <f>(C37-C38)+C36</f>
        <v>101500</v>
      </c>
      <c r="D39" s="10">
        <f t="shared" si="26"/>
        <v>0.13533333333333333</v>
      </c>
      <c r="E39" s="6">
        <f t="shared" ref="E39" si="37">(E37-E38)+E36</f>
        <v>81900</v>
      </c>
      <c r="F39" s="10">
        <f t="shared" si="27"/>
        <v>6.5519999999999995E-2</v>
      </c>
      <c r="G39" s="6">
        <f t="shared" ref="G39" si="38">(G37-G38)+G36</f>
        <v>-69900</v>
      </c>
      <c r="H39" s="12">
        <f t="shared" si="28"/>
        <v>-3.0391304347826088E-2</v>
      </c>
      <c r="J39" s="3" t="s">
        <v>41</v>
      </c>
      <c r="K39" s="6">
        <f>(K37-K38)+K36</f>
        <v>101500</v>
      </c>
      <c r="L39" s="10"/>
      <c r="M39" s="6">
        <f t="shared" ref="M39" si="39">(M37-M38)+M36</f>
        <v>81900</v>
      </c>
      <c r="N39" s="10">
        <f t="shared" si="24"/>
        <v>-0.19310344827586207</v>
      </c>
      <c r="O39" s="6">
        <f t="shared" ref="O39" si="40">(O37-O38)+O36</f>
        <v>-69900</v>
      </c>
      <c r="P39" s="10">
        <f t="shared" si="25"/>
        <v>-1.8534798534798536</v>
      </c>
    </row>
    <row r="40" spans="2:16" x14ac:dyDescent="0.25">
      <c r="B40" t="s">
        <v>28</v>
      </c>
      <c r="C40" s="1">
        <v>25375</v>
      </c>
      <c r="D40" s="10">
        <f t="shared" si="26"/>
        <v>3.3833333333333333E-2</v>
      </c>
      <c r="E40" s="1">
        <v>20475</v>
      </c>
      <c r="F40" s="12">
        <f t="shared" si="27"/>
        <v>1.6379999999999999E-2</v>
      </c>
      <c r="G40" s="1">
        <v>-17475</v>
      </c>
      <c r="H40" s="12">
        <f t="shared" si="28"/>
        <v>-7.5978260869565221E-3</v>
      </c>
      <c r="J40" t="s">
        <v>28</v>
      </c>
      <c r="K40" s="1">
        <v>25375</v>
      </c>
      <c r="L40" s="10"/>
      <c r="M40" s="1">
        <v>20475</v>
      </c>
      <c r="N40" s="20">
        <f t="shared" si="24"/>
        <v>-0.19310344827586207</v>
      </c>
      <c r="O40" s="1">
        <v>-17475</v>
      </c>
      <c r="P40" s="20">
        <f t="shared" si="25"/>
        <v>-1.8534798534798536</v>
      </c>
    </row>
    <row r="41" spans="2:16" x14ac:dyDescent="0.25">
      <c r="B41" s="15" t="s">
        <v>42</v>
      </c>
      <c r="C41" s="18">
        <v>76125</v>
      </c>
      <c r="D41" s="17">
        <f t="shared" si="26"/>
        <v>0.10150000000000001</v>
      </c>
      <c r="E41" s="18">
        <v>61425</v>
      </c>
      <c r="F41" s="17">
        <f t="shared" si="27"/>
        <v>4.9140000000000003E-2</v>
      </c>
      <c r="G41" s="18">
        <v>-52425</v>
      </c>
      <c r="H41" s="17">
        <f t="shared" si="28"/>
        <v>-2.2793478260869564E-2</v>
      </c>
      <c r="J41" s="15" t="s">
        <v>42</v>
      </c>
      <c r="K41" s="18">
        <v>76125</v>
      </c>
      <c r="L41" s="17"/>
      <c r="M41" s="18">
        <v>61425</v>
      </c>
      <c r="N41" s="17">
        <f t="shared" si="24"/>
        <v>-0.19310344827586207</v>
      </c>
      <c r="O41" s="18">
        <v>-52425</v>
      </c>
      <c r="P41" s="17">
        <f t="shared" si="25"/>
        <v>-1.8534798534798536</v>
      </c>
    </row>
  </sheetData>
  <mergeCells count="2">
    <mergeCell ref="B2:H2"/>
    <mergeCell ref="J2:P2"/>
  </mergeCells>
  <pageMargins left="0.7" right="0.7" top="0.75" bottom="0.75" header="0.3" footer="0.3"/>
  <ignoredErrors>
    <ignoredError sqref="D10 D4 D15 D19 D2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A4DD-9DAA-4F09-B3D2-CCAFCDF55C79}">
  <dimension ref="B2:W43"/>
  <sheetViews>
    <sheetView showGridLines="0" workbookViewId="0">
      <selection activeCell="N2" sqref="N2:W16"/>
    </sheetView>
  </sheetViews>
  <sheetFormatPr defaultRowHeight="15" x14ac:dyDescent="0.25"/>
  <cols>
    <col min="1" max="1" width="1.7109375" style="24" customWidth="1"/>
    <col min="2" max="2" width="25.28515625" style="24" customWidth="1"/>
    <col min="3" max="3" width="13.7109375" style="24" customWidth="1"/>
    <col min="4" max="4" width="9.7109375" style="24" customWidth="1"/>
    <col min="5" max="5" width="6" style="24" customWidth="1"/>
    <col min="6" max="6" width="12.28515625" style="24" customWidth="1"/>
    <col min="7" max="11" width="9.7109375" style="24" customWidth="1"/>
    <col min="12" max="13" width="9.140625" style="24"/>
    <col min="14" max="14" width="28.7109375" style="24" customWidth="1"/>
    <col min="15" max="15" width="13.7109375" style="24" customWidth="1"/>
    <col min="16" max="16" width="9.140625" style="24"/>
    <col min="17" max="17" width="7" style="24" customWidth="1"/>
    <col min="18" max="18" width="13.7109375" style="24" customWidth="1"/>
    <col min="19" max="20" width="9.140625" style="24"/>
    <col min="21" max="21" width="13.7109375" style="24" customWidth="1"/>
    <col min="22" max="16384" width="9.140625" style="24"/>
  </cols>
  <sheetData>
    <row r="2" spans="2:23" x14ac:dyDescent="0.25">
      <c r="B2" s="73" t="s">
        <v>52</v>
      </c>
      <c r="C2" s="73"/>
      <c r="D2" s="73"/>
      <c r="E2" s="73"/>
      <c r="F2" s="73"/>
      <c r="G2" s="73"/>
      <c r="H2" s="73"/>
      <c r="I2" s="73"/>
      <c r="J2" s="73"/>
      <c r="K2" s="73"/>
      <c r="N2" s="73" t="s">
        <v>19</v>
      </c>
      <c r="O2" s="73"/>
      <c r="P2" s="73"/>
      <c r="Q2" s="73"/>
      <c r="R2" s="73"/>
      <c r="S2" s="73"/>
      <c r="T2" s="73"/>
      <c r="U2" s="73"/>
      <c r="V2" s="73"/>
      <c r="W2" s="73"/>
    </row>
    <row r="3" spans="2:23" x14ac:dyDescent="0.25">
      <c r="B3" s="35" t="s">
        <v>0</v>
      </c>
      <c r="C3" s="35" t="s">
        <v>16</v>
      </c>
      <c r="D3" s="35" t="s">
        <v>54</v>
      </c>
      <c r="E3" s="36" t="s">
        <v>53</v>
      </c>
      <c r="F3" s="35" t="s">
        <v>17</v>
      </c>
      <c r="G3" s="35" t="s">
        <v>54</v>
      </c>
      <c r="H3" s="36" t="s">
        <v>53</v>
      </c>
      <c r="I3" s="35" t="s">
        <v>18</v>
      </c>
      <c r="J3" s="35" t="s">
        <v>54</v>
      </c>
      <c r="K3" s="36" t="s">
        <v>53</v>
      </c>
      <c r="N3" s="35"/>
      <c r="O3" s="35" t="s">
        <v>16</v>
      </c>
      <c r="P3" s="35" t="s">
        <v>54</v>
      </c>
      <c r="Q3" s="35" t="s">
        <v>53</v>
      </c>
      <c r="R3" s="35" t="s">
        <v>17</v>
      </c>
      <c r="S3" s="35" t="s">
        <v>54</v>
      </c>
      <c r="T3" s="35" t="s">
        <v>53</v>
      </c>
      <c r="U3" s="35" t="s">
        <v>18</v>
      </c>
      <c r="V3" s="35" t="s">
        <v>54</v>
      </c>
      <c r="W3" s="35" t="s">
        <v>53</v>
      </c>
    </row>
    <row r="4" spans="2:23" x14ac:dyDescent="0.25">
      <c r="B4" s="37" t="s">
        <v>33</v>
      </c>
      <c r="C4" s="59">
        <f>SUM(C5:C7)</f>
        <v>63000</v>
      </c>
      <c r="D4" s="60">
        <f>C4/C12</f>
        <v>0.25099601593625498</v>
      </c>
      <c r="E4" s="60"/>
      <c r="F4" s="59">
        <f>SUM(F5:F7)</f>
        <v>160000</v>
      </c>
      <c r="G4" s="60">
        <f>F4/F12</f>
        <v>0.35634743875278396</v>
      </c>
      <c r="H4" s="60">
        <v>0.98888888888888893</v>
      </c>
      <c r="I4" s="59">
        <f>SUM(I5:I7)</f>
        <v>228000</v>
      </c>
      <c r="J4" s="60">
        <f>I4/I12</f>
        <v>0.35431235431235431</v>
      </c>
      <c r="K4" s="39">
        <v>0.30726256983240224</v>
      </c>
      <c r="N4" s="47" t="s">
        <v>23</v>
      </c>
      <c r="O4" s="48">
        <v>750000</v>
      </c>
      <c r="P4" s="48"/>
      <c r="Q4" s="48"/>
      <c r="R4" s="48">
        <v>1250000</v>
      </c>
      <c r="S4" s="48"/>
      <c r="T4" s="48"/>
      <c r="U4" s="48">
        <v>2300000</v>
      </c>
      <c r="V4" s="48"/>
      <c r="W4" s="48"/>
    </row>
    <row r="5" spans="2:23" x14ac:dyDescent="0.25">
      <c r="B5" s="40" t="s">
        <v>3</v>
      </c>
      <c r="C5" s="41">
        <v>3000</v>
      </c>
      <c r="D5" s="42">
        <f>C5/$C$12</f>
        <v>1.1952191235059761E-2</v>
      </c>
      <c r="E5" s="42"/>
      <c r="F5" s="41">
        <v>5000</v>
      </c>
      <c r="G5" s="42">
        <f>F5/$F$12</f>
        <v>1.1135857461024499E-2</v>
      </c>
      <c r="H5" s="43">
        <v>0.66666666666666663</v>
      </c>
      <c r="I5" s="41">
        <v>8000</v>
      </c>
      <c r="J5" s="42">
        <f>I5/$I$12</f>
        <v>1.2432012432012432E-2</v>
      </c>
      <c r="K5" s="43">
        <v>0.6</v>
      </c>
      <c r="N5" s="49" t="s">
        <v>38</v>
      </c>
      <c r="O5" s="50">
        <f>O4</f>
        <v>750000</v>
      </c>
      <c r="P5" s="51">
        <v>1</v>
      </c>
      <c r="Q5" s="51"/>
      <c r="R5" s="50">
        <f t="shared" ref="R5" si="0">R4</f>
        <v>1250000</v>
      </c>
      <c r="S5" s="51">
        <v>1</v>
      </c>
      <c r="T5" s="51">
        <v>0.66666666666666663</v>
      </c>
      <c r="U5" s="50">
        <f t="shared" ref="U5" si="1">U4</f>
        <v>2300000</v>
      </c>
      <c r="V5" s="51">
        <v>1</v>
      </c>
      <c r="W5" s="51">
        <v>0.84</v>
      </c>
    </row>
    <row r="6" spans="2:23" x14ac:dyDescent="0.25">
      <c r="B6" s="64" t="s">
        <v>1</v>
      </c>
      <c r="C6" s="44">
        <v>75000</v>
      </c>
      <c r="D6" s="42">
        <f t="shared" ref="D6:D11" si="2">C6/$C$12</f>
        <v>0.29880478087649404</v>
      </c>
      <c r="E6" s="42"/>
      <c r="F6" s="44">
        <v>175000</v>
      </c>
      <c r="G6" s="42">
        <f t="shared" ref="G6:G11" si="3">F6/$F$12</f>
        <v>0.38975501113585748</v>
      </c>
      <c r="H6" s="43">
        <v>0.66666666666666663</v>
      </c>
      <c r="I6" s="44">
        <v>250000</v>
      </c>
      <c r="J6" s="42">
        <f t="shared" ref="J6:J11" si="4">I6/$I$12</f>
        <v>0.38850038850038848</v>
      </c>
      <c r="K6" s="43"/>
      <c r="N6" s="47" t="s">
        <v>22</v>
      </c>
      <c r="O6" s="48">
        <v>210000</v>
      </c>
      <c r="P6" s="52">
        <v>0.28000000000000003</v>
      </c>
      <c r="Q6" s="52"/>
      <c r="R6" s="48">
        <v>364000</v>
      </c>
      <c r="S6" s="52">
        <v>0.29120000000000001</v>
      </c>
      <c r="T6" s="52">
        <v>0.73333333333333328</v>
      </c>
      <c r="U6" s="48">
        <v>618800</v>
      </c>
      <c r="V6" s="52">
        <v>0.26904347826086955</v>
      </c>
      <c r="W6" s="52">
        <v>0.7</v>
      </c>
    </row>
    <row r="7" spans="2:23" x14ac:dyDescent="0.25">
      <c r="B7" s="64" t="s">
        <v>5</v>
      </c>
      <c r="C7" s="44">
        <v>-15000</v>
      </c>
      <c r="D7" s="42">
        <f t="shared" si="2"/>
        <v>-5.9760956175298807E-2</v>
      </c>
      <c r="E7" s="42"/>
      <c r="F7" s="44">
        <v>-20000</v>
      </c>
      <c r="G7" s="42">
        <f t="shared" si="3"/>
        <v>-4.4543429844097995E-2</v>
      </c>
      <c r="H7" s="43">
        <v>0.66666666666666663</v>
      </c>
      <c r="I7" s="44">
        <v>-30000</v>
      </c>
      <c r="J7" s="42">
        <f t="shared" si="4"/>
        <v>-4.6620046620046623E-2</v>
      </c>
      <c r="K7" s="43"/>
      <c r="N7" s="47" t="s">
        <v>26</v>
      </c>
      <c r="O7" s="48">
        <v>410000</v>
      </c>
      <c r="P7" s="53">
        <v>0.54666666666666663</v>
      </c>
      <c r="Q7" s="53"/>
      <c r="R7" s="48">
        <v>717500</v>
      </c>
      <c r="S7" s="53">
        <v>0.57399999999999995</v>
      </c>
      <c r="T7" s="53">
        <v>0.75</v>
      </c>
      <c r="U7" s="48">
        <v>1578500</v>
      </c>
      <c r="V7" s="53">
        <v>0.68630434782608696</v>
      </c>
      <c r="W7" s="53">
        <v>1.2</v>
      </c>
    </row>
    <row r="8" spans="2:23" x14ac:dyDescent="0.25">
      <c r="B8" s="37" t="s">
        <v>34</v>
      </c>
      <c r="C8" s="38">
        <f>SUM(C9:C11)</f>
        <v>188000</v>
      </c>
      <c r="D8" s="42">
        <f t="shared" si="2"/>
        <v>0.74900398406374502</v>
      </c>
      <c r="E8" s="39"/>
      <c r="F8" s="38">
        <f t="shared" ref="F8" si="5">SUM(F9:F11)</f>
        <v>289000</v>
      </c>
      <c r="G8" s="42">
        <f t="shared" si="3"/>
        <v>0.64365256124721604</v>
      </c>
      <c r="H8" s="43">
        <v>0.66666666666666663</v>
      </c>
      <c r="I8" s="38">
        <f t="shared" ref="I8" si="6">SUM(I9:I11)</f>
        <v>415500</v>
      </c>
      <c r="J8" s="42">
        <f t="shared" si="4"/>
        <v>0.64568764568764569</v>
      </c>
      <c r="K8" s="39">
        <v>0.51666666666666672</v>
      </c>
      <c r="N8" s="47" t="s">
        <v>20</v>
      </c>
      <c r="O8" s="48">
        <v>1500</v>
      </c>
      <c r="P8" s="57">
        <v>2E-3</v>
      </c>
      <c r="Q8" s="57"/>
      <c r="R8" s="48">
        <v>5000</v>
      </c>
      <c r="S8" s="52">
        <v>4.0000000000000001E-3</v>
      </c>
      <c r="T8" s="52">
        <v>2.3333333333333335</v>
      </c>
      <c r="U8" s="48">
        <v>10000</v>
      </c>
      <c r="V8" s="52">
        <v>4.3478260869565218E-3</v>
      </c>
      <c r="W8" s="52">
        <v>1</v>
      </c>
    </row>
    <row r="9" spans="2:23" x14ac:dyDescent="0.25">
      <c r="B9" s="40" t="s">
        <v>4</v>
      </c>
      <c r="C9" s="41">
        <v>123000</v>
      </c>
      <c r="D9" s="42">
        <f t="shared" si="2"/>
        <v>0.49003984063745021</v>
      </c>
      <c r="E9" s="42"/>
      <c r="F9" s="41">
        <v>162000</v>
      </c>
      <c r="G9" s="42">
        <f t="shared" si="3"/>
        <v>0.36080178173719374</v>
      </c>
      <c r="H9" s="43">
        <v>0.66666666666666663</v>
      </c>
      <c r="I9" s="41">
        <v>203500</v>
      </c>
      <c r="J9" s="42">
        <f t="shared" si="4"/>
        <v>0.31623931623931623</v>
      </c>
      <c r="K9" s="63">
        <v>0.25617283950617287</v>
      </c>
      <c r="N9" s="47" t="s">
        <v>24</v>
      </c>
      <c r="O9" s="48">
        <v>18000</v>
      </c>
      <c r="P9" s="52">
        <v>2.4E-2</v>
      </c>
      <c r="Q9" s="52"/>
      <c r="R9" s="48">
        <v>21600</v>
      </c>
      <c r="S9" s="52">
        <v>1.728E-2</v>
      </c>
      <c r="T9" s="52">
        <v>0.2</v>
      </c>
      <c r="U9" s="48">
        <v>36600</v>
      </c>
      <c r="V9" s="52">
        <v>1.591304347826087E-2</v>
      </c>
      <c r="W9" s="52">
        <v>0.69444444444444442</v>
      </c>
    </row>
    <row r="10" spans="2:23" x14ac:dyDescent="0.25">
      <c r="B10" s="40" t="s">
        <v>6</v>
      </c>
      <c r="C10" s="61">
        <v>27000</v>
      </c>
      <c r="D10" s="42">
        <f t="shared" si="2"/>
        <v>0.10756972111553785</v>
      </c>
      <c r="E10" s="62"/>
      <c r="F10" s="61">
        <v>19000</v>
      </c>
      <c r="G10" s="42">
        <f t="shared" si="3"/>
        <v>4.2316258351893093E-2</v>
      </c>
      <c r="H10" s="43">
        <v>0.66666666666666663</v>
      </c>
      <c r="I10" s="61">
        <v>6000</v>
      </c>
      <c r="J10" s="42">
        <f t="shared" si="4"/>
        <v>9.324009324009324E-3</v>
      </c>
      <c r="K10" s="62">
        <v>-0.68421052631578949</v>
      </c>
      <c r="N10" s="54" t="s">
        <v>67</v>
      </c>
      <c r="O10" s="55">
        <f>O5-(O6+O7+O9+O8)</f>
        <v>110500</v>
      </c>
      <c r="P10" s="56">
        <v>0.14933333333333335</v>
      </c>
      <c r="Q10" s="56"/>
      <c r="R10" s="55">
        <f>R5-(R6+R7+R9)</f>
        <v>146900</v>
      </c>
      <c r="S10" s="56">
        <v>0.11752</v>
      </c>
      <c r="T10" s="56">
        <v>0.31160714285714286</v>
      </c>
      <c r="U10" s="55">
        <f>U5-(U6+U7+U9)</f>
        <v>66100</v>
      </c>
      <c r="V10" s="56">
        <v>2.8739130434782607E-2</v>
      </c>
      <c r="W10" s="56">
        <v>-0.55003403675970053</v>
      </c>
    </row>
    <row r="11" spans="2:23" x14ac:dyDescent="0.25">
      <c r="B11" s="40" t="s">
        <v>2</v>
      </c>
      <c r="C11" s="41">
        <v>38000</v>
      </c>
      <c r="D11" s="42">
        <f t="shared" si="2"/>
        <v>0.15139442231075698</v>
      </c>
      <c r="E11" s="42"/>
      <c r="F11" s="41">
        <v>108000</v>
      </c>
      <c r="G11" s="42">
        <f t="shared" si="3"/>
        <v>0.24053452115812918</v>
      </c>
      <c r="H11" s="43">
        <v>0.66666666666666663</v>
      </c>
      <c r="I11" s="41">
        <v>206000</v>
      </c>
      <c r="J11" s="42">
        <f t="shared" si="4"/>
        <v>0.32012432012432013</v>
      </c>
      <c r="K11" s="63">
        <v>0.90740740740740744</v>
      </c>
      <c r="N11" s="47" t="s">
        <v>25</v>
      </c>
      <c r="O11" s="48">
        <v>3000</v>
      </c>
      <c r="P11" s="57">
        <v>4.0000000000000001E-3</v>
      </c>
      <c r="Q11" s="57"/>
      <c r="R11" s="48">
        <v>7000</v>
      </c>
      <c r="S11" s="52">
        <v>5.5999999999999999E-3</v>
      </c>
      <c r="T11" s="52">
        <v>1.3333333333333333</v>
      </c>
      <c r="U11" s="48">
        <v>6000</v>
      </c>
      <c r="V11" s="52">
        <v>2.6086956521739132E-3</v>
      </c>
      <c r="W11" s="52">
        <v>-0.14285714285714285</v>
      </c>
    </row>
    <row r="12" spans="2:23" x14ac:dyDescent="0.25">
      <c r="B12" s="27" t="s">
        <v>43</v>
      </c>
      <c r="C12" s="28">
        <f>C4+C8</f>
        <v>251000</v>
      </c>
      <c r="D12" s="28"/>
      <c r="E12" s="28"/>
      <c r="F12" s="28">
        <f>F4+F8</f>
        <v>449000</v>
      </c>
      <c r="G12" s="28"/>
      <c r="H12" s="29">
        <v>0.78884462151394419</v>
      </c>
      <c r="I12" s="28">
        <f>I4+I8</f>
        <v>643500</v>
      </c>
      <c r="J12" s="28"/>
      <c r="K12" s="29">
        <v>0.43318485523385303</v>
      </c>
      <c r="N12" s="47" t="s">
        <v>21</v>
      </c>
      <c r="O12" s="48">
        <v>12000</v>
      </c>
      <c r="P12" s="57">
        <v>1.6E-2</v>
      </c>
      <c r="Q12" s="57"/>
      <c r="R12" s="48">
        <v>67000</v>
      </c>
      <c r="S12" s="52">
        <v>5.3600000000000002E-2</v>
      </c>
      <c r="T12" s="52">
        <v>4.583333333333333</v>
      </c>
      <c r="U12" s="48">
        <v>132000</v>
      </c>
      <c r="V12" s="52">
        <v>5.7391304347826085E-2</v>
      </c>
      <c r="W12" s="52">
        <v>0.97014925373134331</v>
      </c>
    </row>
    <row r="13" spans="2:23" x14ac:dyDescent="0.25">
      <c r="N13" s="54" t="s">
        <v>68</v>
      </c>
      <c r="O13" s="55">
        <f>O11-O12</f>
        <v>-9000</v>
      </c>
      <c r="P13" s="56">
        <v>0.14933333333333335</v>
      </c>
      <c r="Q13" s="56"/>
      <c r="R13" s="55">
        <f>R11-R12</f>
        <v>-60000</v>
      </c>
      <c r="S13" s="56">
        <v>0.11752</v>
      </c>
      <c r="T13" s="56">
        <v>0.31160714285714286</v>
      </c>
      <c r="U13" s="55">
        <f>U11-U12</f>
        <v>-126000</v>
      </c>
      <c r="V13" s="56">
        <v>2.8739130434782607E-2</v>
      </c>
      <c r="W13" s="56">
        <v>-0.55003403675970053</v>
      </c>
    </row>
    <row r="14" spans="2:23" x14ac:dyDescent="0.25">
      <c r="N14" s="49" t="s">
        <v>69</v>
      </c>
      <c r="O14" s="50">
        <f>O10+O13</f>
        <v>101500</v>
      </c>
      <c r="P14" s="57">
        <v>0.13533333333333333</v>
      </c>
      <c r="Q14" s="57"/>
      <c r="R14" s="50">
        <f>R10+R13</f>
        <v>86900</v>
      </c>
      <c r="S14" s="57">
        <v>6.5519999999999995E-2</v>
      </c>
      <c r="T14" s="57">
        <v>-0.19310344827586207</v>
      </c>
      <c r="U14" s="50">
        <f>U10+U13</f>
        <v>-59900</v>
      </c>
      <c r="V14" s="52">
        <v>-3.0391304347826088E-2</v>
      </c>
      <c r="W14" s="57">
        <v>-1.8534798534798536</v>
      </c>
    </row>
    <row r="15" spans="2:23" x14ac:dyDescent="0.25">
      <c r="B15" s="23" t="s">
        <v>7</v>
      </c>
      <c r="C15" s="23" t="s">
        <v>16</v>
      </c>
      <c r="D15" s="23"/>
      <c r="E15" s="23"/>
      <c r="F15" s="23" t="s">
        <v>17</v>
      </c>
      <c r="G15" s="23"/>
      <c r="H15" s="23"/>
      <c r="I15" s="23" t="s">
        <v>18</v>
      </c>
      <c r="J15" s="23"/>
      <c r="K15" s="23"/>
      <c r="N15" s="47" t="s">
        <v>28</v>
      </c>
      <c r="O15" s="48">
        <v>25375</v>
      </c>
      <c r="P15" s="57">
        <v>3.3833333333333333E-2</v>
      </c>
      <c r="Q15" s="57"/>
      <c r="R15" s="48">
        <v>20475</v>
      </c>
      <c r="S15" s="52">
        <v>1.6379999999999999E-2</v>
      </c>
      <c r="T15" s="52">
        <v>-0.19310344827586207</v>
      </c>
      <c r="U15" s="48">
        <v>-17475</v>
      </c>
      <c r="V15" s="52">
        <v>-7.5978260869565221E-3</v>
      </c>
      <c r="W15" s="52">
        <v>-1.8534798534798536</v>
      </c>
    </row>
    <row r="16" spans="2:23" x14ac:dyDescent="0.25">
      <c r="B16" s="37" t="s">
        <v>37</v>
      </c>
      <c r="C16" s="38">
        <f>SUM(C17:C20)</f>
        <v>143000</v>
      </c>
      <c r="D16" s="39">
        <f>C16/C27</f>
        <v>0.56972111553784865</v>
      </c>
      <c r="E16" s="39"/>
      <c r="F16" s="38">
        <f>SUM(F17:F20)</f>
        <v>189069</v>
      </c>
      <c r="G16" s="39">
        <f>F16/F27</f>
        <v>0.42108908685968821</v>
      </c>
      <c r="H16" s="39">
        <v>8.3476878229760174E-2</v>
      </c>
      <c r="I16" s="38">
        <f>SUM(I17:I20)</f>
        <v>176644</v>
      </c>
      <c r="J16" s="39">
        <f>I16/I27</f>
        <v>0.27450505050505053</v>
      </c>
      <c r="K16" s="39">
        <v>-0.13589825119236884</v>
      </c>
      <c r="N16" s="54" t="s">
        <v>42</v>
      </c>
      <c r="O16" s="58">
        <v>76125</v>
      </c>
      <c r="P16" s="56">
        <v>0.10150000000000001</v>
      </c>
      <c r="Q16" s="56"/>
      <c r="R16" s="58">
        <v>61425</v>
      </c>
      <c r="S16" s="56">
        <v>4.9140000000000003E-2</v>
      </c>
      <c r="T16" s="56">
        <v>-0.19310344827586207</v>
      </c>
      <c r="U16" s="58">
        <v>-52425</v>
      </c>
      <c r="V16" s="56">
        <v>-2.2793478260869564E-2</v>
      </c>
      <c r="W16" s="56">
        <v>-1.8534798534798536</v>
      </c>
    </row>
    <row r="17" spans="2:14" x14ac:dyDescent="0.25">
      <c r="B17" s="40" t="s">
        <v>8</v>
      </c>
      <c r="C17" s="41">
        <v>25000</v>
      </c>
      <c r="D17" s="42">
        <f t="shared" ref="D17:D26" si="7">C17/$C$27</f>
        <v>9.9601593625498003E-2</v>
      </c>
      <c r="E17" s="42"/>
      <c r="F17" s="41">
        <v>25000</v>
      </c>
      <c r="G17" s="42">
        <f t="shared" ref="G17:G26" si="8">F17/$F$27</f>
        <v>5.5679287305122498E-2</v>
      </c>
      <c r="H17" s="43">
        <v>0</v>
      </c>
      <c r="I17" s="41">
        <v>65000</v>
      </c>
      <c r="J17" s="42">
        <f t="shared" ref="J17:J26" si="9">I17/$I$27</f>
        <v>0.10101010101010101</v>
      </c>
      <c r="K17" s="43">
        <v>1.6</v>
      </c>
    </row>
    <row r="18" spans="2:14" x14ac:dyDescent="0.25">
      <c r="B18" s="40" t="s">
        <v>12</v>
      </c>
      <c r="C18" s="41">
        <v>87550</v>
      </c>
      <c r="D18" s="42">
        <f t="shared" si="7"/>
        <v>0.34880478087649402</v>
      </c>
      <c r="E18" s="42"/>
      <c r="F18" s="41">
        <v>118000</v>
      </c>
      <c r="G18" s="42">
        <f t="shared" si="8"/>
        <v>0.26280623608017817</v>
      </c>
      <c r="H18" s="43">
        <v>0.34780125642490006</v>
      </c>
      <c r="I18" s="41">
        <v>164069</v>
      </c>
      <c r="J18" s="42">
        <f t="shared" si="9"/>
        <v>0.25496348096348098</v>
      </c>
      <c r="K18" s="43">
        <v>0.39041525423728812</v>
      </c>
    </row>
    <row r="19" spans="2:14" x14ac:dyDescent="0.25">
      <c r="B19" s="40" t="s">
        <v>10</v>
      </c>
      <c r="C19" s="41">
        <v>76125</v>
      </c>
      <c r="D19" s="42">
        <f t="shared" si="7"/>
        <v>0.30328685258964144</v>
      </c>
      <c r="E19" s="42"/>
      <c r="F19" s="41">
        <v>61425</v>
      </c>
      <c r="G19" s="42">
        <f t="shared" si="8"/>
        <v>0.13680400890868596</v>
      </c>
      <c r="H19" s="43">
        <v>-0.19310344827586207</v>
      </c>
      <c r="I19" s="41">
        <v>-52425</v>
      </c>
      <c r="J19" s="42">
        <f t="shared" si="9"/>
        <v>-8.1468531468531474E-2</v>
      </c>
      <c r="K19" s="43">
        <v>-1.8534798534798536</v>
      </c>
    </row>
    <row r="20" spans="2:14" x14ac:dyDescent="0.25">
      <c r="B20" s="40" t="s">
        <v>15</v>
      </c>
      <c r="C20" s="41">
        <v>-45675</v>
      </c>
      <c r="D20" s="42">
        <f t="shared" si="7"/>
        <v>-0.18197211155378487</v>
      </c>
      <c r="E20" s="42"/>
      <c r="F20" s="41">
        <v>-15356</v>
      </c>
      <c r="G20" s="42">
        <f t="shared" si="8"/>
        <v>-3.420044543429844E-2</v>
      </c>
      <c r="H20" s="43">
        <v>-0.66379857690202515</v>
      </c>
      <c r="I20" s="40"/>
      <c r="J20" s="42">
        <f t="shared" si="9"/>
        <v>0</v>
      </c>
      <c r="K20" s="43">
        <v>-1</v>
      </c>
      <c r="N20" t="s">
        <v>70</v>
      </c>
    </row>
    <row r="21" spans="2:14" x14ac:dyDescent="0.25">
      <c r="B21" s="37" t="s">
        <v>36</v>
      </c>
      <c r="C21" s="38">
        <f>SUM(C22:C22)</f>
        <v>42000</v>
      </c>
      <c r="D21" s="42">
        <f t="shared" si="7"/>
        <v>0.16733067729083664</v>
      </c>
      <c r="E21" s="39"/>
      <c r="F21" s="38">
        <f>SUM(F22:F22)</f>
        <v>136931</v>
      </c>
      <c r="G21" s="42">
        <f t="shared" si="8"/>
        <v>0.30496881959910915</v>
      </c>
      <c r="H21" s="45">
        <v>2.2602619047619048</v>
      </c>
      <c r="I21" s="38">
        <f>SUM(I22:I22)</f>
        <v>209356</v>
      </c>
      <c r="J21" s="42">
        <f t="shared" si="9"/>
        <v>0.32533954933954934</v>
      </c>
      <c r="K21" s="45">
        <v>0.52891602339864607</v>
      </c>
    </row>
    <row r="22" spans="2:14" x14ac:dyDescent="0.25">
      <c r="B22" s="40" t="s">
        <v>9</v>
      </c>
      <c r="C22" s="41">
        <v>42000</v>
      </c>
      <c r="D22" s="42">
        <f t="shared" si="7"/>
        <v>0.16733067729083664</v>
      </c>
      <c r="E22" s="46"/>
      <c r="F22" s="41">
        <v>136931</v>
      </c>
      <c r="G22" s="42">
        <f t="shared" si="8"/>
        <v>0.30496881959910915</v>
      </c>
      <c r="H22" s="43">
        <v>2.2602619047619048</v>
      </c>
      <c r="I22" s="41">
        <v>209356</v>
      </c>
      <c r="J22" s="42">
        <f t="shared" si="9"/>
        <v>0.32533954933954934</v>
      </c>
      <c r="K22" s="43">
        <v>0.52891602339864607</v>
      </c>
    </row>
    <row r="23" spans="2:14" x14ac:dyDescent="0.25">
      <c r="B23" s="37" t="s">
        <v>35</v>
      </c>
      <c r="C23" s="38">
        <f>SUM(C24:C26)</f>
        <v>66000</v>
      </c>
      <c r="D23" s="42">
        <f t="shared" si="7"/>
        <v>0.26294820717131473</v>
      </c>
      <c r="E23" s="39"/>
      <c r="F23" s="38">
        <f>SUM(F24:F26)</f>
        <v>123000</v>
      </c>
      <c r="G23" s="42">
        <f t="shared" si="8"/>
        <v>0.27394209354120269</v>
      </c>
      <c r="H23" s="39">
        <v>4.2961377613776142</v>
      </c>
      <c r="I23" s="38">
        <f>SUM(I24:I26)</f>
        <v>257500</v>
      </c>
      <c r="J23" s="42">
        <f t="shared" si="9"/>
        <v>0.40015540015540013</v>
      </c>
      <c r="K23" s="39">
        <v>1.3921444762364832</v>
      </c>
    </row>
    <row r="24" spans="2:14" x14ac:dyDescent="0.25">
      <c r="B24" s="40" t="s">
        <v>13</v>
      </c>
      <c r="C24" s="41">
        <v>7000</v>
      </c>
      <c r="D24" s="42">
        <f t="shared" si="7"/>
        <v>2.7888446215139442E-2</v>
      </c>
      <c r="E24" s="42"/>
      <c r="F24" s="41">
        <v>21000</v>
      </c>
      <c r="G24" s="42">
        <f t="shared" si="8"/>
        <v>4.6770601336302897E-2</v>
      </c>
      <c r="H24" s="43">
        <v>2</v>
      </c>
      <c r="I24" s="41">
        <v>41000</v>
      </c>
      <c r="J24" s="42">
        <f t="shared" si="9"/>
        <v>6.3714063714063712E-2</v>
      </c>
      <c r="K24" s="43">
        <v>0.95238095238095233</v>
      </c>
    </row>
    <row r="25" spans="2:14" x14ac:dyDescent="0.25">
      <c r="B25" s="40" t="s">
        <v>14</v>
      </c>
      <c r="C25" s="41">
        <v>54000</v>
      </c>
      <c r="D25" s="42">
        <f t="shared" si="7"/>
        <v>0.2151394422310757</v>
      </c>
      <c r="E25" s="42"/>
      <c r="F25" s="41">
        <v>99000</v>
      </c>
      <c r="G25" s="42">
        <f t="shared" si="8"/>
        <v>0.22048997772828507</v>
      </c>
      <c r="H25" s="43">
        <v>0.83333333333333337</v>
      </c>
      <c r="I25" s="41">
        <v>198500</v>
      </c>
      <c r="J25" s="42">
        <f t="shared" si="9"/>
        <v>0.30846930846930848</v>
      </c>
      <c r="K25" s="43">
        <v>1.005050505050505</v>
      </c>
    </row>
    <row r="26" spans="2:14" x14ac:dyDescent="0.25">
      <c r="B26" s="40" t="s">
        <v>11</v>
      </c>
      <c r="C26" s="41">
        <v>5000</v>
      </c>
      <c r="D26" s="42">
        <f t="shared" si="7"/>
        <v>1.9920318725099601E-2</v>
      </c>
      <c r="E26" s="42"/>
      <c r="F26" s="41">
        <v>3000</v>
      </c>
      <c r="G26" s="42">
        <f t="shared" si="8"/>
        <v>6.6815144766146995E-3</v>
      </c>
      <c r="H26" s="43">
        <v>-0.4</v>
      </c>
      <c r="I26" s="41">
        <v>18000</v>
      </c>
      <c r="J26" s="42">
        <f t="shared" si="9"/>
        <v>2.7972027972027972E-2</v>
      </c>
      <c r="K26" s="43">
        <v>5</v>
      </c>
    </row>
    <row r="27" spans="2:14" x14ac:dyDescent="0.25">
      <c r="B27" s="27" t="s">
        <v>44</v>
      </c>
      <c r="C27" s="28">
        <f>C16+C23+C21</f>
        <v>251000</v>
      </c>
      <c r="D27" s="28"/>
      <c r="E27" s="28"/>
      <c r="F27" s="28">
        <f>F16+F23+F21</f>
        <v>449000</v>
      </c>
      <c r="G27" s="28"/>
      <c r="H27" s="29"/>
      <c r="I27" s="28">
        <f>I16+I23+I21</f>
        <v>643500</v>
      </c>
      <c r="J27" s="28"/>
      <c r="K27" s="29">
        <v>0.43318485523385303</v>
      </c>
    </row>
    <row r="29" spans="2:14" x14ac:dyDescent="0.25">
      <c r="E29" s="26"/>
    </row>
    <row r="30" spans="2:14" x14ac:dyDescent="0.25">
      <c r="B30" s="24" t="s">
        <v>55</v>
      </c>
      <c r="E30" s="31"/>
      <c r="N30" s="24" t="s">
        <v>62</v>
      </c>
    </row>
    <row r="31" spans="2:14" x14ac:dyDescent="0.25">
      <c r="B31" s="24" t="s">
        <v>64</v>
      </c>
      <c r="E31" s="31"/>
      <c r="N31" s="24" t="s">
        <v>63</v>
      </c>
    </row>
    <row r="32" spans="2:14" x14ac:dyDescent="0.25">
      <c r="B32" s="24" t="s">
        <v>56</v>
      </c>
      <c r="E32" s="32"/>
      <c r="N32" s="24" t="s">
        <v>65</v>
      </c>
    </row>
    <row r="33" spans="2:14" x14ac:dyDescent="0.25">
      <c r="B33" s="24" t="s">
        <v>57</v>
      </c>
      <c r="E33" s="33"/>
      <c r="N33" s="24" t="s">
        <v>66</v>
      </c>
    </row>
    <row r="34" spans="2:14" x14ac:dyDescent="0.25">
      <c r="B34" s="24" t="s">
        <v>59</v>
      </c>
      <c r="E34" s="34"/>
    </row>
    <row r="35" spans="2:14" x14ac:dyDescent="0.25">
      <c r="B35" s="24" t="s">
        <v>58</v>
      </c>
      <c r="E35" s="33"/>
    </row>
    <row r="36" spans="2:14" x14ac:dyDescent="0.25">
      <c r="B36" s="24" t="s">
        <v>60</v>
      </c>
      <c r="E36" s="30"/>
    </row>
    <row r="37" spans="2:14" x14ac:dyDescent="0.25">
      <c r="B37" s="24" t="s">
        <v>61</v>
      </c>
      <c r="E37" s="30"/>
    </row>
    <row r="38" spans="2:14" x14ac:dyDescent="0.25">
      <c r="E38" s="30"/>
    </row>
    <row r="39" spans="2:14" x14ac:dyDescent="0.25">
      <c r="E39" s="30"/>
    </row>
    <row r="40" spans="2:14" x14ac:dyDescent="0.25">
      <c r="E40" s="30"/>
    </row>
    <row r="41" spans="2:14" x14ac:dyDescent="0.25">
      <c r="E41" s="30"/>
    </row>
    <row r="42" spans="2:14" x14ac:dyDescent="0.25">
      <c r="E42" s="30"/>
    </row>
    <row r="43" spans="2:14" x14ac:dyDescent="0.25">
      <c r="E43" s="30"/>
    </row>
  </sheetData>
  <mergeCells count="2">
    <mergeCell ref="B2:K2"/>
    <mergeCell ref="N2:W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1662-B012-441E-8B5F-5495445A68E9}">
  <dimension ref="B4:U49"/>
  <sheetViews>
    <sheetView topLeftCell="A17" workbookViewId="0">
      <selection activeCell="H47" sqref="H47"/>
    </sheetView>
  </sheetViews>
  <sheetFormatPr defaultRowHeight="15" x14ac:dyDescent="0.25"/>
  <cols>
    <col min="2" max="2" width="27.7109375" customWidth="1"/>
    <col min="7" max="7" width="29.5703125" customWidth="1"/>
    <col min="8" max="8" width="11.5703125" bestFit="1" customWidth="1"/>
    <col min="9" max="9" width="11.5703125" customWidth="1"/>
    <col min="10" max="10" width="13.42578125" customWidth="1"/>
    <col min="11" max="11" width="12.140625" customWidth="1"/>
  </cols>
  <sheetData>
    <row r="4" spans="2:16" x14ac:dyDescent="0.25">
      <c r="B4" s="73" t="s">
        <v>52</v>
      </c>
      <c r="C4" s="73"/>
      <c r="D4" s="73"/>
      <c r="E4" s="73"/>
      <c r="G4" s="73" t="s">
        <v>19</v>
      </c>
      <c r="H4" s="73"/>
      <c r="I4" s="73"/>
      <c r="J4" s="73"/>
      <c r="K4" s="73"/>
    </row>
    <row r="5" spans="2:16" x14ac:dyDescent="0.25">
      <c r="B5" s="35" t="s">
        <v>0</v>
      </c>
      <c r="C5" s="35" t="s">
        <v>16</v>
      </c>
      <c r="D5" s="35" t="s">
        <v>17</v>
      </c>
      <c r="E5" s="35" t="s">
        <v>18</v>
      </c>
      <c r="G5" s="35"/>
      <c r="H5" s="35" t="s">
        <v>16</v>
      </c>
      <c r="I5" s="35" t="s">
        <v>17</v>
      </c>
      <c r="J5" s="35" t="s">
        <v>18</v>
      </c>
    </row>
    <row r="6" spans="2:16" x14ac:dyDescent="0.25">
      <c r="B6" s="37" t="s">
        <v>33</v>
      </c>
      <c r="C6" s="59">
        <f>SUM(C7:C9)</f>
        <v>63000</v>
      </c>
      <c r="D6" s="59">
        <f>SUM(D7:D9)</f>
        <v>160000</v>
      </c>
      <c r="E6" s="59">
        <f>SUM(E7:E9)</f>
        <v>228000</v>
      </c>
      <c r="G6" s="47" t="s">
        <v>23</v>
      </c>
      <c r="H6" s="48">
        <v>750000</v>
      </c>
      <c r="I6" s="48">
        <v>1250000</v>
      </c>
      <c r="J6" s="48">
        <v>2300000</v>
      </c>
      <c r="N6" s="65"/>
      <c r="O6" s="65"/>
      <c r="P6" s="65"/>
    </row>
    <row r="7" spans="2:16" x14ac:dyDescent="0.25">
      <c r="B7" s="40" t="s">
        <v>3</v>
      </c>
      <c r="C7" s="41">
        <v>3000</v>
      </c>
      <c r="D7" s="41">
        <v>5000</v>
      </c>
      <c r="E7" s="41">
        <v>8000</v>
      </c>
      <c r="G7" s="49" t="s">
        <v>38</v>
      </c>
      <c r="H7" s="50">
        <f>H6</f>
        <v>750000</v>
      </c>
      <c r="I7" s="50">
        <f t="shared" ref="I7" si="0">I6</f>
        <v>1250000</v>
      </c>
      <c r="J7" s="50">
        <f t="shared" ref="J7" si="1">J6</f>
        <v>2300000</v>
      </c>
      <c r="N7" s="11"/>
      <c r="O7" s="11"/>
      <c r="P7" s="11"/>
    </row>
    <row r="8" spans="2:16" x14ac:dyDescent="0.25">
      <c r="B8" s="64" t="s">
        <v>1</v>
      </c>
      <c r="C8" s="44">
        <v>75000</v>
      </c>
      <c r="D8" s="44">
        <v>175000</v>
      </c>
      <c r="E8" s="44">
        <v>250000</v>
      </c>
      <c r="G8" s="47" t="s">
        <v>22</v>
      </c>
      <c r="H8" s="48">
        <v>210000</v>
      </c>
      <c r="I8" s="48">
        <v>364000</v>
      </c>
      <c r="J8" s="48">
        <v>618800</v>
      </c>
    </row>
    <row r="9" spans="2:16" x14ac:dyDescent="0.25">
      <c r="B9" s="64" t="s">
        <v>5</v>
      </c>
      <c r="C9" s="44">
        <v>-15000</v>
      </c>
      <c r="D9" s="44">
        <v>-20000</v>
      </c>
      <c r="E9" s="44">
        <v>-30000</v>
      </c>
      <c r="G9" s="47" t="s">
        <v>26</v>
      </c>
      <c r="H9" s="48">
        <v>410000</v>
      </c>
      <c r="I9" s="48">
        <v>717500</v>
      </c>
      <c r="J9" s="48">
        <v>1578500</v>
      </c>
    </row>
    <row r="10" spans="2:16" x14ac:dyDescent="0.25">
      <c r="B10" s="37" t="s">
        <v>34</v>
      </c>
      <c r="C10" s="38">
        <f>SUM(C11:C13)</f>
        <v>188000</v>
      </c>
      <c r="D10" s="38">
        <f t="shared" ref="D10" si="2">SUM(D11:D13)</f>
        <v>289000</v>
      </c>
      <c r="E10" s="38">
        <f t="shared" ref="E10" si="3">SUM(E11:E13)</f>
        <v>415500</v>
      </c>
      <c r="G10" s="47" t="s">
        <v>20</v>
      </c>
      <c r="H10" s="48">
        <v>1500</v>
      </c>
      <c r="I10" s="48">
        <v>5000</v>
      </c>
      <c r="J10" s="48">
        <v>10000</v>
      </c>
    </row>
    <row r="11" spans="2:16" x14ac:dyDescent="0.25">
      <c r="B11" s="40" t="s">
        <v>4</v>
      </c>
      <c r="C11" s="41">
        <v>123000</v>
      </c>
      <c r="D11" s="41">
        <v>162000</v>
      </c>
      <c r="E11" s="41">
        <v>203500</v>
      </c>
      <c r="G11" s="47" t="s">
        <v>24</v>
      </c>
      <c r="H11" s="48">
        <v>18000</v>
      </c>
      <c r="I11" s="48">
        <v>21600</v>
      </c>
      <c r="J11" s="48">
        <v>36600</v>
      </c>
    </row>
    <row r="12" spans="2:16" x14ac:dyDescent="0.25">
      <c r="B12" s="40" t="s">
        <v>6</v>
      </c>
      <c r="C12" s="61">
        <v>27000</v>
      </c>
      <c r="D12" s="61">
        <v>19000</v>
      </c>
      <c r="E12" s="61">
        <v>6000</v>
      </c>
      <c r="G12" s="54" t="s">
        <v>67</v>
      </c>
      <c r="H12" s="55">
        <f>H7-(H8+H9+H11+H10)</f>
        <v>110500</v>
      </c>
      <c r="I12" s="55">
        <f>I7-(I8+I9+I11)</f>
        <v>146900</v>
      </c>
      <c r="J12" s="55">
        <f>J7-(J8+J9+J11)</f>
        <v>66100</v>
      </c>
    </row>
    <row r="13" spans="2:16" x14ac:dyDescent="0.25">
      <c r="B13" s="40" t="s">
        <v>2</v>
      </c>
      <c r="C13" s="41">
        <v>38000</v>
      </c>
      <c r="D13" s="41">
        <v>108000</v>
      </c>
      <c r="E13" s="41">
        <v>206000</v>
      </c>
      <c r="G13" s="47" t="s">
        <v>25</v>
      </c>
      <c r="H13" s="48">
        <v>3000</v>
      </c>
      <c r="I13" s="48">
        <v>7000</v>
      </c>
      <c r="J13" s="48">
        <v>6000</v>
      </c>
    </row>
    <row r="14" spans="2:16" x14ac:dyDescent="0.25">
      <c r="B14" s="27" t="s">
        <v>43</v>
      </c>
      <c r="C14" s="28">
        <f>C6+C10</f>
        <v>251000</v>
      </c>
      <c r="D14" s="28">
        <f>D6+D10</f>
        <v>449000</v>
      </c>
      <c r="E14" s="28">
        <f>E6+E10</f>
        <v>643500</v>
      </c>
      <c r="G14" s="47" t="s">
        <v>21</v>
      </c>
      <c r="H14" s="48">
        <v>12000</v>
      </c>
      <c r="I14" s="48">
        <v>67000</v>
      </c>
      <c r="J14" s="48">
        <v>132000</v>
      </c>
    </row>
    <row r="15" spans="2:16" x14ac:dyDescent="0.25">
      <c r="B15" s="24"/>
      <c r="C15" s="24"/>
      <c r="D15" s="24"/>
      <c r="E15" s="24"/>
      <c r="G15" s="54" t="s">
        <v>68</v>
      </c>
      <c r="H15" s="55">
        <f>H13-H14</f>
        <v>-9000</v>
      </c>
      <c r="I15" s="55">
        <f>I13-I14</f>
        <v>-60000</v>
      </c>
      <c r="J15" s="55">
        <f>J13-J14</f>
        <v>-126000</v>
      </c>
    </row>
    <row r="16" spans="2:16" x14ac:dyDescent="0.25">
      <c r="B16" s="24"/>
      <c r="C16" s="24"/>
      <c r="D16" s="24"/>
      <c r="E16" s="24"/>
      <c r="G16" s="49" t="s">
        <v>69</v>
      </c>
      <c r="H16" s="50">
        <f>H12+H15</f>
        <v>101500</v>
      </c>
      <c r="I16" s="50">
        <f>I12+I15</f>
        <v>86900</v>
      </c>
      <c r="J16" s="50">
        <f>J12+J15</f>
        <v>-59900</v>
      </c>
    </row>
    <row r="17" spans="2:21" x14ac:dyDescent="0.25">
      <c r="B17" s="23" t="s">
        <v>7</v>
      </c>
      <c r="C17" s="23" t="s">
        <v>16</v>
      </c>
      <c r="D17" s="23" t="s">
        <v>17</v>
      </c>
      <c r="E17" s="23" t="s">
        <v>18</v>
      </c>
      <c r="G17" s="47" t="s">
        <v>28</v>
      </c>
      <c r="H17" s="48">
        <v>25375</v>
      </c>
      <c r="I17" s="48">
        <v>20475</v>
      </c>
      <c r="J17" s="48">
        <v>-17475</v>
      </c>
    </row>
    <row r="18" spans="2:21" x14ac:dyDescent="0.25">
      <c r="B18" s="37" t="s">
        <v>37</v>
      </c>
      <c r="C18" s="38">
        <f>SUM(C19:C22)</f>
        <v>143000</v>
      </c>
      <c r="D18" s="38">
        <f>SUM(D19:D22)</f>
        <v>189069</v>
      </c>
      <c r="E18" s="38">
        <f>SUM(E19:E22)</f>
        <v>176644</v>
      </c>
      <c r="G18" s="54" t="s">
        <v>42</v>
      </c>
      <c r="H18" s="58">
        <v>76125</v>
      </c>
      <c r="I18" s="58">
        <v>61425</v>
      </c>
      <c r="J18" s="58">
        <v>-52425</v>
      </c>
    </row>
    <row r="19" spans="2:21" x14ac:dyDescent="0.25">
      <c r="B19" s="40" t="s">
        <v>8</v>
      </c>
      <c r="C19" s="41">
        <v>25000</v>
      </c>
      <c r="D19" s="41">
        <v>25000</v>
      </c>
      <c r="E19" s="41">
        <v>65000</v>
      </c>
    </row>
    <row r="20" spans="2:21" x14ac:dyDescent="0.25">
      <c r="B20" s="40" t="s">
        <v>12</v>
      </c>
      <c r="C20" s="41">
        <v>87550</v>
      </c>
      <c r="D20" s="41">
        <v>118000</v>
      </c>
      <c r="E20" s="41">
        <v>164069</v>
      </c>
    </row>
    <row r="21" spans="2:21" x14ac:dyDescent="0.25">
      <c r="B21" s="40" t="s">
        <v>10</v>
      </c>
      <c r="C21" s="41">
        <v>76125</v>
      </c>
      <c r="D21" s="41">
        <v>61425</v>
      </c>
      <c r="E21" s="41">
        <v>-52425</v>
      </c>
    </row>
    <row r="22" spans="2:21" x14ac:dyDescent="0.25">
      <c r="B22" s="40" t="s">
        <v>15</v>
      </c>
      <c r="C22" s="41">
        <v>-45675</v>
      </c>
      <c r="D22" s="41">
        <v>-15356</v>
      </c>
      <c r="E22" s="40"/>
    </row>
    <row r="23" spans="2:21" x14ac:dyDescent="0.25">
      <c r="B23" s="37" t="s">
        <v>36</v>
      </c>
      <c r="C23" s="38">
        <f>SUM(C24:C24)</f>
        <v>42000</v>
      </c>
      <c r="D23" s="38">
        <f>SUM(D24:D24)</f>
        <v>136931</v>
      </c>
      <c r="E23" s="38">
        <f>SUM(E24:E24)</f>
        <v>209356</v>
      </c>
    </row>
    <row r="24" spans="2:21" x14ac:dyDescent="0.25">
      <c r="B24" s="40" t="s">
        <v>9</v>
      </c>
      <c r="C24" s="41">
        <v>42000</v>
      </c>
      <c r="D24" s="41">
        <v>136931</v>
      </c>
      <c r="E24" s="41">
        <v>209356</v>
      </c>
    </row>
    <row r="25" spans="2:21" x14ac:dyDescent="0.25">
      <c r="B25" s="37" t="s">
        <v>35</v>
      </c>
      <c r="C25" s="38">
        <f>SUM(C26:C28)</f>
        <v>66000</v>
      </c>
      <c r="D25" s="38">
        <f>SUM(D26:D28)</f>
        <v>123000</v>
      </c>
      <c r="E25" s="38">
        <f>SUM(E26:E28)</f>
        <v>257500</v>
      </c>
    </row>
    <row r="26" spans="2:21" x14ac:dyDescent="0.25">
      <c r="B26" s="40" t="s">
        <v>13</v>
      </c>
      <c r="C26" s="41">
        <v>7000</v>
      </c>
      <c r="D26" s="41">
        <v>21000</v>
      </c>
      <c r="E26" s="41">
        <v>41000</v>
      </c>
    </row>
    <row r="27" spans="2:21" x14ac:dyDescent="0.25">
      <c r="B27" s="40" t="s">
        <v>14</v>
      </c>
      <c r="C27" s="41">
        <v>54000</v>
      </c>
      <c r="D27" s="41">
        <v>99000</v>
      </c>
      <c r="E27" s="41">
        <v>198500</v>
      </c>
    </row>
    <row r="28" spans="2:21" x14ac:dyDescent="0.25">
      <c r="B28" s="40" t="s">
        <v>11</v>
      </c>
      <c r="C28" s="41">
        <v>5000</v>
      </c>
      <c r="D28" s="41">
        <v>3000</v>
      </c>
      <c r="E28" s="41">
        <v>18000</v>
      </c>
      <c r="S28" s="65"/>
      <c r="T28" s="65"/>
      <c r="U28" s="65"/>
    </row>
    <row r="29" spans="2:21" x14ac:dyDescent="0.25">
      <c r="B29" s="27" t="s">
        <v>44</v>
      </c>
      <c r="C29" s="28">
        <f>C18+C25+C23</f>
        <v>251000</v>
      </c>
      <c r="D29" s="28">
        <f>D18+D25+D23</f>
        <v>449000</v>
      </c>
      <c r="E29" s="28">
        <f>E18+E25+E23</f>
        <v>643500</v>
      </c>
    </row>
    <row r="32" spans="2:21" x14ac:dyDescent="0.25">
      <c r="G32" s="66" t="s">
        <v>95</v>
      </c>
      <c r="H32" s="66" t="s">
        <v>16</v>
      </c>
      <c r="I32" s="66" t="s">
        <v>17</v>
      </c>
      <c r="J32" s="66" t="s">
        <v>18</v>
      </c>
    </row>
    <row r="33" spans="3:17" x14ac:dyDescent="0.25">
      <c r="G33" s="67" t="s">
        <v>97</v>
      </c>
      <c r="H33" s="68">
        <f>(H8+H9+H10+H11)/C11</f>
        <v>5.1991869918699187</v>
      </c>
      <c r="I33" s="68">
        <f>(I8+I9+I10+I11)/D11</f>
        <v>6.8401234567901232</v>
      </c>
      <c r="J33" s="68">
        <f>(J8+J9+J10+J11)/E11</f>
        <v>11.026535626535626</v>
      </c>
    </row>
    <row r="34" spans="3:17" x14ac:dyDescent="0.25">
      <c r="C34" s="74"/>
      <c r="D34" s="74"/>
      <c r="E34" s="65"/>
      <c r="G34" s="67" t="s">
        <v>98</v>
      </c>
      <c r="H34" s="68">
        <f>C11/((H8+H9+H10+H11)/360)</f>
        <v>69.241594996090697</v>
      </c>
      <c r="I34" s="68">
        <f>D11/((I8+I9+I10+I11)/360)</f>
        <v>52.630629004602469</v>
      </c>
      <c r="J34" s="68">
        <f>E11/((J8+J9+J10+J11)/360)</f>
        <v>32.648513748384509</v>
      </c>
    </row>
    <row r="35" spans="3:17" x14ac:dyDescent="0.25">
      <c r="C35" s="75"/>
      <c r="D35" s="75"/>
      <c r="G35" s="67" t="s">
        <v>72</v>
      </c>
      <c r="H35" s="69">
        <f>(C11+C13)-C27</f>
        <v>107000</v>
      </c>
      <c r="I35" s="69">
        <f>(D11+D13)-D27</f>
        <v>171000</v>
      </c>
      <c r="J35" s="69">
        <f>(E11+E13)-E27</f>
        <v>211000</v>
      </c>
      <c r="M35" t="s">
        <v>73</v>
      </c>
      <c r="N35" t="s">
        <v>74</v>
      </c>
    </row>
    <row r="36" spans="3:17" x14ac:dyDescent="0.25">
      <c r="G36" s="67"/>
      <c r="H36" s="67"/>
      <c r="I36" s="67"/>
      <c r="J36" s="67"/>
    </row>
    <row r="37" spans="3:17" x14ac:dyDescent="0.25">
      <c r="G37" s="67" t="s">
        <v>75</v>
      </c>
      <c r="H37" s="68">
        <f>(C23+C25)/C18</f>
        <v>0.75524475524475521</v>
      </c>
      <c r="I37" s="68">
        <f>(D23+D25)/D18</f>
        <v>1.37479438723429</v>
      </c>
      <c r="J37" s="68">
        <f>(E23+E25)/E18</f>
        <v>2.6429202237268177</v>
      </c>
      <c r="M37" t="s">
        <v>77</v>
      </c>
    </row>
    <row r="38" spans="3:17" x14ac:dyDescent="0.25">
      <c r="G38" s="67" t="s">
        <v>96</v>
      </c>
      <c r="H38" s="68">
        <f>C25/C18</f>
        <v>0.46153846153846156</v>
      </c>
      <c r="I38" s="68">
        <f>D25/D18</f>
        <v>0.65055614616885904</v>
      </c>
      <c r="J38" s="68">
        <f>E25/E18</f>
        <v>1.4577341998596047</v>
      </c>
      <c r="M38" t="s">
        <v>76</v>
      </c>
    </row>
    <row r="39" spans="3:17" x14ac:dyDescent="0.25">
      <c r="G39" s="67"/>
      <c r="H39" s="68"/>
      <c r="I39" s="68"/>
      <c r="J39" s="68"/>
    </row>
    <row r="40" spans="3:17" x14ac:dyDescent="0.25">
      <c r="G40" s="67" t="s">
        <v>85</v>
      </c>
      <c r="H40" s="70">
        <f>C10/C14</f>
        <v>0.74900398406374502</v>
      </c>
      <c r="I40" s="70">
        <f>D10/D14</f>
        <v>0.64365256124721604</v>
      </c>
      <c r="J40" s="70">
        <f>E10/E14</f>
        <v>0.64568764568764569</v>
      </c>
      <c r="N40" s="11">
        <f>25596/129773</f>
        <v>0.19723671333790541</v>
      </c>
    </row>
    <row r="41" spans="3:17" x14ac:dyDescent="0.25">
      <c r="G41" s="67" t="s">
        <v>71</v>
      </c>
      <c r="H41" s="68">
        <f>C10/C25</f>
        <v>2.8484848484848486</v>
      </c>
      <c r="I41" s="68">
        <f>D10/D25</f>
        <v>2.3495934959349594</v>
      </c>
      <c r="J41" s="68">
        <f>E10/E25</f>
        <v>1.6135922330097088</v>
      </c>
      <c r="M41" t="s">
        <v>78</v>
      </c>
      <c r="N41" t="s">
        <v>79</v>
      </c>
    </row>
    <row r="42" spans="3:17" x14ac:dyDescent="0.25">
      <c r="G42" s="67" t="s">
        <v>80</v>
      </c>
      <c r="H42" s="68">
        <f>(C10-C11)/C25</f>
        <v>0.98484848484848486</v>
      </c>
      <c r="I42" s="68">
        <f>(D10-D11)/D25</f>
        <v>1.032520325203252</v>
      </c>
      <c r="J42" s="68">
        <f>(E10-E11)/E25</f>
        <v>0.8233009708737864</v>
      </c>
      <c r="M42">
        <v>1</v>
      </c>
      <c r="N42" t="s">
        <v>81</v>
      </c>
      <c r="Q42" t="s">
        <v>82</v>
      </c>
    </row>
    <row r="43" spans="3:17" x14ac:dyDescent="0.25">
      <c r="G43" s="67" t="s">
        <v>83</v>
      </c>
      <c r="H43" s="68">
        <f>C12/C25</f>
        <v>0.40909090909090912</v>
      </c>
      <c r="I43" s="68">
        <f>D12/D25</f>
        <v>0.15447154471544716</v>
      </c>
      <c r="J43" s="68">
        <f>E12/E25</f>
        <v>2.3300970873786409E-2</v>
      </c>
      <c r="M43" t="s">
        <v>84</v>
      </c>
    </row>
    <row r="44" spans="3:17" x14ac:dyDescent="0.25">
      <c r="G44" s="67"/>
      <c r="H44" s="67"/>
      <c r="I44" s="67"/>
      <c r="J44" s="67"/>
    </row>
    <row r="45" spans="3:17" x14ac:dyDescent="0.25">
      <c r="G45" s="67" t="s">
        <v>86</v>
      </c>
      <c r="H45" s="68">
        <f>H18/C19</f>
        <v>3.0449999999999999</v>
      </c>
      <c r="I45" s="68">
        <f>I18/D19</f>
        <v>2.4569999999999999</v>
      </c>
      <c r="J45" s="68">
        <f>J18/E19</f>
        <v>-0.80653846153846154</v>
      </c>
      <c r="M45" t="s">
        <v>88</v>
      </c>
    </row>
    <row r="46" spans="3:17" x14ac:dyDescent="0.25">
      <c r="G46" s="67" t="s">
        <v>87</v>
      </c>
      <c r="H46" s="70">
        <f>H18/C14</f>
        <v>0.30328685258964144</v>
      </c>
      <c r="I46" s="70">
        <f>I18/D14</f>
        <v>0.13680400890868596</v>
      </c>
      <c r="J46" s="70">
        <f>J18/E14</f>
        <v>-8.1468531468531474E-2</v>
      </c>
      <c r="M46" t="s">
        <v>89</v>
      </c>
    </row>
    <row r="47" spans="3:17" x14ac:dyDescent="0.25">
      <c r="G47" s="67" t="s">
        <v>90</v>
      </c>
      <c r="H47" s="70">
        <f>-C22/H18</f>
        <v>0.6</v>
      </c>
      <c r="I47" s="70">
        <f>-D22/I18</f>
        <v>0.24999592999592998</v>
      </c>
      <c r="J47" s="71">
        <f>-E22/J18</f>
        <v>0</v>
      </c>
      <c r="M47" t="s">
        <v>91</v>
      </c>
    </row>
    <row r="48" spans="3:17" x14ac:dyDescent="0.25">
      <c r="G48" s="67" t="s">
        <v>92</v>
      </c>
      <c r="H48" s="69">
        <f>H18+(-C9)+C20</f>
        <v>178675</v>
      </c>
      <c r="I48" s="69">
        <f>I18+(-D9)+D20</f>
        <v>199425</v>
      </c>
      <c r="J48" s="69">
        <f>J18+(-E9)+E20</f>
        <v>141644</v>
      </c>
    </row>
    <row r="49" spans="7:13" x14ac:dyDescent="0.25">
      <c r="G49" s="95" t="s">
        <v>134</v>
      </c>
      <c r="H49" s="5">
        <f>C10-C25</f>
        <v>122000</v>
      </c>
      <c r="I49" s="5">
        <f t="shared" ref="I49:J49" si="4">D10-D25</f>
        <v>166000</v>
      </c>
      <c r="J49" s="5">
        <f t="shared" si="4"/>
        <v>158000</v>
      </c>
      <c r="M49" t="s">
        <v>93</v>
      </c>
    </row>
  </sheetData>
  <mergeCells count="4">
    <mergeCell ref="B4:E4"/>
    <mergeCell ref="G4:K4"/>
    <mergeCell ref="C34:D34"/>
    <mergeCell ref="C35:D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5B3F-DBFC-4F80-806B-B74AF49932A7}">
  <dimension ref="B2:H25"/>
  <sheetViews>
    <sheetView topLeftCell="A13" workbookViewId="0">
      <selection activeCell="H30" sqref="H30"/>
    </sheetView>
  </sheetViews>
  <sheetFormatPr defaultRowHeight="15" x14ac:dyDescent="0.25"/>
  <cols>
    <col min="2" max="2" width="23.7109375" customWidth="1"/>
    <col min="3" max="3" width="21" customWidth="1"/>
    <col min="4" max="4" width="16.7109375" customWidth="1"/>
    <col min="5" max="5" width="4" customWidth="1"/>
    <col min="6" max="6" width="30.28515625" customWidth="1"/>
    <col min="7" max="7" width="14.42578125" customWidth="1"/>
    <col min="8" max="8" width="17.5703125" customWidth="1"/>
  </cols>
  <sheetData>
    <row r="2" spans="2:8" x14ac:dyDescent="0.25">
      <c r="B2" s="73" t="s">
        <v>94</v>
      </c>
      <c r="C2" s="73"/>
      <c r="D2" s="73"/>
      <c r="F2" s="73" t="s">
        <v>19</v>
      </c>
      <c r="G2" s="73"/>
      <c r="H2" s="73"/>
    </row>
    <row r="3" spans="2:8" x14ac:dyDescent="0.25">
      <c r="B3" s="35" t="s">
        <v>0</v>
      </c>
      <c r="C3" s="35" t="s">
        <v>16</v>
      </c>
      <c r="D3" s="35" t="s">
        <v>18</v>
      </c>
      <c r="F3" s="35"/>
      <c r="G3" s="35" t="s">
        <v>16</v>
      </c>
      <c r="H3" s="35" t="s">
        <v>18</v>
      </c>
    </row>
    <row r="4" spans="2:8" x14ac:dyDescent="0.25">
      <c r="B4" s="37" t="s">
        <v>33</v>
      </c>
      <c r="C4" s="59">
        <f>SUM(C5:C7)</f>
        <v>63000</v>
      </c>
      <c r="D4" s="59">
        <f>SUM(D5:D7)</f>
        <v>228000</v>
      </c>
      <c r="F4" s="47" t="s">
        <v>23</v>
      </c>
      <c r="G4" s="48">
        <v>750000</v>
      </c>
      <c r="H4" s="48">
        <v>2300000</v>
      </c>
    </row>
    <row r="5" spans="2:8" x14ac:dyDescent="0.25">
      <c r="B5" s="40" t="s">
        <v>3</v>
      </c>
      <c r="C5" s="41">
        <v>3000</v>
      </c>
      <c r="D5" s="41">
        <v>8000</v>
      </c>
      <c r="F5" s="49" t="s">
        <v>38</v>
      </c>
      <c r="G5" s="50">
        <f>G4</f>
        <v>750000</v>
      </c>
      <c r="H5" s="50">
        <f t="shared" ref="H5" si="0">H4</f>
        <v>2300000</v>
      </c>
    </row>
    <row r="6" spans="2:8" x14ac:dyDescent="0.25">
      <c r="B6" s="64" t="s">
        <v>1</v>
      </c>
      <c r="C6" s="44">
        <v>75000</v>
      </c>
      <c r="D6" s="44">
        <v>250000</v>
      </c>
      <c r="F6" s="47" t="s">
        <v>22</v>
      </c>
      <c r="G6" s="48">
        <v>210000</v>
      </c>
      <c r="H6" s="48">
        <v>618800</v>
      </c>
    </row>
    <row r="7" spans="2:8" x14ac:dyDescent="0.25">
      <c r="B7" s="64" t="s">
        <v>5</v>
      </c>
      <c r="C7" s="44">
        <v>-15000</v>
      </c>
      <c r="D7" s="44">
        <v>-30000</v>
      </c>
      <c r="F7" s="47" t="s">
        <v>26</v>
      </c>
      <c r="G7" s="48">
        <v>410000</v>
      </c>
      <c r="H7" s="48">
        <v>1578500</v>
      </c>
    </row>
    <row r="8" spans="2:8" x14ac:dyDescent="0.25">
      <c r="B8" s="37" t="s">
        <v>34</v>
      </c>
      <c r="C8" s="38">
        <f>SUM(C9:C11)</f>
        <v>188000</v>
      </c>
      <c r="D8" s="38">
        <f t="shared" ref="D8" si="1">SUM(D9:D11)</f>
        <v>415500</v>
      </c>
      <c r="F8" s="47" t="s">
        <v>20</v>
      </c>
      <c r="G8" s="48">
        <v>1500</v>
      </c>
      <c r="H8" s="48">
        <v>10000</v>
      </c>
    </row>
    <row r="9" spans="2:8" x14ac:dyDescent="0.25">
      <c r="B9" s="40" t="s">
        <v>4</v>
      </c>
      <c r="C9" s="41">
        <v>123000</v>
      </c>
      <c r="D9" s="41">
        <v>203500</v>
      </c>
      <c r="F9" s="47" t="s">
        <v>24</v>
      </c>
      <c r="G9" s="48">
        <v>18000</v>
      </c>
      <c r="H9" s="48">
        <v>36600</v>
      </c>
    </row>
    <row r="10" spans="2:8" x14ac:dyDescent="0.25">
      <c r="B10" s="40" t="s">
        <v>6</v>
      </c>
      <c r="C10" s="61">
        <v>27000</v>
      </c>
      <c r="D10" s="61">
        <v>6000</v>
      </c>
      <c r="F10" s="54" t="s">
        <v>67</v>
      </c>
      <c r="G10" s="55">
        <f>G5-(G6+G7+G9+G8)</f>
        <v>110500</v>
      </c>
      <c r="H10" s="55">
        <f>H5-(H6+H7+H9)</f>
        <v>66100</v>
      </c>
    </row>
    <row r="11" spans="2:8" x14ac:dyDescent="0.25">
      <c r="B11" s="40" t="s">
        <v>2</v>
      </c>
      <c r="C11" s="41">
        <v>38000</v>
      </c>
      <c r="D11" s="41">
        <v>206000</v>
      </c>
      <c r="F11" s="47" t="s">
        <v>25</v>
      </c>
      <c r="G11" s="48">
        <v>3000</v>
      </c>
      <c r="H11" s="48">
        <v>6000</v>
      </c>
    </row>
    <row r="12" spans="2:8" x14ac:dyDescent="0.25">
      <c r="B12" s="27" t="s">
        <v>43</v>
      </c>
      <c r="C12" s="28">
        <f>C4+C8</f>
        <v>251000</v>
      </c>
      <c r="D12" s="28">
        <f>D4+D8</f>
        <v>643500</v>
      </c>
      <c r="F12" s="47" t="s">
        <v>21</v>
      </c>
      <c r="G12" s="48">
        <v>12000</v>
      </c>
      <c r="H12" s="48">
        <v>132000</v>
      </c>
    </row>
    <row r="13" spans="2:8" x14ac:dyDescent="0.25">
      <c r="B13" s="23" t="s">
        <v>7</v>
      </c>
      <c r="C13" s="23" t="s">
        <v>16</v>
      </c>
      <c r="D13" s="23" t="s">
        <v>18</v>
      </c>
      <c r="F13" s="54" t="s">
        <v>68</v>
      </c>
      <c r="G13" s="55">
        <f>G11-G12</f>
        <v>-9000</v>
      </c>
      <c r="H13" s="55">
        <f>H11-H12</f>
        <v>-126000</v>
      </c>
    </row>
    <row r="14" spans="2:8" x14ac:dyDescent="0.25">
      <c r="B14" s="37" t="s">
        <v>37</v>
      </c>
      <c r="C14" s="38">
        <f>SUM(C15:C18)</f>
        <v>143000</v>
      </c>
      <c r="D14" s="38">
        <f>SUM(D15:D18)</f>
        <v>176644</v>
      </c>
      <c r="F14" s="49" t="s">
        <v>69</v>
      </c>
      <c r="G14" s="50">
        <f>G10+G13</f>
        <v>101500</v>
      </c>
      <c r="H14" s="50">
        <f>H10+H13</f>
        <v>-59900</v>
      </c>
    </row>
    <row r="15" spans="2:8" x14ac:dyDescent="0.25">
      <c r="B15" s="40" t="s">
        <v>8</v>
      </c>
      <c r="C15" s="41">
        <v>25000</v>
      </c>
      <c r="D15" s="41">
        <v>65000</v>
      </c>
      <c r="F15" s="47" t="s">
        <v>28</v>
      </c>
      <c r="G15" s="48">
        <v>25375</v>
      </c>
      <c r="H15" s="48">
        <v>-17475</v>
      </c>
    </row>
    <row r="16" spans="2:8" x14ac:dyDescent="0.25">
      <c r="B16" s="40" t="s">
        <v>12</v>
      </c>
      <c r="C16" s="41">
        <v>87550</v>
      </c>
      <c r="D16" s="41">
        <v>164069</v>
      </c>
      <c r="F16" s="54" t="s">
        <v>42</v>
      </c>
      <c r="G16" s="58">
        <v>76125</v>
      </c>
      <c r="H16" s="58">
        <v>-52425</v>
      </c>
    </row>
    <row r="17" spans="2:4" x14ac:dyDescent="0.25">
      <c r="B17" s="40" t="s">
        <v>10</v>
      </c>
      <c r="C17" s="41">
        <v>76125</v>
      </c>
      <c r="D17" s="41">
        <v>-52425</v>
      </c>
    </row>
    <row r="18" spans="2:4" x14ac:dyDescent="0.25">
      <c r="B18" s="40" t="s">
        <v>15</v>
      </c>
      <c r="C18" s="41">
        <v>-45675</v>
      </c>
      <c r="D18" s="40"/>
    </row>
    <row r="19" spans="2:4" x14ac:dyDescent="0.25">
      <c r="B19" s="37" t="s">
        <v>36</v>
      </c>
      <c r="C19" s="38">
        <f>SUM(C20:C20)</f>
        <v>42000</v>
      </c>
      <c r="D19" s="38">
        <f>SUM(D20:D20)</f>
        <v>209356</v>
      </c>
    </row>
    <row r="20" spans="2:4" x14ac:dyDescent="0.25">
      <c r="B20" s="40" t="s">
        <v>9</v>
      </c>
      <c r="C20" s="41">
        <v>42000</v>
      </c>
      <c r="D20" s="41">
        <v>209356</v>
      </c>
    </row>
    <row r="21" spans="2:4" x14ac:dyDescent="0.25">
      <c r="B21" s="37" t="s">
        <v>35</v>
      </c>
      <c r="C21" s="38">
        <f>SUM(C22:C24)</f>
        <v>66000</v>
      </c>
      <c r="D21" s="38">
        <f>SUM(D22:D24)</f>
        <v>257500</v>
      </c>
    </row>
    <row r="22" spans="2:4" x14ac:dyDescent="0.25">
      <c r="B22" s="40" t="s">
        <v>13</v>
      </c>
      <c r="C22" s="41">
        <v>7000</v>
      </c>
      <c r="D22" s="41">
        <v>41000</v>
      </c>
    </row>
    <row r="23" spans="2:4" x14ac:dyDescent="0.25">
      <c r="B23" s="40" t="s">
        <v>14</v>
      </c>
      <c r="C23" s="41">
        <v>54000</v>
      </c>
      <c r="D23" s="41">
        <v>198500</v>
      </c>
    </row>
    <row r="24" spans="2:4" x14ac:dyDescent="0.25">
      <c r="B24" s="40" t="s">
        <v>11</v>
      </c>
      <c r="C24" s="41">
        <v>5000</v>
      </c>
      <c r="D24" s="41">
        <v>18000</v>
      </c>
    </row>
    <row r="25" spans="2:4" x14ac:dyDescent="0.25">
      <c r="B25" s="27" t="s">
        <v>44</v>
      </c>
      <c r="C25" s="28">
        <f>C14+C21+C19</f>
        <v>251000</v>
      </c>
      <c r="D25" s="28">
        <f>D14+D21+D19</f>
        <v>643500</v>
      </c>
    </row>
  </sheetData>
  <mergeCells count="2">
    <mergeCell ref="B2:D2"/>
    <mergeCell ref="F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ED66F-0B2D-4BC5-9137-FB3B76B6E48A}">
  <dimension ref="B1:O88"/>
  <sheetViews>
    <sheetView showGridLines="0" tabSelected="1" topLeftCell="A31" workbookViewId="0">
      <selection activeCell="B32" sqref="B32:E59"/>
    </sheetView>
  </sheetViews>
  <sheetFormatPr defaultRowHeight="15" x14ac:dyDescent="0.25"/>
  <cols>
    <col min="2" max="2" width="38" customWidth="1"/>
    <col min="3" max="4" width="22.5703125" customWidth="1"/>
    <col min="5" max="5" width="37.7109375" customWidth="1"/>
    <col min="7" max="7" width="36.42578125" customWidth="1"/>
    <col min="8" max="8" width="16.140625" customWidth="1"/>
    <col min="9" max="9" width="15.42578125" customWidth="1"/>
    <col min="10" max="10" width="19.7109375" customWidth="1"/>
    <col min="12" max="12" width="26.140625" customWidth="1"/>
    <col min="13" max="13" width="12.85546875" customWidth="1"/>
    <col min="14" max="14" width="14.28515625" customWidth="1"/>
    <col min="15" max="15" width="12.140625" customWidth="1"/>
  </cols>
  <sheetData>
    <row r="1" spans="2:10" ht="15.75" x14ac:dyDescent="0.25">
      <c r="B1" s="76" t="s">
        <v>100</v>
      </c>
      <c r="C1" s="76"/>
      <c r="D1" s="76"/>
      <c r="E1" s="76"/>
      <c r="G1" s="94" t="s">
        <v>130</v>
      </c>
      <c r="H1" s="94"/>
      <c r="I1" s="94"/>
      <c r="J1" s="94"/>
    </row>
    <row r="2" spans="2:10" ht="15.75" customHeight="1" thickBot="1" x14ac:dyDescent="0.3">
      <c r="B2" s="87" t="s">
        <v>99</v>
      </c>
      <c r="C2" s="80" t="s">
        <v>16</v>
      </c>
      <c r="D2" s="80" t="s">
        <v>17</v>
      </c>
      <c r="E2" s="80" t="s">
        <v>18</v>
      </c>
      <c r="G2" s="87" t="s">
        <v>99</v>
      </c>
      <c r="H2" s="80" t="s">
        <v>16</v>
      </c>
      <c r="I2" s="80" t="s">
        <v>17</v>
      </c>
      <c r="J2" s="80" t="s">
        <v>18</v>
      </c>
    </row>
    <row r="3" spans="2:10" ht="15" customHeight="1" x14ac:dyDescent="0.25">
      <c r="B3" s="77" t="s">
        <v>101</v>
      </c>
      <c r="C3" s="86">
        <v>188000</v>
      </c>
      <c r="D3" s="86">
        <v>289000</v>
      </c>
      <c r="E3" s="86">
        <v>415500</v>
      </c>
      <c r="G3" s="77" t="s">
        <v>101</v>
      </c>
      <c r="H3" s="86"/>
      <c r="I3" s="86"/>
      <c r="J3" s="86"/>
    </row>
    <row r="4" spans="2:10" ht="15" customHeight="1" x14ac:dyDescent="0.25">
      <c r="B4" s="77" t="s">
        <v>102</v>
      </c>
      <c r="C4" s="85">
        <v>66000</v>
      </c>
      <c r="D4" s="85">
        <v>123000</v>
      </c>
      <c r="E4" s="85">
        <v>257500</v>
      </c>
      <c r="G4" s="77" t="s">
        <v>102</v>
      </c>
      <c r="H4" s="85"/>
      <c r="I4" s="85"/>
      <c r="J4" s="85"/>
    </row>
    <row r="5" spans="2:10" x14ac:dyDescent="0.25">
      <c r="B5" s="81" t="s">
        <v>99</v>
      </c>
      <c r="C5" s="83">
        <f>C3/C4</f>
        <v>2.8484848484848486</v>
      </c>
      <c r="D5" s="83">
        <f t="shared" ref="D5:E5" si="0">D3/D4</f>
        <v>2.3495934959349594</v>
      </c>
      <c r="E5" s="83">
        <f t="shared" si="0"/>
        <v>1.6135922330097088</v>
      </c>
      <c r="G5" s="81" t="s">
        <v>99</v>
      </c>
      <c r="H5" s="83">
        <v>0.6</v>
      </c>
      <c r="I5" s="83">
        <v>0.6</v>
      </c>
      <c r="J5" s="83">
        <v>0.5</v>
      </c>
    </row>
    <row r="6" spans="2:10" x14ac:dyDescent="0.25">
      <c r="B6" s="77"/>
      <c r="C6" s="77"/>
      <c r="D6" s="77"/>
      <c r="E6" s="77"/>
      <c r="G6" s="77"/>
      <c r="H6" s="77"/>
      <c r="I6" s="77"/>
      <c r="J6" s="77"/>
    </row>
    <row r="7" spans="2:10" x14ac:dyDescent="0.25">
      <c r="B7" s="82" t="s">
        <v>103</v>
      </c>
      <c r="C7" s="84">
        <v>65000</v>
      </c>
      <c r="D7" s="84">
        <v>127000</v>
      </c>
      <c r="E7" s="84">
        <v>212000</v>
      </c>
      <c r="G7" s="82" t="s">
        <v>103</v>
      </c>
      <c r="H7" s="84"/>
      <c r="I7" s="84"/>
      <c r="J7" s="84"/>
    </row>
    <row r="8" spans="2:10" x14ac:dyDescent="0.25">
      <c r="B8" s="77" t="s">
        <v>104</v>
      </c>
      <c r="C8" s="85">
        <v>66000</v>
      </c>
      <c r="D8" s="85">
        <v>123000</v>
      </c>
      <c r="E8" s="85">
        <v>257500</v>
      </c>
      <c r="G8" s="77" t="s">
        <v>104</v>
      </c>
      <c r="H8" s="85"/>
      <c r="I8" s="85"/>
      <c r="J8" s="85"/>
    </row>
    <row r="9" spans="2:10" x14ac:dyDescent="0.25">
      <c r="B9" s="81" t="s">
        <v>105</v>
      </c>
      <c r="C9" s="83">
        <f t="shared" ref="C9:D9" si="1">C7/C8</f>
        <v>0.98484848484848486</v>
      </c>
      <c r="D9" s="83">
        <f t="shared" si="1"/>
        <v>1.032520325203252</v>
      </c>
      <c r="E9" s="83">
        <f>E7/E8</f>
        <v>0.8233009708737864</v>
      </c>
      <c r="G9" s="81" t="s">
        <v>105</v>
      </c>
      <c r="H9" s="83">
        <v>0.4</v>
      </c>
      <c r="I9" s="83">
        <v>0.4</v>
      </c>
      <c r="J9" s="83">
        <v>0.4</v>
      </c>
    </row>
    <row r="10" spans="2:10" x14ac:dyDescent="0.25">
      <c r="B10" s="77"/>
      <c r="C10" s="79"/>
      <c r="D10" s="79"/>
      <c r="E10" s="79"/>
      <c r="G10" s="77"/>
      <c r="H10" s="79"/>
      <c r="I10" s="79"/>
      <c r="J10" s="79"/>
    </row>
    <row r="11" spans="2:10" x14ac:dyDescent="0.25">
      <c r="B11" s="82" t="s">
        <v>106</v>
      </c>
      <c r="C11" s="84">
        <v>27000</v>
      </c>
      <c r="D11" s="84">
        <v>19000</v>
      </c>
      <c r="E11" s="84">
        <v>6000</v>
      </c>
      <c r="G11" s="82" t="s">
        <v>106</v>
      </c>
      <c r="H11" s="84"/>
      <c r="I11" s="84"/>
      <c r="J11" s="84"/>
    </row>
    <row r="12" spans="2:10" x14ac:dyDescent="0.25">
      <c r="B12" s="77" t="s">
        <v>104</v>
      </c>
      <c r="C12" s="85">
        <v>66000</v>
      </c>
      <c r="D12" s="85">
        <v>123000</v>
      </c>
      <c r="E12" s="85">
        <v>257500</v>
      </c>
      <c r="G12" s="77" t="s">
        <v>104</v>
      </c>
      <c r="H12" s="85"/>
      <c r="I12" s="85"/>
      <c r="J12" s="85"/>
    </row>
    <row r="13" spans="2:10" x14ac:dyDescent="0.25">
      <c r="B13" s="81" t="s">
        <v>107</v>
      </c>
      <c r="C13" s="83">
        <f>C11/C12</f>
        <v>0.40909090909090912</v>
      </c>
      <c r="D13" s="83">
        <f t="shared" ref="D13:E13" si="2">D11/D12</f>
        <v>0.15447154471544716</v>
      </c>
      <c r="E13" s="83">
        <f t="shared" si="2"/>
        <v>2.3300970873786409E-2</v>
      </c>
      <c r="G13" s="81" t="s">
        <v>107</v>
      </c>
      <c r="H13" s="83">
        <v>0.3</v>
      </c>
      <c r="I13" s="83">
        <v>0.3</v>
      </c>
      <c r="J13" s="83">
        <v>0.3</v>
      </c>
    </row>
    <row r="14" spans="2:10" x14ac:dyDescent="0.25">
      <c r="B14" s="77"/>
      <c r="C14" s="77"/>
      <c r="D14" s="77"/>
      <c r="E14" s="77"/>
      <c r="G14" s="77"/>
      <c r="H14" s="77"/>
      <c r="I14" s="77"/>
      <c r="J14" s="77"/>
    </row>
    <row r="15" spans="2:10" x14ac:dyDescent="0.25">
      <c r="B15" s="77"/>
      <c r="C15" s="78"/>
      <c r="D15" s="78"/>
      <c r="E15" s="78"/>
      <c r="G15" s="77"/>
      <c r="H15" s="78"/>
      <c r="I15" s="78"/>
      <c r="J15" s="78"/>
    </row>
    <row r="16" spans="2:10" ht="15.75" thickBot="1" x14ac:dyDescent="0.3">
      <c r="B16" s="87" t="s">
        <v>108</v>
      </c>
      <c r="C16" s="80" t="s">
        <v>16</v>
      </c>
      <c r="D16" s="80" t="s">
        <v>17</v>
      </c>
      <c r="E16" s="80" t="s">
        <v>18</v>
      </c>
      <c r="G16" s="87" t="s">
        <v>108</v>
      </c>
      <c r="H16" s="80" t="s">
        <v>16</v>
      </c>
      <c r="I16" s="80" t="s">
        <v>17</v>
      </c>
      <c r="J16" s="80" t="s">
        <v>18</v>
      </c>
    </row>
    <row r="17" spans="2:10" x14ac:dyDescent="0.25">
      <c r="B17" s="77" t="s">
        <v>109</v>
      </c>
      <c r="C17" s="86">
        <v>38000</v>
      </c>
      <c r="D17" s="86">
        <v>73000</v>
      </c>
      <c r="E17" s="86">
        <v>157000</v>
      </c>
      <c r="G17" s="77" t="s">
        <v>109</v>
      </c>
      <c r="H17" s="86"/>
      <c r="I17" s="86"/>
      <c r="J17" s="86"/>
    </row>
    <row r="18" spans="2:10" x14ac:dyDescent="0.25">
      <c r="B18" s="77" t="s">
        <v>110</v>
      </c>
      <c r="C18" s="85">
        <v>750000</v>
      </c>
      <c r="D18" s="85">
        <v>1250000</v>
      </c>
      <c r="E18" s="85">
        <v>2300000</v>
      </c>
      <c r="G18" s="77" t="s">
        <v>110</v>
      </c>
      <c r="H18" s="85"/>
      <c r="I18" s="85"/>
      <c r="J18" s="85"/>
    </row>
    <row r="19" spans="2:10" x14ac:dyDescent="0.25">
      <c r="B19" s="81" t="s">
        <v>111</v>
      </c>
      <c r="C19" s="83">
        <f>C17/(C18/360)</f>
        <v>18.239999999999998</v>
      </c>
      <c r="D19" s="83">
        <f t="shared" ref="D19:E19" si="3">D17/(D18/360)</f>
        <v>21.024000000000001</v>
      </c>
      <c r="E19" s="83">
        <f t="shared" si="3"/>
        <v>24.57391304347826</v>
      </c>
      <c r="G19" s="81" t="s">
        <v>111</v>
      </c>
      <c r="H19" s="83">
        <v>9.1</v>
      </c>
      <c r="I19" s="83">
        <v>8.1</v>
      </c>
      <c r="J19" s="83">
        <v>7.9</v>
      </c>
    </row>
    <row r="20" spans="2:10" x14ac:dyDescent="0.25">
      <c r="B20" s="77"/>
      <c r="C20" s="77"/>
      <c r="D20" s="77"/>
      <c r="E20" s="77"/>
      <c r="G20" s="77"/>
      <c r="H20" s="77"/>
      <c r="I20" s="77"/>
      <c r="J20" s="77"/>
    </row>
    <row r="21" spans="2:10" x14ac:dyDescent="0.25">
      <c r="B21" s="82" t="s">
        <v>112</v>
      </c>
      <c r="C21" s="84">
        <v>54000</v>
      </c>
      <c r="D21" s="84">
        <v>76500</v>
      </c>
      <c r="E21" s="84">
        <v>148750</v>
      </c>
      <c r="G21" s="82" t="s">
        <v>112</v>
      </c>
      <c r="H21" s="84"/>
      <c r="I21" s="84"/>
      <c r="J21" s="84"/>
    </row>
    <row r="22" spans="2:10" x14ac:dyDescent="0.25">
      <c r="B22" s="77" t="s">
        <v>113</v>
      </c>
      <c r="C22" s="85">
        <v>410000</v>
      </c>
      <c r="D22" s="85">
        <v>717500</v>
      </c>
      <c r="E22" s="85">
        <v>1578500</v>
      </c>
      <c r="G22" s="77" t="s">
        <v>113</v>
      </c>
      <c r="H22" s="85"/>
      <c r="I22" s="85"/>
      <c r="J22" s="85"/>
    </row>
    <row r="23" spans="2:10" x14ac:dyDescent="0.25">
      <c r="B23" s="81" t="s">
        <v>114</v>
      </c>
      <c r="C23" s="83">
        <f>C21/(C22/360)</f>
        <v>47.414634146341463</v>
      </c>
      <c r="D23" s="83">
        <f t="shared" ref="D23" si="4">D21/(D22/360)</f>
        <v>38.383275261324037</v>
      </c>
      <c r="E23" s="83">
        <f t="shared" ref="E23" si="5">E21/(E22/360)</f>
        <v>33.924611973392459</v>
      </c>
      <c r="G23" s="81" t="s">
        <v>114</v>
      </c>
      <c r="H23" s="83">
        <v>76</v>
      </c>
      <c r="I23" s="83">
        <v>58.4</v>
      </c>
      <c r="J23" s="83">
        <v>68.400000000000006</v>
      </c>
    </row>
    <row r="26" spans="2:10" ht="15.75" thickBot="1" x14ac:dyDescent="0.3">
      <c r="B26" s="87" t="s">
        <v>115</v>
      </c>
      <c r="C26" s="80" t="s">
        <v>16</v>
      </c>
      <c r="D26" s="80" t="s">
        <v>17</v>
      </c>
      <c r="E26" s="80" t="s">
        <v>18</v>
      </c>
      <c r="G26" s="87" t="s">
        <v>115</v>
      </c>
      <c r="H26" s="80" t="s">
        <v>16</v>
      </c>
      <c r="I26" s="80" t="s">
        <v>17</v>
      </c>
      <c r="J26" s="80" t="s">
        <v>18</v>
      </c>
    </row>
    <row r="27" spans="2:10" x14ac:dyDescent="0.25">
      <c r="B27" s="77" t="s">
        <v>116</v>
      </c>
      <c r="C27" s="86">
        <v>248000</v>
      </c>
      <c r="D27" s="86">
        <v>444000</v>
      </c>
      <c r="E27" s="86">
        <v>635500</v>
      </c>
      <c r="G27" s="77" t="s">
        <v>116</v>
      </c>
      <c r="H27" s="86"/>
      <c r="I27" s="86"/>
      <c r="J27" s="86"/>
    </row>
    <row r="28" spans="2:10" x14ac:dyDescent="0.25">
      <c r="B28" s="77" t="s">
        <v>117</v>
      </c>
      <c r="C28" s="85">
        <v>108000</v>
      </c>
      <c r="D28" s="85">
        <v>259931</v>
      </c>
      <c r="E28" s="85">
        <v>466856</v>
      </c>
      <c r="G28" s="77" t="s">
        <v>117</v>
      </c>
      <c r="H28" s="85"/>
      <c r="I28" s="85"/>
      <c r="J28" s="85"/>
    </row>
    <row r="29" spans="2:10" x14ac:dyDescent="0.25">
      <c r="B29" s="81" t="s">
        <v>115</v>
      </c>
      <c r="C29" s="83">
        <f>C27/C28</f>
        <v>2.2962962962962963</v>
      </c>
      <c r="D29" s="83">
        <f t="shared" ref="D29:E29" si="6">D27/D28</f>
        <v>1.7081456232615579</v>
      </c>
      <c r="E29" s="83">
        <f t="shared" si="6"/>
        <v>1.3612334424319277</v>
      </c>
      <c r="G29" s="81" t="s">
        <v>115</v>
      </c>
      <c r="H29" s="83">
        <v>1.2</v>
      </c>
      <c r="I29" s="83">
        <v>1.1000000000000001</v>
      </c>
      <c r="J29" s="83">
        <v>1.1000000000000001</v>
      </c>
    </row>
    <row r="32" spans="2:10" ht="15.75" thickBot="1" x14ac:dyDescent="0.3">
      <c r="B32" s="87" t="s">
        <v>118</v>
      </c>
      <c r="C32" s="80" t="s">
        <v>16</v>
      </c>
      <c r="D32" s="80" t="s">
        <v>17</v>
      </c>
      <c r="E32" s="80" t="s">
        <v>18</v>
      </c>
      <c r="G32" s="87" t="s">
        <v>118</v>
      </c>
      <c r="H32" s="80" t="s">
        <v>16</v>
      </c>
      <c r="I32" s="80" t="s">
        <v>17</v>
      </c>
      <c r="J32" s="80" t="s">
        <v>18</v>
      </c>
    </row>
    <row r="33" spans="2:15" x14ac:dyDescent="0.25">
      <c r="B33" s="77" t="s">
        <v>117</v>
      </c>
      <c r="C33" s="85">
        <v>108000</v>
      </c>
      <c r="D33" s="85">
        <v>259931</v>
      </c>
      <c r="E33" s="85">
        <v>466856</v>
      </c>
      <c r="G33" s="77" t="s">
        <v>117</v>
      </c>
      <c r="H33" s="85"/>
      <c r="I33" s="85"/>
      <c r="J33" s="85"/>
    </row>
    <row r="34" spans="2:15" x14ac:dyDescent="0.25">
      <c r="B34" s="77" t="s">
        <v>119</v>
      </c>
      <c r="C34" s="85">
        <v>143000</v>
      </c>
      <c r="D34" s="85">
        <v>189069</v>
      </c>
      <c r="E34" s="85">
        <v>176644</v>
      </c>
      <c r="G34" s="77" t="s">
        <v>119</v>
      </c>
      <c r="H34" s="85"/>
      <c r="I34" s="85"/>
      <c r="J34" s="85"/>
    </row>
    <row r="35" spans="2:15" x14ac:dyDescent="0.25">
      <c r="B35" s="81" t="s">
        <v>120</v>
      </c>
      <c r="C35" s="83">
        <f>C33/C34</f>
        <v>0.75524475524475521</v>
      </c>
      <c r="D35" s="83">
        <f t="shared" ref="D35:E35" si="7">D33/D34</f>
        <v>1.37479438723429</v>
      </c>
      <c r="E35" s="83">
        <f t="shared" si="7"/>
        <v>2.6429202237268177</v>
      </c>
      <c r="G35" s="81" t="s">
        <v>120</v>
      </c>
      <c r="H35" s="83">
        <v>5.3</v>
      </c>
      <c r="I35" s="83">
        <v>8.6</v>
      </c>
      <c r="J35" s="83">
        <v>13.4</v>
      </c>
    </row>
    <row r="36" spans="2:15" x14ac:dyDescent="0.25">
      <c r="B36" s="88"/>
      <c r="C36" s="89"/>
      <c r="D36" s="89"/>
      <c r="E36" s="89"/>
      <c r="G36" s="77"/>
      <c r="H36" s="77"/>
      <c r="I36" s="77"/>
      <c r="J36" s="77"/>
    </row>
    <row r="37" spans="2:15" x14ac:dyDescent="0.25">
      <c r="B37" s="77" t="s">
        <v>125</v>
      </c>
      <c r="C37" s="86">
        <v>42000</v>
      </c>
      <c r="D37" s="86">
        <v>136931</v>
      </c>
      <c r="E37" s="86">
        <v>209356</v>
      </c>
      <c r="G37" s="82" t="s">
        <v>121</v>
      </c>
      <c r="H37" s="84"/>
      <c r="I37" s="84"/>
      <c r="J37" s="84"/>
    </row>
    <row r="38" spans="2:15" x14ac:dyDescent="0.25">
      <c r="B38" s="77" t="s">
        <v>102</v>
      </c>
      <c r="C38" s="86">
        <v>66000</v>
      </c>
      <c r="D38" s="86">
        <v>123000</v>
      </c>
      <c r="E38" s="86">
        <v>257500</v>
      </c>
      <c r="G38" s="77" t="s">
        <v>122</v>
      </c>
      <c r="H38" s="85"/>
      <c r="I38" s="85"/>
      <c r="J38" s="85"/>
    </row>
    <row r="39" spans="2:15" x14ac:dyDescent="0.25">
      <c r="B39" s="81" t="s">
        <v>126</v>
      </c>
      <c r="C39" s="83">
        <f>C37/C38</f>
        <v>0.63636363636363635</v>
      </c>
      <c r="D39" s="83">
        <f t="shared" ref="D39:E39" si="8">D37/D38</f>
        <v>1.1132601626016261</v>
      </c>
      <c r="E39" s="83">
        <f t="shared" si="8"/>
        <v>0.81303300970873782</v>
      </c>
      <c r="G39" s="81" t="s">
        <v>131</v>
      </c>
      <c r="H39" s="83">
        <v>0.8</v>
      </c>
      <c r="I39" s="83">
        <v>0.9</v>
      </c>
      <c r="J39" s="83">
        <v>0.9</v>
      </c>
    </row>
    <row r="40" spans="2:15" x14ac:dyDescent="0.25">
      <c r="B40" s="88"/>
      <c r="C40" s="90"/>
      <c r="D40" s="90"/>
      <c r="E40" s="90"/>
      <c r="G40" s="88"/>
      <c r="H40" s="90"/>
      <c r="I40" s="90"/>
      <c r="J40" s="90"/>
    </row>
    <row r="41" spans="2:15" x14ac:dyDescent="0.25">
      <c r="B41" s="82" t="s">
        <v>135</v>
      </c>
      <c r="C41" s="96">
        <v>188000</v>
      </c>
      <c r="D41" s="96">
        <v>289000</v>
      </c>
      <c r="E41" s="96">
        <v>415500</v>
      </c>
      <c r="G41" s="77" t="s">
        <v>104</v>
      </c>
      <c r="H41" s="85"/>
      <c r="I41" s="85"/>
      <c r="J41" s="85"/>
    </row>
    <row r="42" spans="2:15" x14ac:dyDescent="0.25">
      <c r="B42" s="77" t="s">
        <v>136</v>
      </c>
      <c r="C42" s="85">
        <v>66000</v>
      </c>
      <c r="D42" s="85">
        <v>123000</v>
      </c>
      <c r="E42" s="85">
        <v>257500</v>
      </c>
      <c r="G42" s="77" t="s">
        <v>123</v>
      </c>
      <c r="H42" s="85"/>
      <c r="I42" s="85"/>
      <c r="J42" s="85"/>
    </row>
    <row r="43" spans="2:15" ht="15.75" thickBot="1" x14ac:dyDescent="0.3">
      <c r="B43" s="92" t="s">
        <v>132</v>
      </c>
      <c r="C43" s="93">
        <f>C41-C42</f>
        <v>122000</v>
      </c>
      <c r="D43" s="93">
        <f t="shared" ref="D43:E43" si="9">D41-D42</f>
        <v>166000</v>
      </c>
      <c r="E43" s="93">
        <f t="shared" si="9"/>
        <v>158000</v>
      </c>
      <c r="G43" s="81" t="s">
        <v>124</v>
      </c>
      <c r="H43" s="83">
        <v>0.8</v>
      </c>
      <c r="I43" s="83">
        <v>0.8</v>
      </c>
      <c r="J43" s="83">
        <v>0.8</v>
      </c>
      <c r="L43" s="101" t="s">
        <v>100</v>
      </c>
      <c r="M43" s="80" t="s">
        <v>16</v>
      </c>
      <c r="N43" s="80" t="s">
        <v>17</v>
      </c>
      <c r="O43" s="80" t="s">
        <v>18</v>
      </c>
    </row>
    <row r="44" spans="2:15" x14ac:dyDescent="0.25">
      <c r="G44" s="88"/>
      <c r="H44" s="89"/>
      <c r="I44" s="89"/>
      <c r="J44" s="89"/>
      <c r="L44" s="100" t="s">
        <v>99</v>
      </c>
      <c r="M44" s="102">
        <f>C5</f>
        <v>2.8484848484848486</v>
      </c>
      <c r="N44" s="102">
        <f>D5</f>
        <v>2.3495934959349594</v>
      </c>
      <c r="O44" s="102">
        <f>E5</f>
        <v>1.6135922330097088</v>
      </c>
    </row>
    <row r="45" spans="2:15" x14ac:dyDescent="0.25">
      <c r="B45" s="82" t="s">
        <v>137</v>
      </c>
      <c r="C45" s="96">
        <f>SPRINT2!C11+SPRINT2!C13</f>
        <v>161000</v>
      </c>
      <c r="D45" s="96">
        <f>SPRINT2!D11+SPRINT2!D13</f>
        <v>270000</v>
      </c>
      <c r="E45" s="96">
        <f>SPRINT2!E11+SPRINT2!E13</f>
        <v>409500</v>
      </c>
      <c r="G45" s="77" t="s">
        <v>125</v>
      </c>
      <c r="H45" s="86"/>
      <c r="I45" s="86"/>
      <c r="J45" s="86"/>
      <c r="L45" s="100" t="s">
        <v>105</v>
      </c>
      <c r="M45" s="102">
        <f>C9</f>
        <v>0.98484848484848486</v>
      </c>
      <c r="N45" s="102">
        <f>D9</f>
        <v>1.032520325203252</v>
      </c>
      <c r="O45" s="102">
        <f>E9</f>
        <v>0.8233009708737864</v>
      </c>
    </row>
    <row r="46" spans="2:15" x14ac:dyDescent="0.25">
      <c r="B46" s="77" t="s">
        <v>138</v>
      </c>
      <c r="C46" s="85">
        <f>SPRINT2!C27</f>
        <v>54000</v>
      </c>
      <c r="D46" s="85">
        <f>SPRINT2!D27</f>
        <v>99000</v>
      </c>
      <c r="E46" s="85">
        <f>SPRINT2!E27</f>
        <v>198500</v>
      </c>
      <c r="G46" s="77" t="s">
        <v>102</v>
      </c>
      <c r="H46" s="86"/>
      <c r="I46" s="86"/>
      <c r="J46" s="86"/>
      <c r="L46" s="100" t="s">
        <v>107</v>
      </c>
      <c r="M46" s="102">
        <f>C13</f>
        <v>0.40909090909090912</v>
      </c>
      <c r="N46" s="102">
        <f>D13</f>
        <v>0.15447154471544716</v>
      </c>
      <c r="O46" s="102">
        <f>E13</f>
        <v>2.3300970873786409E-2</v>
      </c>
    </row>
    <row r="47" spans="2:15" ht="15.75" thickBot="1" x14ac:dyDescent="0.3">
      <c r="B47" s="92" t="s">
        <v>72</v>
      </c>
      <c r="C47" s="93">
        <f>C45-C46</f>
        <v>107000</v>
      </c>
      <c r="D47" s="93">
        <f t="shared" ref="D47" si="10">D45-D46</f>
        <v>171000</v>
      </c>
      <c r="E47" s="93">
        <f t="shared" ref="E47" si="11">E45-E46</f>
        <v>211000</v>
      </c>
      <c r="G47" s="81" t="s">
        <v>126</v>
      </c>
      <c r="H47" s="83"/>
      <c r="I47" s="83"/>
      <c r="J47" s="83"/>
      <c r="L47" s="100" t="s">
        <v>111</v>
      </c>
      <c r="M47" s="102">
        <f>C19</f>
        <v>18.239999999999998</v>
      </c>
      <c r="N47" s="102">
        <f>D19</f>
        <v>21.024000000000001</v>
      </c>
      <c r="O47" s="102">
        <f>E19</f>
        <v>24.57391304347826</v>
      </c>
    </row>
    <row r="48" spans="2:15" x14ac:dyDescent="0.25">
      <c r="G48" s="88"/>
      <c r="H48" s="90"/>
      <c r="I48" s="90"/>
      <c r="J48" s="90"/>
      <c r="L48" s="100" t="s">
        <v>114</v>
      </c>
      <c r="M48" s="102">
        <f>C23</f>
        <v>47.414634146341463</v>
      </c>
      <c r="N48" s="102">
        <f>D23</f>
        <v>38.383275261324037</v>
      </c>
      <c r="O48" s="102">
        <f>E23</f>
        <v>33.924611973392459</v>
      </c>
    </row>
    <row r="49" spans="2:15" x14ac:dyDescent="0.25">
      <c r="B49" s="82" t="s">
        <v>139</v>
      </c>
      <c r="C49" s="96">
        <f>SPRINT2!H18</f>
        <v>76125</v>
      </c>
      <c r="D49" s="96">
        <f>SPRINT2!I18</f>
        <v>61425</v>
      </c>
      <c r="E49" s="97">
        <f>SPRINT2!J18</f>
        <v>-52425</v>
      </c>
      <c r="G49" s="77" t="s">
        <v>119</v>
      </c>
      <c r="H49" s="85"/>
      <c r="I49" s="85"/>
      <c r="J49" s="85"/>
      <c r="L49" s="100" t="s">
        <v>115</v>
      </c>
      <c r="M49" s="102">
        <f>C29</f>
        <v>2.2962962962962963</v>
      </c>
      <c r="N49" s="102">
        <f>D29</f>
        <v>1.7081456232615579</v>
      </c>
      <c r="O49" s="102">
        <f>E29</f>
        <v>1.3612334424319277</v>
      </c>
    </row>
    <row r="50" spans="2:15" x14ac:dyDescent="0.25">
      <c r="B50" s="77" t="s">
        <v>140</v>
      </c>
      <c r="C50" s="85">
        <f>SPRINT2!C19</f>
        <v>25000</v>
      </c>
      <c r="D50" s="85">
        <f>SPRINT2!D19</f>
        <v>25000</v>
      </c>
      <c r="E50" s="85">
        <f>SPRINT2!E19</f>
        <v>65000</v>
      </c>
      <c r="G50" s="77" t="s">
        <v>127</v>
      </c>
      <c r="H50" s="85"/>
      <c r="I50" s="85"/>
      <c r="J50" s="85"/>
      <c r="L50" s="100" t="s">
        <v>120</v>
      </c>
      <c r="M50" s="102">
        <f>C35</f>
        <v>0.75524475524475521</v>
      </c>
      <c r="N50" s="102">
        <f>D35</f>
        <v>1.37479438723429</v>
      </c>
      <c r="O50" s="102">
        <f>E35</f>
        <v>2.6429202237268177</v>
      </c>
    </row>
    <row r="51" spans="2:15" ht="15.75" thickBot="1" x14ac:dyDescent="0.3">
      <c r="B51" s="92" t="s">
        <v>86</v>
      </c>
      <c r="C51" s="98">
        <f>C49/C50</f>
        <v>3.0449999999999999</v>
      </c>
      <c r="D51" s="98">
        <f t="shared" ref="D51:E51" si="12">D49/D50</f>
        <v>2.4569999999999999</v>
      </c>
      <c r="E51" s="99">
        <f t="shared" si="12"/>
        <v>-0.80653846153846154</v>
      </c>
      <c r="G51" s="81" t="s">
        <v>128</v>
      </c>
      <c r="H51" s="83"/>
      <c r="I51" s="83"/>
      <c r="J51" s="83"/>
      <c r="L51" s="100" t="s">
        <v>131</v>
      </c>
      <c r="M51" s="102">
        <f>C76</f>
        <v>0.4302788844621514</v>
      </c>
      <c r="N51" s="102">
        <f>D76</f>
        <v>0.57891091314031184</v>
      </c>
      <c r="O51" s="102">
        <f>E76</f>
        <v>0.72549494949494953</v>
      </c>
    </row>
    <row r="52" spans="2:15" x14ac:dyDescent="0.25">
      <c r="H52" s="91"/>
      <c r="I52" s="91"/>
      <c r="J52" s="91"/>
      <c r="L52" s="100" t="s">
        <v>124</v>
      </c>
      <c r="M52" s="102">
        <f>C80</f>
        <v>0.61111111111111116</v>
      </c>
      <c r="N52" s="102">
        <f>D80</f>
        <v>0.47320250374137751</v>
      </c>
      <c r="O52" s="102">
        <f>E80</f>
        <v>0.55156193772812179</v>
      </c>
    </row>
    <row r="53" spans="2:15" x14ac:dyDescent="0.25">
      <c r="B53" s="82" t="s">
        <v>139</v>
      </c>
      <c r="C53" s="96">
        <v>76125</v>
      </c>
      <c r="D53" s="96">
        <v>61425</v>
      </c>
      <c r="E53" s="97">
        <v>-52425</v>
      </c>
      <c r="G53" s="82" t="s">
        <v>117</v>
      </c>
      <c r="H53" s="85"/>
      <c r="I53" s="85"/>
      <c r="J53" s="85"/>
      <c r="L53" s="100" t="s">
        <v>132</v>
      </c>
      <c r="M53" s="102">
        <f>C43</f>
        <v>122000</v>
      </c>
      <c r="N53" s="102">
        <f>D43</f>
        <v>166000</v>
      </c>
      <c r="O53" s="102">
        <f>E43</f>
        <v>158000</v>
      </c>
    </row>
    <row r="54" spans="2:15" x14ac:dyDescent="0.25">
      <c r="B54" s="77" t="s">
        <v>127</v>
      </c>
      <c r="C54" s="85">
        <v>251000</v>
      </c>
      <c r="D54" s="85">
        <v>449000</v>
      </c>
      <c r="E54" s="85">
        <v>643500</v>
      </c>
      <c r="G54" s="77" t="s">
        <v>127</v>
      </c>
      <c r="H54" s="85"/>
      <c r="I54" s="85"/>
      <c r="J54" s="85"/>
      <c r="L54" s="100" t="s">
        <v>72</v>
      </c>
      <c r="M54" s="102">
        <f>C47</f>
        <v>107000</v>
      </c>
      <c r="N54" s="102">
        <f>D47</f>
        <v>171000</v>
      </c>
      <c r="O54" s="102">
        <f>E47</f>
        <v>211000</v>
      </c>
    </row>
    <row r="55" spans="2:15" ht="15.75" thickBot="1" x14ac:dyDescent="0.3">
      <c r="B55" s="92" t="s">
        <v>87</v>
      </c>
      <c r="C55" s="98">
        <f>C53/C54</f>
        <v>0.30328685258964144</v>
      </c>
      <c r="D55" s="98">
        <f t="shared" ref="D55:E55" si="13">D53/D54</f>
        <v>0.13680400890868596</v>
      </c>
      <c r="E55" s="98">
        <f t="shared" si="13"/>
        <v>-8.1468531468531474E-2</v>
      </c>
      <c r="G55" s="92" t="s">
        <v>129</v>
      </c>
      <c r="H55" s="93"/>
      <c r="I55" s="93"/>
      <c r="J55" s="93"/>
      <c r="L55" s="100" t="s">
        <v>86</v>
      </c>
      <c r="M55" s="103">
        <f>C51</f>
        <v>3.0449999999999999</v>
      </c>
      <c r="N55" s="103">
        <f>D51</f>
        <v>2.4569999999999999</v>
      </c>
      <c r="O55" s="103">
        <f>E51</f>
        <v>-0.80653846153846154</v>
      </c>
    </row>
    <row r="56" spans="2:15" x14ac:dyDescent="0.25">
      <c r="L56" s="100" t="s">
        <v>87</v>
      </c>
      <c r="M56" s="103">
        <f>C55</f>
        <v>0.30328685258964144</v>
      </c>
      <c r="N56" s="103">
        <f>D55</f>
        <v>0.13680400890868596</v>
      </c>
      <c r="O56" s="103">
        <f>E55</f>
        <v>-8.1468531468531474E-2</v>
      </c>
    </row>
    <row r="57" spans="2:15" x14ac:dyDescent="0.25">
      <c r="B57" s="82" t="s">
        <v>141</v>
      </c>
      <c r="C57" s="96">
        <f>-SPRINT2!C22</f>
        <v>45675</v>
      </c>
      <c r="D57" s="96">
        <f>-SPRINT2!D22</f>
        <v>15356</v>
      </c>
      <c r="E57" s="96">
        <f>-SPRINT2!E22</f>
        <v>0</v>
      </c>
      <c r="L57" s="100" t="s">
        <v>133</v>
      </c>
      <c r="M57" s="103">
        <f>C59</f>
        <v>0.6</v>
      </c>
      <c r="N57" s="103">
        <f>D59</f>
        <v>0.24999592999592998</v>
      </c>
      <c r="O57" s="103">
        <f>E59</f>
        <v>0</v>
      </c>
    </row>
    <row r="58" spans="2:15" x14ac:dyDescent="0.25">
      <c r="B58" s="77" t="s">
        <v>139</v>
      </c>
      <c r="C58" s="85">
        <v>76125</v>
      </c>
      <c r="D58" s="85">
        <v>61425</v>
      </c>
      <c r="E58" s="85">
        <v>-52425</v>
      </c>
      <c r="G58" s="82" t="s">
        <v>135</v>
      </c>
      <c r="H58" s="96"/>
      <c r="I58" s="96"/>
      <c r="J58" s="96"/>
    </row>
    <row r="59" spans="2:15" ht="15.75" thickBot="1" x14ac:dyDescent="0.3">
      <c r="B59" s="92" t="s">
        <v>133</v>
      </c>
      <c r="C59" s="98">
        <f>C57/C58</f>
        <v>0.6</v>
      </c>
      <c r="D59" s="98">
        <f t="shared" ref="D59" si="14">D57/D58</f>
        <v>0.24999592999592998</v>
      </c>
      <c r="E59" s="98">
        <f t="shared" ref="E59" si="15">E57/E58</f>
        <v>0</v>
      </c>
      <c r="G59" s="77" t="s">
        <v>136</v>
      </c>
      <c r="H59" s="85"/>
      <c r="I59" s="85"/>
      <c r="J59" s="85"/>
    </row>
    <row r="60" spans="2:15" ht="15.75" thickBot="1" x14ac:dyDescent="0.3">
      <c r="G60" s="92" t="s">
        <v>132</v>
      </c>
      <c r="H60" s="93">
        <v>-19000</v>
      </c>
      <c r="I60" s="93">
        <v>-31500</v>
      </c>
      <c r="J60" s="93">
        <v>-58000</v>
      </c>
      <c r="L60" s="101" t="str">
        <f>$G$1</f>
        <v>MASVENTAS S.A.</v>
      </c>
      <c r="M60" s="80" t="s">
        <v>16</v>
      </c>
      <c r="N60" s="80" t="s">
        <v>17</v>
      </c>
      <c r="O60" s="80" t="s">
        <v>18</v>
      </c>
    </row>
    <row r="61" spans="2:15" x14ac:dyDescent="0.25">
      <c r="L61" s="100" t="s">
        <v>99</v>
      </c>
      <c r="M61" s="102">
        <f>H5</f>
        <v>0.6</v>
      </c>
      <c r="N61" s="102">
        <f>I5</f>
        <v>0.6</v>
      </c>
      <c r="O61" s="102">
        <f>J5</f>
        <v>0.5</v>
      </c>
    </row>
    <row r="62" spans="2:15" x14ac:dyDescent="0.25">
      <c r="G62" s="82" t="s">
        <v>137</v>
      </c>
      <c r="H62" s="96"/>
      <c r="I62" s="96"/>
      <c r="J62" s="96"/>
      <c r="L62" s="100" t="s">
        <v>105</v>
      </c>
      <c r="M62" s="102">
        <f>H9</f>
        <v>0.4</v>
      </c>
      <c r="N62" s="102">
        <f>I9</f>
        <v>0.4</v>
      </c>
      <c r="O62" s="102">
        <f>J9</f>
        <v>0.4</v>
      </c>
    </row>
    <row r="63" spans="2:15" x14ac:dyDescent="0.25">
      <c r="G63" s="77" t="s">
        <v>138</v>
      </c>
      <c r="H63" s="85"/>
      <c r="I63" s="85"/>
      <c r="J63" s="85"/>
      <c r="L63" s="100" t="s">
        <v>107</v>
      </c>
      <c r="M63" s="102">
        <f>H13</f>
        <v>0.3</v>
      </c>
      <c r="N63" s="102">
        <f>I13</f>
        <v>0.3</v>
      </c>
      <c r="O63" s="102">
        <f>J13</f>
        <v>0.3</v>
      </c>
    </row>
    <row r="64" spans="2:15" ht="15.75" thickBot="1" x14ac:dyDescent="0.3">
      <c r="G64" s="92" t="s">
        <v>72</v>
      </c>
      <c r="H64" s="93">
        <v>-20000</v>
      </c>
      <c r="I64" s="93">
        <v>-30000</v>
      </c>
      <c r="J64" s="93">
        <v>-62000</v>
      </c>
      <c r="L64" s="100" t="s">
        <v>111</v>
      </c>
      <c r="M64" s="102">
        <f>H19</f>
        <v>9.1</v>
      </c>
      <c r="N64" s="102">
        <f>I19</f>
        <v>8.1</v>
      </c>
      <c r="O64" s="102">
        <f>J19</f>
        <v>7.9</v>
      </c>
    </row>
    <row r="65" spans="2:15" x14ac:dyDescent="0.25">
      <c r="L65" s="100" t="s">
        <v>114</v>
      </c>
      <c r="M65" s="102">
        <f>H23</f>
        <v>76</v>
      </c>
      <c r="N65" s="102">
        <f>I23</f>
        <v>58.4</v>
      </c>
      <c r="O65" s="102">
        <f>J23</f>
        <v>68.400000000000006</v>
      </c>
    </row>
    <row r="66" spans="2:15" x14ac:dyDescent="0.25">
      <c r="G66" s="82" t="s">
        <v>139</v>
      </c>
      <c r="H66" s="96"/>
      <c r="I66" s="96"/>
      <c r="J66" s="97"/>
      <c r="L66" s="100" t="s">
        <v>115</v>
      </c>
      <c r="M66" s="102">
        <f>H29</f>
        <v>1.2</v>
      </c>
      <c r="N66" s="102">
        <f>I29</f>
        <v>1.1000000000000001</v>
      </c>
      <c r="O66" s="102">
        <f>J29</f>
        <v>1.1000000000000001</v>
      </c>
    </row>
    <row r="67" spans="2:15" x14ac:dyDescent="0.25">
      <c r="G67" s="77" t="s">
        <v>140</v>
      </c>
      <c r="H67" s="85"/>
      <c r="I67" s="85"/>
      <c r="J67" s="85"/>
      <c r="L67" s="100" t="s">
        <v>120</v>
      </c>
      <c r="M67" s="102">
        <f>H35</f>
        <v>5.3</v>
      </c>
      <c r="N67" s="102">
        <f>I35</f>
        <v>8.6</v>
      </c>
      <c r="O67" s="102">
        <f>J35</f>
        <v>13.4</v>
      </c>
    </row>
    <row r="68" spans="2:15" ht="15.75" thickBot="1" x14ac:dyDescent="0.3">
      <c r="G68" s="92" t="s">
        <v>86</v>
      </c>
      <c r="H68" s="98">
        <v>0.42</v>
      </c>
      <c r="I68" s="98">
        <v>0.83</v>
      </c>
      <c r="J68" s="99">
        <v>1.08</v>
      </c>
      <c r="L68" s="100" t="s">
        <v>131</v>
      </c>
      <c r="M68" s="102">
        <f>H39</f>
        <v>0.8</v>
      </c>
      <c r="N68" s="102">
        <f>I39</f>
        <v>0.9</v>
      </c>
      <c r="O68" s="102">
        <f>J39</f>
        <v>0.9</v>
      </c>
    </row>
    <row r="69" spans="2:15" x14ac:dyDescent="0.25">
      <c r="L69" s="100" t="s">
        <v>124</v>
      </c>
      <c r="M69" s="102">
        <f>H43</f>
        <v>0.8</v>
      </c>
      <c r="N69" s="102">
        <f>I43</f>
        <v>0.8</v>
      </c>
      <c r="O69" s="102">
        <f>J43</f>
        <v>0.8</v>
      </c>
    </row>
    <row r="70" spans="2:15" x14ac:dyDescent="0.25">
      <c r="G70" s="82" t="s">
        <v>139</v>
      </c>
      <c r="H70" s="96"/>
      <c r="I70" s="96"/>
      <c r="J70" s="97"/>
      <c r="L70" s="100" t="s">
        <v>132</v>
      </c>
      <c r="M70" s="102">
        <f t="shared" ref="M70:O70" si="16">H60</f>
        <v>-19000</v>
      </c>
      <c r="N70" s="102">
        <f t="shared" si="16"/>
        <v>-31500</v>
      </c>
      <c r="O70" s="102">
        <f t="shared" si="16"/>
        <v>-58000</v>
      </c>
    </row>
    <row r="71" spans="2:15" x14ac:dyDescent="0.25">
      <c r="G71" s="77" t="s">
        <v>127</v>
      </c>
      <c r="H71" s="85"/>
      <c r="I71" s="85"/>
      <c r="J71" s="85"/>
      <c r="L71" s="100" t="s">
        <v>72</v>
      </c>
      <c r="M71" s="102">
        <f t="shared" ref="M71:O71" si="17">H64</f>
        <v>-20000</v>
      </c>
      <c r="N71" s="102">
        <f t="shared" si="17"/>
        <v>-30000</v>
      </c>
      <c r="O71" s="102">
        <f t="shared" si="17"/>
        <v>-62000</v>
      </c>
    </row>
    <row r="72" spans="2:15" ht="15.75" thickBot="1" x14ac:dyDescent="0.3">
      <c r="G72" s="92" t="s">
        <v>87</v>
      </c>
      <c r="H72" s="98">
        <v>7.0000000000000007E-2</v>
      </c>
      <c r="I72" s="98">
        <v>0.09</v>
      </c>
      <c r="J72" s="98">
        <v>0.08</v>
      </c>
      <c r="L72" s="100" t="s">
        <v>86</v>
      </c>
      <c r="M72" s="103">
        <f t="shared" ref="M72:O72" si="18">H68</f>
        <v>0.42</v>
      </c>
      <c r="N72" s="103">
        <f t="shared" si="18"/>
        <v>0.83</v>
      </c>
      <c r="O72" s="103">
        <f t="shared" si="18"/>
        <v>1.08</v>
      </c>
    </row>
    <row r="73" spans="2:15" x14ac:dyDescent="0.25">
      <c r="L73" s="100" t="s">
        <v>87</v>
      </c>
      <c r="M73" s="103">
        <f t="shared" ref="M73:O73" si="19">H72</f>
        <v>7.0000000000000007E-2</v>
      </c>
      <c r="N73" s="103">
        <f t="shared" si="19"/>
        <v>0.09</v>
      </c>
      <c r="O73" s="103">
        <f t="shared" si="19"/>
        <v>0.08</v>
      </c>
    </row>
    <row r="74" spans="2:15" x14ac:dyDescent="0.25">
      <c r="B74" s="82" t="s">
        <v>121</v>
      </c>
      <c r="C74" s="84">
        <v>108000</v>
      </c>
      <c r="D74" s="84">
        <v>259931</v>
      </c>
      <c r="E74" s="84">
        <v>466856</v>
      </c>
      <c r="G74" s="82" t="s">
        <v>141</v>
      </c>
      <c r="H74" s="96"/>
      <c r="I74" s="96"/>
      <c r="J74" s="96"/>
      <c r="L74" s="100" t="s">
        <v>133</v>
      </c>
      <c r="M74" s="103">
        <f t="shared" ref="M74:O74" si="20">H76</f>
        <v>1</v>
      </c>
      <c r="N74" s="103">
        <f t="shared" si="20"/>
        <v>0.75</v>
      </c>
      <c r="O74" s="103">
        <f t="shared" si="20"/>
        <v>0.77</v>
      </c>
    </row>
    <row r="75" spans="2:15" x14ac:dyDescent="0.25">
      <c r="B75" s="77" t="s">
        <v>122</v>
      </c>
      <c r="C75" s="85">
        <v>251000</v>
      </c>
      <c r="D75" s="85">
        <v>449000</v>
      </c>
      <c r="E75" s="85">
        <v>643500</v>
      </c>
      <c r="G75" s="77" t="s">
        <v>139</v>
      </c>
      <c r="H75" s="85"/>
      <c r="I75" s="85"/>
      <c r="J75" s="85"/>
    </row>
    <row r="76" spans="2:15" ht="15.75" thickBot="1" x14ac:dyDescent="0.3">
      <c r="B76" s="81" t="s">
        <v>131</v>
      </c>
      <c r="C76" s="83">
        <f>C74/C75</f>
        <v>0.4302788844621514</v>
      </c>
      <c r="D76" s="83">
        <f t="shared" ref="D76:E76" si="21">D74/D75</f>
        <v>0.57891091314031184</v>
      </c>
      <c r="E76" s="83">
        <f t="shared" si="21"/>
        <v>0.72549494949494953</v>
      </c>
      <c r="G76" s="92" t="s">
        <v>133</v>
      </c>
      <c r="H76" s="98">
        <v>1</v>
      </c>
      <c r="I76" s="98">
        <v>0.75</v>
      </c>
      <c r="J76" s="98">
        <v>0.77</v>
      </c>
    </row>
    <row r="77" spans="2:15" x14ac:dyDescent="0.25">
      <c r="B77" s="88"/>
      <c r="C77" s="90"/>
      <c r="D77" s="90"/>
      <c r="E77" s="90"/>
    </row>
    <row r="78" spans="2:15" x14ac:dyDescent="0.25">
      <c r="B78" s="77" t="s">
        <v>104</v>
      </c>
      <c r="C78" s="85">
        <v>66000</v>
      </c>
      <c r="D78" s="85">
        <v>123000</v>
      </c>
      <c r="E78" s="85">
        <v>257500</v>
      </c>
    </row>
    <row r="79" spans="2:15" x14ac:dyDescent="0.25">
      <c r="B79" s="77" t="s">
        <v>123</v>
      </c>
      <c r="C79" s="85">
        <v>108000</v>
      </c>
      <c r="D79" s="85">
        <v>259931</v>
      </c>
      <c r="E79" s="85">
        <v>466856</v>
      </c>
    </row>
    <row r="80" spans="2:15" x14ac:dyDescent="0.25">
      <c r="B80" s="81" t="s">
        <v>124</v>
      </c>
      <c r="C80" s="83">
        <f>C78/C79</f>
        <v>0.61111111111111116</v>
      </c>
      <c r="D80" s="83">
        <f t="shared" ref="D80:E80" si="22">D78/D79</f>
        <v>0.47320250374137751</v>
      </c>
      <c r="E80" s="83">
        <f t="shared" si="22"/>
        <v>0.55156193772812179</v>
      </c>
    </row>
    <row r="82" spans="2:5" x14ac:dyDescent="0.25">
      <c r="B82" s="77" t="s">
        <v>119</v>
      </c>
      <c r="C82" s="85">
        <v>143000</v>
      </c>
      <c r="D82" s="85">
        <v>189069</v>
      </c>
      <c r="E82" s="85">
        <v>176644</v>
      </c>
    </row>
    <row r="83" spans="2:5" x14ac:dyDescent="0.25">
      <c r="B83" s="77" t="s">
        <v>127</v>
      </c>
      <c r="C83" s="85">
        <v>251000</v>
      </c>
      <c r="D83" s="85">
        <v>449000</v>
      </c>
      <c r="E83" s="85">
        <v>643500</v>
      </c>
    </row>
    <row r="84" spans="2:5" x14ac:dyDescent="0.25">
      <c r="B84" s="81" t="s">
        <v>128</v>
      </c>
      <c r="C84" s="83">
        <f>C82/C83</f>
        <v>0.56972111553784865</v>
      </c>
      <c r="D84" s="83">
        <f t="shared" ref="D84:E84" si="23">D82/D83</f>
        <v>0.42108908685968821</v>
      </c>
      <c r="E84" s="83">
        <f t="shared" si="23"/>
        <v>0.27450505050505053</v>
      </c>
    </row>
    <row r="85" spans="2:5" x14ac:dyDescent="0.25">
      <c r="C85" s="91"/>
      <c r="D85" s="91"/>
      <c r="E85" s="91"/>
    </row>
    <row r="86" spans="2:5" x14ac:dyDescent="0.25">
      <c r="B86" s="82" t="s">
        <v>117</v>
      </c>
      <c r="C86" s="85">
        <v>108000</v>
      </c>
      <c r="D86" s="85">
        <v>259931</v>
      </c>
      <c r="E86" s="85">
        <v>466856</v>
      </c>
    </row>
    <row r="87" spans="2:5" x14ac:dyDescent="0.25">
      <c r="B87" s="77" t="s">
        <v>127</v>
      </c>
      <c r="C87" s="85">
        <v>251000</v>
      </c>
      <c r="D87" s="85">
        <v>449000</v>
      </c>
      <c r="E87" s="85">
        <v>643500</v>
      </c>
    </row>
    <row r="88" spans="2:5" ht="15.75" thickBot="1" x14ac:dyDescent="0.3">
      <c r="B88" s="92" t="s">
        <v>129</v>
      </c>
      <c r="C88" s="93">
        <f>C86/C87</f>
        <v>0.4302788844621514</v>
      </c>
      <c r="D88" s="93">
        <f t="shared" ref="D88:E88" si="24">D86/D87</f>
        <v>0.57891091314031184</v>
      </c>
      <c r="E88" s="93">
        <f t="shared" si="24"/>
        <v>0.72549494949494953</v>
      </c>
    </row>
  </sheetData>
  <mergeCells count="2">
    <mergeCell ref="B1:E1"/>
    <mergeCell ref="G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7</vt:i4>
      </vt:variant>
    </vt:vector>
  </HeadingPairs>
  <TitlesOfParts>
    <vt:vector size="7" baseType="lpstr">
      <vt:lpstr>Datos Estructurados</vt:lpstr>
      <vt:lpstr>Full3</vt:lpstr>
      <vt:lpstr>Analisis vertical y horizontal</vt:lpstr>
      <vt:lpstr>Consolidació</vt:lpstr>
      <vt:lpstr>SPRINT2</vt:lpstr>
      <vt:lpstr>Full2</vt:lpstr>
      <vt:lpstr>TOTS 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Oriol puig i Carreró</dc:creator>
  <cp:lastModifiedBy>Oriol puig i Carreró</cp:lastModifiedBy>
  <dcterms:created xsi:type="dcterms:W3CDTF">2024-04-07T09:45:27Z</dcterms:created>
  <dcterms:modified xsi:type="dcterms:W3CDTF">2024-05-01T18:21:33Z</dcterms:modified>
</cp:coreProperties>
</file>