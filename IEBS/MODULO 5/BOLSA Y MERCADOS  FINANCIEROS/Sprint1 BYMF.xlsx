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5/BOLSA Y MERCADOS  FINANCIEROS/"/>
    </mc:Choice>
  </mc:AlternateContent>
  <xr:revisionPtr revIDLastSave="42" documentId="8_{A85D412F-29B9-4DDD-B859-D0E621B3793E}" xr6:coauthVersionLast="47" xr6:coauthVersionMax="47" xr10:uidLastSave="{5DDF4FBB-C0DA-4530-857E-33BE847F9B69}"/>
  <bookViews>
    <workbookView xWindow="22932" yWindow="-60" windowWidth="23256" windowHeight="12456" xr2:uid="{FEBDE94B-9C17-4E62-A458-F6F362F4DEDC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K3" i="1"/>
  <c r="L3" i="1"/>
  <c r="M3" i="1"/>
  <c r="N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H4" i="1" l="1"/>
  <c r="I4" i="1" l="1"/>
  <c r="K4" i="1" s="1"/>
  <c r="J4" i="1"/>
  <c r="L4" i="1" s="1"/>
  <c r="M4" i="1" l="1"/>
  <c r="N4" i="1" s="1"/>
  <c r="H5" i="1" s="1"/>
  <c r="I5" i="1" l="1"/>
  <c r="K5" i="1" s="1"/>
  <c r="M5" i="1" s="1"/>
  <c r="N5" i="1" s="1"/>
  <c r="H6" i="1" s="1"/>
  <c r="J5" i="1"/>
  <c r="L5" i="1" s="1"/>
  <c r="I6" i="1" l="1"/>
  <c r="K6" i="1" s="1"/>
  <c r="J6" i="1"/>
  <c r="L6" i="1" s="1"/>
  <c r="M6" i="1" l="1"/>
  <c r="N6" i="1" s="1"/>
  <c r="H7" i="1" s="1"/>
  <c r="I7" i="1" l="1"/>
  <c r="K7" i="1" s="1"/>
  <c r="J7" i="1"/>
  <c r="L7" i="1" s="1"/>
  <c r="M7" i="1" l="1"/>
  <c r="N7" i="1" s="1"/>
  <c r="H8" i="1" s="1"/>
  <c r="I8" i="1" l="1"/>
  <c r="K8" i="1" s="1"/>
  <c r="J8" i="1"/>
  <c r="L8" i="1" s="1"/>
  <c r="M8" i="1" l="1"/>
  <c r="N8" i="1" s="1"/>
  <c r="H9" i="1" s="1"/>
  <c r="I9" i="1" l="1"/>
  <c r="K9" i="1" s="1"/>
  <c r="J9" i="1"/>
  <c r="L9" i="1" s="1"/>
  <c r="M9" i="1" l="1"/>
  <c r="N9" i="1" s="1"/>
  <c r="H10" i="1" s="1"/>
  <c r="I10" i="1" l="1"/>
  <c r="K10" i="1" s="1"/>
  <c r="J10" i="1"/>
  <c r="L10" i="1" s="1"/>
  <c r="M10" i="1" l="1"/>
  <c r="N10" i="1" s="1"/>
  <c r="H11" i="1" s="1"/>
  <c r="J11" i="1" l="1"/>
  <c r="L11" i="1" s="1"/>
  <c r="I11" i="1"/>
  <c r="K11" i="1" s="1"/>
  <c r="M11" i="1" s="1"/>
  <c r="N11" i="1" s="1"/>
  <c r="H12" i="1" s="1"/>
  <c r="I12" i="1" l="1"/>
  <c r="K12" i="1" s="1"/>
  <c r="M12" i="1" s="1"/>
  <c r="N12" i="1" s="1"/>
  <c r="H13" i="1" s="1"/>
  <c r="J12" i="1"/>
  <c r="L12" i="1" s="1"/>
  <c r="I13" i="1" l="1"/>
  <c r="K13" i="1" s="1"/>
  <c r="J13" i="1"/>
  <c r="L13" i="1" s="1"/>
  <c r="M13" i="1" l="1"/>
  <c r="N13" i="1" s="1"/>
  <c r="H14" i="1" s="1"/>
  <c r="I14" i="1" l="1"/>
  <c r="K14" i="1" s="1"/>
  <c r="J14" i="1"/>
  <c r="L14" i="1" s="1"/>
  <c r="M14" i="1" l="1"/>
  <c r="N14" i="1" s="1"/>
  <c r="H15" i="1" s="1"/>
  <c r="I15" i="1" l="1"/>
  <c r="K15" i="1" s="1"/>
  <c r="J15" i="1"/>
  <c r="L15" i="1" s="1"/>
  <c r="M15" i="1" l="1"/>
  <c r="N15" i="1" s="1"/>
  <c r="H16" i="1" s="1"/>
  <c r="I16" i="1" l="1"/>
  <c r="K16" i="1" s="1"/>
  <c r="M16" i="1" s="1"/>
  <c r="N16" i="1" s="1"/>
  <c r="H17" i="1" s="1"/>
  <c r="J16" i="1"/>
  <c r="L16" i="1" s="1"/>
  <c r="I17" i="1" l="1"/>
  <c r="K17" i="1" s="1"/>
  <c r="J17" i="1"/>
  <c r="L17" i="1" s="1"/>
  <c r="M17" i="1" l="1"/>
  <c r="N17" i="1" s="1"/>
  <c r="H18" i="1" s="1"/>
  <c r="I18" i="1" l="1"/>
  <c r="K18" i="1" s="1"/>
  <c r="J18" i="1"/>
  <c r="L18" i="1" s="1"/>
  <c r="M18" i="1" l="1"/>
  <c r="N18" i="1" s="1"/>
  <c r="H19" i="1" s="1"/>
  <c r="J19" i="1" l="1"/>
  <c r="L19" i="1" s="1"/>
  <c r="I19" i="1"/>
  <c r="K19" i="1" s="1"/>
  <c r="M19" i="1" s="1"/>
  <c r="N19" i="1" s="1"/>
  <c r="H20" i="1" s="1"/>
  <c r="I20" i="1" l="1"/>
  <c r="K20" i="1" s="1"/>
  <c r="J20" i="1"/>
  <c r="L20" i="1" s="1"/>
  <c r="M20" i="1" l="1"/>
  <c r="N20" i="1" s="1"/>
  <c r="H21" i="1" s="1"/>
  <c r="I21" i="1" l="1"/>
  <c r="K21" i="1" s="1"/>
  <c r="J21" i="1"/>
  <c r="L21" i="1" s="1"/>
  <c r="M21" i="1" l="1"/>
  <c r="N21" i="1" s="1"/>
  <c r="H22" i="1" s="1"/>
  <c r="J22" i="1" l="1"/>
  <c r="L22" i="1" s="1"/>
  <c r="I22" i="1"/>
  <c r="K22" i="1" s="1"/>
  <c r="M22" i="1" s="1"/>
  <c r="N22" i="1" s="1"/>
  <c r="H23" i="1" s="1"/>
  <c r="I23" i="1" l="1"/>
  <c r="K23" i="1" s="1"/>
  <c r="J23" i="1"/>
  <c r="L23" i="1" s="1"/>
  <c r="M23" i="1" l="1"/>
  <c r="N23" i="1" s="1"/>
  <c r="H24" i="1" s="1"/>
  <c r="I24" i="1" l="1"/>
  <c r="K24" i="1" s="1"/>
  <c r="M24" i="1" s="1"/>
  <c r="N24" i="1" s="1"/>
  <c r="H25" i="1" s="1"/>
  <c r="J24" i="1"/>
  <c r="L24" i="1" s="1"/>
  <c r="J25" i="1" l="1"/>
  <c r="L25" i="1" s="1"/>
  <c r="I25" i="1"/>
  <c r="K25" i="1" s="1"/>
  <c r="M25" i="1" s="1"/>
  <c r="N25" i="1" s="1"/>
  <c r="H26" i="1" s="1"/>
  <c r="I26" i="1" l="1"/>
  <c r="K26" i="1" s="1"/>
  <c r="J26" i="1"/>
  <c r="L26" i="1" s="1"/>
  <c r="M26" i="1" l="1"/>
  <c r="N26" i="1" s="1"/>
  <c r="H27" i="1" s="1"/>
  <c r="J27" i="1" l="1"/>
  <c r="L27" i="1" s="1"/>
  <c r="I27" i="1"/>
  <c r="K27" i="1" s="1"/>
  <c r="M27" i="1" l="1"/>
  <c r="N27" i="1" s="1"/>
</calcChain>
</file>

<file path=xl/sharedStrings.xml><?xml version="1.0" encoding="utf-8"?>
<sst xmlns="http://schemas.openxmlformats.org/spreadsheetml/2006/main" count="22" uniqueCount="22">
  <si>
    <t>DATOS</t>
  </si>
  <si>
    <t>PLAN DE JUBILACION</t>
  </si>
  <si>
    <t>Duración (años)</t>
  </si>
  <si>
    <t>% invertir anual</t>
  </si>
  <si>
    <t>Inversiones conservadoras</t>
  </si>
  <si>
    <t>Inversiones agresivas</t>
  </si>
  <si>
    <t>Hipotesis</t>
  </si>
  <si>
    <t>Incremento salarial anual</t>
  </si>
  <si>
    <t xml:space="preserve">Beta inv. Conservadoras </t>
  </si>
  <si>
    <t>Beta inv. Agresivas</t>
  </si>
  <si>
    <t>% media beneficio inv. Cons.</t>
  </si>
  <si>
    <t>% media beneficio inv. Agresivas</t>
  </si>
  <si>
    <t>Año</t>
  </si>
  <si>
    <t>Nomina</t>
  </si>
  <si>
    <t>inicial</t>
  </si>
  <si>
    <t>Capital 
invertir</t>
  </si>
  <si>
    <t>Capital inicial
 inv. Cons</t>
  </si>
  <si>
    <t>Capital inicial 
inv. Agresiva</t>
  </si>
  <si>
    <t>Rendimiento 
Conserv</t>
  </si>
  <si>
    <t>Rendimiento 
Agresiva</t>
  </si>
  <si>
    <t>Rend. 
Total</t>
  </si>
  <si>
    <t>Capital 
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</si>
</sst>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  <numFmt numFmtId="165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43" fontId="0" fillId="0" borderId="1" xfId="1" applyFont="1" applyBorder="1"/>
    <xf numFmtId="9" fontId="0" fillId="0" borderId="1" xfId="0" applyNumberFormat="1" applyBorder="1"/>
    <xf numFmtId="164" fontId="0" fillId="0" borderId="1" xfId="0" applyNumberFormat="1" applyBorder="1"/>
    <xf numFmtId="164" fontId="0" fillId="0" borderId="1" xfId="3" applyNumberFormat="1" applyFont="1" applyBorder="1"/>
    <xf numFmtId="0" fontId="3" fillId="2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9" fontId="0" fillId="0" borderId="1" xfId="3" applyFon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3" fontId="5" fillId="0" borderId="1" xfId="0" applyNumberFormat="1" applyFont="1" applyBorder="1"/>
    <xf numFmtId="165" fontId="5" fillId="0" borderId="1" xfId="0" applyNumberFormat="1" applyFont="1" applyBorder="1"/>
    <xf numFmtId="43" fontId="5" fillId="0" borderId="1" xfId="1" applyFont="1" applyBorder="1"/>
    <xf numFmtId="44" fontId="5" fillId="0" borderId="1" xfId="2" applyFont="1" applyBorder="1"/>
    <xf numFmtId="0" fontId="5" fillId="0" borderId="0" xfId="0" applyFont="1"/>
  </cellXfs>
  <cellStyles count="4">
    <cellStyle name="Coma" xfId="1" builtinId="3"/>
    <cellStyle name="Moneda" xfId="2" builtinId="4"/>
    <cellStyle name="Normal" xfId="0" builtinId="0"/>
    <cellStyle name="Percentat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680C-5C37-4E01-9F1C-A4C811C807E7}">
  <dimension ref="C2:N27"/>
  <sheetViews>
    <sheetView showGridLines="0" tabSelected="1" topLeftCell="D1" workbookViewId="0">
      <selection activeCell="F2" sqref="F2:N27"/>
    </sheetView>
  </sheetViews>
  <sheetFormatPr defaultRowHeight="15" x14ac:dyDescent="0.25"/>
  <cols>
    <col min="3" max="3" width="32.28515625" customWidth="1"/>
    <col min="4" max="4" width="10.5703125" bestFit="1" customWidth="1"/>
    <col min="6" max="6" width="5.42578125" customWidth="1"/>
    <col min="7" max="8" width="12.140625" style="18" customWidth="1"/>
    <col min="9" max="9" width="15.42578125" style="18" customWidth="1"/>
    <col min="10" max="13" width="10.7109375" style="18" customWidth="1"/>
    <col min="14" max="14" width="12.28515625" style="18" customWidth="1"/>
  </cols>
  <sheetData>
    <row r="2" spans="3:14" ht="24" x14ac:dyDescent="0.25">
      <c r="C2" s="7" t="s">
        <v>1</v>
      </c>
      <c r="D2" s="7"/>
      <c r="F2" s="11" t="s">
        <v>12</v>
      </c>
      <c r="G2" s="12" t="s">
        <v>13</v>
      </c>
      <c r="H2" s="13" t="s">
        <v>15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20</v>
      </c>
      <c r="N2" s="13" t="s">
        <v>21</v>
      </c>
    </row>
    <row r="3" spans="3:14" x14ac:dyDescent="0.25">
      <c r="C3" s="6" t="s">
        <v>0</v>
      </c>
      <c r="D3" s="6"/>
      <c r="F3" s="10">
        <v>1</v>
      </c>
      <c r="G3" s="14">
        <f>D5</f>
        <v>35000</v>
      </c>
      <c r="H3" s="15">
        <f>D5*D6</f>
        <v>3500</v>
      </c>
      <c r="I3" s="16">
        <f>(D5*D6)*D7</f>
        <v>2625</v>
      </c>
      <c r="J3" s="15">
        <f>(D5*D6)*D8</f>
        <v>875</v>
      </c>
      <c r="K3" s="16">
        <f>I3*($D$14*$D$12)</f>
        <v>91.874999999999986</v>
      </c>
      <c r="L3" s="16">
        <f>J3*($D$13*$D$15)</f>
        <v>157.50000000000003</v>
      </c>
      <c r="M3" s="16">
        <f>K3+L3</f>
        <v>249.375</v>
      </c>
      <c r="N3" s="17">
        <f>(D5*D6)+M3</f>
        <v>3749.375</v>
      </c>
    </row>
    <row r="4" spans="3:14" x14ac:dyDescent="0.25">
      <c r="C4" s="1" t="s">
        <v>2</v>
      </c>
      <c r="D4" s="1">
        <v>25</v>
      </c>
      <c r="F4" s="10">
        <v>2</v>
      </c>
      <c r="G4" s="15">
        <f>G3+(G3*$D$11)</f>
        <v>35700</v>
      </c>
      <c r="H4" s="15">
        <f>(G4*$D$6)+N3</f>
        <v>7319.375</v>
      </c>
      <c r="I4" s="15">
        <f>H4*$D$7</f>
        <v>5489.53125</v>
      </c>
      <c r="J4" s="15">
        <f>H4*$D$8</f>
        <v>1829.84375</v>
      </c>
      <c r="K4" s="16">
        <f>I4*($D$14*$D$12)</f>
        <v>192.13359374999999</v>
      </c>
      <c r="L4" s="16">
        <f>J4*($D$13*$D$15)</f>
        <v>329.37187500000005</v>
      </c>
      <c r="M4" s="16">
        <f>K4+L4</f>
        <v>521.50546875000009</v>
      </c>
      <c r="N4" s="17">
        <f>M4+H4</f>
        <v>7840.8804687499996</v>
      </c>
    </row>
    <row r="5" spans="3:14" x14ac:dyDescent="0.25">
      <c r="C5" s="1" t="s">
        <v>14</v>
      </c>
      <c r="D5" s="2">
        <v>35000</v>
      </c>
      <c r="F5" s="10">
        <v>3</v>
      </c>
      <c r="G5" s="15">
        <f>G4+(G4*$D$11)</f>
        <v>36414</v>
      </c>
      <c r="H5" s="15">
        <f t="shared" ref="H5:H27" si="0">(G5*$D$6)+N4</f>
        <v>11482.280468749999</v>
      </c>
      <c r="I5" s="15">
        <f t="shared" ref="I5:I27" si="1">H5*$D$7</f>
        <v>8611.7103515624985</v>
      </c>
      <c r="J5" s="15">
        <f t="shared" ref="J5:J27" si="2">H5*$D$8</f>
        <v>2870.5701171874998</v>
      </c>
      <c r="K5" s="16">
        <f t="shared" ref="K5:K27" si="3">I5*($D$14*$D$12)</f>
        <v>301.40986230468741</v>
      </c>
      <c r="L5" s="16">
        <f t="shared" ref="L5:L27" si="4">J5*($D$13*$D$15)</f>
        <v>516.70262109375005</v>
      </c>
      <c r="M5" s="16">
        <f t="shared" ref="M5:M27" si="5">K5+L5</f>
        <v>818.11248339843746</v>
      </c>
      <c r="N5" s="17">
        <f t="shared" ref="N5:N27" si="6">M5+H5</f>
        <v>12300.392952148437</v>
      </c>
    </row>
    <row r="6" spans="3:14" x14ac:dyDescent="0.25">
      <c r="C6" s="1" t="s">
        <v>3</v>
      </c>
      <c r="D6" s="3">
        <v>0.1</v>
      </c>
      <c r="F6" s="10">
        <v>4</v>
      </c>
      <c r="G6" s="15">
        <f t="shared" ref="G6:G27" si="7">G5+(G5*$D$11)</f>
        <v>37142.28</v>
      </c>
      <c r="H6" s="15">
        <f t="shared" si="0"/>
        <v>16014.620952148438</v>
      </c>
      <c r="I6" s="15">
        <f t="shared" si="1"/>
        <v>12010.965714111328</v>
      </c>
      <c r="J6" s="15">
        <f t="shared" si="2"/>
        <v>4003.6552380371095</v>
      </c>
      <c r="K6" s="16">
        <f t="shared" si="3"/>
        <v>420.38379999389645</v>
      </c>
      <c r="L6" s="16">
        <f t="shared" si="4"/>
        <v>720.65794284667982</v>
      </c>
      <c r="M6" s="16">
        <f t="shared" si="5"/>
        <v>1141.0417428405763</v>
      </c>
      <c r="N6" s="17">
        <f t="shared" si="6"/>
        <v>17155.662694989012</v>
      </c>
    </row>
    <row r="7" spans="3:14" x14ac:dyDescent="0.25">
      <c r="C7" s="1" t="s">
        <v>4</v>
      </c>
      <c r="D7" s="4">
        <v>0.75</v>
      </c>
      <c r="F7" s="10">
        <v>5</v>
      </c>
      <c r="G7" s="15">
        <f t="shared" si="7"/>
        <v>37885.125599999999</v>
      </c>
      <c r="H7" s="15">
        <f t="shared" si="0"/>
        <v>20944.175254989012</v>
      </c>
      <c r="I7" s="15">
        <f t="shared" si="1"/>
        <v>15708.13144124176</v>
      </c>
      <c r="J7" s="15">
        <f t="shared" si="2"/>
        <v>5236.0438137472529</v>
      </c>
      <c r="K7" s="16">
        <f t="shared" si="3"/>
        <v>549.7846004434615</v>
      </c>
      <c r="L7" s="16">
        <f t="shared" si="4"/>
        <v>942.48788647450567</v>
      </c>
      <c r="M7" s="16">
        <f t="shared" si="5"/>
        <v>1492.2724869179672</v>
      </c>
      <c r="N7" s="17">
        <f t="shared" si="6"/>
        <v>22436.447741906977</v>
      </c>
    </row>
    <row r="8" spans="3:14" x14ac:dyDescent="0.25">
      <c r="C8" s="1" t="s">
        <v>5</v>
      </c>
      <c r="D8" s="5">
        <v>0.25</v>
      </c>
      <c r="F8" s="10">
        <v>6</v>
      </c>
      <c r="G8" s="15">
        <f t="shared" si="7"/>
        <v>38642.828112000003</v>
      </c>
      <c r="H8" s="15">
        <f t="shared" si="0"/>
        <v>26300.73055310698</v>
      </c>
      <c r="I8" s="15">
        <f t="shared" si="1"/>
        <v>19725.547914830233</v>
      </c>
      <c r="J8" s="15">
        <f t="shared" si="2"/>
        <v>6575.1826382767449</v>
      </c>
      <c r="K8" s="16">
        <f t="shared" si="3"/>
        <v>690.39417701905813</v>
      </c>
      <c r="L8" s="16">
        <f t="shared" si="4"/>
        <v>1183.5328748898141</v>
      </c>
      <c r="M8" s="16">
        <f t="shared" si="5"/>
        <v>1873.9270519088723</v>
      </c>
      <c r="N8" s="17">
        <f t="shared" si="6"/>
        <v>28174.657605015851</v>
      </c>
    </row>
    <row r="9" spans="3:14" x14ac:dyDescent="0.25">
      <c r="C9" s="8"/>
      <c r="D9" s="8"/>
      <c r="F9" s="10">
        <v>7</v>
      </c>
      <c r="G9" s="15">
        <f t="shared" si="7"/>
        <v>39415.684674240001</v>
      </c>
      <c r="H9" s="15">
        <f t="shared" si="0"/>
        <v>32116.226072439851</v>
      </c>
      <c r="I9" s="15">
        <f t="shared" si="1"/>
        <v>24087.169554329888</v>
      </c>
      <c r="J9" s="15">
        <f t="shared" si="2"/>
        <v>8029.0565181099628</v>
      </c>
      <c r="K9" s="16">
        <f t="shared" si="3"/>
        <v>843.05093440154599</v>
      </c>
      <c r="L9" s="16">
        <f t="shared" si="4"/>
        <v>1445.2301732597934</v>
      </c>
      <c r="M9" s="16">
        <f t="shared" si="5"/>
        <v>2288.2811076613393</v>
      </c>
      <c r="N9" s="17">
        <f t="shared" si="6"/>
        <v>34404.507180101187</v>
      </c>
    </row>
    <row r="10" spans="3:14" x14ac:dyDescent="0.25">
      <c r="C10" s="6" t="s">
        <v>6</v>
      </c>
      <c r="D10" s="6"/>
      <c r="F10" s="10">
        <v>8</v>
      </c>
      <c r="G10" s="15">
        <f t="shared" si="7"/>
        <v>40203.998367724802</v>
      </c>
      <c r="H10" s="15">
        <f t="shared" si="0"/>
        <v>38424.907016873665</v>
      </c>
      <c r="I10" s="15">
        <f t="shared" si="1"/>
        <v>28818.680262655249</v>
      </c>
      <c r="J10" s="15">
        <f t="shared" si="2"/>
        <v>9606.2267542184163</v>
      </c>
      <c r="K10" s="16">
        <f t="shared" si="3"/>
        <v>1008.6538091929336</v>
      </c>
      <c r="L10" s="16">
        <f t="shared" si="4"/>
        <v>1729.1208157593151</v>
      </c>
      <c r="M10" s="16">
        <f t="shared" si="5"/>
        <v>2737.7746249522488</v>
      </c>
      <c r="N10" s="17">
        <f t="shared" si="6"/>
        <v>41162.681641825911</v>
      </c>
    </row>
    <row r="11" spans="3:14" x14ac:dyDescent="0.25">
      <c r="C11" s="1" t="s">
        <v>7</v>
      </c>
      <c r="D11" s="9">
        <v>0.02</v>
      </c>
      <c r="F11" s="10">
        <v>9</v>
      </c>
      <c r="G11" s="15">
        <f t="shared" si="7"/>
        <v>41008.078335079299</v>
      </c>
      <c r="H11" s="15">
        <f t="shared" si="0"/>
        <v>45263.489475333845</v>
      </c>
      <c r="I11" s="15">
        <f t="shared" si="1"/>
        <v>33947.617106500387</v>
      </c>
      <c r="J11" s="15">
        <f t="shared" si="2"/>
        <v>11315.872368833461</v>
      </c>
      <c r="K11" s="16">
        <f t="shared" si="3"/>
        <v>1188.1665987275135</v>
      </c>
      <c r="L11" s="16">
        <f t="shared" si="4"/>
        <v>2036.8570263900233</v>
      </c>
      <c r="M11" s="16">
        <f t="shared" si="5"/>
        <v>3225.0236251175365</v>
      </c>
      <c r="N11" s="17">
        <f t="shared" si="6"/>
        <v>48488.513100451382</v>
      </c>
    </row>
    <row r="12" spans="3:14" x14ac:dyDescent="0.25">
      <c r="C12" s="1" t="s">
        <v>8</v>
      </c>
      <c r="D12" s="2">
        <v>0.7</v>
      </c>
      <c r="F12" s="10">
        <v>10</v>
      </c>
      <c r="G12" s="15">
        <f t="shared" si="7"/>
        <v>41828.239901780886</v>
      </c>
      <c r="H12" s="15">
        <f t="shared" si="0"/>
        <v>52671.337090629473</v>
      </c>
      <c r="I12" s="15">
        <f t="shared" si="1"/>
        <v>39503.502817972105</v>
      </c>
      <c r="J12" s="15">
        <f t="shared" si="2"/>
        <v>13167.834272657368</v>
      </c>
      <c r="K12" s="16">
        <f t="shared" si="3"/>
        <v>1382.6225986290235</v>
      </c>
      <c r="L12" s="16">
        <f t="shared" si="4"/>
        <v>2370.2101690783265</v>
      </c>
      <c r="M12" s="16">
        <f t="shared" si="5"/>
        <v>3752.8327677073503</v>
      </c>
      <c r="N12" s="17">
        <f t="shared" si="6"/>
        <v>56424.169858336827</v>
      </c>
    </row>
    <row r="13" spans="3:14" x14ac:dyDescent="0.25">
      <c r="C13" s="1" t="s">
        <v>9</v>
      </c>
      <c r="D13" s="2">
        <v>1.8</v>
      </c>
      <c r="F13" s="10">
        <v>11</v>
      </c>
      <c r="G13" s="15">
        <f t="shared" si="7"/>
        <v>42664.804699816501</v>
      </c>
      <c r="H13" s="15">
        <f t="shared" si="0"/>
        <v>60690.650328318479</v>
      </c>
      <c r="I13" s="15">
        <f t="shared" si="1"/>
        <v>45517.987746238861</v>
      </c>
      <c r="J13" s="15">
        <f t="shared" si="2"/>
        <v>15172.66258207962</v>
      </c>
      <c r="K13" s="16">
        <f t="shared" si="3"/>
        <v>1593.12957111836</v>
      </c>
      <c r="L13" s="16">
        <f t="shared" si="4"/>
        <v>2731.0792647743319</v>
      </c>
      <c r="M13" s="16">
        <f t="shared" si="5"/>
        <v>4324.2088358926922</v>
      </c>
      <c r="N13" s="17">
        <f t="shared" si="6"/>
        <v>65014.859164211171</v>
      </c>
    </row>
    <row r="14" spans="3:14" x14ac:dyDescent="0.25">
      <c r="C14" s="1" t="s">
        <v>10</v>
      </c>
      <c r="D14" s="4">
        <v>0.05</v>
      </c>
      <c r="F14" s="10">
        <v>12</v>
      </c>
      <c r="G14" s="15">
        <f t="shared" si="7"/>
        <v>43518.100793812831</v>
      </c>
      <c r="H14" s="15">
        <f t="shared" si="0"/>
        <v>69366.669243592449</v>
      </c>
      <c r="I14" s="15">
        <f t="shared" si="1"/>
        <v>52025.001932694337</v>
      </c>
      <c r="J14" s="15">
        <f t="shared" si="2"/>
        <v>17341.667310898112</v>
      </c>
      <c r="K14" s="16">
        <f t="shared" si="3"/>
        <v>1820.8750676443017</v>
      </c>
      <c r="L14" s="16">
        <f t="shared" si="4"/>
        <v>3121.5001159616604</v>
      </c>
      <c r="M14" s="16">
        <f t="shared" si="5"/>
        <v>4942.3751836059619</v>
      </c>
      <c r="N14" s="17">
        <f t="shared" si="6"/>
        <v>74309.044427198416</v>
      </c>
    </row>
    <row r="15" spans="3:14" x14ac:dyDescent="0.25">
      <c r="C15" s="1" t="s">
        <v>11</v>
      </c>
      <c r="D15" s="5">
        <v>0.1</v>
      </c>
      <c r="F15" s="10">
        <v>13</v>
      </c>
      <c r="G15" s="15">
        <f t="shared" si="7"/>
        <v>44388.462809689088</v>
      </c>
      <c r="H15" s="15">
        <f t="shared" si="0"/>
        <v>78747.890708167324</v>
      </c>
      <c r="I15" s="15">
        <f t="shared" si="1"/>
        <v>59060.91803112549</v>
      </c>
      <c r="J15" s="15">
        <f t="shared" si="2"/>
        <v>19686.972677041831</v>
      </c>
      <c r="K15" s="16">
        <f t="shared" si="3"/>
        <v>2067.1321310893918</v>
      </c>
      <c r="L15" s="16">
        <f t="shared" si="4"/>
        <v>3543.65508186753</v>
      </c>
      <c r="M15" s="16">
        <f t="shared" si="5"/>
        <v>5610.7872129569223</v>
      </c>
      <c r="N15" s="17">
        <f t="shared" si="6"/>
        <v>84358.677921124239</v>
      </c>
    </row>
    <row r="16" spans="3:14" x14ac:dyDescent="0.25">
      <c r="F16" s="10">
        <v>14</v>
      </c>
      <c r="G16" s="15">
        <f t="shared" si="7"/>
        <v>45276.232065882868</v>
      </c>
      <c r="H16" s="15">
        <f t="shared" si="0"/>
        <v>88886.301127712533</v>
      </c>
      <c r="I16" s="15">
        <f t="shared" si="1"/>
        <v>66664.7258457844</v>
      </c>
      <c r="J16" s="15">
        <f t="shared" si="2"/>
        <v>22221.575281928133</v>
      </c>
      <c r="K16" s="16">
        <f t="shared" si="3"/>
        <v>2333.2654046024536</v>
      </c>
      <c r="L16" s="16">
        <f t="shared" si="4"/>
        <v>3999.8835507470644</v>
      </c>
      <c r="M16" s="16">
        <f t="shared" si="5"/>
        <v>6333.1489553495176</v>
      </c>
      <c r="N16" s="17">
        <f t="shared" si="6"/>
        <v>95219.450083062053</v>
      </c>
    </row>
    <row r="17" spans="6:14" x14ac:dyDescent="0.25">
      <c r="F17" s="10">
        <v>15</v>
      </c>
      <c r="G17" s="15">
        <f t="shared" si="7"/>
        <v>46181.756707200526</v>
      </c>
      <c r="H17" s="15">
        <f t="shared" si="0"/>
        <v>99837.625753782107</v>
      </c>
      <c r="I17" s="15">
        <f t="shared" si="1"/>
        <v>74878.219315336581</v>
      </c>
      <c r="J17" s="15">
        <f t="shared" si="2"/>
        <v>24959.406438445527</v>
      </c>
      <c r="K17" s="16">
        <f t="shared" si="3"/>
        <v>2620.7376760367802</v>
      </c>
      <c r="L17" s="16">
        <f t="shared" si="4"/>
        <v>4492.6931589201949</v>
      </c>
      <c r="M17" s="16">
        <f t="shared" si="5"/>
        <v>7113.4308349569746</v>
      </c>
      <c r="N17" s="17">
        <f t="shared" si="6"/>
        <v>106951.05658873908</v>
      </c>
    </row>
    <row r="18" spans="6:14" x14ac:dyDescent="0.25">
      <c r="F18" s="10">
        <v>16</v>
      </c>
      <c r="G18" s="15">
        <f t="shared" si="7"/>
        <v>47105.391841344535</v>
      </c>
      <c r="H18" s="15">
        <f t="shared" si="0"/>
        <v>111661.59577287354</v>
      </c>
      <c r="I18" s="15">
        <f t="shared" si="1"/>
        <v>83746.196829655149</v>
      </c>
      <c r="J18" s="15">
        <f t="shared" si="2"/>
        <v>27915.398943218384</v>
      </c>
      <c r="K18" s="16">
        <f t="shared" si="3"/>
        <v>2931.1168890379299</v>
      </c>
      <c r="L18" s="16">
        <f t="shared" si="4"/>
        <v>5024.7718097793095</v>
      </c>
      <c r="M18" s="16">
        <f t="shared" si="5"/>
        <v>7955.8886988172399</v>
      </c>
      <c r="N18" s="17">
        <f t="shared" si="6"/>
        <v>119617.48447169078</v>
      </c>
    </row>
    <row r="19" spans="6:14" x14ac:dyDescent="0.25">
      <c r="F19" s="10">
        <v>17</v>
      </c>
      <c r="G19" s="15">
        <f t="shared" si="7"/>
        <v>48047.499678171429</v>
      </c>
      <c r="H19" s="15">
        <f t="shared" si="0"/>
        <v>124422.23443950793</v>
      </c>
      <c r="I19" s="15">
        <f t="shared" si="1"/>
        <v>93316.675829630942</v>
      </c>
      <c r="J19" s="15">
        <f t="shared" si="2"/>
        <v>31105.558609876982</v>
      </c>
      <c r="K19" s="16">
        <f t="shared" si="3"/>
        <v>3266.0836540370824</v>
      </c>
      <c r="L19" s="16">
        <f t="shared" si="4"/>
        <v>5599.0005497778575</v>
      </c>
      <c r="M19" s="16">
        <f t="shared" si="5"/>
        <v>8865.0842038149403</v>
      </c>
      <c r="N19" s="17">
        <f t="shared" si="6"/>
        <v>133287.31864332285</v>
      </c>
    </row>
    <row r="20" spans="6:14" x14ac:dyDescent="0.25">
      <c r="F20" s="10">
        <v>18</v>
      </c>
      <c r="G20" s="15">
        <f t="shared" si="7"/>
        <v>49008.449671734859</v>
      </c>
      <c r="H20" s="15">
        <f t="shared" si="0"/>
        <v>138188.16361049635</v>
      </c>
      <c r="I20" s="15">
        <f t="shared" si="1"/>
        <v>103641.12270787227</v>
      </c>
      <c r="J20" s="15">
        <f t="shared" si="2"/>
        <v>34547.040902624089</v>
      </c>
      <c r="K20" s="16">
        <f t="shared" si="3"/>
        <v>3627.4392947755291</v>
      </c>
      <c r="L20" s="16">
        <f t="shared" si="4"/>
        <v>6218.4673624723364</v>
      </c>
      <c r="M20" s="16">
        <f t="shared" si="5"/>
        <v>9845.906657247866</v>
      </c>
      <c r="N20" s="17">
        <f t="shared" si="6"/>
        <v>148034.07026774422</v>
      </c>
    </row>
    <row r="21" spans="6:14" x14ac:dyDescent="0.25">
      <c r="F21" s="10">
        <v>19</v>
      </c>
      <c r="G21" s="15">
        <f t="shared" si="7"/>
        <v>49988.618665169553</v>
      </c>
      <c r="H21" s="15">
        <f t="shared" si="0"/>
        <v>153032.93213426118</v>
      </c>
      <c r="I21" s="15">
        <f t="shared" si="1"/>
        <v>114774.69910069589</v>
      </c>
      <c r="J21" s="15">
        <f t="shared" si="2"/>
        <v>38258.233033565295</v>
      </c>
      <c r="K21" s="16">
        <f t="shared" si="3"/>
        <v>4017.1144685243557</v>
      </c>
      <c r="L21" s="16">
        <f t="shared" si="4"/>
        <v>6886.4819460417539</v>
      </c>
      <c r="M21" s="16">
        <f t="shared" si="5"/>
        <v>10903.596414566109</v>
      </c>
      <c r="N21" s="17">
        <f t="shared" si="6"/>
        <v>163936.52854882728</v>
      </c>
    </row>
    <row r="22" spans="6:14" x14ac:dyDescent="0.25">
      <c r="F22" s="10">
        <v>20</v>
      </c>
      <c r="G22" s="15">
        <f t="shared" si="7"/>
        <v>50988.391038472946</v>
      </c>
      <c r="H22" s="15">
        <f t="shared" si="0"/>
        <v>169035.36765267458</v>
      </c>
      <c r="I22" s="15">
        <f t="shared" si="1"/>
        <v>126776.52573950595</v>
      </c>
      <c r="J22" s="15">
        <f t="shared" si="2"/>
        <v>42258.841913168646</v>
      </c>
      <c r="K22" s="16">
        <f t="shared" si="3"/>
        <v>4437.178400882708</v>
      </c>
      <c r="L22" s="16">
        <f t="shared" si="4"/>
        <v>7606.591544370357</v>
      </c>
      <c r="M22" s="16">
        <f t="shared" si="5"/>
        <v>12043.769945253065</v>
      </c>
      <c r="N22" s="17">
        <f t="shared" si="6"/>
        <v>181079.13759792765</v>
      </c>
    </row>
    <row r="23" spans="6:14" x14ac:dyDescent="0.25">
      <c r="F23" s="10">
        <v>21</v>
      </c>
      <c r="G23" s="15">
        <f t="shared" si="7"/>
        <v>52008.158859242409</v>
      </c>
      <c r="H23" s="15">
        <f t="shared" si="0"/>
        <v>186279.95348385189</v>
      </c>
      <c r="I23" s="15">
        <f t="shared" si="1"/>
        <v>139709.96511288892</v>
      </c>
      <c r="J23" s="15">
        <f t="shared" si="2"/>
        <v>46569.988370962972</v>
      </c>
      <c r="K23" s="16">
        <f t="shared" si="3"/>
        <v>4889.8487789511119</v>
      </c>
      <c r="L23" s="16">
        <f t="shared" si="4"/>
        <v>8382.5979067733351</v>
      </c>
      <c r="M23" s="16">
        <f t="shared" si="5"/>
        <v>13272.446685724448</v>
      </c>
      <c r="N23" s="17">
        <f t="shared" si="6"/>
        <v>199552.40016957634</v>
      </c>
    </row>
    <row r="24" spans="6:14" x14ac:dyDescent="0.25">
      <c r="F24" s="10">
        <v>22</v>
      </c>
      <c r="G24" s="15">
        <f t="shared" si="7"/>
        <v>53048.322036427257</v>
      </c>
      <c r="H24" s="15">
        <f t="shared" si="0"/>
        <v>204857.23237321907</v>
      </c>
      <c r="I24" s="15">
        <f t="shared" si="1"/>
        <v>153642.9242799143</v>
      </c>
      <c r="J24" s="15">
        <f t="shared" si="2"/>
        <v>51214.308093304768</v>
      </c>
      <c r="K24" s="16">
        <f t="shared" si="3"/>
        <v>5377.5023497969996</v>
      </c>
      <c r="L24" s="16">
        <f t="shared" si="4"/>
        <v>9218.5754567948588</v>
      </c>
      <c r="M24" s="16">
        <f t="shared" si="5"/>
        <v>14596.077806591858</v>
      </c>
      <c r="N24" s="17">
        <f t="shared" si="6"/>
        <v>219453.31017981094</v>
      </c>
    </row>
    <row r="25" spans="6:14" x14ac:dyDescent="0.25">
      <c r="F25" s="10">
        <v>23</v>
      </c>
      <c r="G25" s="15">
        <f t="shared" si="7"/>
        <v>54109.288477155802</v>
      </c>
      <c r="H25" s="15">
        <f t="shared" si="0"/>
        <v>224864.23902752652</v>
      </c>
      <c r="I25" s="15">
        <f t="shared" si="1"/>
        <v>168648.17927064491</v>
      </c>
      <c r="J25" s="15">
        <f t="shared" si="2"/>
        <v>56216.05975688163</v>
      </c>
      <c r="K25" s="16">
        <f t="shared" si="3"/>
        <v>5902.6862744725713</v>
      </c>
      <c r="L25" s="16">
        <f t="shared" si="4"/>
        <v>10118.890756238694</v>
      </c>
      <c r="M25" s="16">
        <f t="shared" si="5"/>
        <v>16021.577030711265</v>
      </c>
      <c r="N25" s="17">
        <f t="shared" si="6"/>
        <v>240885.81605823777</v>
      </c>
    </row>
    <row r="26" spans="6:14" x14ac:dyDescent="0.25">
      <c r="F26" s="10">
        <v>24</v>
      </c>
      <c r="G26" s="15">
        <f t="shared" si="7"/>
        <v>55191.474246698919</v>
      </c>
      <c r="H26" s="15">
        <f t="shared" si="0"/>
        <v>246404.96348290768</v>
      </c>
      <c r="I26" s="15">
        <f t="shared" si="1"/>
        <v>184803.72261218075</v>
      </c>
      <c r="J26" s="15">
        <f t="shared" si="2"/>
        <v>61601.240870726921</v>
      </c>
      <c r="K26" s="16">
        <f t="shared" si="3"/>
        <v>6468.1302914263251</v>
      </c>
      <c r="L26" s="16">
        <f t="shared" si="4"/>
        <v>11088.223356730847</v>
      </c>
      <c r="M26" s="16">
        <f t="shared" si="5"/>
        <v>17556.353648157172</v>
      </c>
      <c r="N26" s="17">
        <f t="shared" si="6"/>
        <v>263961.31713106483</v>
      </c>
    </row>
    <row r="27" spans="6:14" x14ac:dyDescent="0.25">
      <c r="F27" s="10">
        <v>25</v>
      </c>
      <c r="G27" s="15">
        <f t="shared" si="7"/>
        <v>56295.303731632899</v>
      </c>
      <c r="H27" s="15">
        <f t="shared" si="0"/>
        <v>269590.84750422812</v>
      </c>
      <c r="I27" s="15">
        <f t="shared" si="1"/>
        <v>202193.13562817109</v>
      </c>
      <c r="J27" s="15">
        <f t="shared" si="2"/>
        <v>67397.71187605703</v>
      </c>
      <c r="K27" s="16">
        <f t="shared" si="3"/>
        <v>7076.7597469859875</v>
      </c>
      <c r="L27" s="16">
        <f t="shared" si="4"/>
        <v>12131.588137690267</v>
      </c>
      <c r="M27" s="16">
        <f t="shared" si="5"/>
        <v>19208.347884676255</v>
      </c>
      <c r="N27" s="17">
        <f t="shared" si="6"/>
        <v>288799.19538890437</v>
      </c>
    </row>
  </sheetData>
  <mergeCells count="4">
    <mergeCell ref="C3:D3"/>
    <mergeCell ref="C2:D2"/>
    <mergeCell ref="C10:D10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2024-04-09T16:57:00Z</dcterms:created>
  <dcterms:modified xsi:type="dcterms:W3CDTF">2024-04-09T17:46:04Z</dcterms:modified>
</cp:coreProperties>
</file>