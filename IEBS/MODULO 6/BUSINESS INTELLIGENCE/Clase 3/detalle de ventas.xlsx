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6/BUSINESS INTELLIGENCE/Clase 3/"/>
    </mc:Choice>
  </mc:AlternateContent>
  <xr:revisionPtr revIDLastSave="0" documentId="8_{1611D98F-7575-4BF3-9D12-A785248E52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guimiento" sheetId="4" r:id="rId1"/>
    <sheet name="Ventas" sheetId="5" r:id="rId2"/>
  </sheets>
  <definedNames>
    <definedName name="_xlnm._FilterDatabase" localSheetId="0" hidden="1">Seguimiento!$A$1:$H$43</definedName>
    <definedName name="_xlnm._FilterDatabase" localSheetId="1" hidden="1">Ventas!$A$1:$G$338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8" i="5" l="1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191" i="5"/>
  <c r="B192" i="5"/>
  <c r="B193" i="5"/>
  <c r="B194" i="5"/>
  <c r="B195" i="5"/>
  <c r="B196" i="5"/>
  <c r="B197" i="5"/>
  <c r="E142" i="5" l="1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G95" i="5" l="1"/>
  <c r="G98" i="5"/>
  <c r="G99" i="5"/>
  <c r="G101" i="5"/>
  <c r="G102" i="5"/>
  <c r="G103" i="5"/>
  <c r="G104" i="5"/>
  <c r="G105" i="5"/>
  <c r="G106" i="5"/>
  <c r="G107" i="5"/>
  <c r="G116" i="5"/>
  <c r="G128" i="5"/>
  <c r="G129" i="5"/>
  <c r="G134" i="5"/>
  <c r="G136" i="5"/>
  <c r="G141" i="5"/>
  <c r="E96" i="5"/>
  <c r="E100" i="5"/>
  <c r="E102" i="5"/>
  <c r="E103" i="5"/>
  <c r="E104" i="5"/>
  <c r="E105" i="5"/>
  <c r="E106" i="5"/>
  <c r="E107" i="5"/>
  <c r="E108" i="5"/>
  <c r="E117" i="5"/>
  <c r="E122" i="5"/>
  <c r="E129" i="5"/>
  <c r="E130" i="5"/>
  <c r="E135" i="5"/>
  <c r="E137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93" i="5" l="1"/>
  <c r="B91" i="5"/>
  <c r="B92" i="5"/>
  <c r="B90" i="5"/>
  <c r="B88" i="5"/>
  <c r="B89" i="5"/>
  <c r="B86" i="5"/>
  <c r="B87" i="5"/>
  <c r="E68" i="5" l="1"/>
  <c r="E71" i="5"/>
  <c r="E95" i="5" s="1"/>
  <c r="E74" i="5"/>
  <c r="E77" i="5"/>
  <c r="E101" i="5" l="1"/>
  <c r="E131" i="5"/>
  <c r="B85" i="5"/>
  <c r="B84" i="5"/>
  <c r="B83" i="5"/>
  <c r="G67" i="5" l="1"/>
  <c r="G70" i="5"/>
  <c r="G94" i="5" s="1"/>
  <c r="G73" i="5"/>
  <c r="G97" i="5" s="1"/>
  <c r="G76" i="5"/>
  <c r="G79" i="5"/>
  <c r="G82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G100" i="5" l="1"/>
  <c r="G130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8" i="5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3" i="5"/>
  <c r="B4" i="5"/>
  <c r="B5" i="5"/>
  <c r="B6" i="5"/>
  <c r="B7" i="5"/>
  <c r="B2" i="5"/>
</calcChain>
</file>

<file path=xl/sharedStrings.xml><?xml version="1.0" encoding="utf-8"?>
<sst xmlns="http://schemas.openxmlformats.org/spreadsheetml/2006/main" count="707" uniqueCount="288">
  <si>
    <t>DIA</t>
  </si>
  <si>
    <t>LLAMADAS EFECTUADAS</t>
  </si>
  <si>
    <t>LLAMADAS CON PEDIDO</t>
  </si>
  <si>
    <t>IMPORTE PEDIDO</t>
  </si>
  <si>
    <t>CLIENTES IMPOSIBLES CONTACTAR</t>
  </si>
  <si>
    <t>TOTAL IMPORTE PEDIDOS</t>
  </si>
  <si>
    <t>AGENTE</t>
  </si>
  <si>
    <t>150,49;140,26;345,79;158,35</t>
  </si>
  <si>
    <t>62,64;56,08;174,82;99,04</t>
  </si>
  <si>
    <t>51,13;82,54;76,46</t>
  </si>
  <si>
    <t>59,52;79,46</t>
  </si>
  <si>
    <t>96,91;147,29;57,02</t>
  </si>
  <si>
    <t>TELEFONO</t>
  </si>
  <si>
    <t>173,50;96,86;66,33;190,36;326,20</t>
  </si>
  <si>
    <t>645109302</t>
  </si>
  <si>
    <t>987304410</t>
  </si>
  <si>
    <t>924881053</t>
  </si>
  <si>
    <t>985871360</t>
  </si>
  <si>
    <t>647250631</t>
  </si>
  <si>
    <t>616611733</t>
  </si>
  <si>
    <t>669013513</t>
  </si>
  <si>
    <t>924822414</t>
  </si>
  <si>
    <t>645399386</t>
  </si>
  <si>
    <t>681181848</t>
  </si>
  <si>
    <t>680544716</t>
  </si>
  <si>
    <t>637717968</t>
  </si>
  <si>
    <t>627260077</t>
  </si>
  <si>
    <t>633599251</t>
  </si>
  <si>
    <t>692165367</t>
  </si>
  <si>
    <t>927374005</t>
  </si>
  <si>
    <t>927590054</t>
  </si>
  <si>
    <t>658273101</t>
  </si>
  <si>
    <t>699436298</t>
  </si>
  <si>
    <t>927486137</t>
  </si>
  <si>
    <t>950490217</t>
  </si>
  <si>
    <t>927384006</t>
  </si>
  <si>
    <t>639677485</t>
  </si>
  <si>
    <t>923484107</t>
  </si>
  <si>
    <t>635865909</t>
  </si>
  <si>
    <t>924832039</t>
  </si>
  <si>
    <t>923541511</t>
  </si>
  <si>
    <t>686063472</t>
  </si>
  <si>
    <t>923555684</t>
  </si>
  <si>
    <t>125,94;104,33;92,07;42,22;133,37;273,41</t>
  </si>
  <si>
    <t>927404670</t>
  </si>
  <si>
    <t>605639756</t>
  </si>
  <si>
    <t>654374302</t>
  </si>
  <si>
    <t>637870255</t>
  </si>
  <si>
    <t>637527839</t>
  </si>
  <si>
    <t>670299483</t>
  </si>
  <si>
    <t>676203094</t>
  </si>
  <si>
    <t>620321321</t>
  </si>
  <si>
    <t>674294589</t>
  </si>
  <si>
    <t>506,76;70,08;254,09;315,20;48,98</t>
  </si>
  <si>
    <t>924870167</t>
  </si>
  <si>
    <t>927673034</t>
  </si>
  <si>
    <t>924685031</t>
  </si>
  <si>
    <t>987784225</t>
  </si>
  <si>
    <t>686426744</t>
  </si>
  <si>
    <t>985849109</t>
  </si>
  <si>
    <t>657310690</t>
  </si>
  <si>
    <t>620990180</t>
  </si>
  <si>
    <t>620283064</t>
  </si>
  <si>
    <t>983258954</t>
  </si>
  <si>
    <t>RAZON SOCIAL</t>
  </si>
  <si>
    <t>DULCE ARTES CAPRICHO EXTR CB</t>
  </si>
  <si>
    <t>LA TINTORERIA CB</t>
  </si>
  <si>
    <t>Mª ISABEL ANDRE MATANZA</t>
  </si>
  <si>
    <t>MOSFLADIN LACIANA SL</t>
  </si>
  <si>
    <t>HOTEL GRAN SOL DE EXTREMADURA SL</t>
  </si>
  <si>
    <t>SUSANA DE PRADO SAN MILLAN</t>
  </si>
  <si>
    <t>SUSANA FRUTOS MENENDEZ</t>
  </si>
  <si>
    <t>DIEGO TREVEJO GOMEZ</t>
  </si>
  <si>
    <t>DULCES SAN ANTONIO CB</t>
  </si>
  <si>
    <t>LACHANCLONASAT</t>
  </si>
  <si>
    <t>ISABEL GALLARDO ROBLES</t>
  </si>
  <si>
    <t>MIRELLA TEMPLADO MARTINI</t>
  </si>
  <si>
    <t>TOMAS HOLGUIN MARTIN</t>
  </si>
  <si>
    <t>PLAMESOL SCL</t>
  </si>
  <si>
    <t>ANGELA NUÑEZ GALAN</t>
  </si>
  <si>
    <t>AGUSTINA GONZALEZ SANCHEZ</t>
  </si>
  <si>
    <t xml:space="preserve">EXPLOTACIONES ABADIA SA               </t>
  </si>
  <si>
    <t>JUAN CARLOS PAYO MARTIN</t>
  </si>
  <si>
    <t>GONZALEZ PACHECO,CB</t>
  </si>
  <si>
    <t>BIG-BEN SL</t>
  </si>
  <si>
    <t>SUPERMERCADO NIETO SL</t>
  </si>
  <si>
    <t>LLANO ROMERO, JOSEFA</t>
  </si>
  <si>
    <t>ANTONIA FERNANDEZ SANCHEZ</t>
  </si>
  <si>
    <t>ANGELICA J SERRANO GRAVELINA</t>
  </si>
  <si>
    <t>PEDRO JUAN GARCIA SANCHEZ</t>
  </si>
  <si>
    <t>VALENZUELA HABA ANTONIO</t>
  </si>
  <si>
    <t>JAVIER BARRAGAN BRAVO</t>
  </si>
  <si>
    <t>FCOMIGUEL GALLEGO FERNANDEZ</t>
  </si>
  <si>
    <t>MURILLO RODRIGUEZ, JUAN RAMON</t>
  </si>
  <si>
    <t>MARTA LOZANO MAROTO</t>
  </si>
  <si>
    <t>SUPERMERCADOS ORTIZ SL</t>
  </si>
  <si>
    <t>ANTONIA ANGUAS SANCHEZ</t>
  </si>
  <si>
    <t xml:space="preserve">CAFE EQUUS ESPJ                     </t>
  </si>
  <si>
    <t xml:space="preserve">XUMEI WANG                              </t>
  </si>
  <si>
    <t xml:space="preserve">BLAZQUEZ Y CUSTODIO SL                </t>
  </si>
  <si>
    <t>LA AMASADORA SL</t>
  </si>
  <si>
    <t>TOMAS GARCIA RODRIGUEZ</t>
  </si>
  <si>
    <t>JESUS MANGAS RODRIGUEZ</t>
  </si>
  <si>
    <t>ADELAIDA DEL BRIO GONZALEZ</t>
  </si>
  <si>
    <t>VICTOR MANUEL PARRA REJANO</t>
  </si>
  <si>
    <t>EMILIO COCA SALAZAR</t>
  </si>
  <si>
    <t>145,93;180,88;391,89</t>
  </si>
  <si>
    <t>FUNDACION SAN PEDRO AD-VINCULA</t>
  </si>
  <si>
    <t>POBLACION</t>
  </si>
  <si>
    <t>PAIS</t>
  </si>
  <si>
    <t>ESPAÑA</t>
  </si>
  <si>
    <t>HORA</t>
  </si>
  <si>
    <t>MÉRIDA, ESPAÑA</t>
  </si>
  <si>
    <t>LEÓN, ESPAÑA</t>
  </si>
  <si>
    <t>BÉJAR, ESPAÑA</t>
  </si>
  <si>
    <t>AZUAGA, ESPAÑA</t>
  </si>
  <si>
    <t>SABIÑANIGO, ESPAÑA</t>
  </si>
  <si>
    <t>VALLADOLID, ESPAÑA</t>
  </si>
  <si>
    <t>DON BENITO, ESPAÑA</t>
  </si>
  <si>
    <t>CORIA, ESPAÑA</t>
  </si>
  <si>
    <t>PEÑARANDA, ESPAÑA</t>
  </si>
  <si>
    <t>SALAMANCA, ESPAÑA</t>
  </si>
  <si>
    <t>CIUDAD RODRIGO, ESPAÑA</t>
  </si>
  <si>
    <t>BADAJOZ, ESPAÑA</t>
  </si>
  <si>
    <t>MEDINA DEL CAMPO, ESPAÑA</t>
  </si>
  <si>
    <t>Cáceres, ESPAÑA</t>
  </si>
  <si>
    <t>ROQUETAS DE MAR, ESPAÑA</t>
  </si>
  <si>
    <t>163,05;181,79</t>
  </si>
  <si>
    <t>ANTONIO VALERO E HIJOS. S.L.</t>
  </si>
  <si>
    <t>EL MOLIN DE LA PEDRERA</t>
  </si>
  <si>
    <t>LLANES, ESPAÑA</t>
  </si>
  <si>
    <t>106,67;67,25;353,54</t>
  </si>
  <si>
    <t>924894159</t>
  </si>
  <si>
    <t>615930331</t>
  </si>
  <si>
    <t>927303008</t>
  </si>
  <si>
    <t>633343128</t>
  </si>
  <si>
    <t>606171683</t>
  </si>
  <si>
    <t>633220838</t>
  </si>
  <si>
    <t>927414154</t>
  </si>
  <si>
    <t>987390411</t>
  </si>
  <si>
    <t>695890222</t>
  </si>
  <si>
    <t>675826149</t>
  </si>
  <si>
    <t>923483811</t>
  </si>
  <si>
    <t>924500254</t>
  </si>
  <si>
    <t>699454435</t>
  </si>
  <si>
    <t>660034473</t>
  </si>
  <si>
    <t>675805461</t>
  </si>
  <si>
    <t>980042038</t>
  </si>
  <si>
    <t>694418704</t>
  </si>
  <si>
    <t>924610586</t>
  </si>
  <si>
    <t>678860928</t>
  </si>
  <si>
    <t>924772066</t>
  </si>
  <si>
    <t>924661135</t>
  </si>
  <si>
    <t>987603001</t>
  </si>
  <si>
    <t>637827648</t>
  </si>
  <si>
    <t>RESIDENCIA SANTA ISABEL</t>
  </si>
  <si>
    <t>AYUNTAMIENTO DE HOLGUERA</t>
  </si>
  <si>
    <t>M DEL CARMEN IZQUIERDO RODRIGUEZ</t>
  </si>
  <si>
    <t>AYUNTAMIENTO MONTAMARTA</t>
  </si>
  <si>
    <t>ROSA ARIAS FERRERO</t>
  </si>
  <si>
    <t>ALVARO Y FATIMA SL</t>
  </si>
  <si>
    <t>MANUEL MENDEZ CORTES</t>
  </si>
  <si>
    <t>164,16;335,79;71,11</t>
  </si>
  <si>
    <t>ZAMORA, ESPAÑA</t>
  </si>
  <si>
    <t>108,84;47,29;58,02</t>
  </si>
  <si>
    <t>157,39;34,85;32,12;49,52</t>
  </si>
  <si>
    <t>117,20;72,99;857,92</t>
  </si>
  <si>
    <t>284,54;47,92</t>
  </si>
  <si>
    <t>168,83;12,20;34,25</t>
  </si>
  <si>
    <t>600697221</t>
  </si>
  <si>
    <t>674643304</t>
  </si>
  <si>
    <t>927338110</t>
  </si>
  <si>
    <t>650972829</t>
  </si>
  <si>
    <t>606820640</t>
  </si>
  <si>
    <t xml:space="preserve">MULTITIENDA MARGA                       </t>
  </si>
  <si>
    <t xml:space="preserve">CEDILLO, ESPAÑA                             </t>
  </si>
  <si>
    <t>El Montañes S.L.</t>
  </si>
  <si>
    <t xml:space="preserve">JAVIER COSME RODRIGUEZ                  </t>
  </si>
  <si>
    <t>AGUAS DE PANTICOSA</t>
  </si>
  <si>
    <t>CORIA</t>
  </si>
  <si>
    <t>VICENTE REGUERA HERNADEZ</t>
  </si>
  <si>
    <t>17,66;753,45</t>
  </si>
  <si>
    <t>629579226</t>
  </si>
  <si>
    <t>HOSTELERIA DISA S.L.</t>
  </si>
  <si>
    <t>GONZALEZ PACHECO,C.B.</t>
  </si>
  <si>
    <t>635875183</t>
  </si>
  <si>
    <t>678526033</t>
  </si>
  <si>
    <t>FUNDACION S.PEDRO</t>
  </si>
  <si>
    <t>CANDIDO MARTIN MARTIN</t>
  </si>
  <si>
    <t>susana serrano iglesias</t>
  </si>
  <si>
    <t>big ben</t>
  </si>
  <si>
    <t>jorge madruga</t>
  </si>
  <si>
    <t>RIBON MARTIN SL</t>
  </si>
  <si>
    <t>41,49;366,30;30,69;92,36;113,09</t>
  </si>
  <si>
    <t>243,11;148,27;362,59;360,15;99,68</t>
  </si>
  <si>
    <t>143,62;30,36</t>
  </si>
  <si>
    <t>46,20;50,16;44,38</t>
  </si>
  <si>
    <t>238,15;123,01;81,05;353,79;21,31</t>
  </si>
  <si>
    <t>13,60;55,74;155,54;39,93;235,77;63,04;219,63;32,80;209,39;335,50</t>
  </si>
  <si>
    <t>140,33;227,27;221,18;262,65;179,09</t>
  </si>
  <si>
    <t>987752335</t>
  </si>
  <si>
    <t>924786369</t>
  </si>
  <si>
    <t>927431153</t>
  </si>
  <si>
    <t>607545257</t>
  </si>
  <si>
    <t>615382466</t>
  </si>
  <si>
    <t>647218526</t>
  </si>
  <si>
    <t>652242069</t>
  </si>
  <si>
    <t>696352833</t>
  </si>
  <si>
    <t>656888912</t>
  </si>
  <si>
    <t>663059890</t>
  </si>
  <si>
    <t>686023105</t>
  </si>
  <si>
    <t>924366778</t>
  </si>
  <si>
    <t>630380519</t>
  </si>
  <si>
    <t>924483277</t>
  </si>
  <si>
    <t>MARGARITA RODRIGUEZ MAYA</t>
  </si>
  <si>
    <t xml:space="preserve">MOHAMMAD BEGUM HAJI                     </t>
  </si>
  <si>
    <t>TOYMA CB</t>
  </si>
  <si>
    <t>CAMPING GAVIN SL</t>
  </si>
  <si>
    <t>VILLACANTOS SL</t>
  </si>
  <si>
    <t>MERIDA, ESPAÑA</t>
  </si>
  <si>
    <t>88,87;120,57;73,11;88,79;36,34;402,58;29,65</t>
  </si>
  <si>
    <t>275,55;83,86;509,87;24,46</t>
  </si>
  <si>
    <t>55,09;111,14;85,31;48,53;208,07</t>
  </si>
  <si>
    <t>173,85;164,09;596,4;159,01;43,86</t>
  </si>
  <si>
    <t>227,11;170,61;137,52;10,43;23,09</t>
  </si>
  <si>
    <t>31,88;94,42;53,30</t>
  </si>
  <si>
    <t xml:space="preserve">75,38;225,94;454,89;132,61 </t>
  </si>
  <si>
    <t>178,34;399,95;57,39</t>
  </si>
  <si>
    <t>198,93;155,54;134,59;190,16;128,75</t>
  </si>
  <si>
    <t>GUERRERO Y LANCHO SLL</t>
  </si>
  <si>
    <t>GAOFEN YANG</t>
  </si>
  <si>
    <t xml:space="preserve">227,26;384,90;247,34;148,1 </t>
  </si>
  <si>
    <t>198,91;158,26;285,81;126,83;141,45</t>
  </si>
  <si>
    <t>224,53;227,08;277,09;250,27;124,88</t>
  </si>
  <si>
    <t>264,91;155,92;168,08;155,54</t>
  </si>
  <si>
    <t>331,89;183,25;288,30;124,94;132,34</t>
  </si>
  <si>
    <t>371,81;89,81</t>
  </si>
  <si>
    <t>168,09;153,47;143,08;232,47;229,88;258,68;133,30</t>
  </si>
  <si>
    <t>26,83;295,13;330,04;66,95;124,43;149,48;351,22;167,35</t>
  </si>
  <si>
    <t>167,29;237,12;135,72</t>
  </si>
  <si>
    <t>138,76;136,60;190,94;231,41;261,93;826,45</t>
  </si>
  <si>
    <t>296,32;125,43;342,95;355,53</t>
  </si>
  <si>
    <t>73,28;444,03;143,29;165,17</t>
  </si>
  <si>
    <t>122,52;250,11;57,54;159,16;217,24;163,32</t>
  </si>
  <si>
    <t>185,14;242,66</t>
  </si>
  <si>
    <t>ROMERO FRANCO,MELCHOR</t>
  </si>
  <si>
    <t>MAXIMILIANO MURILLO TENA</t>
  </si>
  <si>
    <t>CAFE BAR YUSTE CB</t>
  </si>
  <si>
    <t>AMABLE SANCHEZ RODRIGUEZ</t>
  </si>
  <si>
    <t>175,53;372,73;195,20</t>
  </si>
  <si>
    <t>408,72;121,54;168,98;196,39;135,41</t>
  </si>
  <si>
    <t>128,78;388,41</t>
  </si>
  <si>
    <t>728,50;629,58;176,49;195,06</t>
  </si>
  <si>
    <t>174,30;155,54;132,52</t>
  </si>
  <si>
    <t>442,7;185,16;127,77;188,40;1726,21;225,12;129,75</t>
  </si>
  <si>
    <t>201,32;419,33;235,56</t>
  </si>
  <si>
    <t>196,50;172,21;134,79;476,56;269,79;492,08</t>
  </si>
  <si>
    <t>ALBERTO CABALLERO MORENO</t>
  </si>
  <si>
    <t>ANGELICA J. SERRANO GRAVELINA</t>
  </si>
  <si>
    <t>GONZALEZ GODOY, ANTONIO</t>
  </si>
  <si>
    <t>EL DANUBIO S.A.</t>
  </si>
  <si>
    <t>GASERNAV SL</t>
  </si>
  <si>
    <t>RIVERA PAJUELO,JOSEFA</t>
  </si>
  <si>
    <t>ANTONIA FERNANEZ SANCHEZ</t>
  </si>
  <si>
    <t>ROSARIO CABEZAS MARQUEZ</t>
  </si>
  <si>
    <t>e,s cuesta</t>
  </si>
  <si>
    <t>F O MIGUEL GALLEGO FERNANDEZ</t>
  </si>
  <si>
    <t>ADRIAN RICO PIRIZ</t>
  </si>
  <si>
    <t>TOMAS RODRIGUEZ Y OTROS CB</t>
  </si>
  <si>
    <t>Pescador Martinez C.B.</t>
  </si>
  <si>
    <t>margarita rodriguez maya</t>
  </si>
  <si>
    <t>CAFE EQUUS E.S.P.J.</t>
  </si>
  <si>
    <t>adelaida del brio gonzalez</t>
  </si>
  <si>
    <t>CÁCERES, ESPAÑA</t>
  </si>
  <si>
    <t>JOSE MARIO GOMEZ SARAVIA</t>
  </si>
  <si>
    <t>EL GATO C.B.</t>
  </si>
  <si>
    <t>ORDEN</t>
  </si>
  <si>
    <t>CLIENTES NO TELEMARKETING</t>
  </si>
  <si>
    <t>JOSE 001 RODRIGUEZ SANCHEZ</t>
  </si>
  <si>
    <t>jose 001 alonso iglesias</t>
  </si>
  <si>
    <t>ROSA 001 MUÑIZ SUAREZ</t>
  </si>
  <si>
    <t>001DELOSANGELESSANCHEZMARCOS</t>
  </si>
  <si>
    <t>001 BLANCA IGLESIAS FERNANDE</t>
  </si>
  <si>
    <t>001ISABELFERNANDEZFERNAN</t>
  </si>
  <si>
    <t>001 ELENA MATOS BERNAL</t>
  </si>
  <si>
    <t>001 TRINIDAD AREVALO CHAPARR</t>
  </si>
  <si>
    <t>001 VICENTA RUIZ CABEZAS</t>
  </si>
  <si>
    <t>MIGUEL ANGEL SANCHEZ SANTA001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</si>
</sst>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h:mm;@"/>
    <numFmt numFmtId="165" formatCode="#,##0.00&quot; &quot;[$€-C0A];[Red]&quot;-&quot;#,##0.00&quot; &quot;[$€-C0A]"/>
    <numFmt numFmtId="166" formatCode="0.000"/>
    <numFmt numFmtId="167" formatCode="mm/dd/yyyy\ hh:mm:ss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SansSerif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2">
    <xf numFmtId="0" fontId="0" fillId="0" borderId="0"/>
    <xf numFmtId="44" fontId="1" fillId="0" borderId="0" applyFont="0" applyFill="0" applyBorder="0" applyAlignment="0" applyProtection="0"/>
    <xf numFmtId="0" fontId="6" fillId="0" borderId="0"/>
    <xf numFmtId="0" fontId="17" fillId="9" borderId="0"/>
    <xf numFmtId="0" fontId="7" fillId="0" borderId="0"/>
    <xf numFmtId="0" fontId="8" fillId="3" borderId="0"/>
    <xf numFmtId="0" fontId="8" fillId="4" borderId="0"/>
    <xf numFmtId="0" fontId="7" fillId="5" borderId="0"/>
    <xf numFmtId="0" fontId="9" fillId="6" borderId="0"/>
    <xf numFmtId="0" fontId="10" fillId="7" borderId="0"/>
    <xf numFmtId="0" fontId="11" fillId="0" borderId="0"/>
    <xf numFmtId="0" fontId="12" fillId="8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8" fillId="9" borderId="5"/>
    <xf numFmtId="0" fontId="6" fillId="0" borderId="0"/>
    <xf numFmtId="0" fontId="6" fillId="0" borderId="0"/>
    <xf numFmtId="0" fontId="9" fillId="0" borderId="0"/>
    <xf numFmtId="0" fontId="19" fillId="0" borderId="0"/>
    <xf numFmtId="0" fontId="20" fillId="0" borderId="0"/>
  </cellStyleXfs>
  <cellXfs count="36">
    <xf numFmtId="0" fontId="0" fillId="0" borderId="0" xfId="0"/>
    <xf numFmtId="16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0" fillId="0" borderId="2" xfId="0" applyBorder="1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44" fontId="4" fillId="0" borderId="1" xfId="1" applyFont="1" applyBorder="1"/>
    <xf numFmtId="44" fontId="0" fillId="0" borderId="2" xfId="1" applyFont="1" applyBorder="1"/>
    <xf numFmtId="0" fontId="4" fillId="0" borderId="1" xfId="1" applyNumberFormat="1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2" fillId="2" borderId="3" xfId="0" applyFont="1" applyFill="1" applyBorder="1" applyAlignment="1">
      <alignment horizontal="center" wrapText="1"/>
    </xf>
    <xf numFmtId="0" fontId="0" fillId="0" borderId="4" xfId="0" applyBorder="1"/>
    <xf numFmtId="164" fontId="5" fillId="0" borderId="0" xfId="0" applyNumberFormat="1" applyFont="1" applyAlignment="1">
      <alignment vertical="center" wrapText="1"/>
    </xf>
    <xf numFmtId="0" fontId="0" fillId="0" borderId="2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0" borderId="2" xfId="2" applyBorder="1"/>
    <xf numFmtId="0" fontId="0" fillId="0" borderId="6" xfId="0" applyBorder="1"/>
    <xf numFmtId="0" fontId="0" fillId="0" borderId="7" xfId="0" applyBorder="1"/>
    <xf numFmtId="0" fontId="0" fillId="10" borderId="1" xfId="0" applyFill="1" applyBorder="1"/>
    <xf numFmtId="165" fontId="6" fillId="0" borderId="2" xfId="2" applyNumberFormat="1" applyBorder="1"/>
    <xf numFmtId="166" fontId="0" fillId="0" borderId="0" xfId="1" applyNumberFormat="1" applyFont="1" applyBorder="1"/>
    <xf numFmtId="167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" fontId="3" fillId="0" borderId="8" xfId="0" applyNumberFormat="1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right"/>
    </xf>
    <xf numFmtId="16" fontId="2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Font="1" applyBorder="1"/>
    <xf numFmtId="0" fontId="6" fillId="0" borderId="6" xfId="2" applyBorder="1"/>
    <xf numFmtId="165" fontId="6" fillId="0" borderId="6" xfId="2" applyNumberFormat="1" applyBorder="1"/>
    <xf numFmtId="16" fontId="22" fillId="0" borderId="0" xfId="0" applyNumberFormat="1" applyFont="1" applyAlignment="1">
      <alignment horizontal="center"/>
    </xf>
    <xf numFmtId="0" fontId="6" fillId="0" borderId="0" xfId="2"/>
    <xf numFmtId="165" fontId="6" fillId="0" borderId="0" xfId="2" applyNumberFormat="1"/>
  </cellXfs>
  <cellStyles count="22">
    <cellStyle name="Accent" xfId="4" xr:uid="{00000000-0005-0000-0000-000000000000}"/>
    <cellStyle name="Accent 1" xfId="5" xr:uid="{00000000-0005-0000-0000-000001000000}"/>
    <cellStyle name="Accent 2" xfId="6" xr:uid="{00000000-0005-0000-0000-000002000000}"/>
    <cellStyle name="Accent 3" xfId="7" xr:uid="{00000000-0005-0000-0000-000003000000}"/>
    <cellStyle name="Bad" xfId="8" xr:uid="{00000000-0005-0000-0000-000004000000}"/>
    <cellStyle name="Error" xfId="9" xr:uid="{00000000-0005-0000-0000-000005000000}"/>
    <cellStyle name="Footnote" xfId="10" xr:uid="{00000000-0005-0000-0000-000006000000}"/>
    <cellStyle name="Good" xfId="11" xr:uid="{00000000-0005-0000-0000-000007000000}"/>
    <cellStyle name="Heading (user)" xfId="12" xr:uid="{00000000-0005-0000-0000-000008000000}"/>
    <cellStyle name="Heading 1" xfId="13" xr:uid="{00000000-0005-0000-0000-000009000000}"/>
    <cellStyle name="Heading 2" xfId="14" xr:uid="{00000000-0005-0000-0000-00000A000000}"/>
    <cellStyle name="Hyperlink" xfId="15" xr:uid="{00000000-0005-0000-0000-00000B000000}"/>
    <cellStyle name="Moneda" xfId="1" builtinId="4"/>
    <cellStyle name="Neutral 2" xfId="3" xr:uid="{00000000-0005-0000-0000-00000D000000}"/>
    <cellStyle name="Normal" xfId="0" builtinId="0"/>
    <cellStyle name="Normal 2" xfId="2" xr:uid="{00000000-0005-0000-0000-00000F000000}"/>
    <cellStyle name="Normal 3" xfId="20" xr:uid="{00000000-0005-0000-0000-000010000000}"/>
    <cellStyle name="Normal 4" xfId="21" xr:uid="{00000000-0005-0000-0000-000011000000}"/>
    <cellStyle name="Note" xfId="16" xr:uid="{00000000-0005-0000-0000-000012000000}"/>
    <cellStyle name="Status" xfId="17" xr:uid="{00000000-0005-0000-0000-000013000000}"/>
    <cellStyle name="Text" xfId="18" xr:uid="{00000000-0005-0000-0000-000014000000}"/>
    <cellStyle name="Warning" xfId="19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"/>
  <sheetViews>
    <sheetView tabSelected="1" workbookViewId="0">
      <selection activeCell="I42" sqref="I42"/>
    </sheetView>
  </sheetViews>
  <sheetFormatPr defaultColWidth="11.42578125" defaultRowHeight="15"/>
  <cols>
    <col min="1" max="1" width="10.7109375" bestFit="1" customWidth="1"/>
    <col min="2" max="2" width="12.7109375" customWidth="1"/>
    <col min="3" max="3" width="14.5703125" customWidth="1"/>
    <col min="4" max="4" width="46.42578125" customWidth="1"/>
    <col min="5" max="5" width="19.85546875" customWidth="1"/>
    <col min="6" max="6" width="14.28515625" customWidth="1"/>
    <col min="7" max="7" width="15.140625" customWidth="1"/>
    <col min="8" max="8" width="11.85546875" bestFit="1" customWidth="1"/>
    <col min="9" max="9" width="12.28515625" customWidth="1"/>
    <col min="10" max="10" width="11.42578125" customWidth="1"/>
  </cols>
  <sheetData>
    <row r="1" spans="1:8" s="5" customFormat="1" ht="4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277</v>
      </c>
      <c r="G1" s="4" t="s">
        <v>5</v>
      </c>
      <c r="H1" s="4" t="s">
        <v>276</v>
      </c>
    </row>
    <row r="2" spans="1:8">
      <c r="A2" s="1">
        <v>43374</v>
      </c>
      <c r="B2" s="2">
        <v>13</v>
      </c>
      <c r="C2" s="2">
        <v>1</v>
      </c>
      <c r="D2" s="8">
        <v>173.34</v>
      </c>
      <c r="E2" s="2">
        <v>1</v>
      </c>
      <c r="F2" s="2">
        <v>4</v>
      </c>
      <c r="G2" s="6">
        <v>173.34</v>
      </c>
      <c r="H2" s="22">
        <v>1E-3</v>
      </c>
    </row>
    <row r="3" spans="1:8">
      <c r="A3" s="1">
        <v>43375</v>
      </c>
      <c r="B3" s="2">
        <v>16</v>
      </c>
      <c r="C3" s="2">
        <v>4</v>
      </c>
      <c r="D3" s="2" t="s">
        <v>7</v>
      </c>
      <c r="E3" s="2">
        <v>2</v>
      </c>
      <c r="F3" s="2">
        <v>2</v>
      </c>
      <c r="G3" s="6">
        <v>794.89</v>
      </c>
      <c r="H3" s="22"/>
    </row>
    <row r="4" spans="1:8">
      <c r="A4" s="1">
        <v>43376</v>
      </c>
      <c r="B4" s="2">
        <v>15</v>
      </c>
      <c r="C4" s="2">
        <v>4</v>
      </c>
      <c r="D4" s="2" t="s">
        <v>8</v>
      </c>
      <c r="E4" s="2">
        <v>1</v>
      </c>
      <c r="F4" s="2">
        <v>1</v>
      </c>
      <c r="G4" s="6">
        <v>392.58</v>
      </c>
      <c r="H4" s="22"/>
    </row>
    <row r="5" spans="1:8">
      <c r="A5" s="1">
        <v>43377</v>
      </c>
      <c r="B5" s="2">
        <v>15</v>
      </c>
      <c r="C5" s="2">
        <v>3</v>
      </c>
      <c r="D5" s="2" t="s">
        <v>9</v>
      </c>
      <c r="E5" s="2">
        <v>2</v>
      </c>
      <c r="F5" s="2">
        <v>0</v>
      </c>
      <c r="G5" s="6">
        <v>210.13</v>
      </c>
      <c r="H5" s="22"/>
    </row>
    <row r="6" spans="1:8">
      <c r="A6" s="1">
        <v>43378</v>
      </c>
      <c r="B6" s="2">
        <v>14</v>
      </c>
      <c r="C6" s="2">
        <v>2</v>
      </c>
      <c r="D6" s="2" t="s">
        <v>10</v>
      </c>
      <c r="E6" s="2">
        <v>3</v>
      </c>
      <c r="F6" s="2">
        <v>1</v>
      </c>
      <c r="G6" s="6">
        <v>138.97999999999999</v>
      </c>
      <c r="H6" s="22"/>
    </row>
    <row r="7" spans="1:8">
      <c r="A7" s="1">
        <v>43381</v>
      </c>
      <c r="B7" s="3">
        <v>12</v>
      </c>
      <c r="C7" s="3">
        <v>3</v>
      </c>
      <c r="D7" s="2" t="s">
        <v>11</v>
      </c>
      <c r="E7" s="3">
        <v>1</v>
      </c>
      <c r="F7" s="3">
        <v>0</v>
      </c>
      <c r="G7" s="7">
        <v>301.22000000000003</v>
      </c>
      <c r="H7" s="22"/>
    </row>
    <row r="8" spans="1:8">
      <c r="A8" s="1">
        <v>43382</v>
      </c>
      <c r="B8" s="3">
        <v>14</v>
      </c>
      <c r="C8" s="3">
        <v>5</v>
      </c>
      <c r="D8" s="2" t="s">
        <v>13</v>
      </c>
      <c r="E8" s="3">
        <v>2</v>
      </c>
      <c r="F8" s="3">
        <v>1</v>
      </c>
      <c r="G8" s="7">
        <v>853.25</v>
      </c>
      <c r="H8" s="22"/>
    </row>
    <row r="9" spans="1:8">
      <c r="A9" s="1">
        <v>43383</v>
      </c>
      <c r="B9" s="3">
        <v>14</v>
      </c>
      <c r="C9" s="3">
        <v>6</v>
      </c>
      <c r="D9" s="2" t="s">
        <v>43</v>
      </c>
      <c r="E9" s="3">
        <v>2</v>
      </c>
      <c r="F9" s="3">
        <v>0</v>
      </c>
      <c r="G9" s="7">
        <v>771.34</v>
      </c>
      <c r="H9" s="22"/>
    </row>
    <row r="10" spans="1:8">
      <c r="A10" s="1">
        <v>43384</v>
      </c>
      <c r="B10" s="3">
        <v>28</v>
      </c>
      <c r="C10" s="3">
        <v>5</v>
      </c>
      <c r="D10" s="2" t="s">
        <v>53</v>
      </c>
      <c r="E10" s="3">
        <v>6</v>
      </c>
      <c r="F10" s="3">
        <v>0</v>
      </c>
      <c r="G10" s="7">
        <v>1195.1099999999999</v>
      </c>
      <c r="H10" s="22"/>
    </row>
    <row r="11" spans="1:8">
      <c r="A11" s="1">
        <v>43388</v>
      </c>
      <c r="B11" s="3">
        <v>9</v>
      </c>
      <c r="C11" s="12">
        <v>1</v>
      </c>
      <c r="D11" s="2">
        <v>44.89</v>
      </c>
      <c r="E11" s="3">
        <v>1</v>
      </c>
      <c r="F11" s="3">
        <v>0</v>
      </c>
      <c r="G11" s="7">
        <v>44.89</v>
      </c>
      <c r="H11" s="22"/>
    </row>
    <row r="12" spans="1:8">
      <c r="A12" s="1">
        <v>43389</v>
      </c>
      <c r="B12" s="3">
        <v>16</v>
      </c>
      <c r="C12" s="3">
        <v>3</v>
      </c>
      <c r="D12" s="2" t="s">
        <v>106</v>
      </c>
      <c r="E12" s="3">
        <v>3</v>
      </c>
      <c r="F12" s="3">
        <v>4</v>
      </c>
      <c r="G12" s="7">
        <v>718.69</v>
      </c>
      <c r="H12" s="22"/>
    </row>
    <row r="13" spans="1:8">
      <c r="A13" s="1">
        <v>43390</v>
      </c>
      <c r="B13" s="3">
        <v>12</v>
      </c>
      <c r="C13" s="3">
        <v>2</v>
      </c>
      <c r="D13" s="2" t="s">
        <v>127</v>
      </c>
      <c r="E13" s="3">
        <v>0</v>
      </c>
      <c r="F13" s="3">
        <v>1</v>
      </c>
      <c r="G13" s="7">
        <v>344.84</v>
      </c>
      <c r="H13" s="22"/>
    </row>
    <row r="14" spans="1:8">
      <c r="A14" s="1">
        <v>43391</v>
      </c>
      <c r="B14" s="3">
        <v>11</v>
      </c>
      <c r="C14" s="3">
        <v>3</v>
      </c>
      <c r="D14" s="2" t="s">
        <v>131</v>
      </c>
      <c r="E14" s="17">
        <v>4</v>
      </c>
      <c r="F14" s="17">
        <v>0</v>
      </c>
      <c r="G14" s="7">
        <v>527.46</v>
      </c>
      <c r="H14" s="22"/>
    </row>
    <row r="15" spans="1:8">
      <c r="A15" s="1">
        <v>43392</v>
      </c>
      <c r="B15" s="3">
        <v>13</v>
      </c>
      <c r="C15" s="9">
        <v>3</v>
      </c>
      <c r="D15" s="2" t="s">
        <v>162</v>
      </c>
      <c r="E15" s="17">
        <v>2</v>
      </c>
      <c r="F15" s="17">
        <v>1</v>
      </c>
      <c r="G15" s="7">
        <v>571.05999999999995</v>
      </c>
      <c r="H15" s="22"/>
    </row>
    <row r="16" spans="1:8">
      <c r="A16" s="1">
        <v>43395</v>
      </c>
      <c r="B16" s="3">
        <v>11</v>
      </c>
      <c r="C16" s="19">
        <v>3</v>
      </c>
      <c r="D16" s="17" t="s">
        <v>164</v>
      </c>
      <c r="E16" s="17">
        <v>0</v>
      </c>
      <c r="F16" s="17">
        <v>0</v>
      </c>
      <c r="G16" s="7">
        <v>214.15</v>
      </c>
      <c r="H16" s="22"/>
    </row>
    <row r="17" spans="1:8">
      <c r="A17" s="1">
        <v>43396</v>
      </c>
      <c r="B17" s="3">
        <v>11</v>
      </c>
      <c r="C17" s="19">
        <v>4</v>
      </c>
      <c r="D17" s="17" t="s">
        <v>165</v>
      </c>
      <c r="E17" s="17">
        <v>3</v>
      </c>
      <c r="F17" s="17">
        <v>1</v>
      </c>
      <c r="G17" s="7">
        <v>277.88</v>
      </c>
      <c r="H17" s="22"/>
    </row>
    <row r="18" spans="1:8">
      <c r="A18" s="1">
        <v>43397</v>
      </c>
      <c r="B18" s="3">
        <v>13</v>
      </c>
      <c r="C18" s="19">
        <v>3</v>
      </c>
      <c r="D18" s="17" t="s">
        <v>166</v>
      </c>
      <c r="E18" s="17">
        <v>1</v>
      </c>
      <c r="F18" s="17">
        <v>0</v>
      </c>
      <c r="G18" s="7">
        <v>1048.1099999999999</v>
      </c>
      <c r="H18" s="22"/>
    </row>
    <row r="19" spans="1:8">
      <c r="A19" s="1">
        <v>43398</v>
      </c>
      <c r="B19" s="9">
        <v>14</v>
      </c>
      <c r="C19" s="17">
        <v>2</v>
      </c>
      <c r="D19" s="17" t="s">
        <v>167</v>
      </c>
      <c r="E19" s="17">
        <v>3</v>
      </c>
      <c r="F19" s="17">
        <v>0</v>
      </c>
      <c r="G19" s="7">
        <v>332.46</v>
      </c>
      <c r="H19" s="22"/>
    </row>
    <row r="20" spans="1:8">
      <c r="A20" s="1">
        <v>43399</v>
      </c>
      <c r="B20" s="9">
        <v>10</v>
      </c>
      <c r="C20" s="17">
        <v>3</v>
      </c>
      <c r="D20" s="17" t="s">
        <v>168</v>
      </c>
      <c r="E20" s="17">
        <v>2</v>
      </c>
      <c r="F20" s="17">
        <v>0</v>
      </c>
      <c r="G20" s="7">
        <v>214.78</v>
      </c>
      <c r="H20" s="22"/>
    </row>
    <row r="21" spans="1:8">
      <c r="A21" s="1">
        <v>43402</v>
      </c>
      <c r="B21" s="9">
        <v>10</v>
      </c>
      <c r="C21" s="17">
        <v>2</v>
      </c>
      <c r="D21" s="17" t="s">
        <v>181</v>
      </c>
      <c r="E21" s="17">
        <v>2</v>
      </c>
      <c r="F21" s="17">
        <v>1</v>
      </c>
      <c r="G21" s="21">
        <v>770.66</v>
      </c>
      <c r="H21" s="22"/>
    </row>
    <row r="22" spans="1:8">
      <c r="A22" s="1">
        <v>43403</v>
      </c>
      <c r="B22" s="9">
        <v>13</v>
      </c>
      <c r="C22" s="17">
        <v>5</v>
      </c>
      <c r="D22" s="17" t="s">
        <v>193</v>
      </c>
      <c r="E22" s="17">
        <v>1</v>
      </c>
      <c r="F22" s="17">
        <v>1</v>
      </c>
      <c r="G22" s="21">
        <v>649.92999999999995</v>
      </c>
      <c r="H22" s="22"/>
    </row>
    <row r="23" spans="1:8">
      <c r="A23" s="1">
        <v>43404</v>
      </c>
      <c r="B23" s="9">
        <v>30</v>
      </c>
      <c r="C23" s="17">
        <v>5</v>
      </c>
      <c r="D23" s="17" t="s">
        <v>194</v>
      </c>
      <c r="E23" s="17">
        <v>5</v>
      </c>
      <c r="F23" s="17">
        <v>1</v>
      </c>
      <c r="G23" s="21">
        <v>1213.8</v>
      </c>
      <c r="H23" s="22"/>
    </row>
    <row r="24" spans="1:8">
      <c r="A24" s="1">
        <v>43406</v>
      </c>
      <c r="B24" s="9">
        <v>15</v>
      </c>
      <c r="C24" s="17">
        <v>2</v>
      </c>
      <c r="D24" s="17" t="s">
        <v>195</v>
      </c>
      <c r="E24" s="17">
        <v>3</v>
      </c>
      <c r="F24" s="17">
        <v>0</v>
      </c>
      <c r="G24" s="21">
        <v>174.98</v>
      </c>
      <c r="H24" s="22">
        <v>2E-3</v>
      </c>
    </row>
    <row r="25" spans="1:8">
      <c r="A25" s="1">
        <v>43409</v>
      </c>
      <c r="B25" s="17">
        <v>21</v>
      </c>
      <c r="C25" s="17">
        <v>3</v>
      </c>
      <c r="D25" s="17" t="s">
        <v>196</v>
      </c>
      <c r="E25" s="17">
        <v>2</v>
      </c>
      <c r="F25" s="17">
        <v>2</v>
      </c>
      <c r="G25" s="21">
        <v>140.74</v>
      </c>
      <c r="H25" s="22"/>
    </row>
    <row r="26" spans="1:8">
      <c r="A26" s="1">
        <v>43410</v>
      </c>
      <c r="B26" s="17">
        <v>19</v>
      </c>
      <c r="C26" s="17">
        <v>5</v>
      </c>
      <c r="D26" s="17" t="s">
        <v>197</v>
      </c>
      <c r="E26" s="17">
        <v>1</v>
      </c>
      <c r="F26" s="17">
        <v>0</v>
      </c>
      <c r="G26" s="21">
        <v>817.31</v>
      </c>
      <c r="H26" s="22"/>
    </row>
    <row r="27" spans="1:8">
      <c r="A27" s="1">
        <v>43411</v>
      </c>
      <c r="B27" s="17">
        <v>19</v>
      </c>
      <c r="C27" s="17">
        <v>5</v>
      </c>
      <c r="D27" s="17" t="s">
        <v>199</v>
      </c>
      <c r="E27" s="17">
        <v>4</v>
      </c>
      <c r="F27" s="17">
        <v>0</v>
      </c>
      <c r="G27" s="21">
        <v>1030.52</v>
      </c>
      <c r="H27" s="22"/>
    </row>
    <row r="28" spans="1:8">
      <c r="A28" s="1">
        <v>43412</v>
      </c>
      <c r="B28" s="17">
        <v>38</v>
      </c>
      <c r="C28" s="17">
        <v>10</v>
      </c>
      <c r="D28" s="17" t="s">
        <v>198</v>
      </c>
      <c r="E28" s="17">
        <v>0</v>
      </c>
      <c r="F28" s="17">
        <v>0</v>
      </c>
      <c r="G28" s="21">
        <v>1357.8</v>
      </c>
      <c r="H28" s="22"/>
    </row>
    <row r="29" spans="1:8">
      <c r="A29" s="1">
        <v>43416</v>
      </c>
      <c r="B29" s="17">
        <v>27</v>
      </c>
      <c r="C29" s="17">
        <v>4</v>
      </c>
      <c r="D29" s="17" t="s">
        <v>221</v>
      </c>
      <c r="E29" s="17">
        <v>6</v>
      </c>
      <c r="F29" s="17">
        <v>2</v>
      </c>
      <c r="G29" s="21">
        <v>893.74</v>
      </c>
      <c r="H29" s="22"/>
    </row>
    <row r="30" spans="1:8">
      <c r="A30" s="1">
        <v>43417</v>
      </c>
      <c r="B30" s="17">
        <v>16</v>
      </c>
      <c r="C30" s="17">
        <v>7</v>
      </c>
      <c r="D30" s="17" t="s">
        <v>220</v>
      </c>
      <c r="E30" s="17">
        <v>2</v>
      </c>
      <c r="F30" s="17">
        <v>1</v>
      </c>
      <c r="G30" s="21">
        <v>839.91</v>
      </c>
      <c r="H30" s="22"/>
    </row>
    <row r="31" spans="1:8">
      <c r="A31" s="1">
        <v>43418</v>
      </c>
      <c r="B31" s="17">
        <v>21</v>
      </c>
      <c r="C31" s="17">
        <v>5</v>
      </c>
      <c r="D31" s="17" t="s">
        <v>222</v>
      </c>
      <c r="E31" s="17">
        <v>5</v>
      </c>
      <c r="F31" s="17">
        <v>2</v>
      </c>
      <c r="G31" s="21">
        <v>508.14</v>
      </c>
      <c r="H31" s="22"/>
    </row>
    <row r="32" spans="1:8">
      <c r="A32" s="1">
        <v>43419</v>
      </c>
      <c r="B32" s="17">
        <v>17</v>
      </c>
      <c r="C32" s="17">
        <v>5</v>
      </c>
      <c r="D32" s="17" t="s">
        <v>223</v>
      </c>
      <c r="E32" s="17">
        <v>0</v>
      </c>
      <c r="F32" s="17">
        <v>4</v>
      </c>
      <c r="G32" s="21">
        <v>1137.21</v>
      </c>
      <c r="H32" s="22"/>
    </row>
    <row r="33" spans="1:8">
      <c r="A33" s="1">
        <v>43420</v>
      </c>
      <c r="B33" s="17">
        <v>16</v>
      </c>
      <c r="C33" s="17">
        <v>5</v>
      </c>
      <c r="D33" s="17" t="s">
        <v>224</v>
      </c>
      <c r="E33" s="17">
        <v>1</v>
      </c>
      <c r="F33" s="17">
        <v>2</v>
      </c>
      <c r="G33" s="21">
        <v>568.76</v>
      </c>
      <c r="H33" s="22"/>
    </row>
    <row r="34" spans="1:8">
      <c r="A34" s="1">
        <v>43423</v>
      </c>
      <c r="B34" s="17">
        <v>19</v>
      </c>
      <c r="C34" s="17">
        <v>3</v>
      </c>
      <c r="D34" s="17" t="s">
        <v>225</v>
      </c>
      <c r="E34" s="17">
        <v>0</v>
      </c>
      <c r="F34" s="17">
        <v>6</v>
      </c>
      <c r="G34" s="21">
        <v>179.9</v>
      </c>
      <c r="H34" s="22"/>
    </row>
    <row r="35" spans="1:8">
      <c r="A35" s="1">
        <v>43424</v>
      </c>
      <c r="B35" s="17">
        <v>19</v>
      </c>
      <c r="C35" s="17">
        <v>3</v>
      </c>
      <c r="D35" s="17" t="s">
        <v>227</v>
      </c>
      <c r="E35" s="17">
        <v>2</v>
      </c>
      <c r="F35" s="17">
        <v>2</v>
      </c>
      <c r="G35" s="21">
        <v>635.12</v>
      </c>
      <c r="H35" s="22"/>
    </row>
    <row r="36" spans="1:8">
      <c r="A36" s="1">
        <v>43425</v>
      </c>
      <c r="B36" s="17">
        <v>17</v>
      </c>
      <c r="C36" s="17">
        <v>1</v>
      </c>
      <c r="D36" s="17">
        <v>28.95</v>
      </c>
      <c r="E36" s="17">
        <v>4</v>
      </c>
      <c r="F36" s="17">
        <v>3</v>
      </c>
      <c r="G36" s="21">
        <v>28.95</v>
      </c>
      <c r="H36" s="22"/>
    </row>
    <row r="37" spans="1:8">
      <c r="A37" s="1">
        <v>43426</v>
      </c>
      <c r="B37" s="3">
        <v>14</v>
      </c>
      <c r="C37" s="17">
        <v>4</v>
      </c>
      <c r="D37" s="17" t="s">
        <v>226</v>
      </c>
      <c r="E37" s="17">
        <v>5</v>
      </c>
      <c r="F37" s="17">
        <v>0</v>
      </c>
      <c r="G37" s="21">
        <v>888.82</v>
      </c>
      <c r="H37" s="22"/>
    </row>
    <row r="38" spans="1:8">
      <c r="A38" s="1">
        <v>43427</v>
      </c>
      <c r="B38" s="17">
        <v>17</v>
      </c>
      <c r="C38" s="17">
        <v>5</v>
      </c>
      <c r="D38" s="17" t="s">
        <v>228</v>
      </c>
      <c r="E38" s="17">
        <v>2</v>
      </c>
      <c r="F38" s="17">
        <v>2</v>
      </c>
      <c r="G38" s="21">
        <v>807</v>
      </c>
      <c r="H38" s="22"/>
    </row>
    <row r="39" spans="1:8">
      <c r="A39" s="1">
        <v>43430</v>
      </c>
      <c r="B39" s="3">
        <v>28</v>
      </c>
      <c r="C39" s="17">
        <v>4</v>
      </c>
      <c r="D39" s="17" t="s">
        <v>231</v>
      </c>
      <c r="E39" s="17">
        <v>9</v>
      </c>
      <c r="F39" s="17">
        <v>2</v>
      </c>
      <c r="G39" s="21">
        <v>1007.6</v>
      </c>
      <c r="H39" s="22"/>
    </row>
    <row r="40" spans="1:8">
      <c r="A40" s="1">
        <v>43431</v>
      </c>
      <c r="B40" s="3">
        <v>16</v>
      </c>
      <c r="C40" s="17">
        <v>5</v>
      </c>
      <c r="D40" s="17" t="s">
        <v>232</v>
      </c>
      <c r="E40" s="17">
        <v>0</v>
      </c>
      <c r="F40" s="17">
        <v>0</v>
      </c>
      <c r="G40" s="21">
        <v>911.26</v>
      </c>
      <c r="H40" s="22"/>
    </row>
    <row r="41" spans="1:8">
      <c r="A41" s="1">
        <v>43432</v>
      </c>
      <c r="B41" s="3">
        <v>14</v>
      </c>
      <c r="C41" s="17">
        <v>5</v>
      </c>
      <c r="D41" s="17" t="s">
        <v>233</v>
      </c>
      <c r="E41" s="17">
        <v>1</v>
      </c>
      <c r="F41" s="17">
        <v>0</v>
      </c>
      <c r="G41" s="21">
        <v>1103.8499999999999</v>
      </c>
      <c r="H41" s="22"/>
    </row>
    <row r="42" spans="1:8">
      <c r="A42" s="1">
        <v>43433</v>
      </c>
      <c r="B42" s="3">
        <v>24</v>
      </c>
      <c r="C42" s="17">
        <v>4</v>
      </c>
      <c r="D42" s="17" t="s">
        <v>234</v>
      </c>
      <c r="E42" s="17">
        <v>2</v>
      </c>
      <c r="F42" s="17">
        <v>0</v>
      </c>
      <c r="G42" s="21">
        <v>744.45</v>
      </c>
      <c r="H42" s="22"/>
    </row>
    <row r="43" spans="1:8">
      <c r="A43" s="1">
        <v>43434</v>
      </c>
      <c r="B43" s="3">
        <v>23</v>
      </c>
      <c r="C43" s="17">
        <v>5</v>
      </c>
      <c r="D43" s="17" t="s">
        <v>235</v>
      </c>
      <c r="E43" s="17">
        <v>3</v>
      </c>
      <c r="F43" s="17">
        <v>1</v>
      </c>
      <c r="G43" s="21">
        <v>1060.72</v>
      </c>
      <c r="H43" s="22"/>
    </row>
    <row r="44" spans="1:8">
      <c r="A44" s="1">
        <v>43437</v>
      </c>
      <c r="B44" s="3">
        <v>18</v>
      </c>
      <c r="C44" s="17">
        <v>2</v>
      </c>
      <c r="D44" s="17" t="s">
        <v>236</v>
      </c>
      <c r="E44" s="17">
        <v>5</v>
      </c>
      <c r="F44" s="17">
        <v>5</v>
      </c>
      <c r="G44" s="21">
        <v>461.62</v>
      </c>
      <c r="H44" s="22">
        <v>3.0000000000000001E-3</v>
      </c>
    </row>
    <row r="45" spans="1:8">
      <c r="A45" s="1">
        <v>43438</v>
      </c>
      <c r="B45" s="3">
        <v>29</v>
      </c>
      <c r="C45" s="17">
        <v>7</v>
      </c>
      <c r="D45" s="17" t="s">
        <v>237</v>
      </c>
      <c r="E45" s="17">
        <v>5</v>
      </c>
      <c r="F45" s="17">
        <v>2</v>
      </c>
      <c r="G45" s="21">
        <v>1318.97</v>
      </c>
      <c r="H45" s="22"/>
    </row>
    <row r="46" spans="1:8">
      <c r="A46" s="1">
        <v>43439</v>
      </c>
      <c r="B46" s="3">
        <v>58</v>
      </c>
      <c r="C46" s="17">
        <v>8</v>
      </c>
      <c r="D46" s="17" t="s">
        <v>238</v>
      </c>
      <c r="E46" s="17">
        <v>6</v>
      </c>
      <c r="F46" s="17">
        <v>2</v>
      </c>
      <c r="G46" s="21">
        <v>1511.43</v>
      </c>
      <c r="H46" s="22"/>
    </row>
    <row r="47" spans="1:8">
      <c r="A47" s="1">
        <v>43441</v>
      </c>
      <c r="B47" s="3">
        <v>24</v>
      </c>
      <c r="C47" s="17">
        <v>3</v>
      </c>
      <c r="D47" s="17" t="s">
        <v>239</v>
      </c>
      <c r="E47" s="17">
        <v>7</v>
      </c>
      <c r="F47" s="17">
        <v>1</v>
      </c>
      <c r="G47" s="21">
        <v>540.16</v>
      </c>
      <c r="H47" s="22"/>
    </row>
    <row r="48" spans="1:8">
      <c r="A48" s="1">
        <v>43444</v>
      </c>
      <c r="B48" s="3">
        <v>28</v>
      </c>
      <c r="C48" s="17">
        <v>6</v>
      </c>
      <c r="D48" s="17" t="s">
        <v>240</v>
      </c>
      <c r="E48" s="17">
        <v>3</v>
      </c>
      <c r="F48" s="17">
        <v>1</v>
      </c>
      <c r="G48" s="21">
        <v>1786.64</v>
      </c>
      <c r="H48" s="22"/>
    </row>
    <row r="49" spans="1:8">
      <c r="A49" s="1">
        <v>43445</v>
      </c>
      <c r="B49" s="3">
        <v>17</v>
      </c>
      <c r="C49" s="17">
        <v>4</v>
      </c>
      <c r="D49" s="17" t="s">
        <v>241</v>
      </c>
      <c r="E49" s="17">
        <v>0</v>
      </c>
      <c r="F49" s="17">
        <v>1</v>
      </c>
      <c r="G49" s="21">
        <v>1120.23</v>
      </c>
      <c r="H49" s="22"/>
    </row>
    <row r="50" spans="1:8">
      <c r="A50" s="1">
        <v>43446</v>
      </c>
      <c r="B50" s="3">
        <v>18</v>
      </c>
      <c r="C50" s="17">
        <v>4</v>
      </c>
      <c r="D50" s="17" t="s">
        <v>242</v>
      </c>
      <c r="E50" s="17">
        <v>1</v>
      </c>
      <c r="F50" s="17">
        <v>1</v>
      </c>
      <c r="G50" s="21">
        <v>825.77</v>
      </c>
      <c r="H50" s="22"/>
    </row>
    <row r="51" spans="1:8">
      <c r="A51" s="1">
        <v>43447</v>
      </c>
      <c r="B51" s="3">
        <v>17</v>
      </c>
      <c r="C51" s="17">
        <v>6</v>
      </c>
      <c r="D51" s="17" t="s">
        <v>243</v>
      </c>
      <c r="E51" s="17">
        <v>2</v>
      </c>
      <c r="F51" s="17">
        <v>0</v>
      </c>
      <c r="G51" s="21">
        <v>969.89</v>
      </c>
      <c r="H51" s="22"/>
    </row>
    <row r="52" spans="1:8">
      <c r="A52" s="1">
        <v>43448</v>
      </c>
      <c r="B52" s="3">
        <v>13</v>
      </c>
      <c r="C52" s="17">
        <v>2</v>
      </c>
      <c r="D52" s="17" t="s">
        <v>244</v>
      </c>
      <c r="E52" s="17">
        <v>0</v>
      </c>
      <c r="F52" s="17">
        <v>0</v>
      </c>
      <c r="G52" s="21">
        <v>427.8</v>
      </c>
      <c r="H52" s="22"/>
    </row>
    <row r="53" spans="1:8">
      <c r="A53" s="1">
        <v>43451</v>
      </c>
      <c r="B53" s="3">
        <v>17</v>
      </c>
      <c r="C53" s="17">
        <v>3</v>
      </c>
      <c r="D53" s="17" t="s">
        <v>249</v>
      </c>
      <c r="E53" s="17">
        <v>1</v>
      </c>
      <c r="F53" s="17">
        <v>0</v>
      </c>
      <c r="G53" s="21">
        <v>743.43</v>
      </c>
      <c r="H53" s="22"/>
    </row>
    <row r="54" spans="1:8">
      <c r="A54" s="1">
        <v>43452</v>
      </c>
      <c r="B54" s="3">
        <v>20</v>
      </c>
      <c r="C54" s="17">
        <v>5</v>
      </c>
      <c r="D54" s="17" t="s">
        <v>250</v>
      </c>
      <c r="E54" s="17">
        <v>0</v>
      </c>
      <c r="F54" s="17">
        <v>1</v>
      </c>
      <c r="G54" s="21">
        <v>1031.04</v>
      </c>
      <c r="H54" s="22"/>
    </row>
    <row r="55" spans="1:8">
      <c r="A55" s="1">
        <v>43453</v>
      </c>
      <c r="B55" s="3">
        <v>22</v>
      </c>
      <c r="C55" s="17">
        <v>2</v>
      </c>
      <c r="D55" s="17" t="s">
        <v>251</v>
      </c>
      <c r="E55" s="17">
        <v>1</v>
      </c>
      <c r="F55" s="17">
        <v>1</v>
      </c>
      <c r="G55" s="21">
        <v>517.19000000000005</v>
      </c>
      <c r="H55" s="22"/>
    </row>
    <row r="56" spans="1:8">
      <c r="A56" s="1">
        <v>43454</v>
      </c>
      <c r="B56" s="3">
        <v>19</v>
      </c>
      <c r="C56" s="17">
        <v>4</v>
      </c>
      <c r="D56" s="17" t="s">
        <v>252</v>
      </c>
      <c r="E56" s="17">
        <v>2</v>
      </c>
      <c r="F56" s="17">
        <v>1</v>
      </c>
      <c r="G56" s="21">
        <v>1726.63</v>
      </c>
      <c r="H56" s="22"/>
    </row>
    <row r="57" spans="1:8">
      <c r="A57" s="1">
        <v>43455</v>
      </c>
      <c r="B57" s="3">
        <v>15</v>
      </c>
      <c r="C57" s="17">
        <v>3</v>
      </c>
      <c r="D57" s="17" t="s">
        <v>253</v>
      </c>
      <c r="E57" s="17">
        <v>1</v>
      </c>
      <c r="F57" s="17">
        <v>0</v>
      </c>
      <c r="G57" s="21">
        <v>462.36</v>
      </c>
      <c r="H57" s="22"/>
    </row>
    <row r="58" spans="1:8">
      <c r="A58" s="1">
        <v>43458</v>
      </c>
      <c r="B58" s="3">
        <v>39</v>
      </c>
      <c r="C58" s="17">
        <v>7</v>
      </c>
      <c r="D58" s="17" t="s">
        <v>254</v>
      </c>
      <c r="E58" s="17">
        <v>22</v>
      </c>
      <c r="F58" s="17">
        <v>0</v>
      </c>
      <c r="G58" s="21">
        <v>3025.11</v>
      </c>
      <c r="H58" s="22"/>
    </row>
    <row r="59" spans="1:8">
      <c r="A59" s="1">
        <v>43460</v>
      </c>
      <c r="B59" s="3">
        <v>28</v>
      </c>
      <c r="C59" s="17">
        <v>3</v>
      </c>
      <c r="D59" s="17" t="s">
        <v>255</v>
      </c>
      <c r="E59" s="17">
        <v>15</v>
      </c>
      <c r="F59" s="17">
        <v>1</v>
      </c>
      <c r="G59" s="21">
        <v>856.21</v>
      </c>
      <c r="H59" s="22"/>
    </row>
    <row r="60" spans="1:8">
      <c r="A60" s="1">
        <v>43461</v>
      </c>
      <c r="B60" s="3">
        <v>18</v>
      </c>
      <c r="C60" s="17">
        <v>6</v>
      </c>
      <c r="D60" s="17" t="s">
        <v>256</v>
      </c>
      <c r="E60" s="17">
        <v>4</v>
      </c>
      <c r="F60" s="17">
        <v>1</v>
      </c>
      <c r="G60" s="21">
        <v>1741.93</v>
      </c>
      <c r="H60" s="22"/>
    </row>
    <row r="61" spans="1:8">
      <c r="A61" s="1">
        <v>43462</v>
      </c>
      <c r="B61" s="3">
        <v>18</v>
      </c>
      <c r="C61" s="17">
        <v>1</v>
      </c>
      <c r="D61" s="17">
        <v>449.33</v>
      </c>
      <c r="E61" s="17">
        <v>4</v>
      </c>
      <c r="F61" s="17">
        <v>3</v>
      </c>
      <c r="G61" s="21">
        <v>449.33</v>
      </c>
      <c r="H61" s="22"/>
    </row>
    <row r="62" spans="1:8">
      <c r="A62" s="25">
        <v>43465</v>
      </c>
      <c r="B62" s="18">
        <v>24</v>
      </c>
      <c r="C62" s="31">
        <v>1</v>
      </c>
      <c r="D62" s="31">
        <v>526.07000000000005</v>
      </c>
      <c r="E62" s="31">
        <v>10</v>
      </c>
      <c r="F62" s="31">
        <v>2</v>
      </c>
      <c r="G62" s="32">
        <v>526.07000000000005</v>
      </c>
      <c r="H62" s="22"/>
    </row>
    <row r="63" spans="1:8">
      <c r="A63" s="33"/>
      <c r="C63" s="34"/>
      <c r="D63" s="34"/>
      <c r="E63" s="34"/>
      <c r="F63" s="34"/>
      <c r="G63" s="35"/>
      <c r="H63" s="30"/>
    </row>
    <row r="64" spans="1:8">
      <c r="A64" s="33"/>
      <c r="C64" s="34"/>
      <c r="D64" s="34"/>
      <c r="E64" s="34"/>
      <c r="F64" s="34"/>
      <c r="G64" s="35"/>
      <c r="H64" s="30"/>
    </row>
    <row r="65" spans="1:8">
      <c r="A65" s="33"/>
      <c r="C65" s="34"/>
      <c r="D65" s="34"/>
      <c r="E65" s="34"/>
      <c r="F65" s="34"/>
      <c r="G65" s="35"/>
      <c r="H65" s="30"/>
    </row>
    <row r="66" spans="1:8">
      <c r="A66" s="33"/>
      <c r="C66" s="34"/>
      <c r="D66" s="34"/>
      <c r="E66" s="34"/>
      <c r="F66" s="34"/>
      <c r="G66" s="35"/>
      <c r="H66" s="30"/>
    </row>
    <row r="67" spans="1:8">
      <c r="A67" s="33"/>
      <c r="C67" s="34"/>
      <c r="D67" s="34"/>
      <c r="E67" s="34"/>
      <c r="F67" s="34"/>
      <c r="G67" s="35"/>
      <c r="H67" s="30"/>
    </row>
    <row r="68" spans="1:8">
      <c r="A68" s="33"/>
      <c r="C68" s="34"/>
      <c r="D68" s="34"/>
      <c r="E68" s="34"/>
      <c r="F68" s="34"/>
      <c r="G68" s="35"/>
      <c r="H68" s="30"/>
    </row>
    <row r="69" spans="1:8">
      <c r="A69" s="33"/>
      <c r="C69" s="34"/>
      <c r="D69" s="34"/>
      <c r="E69" s="34"/>
      <c r="F69" s="34"/>
      <c r="G69" s="35"/>
      <c r="H69" s="30"/>
    </row>
    <row r="70" spans="1:8">
      <c r="A70" s="33"/>
      <c r="C70" s="34"/>
      <c r="D70" s="34"/>
      <c r="E70" s="34"/>
      <c r="F70" s="34"/>
      <c r="G70" s="35"/>
      <c r="H70" s="30"/>
    </row>
    <row r="71" spans="1:8">
      <c r="A71" s="33"/>
      <c r="C71" s="34"/>
      <c r="D71" s="34"/>
      <c r="E71" s="34"/>
      <c r="F71" s="34"/>
      <c r="G71" s="35"/>
      <c r="H71" s="30"/>
    </row>
    <row r="72" spans="1:8">
      <c r="A72" s="33"/>
      <c r="C72" s="34"/>
      <c r="D72" s="34"/>
      <c r="E72" s="34"/>
      <c r="F72" s="34"/>
      <c r="G72" s="35"/>
      <c r="H72" s="30"/>
    </row>
    <row r="73" spans="1:8">
      <c r="A73" s="33"/>
      <c r="C73" s="34"/>
      <c r="D73" s="34"/>
      <c r="E73" s="34"/>
      <c r="F73" s="34"/>
      <c r="G73" s="35"/>
      <c r="H73" s="30"/>
    </row>
    <row r="74" spans="1:8">
      <c r="A74" s="33"/>
      <c r="C74" s="34"/>
      <c r="D74" s="34"/>
      <c r="E74" s="34"/>
      <c r="F74" s="34"/>
      <c r="G74" s="35"/>
      <c r="H74" s="30"/>
    </row>
    <row r="75" spans="1:8">
      <c r="A75" s="33"/>
      <c r="C75" s="34"/>
      <c r="D75" s="34"/>
      <c r="E75" s="34"/>
      <c r="F75" s="34"/>
      <c r="G75" s="35"/>
      <c r="H75" s="30"/>
    </row>
    <row r="76" spans="1:8">
      <c r="A76" s="33"/>
      <c r="C76" s="34"/>
      <c r="D76" s="34"/>
      <c r="E76" s="34"/>
      <c r="F76" s="34"/>
      <c r="G76" s="35"/>
      <c r="H76" s="30"/>
    </row>
    <row r="77" spans="1:8">
      <c r="A77" s="33"/>
      <c r="C77" s="34"/>
      <c r="D77" s="34"/>
      <c r="E77" s="34"/>
      <c r="F77" s="34"/>
      <c r="G77" s="35"/>
      <c r="H77" s="30"/>
    </row>
    <row r="78" spans="1:8">
      <c r="A78" s="33"/>
      <c r="C78" s="34"/>
      <c r="D78" s="34"/>
      <c r="E78" s="34"/>
      <c r="F78" s="34"/>
      <c r="G78" s="35"/>
      <c r="H78" s="30"/>
    </row>
    <row r="79" spans="1:8">
      <c r="A79" s="33"/>
      <c r="C79" s="34"/>
      <c r="D79" s="34"/>
      <c r="E79" s="34"/>
      <c r="F79" s="34"/>
      <c r="G79" s="35"/>
      <c r="H79" s="30"/>
    </row>
    <row r="80" spans="1:8">
      <c r="A80" s="33"/>
      <c r="C80" s="34"/>
      <c r="D80" s="34"/>
      <c r="E80" s="34"/>
      <c r="F80" s="34"/>
      <c r="G80" s="35"/>
      <c r="H80" s="30"/>
    </row>
    <row r="81" spans="1:8">
      <c r="A81" s="33"/>
      <c r="C81" s="34"/>
      <c r="D81" s="34"/>
      <c r="E81" s="34"/>
      <c r="F81" s="34"/>
      <c r="G81" s="35"/>
      <c r="H81" s="30"/>
    </row>
    <row r="82" spans="1:8">
      <c r="A82" s="33"/>
      <c r="C82" s="34"/>
      <c r="D82" s="34"/>
      <c r="E82" s="34"/>
      <c r="F82" s="34"/>
      <c r="G82" s="35"/>
      <c r="H82" s="30"/>
    </row>
    <row r="83" spans="1:8">
      <c r="A83" s="33"/>
      <c r="C83" s="34"/>
      <c r="D83" s="34"/>
      <c r="E83" s="34"/>
      <c r="F83" s="34"/>
      <c r="G83" s="35"/>
    </row>
    <row r="84" spans="1:8">
      <c r="A84" s="33"/>
      <c r="C84" s="34"/>
      <c r="D84" s="34"/>
      <c r="E84" s="34"/>
      <c r="F84" s="34"/>
      <c r="G84" s="35"/>
    </row>
    <row r="85" spans="1:8">
      <c r="A85" s="33"/>
      <c r="C85" s="34"/>
      <c r="D85" s="34"/>
      <c r="E85" s="34"/>
      <c r="F85" s="34"/>
      <c r="G85" s="35"/>
    </row>
    <row r="86" spans="1:8">
      <c r="A86" s="33"/>
      <c r="C86" s="34"/>
      <c r="D86" s="34"/>
      <c r="E86" s="34"/>
      <c r="F86" s="34"/>
      <c r="G86" s="35"/>
    </row>
    <row r="87" spans="1:8">
      <c r="A87" s="33"/>
      <c r="C87" s="34"/>
      <c r="D87" s="34"/>
      <c r="E87" s="34"/>
      <c r="F87" s="34"/>
      <c r="G87" s="35"/>
    </row>
    <row r="88" spans="1:8">
      <c r="A88" s="33"/>
      <c r="C88" s="34"/>
      <c r="D88" s="34"/>
      <c r="E88" s="34"/>
      <c r="F88" s="34"/>
      <c r="G88" s="35"/>
    </row>
    <row r="89" spans="1:8">
      <c r="A89" s="33"/>
      <c r="C89" s="34"/>
      <c r="D89" s="34"/>
      <c r="E89" s="34"/>
      <c r="F89" s="34"/>
      <c r="G89" s="35"/>
    </row>
    <row r="90" spans="1:8">
      <c r="A90" s="33"/>
      <c r="C90" s="34"/>
      <c r="D90" s="34"/>
      <c r="E90" s="34"/>
      <c r="F90" s="34"/>
      <c r="G90" s="35"/>
    </row>
    <row r="91" spans="1:8">
      <c r="A91" s="33"/>
      <c r="C91" s="34"/>
      <c r="D91" s="34"/>
      <c r="E91" s="34"/>
      <c r="F91" s="34"/>
      <c r="G91" s="35"/>
    </row>
    <row r="92" spans="1:8">
      <c r="A92" s="33"/>
      <c r="C92" s="34"/>
      <c r="D92" s="34"/>
      <c r="E92" s="34"/>
      <c r="F92" s="34"/>
      <c r="G92" s="35"/>
    </row>
    <row r="93" spans="1:8">
      <c r="A93" s="33"/>
      <c r="C93" s="34"/>
      <c r="D93" s="34"/>
      <c r="E93" s="34"/>
      <c r="F93" s="34"/>
      <c r="G93" s="35"/>
    </row>
    <row r="94" spans="1:8">
      <c r="A94" s="33"/>
      <c r="C94" s="34"/>
      <c r="D94" s="34"/>
      <c r="E94" s="34"/>
      <c r="F94" s="34"/>
      <c r="G94" s="35"/>
    </row>
    <row r="95" spans="1:8">
      <c r="A95" s="33"/>
      <c r="C95" s="34"/>
      <c r="D95" s="34"/>
      <c r="E95" s="34"/>
      <c r="F95" s="34"/>
      <c r="G95" s="35"/>
    </row>
    <row r="96" spans="1:8">
      <c r="A96" s="33"/>
      <c r="C96" s="34"/>
      <c r="D96" s="34"/>
      <c r="E96" s="34"/>
      <c r="F96" s="34"/>
      <c r="G96" s="35"/>
    </row>
    <row r="97" spans="1:8">
      <c r="A97" s="33"/>
      <c r="C97" s="34"/>
      <c r="D97" s="34"/>
      <c r="E97" s="34"/>
      <c r="F97" s="34"/>
      <c r="G97" s="35"/>
    </row>
    <row r="98" spans="1:8">
      <c r="A98" s="33"/>
      <c r="C98" s="34"/>
      <c r="D98" s="34"/>
      <c r="E98" s="34"/>
      <c r="F98" s="34"/>
      <c r="G98" s="35"/>
    </row>
    <row r="99" spans="1:8">
      <c r="A99" s="33"/>
      <c r="C99" s="34"/>
      <c r="D99" s="34"/>
      <c r="E99" s="34"/>
      <c r="F99" s="34"/>
      <c r="G99" s="35"/>
    </row>
    <row r="100" spans="1:8">
      <c r="A100" s="33"/>
      <c r="C100" s="34"/>
      <c r="D100" s="34"/>
      <c r="E100" s="34"/>
      <c r="F100" s="34"/>
      <c r="G100" s="35"/>
    </row>
    <row r="101" spans="1:8">
      <c r="A101" s="33"/>
      <c r="C101" s="34"/>
      <c r="D101" s="34"/>
      <c r="E101" s="34"/>
      <c r="F101" s="34"/>
      <c r="G101" s="35"/>
    </row>
    <row r="102" spans="1:8">
      <c r="A102" s="33"/>
      <c r="C102" s="34"/>
      <c r="D102" s="34"/>
      <c r="E102" s="34"/>
      <c r="F102" s="34"/>
      <c r="G102" s="35"/>
    </row>
    <row r="103" spans="1:8">
      <c r="A103" s="33"/>
      <c r="C103" s="34"/>
      <c r="D103" s="34"/>
      <c r="E103" s="34"/>
      <c r="F103" s="34"/>
      <c r="G103" s="35"/>
    </row>
    <row r="104" spans="1:8">
      <c r="A104" s="33"/>
      <c r="C104" s="34"/>
      <c r="D104" s="34"/>
      <c r="E104" s="34"/>
      <c r="F104" s="34"/>
      <c r="G104" s="35"/>
    </row>
    <row r="105" spans="1:8">
      <c r="A105" s="33"/>
      <c r="C105" s="34"/>
      <c r="D105" s="34"/>
      <c r="E105" s="34"/>
      <c r="F105" s="34"/>
      <c r="G105" s="35"/>
      <c r="H105" s="34"/>
    </row>
    <row r="106" spans="1:8">
      <c r="A106" s="33"/>
      <c r="C106" s="34"/>
      <c r="D106" s="34"/>
      <c r="E106" s="34"/>
      <c r="F106" s="34"/>
      <c r="G106" s="35"/>
      <c r="H106" s="34"/>
    </row>
    <row r="107" spans="1:8">
      <c r="A107" s="33"/>
      <c r="C107" s="34"/>
      <c r="D107" s="34"/>
      <c r="E107" s="34"/>
      <c r="F107" s="34"/>
      <c r="G107" s="35"/>
    </row>
    <row r="108" spans="1:8">
      <c r="A108" s="33"/>
      <c r="C108" s="34"/>
      <c r="D108" s="34"/>
      <c r="E108" s="34"/>
      <c r="F108" s="34"/>
      <c r="G108" s="35"/>
    </row>
    <row r="109" spans="1:8">
      <c r="A109" s="33"/>
      <c r="C109" s="34"/>
      <c r="D109" s="34"/>
      <c r="E109" s="34"/>
      <c r="F109" s="34"/>
      <c r="G109" s="35"/>
    </row>
    <row r="110" spans="1:8">
      <c r="A110" s="33"/>
      <c r="C110" s="34"/>
      <c r="D110" s="34"/>
      <c r="E110" s="34"/>
      <c r="F110" s="34"/>
      <c r="G110" s="35"/>
    </row>
    <row r="111" spans="1:8">
      <c r="A111" s="33"/>
      <c r="C111" s="34"/>
      <c r="D111" s="34"/>
      <c r="E111" s="34"/>
      <c r="F111" s="34"/>
      <c r="G111" s="35"/>
    </row>
    <row r="112" spans="1:8">
      <c r="A112" s="33"/>
      <c r="C112" s="34"/>
      <c r="D112" s="34"/>
      <c r="E112" s="34"/>
      <c r="F112" s="34"/>
      <c r="G112" s="35"/>
    </row>
    <row r="113" spans="1:7">
      <c r="A113" s="33"/>
      <c r="C113" s="34"/>
      <c r="D113" s="34"/>
      <c r="E113" s="34"/>
      <c r="F113" s="34"/>
      <c r="G113" s="35"/>
    </row>
    <row r="114" spans="1:7">
      <c r="A114" s="33"/>
      <c r="C114" s="34"/>
      <c r="D114" s="34"/>
      <c r="E114" s="34"/>
      <c r="F114" s="34"/>
      <c r="G114" s="35"/>
    </row>
    <row r="115" spans="1:7">
      <c r="A115" s="33"/>
      <c r="C115" s="34"/>
      <c r="D115" s="34"/>
      <c r="E115" s="34"/>
      <c r="F115" s="34"/>
      <c r="G115" s="35"/>
    </row>
    <row r="116" spans="1:7">
      <c r="A116" s="33"/>
      <c r="C116" s="34"/>
      <c r="D116" s="34"/>
      <c r="E116" s="34"/>
      <c r="F116" s="34"/>
      <c r="G116" s="35"/>
    </row>
    <row r="117" spans="1:7">
      <c r="A117" s="33"/>
      <c r="C117" s="34"/>
      <c r="D117" s="34"/>
      <c r="E117" s="34"/>
      <c r="F117" s="34"/>
      <c r="G117" s="35"/>
    </row>
    <row r="118" spans="1:7">
      <c r="A118" s="33"/>
      <c r="C118" s="34"/>
      <c r="D118" s="34"/>
      <c r="E118" s="34"/>
      <c r="F118" s="34"/>
      <c r="G118" s="35"/>
    </row>
    <row r="119" spans="1:7">
      <c r="A119" s="33"/>
      <c r="C119" s="34"/>
      <c r="D119" s="34"/>
      <c r="E119" s="34"/>
      <c r="F119" s="34"/>
      <c r="G119" s="35"/>
    </row>
    <row r="120" spans="1:7">
      <c r="A120" s="33"/>
      <c r="C120" s="34"/>
      <c r="D120" s="34"/>
      <c r="E120" s="34"/>
      <c r="F120" s="34"/>
      <c r="G120" s="35"/>
    </row>
    <row r="121" spans="1:7">
      <c r="A121" s="33"/>
      <c r="C121" s="34"/>
      <c r="D121" s="34"/>
      <c r="E121" s="34"/>
      <c r="F121" s="34"/>
      <c r="G121" s="35"/>
    </row>
    <row r="122" spans="1:7">
      <c r="A122" s="33"/>
      <c r="C122" s="34"/>
      <c r="D122" s="34"/>
      <c r="E122" s="34"/>
      <c r="F122" s="34"/>
      <c r="G122" s="35"/>
    </row>
    <row r="123" spans="1:7">
      <c r="A123" s="33"/>
      <c r="C123" s="34"/>
      <c r="D123" s="34"/>
      <c r="E123" s="34"/>
      <c r="F123" s="34"/>
      <c r="G123" s="35"/>
    </row>
    <row r="124" spans="1:7">
      <c r="A124" s="33"/>
      <c r="C124" s="34"/>
      <c r="D124" s="34"/>
      <c r="E124" s="34"/>
      <c r="F124" s="34"/>
      <c r="G124" s="35"/>
    </row>
    <row r="125" spans="1:7">
      <c r="A125" s="33"/>
      <c r="C125" s="34"/>
      <c r="D125" s="34"/>
      <c r="E125" s="34"/>
      <c r="F125" s="34"/>
      <c r="G125" s="35"/>
    </row>
    <row r="126" spans="1:7">
      <c r="A126" s="33"/>
      <c r="C126" s="34"/>
      <c r="D126" s="34"/>
      <c r="E126" s="34"/>
      <c r="F126" s="34"/>
      <c r="G126" s="35"/>
    </row>
    <row r="127" spans="1:7">
      <c r="A127" s="33"/>
      <c r="C127" s="34"/>
      <c r="D127" s="34"/>
      <c r="E127" s="34"/>
      <c r="F127" s="34"/>
      <c r="G127" s="35"/>
    </row>
    <row r="128" spans="1:7">
      <c r="A128" s="33"/>
      <c r="C128" s="34"/>
      <c r="D128" s="34"/>
      <c r="E128" s="34"/>
      <c r="F128" s="34"/>
      <c r="G128" s="35"/>
    </row>
    <row r="129" spans="1:7">
      <c r="A129" s="33"/>
      <c r="C129" s="34"/>
      <c r="D129" s="34"/>
      <c r="E129" s="34"/>
      <c r="F129" s="34"/>
      <c r="G129" s="35"/>
    </row>
    <row r="130" spans="1:7">
      <c r="A130" s="33"/>
      <c r="C130" s="34"/>
      <c r="D130" s="34"/>
      <c r="E130" s="34"/>
      <c r="F130" s="34"/>
      <c r="G130" s="35"/>
    </row>
    <row r="131" spans="1:7">
      <c r="A131" s="33"/>
      <c r="C131" s="34"/>
      <c r="D131" s="34"/>
      <c r="E131" s="34"/>
      <c r="F131" s="34"/>
      <c r="G131" s="35"/>
    </row>
    <row r="132" spans="1:7">
      <c r="A132" s="33"/>
      <c r="C132" s="34"/>
      <c r="D132" s="34"/>
      <c r="E132" s="34"/>
      <c r="F132" s="34"/>
      <c r="G132" s="35"/>
    </row>
    <row r="133" spans="1:7">
      <c r="A133" s="33"/>
      <c r="C133" s="34"/>
      <c r="D133" s="34"/>
      <c r="E133" s="34"/>
      <c r="F133" s="34"/>
      <c r="G133" s="35"/>
    </row>
    <row r="134" spans="1:7">
      <c r="A134" s="33"/>
      <c r="C134" s="34"/>
      <c r="D134" s="34"/>
      <c r="E134" s="34"/>
      <c r="F134" s="34"/>
      <c r="G134" s="35"/>
    </row>
    <row r="135" spans="1:7">
      <c r="A135" s="33"/>
      <c r="C135" s="34"/>
      <c r="D135" s="34"/>
      <c r="E135" s="34"/>
      <c r="F135" s="34"/>
      <c r="G135" s="35"/>
    </row>
    <row r="136" spans="1:7">
      <c r="A136" s="33"/>
      <c r="C136" s="34"/>
      <c r="D136" s="34"/>
      <c r="E136" s="34"/>
      <c r="F136" s="34"/>
      <c r="G136" s="35"/>
    </row>
    <row r="137" spans="1:7">
      <c r="A137" s="33"/>
      <c r="C137" s="34"/>
      <c r="D137" s="34"/>
      <c r="E137" s="34"/>
      <c r="F137" s="34"/>
      <c r="G137" s="35"/>
    </row>
    <row r="138" spans="1:7">
      <c r="A138" s="33"/>
      <c r="C138" s="34"/>
      <c r="D138" s="34"/>
      <c r="E138" s="34"/>
      <c r="F138" s="34"/>
      <c r="G138" s="35"/>
    </row>
    <row r="139" spans="1:7">
      <c r="A139" s="33"/>
      <c r="C139" s="34"/>
      <c r="D139" s="34"/>
      <c r="E139" s="34"/>
      <c r="F139" s="34"/>
      <c r="G139" s="35"/>
    </row>
    <row r="140" spans="1:7">
      <c r="A140" s="33"/>
      <c r="C140" s="34"/>
      <c r="D140" s="34"/>
      <c r="E140" s="34"/>
      <c r="F140" s="34"/>
      <c r="G140" s="35"/>
    </row>
    <row r="141" spans="1:7">
      <c r="A141" s="33"/>
      <c r="C141" s="34"/>
      <c r="D141" s="34"/>
      <c r="E141" s="34"/>
      <c r="F141" s="34"/>
      <c r="G141" s="35"/>
    </row>
    <row r="142" spans="1:7">
      <c r="A142" s="33"/>
      <c r="C142" s="34"/>
      <c r="D142" s="34"/>
      <c r="E142" s="34"/>
      <c r="F142" s="34"/>
      <c r="G142" s="35"/>
    </row>
    <row r="143" spans="1:7">
      <c r="A143" s="33"/>
      <c r="C143" s="34"/>
      <c r="D143" s="34"/>
      <c r="E143" s="34"/>
      <c r="F143" s="34"/>
      <c r="G143" s="35"/>
    </row>
    <row r="144" spans="1:7">
      <c r="A144" s="33"/>
      <c r="C144" s="34"/>
      <c r="D144" s="34"/>
      <c r="E144" s="34"/>
      <c r="F144" s="34"/>
      <c r="G144" s="35"/>
    </row>
    <row r="145" spans="1:8">
      <c r="A145" s="33"/>
      <c r="C145" s="34"/>
      <c r="D145" s="34"/>
      <c r="E145" s="34"/>
      <c r="F145" s="34"/>
      <c r="G145" s="35"/>
      <c r="H145" s="34"/>
    </row>
    <row r="146" spans="1:8">
      <c r="A146" s="33"/>
      <c r="C146" s="34"/>
      <c r="D146" s="34"/>
      <c r="E146" s="34"/>
      <c r="F146" s="34"/>
      <c r="G146" s="35"/>
      <c r="H146" s="34"/>
    </row>
    <row r="147" spans="1:8">
      <c r="A147" s="33"/>
      <c r="C147" s="34"/>
      <c r="D147" s="34"/>
      <c r="E147" s="34"/>
      <c r="F147" s="34"/>
      <c r="G147" s="35"/>
    </row>
    <row r="148" spans="1:8">
      <c r="A148" s="33"/>
      <c r="C148" s="34"/>
      <c r="D148" s="34"/>
      <c r="E148" s="34"/>
      <c r="F148" s="34"/>
      <c r="G148" s="35"/>
    </row>
    <row r="149" spans="1:8">
      <c r="A149" s="33"/>
      <c r="C149" s="34"/>
      <c r="D149" s="34"/>
      <c r="E149" s="34"/>
      <c r="F149" s="34"/>
      <c r="G149" s="35"/>
    </row>
    <row r="150" spans="1:8">
      <c r="A150" s="33"/>
      <c r="C150" s="34"/>
      <c r="D150" s="34"/>
      <c r="E150" s="34"/>
      <c r="F150" s="34"/>
      <c r="G150" s="35"/>
    </row>
    <row r="151" spans="1:8">
      <c r="A151" s="33"/>
      <c r="C151" s="34"/>
      <c r="D151" s="34"/>
      <c r="E151" s="34"/>
      <c r="F151" s="34"/>
      <c r="G151" s="35"/>
    </row>
    <row r="152" spans="1:8">
      <c r="A152" s="33"/>
      <c r="C152" s="34"/>
      <c r="D152" s="34"/>
      <c r="E152" s="34"/>
      <c r="F152" s="34"/>
      <c r="G152" s="35"/>
    </row>
    <row r="153" spans="1:8">
      <c r="A153" s="33"/>
      <c r="C153" s="34"/>
      <c r="D153" s="34"/>
      <c r="E153" s="34"/>
      <c r="F153" s="34"/>
      <c r="G153" s="35"/>
    </row>
    <row r="154" spans="1:8">
      <c r="A154" s="33"/>
      <c r="C154" s="34"/>
      <c r="D154" s="34"/>
      <c r="E154" s="34"/>
      <c r="F154" s="34"/>
      <c r="G154" s="35"/>
    </row>
    <row r="155" spans="1:8">
      <c r="A155" s="33"/>
      <c r="C155" s="34"/>
      <c r="D155" s="34"/>
      <c r="E155" s="34"/>
      <c r="F155" s="34"/>
      <c r="G155" s="35"/>
    </row>
    <row r="156" spans="1:8">
      <c r="A156" s="33"/>
      <c r="C156" s="34"/>
      <c r="D156" s="34"/>
      <c r="E156" s="34"/>
      <c r="F156" s="34"/>
      <c r="G156" s="35"/>
    </row>
    <row r="157" spans="1:8">
      <c r="A157" s="33"/>
      <c r="C157" s="34"/>
      <c r="D157" s="34"/>
      <c r="E157" s="34"/>
      <c r="F157" s="34"/>
      <c r="G157" s="35"/>
    </row>
    <row r="158" spans="1:8">
      <c r="A158" s="33"/>
      <c r="C158" s="34"/>
      <c r="D158" s="34"/>
      <c r="E158" s="34"/>
      <c r="F158" s="34"/>
      <c r="G158" s="35"/>
    </row>
    <row r="159" spans="1:8">
      <c r="A159" s="33"/>
      <c r="C159" s="34"/>
      <c r="D159" s="34"/>
      <c r="E159" s="34"/>
      <c r="F159" s="34"/>
      <c r="G159" s="35"/>
    </row>
    <row r="160" spans="1:8">
      <c r="A160" s="33"/>
      <c r="C160" s="34"/>
      <c r="D160" s="34"/>
      <c r="E160" s="34"/>
      <c r="F160" s="34"/>
      <c r="G160" s="35"/>
    </row>
    <row r="161" spans="1:7">
      <c r="A161" s="33"/>
      <c r="C161" s="34"/>
      <c r="D161" s="34"/>
      <c r="E161" s="34"/>
      <c r="F161" s="34"/>
      <c r="G161" s="35"/>
    </row>
    <row r="162" spans="1:7">
      <c r="A162" s="33"/>
      <c r="C162" s="34"/>
      <c r="D162" s="34"/>
      <c r="E162" s="34"/>
      <c r="F162" s="34"/>
      <c r="G162" s="35"/>
    </row>
    <row r="163" spans="1:7">
      <c r="A163" s="33"/>
      <c r="C163" s="34"/>
      <c r="D163" s="34"/>
      <c r="E163" s="34"/>
      <c r="F163" s="34"/>
      <c r="G163" s="35"/>
    </row>
    <row r="164" spans="1:7">
      <c r="A164" s="33"/>
      <c r="C164" s="34"/>
      <c r="D164" s="34"/>
      <c r="E164" s="34"/>
      <c r="F164" s="34"/>
      <c r="G164" s="35"/>
    </row>
    <row r="165" spans="1:7">
      <c r="A165" s="33"/>
      <c r="C165" s="34"/>
      <c r="D165" s="34"/>
      <c r="E165" s="34"/>
      <c r="F165" s="34"/>
      <c r="G165" s="35"/>
    </row>
    <row r="166" spans="1:7">
      <c r="A166" s="33"/>
      <c r="C166" s="34"/>
      <c r="D166" s="34"/>
      <c r="E166" s="34"/>
      <c r="F166" s="34"/>
      <c r="G166" s="35"/>
    </row>
  </sheetData>
  <autoFilter ref="A1:H4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93"/>
  <sheetViews>
    <sheetView topLeftCell="A28" workbookViewId="0">
      <selection activeCell="E20" sqref="E20"/>
    </sheetView>
  </sheetViews>
  <sheetFormatPr defaultColWidth="11.42578125" defaultRowHeight="15"/>
  <cols>
    <col min="1" max="1" width="8.7109375" bestFit="1" customWidth="1"/>
    <col min="2" max="2" width="10.7109375" bestFit="1" customWidth="1"/>
    <col min="3" max="3" width="14.28515625" customWidth="1"/>
    <col min="4" max="4" width="12.5703125" bestFit="1" customWidth="1"/>
    <col min="5" max="5" width="39.85546875" customWidth="1"/>
    <col min="6" max="6" width="8.140625" bestFit="1" customWidth="1"/>
    <col min="7" max="7" width="27.5703125" bestFit="1" customWidth="1"/>
  </cols>
  <sheetData>
    <row r="1" spans="1:7">
      <c r="A1" s="4" t="s">
        <v>0</v>
      </c>
      <c r="B1" s="4" t="s">
        <v>111</v>
      </c>
      <c r="C1" s="4" t="s">
        <v>6</v>
      </c>
      <c r="D1" s="4" t="s">
        <v>12</v>
      </c>
      <c r="E1" s="11" t="s">
        <v>64</v>
      </c>
      <c r="F1" s="11" t="s">
        <v>109</v>
      </c>
      <c r="G1" s="11" t="s">
        <v>108</v>
      </c>
    </row>
    <row r="2" spans="1:7">
      <c r="A2" s="1">
        <v>43374.403750000056</v>
      </c>
      <c r="B2" s="13">
        <f t="shared" ref="B2:B33" si="0">A2</f>
        <v>43374.403750000056</v>
      </c>
      <c r="C2" s="9">
        <v>1</v>
      </c>
      <c r="D2" s="10" t="s">
        <v>23</v>
      </c>
      <c r="E2" s="9" t="s">
        <v>103</v>
      </c>
      <c r="F2" s="9" t="s">
        <v>110</v>
      </c>
      <c r="G2" s="9" t="s">
        <v>114</v>
      </c>
    </row>
    <row r="3" spans="1:7">
      <c r="A3" s="1">
        <v>43375.429050926119</v>
      </c>
      <c r="B3" s="13">
        <f t="shared" si="0"/>
        <v>43375.429050926119</v>
      </c>
      <c r="C3" s="9">
        <v>2</v>
      </c>
      <c r="D3" s="10" t="s">
        <v>24</v>
      </c>
      <c r="E3" s="9" t="s">
        <v>103</v>
      </c>
      <c r="F3" s="9" t="s">
        <v>110</v>
      </c>
      <c r="G3" s="9" t="s">
        <v>114</v>
      </c>
    </row>
    <row r="4" spans="1:7">
      <c r="A4" s="1">
        <v>43375.483055555727</v>
      </c>
      <c r="B4" s="13">
        <f t="shared" si="0"/>
        <v>43375.483055555727</v>
      </c>
      <c r="C4" s="9">
        <v>2</v>
      </c>
      <c r="D4" s="10" t="s">
        <v>25</v>
      </c>
      <c r="E4" s="9" t="s">
        <v>69</v>
      </c>
      <c r="F4" s="9" t="s">
        <v>110</v>
      </c>
      <c r="G4" s="9" t="s">
        <v>113</v>
      </c>
    </row>
    <row r="5" spans="1:7">
      <c r="A5" s="1">
        <v>43375.637893518433</v>
      </c>
      <c r="B5" s="13">
        <f t="shared" si="0"/>
        <v>43375.637893518433</v>
      </c>
      <c r="C5" s="9">
        <v>1</v>
      </c>
      <c r="D5" s="10" t="s">
        <v>26</v>
      </c>
      <c r="E5" s="9" t="s">
        <v>68</v>
      </c>
      <c r="F5" s="9" t="s">
        <v>110</v>
      </c>
      <c r="G5" s="9" t="s">
        <v>113</v>
      </c>
    </row>
    <row r="6" spans="1:7">
      <c r="A6" s="1">
        <v>43375.695405092556</v>
      </c>
      <c r="B6" s="13">
        <f t="shared" si="0"/>
        <v>43375.695405092556</v>
      </c>
      <c r="C6" s="9">
        <v>2</v>
      </c>
      <c r="D6" s="10" t="s">
        <v>27</v>
      </c>
      <c r="E6" s="9" t="s">
        <v>69</v>
      </c>
      <c r="F6" s="9" t="s">
        <v>110</v>
      </c>
      <c r="G6" s="9" t="s">
        <v>113</v>
      </c>
    </row>
    <row r="7" spans="1:7">
      <c r="A7" s="1">
        <v>43376.730393518694</v>
      </c>
      <c r="B7" s="13">
        <f t="shared" si="0"/>
        <v>43376.730393518694</v>
      </c>
      <c r="C7" s="9">
        <v>1</v>
      </c>
      <c r="D7" s="10" t="s">
        <v>28</v>
      </c>
      <c r="E7" s="9" t="s">
        <v>67</v>
      </c>
      <c r="F7" s="9" t="s">
        <v>110</v>
      </c>
      <c r="G7" s="9" t="s">
        <v>123</v>
      </c>
    </row>
    <row r="8" spans="1:7">
      <c r="A8" s="1">
        <v>43377.416805555578</v>
      </c>
      <c r="B8" s="13">
        <f t="shared" si="0"/>
        <v>43377.416805555578</v>
      </c>
      <c r="C8" s="9">
        <v>1</v>
      </c>
      <c r="D8" s="10" t="s">
        <v>29</v>
      </c>
      <c r="E8" s="9" t="s">
        <v>69</v>
      </c>
      <c r="F8" s="9" t="s">
        <v>110</v>
      </c>
      <c r="G8" s="9" t="s">
        <v>119</v>
      </c>
    </row>
    <row r="9" spans="1:7">
      <c r="A9" s="1">
        <v>43377.484178240877</v>
      </c>
      <c r="B9" s="13">
        <f t="shared" si="0"/>
        <v>43377.484178240877</v>
      </c>
      <c r="C9" s="9">
        <v>1</v>
      </c>
      <c r="D9" s="10" t="s">
        <v>30</v>
      </c>
      <c r="E9" s="9" t="s">
        <v>74</v>
      </c>
      <c r="F9" s="9" t="s">
        <v>110</v>
      </c>
      <c r="G9" s="9" t="s">
        <v>125</v>
      </c>
    </row>
    <row r="10" spans="1:7">
      <c r="A10" s="1">
        <v>43377.487974537071</v>
      </c>
      <c r="B10" s="13">
        <f t="shared" si="0"/>
        <v>43377.487974537071</v>
      </c>
      <c r="C10" s="9">
        <v>2</v>
      </c>
      <c r="D10" s="10" t="s">
        <v>31</v>
      </c>
      <c r="E10" s="9" t="s">
        <v>278</v>
      </c>
      <c r="F10" s="9" t="s">
        <v>110</v>
      </c>
      <c r="G10" s="9" t="s">
        <v>124</v>
      </c>
    </row>
    <row r="11" spans="1:7">
      <c r="A11" s="1">
        <v>43377.585011573974</v>
      </c>
      <c r="B11" s="13">
        <f t="shared" si="0"/>
        <v>43377.585011573974</v>
      </c>
      <c r="C11" s="9">
        <v>1</v>
      </c>
      <c r="D11" s="10" t="s">
        <v>32</v>
      </c>
      <c r="E11" s="9" t="s">
        <v>71</v>
      </c>
      <c r="F11" s="9" t="s">
        <v>110</v>
      </c>
      <c r="G11" s="9" t="s">
        <v>124</v>
      </c>
    </row>
    <row r="12" spans="1:7">
      <c r="A12" s="1">
        <v>43377.586550925858</v>
      </c>
      <c r="B12" s="13">
        <f t="shared" si="0"/>
        <v>43377.586550925858</v>
      </c>
      <c r="C12" s="9">
        <v>1</v>
      </c>
      <c r="D12" s="10" t="s">
        <v>33</v>
      </c>
      <c r="E12" s="9" t="s">
        <v>75</v>
      </c>
      <c r="F12" s="9" t="s">
        <v>110</v>
      </c>
      <c r="G12" s="9" t="s">
        <v>114</v>
      </c>
    </row>
    <row r="13" spans="1:7">
      <c r="A13" s="1">
        <v>43377.747500000056</v>
      </c>
      <c r="B13" s="13">
        <f t="shared" si="0"/>
        <v>43377.747500000056</v>
      </c>
      <c r="C13" s="9">
        <v>2</v>
      </c>
      <c r="D13" s="10" t="s">
        <v>34</v>
      </c>
      <c r="E13" s="14" t="s">
        <v>279</v>
      </c>
      <c r="F13" s="9" t="s">
        <v>110</v>
      </c>
      <c r="G13" s="9" t="s">
        <v>126</v>
      </c>
    </row>
    <row r="14" spans="1:7">
      <c r="A14" s="1">
        <v>43378.511122685391</v>
      </c>
      <c r="B14" s="13">
        <f t="shared" si="0"/>
        <v>43378.511122685391</v>
      </c>
      <c r="C14" s="9">
        <v>1</v>
      </c>
      <c r="D14" s="10" t="s">
        <v>35</v>
      </c>
      <c r="E14" s="9" t="s">
        <v>75</v>
      </c>
      <c r="F14" s="9" t="s">
        <v>110</v>
      </c>
      <c r="G14" s="9" t="s">
        <v>125</v>
      </c>
    </row>
    <row r="15" spans="1:7">
      <c r="A15" s="1">
        <v>43378.570879629813</v>
      </c>
      <c r="B15" s="13">
        <f t="shared" si="0"/>
        <v>43378.570879629813</v>
      </c>
      <c r="C15" s="9">
        <v>1</v>
      </c>
      <c r="D15" s="10" t="s">
        <v>36</v>
      </c>
      <c r="E15" s="9" t="s">
        <v>80</v>
      </c>
      <c r="F15" s="9" t="s">
        <v>110</v>
      </c>
      <c r="G15" s="9" t="s">
        <v>119</v>
      </c>
    </row>
    <row r="16" spans="1:7">
      <c r="A16" s="1">
        <v>43381.420844907407</v>
      </c>
      <c r="B16" s="13">
        <f t="shared" si="0"/>
        <v>43381.420844907407</v>
      </c>
      <c r="C16" s="9">
        <v>2</v>
      </c>
      <c r="D16" s="10" t="s">
        <v>37</v>
      </c>
      <c r="E16" s="9" t="s">
        <v>76</v>
      </c>
      <c r="F16" s="9" t="s">
        <v>110</v>
      </c>
      <c r="G16" s="9" t="s">
        <v>122</v>
      </c>
    </row>
    <row r="17" spans="1:7">
      <c r="A17" s="1">
        <v>43381.435752314981</v>
      </c>
      <c r="B17" s="13">
        <f t="shared" si="0"/>
        <v>43381.435752314981</v>
      </c>
      <c r="C17" s="9">
        <v>1</v>
      </c>
      <c r="D17" s="10" t="s">
        <v>38</v>
      </c>
      <c r="E17" s="9" t="s">
        <v>84</v>
      </c>
      <c r="F17" s="9" t="s">
        <v>110</v>
      </c>
      <c r="G17" s="9" t="s">
        <v>118</v>
      </c>
    </row>
    <row r="18" spans="1:7">
      <c r="A18" s="1">
        <v>43381.450462962966</v>
      </c>
      <c r="B18" s="13">
        <f t="shared" si="0"/>
        <v>43381.450462962966</v>
      </c>
      <c r="C18" s="9">
        <v>1</v>
      </c>
      <c r="D18" s="10" t="s">
        <v>39</v>
      </c>
      <c r="E18" s="9" t="s">
        <v>83</v>
      </c>
      <c r="F18" s="9" t="s">
        <v>110</v>
      </c>
      <c r="G18" s="9" t="s">
        <v>118</v>
      </c>
    </row>
    <row r="19" spans="1:7">
      <c r="A19" s="1">
        <v>43381.477627314627</v>
      </c>
      <c r="B19" s="13">
        <f t="shared" si="0"/>
        <v>43381.477627314627</v>
      </c>
      <c r="C19" s="9">
        <v>2</v>
      </c>
      <c r="D19" s="10" t="s">
        <v>40</v>
      </c>
      <c r="E19" s="9" t="s">
        <v>86</v>
      </c>
      <c r="F19" s="9" t="s">
        <v>110</v>
      </c>
      <c r="G19" s="9" t="s">
        <v>120</v>
      </c>
    </row>
    <row r="20" spans="1:7">
      <c r="A20" s="1">
        <v>43381.492500000168</v>
      </c>
      <c r="B20" s="13">
        <f t="shared" si="0"/>
        <v>43381.492500000168</v>
      </c>
      <c r="C20" s="9">
        <v>1</v>
      </c>
      <c r="D20" s="10" t="s">
        <v>41</v>
      </c>
      <c r="E20" s="9" t="s">
        <v>107</v>
      </c>
      <c r="F20" s="9" t="s">
        <v>110</v>
      </c>
      <c r="G20" s="9" t="s">
        <v>120</v>
      </c>
    </row>
    <row r="21" spans="1:7">
      <c r="A21" s="1">
        <v>43381.732361111324</v>
      </c>
      <c r="B21" s="13">
        <f t="shared" si="0"/>
        <v>43381.732361111324</v>
      </c>
      <c r="C21" s="9">
        <v>2</v>
      </c>
      <c r="D21" s="10" t="s">
        <v>42</v>
      </c>
      <c r="E21" s="9"/>
      <c r="F21" s="9" t="s">
        <v>110</v>
      </c>
      <c r="G21" s="9" t="s">
        <v>120</v>
      </c>
    </row>
    <row r="22" spans="1:7">
      <c r="A22" s="1">
        <v>43382.395717592444</v>
      </c>
      <c r="B22" s="13">
        <f t="shared" si="0"/>
        <v>43382.395717592444</v>
      </c>
      <c r="C22" s="9">
        <v>1</v>
      </c>
      <c r="D22" s="10" t="s">
        <v>14</v>
      </c>
      <c r="E22" s="9" t="s">
        <v>85</v>
      </c>
      <c r="F22" s="9" t="s">
        <v>110</v>
      </c>
      <c r="G22" s="9" t="s">
        <v>118</v>
      </c>
    </row>
    <row r="23" spans="1:7">
      <c r="A23" s="1">
        <v>43382.423067129683</v>
      </c>
      <c r="B23" s="13">
        <f t="shared" si="0"/>
        <v>43382.423067129683</v>
      </c>
      <c r="C23" s="9">
        <v>1</v>
      </c>
      <c r="D23" s="10" t="s">
        <v>16</v>
      </c>
      <c r="E23" s="9" t="s">
        <v>87</v>
      </c>
      <c r="F23" s="9" t="s">
        <v>110</v>
      </c>
      <c r="G23" s="9" t="s">
        <v>115</v>
      </c>
    </row>
    <row r="24" spans="1:7">
      <c r="A24" s="1">
        <v>43382.427974537015</v>
      </c>
      <c r="B24" s="13">
        <f t="shared" si="0"/>
        <v>43382.427974537015</v>
      </c>
      <c r="C24" s="9">
        <v>2</v>
      </c>
      <c r="D24" s="10" t="s">
        <v>15</v>
      </c>
      <c r="E24" s="9" t="s">
        <v>90</v>
      </c>
      <c r="F24" s="9" t="s">
        <v>110</v>
      </c>
      <c r="G24" s="9" t="s">
        <v>113</v>
      </c>
    </row>
    <row r="25" spans="1:7">
      <c r="A25" s="1">
        <v>43382.473020833451</v>
      </c>
      <c r="B25" s="13">
        <f t="shared" si="0"/>
        <v>43382.473020833451</v>
      </c>
      <c r="C25" s="9">
        <v>1</v>
      </c>
      <c r="D25" s="10" t="s">
        <v>18</v>
      </c>
      <c r="E25" s="9" t="s">
        <v>280</v>
      </c>
      <c r="F25" s="9" t="s">
        <v>110</v>
      </c>
      <c r="G25" s="9" t="s">
        <v>119</v>
      </c>
    </row>
    <row r="26" spans="1:7">
      <c r="A26" s="1">
        <v>43382.493240740616</v>
      </c>
      <c r="B26" s="13">
        <f t="shared" si="0"/>
        <v>43382.493240740616</v>
      </c>
      <c r="C26" s="9">
        <v>1</v>
      </c>
      <c r="D26" s="10" t="s">
        <v>19</v>
      </c>
      <c r="E26" s="9" t="s">
        <v>88</v>
      </c>
      <c r="F26" s="9" t="s">
        <v>110</v>
      </c>
      <c r="G26" s="9" t="s">
        <v>119</v>
      </c>
    </row>
    <row r="27" spans="1:7">
      <c r="A27" s="1">
        <v>43382.546388888732</v>
      </c>
      <c r="B27" s="13">
        <f t="shared" si="0"/>
        <v>43382.546388888732</v>
      </c>
      <c r="C27" s="9">
        <v>1</v>
      </c>
      <c r="D27" s="10" t="s">
        <v>21</v>
      </c>
      <c r="E27" s="9" t="s">
        <v>82</v>
      </c>
      <c r="F27" s="9" t="s">
        <v>110</v>
      </c>
      <c r="G27" s="9" t="s">
        <v>118</v>
      </c>
    </row>
    <row r="28" spans="1:7" ht="15.75" customHeight="1">
      <c r="A28" s="1">
        <v>43383.412673611194</v>
      </c>
      <c r="B28" s="13">
        <f t="shared" si="0"/>
        <v>43383.412673611194</v>
      </c>
      <c r="C28" s="9">
        <v>1</v>
      </c>
      <c r="D28" s="10" t="s">
        <v>44</v>
      </c>
      <c r="E28" s="9" t="s">
        <v>89</v>
      </c>
      <c r="F28" s="9" t="s">
        <v>110</v>
      </c>
      <c r="G28" s="9" t="s">
        <v>119</v>
      </c>
    </row>
    <row r="29" spans="1:7">
      <c r="A29" s="1">
        <v>43383.465891203843</v>
      </c>
      <c r="B29" s="13">
        <f t="shared" si="0"/>
        <v>43383.465891203843</v>
      </c>
      <c r="C29" s="9">
        <v>1</v>
      </c>
      <c r="D29" s="10" t="s">
        <v>45</v>
      </c>
      <c r="E29" s="15" t="s">
        <v>281</v>
      </c>
      <c r="F29" s="9" t="s">
        <v>110</v>
      </c>
      <c r="G29" s="9" t="s">
        <v>125</v>
      </c>
    </row>
    <row r="30" spans="1:7">
      <c r="A30" s="1">
        <v>43383.48520833347</v>
      </c>
      <c r="B30" s="13">
        <f t="shared" si="0"/>
        <v>43383.48520833347</v>
      </c>
      <c r="C30" s="9">
        <v>2</v>
      </c>
      <c r="D30" s="10" t="s">
        <v>46</v>
      </c>
      <c r="E30" s="15" t="s">
        <v>91</v>
      </c>
      <c r="F30" s="9" t="s">
        <v>110</v>
      </c>
      <c r="G30" s="9" t="s">
        <v>124</v>
      </c>
    </row>
    <row r="31" spans="1:7">
      <c r="A31" s="1">
        <v>43383.517442129552</v>
      </c>
      <c r="B31" s="13">
        <f t="shared" si="0"/>
        <v>43383.517442129552</v>
      </c>
      <c r="C31" s="9">
        <v>1</v>
      </c>
      <c r="D31" s="10" t="s">
        <v>47</v>
      </c>
      <c r="E31" s="15" t="s">
        <v>94</v>
      </c>
      <c r="F31" s="9" t="s">
        <v>110</v>
      </c>
      <c r="G31" s="9" t="s">
        <v>118</v>
      </c>
    </row>
    <row r="32" spans="1:7">
      <c r="A32" s="1">
        <v>43383.529282407369</v>
      </c>
      <c r="B32" s="13">
        <f t="shared" si="0"/>
        <v>43383.529282407369</v>
      </c>
      <c r="C32" s="9">
        <v>1</v>
      </c>
      <c r="D32" s="10" t="s">
        <v>48</v>
      </c>
      <c r="E32" s="15" t="s">
        <v>93</v>
      </c>
      <c r="F32" s="9" t="s">
        <v>110</v>
      </c>
      <c r="G32" s="9" t="s">
        <v>118</v>
      </c>
    </row>
    <row r="33" spans="1:7">
      <c r="A33" s="1">
        <v>43383.715243055485</v>
      </c>
      <c r="B33" s="13">
        <f t="shared" si="0"/>
        <v>43383.715243055485</v>
      </c>
      <c r="C33" s="9">
        <v>1</v>
      </c>
      <c r="D33" s="10" t="s">
        <v>50</v>
      </c>
      <c r="E33" s="15" t="s">
        <v>92</v>
      </c>
      <c r="F33" s="9" t="s">
        <v>110</v>
      </c>
      <c r="G33" s="9" t="s">
        <v>118</v>
      </c>
    </row>
    <row r="34" spans="1:7">
      <c r="A34" s="1">
        <v>43383.733182870317</v>
      </c>
      <c r="B34" s="13">
        <f t="shared" ref="B34:B89" si="1">A34</f>
        <v>43383.733182870317</v>
      </c>
      <c r="C34" s="9">
        <v>2</v>
      </c>
      <c r="D34" s="10" t="s">
        <v>51</v>
      </c>
      <c r="E34" s="15" t="s">
        <v>96</v>
      </c>
      <c r="F34" s="9" t="s">
        <v>110</v>
      </c>
      <c r="G34" s="9" t="s">
        <v>118</v>
      </c>
    </row>
    <row r="35" spans="1:7">
      <c r="A35" s="1">
        <v>43383.737395833246</v>
      </c>
      <c r="B35" s="13">
        <f t="shared" si="1"/>
        <v>43383.737395833246</v>
      </c>
      <c r="C35" s="9">
        <v>1</v>
      </c>
      <c r="D35" s="10" t="s">
        <v>52</v>
      </c>
      <c r="E35" s="15" t="s">
        <v>96</v>
      </c>
      <c r="F35" s="9" t="s">
        <v>110</v>
      </c>
      <c r="G35" s="9" t="s">
        <v>118</v>
      </c>
    </row>
    <row r="36" spans="1:7">
      <c r="A36" s="1">
        <v>43384.417106481269</v>
      </c>
      <c r="B36" s="13">
        <f t="shared" si="1"/>
        <v>43384.417106481269</v>
      </c>
      <c r="C36" s="9">
        <v>1</v>
      </c>
      <c r="D36" s="10" t="s">
        <v>54</v>
      </c>
      <c r="E36" s="15" t="s">
        <v>95</v>
      </c>
      <c r="F36" s="9" t="s">
        <v>110</v>
      </c>
      <c r="G36" s="9" t="s">
        <v>115</v>
      </c>
    </row>
    <row r="37" spans="1:7">
      <c r="A37" s="1">
        <v>43384.496145833284</v>
      </c>
      <c r="B37" s="13">
        <f t="shared" si="1"/>
        <v>43384.496145833284</v>
      </c>
      <c r="C37" s="9">
        <v>1</v>
      </c>
      <c r="D37" s="10" t="s">
        <v>55</v>
      </c>
      <c r="E37" s="16" t="s">
        <v>100</v>
      </c>
      <c r="F37" s="9" t="s">
        <v>110</v>
      </c>
      <c r="G37" s="9" t="s">
        <v>119</v>
      </c>
    </row>
    <row r="38" spans="1:7">
      <c r="A38" s="1">
        <v>43384.609594907612</v>
      </c>
      <c r="B38" s="13">
        <f t="shared" si="1"/>
        <v>43384.609594907612</v>
      </c>
      <c r="C38" s="9">
        <v>1</v>
      </c>
      <c r="D38" s="10" t="s">
        <v>56</v>
      </c>
      <c r="E38" s="16" t="s">
        <v>102</v>
      </c>
      <c r="F38" s="9" t="s">
        <v>110</v>
      </c>
      <c r="G38" s="9" t="s">
        <v>112</v>
      </c>
    </row>
    <row r="39" spans="1:7">
      <c r="A39" s="1">
        <v>43384.711666666437</v>
      </c>
      <c r="B39" s="13">
        <f t="shared" si="1"/>
        <v>43384.711666666437</v>
      </c>
      <c r="C39" s="9">
        <v>2</v>
      </c>
      <c r="D39" s="10" t="s">
        <v>57</v>
      </c>
      <c r="E39" s="14" t="s">
        <v>128</v>
      </c>
      <c r="F39" s="9" t="s">
        <v>110</v>
      </c>
      <c r="G39" s="9" t="s">
        <v>113</v>
      </c>
    </row>
    <row r="40" spans="1:7">
      <c r="A40" s="1">
        <v>43388.443796296138</v>
      </c>
      <c r="B40" s="13">
        <f t="shared" si="1"/>
        <v>43388.443796296138</v>
      </c>
      <c r="C40" s="9">
        <v>1</v>
      </c>
      <c r="D40" s="10" t="s">
        <v>58</v>
      </c>
      <c r="E40" s="16" t="s">
        <v>282</v>
      </c>
      <c r="F40" s="9" t="s">
        <v>110</v>
      </c>
      <c r="G40" s="9" t="s">
        <v>112</v>
      </c>
    </row>
    <row r="41" spans="1:7">
      <c r="A41" s="1">
        <v>43388.492847222369</v>
      </c>
      <c r="B41" s="13">
        <f t="shared" si="1"/>
        <v>43388.492847222369</v>
      </c>
      <c r="C41" s="9">
        <v>2</v>
      </c>
      <c r="D41" s="10" t="s">
        <v>59</v>
      </c>
      <c r="E41" s="16" t="s">
        <v>104</v>
      </c>
      <c r="F41" s="9" t="s">
        <v>110</v>
      </c>
      <c r="G41" s="9" t="s">
        <v>130</v>
      </c>
    </row>
    <row r="42" spans="1:7">
      <c r="A42" s="1">
        <v>43388.507546296343</v>
      </c>
      <c r="B42" s="13">
        <f t="shared" si="1"/>
        <v>43388.507546296343</v>
      </c>
      <c r="C42" s="9">
        <v>1</v>
      </c>
      <c r="D42" s="10" t="s">
        <v>60</v>
      </c>
      <c r="E42" s="14" t="s">
        <v>129</v>
      </c>
      <c r="F42" s="9" t="s">
        <v>110</v>
      </c>
      <c r="G42" s="9" t="s">
        <v>118</v>
      </c>
    </row>
    <row r="43" spans="1:7">
      <c r="A43" s="1">
        <v>43388.537106481381</v>
      </c>
      <c r="B43" s="13">
        <f t="shared" si="1"/>
        <v>43388.537106481381</v>
      </c>
      <c r="C43" s="9">
        <v>2</v>
      </c>
      <c r="D43" s="10" t="s">
        <v>61</v>
      </c>
      <c r="E43" s="9" t="s">
        <v>97</v>
      </c>
      <c r="F43" s="9" t="s">
        <v>110</v>
      </c>
      <c r="G43" s="9" t="s">
        <v>118</v>
      </c>
    </row>
    <row r="44" spans="1:7">
      <c r="A44" s="1">
        <v>43388.546180555597</v>
      </c>
      <c r="B44" s="13">
        <f t="shared" si="1"/>
        <v>43388.546180555597</v>
      </c>
      <c r="C44" s="9">
        <v>1</v>
      </c>
      <c r="D44" s="10" t="s">
        <v>62</v>
      </c>
      <c r="E44" s="9" t="s">
        <v>97</v>
      </c>
      <c r="F44" s="9" t="s">
        <v>110</v>
      </c>
      <c r="G44" s="9"/>
    </row>
    <row r="45" spans="1:7">
      <c r="A45" s="1">
        <v>43389.467013888992</v>
      </c>
      <c r="B45" s="13">
        <f t="shared" si="1"/>
        <v>43389.467013888992</v>
      </c>
      <c r="C45" s="9">
        <v>1</v>
      </c>
      <c r="D45" s="10" t="s">
        <v>134</v>
      </c>
      <c r="E45" s="9"/>
      <c r="F45" s="9" t="s">
        <v>110</v>
      </c>
      <c r="G45" s="9" t="s">
        <v>119</v>
      </c>
    </row>
    <row r="46" spans="1:7">
      <c r="A46" s="1">
        <v>43389.482384259347</v>
      </c>
      <c r="B46" s="13">
        <f t="shared" si="1"/>
        <v>43389.482384259347</v>
      </c>
      <c r="C46" s="9">
        <v>1</v>
      </c>
      <c r="D46" s="10" t="s">
        <v>135</v>
      </c>
      <c r="E46" s="9" t="s">
        <v>155</v>
      </c>
      <c r="F46" s="9" t="s">
        <v>110</v>
      </c>
      <c r="G46" s="9" t="s">
        <v>119</v>
      </c>
    </row>
    <row r="47" spans="1:7">
      <c r="A47" s="1">
        <v>43389.514386574272</v>
      </c>
      <c r="B47" s="13">
        <f t="shared" si="1"/>
        <v>43389.514386574272</v>
      </c>
      <c r="C47" s="9">
        <v>2</v>
      </c>
      <c r="D47" s="10" t="s">
        <v>136</v>
      </c>
      <c r="E47" s="9" t="s">
        <v>156</v>
      </c>
      <c r="F47" s="9" t="s">
        <v>110</v>
      </c>
      <c r="G47" s="9" t="s">
        <v>113</v>
      </c>
    </row>
    <row r="48" spans="1:7">
      <c r="A48" s="1">
        <v>43389.53078703722</v>
      </c>
      <c r="B48" s="13">
        <f t="shared" si="1"/>
        <v>43389.53078703722</v>
      </c>
      <c r="C48" s="9">
        <v>1</v>
      </c>
      <c r="D48" s="10" t="s">
        <v>137</v>
      </c>
      <c r="E48" s="9" t="s">
        <v>66</v>
      </c>
      <c r="F48" s="9" t="s">
        <v>110</v>
      </c>
      <c r="G48" s="9" t="s">
        <v>125</v>
      </c>
    </row>
    <row r="49" spans="1:7">
      <c r="A49" s="1">
        <v>43390.452349537052</v>
      </c>
      <c r="B49" s="13">
        <f t="shared" si="1"/>
        <v>43390.452349537052</v>
      </c>
      <c r="C49" s="9">
        <v>1</v>
      </c>
      <c r="D49" s="10" t="s">
        <v>138</v>
      </c>
      <c r="E49" s="9" t="s">
        <v>157</v>
      </c>
      <c r="F49" s="9" t="s">
        <v>110</v>
      </c>
      <c r="G49" s="9" t="s">
        <v>119</v>
      </c>
    </row>
    <row r="50" spans="1:7">
      <c r="A50" s="1">
        <v>43390.453634259291</v>
      </c>
      <c r="B50" s="13">
        <f t="shared" si="1"/>
        <v>43390.453634259291</v>
      </c>
      <c r="C50" s="9">
        <v>2</v>
      </c>
      <c r="D50" s="10" t="s">
        <v>139</v>
      </c>
      <c r="E50" s="9" t="s">
        <v>283</v>
      </c>
      <c r="F50" s="9" t="s">
        <v>110</v>
      </c>
      <c r="G50" s="9" t="s">
        <v>113</v>
      </c>
    </row>
    <row r="51" spans="1:7">
      <c r="A51" s="1">
        <v>43390.534733796492</v>
      </c>
      <c r="B51" s="13">
        <f t="shared" si="1"/>
        <v>43390.534733796492</v>
      </c>
      <c r="C51" s="9">
        <v>2</v>
      </c>
      <c r="D51" s="10" t="s">
        <v>142</v>
      </c>
      <c r="E51" s="9" t="s">
        <v>70</v>
      </c>
      <c r="F51" s="9" t="s">
        <v>110</v>
      </c>
      <c r="G51" s="9" t="s">
        <v>122</v>
      </c>
    </row>
    <row r="52" spans="1:7">
      <c r="A52" s="1">
        <v>43390.690115740523</v>
      </c>
      <c r="B52" s="13">
        <f t="shared" si="1"/>
        <v>43390.690115740523</v>
      </c>
      <c r="C52" s="9">
        <v>1</v>
      </c>
      <c r="D52" s="10" t="s">
        <v>28</v>
      </c>
      <c r="E52" s="9" t="s">
        <v>284</v>
      </c>
      <c r="F52" s="9" t="s">
        <v>110</v>
      </c>
      <c r="G52" s="9" t="s">
        <v>123</v>
      </c>
    </row>
    <row r="53" spans="1:7">
      <c r="A53" s="1">
        <v>43391.419768518303</v>
      </c>
      <c r="B53" s="13">
        <f t="shared" si="1"/>
        <v>43391.419768518303</v>
      </c>
      <c r="C53" s="9">
        <v>1</v>
      </c>
      <c r="D53" s="10" t="s">
        <v>29</v>
      </c>
      <c r="E53" s="9" t="s">
        <v>69</v>
      </c>
      <c r="F53" s="9" t="s">
        <v>110</v>
      </c>
      <c r="G53" s="9" t="s">
        <v>119</v>
      </c>
    </row>
    <row r="54" spans="1:7">
      <c r="A54" s="1">
        <v>43391.430752314627</v>
      </c>
      <c r="B54" s="13">
        <f t="shared" si="1"/>
        <v>43391.430752314627</v>
      </c>
      <c r="C54" s="9">
        <v>1</v>
      </c>
      <c r="D54" s="10" t="s">
        <v>144</v>
      </c>
      <c r="E54" s="9" t="s">
        <v>74</v>
      </c>
      <c r="F54" s="9" t="s">
        <v>110</v>
      </c>
      <c r="G54" s="9" t="s">
        <v>118</v>
      </c>
    </row>
    <row r="55" spans="1:7">
      <c r="A55" s="1">
        <v>43391.469571759459</v>
      </c>
      <c r="B55" s="13">
        <f t="shared" si="1"/>
        <v>43391.469571759459</v>
      </c>
      <c r="C55" s="9">
        <v>1</v>
      </c>
      <c r="D55" s="10" t="s">
        <v>30</v>
      </c>
      <c r="E55" s="9" t="s">
        <v>73</v>
      </c>
      <c r="F55" s="9" t="s">
        <v>110</v>
      </c>
      <c r="G55" s="9" t="s">
        <v>125</v>
      </c>
    </row>
    <row r="56" spans="1:7">
      <c r="A56" s="1">
        <v>43391.5599074075</v>
      </c>
      <c r="B56" s="13">
        <f t="shared" si="1"/>
        <v>43391.5599074075</v>
      </c>
      <c r="C56" s="9">
        <v>1</v>
      </c>
      <c r="D56" s="10" t="s">
        <v>31</v>
      </c>
      <c r="E56" s="9" t="s">
        <v>278</v>
      </c>
      <c r="F56" s="9" t="s">
        <v>110</v>
      </c>
      <c r="G56" s="9" t="s">
        <v>124</v>
      </c>
    </row>
    <row r="57" spans="1:7">
      <c r="A57" s="1">
        <v>43391.61798611097</v>
      </c>
      <c r="B57" s="13">
        <f t="shared" si="1"/>
        <v>43391.61798611097</v>
      </c>
      <c r="C57" s="9">
        <v>1</v>
      </c>
      <c r="D57" s="10" t="s">
        <v>147</v>
      </c>
      <c r="E57" s="9" t="s">
        <v>71</v>
      </c>
      <c r="F57" s="9" t="s">
        <v>110</v>
      </c>
      <c r="G57" s="9" t="s">
        <v>163</v>
      </c>
    </row>
    <row r="58" spans="1:7">
      <c r="A58" s="1">
        <v>43391.639004629571</v>
      </c>
      <c r="B58" s="13">
        <f t="shared" si="1"/>
        <v>43391.639004629571</v>
      </c>
      <c r="C58" s="9">
        <v>1</v>
      </c>
      <c r="D58" s="10" t="s">
        <v>148</v>
      </c>
      <c r="E58" s="9" t="s">
        <v>158</v>
      </c>
      <c r="F58" s="9" t="s">
        <v>110</v>
      </c>
      <c r="G58" s="9" t="s">
        <v>163</v>
      </c>
    </row>
    <row r="59" spans="1:7">
      <c r="A59" s="1">
        <v>43392.420983796474</v>
      </c>
      <c r="B59" s="13">
        <f t="shared" si="1"/>
        <v>43392.420983796474</v>
      </c>
      <c r="C59" s="9">
        <v>1</v>
      </c>
      <c r="D59" s="10" t="s">
        <v>149</v>
      </c>
      <c r="E59" s="9" t="s">
        <v>159</v>
      </c>
      <c r="F59" s="9" t="s">
        <v>110</v>
      </c>
      <c r="G59" s="9" t="s">
        <v>115</v>
      </c>
    </row>
    <row r="60" spans="1:7">
      <c r="A60" s="1">
        <v>43392.49515046319</v>
      </c>
      <c r="B60" s="13">
        <f t="shared" si="1"/>
        <v>43392.49515046319</v>
      </c>
      <c r="C60" s="9">
        <v>1</v>
      </c>
      <c r="D60" s="10" t="s">
        <v>35</v>
      </c>
      <c r="E60" s="9" t="s">
        <v>78</v>
      </c>
      <c r="F60" s="9" t="s">
        <v>110</v>
      </c>
      <c r="G60" s="9" t="s">
        <v>125</v>
      </c>
    </row>
    <row r="61" spans="1:7">
      <c r="A61" s="1">
        <v>43392.550115740858</v>
      </c>
      <c r="B61" s="13">
        <f t="shared" si="1"/>
        <v>43392.550115740858</v>
      </c>
      <c r="C61" s="9">
        <v>2</v>
      </c>
      <c r="D61" s="10" t="s">
        <v>153</v>
      </c>
      <c r="E61" s="9" t="s">
        <v>80</v>
      </c>
      <c r="F61" s="9" t="s">
        <v>110</v>
      </c>
      <c r="G61" s="9" t="s">
        <v>113</v>
      </c>
    </row>
    <row r="62" spans="1:7">
      <c r="A62" s="1">
        <v>43392.582893518731</v>
      </c>
      <c r="B62" s="13">
        <f t="shared" si="1"/>
        <v>43392.582893518731</v>
      </c>
      <c r="C62" s="9">
        <v>2</v>
      </c>
      <c r="D62" s="10" t="s">
        <v>34</v>
      </c>
      <c r="E62" s="9" t="s">
        <v>160</v>
      </c>
      <c r="F62" s="9" t="s">
        <v>110</v>
      </c>
      <c r="G62" s="9" t="s">
        <v>126</v>
      </c>
    </row>
    <row r="63" spans="1:7">
      <c r="A63" s="1">
        <v>43392.673807870597</v>
      </c>
      <c r="B63" s="13">
        <f t="shared" si="1"/>
        <v>43392.673807870597</v>
      </c>
      <c r="C63" s="9">
        <v>1</v>
      </c>
      <c r="D63" s="10" t="s">
        <v>154</v>
      </c>
      <c r="E63" s="9" t="s">
        <v>75</v>
      </c>
      <c r="F63" s="9" t="s">
        <v>110</v>
      </c>
      <c r="G63" s="9" t="s">
        <v>125</v>
      </c>
    </row>
    <row r="64" spans="1:7">
      <c r="A64" s="1">
        <v>43395.410983796231</v>
      </c>
      <c r="B64" s="13">
        <f t="shared" si="1"/>
        <v>43395.410983796231</v>
      </c>
      <c r="C64" s="9">
        <v>1</v>
      </c>
      <c r="D64" s="10" t="s">
        <v>23</v>
      </c>
      <c r="E64" s="9" t="s">
        <v>161</v>
      </c>
      <c r="F64" s="9" t="s">
        <v>110</v>
      </c>
      <c r="G64" s="9" t="s">
        <v>114</v>
      </c>
    </row>
    <row r="65" spans="1:7">
      <c r="A65" s="1">
        <v>43395.423993055709</v>
      </c>
      <c r="B65" s="13">
        <f t="shared" si="1"/>
        <v>43395.423993055709</v>
      </c>
      <c r="C65" s="9">
        <v>1</v>
      </c>
      <c r="D65" s="10" t="s">
        <v>132</v>
      </c>
      <c r="E65" s="9" t="s">
        <v>103</v>
      </c>
      <c r="F65" s="9" t="s">
        <v>110</v>
      </c>
      <c r="G65" s="9" t="s">
        <v>115</v>
      </c>
    </row>
    <row r="66" spans="1:7">
      <c r="A66" s="1">
        <v>43395.472256944515</v>
      </c>
      <c r="B66" s="13">
        <f t="shared" si="1"/>
        <v>43395.472256944515</v>
      </c>
      <c r="C66" s="20">
        <v>2</v>
      </c>
      <c r="D66" s="10" t="s">
        <v>169</v>
      </c>
      <c r="E66" s="9" t="s">
        <v>65</v>
      </c>
      <c r="F66" s="9" t="s">
        <v>110</v>
      </c>
      <c r="G66" s="9" t="s">
        <v>117</v>
      </c>
    </row>
    <row r="67" spans="1:7">
      <c r="A67" s="1">
        <v>43395.503530092537</v>
      </c>
      <c r="B67" s="13">
        <f t="shared" si="1"/>
        <v>43395.503530092537</v>
      </c>
      <c r="C67" s="20">
        <v>2</v>
      </c>
      <c r="D67" s="10" t="s">
        <v>59</v>
      </c>
      <c r="E67" s="9" t="s">
        <v>180</v>
      </c>
      <c r="F67" s="9" t="s">
        <v>110</v>
      </c>
      <c r="G67" s="9" t="str">
        <f t="shared" ref="G67:G82" si="2">VLOOKUP(D67,D$2:G$63,4,TRUE)</f>
        <v>Cáceres, ESPAÑA</v>
      </c>
    </row>
    <row r="68" spans="1:7">
      <c r="A68" s="1">
        <v>43395.519976851996</v>
      </c>
      <c r="B68" s="13">
        <f t="shared" si="1"/>
        <v>43395.519976851996</v>
      </c>
      <c r="C68" s="9">
        <v>1</v>
      </c>
      <c r="D68" s="10" t="s">
        <v>58</v>
      </c>
      <c r="E68" s="9" t="str">
        <f>VLOOKUP(D67,D$2:G$63,2,TRUE)</f>
        <v>ISABEL GALLARDO ROBLES</v>
      </c>
      <c r="F68" s="9" t="s">
        <v>110</v>
      </c>
      <c r="G68" s="9" t="s">
        <v>112</v>
      </c>
    </row>
    <row r="69" spans="1:7">
      <c r="A69" s="1">
        <v>43395.696400463115</v>
      </c>
      <c r="B69" s="13">
        <f t="shared" si="1"/>
        <v>43395.696400463115</v>
      </c>
      <c r="C69" s="20">
        <v>2</v>
      </c>
      <c r="D69" s="10" t="s">
        <v>170</v>
      </c>
      <c r="E69" s="9" t="s">
        <v>104</v>
      </c>
      <c r="F69" s="9" t="s">
        <v>110</v>
      </c>
      <c r="G69" s="9" t="s">
        <v>117</v>
      </c>
    </row>
    <row r="70" spans="1:7">
      <c r="A70" s="1">
        <v>43396.421550925821</v>
      </c>
      <c r="B70" s="13">
        <f t="shared" si="1"/>
        <v>43396.421550925821</v>
      </c>
      <c r="C70" s="9">
        <v>1</v>
      </c>
      <c r="D70" s="10" t="s">
        <v>171</v>
      </c>
      <c r="E70" s="9" t="s">
        <v>105</v>
      </c>
      <c r="F70" s="9" t="s">
        <v>110</v>
      </c>
      <c r="G70" s="9" t="str">
        <f t="shared" si="2"/>
        <v>AZUAGA, ESPAÑA</v>
      </c>
    </row>
    <row r="71" spans="1:7">
      <c r="A71" s="1">
        <v>43396.453171296511</v>
      </c>
      <c r="B71" s="13">
        <f t="shared" si="1"/>
        <v>43396.453171296511</v>
      </c>
      <c r="C71" s="9">
        <v>1</v>
      </c>
      <c r="D71" s="10" t="s">
        <v>137</v>
      </c>
      <c r="E71" s="9" t="str">
        <f>VLOOKUP(D70,D$2:G$63,2,TRUE)</f>
        <v>ROSA ARIAS FERRERO</v>
      </c>
      <c r="F71" s="9" t="s">
        <v>110</v>
      </c>
      <c r="G71" s="9" t="s">
        <v>125</v>
      </c>
    </row>
    <row r="72" spans="1:7">
      <c r="A72" s="1">
        <v>43396.469803240616</v>
      </c>
      <c r="B72" s="13">
        <f t="shared" si="1"/>
        <v>43396.469803240616</v>
      </c>
      <c r="C72" s="9">
        <v>1</v>
      </c>
      <c r="D72" s="10" t="s">
        <v>26</v>
      </c>
      <c r="E72" s="9" t="s">
        <v>157</v>
      </c>
      <c r="F72" s="9" t="s">
        <v>110</v>
      </c>
      <c r="G72" s="9"/>
    </row>
    <row r="73" spans="1:7">
      <c r="A73" s="1">
        <v>43396.525381944608</v>
      </c>
      <c r="B73" s="13">
        <f t="shared" si="1"/>
        <v>43396.525381944608</v>
      </c>
      <c r="C73" s="20">
        <v>2</v>
      </c>
      <c r="D73" s="10" t="s">
        <v>172</v>
      </c>
      <c r="E73" s="9"/>
      <c r="F73" s="9" t="s">
        <v>110</v>
      </c>
      <c r="G73" s="9" t="str">
        <f t="shared" si="2"/>
        <v>Cáceres, ESPAÑA</v>
      </c>
    </row>
    <row r="74" spans="1:7">
      <c r="A74" s="1">
        <v>43396.567997685168</v>
      </c>
      <c r="B74" s="13">
        <f t="shared" si="1"/>
        <v>43396.567997685168</v>
      </c>
      <c r="C74" s="9">
        <v>1</v>
      </c>
      <c r="D74" s="10" t="s">
        <v>134</v>
      </c>
      <c r="E74" s="9" t="str">
        <f>VLOOKUP(D73,D$2:G$63,2,TRUE)</f>
        <v>LA TINTORERIA CB</v>
      </c>
      <c r="F74" s="9" t="s">
        <v>110</v>
      </c>
      <c r="G74" s="9" t="s">
        <v>119</v>
      </c>
    </row>
    <row r="75" spans="1:7">
      <c r="A75" s="1">
        <v>43397.453090277966</v>
      </c>
      <c r="B75" s="13">
        <f t="shared" si="1"/>
        <v>43397.453090277966</v>
      </c>
      <c r="C75" s="9">
        <v>1</v>
      </c>
      <c r="D75" s="10" t="s">
        <v>141</v>
      </c>
      <c r="E75" s="9" t="s">
        <v>155</v>
      </c>
      <c r="F75" s="9" t="s">
        <v>110</v>
      </c>
      <c r="G75" s="9" t="s">
        <v>118</v>
      </c>
    </row>
    <row r="76" spans="1:7">
      <c r="A76" s="1">
        <v>43397.524641203694</v>
      </c>
      <c r="B76" s="13">
        <f t="shared" si="1"/>
        <v>43397.524641203694</v>
      </c>
      <c r="C76" s="9">
        <v>1</v>
      </c>
      <c r="D76" s="10" t="s">
        <v>140</v>
      </c>
      <c r="E76" s="9" t="s">
        <v>179</v>
      </c>
      <c r="F76" s="9" t="s">
        <v>110</v>
      </c>
      <c r="G76" s="9" t="str">
        <f t="shared" si="2"/>
        <v>ZAMORA, ESPAÑA</v>
      </c>
    </row>
    <row r="77" spans="1:7">
      <c r="A77" s="1">
        <v>43397.684479166754</v>
      </c>
      <c r="B77" s="13">
        <f t="shared" si="1"/>
        <v>43397.684479166754</v>
      </c>
      <c r="C77" s="9">
        <v>1</v>
      </c>
      <c r="D77" s="10" t="s">
        <v>28</v>
      </c>
      <c r="E77" s="9" t="str">
        <f>VLOOKUP(D76,D$2:G$63,2,TRUE)</f>
        <v>AYUNTAMIENTO MONTAMARTA</v>
      </c>
      <c r="F77" s="9" t="s">
        <v>110</v>
      </c>
      <c r="G77" s="9" t="s">
        <v>123</v>
      </c>
    </row>
    <row r="78" spans="1:7">
      <c r="A78" s="1">
        <v>43398.462187500205</v>
      </c>
      <c r="B78" s="13">
        <f t="shared" si="1"/>
        <v>43398.462187500205</v>
      </c>
      <c r="C78" s="9">
        <v>1</v>
      </c>
      <c r="D78" s="10" t="s">
        <v>173</v>
      </c>
      <c r="E78" s="9" t="s">
        <v>69</v>
      </c>
      <c r="F78" s="9" t="s">
        <v>110</v>
      </c>
      <c r="G78" s="9" t="s">
        <v>175</v>
      </c>
    </row>
    <row r="79" spans="1:7">
      <c r="A79" s="1">
        <v>43398.472743055783</v>
      </c>
      <c r="B79" s="13">
        <f t="shared" si="1"/>
        <v>43398.472743055783</v>
      </c>
      <c r="C79" s="9">
        <v>1</v>
      </c>
      <c r="D79" s="10" t="s">
        <v>30</v>
      </c>
      <c r="E79" s="9" t="s">
        <v>174</v>
      </c>
      <c r="F79" s="9" t="s">
        <v>110</v>
      </c>
      <c r="G79" s="9" t="str">
        <f t="shared" si="2"/>
        <v>Cáceres, ESPAÑA</v>
      </c>
    </row>
    <row r="80" spans="1:7">
      <c r="A80" s="1">
        <v>43399.425312499981</v>
      </c>
      <c r="B80" s="13">
        <f t="shared" si="1"/>
        <v>43399.425312499981</v>
      </c>
      <c r="C80" s="9">
        <v>1</v>
      </c>
      <c r="D80" s="10" t="s">
        <v>151</v>
      </c>
      <c r="E80" s="9" t="s">
        <v>278</v>
      </c>
      <c r="F80" s="9" t="s">
        <v>110</v>
      </c>
      <c r="G80" s="9" t="s">
        <v>118</v>
      </c>
    </row>
    <row r="81" spans="1:7">
      <c r="A81" s="1">
        <v>43399.454571759328</v>
      </c>
      <c r="B81" s="13">
        <f t="shared" si="1"/>
        <v>43399.454571759328</v>
      </c>
      <c r="C81" s="9">
        <v>1</v>
      </c>
      <c r="D81" s="10" t="s">
        <v>150</v>
      </c>
      <c r="E81" s="9" t="s">
        <v>79</v>
      </c>
      <c r="F81" s="9" t="s">
        <v>110</v>
      </c>
      <c r="G81" s="9" t="s">
        <v>118</v>
      </c>
    </row>
    <row r="82" spans="1:7">
      <c r="A82" s="1">
        <v>43399.547800926026</v>
      </c>
      <c r="B82" s="13">
        <f t="shared" si="1"/>
        <v>43399.547800926026</v>
      </c>
      <c r="C82" s="9">
        <v>1</v>
      </c>
      <c r="D82" s="10" t="s">
        <v>154</v>
      </c>
      <c r="E82" s="9" t="s">
        <v>77</v>
      </c>
      <c r="F82" s="9" t="s">
        <v>110</v>
      </c>
      <c r="G82" s="9" t="str">
        <f t="shared" si="2"/>
        <v>Cáceres, ESPAÑA</v>
      </c>
    </row>
    <row r="83" spans="1:7">
      <c r="A83" s="1">
        <v>43399.50613425926</v>
      </c>
      <c r="B83" s="13">
        <f t="shared" si="1"/>
        <v>43399.50613425926</v>
      </c>
      <c r="C83" s="9">
        <v>2</v>
      </c>
      <c r="D83" s="10">
        <v>987578330</v>
      </c>
      <c r="E83" s="9" t="s">
        <v>161</v>
      </c>
      <c r="F83" s="9" t="s">
        <v>110</v>
      </c>
      <c r="G83" s="9" t="s">
        <v>113</v>
      </c>
    </row>
    <row r="84" spans="1:7">
      <c r="A84" s="1">
        <v>43398.438020833331</v>
      </c>
      <c r="B84" s="13">
        <f t="shared" si="1"/>
        <v>43398.438020833331</v>
      </c>
      <c r="C84" s="9">
        <v>2</v>
      </c>
      <c r="D84" s="10">
        <v>695579819</v>
      </c>
      <c r="E84" s="9" t="s">
        <v>176</v>
      </c>
      <c r="F84" s="9" t="s">
        <v>110</v>
      </c>
      <c r="G84" s="9" t="s">
        <v>120</v>
      </c>
    </row>
    <row r="85" spans="1:7">
      <c r="A85" s="1">
        <v>43395.666666666664</v>
      </c>
      <c r="B85" s="13">
        <f t="shared" si="1"/>
        <v>43395.666666666664</v>
      </c>
      <c r="C85" s="9">
        <v>2</v>
      </c>
      <c r="D85" s="10">
        <v>663709635</v>
      </c>
      <c r="E85" s="9" t="s">
        <v>177</v>
      </c>
      <c r="F85" s="9" t="s">
        <v>110</v>
      </c>
      <c r="G85" s="9" t="s">
        <v>116</v>
      </c>
    </row>
    <row r="86" spans="1:7">
      <c r="A86" s="1">
        <v>43402.473865740933</v>
      </c>
      <c r="B86" s="13">
        <f t="shared" si="1"/>
        <v>43402.473865740933</v>
      </c>
      <c r="C86" s="9">
        <v>1</v>
      </c>
      <c r="D86" s="10" t="s">
        <v>38</v>
      </c>
      <c r="E86" s="9" t="s">
        <v>178</v>
      </c>
      <c r="F86" s="9" t="s">
        <v>110</v>
      </c>
      <c r="G86" s="9" t="s">
        <v>118</v>
      </c>
    </row>
    <row r="87" spans="1:7">
      <c r="A87" s="1">
        <v>43402.488206018694</v>
      </c>
      <c r="B87" s="13">
        <f t="shared" si="1"/>
        <v>43402.488206018694</v>
      </c>
      <c r="C87" s="9">
        <v>1</v>
      </c>
      <c r="D87" s="10" t="s">
        <v>182</v>
      </c>
      <c r="E87" s="9" t="s">
        <v>184</v>
      </c>
      <c r="F87" s="9" t="s">
        <v>110</v>
      </c>
      <c r="G87" s="9" t="s">
        <v>118</v>
      </c>
    </row>
    <row r="88" spans="1:7">
      <c r="A88" s="1">
        <v>43402.401122685056</v>
      </c>
      <c r="B88" s="13">
        <f t="shared" si="1"/>
        <v>43402.401122685056</v>
      </c>
      <c r="C88" s="9">
        <v>2</v>
      </c>
      <c r="D88" s="10" t="s">
        <v>185</v>
      </c>
      <c r="E88" s="9" t="s">
        <v>183</v>
      </c>
      <c r="F88" s="9" t="s">
        <v>110</v>
      </c>
      <c r="G88" s="9" t="s">
        <v>122</v>
      </c>
    </row>
    <row r="89" spans="1:7">
      <c r="A89" s="1">
        <v>43402.418472222053</v>
      </c>
      <c r="B89" s="13">
        <f t="shared" si="1"/>
        <v>43402.418472222053</v>
      </c>
      <c r="C89" s="9">
        <v>2</v>
      </c>
      <c r="D89" s="10" t="s">
        <v>186</v>
      </c>
      <c r="E89" s="9" t="s">
        <v>189</v>
      </c>
      <c r="F89" s="9" t="s">
        <v>110</v>
      </c>
      <c r="G89" s="9" t="s">
        <v>121</v>
      </c>
    </row>
    <row r="90" spans="1:7">
      <c r="A90" s="1">
        <v>43402.401122685056</v>
      </c>
      <c r="B90" s="13">
        <f t="shared" ref="B90:B153" si="3">A90</f>
        <v>43402.401122685056</v>
      </c>
      <c r="C90" s="9">
        <v>2</v>
      </c>
      <c r="D90" s="10">
        <v>923541511</v>
      </c>
      <c r="E90" s="9" t="s">
        <v>188</v>
      </c>
      <c r="F90" s="9" t="s">
        <v>110</v>
      </c>
      <c r="G90" s="9" t="s">
        <v>120</v>
      </c>
    </row>
    <row r="91" spans="1:7">
      <c r="A91" s="1">
        <v>43402.401122685056</v>
      </c>
      <c r="B91" s="13">
        <f t="shared" si="3"/>
        <v>43402.401122685056</v>
      </c>
      <c r="C91" s="9">
        <v>2</v>
      </c>
      <c r="D91" s="10">
        <v>923484107</v>
      </c>
      <c r="E91" s="9" t="s">
        <v>187</v>
      </c>
      <c r="F91" s="9" t="s">
        <v>110</v>
      </c>
      <c r="G91" s="9" t="s">
        <v>122</v>
      </c>
    </row>
    <row r="92" spans="1:7">
      <c r="A92" s="1">
        <v>43402.442789351851</v>
      </c>
      <c r="B92" s="13">
        <f t="shared" si="3"/>
        <v>43402.442789351851</v>
      </c>
      <c r="C92" s="9">
        <v>2</v>
      </c>
      <c r="D92" s="10">
        <v>639820384</v>
      </c>
      <c r="E92" s="9" t="s">
        <v>190</v>
      </c>
      <c r="F92" s="9" t="s">
        <v>110</v>
      </c>
      <c r="G92" s="9" t="s">
        <v>122</v>
      </c>
    </row>
    <row r="93" spans="1:7">
      <c r="A93" s="1">
        <v>43402.442789351851</v>
      </c>
      <c r="B93" s="13">
        <f t="shared" si="3"/>
        <v>43402.442789351851</v>
      </c>
      <c r="C93" s="9">
        <v>2</v>
      </c>
      <c r="D93" s="10">
        <v>983800576</v>
      </c>
      <c r="E93" s="9" t="s">
        <v>191</v>
      </c>
      <c r="F93" s="9" t="s">
        <v>110</v>
      </c>
      <c r="G93" s="9" t="s">
        <v>124</v>
      </c>
    </row>
    <row r="94" spans="1:7">
      <c r="A94" s="1">
        <v>43396.421550925821</v>
      </c>
      <c r="B94" s="13">
        <f t="shared" si="3"/>
        <v>43396.421550925821</v>
      </c>
      <c r="C94" s="9">
        <v>1</v>
      </c>
      <c r="D94" s="10" t="s">
        <v>171</v>
      </c>
      <c r="E94" s="9" t="s">
        <v>192</v>
      </c>
      <c r="F94" s="9" t="s">
        <v>110</v>
      </c>
      <c r="G94" s="9" t="str">
        <f>VLOOKUP(D94,D$2:G$93,4,FALSE)</f>
        <v>AZUAGA, ESPAÑA</v>
      </c>
    </row>
    <row r="95" spans="1:7">
      <c r="A95" s="1">
        <v>43396.453171296511</v>
      </c>
      <c r="B95" s="13">
        <f t="shared" si="3"/>
        <v>43396.453171296511</v>
      </c>
      <c r="C95" s="9">
        <v>1</v>
      </c>
      <c r="D95" s="10" t="s">
        <v>137</v>
      </c>
      <c r="E95" s="9" t="str">
        <f>VLOOKUP(D94,D$2:G$93,2,FALSE)</f>
        <v>EMILIO COCA SALAZAR</v>
      </c>
      <c r="F95" s="9" t="s">
        <v>110</v>
      </c>
      <c r="G95" s="9" t="str">
        <f t="shared" ref="G95:G141" si="4">VLOOKUP(D95,D$2:G$93,4,FALSE)</f>
        <v>Cáceres, ESPAÑA</v>
      </c>
    </row>
    <row r="96" spans="1:7">
      <c r="A96" s="1">
        <v>43396.469803240616</v>
      </c>
      <c r="B96" s="13">
        <f t="shared" si="3"/>
        <v>43396.469803240616</v>
      </c>
      <c r="C96" s="9">
        <v>1</v>
      </c>
      <c r="D96" s="10" t="s">
        <v>26</v>
      </c>
      <c r="E96" s="9" t="str">
        <f>VLOOKUP(D95,D$2:G$93,2,FALSE)</f>
        <v>LA TINTORERIA CB</v>
      </c>
      <c r="F96" s="9" t="s">
        <v>110</v>
      </c>
      <c r="G96" s="9"/>
    </row>
    <row r="97" spans="1:7">
      <c r="A97" s="1">
        <v>43396.525381944608</v>
      </c>
      <c r="B97" s="13">
        <f t="shared" si="3"/>
        <v>43396.525381944608</v>
      </c>
      <c r="C97" s="9">
        <v>2</v>
      </c>
      <c r="D97" s="10" t="s">
        <v>172</v>
      </c>
      <c r="E97" s="9"/>
      <c r="F97" s="9" t="s">
        <v>110</v>
      </c>
      <c r="G97" s="9" t="str">
        <f t="shared" si="4"/>
        <v>Cáceres, ESPAÑA</v>
      </c>
    </row>
    <row r="98" spans="1:7">
      <c r="A98" s="1">
        <v>43396.567997685168</v>
      </c>
      <c r="B98" s="13">
        <f t="shared" si="3"/>
        <v>43396.567997685168</v>
      </c>
      <c r="C98" s="9">
        <v>1</v>
      </c>
      <c r="D98" s="10" t="s">
        <v>134</v>
      </c>
      <c r="E98" s="9"/>
      <c r="F98" s="9" t="s">
        <v>110</v>
      </c>
      <c r="G98" s="9" t="str">
        <f t="shared" si="4"/>
        <v>CORIA, ESPAÑA</v>
      </c>
    </row>
    <row r="99" spans="1:7">
      <c r="A99" s="1">
        <v>43397.453090277966</v>
      </c>
      <c r="B99" s="13">
        <f t="shared" si="3"/>
        <v>43397.453090277966</v>
      </c>
      <c r="C99" s="9">
        <v>1</v>
      </c>
      <c r="D99" s="10" t="s">
        <v>141</v>
      </c>
      <c r="E99" s="9"/>
      <c r="F99" s="9" t="s">
        <v>110</v>
      </c>
      <c r="G99" s="9" t="str">
        <f t="shared" si="4"/>
        <v>DON BENITO, ESPAÑA</v>
      </c>
    </row>
    <row r="100" spans="1:7">
      <c r="A100" s="1">
        <v>43397.524641203694</v>
      </c>
      <c r="B100" s="13">
        <f t="shared" si="3"/>
        <v>43397.524641203694</v>
      </c>
      <c r="C100" s="9">
        <v>1</v>
      </c>
      <c r="D100" s="10" t="s">
        <v>140</v>
      </c>
      <c r="E100" s="9" t="str">
        <f t="shared" ref="E100:E108" si="5">VLOOKUP(D99,D$2:G$93,2,FALSE)</f>
        <v>RESIDENCIA SANTA ISABEL</v>
      </c>
      <c r="F100" s="9" t="s">
        <v>110</v>
      </c>
      <c r="G100" s="9" t="str">
        <f t="shared" si="4"/>
        <v>ZAMORA, ESPAÑA</v>
      </c>
    </row>
    <row r="101" spans="1:7">
      <c r="A101" s="1">
        <v>43397.684479166754</v>
      </c>
      <c r="B101" s="13">
        <f t="shared" si="3"/>
        <v>43397.684479166754</v>
      </c>
      <c r="C101" s="9">
        <v>1</v>
      </c>
      <c r="D101" s="10" t="s">
        <v>28</v>
      </c>
      <c r="E101" s="9" t="str">
        <f t="shared" si="5"/>
        <v>CORIA</v>
      </c>
      <c r="F101" s="9" t="s">
        <v>110</v>
      </c>
      <c r="G101" s="9" t="str">
        <f t="shared" si="4"/>
        <v>BADAJOZ, ESPAÑA</v>
      </c>
    </row>
    <row r="102" spans="1:7">
      <c r="A102" s="1">
        <v>43398.462187500205</v>
      </c>
      <c r="B102" s="13">
        <f t="shared" si="3"/>
        <v>43398.462187500205</v>
      </c>
      <c r="C102" s="9">
        <v>1</v>
      </c>
      <c r="D102" s="10" t="s">
        <v>173</v>
      </c>
      <c r="E102" s="9" t="str">
        <f t="shared" si="5"/>
        <v>Mª ISABEL ANDRE MATANZA</v>
      </c>
      <c r="F102" s="9" t="s">
        <v>110</v>
      </c>
      <c r="G102" s="9" t="str">
        <f t="shared" si="4"/>
        <v xml:space="preserve">CEDILLO, ESPAÑA                             </v>
      </c>
    </row>
    <row r="103" spans="1:7">
      <c r="A103" s="1">
        <v>43398.472743055783</v>
      </c>
      <c r="B103" s="13">
        <f t="shared" si="3"/>
        <v>43398.472743055783</v>
      </c>
      <c r="C103" s="9">
        <v>1</v>
      </c>
      <c r="D103" s="10" t="s">
        <v>30</v>
      </c>
      <c r="E103" s="9" t="str">
        <f t="shared" si="5"/>
        <v>HOTEL GRAN SOL DE EXTREMADURA SL</v>
      </c>
      <c r="F103" s="9" t="s">
        <v>110</v>
      </c>
      <c r="G103" s="9" t="str">
        <f t="shared" si="4"/>
        <v>Cáceres, ESPAÑA</v>
      </c>
    </row>
    <row r="104" spans="1:7">
      <c r="A104" s="1">
        <v>43399.425312499981</v>
      </c>
      <c r="B104" s="13">
        <f t="shared" si="3"/>
        <v>43399.425312499981</v>
      </c>
      <c r="C104" s="9">
        <v>1</v>
      </c>
      <c r="D104" s="10" t="s">
        <v>151</v>
      </c>
      <c r="E104" s="9" t="str">
        <f t="shared" si="5"/>
        <v>LACHANCLONASAT</v>
      </c>
      <c r="F104" s="9" t="s">
        <v>110</v>
      </c>
      <c r="G104" s="9" t="str">
        <f t="shared" si="4"/>
        <v>DON BENITO, ESPAÑA</v>
      </c>
    </row>
    <row r="105" spans="1:7">
      <c r="A105" s="1">
        <v>43399.454571759328</v>
      </c>
      <c r="B105" s="13">
        <f t="shared" si="3"/>
        <v>43399.454571759328</v>
      </c>
      <c r="C105" s="9">
        <v>1</v>
      </c>
      <c r="D105" s="10" t="s">
        <v>150</v>
      </c>
      <c r="E105" s="9" t="str">
        <f t="shared" si="5"/>
        <v>JOSE 001 RODRIGUEZ SANCHEZ</v>
      </c>
      <c r="F105" s="9" t="s">
        <v>110</v>
      </c>
      <c r="G105" s="9" t="str">
        <f t="shared" si="4"/>
        <v>DON BENITO, ESPAÑA</v>
      </c>
    </row>
    <row r="106" spans="1:7">
      <c r="A106" s="1">
        <v>43399.547800926026</v>
      </c>
      <c r="B106" s="13">
        <f t="shared" si="3"/>
        <v>43399.547800926026</v>
      </c>
      <c r="C106" s="9">
        <v>1</v>
      </c>
      <c r="D106" s="10" t="s">
        <v>154</v>
      </c>
      <c r="E106" s="9" t="str">
        <f t="shared" si="5"/>
        <v>ANGELA NUÑEZ GALAN</v>
      </c>
      <c r="F106" s="9" t="s">
        <v>110</v>
      </c>
      <c r="G106" s="9" t="str">
        <f t="shared" si="4"/>
        <v>Cáceres, ESPAÑA</v>
      </c>
    </row>
    <row r="107" spans="1:7">
      <c r="A107" s="1">
        <v>43403.401435185224</v>
      </c>
      <c r="B107" s="13">
        <f t="shared" si="3"/>
        <v>43403.401435185224</v>
      </c>
      <c r="C107" s="9">
        <v>1</v>
      </c>
      <c r="D107" s="10" t="s">
        <v>14</v>
      </c>
      <c r="E107" s="9" t="str">
        <f t="shared" si="5"/>
        <v>ISABEL GALLARDO ROBLES</v>
      </c>
      <c r="F107" s="9" t="s">
        <v>110</v>
      </c>
      <c r="G107" s="9" t="str">
        <f t="shared" si="4"/>
        <v>DON BENITO, ESPAÑA</v>
      </c>
    </row>
    <row r="108" spans="1:7">
      <c r="A108" s="1">
        <v>43403.459884259384</v>
      </c>
      <c r="B108" s="13">
        <f t="shared" si="3"/>
        <v>43403.459884259384</v>
      </c>
      <c r="C108" s="9">
        <v>1</v>
      </c>
      <c r="D108" s="10" t="s">
        <v>200</v>
      </c>
      <c r="E108" s="9" t="str">
        <f t="shared" si="5"/>
        <v>SUPERMERCADO NIETO SL</v>
      </c>
      <c r="F108" s="9" t="s">
        <v>110</v>
      </c>
      <c r="G108" s="9"/>
    </row>
    <row r="109" spans="1:7">
      <c r="A109" s="1">
        <v>43403.493460648227</v>
      </c>
      <c r="B109" s="13">
        <f t="shared" si="3"/>
        <v>43403.493460648227</v>
      </c>
      <c r="C109" s="9">
        <v>1</v>
      </c>
      <c r="D109" s="10" t="s">
        <v>20</v>
      </c>
      <c r="E109" s="9"/>
      <c r="F109" s="9" t="s">
        <v>110</v>
      </c>
      <c r="G109" s="9"/>
    </row>
    <row r="110" spans="1:7">
      <c r="A110" s="1">
        <v>43403.501099537127</v>
      </c>
      <c r="B110" s="13">
        <f t="shared" si="3"/>
        <v>43403.501099537127</v>
      </c>
      <c r="C110" s="9">
        <v>1</v>
      </c>
      <c r="D110" s="10" t="s">
        <v>201</v>
      </c>
      <c r="E110" s="9"/>
      <c r="F110" s="9" t="s">
        <v>110</v>
      </c>
      <c r="G110" s="9"/>
    </row>
    <row r="111" spans="1:7">
      <c r="A111" s="1">
        <v>43403.516782407183</v>
      </c>
      <c r="B111" s="13">
        <f t="shared" si="3"/>
        <v>43403.516782407183</v>
      </c>
      <c r="C111" s="9">
        <v>1</v>
      </c>
      <c r="D111" s="10" t="s">
        <v>202</v>
      </c>
      <c r="E111" s="9"/>
      <c r="F111" s="9" t="s">
        <v>110</v>
      </c>
      <c r="G111" s="9" t="s">
        <v>119</v>
      </c>
    </row>
    <row r="112" spans="1:7">
      <c r="A112" s="1">
        <v>43403.532430555671</v>
      </c>
      <c r="B112" s="13">
        <f t="shared" si="3"/>
        <v>43403.532430555671</v>
      </c>
      <c r="C112" s="9">
        <v>2</v>
      </c>
      <c r="D112" s="10" t="s">
        <v>22</v>
      </c>
      <c r="E112" s="9" t="s">
        <v>258</v>
      </c>
      <c r="F112" s="9" t="s">
        <v>110</v>
      </c>
      <c r="G112" s="9"/>
    </row>
    <row r="113" spans="1:7">
      <c r="A113" s="1">
        <v>43403.622141203843</v>
      </c>
      <c r="B113" s="13">
        <f t="shared" si="3"/>
        <v>43403.622141203843</v>
      </c>
      <c r="C113" s="9">
        <v>1</v>
      </c>
      <c r="D113" s="10" t="s">
        <v>17</v>
      </c>
      <c r="E113" s="9"/>
      <c r="F113" s="9" t="s">
        <v>110</v>
      </c>
      <c r="G113" s="9"/>
    </row>
    <row r="114" spans="1:7">
      <c r="A114" s="1">
        <v>43403.623622685205</v>
      </c>
      <c r="B114" s="13">
        <f t="shared" si="3"/>
        <v>43403.623622685205</v>
      </c>
      <c r="C114" s="9">
        <v>2</v>
      </c>
      <c r="D114" s="10" t="s">
        <v>17</v>
      </c>
      <c r="E114" s="9"/>
      <c r="F114" s="9" t="s">
        <v>110</v>
      </c>
      <c r="G114" s="9"/>
    </row>
    <row r="115" spans="1:7">
      <c r="A115" s="1">
        <v>43404.414305555634</v>
      </c>
      <c r="B115" s="13">
        <f t="shared" si="3"/>
        <v>43404.414305555634</v>
      </c>
      <c r="C115" s="9">
        <v>2</v>
      </c>
      <c r="D115" s="10" t="s">
        <v>203</v>
      </c>
      <c r="E115" s="9"/>
      <c r="F115" s="9" t="s">
        <v>110</v>
      </c>
      <c r="G115" s="9"/>
    </row>
    <row r="116" spans="1:7">
      <c r="A116" s="1">
        <v>43404.440648148302</v>
      </c>
      <c r="B116" s="13">
        <f t="shared" si="3"/>
        <v>43404.440648148302</v>
      </c>
      <c r="C116" s="9">
        <v>2</v>
      </c>
      <c r="D116" s="10" t="s">
        <v>46</v>
      </c>
      <c r="E116" s="9"/>
      <c r="F116" s="9" t="s">
        <v>110</v>
      </c>
      <c r="G116" s="9" t="str">
        <f t="shared" si="4"/>
        <v>MEDINA DEL CAMPO, ESPAÑA</v>
      </c>
    </row>
    <row r="117" spans="1:7">
      <c r="A117" s="1">
        <v>43404.464270833414</v>
      </c>
      <c r="B117" s="13">
        <f t="shared" si="3"/>
        <v>43404.464270833414</v>
      </c>
      <c r="C117" s="9">
        <v>1</v>
      </c>
      <c r="D117" s="10" t="s">
        <v>49</v>
      </c>
      <c r="E117" s="9" t="str">
        <f>VLOOKUP(D116,D$2:G$93,2,FALSE)</f>
        <v>JAVIER BARRAGAN BRAVO</v>
      </c>
      <c r="F117" s="9" t="s">
        <v>110</v>
      </c>
      <c r="G117" s="9"/>
    </row>
    <row r="118" spans="1:7">
      <c r="A118" s="1">
        <v>43404.538171296474</v>
      </c>
      <c r="B118" s="13">
        <f t="shared" si="3"/>
        <v>43404.538171296474</v>
      </c>
      <c r="C118" s="9">
        <v>1</v>
      </c>
      <c r="D118" s="10" t="s">
        <v>204</v>
      </c>
      <c r="E118" s="9"/>
      <c r="F118" s="9" t="s">
        <v>110</v>
      </c>
      <c r="G118" s="9" t="s">
        <v>118</v>
      </c>
    </row>
    <row r="119" spans="1:7">
      <c r="A119" s="1">
        <v>43406.583761574235</v>
      </c>
      <c r="B119" s="13">
        <f t="shared" si="3"/>
        <v>43406.583761574235</v>
      </c>
      <c r="C119" s="9">
        <v>1</v>
      </c>
      <c r="D119" s="10" t="s">
        <v>205</v>
      </c>
      <c r="E119" s="9" t="s">
        <v>259</v>
      </c>
      <c r="F119" s="9" t="s">
        <v>110</v>
      </c>
      <c r="G119" s="9"/>
    </row>
    <row r="120" spans="1:7">
      <c r="A120" s="1">
        <v>43409.390381944366</v>
      </c>
      <c r="B120" s="13">
        <f t="shared" si="3"/>
        <v>43409.390381944366</v>
      </c>
      <c r="C120" s="9">
        <v>2</v>
      </c>
      <c r="D120" s="10" t="s">
        <v>63</v>
      </c>
      <c r="E120" s="9"/>
      <c r="F120" s="9" t="s">
        <v>110</v>
      </c>
      <c r="G120" s="9"/>
    </row>
    <row r="121" spans="1:7">
      <c r="A121" s="1">
        <v>43409.433078703936</v>
      </c>
      <c r="B121" s="13">
        <f t="shared" si="3"/>
        <v>43409.433078703936</v>
      </c>
      <c r="C121" s="9">
        <v>1</v>
      </c>
      <c r="D121" s="10" t="s">
        <v>58</v>
      </c>
      <c r="E121" s="9"/>
      <c r="F121" s="9" t="s">
        <v>110</v>
      </c>
      <c r="G121" s="9" t="s">
        <v>219</v>
      </c>
    </row>
    <row r="122" spans="1:7">
      <c r="A122" s="1">
        <v>43409.488842592575</v>
      </c>
      <c r="B122" s="13">
        <f t="shared" si="3"/>
        <v>43409.488842592575</v>
      </c>
      <c r="C122" s="9">
        <v>1</v>
      </c>
      <c r="D122" s="10" t="s">
        <v>152</v>
      </c>
      <c r="E122" s="9" t="str">
        <f>VLOOKUP(D121,D$2:G$93,2,FALSE)</f>
        <v>001 BLANCA IGLESIAS FERNANDE</v>
      </c>
      <c r="F122" s="9" t="s">
        <v>110</v>
      </c>
      <c r="G122" s="9" t="s">
        <v>112</v>
      </c>
    </row>
    <row r="123" spans="1:7">
      <c r="A123" s="1">
        <v>43409.574918981642</v>
      </c>
      <c r="B123" s="13">
        <f t="shared" si="3"/>
        <v>43409.574918981642</v>
      </c>
      <c r="C123" s="9">
        <v>2</v>
      </c>
      <c r="D123" s="10" t="s">
        <v>133</v>
      </c>
      <c r="E123" s="9" t="s">
        <v>260</v>
      </c>
      <c r="F123" s="9" t="s">
        <v>110</v>
      </c>
      <c r="G123" s="9"/>
    </row>
    <row r="124" spans="1:7">
      <c r="A124" s="1">
        <v>43410.481655092444</v>
      </c>
      <c r="B124" s="13">
        <f t="shared" si="3"/>
        <v>43410.481655092444</v>
      </c>
      <c r="C124" s="9">
        <v>1</v>
      </c>
      <c r="D124" s="10" t="s">
        <v>206</v>
      </c>
      <c r="E124" s="9"/>
      <c r="F124" s="9" t="s">
        <v>110</v>
      </c>
      <c r="G124" s="9" t="s">
        <v>118</v>
      </c>
    </row>
    <row r="125" spans="1:7">
      <c r="A125" s="1">
        <v>43410.493449074216</v>
      </c>
      <c r="B125" s="13">
        <f t="shared" si="3"/>
        <v>43410.493449074216</v>
      </c>
      <c r="C125" s="9">
        <v>1</v>
      </c>
      <c r="D125" s="10" t="s">
        <v>207</v>
      </c>
      <c r="E125" s="9" t="s">
        <v>257</v>
      </c>
      <c r="F125" s="9" t="s">
        <v>110</v>
      </c>
      <c r="G125" s="9" t="s">
        <v>118</v>
      </c>
    </row>
    <row r="126" spans="1:7">
      <c r="A126" s="1">
        <v>43410.522048611194</v>
      </c>
      <c r="B126" s="13">
        <f t="shared" si="3"/>
        <v>43410.522048611194</v>
      </c>
      <c r="C126" s="9">
        <v>1</v>
      </c>
      <c r="D126" s="10" t="s">
        <v>26</v>
      </c>
      <c r="E126" s="9" t="s">
        <v>261</v>
      </c>
      <c r="F126" s="9" t="s">
        <v>110</v>
      </c>
      <c r="G126" s="9"/>
    </row>
    <row r="127" spans="1:7">
      <c r="A127" s="1">
        <v>43410.547534722369</v>
      </c>
      <c r="B127" s="13">
        <f t="shared" si="3"/>
        <v>43410.547534722369</v>
      </c>
      <c r="C127" s="9">
        <v>1</v>
      </c>
      <c r="D127" s="10" t="s">
        <v>208</v>
      </c>
      <c r="E127" s="9"/>
      <c r="F127" s="9" t="s">
        <v>110</v>
      </c>
      <c r="G127" s="9" t="s">
        <v>115</v>
      </c>
    </row>
    <row r="128" spans="1:7">
      <c r="A128" s="1">
        <v>43411.406631944235</v>
      </c>
      <c r="B128" s="13">
        <f t="shared" si="3"/>
        <v>43411.406631944235</v>
      </c>
      <c r="C128" s="9">
        <v>1</v>
      </c>
      <c r="D128" s="10" t="s">
        <v>138</v>
      </c>
      <c r="E128" s="9" t="s">
        <v>285</v>
      </c>
      <c r="F128" s="9" t="s">
        <v>110</v>
      </c>
      <c r="G128" s="9" t="str">
        <f t="shared" si="4"/>
        <v>CORIA, ESPAÑA</v>
      </c>
    </row>
    <row r="129" spans="1:7">
      <c r="A129" s="1">
        <v>43411.445763888769</v>
      </c>
      <c r="B129" s="13">
        <f t="shared" si="3"/>
        <v>43411.445763888769</v>
      </c>
      <c r="C129" s="9">
        <v>1</v>
      </c>
      <c r="D129" s="10" t="s">
        <v>141</v>
      </c>
      <c r="E129" s="9" t="str">
        <f>VLOOKUP(D128,D$2:G$93,2,FALSE)</f>
        <v>M DEL CARMEN IZQUIERDO RODRIGUEZ</v>
      </c>
      <c r="F129" s="9" t="s">
        <v>110</v>
      </c>
      <c r="G129" s="9" t="str">
        <f t="shared" si="4"/>
        <v>DON BENITO, ESPAÑA</v>
      </c>
    </row>
    <row r="130" spans="1:7">
      <c r="A130" s="1">
        <v>43411.460555555765</v>
      </c>
      <c r="B130" s="13">
        <f t="shared" si="3"/>
        <v>43411.460555555765</v>
      </c>
      <c r="C130" s="9">
        <v>1</v>
      </c>
      <c r="D130" s="10" t="s">
        <v>140</v>
      </c>
      <c r="E130" s="9" t="str">
        <f>VLOOKUP(D129,D$2:G$93,2,FALSE)</f>
        <v>RESIDENCIA SANTA ISABEL</v>
      </c>
      <c r="F130" s="9" t="s">
        <v>110</v>
      </c>
      <c r="G130" s="9" t="str">
        <f t="shared" si="4"/>
        <v>ZAMORA, ESPAÑA</v>
      </c>
    </row>
    <row r="131" spans="1:7">
      <c r="A131" s="1">
        <v>43411.490243055392</v>
      </c>
      <c r="B131" s="13">
        <f t="shared" si="3"/>
        <v>43411.490243055392</v>
      </c>
      <c r="C131" s="9">
        <v>1</v>
      </c>
      <c r="D131" s="10" t="s">
        <v>209</v>
      </c>
      <c r="E131" s="9" t="str">
        <f>VLOOKUP(D130,D$2:G$93,2,FALSE)</f>
        <v>CORIA</v>
      </c>
      <c r="F131" s="9" t="s">
        <v>110</v>
      </c>
      <c r="G131" s="9"/>
    </row>
    <row r="132" spans="1:7">
      <c r="A132" s="1">
        <v>43411.578206018545</v>
      </c>
      <c r="B132" s="13">
        <f t="shared" si="3"/>
        <v>43411.578206018545</v>
      </c>
      <c r="C132" s="9">
        <v>1</v>
      </c>
      <c r="D132" s="10" t="s">
        <v>143</v>
      </c>
      <c r="E132" s="9"/>
      <c r="F132" s="9" t="s">
        <v>110</v>
      </c>
      <c r="G132" s="9"/>
    </row>
    <row r="133" spans="1:7">
      <c r="A133" s="1">
        <v>43412.409062500112</v>
      </c>
      <c r="B133" s="13">
        <f t="shared" si="3"/>
        <v>43412.409062500112</v>
      </c>
      <c r="C133" s="9">
        <v>1</v>
      </c>
      <c r="D133" s="10" t="s">
        <v>146</v>
      </c>
      <c r="E133" s="9"/>
      <c r="F133" s="9" t="s">
        <v>110</v>
      </c>
      <c r="G133" s="9"/>
    </row>
    <row r="134" spans="1:7">
      <c r="A134" s="1">
        <v>43412.413888888899</v>
      </c>
      <c r="B134" s="13">
        <f t="shared" si="3"/>
        <v>43412.413888888899</v>
      </c>
      <c r="C134" s="9">
        <v>1</v>
      </c>
      <c r="D134" s="10" t="s">
        <v>144</v>
      </c>
      <c r="E134" s="9"/>
      <c r="F134" s="9" t="s">
        <v>110</v>
      </c>
      <c r="G134" s="9" t="str">
        <f t="shared" si="4"/>
        <v>DON BENITO, ESPAÑA</v>
      </c>
    </row>
    <row r="135" spans="1:7">
      <c r="A135" s="1">
        <v>43412.435138888657</v>
      </c>
      <c r="B135" s="13">
        <f t="shared" si="3"/>
        <v>43412.435138888657</v>
      </c>
      <c r="C135" s="9">
        <v>1</v>
      </c>
      <c r="D135" s="10" t="s">
        <v>145</v>
      </c>
      <c r="E135" s="9" t="str">
        <f>VLOOKUP(D134,D$2:G$93,2,FALSE)</f>
        <v>LACHANCLONASAT</v>
      </c>
      <c r="F135" s="9" t="s">
        <v>110</v>
      </c>
      <c r="G135" s="9" t="s">
        <v>118</v>
      </c>
    </row>
    <row r="136" spans="1:7">
      <c r="A136" s="1">
        <v>43412.538287037052</v>
      </c>
      <c r="B136" s="13">
        <f t="shared" si="3"/>
        <v>43412.538287037052</v>
      </c>
      <c r="C136" s="9">
        <v>1</v>
      </c>
      <c r="D136" s="10" t="s">
        <v>150</v>
      </c>
      <c r="E136" s="9" t="s">
        <v>72</v>
      </c>
      <c r="F136" s="9" t="s">
        <v>110</v>
      </c>
      <c r="G136" s="9" t="str">
        <f t="shared" si="4"/>
        <v>DON BENITO, ESPAÑA</v>
      </c>
    </row>
    <row r="137" spans="1:7">
      <c r="A137" s="1">
        <v>43412.557314815</v>
      </c>
      <c r="B137" s="13">
        <f t="shared" si="3"/>
        <v>43412.557314815</v>
      </c>
      <c r="C137" s="9">
        <v>1</v>
      </c>
      <c r="D137" s="10" t="s">
        <v>210</v>
      </c>
      <c r="E137" s="9" t="str">
        <f>VLOOKUP(D136,D$2:G$93,2,FALSE)</f>
        <v>ANGELA NUÑEZ GALAN</v>
      </c>
      <c r="F137" s="9" t="s">
        <v>110</v>
      </c>
      <c r="G137" s="9" t="s">
        <v>118</v>
      </c>
    </row>
    <row r="138" spans="1:7">
      <c r="A138" s="1">
        <v>43412.581585648004</v>
      </c>
      <c r="B138" s="13">
        <f t="shared" si="3"/>
        <v>43412.581585648004</v>
      </c>
      <c r="C138" s="9">
        <v>1</v>
      </c>
      <c r="D138" s="10" t="s">
        <v>211</v>
      </c>
      <c r="E138" s="9" t="s">
        <v>262</v>
      </c>
      <c r="F138" s="9" t="s">
        <v>110</v>
      </c>
      <c r="G138" s="9"/>
    </row>
    <row r="139" spans="1:7">
      <c r="A139" s="1">
        <v>43412.604687499814</v>
      </c>
      <c r="B139" s="13">
        <f t="shared" si="3"/>
        <v>43412.604687499814</v>
      </c>
      <c r="C139" s="9">
        <v>1</v>
      </c>
      <c r="D139" s="10" t="s">
        <v>212</v>
      </c>
      <c r="E139" s="9"/>
      <c r="F139" s="9" t="s">
        <v>110</v>
      </c>
      <c r="G139" s="9"/>
    </row>
    <row r="140" spans="1:7">
      <c r="A140" s="1">
        <v>43412.61129629612</v>
      </c>
      <c r="B140" s="13">
        <f t="shared" si="3"/>
        <v>43412.61129629612</v>
      </c>
      <c r="C140" s="9">
        <v>1</v>
      </c>
      <c r="D140" s="10" t="s">
        <v>213</v>
      </c>
      <c r="E140" s="9"/>
      <c r="F140" s="9" t="s">
        <v>110</v>
      </c>
      <c r="G140" s="9"/>
    </row>
    <row r="141" spans="1:7">
      <c r="A141" s="1">
        <v>43412.727245370392</v>
      </c>
      <c r="B141" s="13">
        <f t="shared" si="3"/>
        <v>43412.727245370392</v>
      </c>
      <c r="C141" s="9">
        <v>1</v>
      </c>
      <c r="D141" s="10" t="s">
        <v>31</v>
      </c>
      <c r="E141" s="9"/>
      <c r="F141" s="9" t="s">
        <v>110</v>
      </c>
      <c r="G141" s="9" t="str">
        <f t="shared" si="4"/>
        <v>MEDINA DEL CAMPO, ESPAÑA</v>
      </c>
    </row>
    <row r="142" spans="1:7">
      <c r="A142" s="1">
        <v>43416.428437499795</v>
      </c>
      <c r="B142" s="13">
        <f t="shared" si="3"/>
        <v>43416.428437499795</v>
      </c>
      <c r="C142" s="9">
        <v>2</v>
      </c>
      <c r="D142" s="10">
        <v>616177529</v>
      </c>
      <c r="E142" s="9" t="str">
        <f>VLOOKUP(D141,D$2:G$93,2,FALSE)</f>
        <v>JOSE 001 RODRIGUEZ SANCHEZ</v>
      </c>
      <c r="F142" s="9" t="s">
        <v>110</v>
      </c>
      <c r="G142" s="9"/>
    </row>
    <row r="143" spans="1:7">
      <c r="A143" s="1">
        <v>43416.480891203508</v>
      </c>
      <c r="B143" s="13">
        <f t="shared" si="3"/>
        <v>43416.480891203508</v>
      </c>
      <c r="C143" s="9">
        <v>1</v>
      </c>
      <c r="D143" s="10">
        <v>927347855</v>
      </c>
      <c r="E143" s="9"/>
      <c r="F143" s="9" t="s">
        <v>110</v>
      </c>
      <c r="G143" s="9"/>
    </row>
    <row r="144" spans="1:7">
      <c r="A144" s="1">
        <v>43416.536087962799</v>
      </c>
      <c r="B144" s="13">
        <f t="shared" si="3"/>
        <v>43416.536087962799</v>
      </c>
      <c r="C144" s="9">
        <v>2</v>
      </c>
      <c r="D144" s="10">
        <v>923541511</v>
      </c>
      <c r="E144" s="9"/>
      <c r="F144" s="9" t="s">
        <v>110</v>
      </c>
      <c r="G144" s="9"/>
    </row>
    <row r="145" spans="1:7">
      <c r="A145" s="1">
        <v>43416.539814814925</v>
      </c>
      <c r="B145" s="13">
        <f t="shared" si="3"/>
        <v>43416.539814814925</v>
      </c>
      <c r="C145" s="9">
        <v>1</v>
      </c>
      <c r="D145" s="10">
        <v>618030915</v>
      </c>
      <c r="E145" s="9"/>
      <c r="F145" s="9" t="s">
        <v>110</v>
      </c>
      <c r="G145" s="9"/>
    </row>
    <row r="146" spans="1:7">
      <c r="A146" s="1">
        <v>43416.607499999925</v>
      </c>
      <c r="B146" s="13">
        <f t="shared" si="3"/>
        <v>43416.607499999925</v>
      </c>
      <c r="C146" s="9">
        <v>2</v>
      </c>
      <c r="D146" s="10">
        <v>635875183</v>
      </c>
      <c r="E146" s="9"/>
      <c r="F146" s="9" t="s">
        <v>110</v>
      </c>
      <c r="G146" s="9"/>
    </row>
    <row r="147" spans="1:7">
      <c r="A147" s="1">
        <v>43416.670879629441</v>
      </c>
      <c r="B147" s="13">
        <f t="shared" si="3"/>
        <v>43416.670879629441</v>
      </c>
      <c r="C147" s="9">
        <v>2</v>
      </c>
      <c r="D147" s="10">
        <v>654170869</v>
      </c>
      <c r="E147" s="9"/>
      <c r="F147" s="9" t="s">
        <v>110</v>
      </c>
      <c r="G147" s="9"/>
    </row>
    <row r="148" spans="1:7">
      <c r="A148" s="1">
        <v>43417.419155092444</v>
      </c>
      <c r="B148" s="13">
        <f t="shared" si="3"/>
        <v>43417.419155092444</v>
      </c>
      <c r="C148" s="9">
        <v>1</v>
      </c>
      <c r="D148" s="10">
        <v>645109302</v>
      </c>
      <c r="E148" s="9"/>
      <c r="F148" s="9" t="s">
        <v>110</v>
      </c>
      <c r="G148" s="9" t="s">
        <v>118</v>
      </c>
    </row>
    <row r="149" spans="1:7">
      <c r="A149" s="1">
        <v>43417.441168981604</v>
      </c>
      <c r="B149" s="13">
        <f t="shared" si="3"/>
        <v>43417.441168981604</v>
      </c>
      <c r="C149" s="9">
        <v>1</v>
      </c>
      <c r="D149" s="10">
        <v>606996747</v>
      </c>
      <c r="E149" s="9" t="s">
        <v>263</v>
      </c>
      <c r="F149" s="9" t="s">
        <v>110</v>
      </c>
      <c r="G149" s="9" t="s">
        <v>123</v>
      </c>
    </row>
    <row r="150" spans="1:7">
      <c r="A150" s="1">
        <v>43417.44468750013</v>
      </c>
      <c r="B150" s="13">
        <f t="shared" si="3"/>
        <v>43417.44468750013</v>
      </c>
      <c r="C150" s="9">
        <v>1</v>
      </c>
      <c r="D150" s="10">
        <v>924822414</v>
      </c>
      <c r="E150" s="9" t="s">
        <v>264</v>
      </c>
      <c r="F150" s="9" t="s">
        <v>110</v>
      </c>
      <c r="G150" s="9" t="s">
        <v>118</v>
      </c>
    </row>
    <row r="151" spans="1:7">
      <c r="A151" s="1">
        <v>43417.458877314813</v>
      </c>
      <c r="B151" s="13">
        <f t="shared" si="3"/>
        <v>43417.458877314813</v>
      </c>
      <c r="C151" s="9">
        <v>1</v>
      </c>
      <c r="D151" s="10">
        <v>669013513</v>
      </c>
      <c r="E151" s="9" t="s">
        <v>89</v>
      </c>
      <c r="F151" s="9" t="s">
        <v>110</v>
      </c>
      <c r="G151" s="9" t="s">
        <v>118</v>
      </c>
    </row>
    <row r="152" spans="1:7">
      <c r="A152" s="1">
        <v>43417.462245370261</v>
      </c>
      <c r="B152" s="13">
        <f t="shared" si="3"/>
        <v>43417.462245370261</v>
      </c>
      <c r="C152" s="9">
        <v>1</v>
      </c>
      <c r="D152" s="10">
        <v>669013513</v>
      </c>
      <c r="E152" s="9" t="s">
        <v>286</v>
      </c>
      <c r="F152" s="9" t="s">
        <v>110</v>
      </c>
      <c r="G152" s="9" t="s">
        <v>118</v>
      </c>
    </row>
    <row r="153" spans="1:7">
      <c r="A153" s="1">
        <v>43417.529675926082</v>
      </c>
      <c r="B153" s="13">
        <f t="shared" si="3"/>
        <v>43417.529675926082</v>
      </c>
      <c r="C153" s="9">
        <v>1</v>
      </c>
      <c r="D153" s="10">
        <v>985871360</v>
      </c>
      <c r="E153" s="9" t="s">
        <v>286</v>
      </c>
      <c r="F153" s="9" t="s">
        <v>110</v>
      </c>
      <c r="G153" s="9"/>
    </row>
    <row r="154" spans="1:7">
      <c r="A154" s="1">
        <v>43417.538298611064</v>
      </c>
      <c r="B154" s="13">
        <f t="shared" ref="B154:B217" si="6">A154</f>
        <v>43417.538298611064</v>
      </c>
      <c r="C154" s="9">
        <v>1</v>
      </c>
      <c r="D154" s="10">
        <v>927431153</v>
      </c>
      <c r="E154" s="9"/>
      <c r="F154" s="9" t="s">
        <v>110</v>
      </c>
      <c r="G154" s="9" t="s">
        <v>119</v>
      </c>
    </row>
    <row r="155" spans="1:7">
      <c r="A155" s="1">
        <v>43417.565439814702</v>
      </c>
      <c r="B155" s="13">
        <f t="shared" si="6"/>
        <v>43417.565439814702</v>
      </c>
      <c r="C155" s="9">
        <v>1</v>
      </c>
      <c r="D155" s="10">
        <v>927338110</v>
      </c>
      <c r="E155" s="9" t="s">
        <v>258</v>
      </c>
      <c r="F155" s="9" t="s">
        <v>110</v>
      </c>
      <c r="G155" s="9" t="s">
        <v>273</v>
      </c>
    </row>
    <row r="156" spans="1:7">
      <c r="A156" s="1">
        <v>43417.722685185261</v>
      </c>
      <c r="B156" s="13">
        <f t="shared" si="6"/>
        <v>43417.722685185261</v>
      </c>
      <c r="C156" s="9">
        <v>1</v>
      </c>
      <c r="D156" s="10">
        <v>924786369</v>
      </c>
      <c r="E156" s="9" t="s">
        <v>265</v>
      </c>
      <c r="F156" s="9" t="s">
        <v>110</v>
      </c>
      <c r="G156" s="9"/>
    </row>
    <row r="157" spans="1:7">
      <c r="A157" s="1">
        <v>43418.489652777556</v>
      </c>
      <c r="B157" s="13">
        <f t="shared" si="6"/>
        <v>43418.489652777556</v>
      </c>
      <c r="C157" s="9">
        <v>1</v>
      </c>
      <c r="D157" s="10">
        <v>637527839</v>
      </c>
      <c r="E157" s="9"/>
      <c r="F157" s="9" t="s">
        <v>110</v>
      </c>
      <c r="G157" s="9" t="s">
        <v>118</v>
      </c>
    </row>
    <row r="158" spans="1:7">
      <c r="A158" s="1">
        <v>43418.501898148097</v>
      </c>
      <c r="B158" s="13">
        <f t="shared" si="6"/>
        <v>43418.501898148097</v>
      </c>
      <c r="C158" s="9">
        <v>1</v>
      </c>
      <c r="D158" s="10">
        <v>653424521</v>
      </c>
      <c r="E158" s="9" t="s">
        <v>266</v>
      </c>
      <c r="F158" s="9" t="s">
        <v>110</v>
      </c>
      <c r="G158" s="9" t="s">
        <v>123</v>
      </c>
    </row>
    <row r="159" spans="1:7">
      <c r="A159" s="1">
        <v>43418.522627315018</v>
      </c>
      <c r="B159" s="13">
        <f t="shared" si="6"/>
        <v>43418.522627315018</v>
      </c>
      <c r="C159" s="9">
        <v>1</v>
      </c>
      <c r="D159" s="10">
        <v>983590114</v>
      </c>
      <c r="E159" s="9" t="s">
        <v>267</v>
      </c>
      <c r="F159" s="9" t="s">
        <v>110</v>
      </c>
      <c r="G159" s="9" t="s">
        <v>124</v>
      </c>
    </row>
    <row r="160" spans="1:7">
      <c r="A160" s="1">
        <v>43418.534606481437</v>
      </c>
      <c r="B160" s="13">
        <f t="shared" si="6"/>
        <v>43418.534606481437</v>
      </c>
      <c r="C160" s="9">
        <v>1</v>
      </c>
      <c r="D160" s="10">
        <v>987310278</v>
      </c>
      <c r="E160" s="9" t="s">
        <v>268</v>
      </c>
      <c r="F160" s="9" t="s">
        <v>110</v>
      </c>
      <c r="G160" s="9"/>
    </row>
    <row r="161" spans="1:7">
      <c r="A161" s="1">
        <v>43418.582071759272</v>
      </c>
      <c r="B161" s="13">
        <f t="shared" si="6"/>
        <v>43418.582071759272</v>
      </c>
      <c r="C161" s="9">
        <v>1</v>
      </c>
      <c r="D161" s="10">
        <v>987307041</v>
      </c>
      <c r="E161" s="9" t="s">
        <v>269</v>
      </c>
      <c r="F161" s="9" t="s">
        <v>110</v>
      </c>
      <c r="G161" s="9"/>
    </row>
    <row r="162" spans="1:7">
      <c r="A162" s="1">
        <v>43418.620243055746</v>
      </c>
      <c r="B162" s="13">
        <f t="shared" si="6"/>
        <v>43418.620243055746</v>
      </c>
      <c r="C162" s="9">
        <v>1</v>
      </c>
      <c r="D162" s="10">
        <v>692686518</v>
      </c>
      <c r="E162" s="9"/>
      <c r="F162" s="9" t="s">
        <v>110</v>
      </c>
      <c r="G162" s="9" t="s">
        <v>121</v>
      </c>
    </row>
    <row r="163" spans="1:7">
      <c r="A163" s="1">
        <v>43418.632083333563</v>
      </c>
      <c r="B163" s="13">
        <f t="shared" si="6"/>
        <v>43418.632083333563</v>
      </c>
      <c r="C163" s="9">
        <v>1</v>
      </c>
      <c r="D163" s="10">
        <v>639015644</v>
      </c>
      <c r="E163" s="9" t="s">
        <v>287</v>
      </c>
      <c r="F163" s="9" t="s">
        <v>110</v>
      </c>
      <c r="G163" s="9"/>
    </row>
    <row r="164" spans="1:7">
      <c r="A164" s="1">
        <v>43419.466759259347</v>
      </c>
      <c r="B164" s="13">
        <f t="shared" si="6"/>
        <v>43419.466759259347</v>
      </c>
      <c r="C164" s="9">
        <v>1</v>
      </c>
      <c r="D164" s="10">
        <v>927154308</v>
      </c>
      <c r="E164" s="9"/>
      <c r="F164" s="9" t="s">
        <v>110</v>
      </c>
      <c r="G164" s="9" t="s">
        <v>118</v>
      </c>
    </row>
    <row r="165" spans="1:7">
      <c r="A165" s="1">
        <v>43419.47789351875</v>
      </c>
      <c r="B165" s="13">
        <f t="shared" si="6"/>
        <v>43419.47789351875</v>
      </c>
      <c r="C165" s="9">
        <v>1</v>
      </c>
      <c r="D165" s="10">
        <v>924447587</v>
      </c>
      <c r="E165" s="9" t="s">
        <v>101</v>
      </c>
      <c r="F165" s="9" t="s">
        <v>110</v>
      </c>
      <c r="G165" s="9"/>
    </row>
    <row r="166" spans="1:7">
      <c r="A166" s="1">
        <v>43419.498518518638</v>
      </c>
      <c r="B166" s="13">
        <f t="shared" si="6"/>
        <v>43419.498518518638</v>
      </c>
      <c r="C166" s="9">
        <v>1</v>
      </c>
      <c r="D166" s="10">
        <v>924870167</v>
      </c>
      <c r="E166" s="9"/>
      <c r="F166" s="9" t="s">
        <v>110</v>
      </c>
      <c r="G166" s="9"/>
    </row>
    <row r="167" spans="1:7">
      <c r="A167" s="1">
        <v>43419.546180555597</v>
      </c>
      <c r="B167" s="13">
        <f t="shared" si="6"/>
        <v>43419.546180555597</v>
      </c>
      <c r="C167" s="9">
        <v>1</v>
      </c>
      <c r="D167" s="10">
        <v>695260909</v>
      </c>
      <c r="E167" s="9"/>
      <c r="F167" s="9" t="s">
        <v>110</v>
      </c>
      <c r="G167" s="9"/>
    </row>
    <row r="168" spans="1:7">
      <c r="A168" s="1">
        <v>43419.606296296231</v>
      </c>
      <c r="B168" s="13">
        <f t="shared" si="6"/>
        <v>43419.606296296231</v>
      </c>
      <c r="C168" s="9">
        <v>1</v>
      </c>
      <c r="D168" s="10">
        <v>606820640</v>
      </c>
      <c r="E168" s="9"/>
      <c r="F168" s="9" t="s">
        <v>110</v>
      </c>
      <c r="G168" s="9" t="s">
        <v>273</v>
      </c>
    </row>
    <row r="169" spans="1:7">
      <c r="A169" s="1">
        <v>43419.62450231472</v>
      </c>
      <c r="B169" s="13">
        <f t="shared" si="6"/>
        <v>43419.62450231472</v>
      </c>
      <c r="C169" s="9">
        <v>1</v>
      </c>
      <c r="D169" s="10">
        <v>659274259</v>
      </c>
      <c r="E169" s="9" t="s">
        <v>270</v>
      </c>
      <c r="F169" s="9" t="s">
        <v>110</v>
      </c>
      <c r="G169" s="9"/>
    </row>
    <row r="170" spans="1:7">
      <c r="A170" s="1">
        <v>43420.475092592649</v>
      </c>
      <c r="B170" s="13">
        <f t="shared" si="6"/>
        <v>43420.475092592649</v>
      </c>
      <c r="C170" s="9">
        <v>1</v>
      </c>
      <c r="D170" s="10">
        <v>620283064</v>
      </c>
      <c r="E170" s="9"/>
      <c r="F170" s="9" t="s">
        <v>110</v>
      </c>
      <c r="G170" s="9"/>
    </row>
    <row r="171" spans="1:7">
      <c r="A171" s="1">
        <v>43420.500717592426</v>
      </c>
      <c r="B171" s="13">
        <f t="shared" si="6"/>
        <v>43420.500717592426</v>
      </c>
      <c r="C171" s="9">
        <v>1</v>
      </c>
      <c r="D171" s="10">
        <v>657310690</v>
      </c>
      <c r="E171" s="9"/>
      <c r="F171" s="9" t="s">
        <v>110</v>
      </c>
      <c r="G171" s="9" t="s">
        <v>118</v>
      </c>
    </row>
    <row r="172" spans="1:7">
      <c r="A172" s="1">
        <v>43420.525254629552</v>
      </c>
      <c r="B172" s="13">
        <f t="shared" si="6"/>
        <v>43420.525254629552</v>
      </c>
      <c r="C172" s="9">
        <v>1</v>
      </c>
      <c r="D172" s="10">
        <v>647218526</v>
      </c>
      <c r="E172" s="9" t="s">
        <v>271</v>
      </c>
      <c r="F172" s="9" t="s">
        <v>110</v>
      </c>
      <c r="G172" s="9"/>
    </row>
    <row r="173" spans="1:7">
      <c r="A173" s="1">
        <v>43420.538761573844</v>
      </c>
      <c r="B173" s="13">
        <f t="shared" si="6"/>
        <v>43420.538761573844</v>
      </c>
      <c r="C173" s="9">
        <v>2</v>
      </c>
      <c r="D173" s="10">
        <v>675411940</v>
      </c>
      <c r="E173" s="9"/>
      <c r="F173" s="9" t="s">
        <v>110</v>
      </c>
      <c r="G173" s="9"/>
    </row>
    <row r="174" spans="1:7">
      <c r="A174" s="1">
        <v>43420.538958333433</v>
      </c>
      <c r="B174" s="13">
        <f t="shared" si="6"/>
        <v>43420.538958333433</v>
      </c>
      <c r="C174" s="9">
        <v>1</v>
      </c>
      <c r="D174" s="10">
        <v>639536879</v>
      </c>
      <c r="E174" s="9"/>
      <c r="F174" s="9" t="s">
        <v>110</v>
      </c>
      <c r="G174" s="9"/>
    </row>
    <row r="175" spans="1:7">
      <c r="A175" s="1">
        <v>43420.625763888936</v>
      </c>
      <c r="B175" s="13">
        <f t="shared" si="6"/>
        <v>43420.625763888936</v>
      </c>
      <c r="C175" s="9">
        <v>2</v>
      </c>
      <c r="D175" s="10">
        <v>974030121</v>
      </c>
      <c r="E175" s="9"/>
      <c r="F175" s="9" t="s">
        <v>110</v>
      </c>
      <c r="G175" s="9"/>
    </row>
    <row r="176" spans="1:7">
      <c r="A176" s="1">
        <v>43423.51269675931</v>
      </c>
      <c r="B176" s="13">
        <f t="shared" si="6"/>
        <v>43423.51269675931</v>
      </c>
      <c r="C176" s="9">
        <v>1</v>
      </c>
      <c r="D176" s="10">
        <v>924661135</v>
      </c>
      <c r="E176" s="9"/>
      <c r="F176" s="9" t="s">
        <v>110</v>
      </c>
      <c r="G176" s="9"/>
    </row>
    <row r="177" spans="1:7">
      <c r="A177" s="1">
        <v>43423.540104166605</v>
      </c>
      <c r="B177" s="13">
        <f t="shared" si="6"/>
        <v>43423.540104166605</v>
      </c>
      <c r="C177" s="9">
        <v>1</v>
      </c>
      <c r="D177" s="10">
        <v>681181848</v>
      </c>
      <c r="E177" s="9"/>
      <c r="F177" s="9" t="s">
        <v>110</v>
      </c>
      <c r="G177" s="9" t="s">
        <v>114</v>
      </c>
    </row>
    <row r="178" spans="1:7">
      <c r="A178" s="1">
        <v>43423.544212962966</v>
      </c>
      <c r="B178" s="13">
        <f t="shared" si="6"/>
        <v>43423.544212962966</v>
      </c>
      <c r="C178" s="9">
        <v>1</v>
      </c>
      <c r="D178" s="10">
        <v>687734119</v>
      </c>
      <c r="E178" t="s">
        <v>272</v>
      </c>
      <c r="F178" s="9" t="s">
        <v>110</v>
      </c>
      <c r="G178" s="9"/>
    </row>
    <row r="179" spans="1:7">
      <c r="A179" s="1">
        <v>43423.587835648097</v>
      </c>
      <c r="B179" s="13">
        <f t="shared" si="6"/>
        <v>43423.587835648097</v>
      </c>
      <c r="C179" s="9">
        <v>2</v>
      </c>
      <c r="D179" s="10">
        <v>686883669</v>
      </c>
      <c r="E179" s="9"/>
      <c r="F179" s="9" t="s">
        <v>110</v>
      </c>
      <c r="G179" s="9"/>
    </row>
    <row r="180" spans="1:7">
      <c r="A180" s="1">
        <v>43424.541712963022</v>
      </c>
      <c r="B180" s="13">
        <f t="shared" si="6"/>
        <v>43424.541712963022</v>
      </c>
      <c r="C180" s="9">
        <v>2</v>
      </c>
      <c r="D180" s="10">
        <v>627260077</v>
      </c>
      <c r="E180" s="9"/>
      <c r="F180" s="9" t="s">
        <v>110</v>
      </c>
      <c r="G180" s="9"/>
    </row>
    <row r="181" spans="1:7">
      <c r="A181" s="1">
        <v>43424.681203703862</v>
      </c>
      <c r="B181" s="13">
        <f t="shared" si="6"/>
        <v>43424.681203703862</v>
      </c>
      <c r="C181" s="9">
        <v>2</v>
      </c>
      <c r="D181" s="10">
        <v>689292004</v>
      </c>
      <c r="E181" s="9"/>
      <c r="F181" s="9" t="s">
        <v>110</v>
      </c>
      <c r="G181" s="9" t="s">
        <v>119</v>
      </c>
    </row>
    <row r="182" spans="1:7">
      <c r="A182" s="1">
        <v>43425.56880787015</v>
      </c>
      <c r="B182" s="13">
        <f t="shared" si="6"/>
        <v>43425.56880787015</v>
      </c>
      <c r="C182" s="9">
        <v>1</v>
      </c>
      <c r="D182" s="10">
        <v>924500254</v>
      </c>
      <c r="E182" s="9" t="s">
        <v>274</v>
      </c>
      <c r="F182" s="9" t="s">
        <v>110</v>
      </c>
      <c r="G182" s="9" t="s">
        <v>115</v>
      </c>
    </row>
    <row r="183" spans="1:7">
      <c r="A183" s="1">
        <v>43425.676747685298</v>
      </c>
      <c r="B183" s="13">
        <f t="shared" si="6"/>
        <v>43425.676747685298</v>
      </c>
      <c r="C183" s="9">
        <v>1</v>
      </c>
      <c r="D183" s="10">
        <v>692165367</v>
      </c>
      <c r="E183" s="9" t="s">
        <v>275</v>
      </c>
      <c r="F183" s="9" t="s">
        <v>110</v>
      </c>
      <c r="G183" s="9"/>
    </row>
    <row r="184" spans="1:7">
      <c r="A184" s="1">
        <v>43426.463541666511</v>
      </c>
      <c r="B184" s="13">
        <f t="shared" si="6"/>
        <v>43426.463541666511</v>
      </c>
      <c r="C184" s="9">
        <v>1</v>
      </c>
      <c r="D184" s="10">
        <v>660034473</v>
      </c>
      <c r="E184" s="9"/>
      <c r="F184" s="9" t="s">
        <v>110</v>
      </c>
      <c r="G184" s="9"/>
    </row>
    <row r="185" spans="1:7">
      <c r="A185" s="1">
        <v>43426.479074073955</v>
      </c>
      <c r="B185" s="13">
        <f t="shared" si="6"/>
        <v>43426.479074073955</v>
      </c>
      <c r="C185" s="9">
        <v>1</v>
      </c>
      <c r="D185" s="10">
        <v>699454435</v>
      </c>
      <c r="E185" s="9"/>
      <c r="F185" s="9" t="s">
        <v>110</v>
      </c>
      <c r="G185" s="9"/>
    </row>
    <row r="186" spans="1:7">
      <c r="A186" s="1">
        <v>43426.512395833153</v>
      </c>
      <c r="B186" s="13">
        <f t="shared" si="6"/>
        <v>43426.512395833153</v>
      </c>
      <c r="C186" s="9">
        <v>1</v>
      </c>
      <c r="D186" s="10">
        <v>652521010</v>
      </c>
      <c r="E186" s="9"/>
      <c r="F186" s="9" t="s">
        <v>110</v>
      </c>
      <c r="G186" s="9"/>
    </row>
    <row r="187" spans="1:7">
      <c r="A187" s="1">
        <v>43426.548113425728</v>
      </c>
      <c r="B187" s="13">
        <f t="shared" si="6"/>
        <v>43426.548113425728</v>
      </c>
      <c r="C187" s="9">
        <v>1</v>
      </c>
      <c r="D187" s="10">
        <v>980042038</v>
      </c>
      <c r="E187" s="9" t="s">
        <v>158</v>
      </c>
      <c r="F187" s="9" t="s">
        <v>110</v>
      </c>
      <c r="G187" s="9" t="s">
        <v>163</v>
      </c>
    </row>
    <row r="188" spans="1:7">
      <c r="A188" s="1">
        <v>43426.555543981493</v>
      </c>
      <c r="B188" s="13">
        <f t="shared" si="6"/>
        <v>43426.555543981493</v>
      </c>
      <c r="C188" s="9">
        <v>1</v>
      </c>
      <c r="D188" s="10">
        <v>694418704</v>
      </c>
      <c r="E188" s="9" t="s">
        <v>158</v>
      </c>
      <c r="F188" s="9" t="s">
        <v>110</v>
      </c>
      <c r="G188" s="9" t="s">
        <v>163</v>
      </c>
    </row>
    <row r="189" spans="1:7">
      <c r="A189" s="1">
        <v>43427.412511574104</v>
      </c>
      <c r="B189" s="13">
        <f t="shared" si="6"/>
        <v>43427.412511574104</v>
      </c>
      <c r="C189" s="9">
        <v>2</v>
      </c>
      <c r="D189" s="10">
        <v>927204007</v>
      </c>
      <c r="E189" s="9" t="s">
        <v>159</v>
      </c>
      <c r="F189" s="9" t="s">
        <v>110</v>
      </c>
      <c r="G189" s="9" t="s">
        <v>125</v>
      </c>
    </row>
    <row r="190" spans="1:7">
      <c r="A190" s="1">
        <v>43427.491122685373</v>
      </c>
      <c r="B190" s="13">
        <f t="shared" si="6"/>
        <v>43427.491122685373</v>
      </c>
      <c r="C190" s="9">
        <v>1</v>
      </c>
      <c r="D190" s="10">
        <v>678860928</v>
      </c>
      <c r="E190" s="9" t="s">
        <v>218</v>
      </c>
      <c r="F190" s="9" t="s">
        <v>110</v>
      </c>
      <c r="G190" s="9"/>
    </row>
    <row r="191" spans="1:7">
      <c r="A191" s="1">
        <v>43427.531516203657</v>
      </c>
      <c r="B191" s="13">
        <f t="shared" si="6"/>
        <v>43427.531516203657</v>
      </c>
      <c r="C191" s="9">
        <v>1</v>
      </c>
      <c r="D191" s="10">
        <v>636286333</v>
      </c>
      <c r="E191" s="9"/>
      <c r="F191" s="9" t="s">
        <v>110</v>
      </c>
      <c r="G191" s="9"/>
    </row>
    <row r="192" spans="1:7">
      <c r="A192" s="1">
        <v>43427.571493055671</v>
      </c>
      <c r="B192" s="13">
        <f t="shared" si="6"/>
        <v>43427.571493055671</v>
      </c>
      <c r="C192" s="9">
        <v>1</v>
      </c>
      <c r="D192" s="10">
        <v>686023105</v>
      </c>
      <c r="E192" s="9"/>
      <c r="F192" s="9" t="s">
        <v>110</v>
      </c>
      <c r="G192" s="9" t="s">
        <v>118</v>
      </c>
    </row>
    <row r="193" spans="1:7">
      <c r="A193" s="1">
        <v>43430.462743055541</v>
      </c>
      <c r="B193" s="13">
        <f t="shared" si="6"/>
        <v>43430.462743055541</v>
      </c>
      <c r="C193" s="9">
        <v>2</v>
      </c>
      <c r="D193" s="10">
        <v>923541511</v>
      </c>
      <c r="E193" s="9" t="s">
        <v>262</v>
      </c>
      <c r="F193" s="9" t="s">
        <v>110</v>
      </c>
      <c r="G193" s="9" t="s">
        <v>120</v>
      </c>
    </row>
    <row r="194" spans="1:7">
      <c r="A194" s="1">
        <v>43430.476365740877</v>
      </c>
      <c r="B194" s="13">
        <f t="shared" si="6"/>
        <v>43430.476365740877</v>
      </c>
      <c r="C194" s="9">
        <v>1</v>
      </c>
      <c r="D194" s="10">
        <v>616557514</v>
      </c>
      <c r="E194" s="9" t="s">
        <v>107</v>
      </c>
      <c r="F194" s="9" t="s">
        <v>110</v>
      </c>
      <c r="G194" s="9"/>
    </row>
    <row r="195" spans="1:7">
      <c r="A195" s="1">
        <v>43430.499965277966</v>
      </c>
      <c r="B195" s="13">
        <f t="shared" si="6"/>
        <v>43430.499965277966</v>
      </c>
      <c r="C195" s="9">
        <v>2</v>
      </c>
      <c r="D195" s="10">
        <v>616177529</v>
      </c>
      <c r="E195" s="9" t="s">
        <v>107</v>
      </c>
      <c r="F195" s="9" t="s">
        <v>110</v>
      </c>
      <c r="G195" s="9" t="s">
        <v>117</v>
      </c>
    </row>
    <row r="196" spans="1:7">
      <c r="A196" s="1">
        <v>43430.540057870559</v>
      </c>
      <c r="B196" s="13">
        <f t="shared" si="6"/>
        <v>43430.540057870559</v>
      </c>
      <c r="C196" s="9">
        <v>2</v>
      </c>
      <c r="D196" s="10">
        <v>923484107</v>
      </c>
      <c r="E196" s="9" t="s">
        <v>81</v>
      </c>
      <c r="F196" s="9" t="s">
        <v>110</v>
      </c>
      <c r="G196" s="9" t="s">
        <v>122</v>
      </c>
    </row>
    <row r="197" spans="1:7">
      <c r="A197" s="1">
        <v>43430.543761574198</v>
      </c>
      <c r="B197" s="13">
        <f t="shared" si="6"/>
        <v>43430.543761574198</v>
      </c>
      <c r="C197" s="9">
        <v>2</v>
      </c>
      <c r="D197" s="10">
        <v>654170869</v>
      </c>
      <c r="E197" s="9" t="s">
        <v>84</v>
      </c>
      <c r="F197" s="9" t="s">
        <v>110</v>
      </c>
      <c r="G197" s="9"/>
    </row>
    <row r="198" spans="1:7">
      <c r="A198" s="1">
        <v>43431.429722222034</v>
      </c>
      <c r="B198" s="13">
        <f t="shared" si="6"/>
        <v>43431.429722222034</v>
      </c>
      <c r="C198" s="9">
        <v>1</v>
      </c>
      <c r="D198" s="10">
        <v>974485090</v>
      </c>
      <c r="E198" s="9" t="s">
        <v>84</v>
      </c>
      <c r="F198" s="9" t="s">
        <v>110</v>
      </c>
      <c r="G198" s="9" t="s">
        <v>116</v>
      </c>
    </row>
    <row r="199" spans="1:7">
      <c r="A199" s="1">
        <v>43431.444490740541</v>
      </c>
      <c r="B199" s="13">
        <f t="shared" si="6"/>
        <v>43431.444490740541</v>
      </c>
      <c r="C199" s="9">
        <v>1</v>
      </c>
      <c r="D199" s="10">
        <v>645109302</v>
      </c>
      <c r="E199" s="9" t="s">
        <v>217</v>
      </c>
      <c r="F199" s="9" t="s">
        <v>110</v>
      </c>
      <c r="G199" s="9" t="s">
        <v>118</v>
      </c>
    </row>
    <row r="200" spans="1:7">
      <c r="A200" s="1">
        <v>43431.460405092686</v>
      </c>
      <c r="B200" s="13">
        <f t="shared" si="6"/>
        <v>43431.460405092686</v>
      </c>
      <c r="C200" s="9">
        <v>1</v>
      </c>
      <c r="D200" s="10">
        <v>924822414</v>
      </c>
      <c r="E200" s="9" t="s">
        <v>87</v>
      </c>
      <c r="F200" s="9" t="s">
        <v>110</v>
      </c>
      <c r="G200" s="9" t="s">
        <v>118</v>
      </c>
    </row>
    <row r="201" spans="1:7">
      <c r="A201" s="1">
        <v>43431.470821759198</v>
      </c>
      <c r="B201" s="13">
        <f t="shared" si="6"/>
        <v>43431.470821759198</v>
      </c>
      <c r="C201" s="9">
        <v>1</v>
      </c>
      <c r="D201" s="10">
        <v>682624989</v>
      </c>
      <c r="E201" s="9" t="s">
        <v>89</v>
      </c>
      <c r="F201" s="9" t="s">
        <v>110</v>
      </c>
      <c r="G201" s="9"/>
    </row>
    <row r="202" spans="1:7">
      <c r="A202" s="1">
        <v>43431.518564814702</v>
      </c>
      <c r="B202" s="13">
        <f t="shared" si="6"/>
        <v>43431.518564814702</v>
      </c>
      <c r="C202" s="9">
        <v>1</v>
      </c>
      <c r="D202" s="10">
        <v>927431153</v>
      </c>
      <c r="E202" s="9" t="s">
        <v>89</v>
      </c>
      <c r="F202" s="9" t="s">
        <v>110</v>
      </c>
      <c r="G202" s="9" t="s">
        <v>119</v>
      </c>
    </row>
    <row r="203" spans="1:7">
      <c r="A203" s="1">
        <v>43431.532071759459</v>
      </c>
      <c r="B203" s="13">
        <f t="shared" si="6"/>
        <v>43431.532071759459</v>
      </c>
      <c r="C203" s="9">
        <v>1</v>
      </c>
      <c r="D203" s="10">
        <v>669013513</v>
      </c>
      <c r="E203" s="9" t="s">
        <v>258</v>
      </c>
      <c r="F203" s="9" t="s">
        <v>110</v>
      </c>
      <c r="G203" s="9" t="s">
        <v>121</v>
      </c>
    </row>
    <row r="204" spans="1:7">
      <c r="A204" s="1">
        <v>43432.419826388825</v>
      </c>
      <c r="B204" s="13">
        <f t="shared" si="6"/>
        <v>43432.419826388825</v>
      </c>
      <c r="C204" s="9">
        <v>1</v>
      </c>
      <c r="D204" s="10">
        <v>927404670</v>
      </c>
      <c r="E204" s="9" t="s">
        <v>215</v>
      </c>
      <c r="F204" s="9" t="s">
        <v>110</v>
      </c>
      <c r="G204" s="9" t="s">
        <v>119</v>
      </c>
    </row>
    <row r="205" spans="1:7">
      <c r="A205" s="1">
        <v>43432.446932870429</v>
      </c>
      <c r="B205" s="13">
        <f t="shared" si="6"/>
        <v>43432.446932870429</v>
      </c>
      <c r="C205" s="9">
        <v>1</v>
      </c>
      <c r="D205" s="10">
        <v>637870255</v>
      </c>
      <c r="E205" s="9" t="s">
        <v>281</v>
      </c>
      <c r="F205" s="9" t="s">
        <v>110</v>
      </c>
      <c r="G205" s="9" t="s">
        <v>118</v>
      </c>
    </row>
    <row r="206" spans="1:7">
      <c r="A206" s="1">
        <v>43432.501250000205</v>
      </c>
      <c r="B206" s="13">
        <f t="shared" si="6"/>
        <v>43432.501250000205</v>
      </c>
      <c r="C206" s="9">
        <v>1</v>
      </c>
      <c r="D206" s="10">
        <v>637527839</v>
      </c>
      <c r="E206" s="9" t="s">
        <v>93</v>
      </c>
      <c r="F206" s="9" t="s">
        <v>110</v>
      </c>
      <c r="G206" s="9" t="s">
        <v>118</v>
      </c>
    </row>
    <row r="207" spans="1:7">
      <c r="A207" s="1">
        <v>43432.531273148023</v>
      </c>
      <c r="B207" s="13">
        <f t="shared" si="6"/>
        <v>43432.531273148023</v>
      </c>
      <c r="C207" s="9">
        <v>1</v>
      </c>
      <c r="D207" s="10">
        <v>674603788</v>
      </c>
      <c r="E207" s="9" t="s">
        <v>92</v>
      </c>
      <c r="F207" s="9" t="s">
        <v>110</v>
      </c>
      <c r="G207" s="9"/>
    </row>
    <row r="208" spans="1:7">
      <c r="A208" s="1">
        <v>43432.543865740765</v>
      </c>
      <c r="B208" s="13">
        <f t="shared" si="6"/>
        <v>43432.543865740765</v>
      </c>
      <c r="C208" s="9">
        <v>1</v>
      </c>
      <c r="D208" s="10">
        <v>605639756</v>
      </c>
      <c r="E208" s="9" t="s">
        <v>89</v>
      </c>
      <c r="F208" s="9" t="s">
        <v>110</v>
      </c>
      <c r="G208" s="9" t="s">
        <v>125</v>
      </c>
    </row>
    <row r="209" spans="1:7">
      <c r="A209" s="1">
        <v>43432.552754629403</v>
      </c>
      <c r="B209" s="13">
        <f t="shared" si="6"/>
        <v>43432.552754629403</v>
      </c>
      <c r="C209" s="9">
        <v>2</v>
      </c>
      <c r="D209" s="10">
        <v>651491450</v>
      </c>
      <c r="E209" s="9" t="s">
        <v>91</v>
      </c>
      <c r="F209" s="9" t="s">
        <v>110</v>
      </c>
      <c r="G209" s="9"/>
    </row>
    <row r="210" spans="1:7">
      <c r="A210" s="1">
        <v>43433.396331018303</v>
      </c>
      <c r="B210" s="13">
        <f t="shared" si="6"/>
        <v>43433.396331018303</v>
      </c>
      <c r="C210" s="9">
        <v>2</v>
      </c>
      <c r="D210" s="10">
        <v>606820640</v>
      </c>
      <c r="E210" s="9" t="s">
        <v>89</v>
      </c>
      <c r="F210" s="9" t="s">
        <v>110</v>
      </c>
      <c r="G210" s="9" t="s">
        <v>125</v>
      </c>
    </row>
    <row r="211" spans="1:7">
      <c r="A211" s="1">
        <v>43433.429074074142</v>
      </c>
      <c r="B211" s="13">
        <f t="shared" si="6"/>
        <v>43433.429074074142</v>
      </c>
      <c r="C211" s="9">
        <v>2</v>
      </c>
      <c r="D211" s="10">
        <v>923243050</v>
      </c>
      <c r="E211" s="9" t="s">
        <v>214</v>
      </c>
      <c r="F211" s="9" t="s">
        <v>110</v>
      </c>
      <c r="G211" s="9" t="s">
        <v>121</v>
      </c>
    </row>
    <row r="212" spans="1:7">
      <c r="A212" s="1">
        <v>43433.512141203508</v>
      </c>
      <c r="B212" s="13">
        <f t="shared" si="6"/>
        <v>43433.512141203508</v>
      </c>
      <c r="C212" s="9">
        <v>1</v>
      </c>
      <c r="D212" s="10">
        <v>924447587</v>
      </c>
      <c r="E212" s="9" t="s">
        <v>99</v>
      </c>
      <c r="F212" s="9" t="s">
        <v>110</v>
      </c>
      <c r="G212" s="9" t="s">
        <v>123</v>
      </c>
    </row>
    <row r="213" spans="1:7">
      <c r="A213" s="1">
        <v>43433.558761573862</v>
      </c>
      <c r="B213" s="13">
        <f t="shared" si="6"/>
        <v>43433.558761573862</v>
      </c>
      <c r="C213" s="9">
        <v>1</v>
      </c>
      <c r="D213" s="10">
        <v>672202397</v>
      </c>
      <c r="E213" s="9" t="s">
        <v>229</v>
      </c>
      <c r="F213" s="9" t="s">
        <v>110</v>
      </c>
      <c r="G213" s="9" t="s">
        <v>118</v>
      </c>
    </row>
    <row r="214" spans="1:7">
      <c r="A214" s="1">
        <v>43433.559143518563</v>
      </c>
      <c r="B214" s="13">
        <f t="shared" si="6"/>
        <v>43433.559143518563</v>
      </c>
      <c r="C214" s="9">
        <v>2</v>
      </c>
      <c r="D214" s="10">
        <v>646476922</v>
      </c>
      <c r="E214" s="9" t="s">
        <v>245</v>
      </c>
      <c r="F214" s="9" t="s">
        <v>110</v>
      </c>
      <c r="G214" s="9"/>
    </row>
    <row r="215" spans="1:7">
      <c r="A215" s="1">
        <v>43433.613483796362</v>
      </c>
      <c r="B215" s="13">
        <f t="shared" si="6"/>
        <v>43433.613483796362</v>
      </c>
      <c r="C215" s="9">
        <v>1</v>
      </c>
      <c r="D215" s="10">
        <v>924776003</v>
      </c>
      <c r="E215" s="9" t="s">
        <v>245</v>
      </c>
      <c r="F215" s="9" t="s">
        <v>110</v>
      </c>
      <c r="G215" s="9" t="s">
        <v>118</v>
      </c>
    </row>
    <row r="216" spans="1:7">
      <c r="A216" s="1">
        <v>43434.458425926045</v>
      </c>
      <c r="B216" s="13">
        <f t="shared" si="6"/>
        <v>43434.458425926045</v>
      </c>
      <c r="C216" s="9">
        <v>1</v>
      </c>
      <c r="D216" s="10">
        <v>697455640</v>
      </c>
      <c r="E216" s="9" t="s">
        <v>246</v>
      </c>
      <c r="F216" s="9" t="s">
        <v>110</v>
      </c>
      <c r="G216" s="9" t="s">
        <v>118</v>
      </c>
    </row>
    <row r="217" spans="1:7">
      <c r="A217" s="1">
        <v>43434.503611111082</v>
      </c>
      <c r="B217" s="13">
        <f t="shared" si="6"/>
        <v>43434.503611111082</v>
      </c>
      <c r="C217" s="9">
        <v>1</v>
      </c>
      <c r="D217" s="10">
        <v>722544968</v>
      </c>
      <c r="E217" s="9" t="s">
        <v>98</v>
      </c>
      <c r="F217" s="9" t="s">
        <v>110</v>
      </c>
      <c r="G217" s="9"/>
    </row>
    <row r="218" spans="1:7">
      <c r="A218" s="1">
        <v>43434.547812500037</v>
      </c>
      <c r="B218" s="13">
        <f t="shared" ref="B218:B222" si="7">A218</f>
        <v>43434.547812500037</v>
      </c>
      <c r="C218" s="9">
        <v>1</v>
      </c>
      <c r="D218" s="10">
        <v>652799130</v>
      </c>
      <c r="E218" s="9" t="s">
        <v>245</v>
      </c>
      <c r="F218" s="9" t="s">
        <v>110</v>
      </c>
      <c r="G218" s="9" t="s">
        <v>113</v>
      </c>
    </row>
    <row r="219" spans="1:7">
      <c r="A219" s="1">
        <v>43434.552997685038</v>
      </c>
      <c r="B219" s="13">
        <f t="shared" si="7"/>
        <v>43434.552997685038</v>
      </c>
      <c r="C219" s="9">
        <v>1</v>
      </c>
      <c r="D219" s="10">
        <v>652799130</v>
      </c>
      <c r="E219" s="9" t="s">
        <v>216</v>
      </c>
      <c r="F219" s="9" t="s">
        <v>110</v>
      </c>
      <c r="G219" s="9"/>
    </row>
    <row r="220" spans="1:7">
      <c r="A220" s="1">
        <v>43434.558252315037</v>
      </c>
      <c r="B220" s="13">
        <f t="shared" si="7"/>
        <v>43434.558252315037</v>
      </c>
      <c r="C220" s="9">
        <v>1</v>
      </c>
      <c r="D220" s="10">
        <v>664349275</v>
      </c>
      <c r="E220" s="26" t="s">
        <v>248</v>
      </c>
      <c r="F220" s="9" t="s">
        <v>110</v>
      </c>
      <c r="G220" s="9" t="s">
        <v>118</v>
      </c>
    </row>
    <row r="221" spans="1:7">
      <c r="A221" s="1">
        <v>43434.575092592742</v>
      </c>
      <c r="B221" s="13">
        <f t="shared" si="7"/>
        <v>43434.575092592742</v>
      </c>
      <c r="C221" s="9">
        <v>1</v>
      </c>
      <c r="D221" s="10">
        <v>675411940</v>
      </c>
      <c r="E221" s="9" t="s">
        <v>247</v>
      </c>
      <c r="F221" s="9" t="s">
        <v>110</v>
      </c>
      <c r="G221" s="9" t="s">
        <v>116</v>
      </c>
    </row>
    <row r="222" spans="1:7">
      <c r="A222" s="25">
        <v>43434.60662037041</v>
      </c>
      <c r="B222" s="13">
        <f t="shared" si="7"/>
        <v>43434.60662037041</v>
      </c>
      <c r="C222" s="26">
        <v>1</v>
      </c>
      <c r="D222" s="27">
        <v>923417300</v>
      </c>
      <c r="E222" s="9" t="s">
        <v>230</v>
      </c>
      <c r="F222" s="26" t="s">
        <v>110</v>
      </c>
      <c r="G222" s="26" t="s">
        <v>114</v>
      </c>
    </row>
    <row r="223" spans="1:7">
      <c r="A223" s="28"/>
      <c r="B223" s="13"/>
      <c r="D223" s="29"/>
    </row>
    <row r="224" spans="1:7">
      <c r="A224" s="28"/>
      <c r="B224" s="13"/>
      <c r="D224" s="29"/>
    </row>
    <row r="225" spans="1:4">
      <c r="A225" s="28"/>
      <c r="B225" s="13"/>
      <c r="D225" s="29"/>
    </row>
    <row r="226" spans="1:4">
      <c r="A226" s="28"/>
      <c r="B226" s="13"/>
      <c r="D226" s="29"/>
    </row>
    <row r="227" spans="1:4">
      <c r="A227" s="28"/>
      <c r="B227" s="13"/>
      <c r="D227" s="29"/>
    </row>
    <row r="228" spans="1:4">
      <c r="A228" s="28"/>
      <c r="B228" s="13"/>
      <c r="D228" s="29"/>
    </row>
    <row r="229" spans="1:4">
      <c r="A229" s="28"/>
      <c r="B229" s="13"/>
      <c r="D229" s="29"/>
    </row>
    <row r="230" spans="1:4">
      <c r="A230" s="28"/>
      <c r="B230" s="13"/>
      <c r="D230" s="29"/>
    </row>
    <row r="231" spans="1:4">
      <c r="A231" s="28"/>
      <c r="B231" s="13"/>
      <c r="D231" s="29"/>
    </row>
    <row r="232" spans="1:4">
      <c r="A232" s="28"/>
      <c r="B232" s="13"/>
      <c r="D232" s="29"/>
    </row>
    <row r="233" spans="1:4">
      <c r="A233" s="28"/>
      <c r="B233" s="13"/>
      <c r="D233" s="29"/>
    </row>
    <row r="234" spans="1:4">
      <c r="A234" s="28"/>
      <c r="B234" s="13"/>
      <c r="D234" s="29"/>
    </row>
    <row r="235" spans="1:4">
      <c r="A235" s="28"/>
      <c r="B235" s="13"/>
      <c r="D235" s="29"/>
    </row>
    <row r="236" spans="1:4">
      <c r="A236" s="28"/>
      <c r="B236" s="13"/>
      <c r="D236" s="29"/>
    </row>
    <row r="237" spans="1:4">
      <c r="A237" s="28"/>
      <c r="B237" s="13"/>
      <c r="D237" s="29"/>
    </row>
    <row r="238" spans="1:4">
      <c r="A238" s="28"/>
      <c r="B238" s="13"/>
      <c r="D238" s="29"/>
    </row>
    <row r="239" spans="1:4">
      <c r="A239" s="28"/>
      <c r="B239" s="13"/>
      <c r="D239" s="29"/>
    </row>
    <row r="240" spans="1:4">
      <c r="A240" s="28"/>
      <c r="B240" s="13"/>
      <c r="D240" s="29"/>
    </row>
    <row r="241" spans="1:4">
      <c r="A241" s="28"/>
      <c r="B241" s="13"/>
      <c r="D241" s="29"/>
    </row>
    <row r="242" spans="1:4">
      <c r="A242" s="28"/>
      <c r="B242" s="13"/>
      <c r="D242" s="29"/>
    </row>
    <row r="243" spans="1:4">
      <c r="A243" s="28"/>
      <c r="B243" s="13"/>
      <c r="D243" s="29"/>
    </row>
    <row r="244" spans="1:4">
      <c r="A244" s="28"/>
      <c r="B244" s="13"/>
      <c r="D244" s="29"/>
    </row>
    <row r="245" spans="1:4">
      <c r="A245" s="28"/>
      <c r="B245" s="13"/>
      <c r="D245" s="29"/>
    </row>
    <row r="246" spans="1:4">
      <c r="A246" s="28"/>
      <c r="B246" s="13"/>
      <c r="D246" s="29"/>
    </row>
    <row r="247" spans="1:4">
      <c r="A247" s="28"/>
      <c r="B247" s="13"/>
      <c r="D247" s="29"/>
    </row>
    <row r="248" spans="1:4">
      <c r="A248" s="28"/>
      <c r="B248" s="13"/>
      <c r="D248" s="29"/>
    </row>
    <row r="249" spans="1:4">
      <c r="A249" s="28"/>
      <c r="B249" s="13"/>
      <c r="D249" s="29"/>
    </row>
    <row r="250" spans="1:4">
      <c r="A250" s="28"/>
      <c r="B250" s="13"/>
      <c r="D250" s="29"/>
    </row>
    <row r="251" spans="1:4">
      <c r="A251" s="28"/>
      <c r="B251" s="13"/>
      <c r="D251" s="29"/>
    </row>
    <row r="252" spans="1:4">
      <c r="A252" s="28"/>
      <c r="B252" s="13"/>
      <c r="D252" s="29"/>
    </row>
    <row r="253" spans="1:4">
      <c r="A253" s="28"/>
      <c r="B253" s="13"/>
      <c r="D253" s="29"/>
    </row>
    <row r="254" spans="1:4">
      <c r="A254" s="28"/>
      <c r="B254" s="13"/>
      <c r="D254" s="29"/>
    </row>
    <row r="255" spans="1:4">
      <c r="A255" s="28"/>
      <c r="B255" s="13"/>
      <c r="D255" s="29"/>
    </row>
    <row r="256" spans="1:4">
      <c r="A256" s="28"/>
      <c r="B256" s="13"/>
      <c r="D256" s="29"/>
    </row>
    <row r="257" spans="1:4">
      <c r="A257" s="28"/>
      <c r="B257" s="13"/>
      <c r="D257" s="29"/>
    </row>
    <row r="258" spans="1:4">
      <c r="A258" s="28"/>
      <c r="B258" s="13"/>
      <c r="D258" s="29"/>
    </row>
    <row r="259" spans="1:4">
      <c r="A259" s="28"/>
      <c r="B259" s="13"/>
      <c r="D259" s="29"/>
    </row>
    <row r="260" spans="1:4">
      <c r="A260" s="28"/>
      <c r="B260" s="13"/>
      <c r="D260" s="29"/>
    </row>
    <row r="261" spans="1:4">
      <c r="A261" s="28"/>
      <c r="B261" s="13"/>
      <c r="D261" s="29"/>
    </row>
    <row r="262" spans="1:4">
      <c r="A262" s="28"/>
      <c r="B262" s="13"/>
      <c r="D262" s="29"/>
    </row>
    <row r="263" spans="1:4">
      <c r="A263" s="28"/>
      <c r="B263" s="13"/>
      <c r="D263" s="29"/>
    </row>
    <row r="264" spans="1:4">
      <c r="A264" s="28"/>
      <c r="B264" s="13"/>
      <c r="D264" s="29"/>
    </row>
    <row r="265" spans="1:4">
      <c r="A265" s="28"/>
      <c r="B265" s="13"/>
      <c r="D265" s="29"/>
    </row>
    <row r="266" spans="1:4">
      <c r="A266" s="28"/>
      <c r="B266" s="13"/>
      <c r="D266" s="29"/>
    </row>
    <row r="267" spans="1:4">
      <c r="A267" s="28"/>
      <c r="B267" s="13"/>
      <c r="D267" s="29"/>
    </row>
    <row r="268" spans="1:4">
      <c r="A268" s="28"/>
      <c r="B268" s="13"/>
      <c r="D268" s="29"/>
    </row>
    <row r="269" spans="1:4">
      <c r="A269" s="28"/>
      <c r="B269" s="13"/>
      <c r="D269" s="29"/>
    </row>
    <row r="270" spans="1:4">
      <c r="A270" s="28"/>
      <c r="B270" s="13"/>
      <c r="D270" s="29"/>
    </row>
    <row r="271" spans="1:4">
      <c r="A271" s="28"/>
      <c r="B271" s="13"/>
      <c r="D271" s="29"/>
    </row>
    <row r="272" spans="1:4">
      <c r="A272" s="28"/>
      <c r="B272" s="13"/>
      <c r="D272" s="29"/>
    </row>
    <row r="273" spans="1:4">
      <c r="A273" s="28"/>
      <c r="B273" s="13"/>
      <c r="D273" s="29"/>
    </row>
    <row r="274" spans="1:4">
      <c r="A274" s="28"/>
      <c r="B274" s="13"/>
      <c r="D274" s="29"/>
    </row>
    <row r="275" spans="1:4">
      <c r="A275" s="28"/>
      <c r="B275" s="13"/>
      <c r="D275" s="29"/>
    </row>
    <row r="276" spans="1:4">
      <c r="A276" s="28"/>
      <c r="B276" s="13"/>
      <c r="D276" s="29"/>
    </row>
    <row r="277" spans="1:4">
      <c r="A277" s="28"/>
      <c r="B277" s="13"/>
      <c r="D277" s="29"/>
    </row>
    <row r="278" spans="1:4">
      <c r="A278" s="28"/>
      <c r="B278" s="13"/>
      <c r="D278" s="29"/>
    </row>
    <row r="279" spans="1:4">
      <c r="A279" s="28"/>
      <c r="B279" s="13"/>
      <c r="D279" s="29"/>
    </row>
    <row r="280" spans="1:4">
      <c r="A280" s="28"/>
      <c r="B280" s="13"/>
      <c r="D280" s="29"/>
    </row>
    <row r="281" spans="1:4">
      <c r="A281" s="28"/>
      <c r="B281" s="13"/>
      <c r="D281" s="29"/>
    </row>
    <row r="282" spans="1:4">
      <c r="A282" s="28"/>
      <c r="B282" s="13"/>
      <c r="D282" s="29"/>
    </row>
    <row r="283" spans="1:4">
      <c r="A283" s="28"/>
      <c r="B283" s="13"/>
      <c r="D283" s="29"/>
    </row>
    <row r="284" spans="1:4">
      <c r="A284" s="28"/>
      <c r="B284" s="13"/>
      <c r="D284" s="29"/>
    </row>
    <row r="285" spans="1:4">
      <c r="A285" s="28"/>
      <c r="B285" s="13"/>
      <c r="D285" s="29"/>
    </row>
    <row r="286" spans="1:4">
      <c r="A286" s="28"/>
      <c r="B286" s="13"/>
      <c r="D286" s="29"/>
    </row>
    <row r="287" spans="1:4">
      <c r="A287" s="28"/>
      <c r="B287" s="13"/>
      <c r="D287" s="29"/>
    </row>
    <row r="288" spans="1:4">
      <c r="A288" s="28"/>
      <c r="B288" s="13"/>
      <c r="D288" s="29"/>
    </row>
    <row r="289" spans="1:4">
      <c r="A289" s="28"/>
      <c r="B289" s="13"/>
      <c r="D289" s="29"/>
    </row>
    <row r="290" spans="1:4">
      <c r="A290" s="28"/>
      <c r="B290" s="13"/>
      <c r="D290" s="29"/>
    </row>
    <row r="291" spans="1:4">
      <c r="A291" s="28"/>
      <c r="B291" s="13"/>
      <c r="D291" s="29"/>
    </row>
    <row r="292" spans="1:4">
      <c r="A292" s="28"/>
      <c r="B292" s="13"/>
      <c r="D292" s="29"/>
    </row>
    <row r="293" spans="1:4">
      <c r="A293" s="28"/>
      <c r="B293" s="13"/>
      <c r="D293" s="29"/>
    </row>
    <row r="294" spans="1:4">
      <c r="A294" s="28"/>
      <c r="B294" s="13"/>
      <c r="D294" s="29"/>
    </row>
    <row r="295" spans="1:4">
      <c r="A295" s="28"/>
      <c r="B295" s="13"/>
      <c r="D295" s="29"/>
    </row>
    <row r="296" spans="1:4">
      <c r="A296" s="28"/>
      <c r="B296" s="13"/>
      <c r="D296" s="29"/>
    </row>
    <row r="297" spans="1:4">
      <c r="A297" s="28"/>
      <c r="B297" s="13"/>
      <c r="D297" s="29"/>
    </row>
    <row r="298" spans="1:4">
      <c r="A298" s="28"/>
      <c r="B298" s="13"/>
      <c r="D298" s="29"/>
    </row>
    <row r="299" spans="1:4">
      <c r="A299" s="28"/>
      <c r="B299" s="13"/>
      <c r="D299" s="29"/>
    </row>
    <row r="300" spans="1:4">
      <c r="A300" s="28"/>
      <c r="B300" s="13"/>
      <c r="D300" s="29"/>
    </row>
    <row r="301" spans="1:4">
      <c r="A301" s="28"/>
      <c r="B301" s="13"/>
      <c r="D301" s="29"/>
    </row>
    <row r="302" spans="1:4">
      <c r="A302" s="28"/>
      <c r="B302" s="13"/>
      <c r="D302" s="29"/>
    </row>
    <row r="303" spans="1:4">
      <c r="A303" s="28"/>
      <c r="B303" s="13"/>
      <c r="D303" s="29"/>
    </row>
    <row r="304" spans="1:4">
      <c r="A304" s="28"/>
      <c r="B304" s="13"/>
      <c r="D304" s="29"/>
    </row>
    <row r="305" spans="1:4">
      <c r="A305" s="28"/>
      <c r="B305" s="13"/>
      <c r="D305" s="29"/>
    </row>
    <row r="306" spans="1:4">
      <c r="A306" s="28"/>
      <c r="B306" s="13"/>
      <c r="D306" s="29"/>
    </row>
    <row r="307" spans="1:4">
      <c r="A307" s="28"/>
      <c r="B307" s="13"/>
      <c r="D307" s="29"/>
    </row>
    <row r="308" spans="1:4">
      <c r="A308" s="28"/>
      <c r="B308" s="13"/>
      <c r="D308" s="29"/>
    </row>
    <row r="309" spans="1:4">
      <c r="A309" s="28"/>
      <c r="B309" s="13"/>
      <c r="D309" s="29"/>
    </row>
    <row r="310" spans="1:4">
      <c r="A310" s="28"/>
      <c r="B310" s="13"/>
      <c r="D310" s="29"/>
    </row>
    <row r="311" spans="1:4">
      <c r="A311" s="28"/>
      <c r="B311" s="13"/>
      <c r="D311" s="29"/>
    </row>
    <row r="312" spans="1:4">
      <c r="A312" s="28"/>
      <c r="B312" s="13"/>
      <c r="D312" s="29"/>
    </row>
    <row r="313" spans="1:4">
      <c r="A313" s="28"/>
      <c r="B313" s="13"/>
      <c r="D313" s="29"/>
    </row>
    <row r="314" spans="1:4">
      <c r="A314" s="28"/>
      <c r="B314" s="13"/>
      <c r="D314" s="29"/>
    </row>
    <row r="315" spans="1:4">
      <c r="A315" s="28"/>
      <c r="B315" s="13"/>
      <c r="D315" s="29"/>
    </row>
    <row r="316" spans="1:4">
      <c r="A316" s="28"/>
      <c r="B316" s="13"/>
      <c r="D316" s="29"/>
    </row>
    <row r="317" spans="1:4">
      <c r="A317" s="28"/>
      <c r="B317" s="13"/>
      <c r="D317" s="29"/>
    </row>
    <row r="318" spans="1:4">
      <c r="A318" s="28"/>
      <c r="B318" s="13"/>
      <c r="D318" s="29"/>
    </row>
    <row r="319" spans="1:4">
      <c r="A319" s="28"/>
      <c r="B319" s="13"/>
      <c r="D319" s="29"/>
    </row>
    <row r="320" spans="1:4">
      <c r="A320" s="28"/>
      <c r="B320" s="13"/>
      <c r="D320" s="29"/>
    </row>
    <row r="321" spans="1:4">
      <c r="A321" s="28"/>
      <c r="B321" s="13"/>
      <c r="D321" s="29"/>
    </row>
    <row r="322" spans="1:4">
      <c r="A322" s="28"/>
      <c r="B322" s="13"/>
      <c r="D322" s="29"/>
    </row>
    <row r="323" spans="1:4">
      <c r="A323" s="28"/>
      <c r="B323" s="13"/>
      <c r="D323" s="29"/>
    </row>
    <row r="324" spans="1:4">
      <c r="A324" s="28"/>
      <c r="B324" s="13"/>
      <c r="D324" s="29"/>
    </row>
    <row r="325" spans="1:4">
      <c r="A325" s="28"/>
      <c r="B325" s="13"/>
      <c r="D325" s="29"/>
    </row>
    <row r="326" spans="1:4">
      <c r="A326" s="28"/>
      <c r="B326" s="13"/>
      <c r="D326" s="29"/>
    </row>
    <row r="327" spans="1:4">
      <c r="A327" s="28"/>
      <c r="B327" s="13"/>
      <c r="D327" s="29"/>
    </row>
    <row r="328" spans="1:4">
      <c r="A328" s="28"/>
      <c r="B328" s="13"/>
      <c r="D328" s="29"/>
    </row>
    <row r="329" spans="1:4">
      <c r="A329" s="28"/>
      <c r="B329" s="13"/>
      <c r="D329" s="29"/>
    </row>
    <row r="330" spans="1:4">
      <c r="A330" s="28"/>
      <c r="B330" s="13"/>
      <c r="D330" s="29"/>
    </row>
    <row r="331" spans="1:4">
      <c r="A331" s="28"/>
      <c r="B331" s="13"/>
      <c r="D331" s="29"/>
    </row>
    <row r="332" spans="1:4">
      <c r="A332" s="28"/>
      <c r="B332" s="13"/>
      <c r="D332" s="29"/>
    </row>
    <row r="333" spans="1:4">
      <c r="A333" s="28"/>
      <c r="B333" s="13"/>
      <c r="D333" s="29"/>
    </row>
    <row r="334" spans="1:4">
      <c r="A334" s="28"/>
      <c r="B334" s="13"/>
      <c r="D334" s="29"/>
    </row>
    <row r="335" spans="1:4">
      <c r="A335" s="28"/>
      <c r="B335" s="13"/>
      <c r="D335" s="29"/>
    </row>
    <row r="336" spans="1:4">
      <c r="A336" s="28"/>
      <c r="B336" s="13"/>
      <c r="D336" s="29"/>
    </row>
    <row r="337" spans="1:4">
      <c r="A337" s="28"/>
      <c r="B337" s="13"/>
      <c r="D337" s="29"/>
    </row>
    <row r="338" spans="1:4">
      <c r="A338" s="28"/>
      <c r="B338" s="13"/>
      <c r="D338" s="29"/>
    </row>
    <row r="339" spans="1:4">
      <c r="A339" s="28"/>
      <c r="B339" s="13"/>
      <c r="D339" s="29"/>
    </row>
    <row r="340" spans="1:4">
      <c r="A340" s="28"/>
      <c r="B340" s="13"/>
      <c r="D340" s="29"/>
    </row>
    <row r="341" spans="1:4">
      <c r="A341" s="28"/>
      <c r="B341" s="13"/>
      <c r="D341" s="29"/>
    </row>
    <row r="342" spans="1:4">
      <c r="A342" s="28"/>
      <c r="B342" s="13"/>
      <c r="D342" s="29"/>
    </row>
    <row r="343" spans="1:4">
      <c r="A343" s="28"/>
      <c r="B343" s="13"/>
      <c r="D343" s="29"/>
    </row>
    <row r="344" spans="1:4">
      <c r="A344" s="28"/>
      <c r="B344" s="13"/>
      <c r="D344" s="29"/>
    </row>
    <row r="345" spans="1:4">
      <c r="A345" s="28"/>
      <c r="B345" s="13"/>
      <c r="D345" s="29"/>
    </row>
    <row r="346" spans="1:4">
      <c r="A346" s="28"/>
      <c r="B346" s="13"/>
      <c r="D346" s="29"/>
    </row>
    <row r="347" spans="1:4">
      <c r="A347" s="28"/>
      <c r="B347" s="13"/>
      <c r="D347" s="29"/>
    </row>
    <row r="348" spans="1:4">
      <c r="A348" s="28"/>
      <c r="B348" s="13"/>
      <c r="D348" s="29"/>
    </row>
    <row r="349" spans="1:4">
      <c r="A349" s="28"/>
      <c r="B349" s="13"/>
      <c r="D349" s="29"/>
    </row>
    <row r="350" spans="1:4">
      <c r="A350" s="28"/>
      <c r="B350" s="13"/>
      <c r="D350" s="29"/>
    </row>
    <row r="351" spans="1:4">
      <c r="A351" s="28"/>
      <c r="B351" s="13"/>
      <c r="D351" s="29"/>
    </row>
    <row r="352" spans="1:4">
      <c r="A352" s="28"/>
      <c r="B352" s="13"/>
      <c r="D352" s="29"/>
    </row>
    <row r="353" spans="1:4">
      <c r="A353" s="28"/>
      <c r="B353" s="13"/>
      <c r="D353" s="29"/>
    </row>
    <row r="354" spans="1:4">
      <c r="A354" s="28"/>
      <c r="B354" s="13"/>
      <c r="D354" s="29"/>
    </row>
    <row r="355" spans="1:4">
      <c r="A355" s="28"/>
      <c r="B355" s="13"/>
      <c r="D355" s="29"/>
    </row>
    <row r="356" spans="1:4">
      <c r="A356" s="28"/>
      <c r="B356" s="13"/>
      <c r="D356" s="29"/>
    </row>
    <row r="357" spans="1:4">
      <c r="A357" s="28"/>
      <c r="B357" s="13"/>
      <c r="D357" s="29"/>
    </row>
    <row r="358" spans="1:4">
      <c r="A358" s="28"/>
      <c r="B358" s="13"/>
      <c r="D358" s="29"/>
    </row>
    <row r="359" spans="1:4">
      <c r="A359" s="28"/>
      <c r="B359" s="13"/>
      <c r="D359" s="29"/>
    </row>
    <row r="360" spans="1:4">
      <c r="A360" s="28"/>
      <c r="B360" s="13"/>
      <c r="D360" s="29"/>
    </row>
    <row r="361" spans="1:4">
      <c r="A361" s="28"/>
      <c r="B361" s="13"/>
      <c r="D361" s="29"/>
    </row>
    <row r="362" spans="1:4">
      <c r="A362" s="28"/>
      <c r="B362" s="13"/>
      <c r="D362" s="29"/>
    </row>
    <row r="363" spans="1:4">
      <c r="A363" s="28"/>
      <c r="B363" s="13"/>
      <c r="D363" s="29"/>
    </row>
    <row r="364" spans="1:4">
      <c r="A364" s="28"/>
      <c r="B364" s="13"/>
      <c r="D364" s="29"/>
    </row>
    <row r="365" spans="1:4">
      <c r="A365" s="28"/>
      <c r="B365" s="13"/>
      <c r="D365" s="29"/>
    </row>
    <row r="366" spans="1:4">
      <c r="A366" s="28"/>
      <c r="B366" s="13"/>
      <c r="D366" s="29"/>
    </row>
    <row r="367" spans="1:4">
      <c r="A367" s="28"/>
      <c r="B367" s="13"/>
      <c r="D367" s="29"/>
    </row>
    <row r="368" spans="1:4">
      <c r="A368" s="28"/>
      <c r="B368" s="13"/>
      <c r="D368" s="29"/>
    </row>
    <row r="369" spans="1:4">
      <c r="A369" s="28"/>
      <c r="B369" s="13"/>
      <c r="D369" s="29"/>
    </row>
    <row r="370" spans="1:4">
      <c r="A370" s="28"/>
      <c r="B370" s="13"/>
      <c r="D370" s="29"/>
    </row>
    <row r="371" spans="1:4">
      <c r="A371" s="28"/>
      <c r="B371" s="13"/>
      <c r="D371" s="29"/>
    </row>
    <row r="372" spans="1:4">
      <c r="A372" s="28"/>
      <c r="B372" s="13"/>
      <c r="D372" s="29"/>
    </row>
    <row r="373" spans="1:4">
      <c r="A373" s="28"/>
      <c r="B373" s="13"/>
      <c r="D373" s="29"/>
    </row>
    <row r="374" spans="1:4">
      <c r="A374" s="28"/>
      <c r="B374" s="13"/>
      <c r="D374" s="29"/>
    </row>
    <row r="375" spans="1:4">
      <c r="A375" s="28"/>
      <c r="B375" s="13"/>
      <c r="D375" s="29"/>
    </row>
    <row r="376" spans="1:4">
      <c r="A376" s="28"/>
      <c r="B376" s="13"/>
      <c r="D376" s="29"/>
    </row>
    <row r="377" spans="1:4">
      <c r="A377" s="28"/>
      <c r="B377" s="13"/>
      <c r="D377" s="29"/>
    </row>
    <row r="378" spans="1:4">
      <c r="A378" s="28"/>
      <c r="B378" s="13"/>
      <c r="D378" s="29"/>
    </row>
    <row r="379" spans="1:4">
      <c r="A379" s="28"/>
      <c r="B379" s="13"/>
      <c r="D379" s="29"/>
    </row>
    <row r="380" spans="1:4">
      <c r="A380" s="28"/>
      <c r="B380" s="13"/>
      <c r="D380" s="29"/>
    </row>
    <row r="381" spans="1:4">
      <c r="A381" s="28"/>
      <c r="B381" s="13"/>
      <c r="D381" s="29"/>
    </row>
    <row r="382" spans="1:4">
      <c r="A382" s="28"/>
      <c r="B382" s="13"/>
      <c r="D382" s="29"/>
    </row>
    <row r="383" spans="1:4">
      <c r="A383" s="28"/>
      <c r="B383" s="13"/>
      <c r="D383" s="29"/>
    </row>
    <row r="384" spans="1:4">
      <c r="A384" s="28"/>
      <c r="B384" s="13"/>
      <c r="D384" s="29"/>
    </row>
    <row r="385" spans="1:4">
      <c r="A385" s="28"/>
      <c r="B385" s="13"/>
      <c r="D385" s="29"/>
    </row>
    <row r="386" spans="1:4">
      <c r="A386" s="28"/>
      <c r="B386" s="13"/>
      <c r="D386" s="29"/>
    </row>
    <row r="387" spans="1:4">
      <c r="A387" s="28"/>
      <c r="B387" s="13"/>
      <c r="D387" s="29"/>
    </row>
    <row r="388" spans="1:4">
      <c r="A388" s="28"/>
      <c r="B388" s="13"/>
      <c r="D388" s="29"/>
    </row>
    <row r="389" spans="1:4">
      <c r="A389" s="28"/>
      <c r="B389" s="13"/>
      <c r="D389" s="29"/>
    </row>
    <row r="390" spans="1:4">
      <c r="A390" s="28"/>
      <c r="B390" s="13"/>
      <c r="D390" s="29"/>
    </row>
    <row r="391" spans="1:4">
      <c r="A391" s="28"/>
      <c r="B391" s="13"/>
      <c r="D391" s="29"/>
    </row>
    <row r="392" spans="1:4">
      <c r="A392" s="28"/>
      <c r="B392" s="13"/>
      <c r="D392" s="29"/>
    </row>
    <row r="393" spans="1:4">
      <c r="A393" s="28"/>
      <c r="B393" s="13"/>
      <c r="D393" s="29"/>
    </row>
    <row r="394" spans="1:4">
      <c r="A394" s="28"/>
      <c r="B394" s="13"/>
      <c r="D394" s="29"/>
    </row>
    <row r="395" spans="1:4">
      <c r="A395" s="28"/>
      <c r="B395" s="13"/>
      <c r="D395" s="29"/>
    </row>
    <row r="396" spans="1:4">
      <c r="A396" s="28"/>
      <c r="B396" s="13"/>
      <c r="D396" s="29"/>
    </row>
    <row r="397" spans="1:4">
      <c r="A397" s="28"/>
      <c r="B397" s="13"/>
      <c r="D397" s="29"/>
    </row>
    <row r="398" spans="1:4">
      <c r="A398" s="28"/>
      <c r="B398" s="13"/>
      <c r="D398" s="29"/>
    </row>
    <row r="399" spans="1:4">
      <c r="A399" s="28"/>
      <c r="B399" s="13"/>
      <c r="D399" s="29"/>
    </row>
    <row r="400" spans="1:4">
      <c r="A400" s="28"/>
      <c r="B400" s="13"/>
      <c r="D400" s="29"/>
    </row>
    <row r="401" spans="1:4">
      <c r="A401" s="28"/>
      <c r="B401" s="13"/>
      <c r="D401" s="29"/>
    </row>
    <row r="402" spans="1:4">
      <c r="A402" s="28"/>
      <c r="B402" s="13"/>
      <c r="D402" s="29"/>
    </row>
    <row r="403" spans="1:4">
      <c r="A403" s="28"/>
      <c r="B403" s="13"/>
      <c r="D403" s="29"/>
    </row>
    <row r="404" spans="1:4">
      <c r="A404" s="28"/>
      <c r="B404" s="13"/>
      <c r="D404" s="29"/>
    </row>
    <row r="405" spans="1:4">
      <c r="A405" s="28"/>
      <c r="B405" s="13"/>
      <c r="D405" s="29"/>
    </row>
    <row r="406" spans="1:4">
      <c r="A406" s="28"/>
      <c r="B406" s="13"/>
      <c r="D406" s="29"/>
    </row>
    <row r="407" spans="1:4">
      <c r="A407" s="28"/>
      <c r="B407" s="13"/>
      <c r="D407" s="29"/>
    </row>
    <row r="408" spans="1:4">
      <c r="A408" s="28"/>
      <c r="B408" s="13"/>
      <c r="D408" s="29"/>
    </row>
    <row r="409" spans="1:4">
      <c r="A409" s="28"/>
      <c r="B409" s="13"/>
      <c r="D409" s="29"/>
    </row>
    <row r="410" spans="1:4">
      <c r="A410" s="28"/>
      <c r="B410" s="13"/>
      <c r="D410" s="29"/>
    </row>
    <row r="411" spans="1:4">
      <c r="A411" s="28"/>
      <c r="B411" s="13"/>
      <c r="D411" s="29"/>
    </row>
    <row r="412" spans="1:4">
      <c r="A412" s="28"/>
      <c r="B412" s="13"/>
      <c r="D412" s="29"/>
    </row>
    <row r="413" spans="1:4">
      <c r="A413" s="28"/>
      <c r="B413" s="13"/>
      <c r="D413" s="29"/>
    </row>
    <row r="414" spans="1:4">
      <c r="A414" s="28"/>
      <c r="B414" s="13"/>
      <c r="D414" s="29"/>
    </row>
    <row r="415" spans="1:4">
      <c r="A415" s="28"/>
      <c r="B415" s="13"/>
      <c r="D415" s="29"/>
    </row>
    <row r="416" spans="1:4">
      <c r="A416" s="28"/>
      <c r="B416" s="13"/>
      <c r="D416" s="29"/>
    </row>
    <row r="417" spans="1:4">
      <c r="A417" s="28"/>
      <c r="B417" s="13"/>
      <c r="D417" s="29"/>
    </row>
    <row r="418" spans="1:4">
      <c r="A418" s="23"/>
      <c r="B418" s="24"/>
    </row>
    <row r="419" spans="1:4">
      <c r="A419" s="23"/>
      <c r="B419" s="24"/>
    </row>
    <row r="420" spans="1:4">
      <c r="A420" s="23"/>
      <c r="B420" s="24"/>
    </row>
    <row r="421" spans="1:4">
      <c r="A421" s="23"/>
      <c r="B421" s="24"/>
    </row>
    <row r="422" spans="1:4">
      <c r="A422" s="23"/>
      <c r="B422" s="24"/>
    </row>
    <row r="423" spans="1:4">
      <c r="A423" s="23"/>
      <c r="B423" s="24"/>
    </row>
    <row r="424" spans="1:4">
      <c r="A424" s="23"/>
      <c r="B424" s="24"/>
    </row>
    <row r="425" spans="1:4">
      <c r="A425" s="23"/>
      <c r="B425" s="24"/>
    </row>
    <row r="426" spans="1:4">
      <c r="A426" s="23"/>
      <c r="B426" s="24"/>
    </row>
    <row r="427" spans="1:4">
      <c r="A427" s="23"/>
      <c r="B427" s="24"/>
    </row>
    <row r="428" spans="1:4">
      <c r="A428" s="23"/>
      <c r="B428" s="24"/>
    </row>
    <row r="429" spans="1:4">
      <c r="A429" s="23"/>
      <c r="B429" s="24"/>
    </row>
    <row r="430" spans="1:4">
      <c r="A430" s="23"/>
      <c r="B430" s="24"/>
    </row>
    <row r="431" spans="1:4">
      <c r="A431" s="23"/>
      <c r="B431" s="24"/>
    </row>
    <row r="432" spans="1:4">
      <c r="A432" s="23"/>
      <c r="B432" s="24"/>
    </row>
    <row r="433" spans="1:2">
      <c r="A433" s="23"/>
      <c r="B433" s="24"/>
    </row>
    <row r="434" spans="1:2">
      <c r="A434" s="23"/>
      <c r="B434" s="24"/>
    </row>
    <row r="435" spans="1:2">
      <c r="A435" s="23"/>
      <c r="B435" s="24"/>
    </row>
    <row r="436" spans="1:2">
      <c r="A436" s="23"/>
      <c r="B436" s="24"/>
    </row>
    <row r="437" spans="1:2">
      <c r="A437" s="23"/>
      <c r="B437" s="24"/>
    </row>
    <row r="438" spans="1:2">
      <c r="A438" s="23"/>
      <c r="B438" s="24"/>
    </row>
    <row r="439" spans="1:2">
      <c r="A439" s="23"/>
      <c r="B439" s="24"/>
    </row>
    <row r="440" spans="1:2">
      <c r="A440" s="23"/>
      <c r="B440" s="24"/>
    </row>
    <row r="441" spans="1:2">
      <c r="A441" s="23"/>
      <c r="B441" s="24"/>
    </row>
    <row r="442" spans="1:2">
      <c r="A442" s="23"/>
      <c r="B442" s="24"/>
    </row>
    <row r="443" spans="1:2">
      <c r="A443" s="23"/>
      <c r="B443" s="24"/>
    </row>
    <row r="444" spans="1:2">
      <c r="A444" s="23"/>
      <c r="B444" s="24"/>
    </row>
    <row r="445" spans="1:2">
      <c r="A445" s="23"/>
      <c r="B445" s="24"/>
    </row>
    <row r="446" spans="1:2">
      <c r="A446" s="23"/>
      <c r="B446" s="24"/>
    </row>
    <row r="447" spans="1:2">
      <c r="A447" s="23"/>
      <c r="B447" s="24"/>
    </row>
    <row r="448" spans="1:2">
      <c r="A448" s="23"/>
      <c r="B448" s="24"/>
    </row>
    <row r="449" spans="1:2">
      <c r="A449" s="23"/>
      <c r="B449" s="24"/>
    </row>
    <row r="450" spans="1:2">
      <c r="A450" s="23"/>
      <c r="B450" s="24"/>
    </row>
    <row r="451" spans="1:2">
      <c r="A451" s="23"/>
      <c r="B451" s="24"/>
    </row>
    <row r="452" spans="1:2">
      <c r="A452" s="23"/>
      <c r="B452" s="24"/>
    </row>
    <row r="453" spans="1:2">
      <c r="A453" s="23"/>
      <c r="B453" s="24"/>
    </row>
    <row r="454" spans="1:2">
      <c r="A454" s="23"/>
      <c r="B454" s="24"/>
    </row>
    <row r="455" spans="1:2">
      <c r="A455" s="23"/>
      <c r="B455" s="24"/>
    </row>
    <row r="456" spans="1:2">
      <c r="A456" s="23"/>
      <c r="B456" s="24"/>
    </row>
    <row r="457" spans="1:2">
      <c r="A457" s="23"/>
      <c r="B457" s="24"/>
    </row>
    <row r="458" spans="1:2">
      <c r="A458" s="23"/>
      <c r="B458" s="24"/>
    </row>
    <row r="459" spans="1:2">
      <c r="A459" s="23"/>
      <c r="B459" s="24"/>
    </row>
    <row r="460" spans="1:2">
      <c r="A460" s="23"/>
      <c r="B460" s="24"/>
    </row>
    <row r="461" spans="1:2">
      <c r="A461" s="23"/>
      <c r="B461" s="24"/>
    </row>
    <row r="462" spans="1:2">
      <c r="A462" s="23"/>
      <c r="B462" s="24"/>
    </row>
    <row r="463" spans="1:2">
      <c r="A463" s="23"/>
      <c r="B463" s="24"/>
    </row>
    <row r="464" spans="1:2">
      <c r="A464" s="23"/>
      <c r="B464" s="24"/>
    </row>
    <row r="465" spans="1:2">
      <c r="A465" s="23"/>
      <c r="B465" s="24"/>
    </row>
    <row r="466" spans="1:2">
      <c r="A466" s="23"/>
      <c r="B466" s="24"/>
    </row>
    <row r="467" spans="1:2">
      <c r="A467" s="23"/>
      <c r="B467" s="24"/>
    </row>
    <row r="468" spans="1:2">
      <c r="A468" s="23"/>
      <c r="B468" s="24"/>
    </row>
    <row r="469" spans="1:2">
      <c r="A469" s="23"/>
      <c r="B469" s="24"/>
    </row>
    <row r="470" spans="1:2">
      <c r="A470" s="23"/>
      <c r="B470" s="24"/>
    </row>
    <row r="471" spans="1:2">
      <c r="A471" s="23"/>
      <c r="B471" s="24"/>
    </row>
    <row r="472" spans="1:2">
      <c r="A472" s="23"/>
      <c r="B472" s="24"/>
    </row>
    <row r="473" spans="1:2">
      <c r="A473" s="23"/>
      <c r="B473" s="24"/>
    </row>
    <row r="474" spans="1:2">
      <c r="A474" s="23"/>
      <c r="B474" s="24"/>
    </row>
    <row r="475" spans="1:2">
      <c r="A475" s="23"/>
      <c r="B475" s="24"/>
    </row>
    <row r="476" spans="1:2">
      <c r="A476" s="23"/>
      <c r="B476" s="24"/>
    </row>
    <row r="477" spans="1:2">
      <c r="A477" s="23"/>
      <c r="B477" s="24"/>
    </row>
    <row r="478" spans="1:2">
      <c r="A478" s="23"/>
      <c r="B478" s="24"/>
    </row>
    <row r="479" spans="1:2">
      <c r="A479" s="23"/>
      <c r="B479" s="24"/>
    </row>
    <row r="480" spans="1:2">
      <c r="A480" s="23"/>
      <c r="B480" s="24"/>
    </row>
    <row r="481" spans="1:2">
      <c r="A481" s="23"/>
      <c r="B481" s="24"/>
    </row>
    <row r="482" spans="1:2">
      <c r="A482" s="23"/>
      <c r="B482" s="24"/>
    </row>
    <row r="483" spans="1:2">
      <c r="A483" s="23"/>
      <c r="B483" s="24"/>
    </row>
    <row r="484" spans="1:2">
      <c r="A484" s="23"/>
      <c r="B484" s="24"/>
    </row>
    <row r="485" spans="1:2">
      <c r="A485" s="23"/>
      <c r="B485" s="24"/>
    </row>
    <row r="486" spans="1:2">
      <c r="A486" s="23"/>
      <c r="B486" s="24"/>
    </row>
    <row r="487" spans="1:2">
      <c r="A487" s="23"/>
      <c r="B487" s="24"/>
    </row>
    <row r="488" spans="1:2">
      <c r="A488" s="23"/>
      <c r="B488" s="24"/>
    </row>
    <row r="489" spans="1:2">
      <c r="A489" s="23"/>
      <c r="B489" s="24"/>
    </row>
    <row r="490" spans="1:2">
      <c r="A490" s="23"/>
      <c r="B490" s="24"/>
    </row>
    <row r="491" spans="1:2">
      <c r="A491" s="23"/>
      <c r="B491" s="24"/>
    </row>
    <row r="492" spans="1:2">
      <c r="A492" s="23"/>
      <c r="B492" s="24"/>
    </row>
    <row r="493" spans="1:2">
      <c r="A493" s="23"/>
      <c r="B493" s="24"/>
    </row>
    <row r="494" spans="1:2">
      <c r="A494" s="23"/>
      <c r="B494" s="24"/>
    </row>
    <row r="495" spans="1:2">
      <c r="A495" s="23"/>
      <c r="B495" s="24"/>
    </row>
    <row r="496" spans="1:2">
      <c r="A496" s="23"/>
      <c r="B496" s="24"/>
    </row>
    <row r="497" spans="1:2">
      <c r="A497" s="23"/>
      <c r="B497" s="24"/>
    </row>
    <row r="498" spans="1:2">
      <c r="A498" s="23"/>
      <c r="B498" s="24"/>
    </row>
    <row r="499" spans="1:2">
      <c r="A499" s="23"/>
      <c r="B499" s="24"/>
    </row>
    <row r="500" spans="1:2">
      <c r="A500" s="23"/>
      <c r="B500" s="24"/>
    </row>
    <row r="501" spans="1:2">
      <c r="A501" s="23"/>
      <c r="B501" s="24"/>
    </row>
    <row r="502" spans="1:2">
      <c r="A502" s="23"/>
      <c r="B502" s="24"/>
    </row>
    <row r="503" spans="1:2">
      <c r="A503" s="23"/>
      <c r="B503" s="24"/>
    </row>
    <row r="504" spans="1:2">
      <c r="A504" s="23"/>
      <c r="B504" s="24"/>
    </row>
    <row r="505" spans="1:2">
      <c r="A505" s="23"/>
      <c r="B505" s="24"/>
    </row>
    <row r="506" spans="1:2">
      <c r="A506" s="23"/>
      <c r="B506" s="24"/>
    </row>
    <row r="507" spans="1:2">
      <c r="A507" s="23"/>
      <c r="B507" s="24"/>
    </row>
    <row r="508" spans="1:2">
      <c r="A508" s="23"/>
      <c r="B508" s="24"/>
    </row>
    <row r="509" spans="1:2">
      <c r="A509" s="23"/>
      <c r="B509" s="24"/>
    </row>
    <row r="510" spans="1:2">
      <c r="A510" s="23"/>
      <c r="B510" s="24"/>
    </row>
    <row r="511" spans="1:2">
      <c r="A511" s="23"/>
      <c r="B511" s="24"/>
    </row>
    <row r="512" spans="1:2">
      <c r="A512" s="23"/>
      <c r="B512" s="24"/>
    </row>
    <row r="513" spans="1:2">
      <c r="A513" s="23"/>
      <c r="B513" s="24"/>
    </row>
    <row r="514" spans="1:2">
      <c r="A514" s="23"/>
      <c r="B514" s="24"/>
    </row>
    <row r="515" spans="1:2">
      <c r="A515" s="23"/>
      <c r="B515" s="24"/>
    </row>
    <row r="516" spans="1:2">
      <c r="A516" s="23"/>
      <c r="B516" s="24"/>
    </row>
    <row r="517" spans="1:2">
      <c r="A517" s="23"/>
      <c r="B517" s="24"/>
    </row>
    <row r="518" spans="1:2">
      <c r="A518" s="23"/>
      <c r="B518" s="24"/>
    </row>
    <row r="519" spans="1:2">
      <c r="A519" s="23"/>
      <c r="B519" s="24"/>
    </row>
    <row r="520" spans="1:2">
      <c r="A520" s="23"/>
      <c r="B520" s="24"/>
    </row>
    <row r="521" spans="1:2">
      <c r="A521" s="23"/>
      <c r="B521" s="24"/>
    </row>
    <row r="522" spans="1:2">
      <c r="A522" s="23"/>
      <c r="B522" s="24"/>
    </row>
    <row r="523" spans="1:2">
      <c r="A523" s="23"/>
      <c r="B523" s="24"/>
    </row>
    <row r="524" spans="1:2">
      <c r="A524" s="23"/>
      <c r="B524" s="24"/>
    </row>
    <row r="525" spans="1:2">
      <c r="A525" s="23"/>
      <c r="B525" s="24"/>
    </row>
    <row r="526" spans="1:2">
      <c r="A526" s="23"/>
      <c r="B526" s="24"/>
    </row>
    <row r="527" spans="1:2">
      <c r="A527" s="23"/>
      <c r="B527" s="24"/>
    </row>
    <row r="528" spans="1:2">
      <c r="A528" s="23"/>
      <c r="B528" s="24"/>
    </row>
    <row r="529" spans="1:2">
      <c r="A529" s="23"/>
      <c r="B529" s="24"/>
    </row>
    <row r="530" spans="1:2">
      <c r="A530" s="23"/>
      <c r="B530" s="24"/>
    </row>
    <row r="531" spans="1:2">
      <c r="A531" s="23"/>
      <c r="B531" s="24"/>
    </row>
    <row r="532" spans="1:2">
      <c r="A532" s="23"/>
      <c r="B532" s="24"/>
    </row>
    <row r="533" spans="1:2">
      <c r="A533" s="23"/>
      <c r="B533" s="24"/>
    </row>
    <row r="534" spans="1:2">
      <c r="A534" s="23"/>
      <c r="B534" s="24"/>
    </row>
    <row r="535" spans="1:2">
      <c r="A535" s="23"/>
      <c r="B535" s="24"/>
    </row>
    <row r="536" spans="1:2">
      <c r="A536" s="23"/>
      <c r="B536" s="24"/>
    </row>
    <row r="537" spans="1:2">
      <c r="A537" s="23"/>
      <c r="B537" s="24"/>
    </row>
    <row r="538" spans="1:2">
      <c r="A538" s="23"/>
      <c r="B538" s="24"/>
    </row>
    <row r="539" spans="1:2">
      <c r="A539" s="23"/>
      <c r="B539" s="24"/>
    </row>
    <row r="540" spans="1:2">
      <c r="A540" s="23"/>
      <c r="B540" s="24"/>
    </row>
    <row r="541" spans="1:2">
      <c r="A541" s="23"/>
      <c r="B541" s="24"/>
    </row>
    <row r="542" spans="1:2">
      <c r="A542" s="23"/>
      <c r="B542" s="24"/>
    </row>
    <row r="543" spans="1:2">
      <c r="A543" s="23"/>
      <c r="B543" s="24"/>
    </row>
    <row r="544" spans="1:2">
      <c r="A544" s="23"/>
      <c r="B544" s="24"/>
    </row>
    <row r="545" spans="1:2">
      <c r="A545" s="23"/>
      <c r="B545" s="24"/>
    </row>
    <row r="546" spans="1:2">
      <c r="A546" s="23"/>
      <c r="B546" s="24"/>
    </row>
    <row r="547" spans="1:2">
      <c r="A547" s="23"/>
      <c r="B547" s="24"/>
    </row>
    <row r="548" spans="1:2">
      <c r="A548" s="23"/>
      <c r="B548" s="24"/>
    </row>
    <row r="549" spans="1:2">
      <c r="A549" s="23"/>
      <c r="B549" s="24"/>
    </row>
    <row r="550" spans="1:2">
      <c r="A550" s="23"/>
      <c r="B550" s="24"/>
    </row>
    <row r="551" spans="1:2">
      <c r="A551" s="23"/>
      <c r="B551" s="24"/>
    </row>
    <row r="552" spans="1:2">
      <c r="A552" s="23"/>
      <c r="B552" s="24"/>
    </row>
    <row r="553" spans="1:2">
      <c r="A553" s="23"/>
      <c r="B553" s="24"/>
    </row>
    <row r="554" spans="1:2">
      <c r="A554" s="23"/>
      <c r="B554" s="24"/>
    </row>
    <row r="555" spans="1:2">
      <c r="A555" s="23"/>
      <c r="B555" s="24"/>
    </row>
    <row r="556" spans="1:2">
      <c r="A556" s="23"/>
      <c r="B556" s="24"/>
    </row>
    <row r="557" spans="1:2">
      <c r="A557" s="23"/>
      <c r="B557" s="24"/>
    </row>
    <row r="558" spans="1:2">
      <c r="A558" s="23"/>
      <c r="B558" s="24"/>
    </row>
    <row r="559" spans="1:2">
      <c r="A559" s="23"/>
      <c r="B559" s="24"/>
    </row>
    <row r="560" spans="1:2">
      <c r="A560" s="23"/>
      <c r="B560" s="24"/>
    </row>
    <row r="561" spans="1:2">
      <c r="A561" s="23"/>
      <c r="B561" s="24"/>
    </row>
    <row r="562" spans="1:2">
      <c r="A562" s="23"/>
      <c r="B562" s="24"/>
    </row>
    <row r="563" spans="1:2">
      <c r="A563" s="23"/>
      <c r="B563" s="24"/>
    </row>
    <row r="564" spans="1:2">
      <c r="A564" s="23"/>
      <c r="B564" s="24"/>
    </row>
    <row r="565" spans="1:2">
      <c r="A565" s="23"/>
      <c r="B565" s="24"/>
    </row>
    <row r="566" spans="1:2">
      <c r="A566" s="23"/>
      <c r="B566" s="24"/>
    </row>
    <row r="567" spans="1:2">
      <c r="A567" s="23"/>
      <c r="B567" s="24"/>
    </row>
    <row r="568" spans="1:2">
      <c r="A568" s="23"/>
      <c r="B568" s="24"/>
    </row>
    <row r="569" spans="1:2">
      <c r="A569" s="23"/>
      <c r="B569" s="24"/>
    </row>
    <row r="570" spans="1:2">
      <c r="A570" s="23"/>
      <c r="B570" s="24"/>
    </row>
    <row r="571" spans="1:2">
      <c r="A571" s="23"/>
      <c r="B571" s="24"/>
    </row>
    <row r="572" spans="1:2">
      <c r="A572" s="23"/>
      <c r="B572" s="24"/>
    </row>
    <row r="573" spans="1:2">
      <c r="A573" s="23"/>
      <c r="B573" s="24"/>
    </row>
    <row r="574" spans="1:2">
      <c r="A574" s="23"/>
      <c r="B574" s="24"/>
    </row>
    <row r="575" spans="1:2">
      <c r="A575" s="23"/>
      <c r="B575" s="24"/>
    </row>
    <row r="576" spans="1:2">
      <c r="A576" s="23"/>
      <c r="B576" s="24"/>
    </row>
    <row r="577" spans="1:2">
      <c r="A577" s="23"/>
      <c r="B577" s="24"/>
    </row>
    <row r="578" spans="1:2">
      <c r="A578" s="23"/>
      <c r="B578" s="24"/>
    </row>
    <row r="579" spans="1:2">
      <c r="A579" s="23"/>
      <c r="B579" s="24"/>
    </row>
    <row r="580" spans="1:2">
      <c r="A580" s="23"/>
      <c r="B580" s="24"/>
    </row>
    <row r="581" spans="1:2">
      <c r="A581" s="23"/>
      <c r="B581" s="24"/>
    </row>
    <row r="582" spans="1:2">
      <c r="A582" s="23"/>
      <c r="B582" s="24"/>
    </row>
    <row r="583" spans="1:2">
      <c r="A583" s="23"/>
      <c r="B583" s="24"/>
    </row>
    <row r="584" spans="1:2">
      <c r="A584" s="23"/>
      <c r="B584" s="24"/>
    </row>
    <row r="585" spans="1:2">
      <c r="A585" s="23"/>
      <c r="B585" s="24"/>
    </row>
    <row r="586" spans="1:2">
      <c r="A586" s="23"/>
      <c r="B586" s="24"/>
    </row>
    <row r="587" spans="1:2">
      <c r="A587" s="23"/>
      <c r="B587" s="24"/>
    </row>
    <row r="588" spans="1:2">
      <c r="A588" s="23"/>
      <c r="B588" s="24"/>
    </row>
    <row r="589" spans="1:2">
      <c r="A589" s="23"/>
      <c r="B589" s="24"/>
    </row>
    <row r="590" spans="1:2">
      <c r="A590" s="23"/>
      <c r="B590" s="24"/>
    </row>
    <row r="591" spans="1:2">
      <c r="A591" s="23"/>
      <c r="B591" s="24"/>
    </row>
    <row r="592" spans="1:2">
      <c r="A592" s="23"/>
      <c r="B592" s="24"/>
    </row>
    <row r="593" spans="1:2">
      <c r="A593" s="23"/>
      <c r="B593" s="24"/>
    </row>
    <row r="594" spans="1:2">
      <c r="A594" s="23"/>
      <c r="B594" s="24"/>
    </row>
    <row r="595" spans="1:2">
      <c r="A595" s="23"/>
      <c r="B595" s="24"/>
    </row>
    <row r="596" spans="1:2">
      <c r="A596" s="23"/>
      <c r="B596" s="24"/>
    </row>
    <row r="597" spans="1:2">
      <c r="A597" s="23"/>
      <c r="B597" s="24"/>
    </row>
    <row r="598" spans="1:2">
      <c r="A598" s="23"/>
      <c r="B598" s="24"/>
    </row>
    <row r="599" spans="1:2">
      <c r="A599" s="23"/>
      <c r="B599" s="24"/>
    </row>
    <row r="600" spans="1:2">
      <c r="A600" s="23"/>
      <c r="B600" s="24"/>
    </row>
    <row r="601" spans="1:2">
      <c r="A601" s="23"/>
      <c r="B601" s="24"/>
    </row>
    <row r="602" spans="1:2">
      <c r="A602" s="23"/>
      <c r="B602" s="24"/>
    </row>
    <row r="603" spans="1:2">
      <c r="A603" s="23"/>
      <c r="B603" s="24"/>
    </row>
    <row r="604" spans="1:2">
      <c r="A604" s="23"/>
      <c r="B604" s="24"/>
    </row>
    <row r="605" spans="1:2">
      <c r="A605" s="23"/>
      <c r="B605" s="24"/>
    </row>
    <row r="606" spans="1:2">
      <c r="A606" s="23"/>
      <c r="B606" s="24"/>
    </row>
    <row r="607" spans="1:2">
      <c r="A607" s="23"/>
      <c r="B607" s="24"/>
    </row>
    <row r="608" spans="1:2">
      <c r="A608" s="23"/>
      <c r="B608" s="24"/>
    </row>
    <row r="609" spans="1:2">
      <c r="A609" s="23"/>
      <c r="B609" s="24"/>
    </row>
    <row r="610" spans="1:2">
      <c r="A610" s="23"/>
      <c r="B610" s="24"/>
    </row>
    <row r="611" spans="1:2">
      <c r="A611" s="23"/>
      <c r="B611" s="24"/>
    </row>
    <row r="612" spans="1:2">
      <c r="A612" s="23"/>
      <c r="B612" s="24"/>
    </row>
    <row r="613" spans="1:2">
      <c r="A613" s="23"/>
      <c r="B613" s="24"/>
    </row>
    <row r="614" spans="1:2">
      <c r="A614" s="23"/>
      <c r="B614" s="24"/>
    </row>
    <row r="615" spans="1:2">
      <c r="A615" s="23"/>
      <c r="B615" s="24"/>
    </row>
    <row r="616" spans="1:2">
      <c r="A616" s="23"/>
      <c r="B616" s="24"/>
    </row>
    <row r="617" spans="1:2">
      <c r="A617" s="23"/>
      <c r="B617" s="24"/>
    </row>
    <row r="618" spans="1:2">
      <c r="A618" s="23"/>
      <c r="B618" s="24"/>
    </row>
    <row r="619" spans="1:2">
      <c r="A619" s="23"/>
      <c r="B619" s="24"/>
    </row>
    <row r="620" spans="1:2">
      <c r="A620" s="23"/>
      <c r="B620" s="24"/>
    </row>
    <row r="621" spans="1:2">
      <c r="A621" s="23"/>
      <c r="B621" s="24"/>
    </row>
    <row r="622" spans="1:2">
      <c r="A622" s="23"/>
      <c r="B622" s="24"/>
    </row>
    <row r="623" spans="1:2">
      <c r="A623" s="23"/>
      <c r="B623" s="24"/>
    </row>
    <row r="624" spans="1:2">
      <c r="A624" s="23"/>
      <c r="B624" s="24"/>
    </row>
    <row r="625" spans="1:2">
      <c r="A625" s="23"/>
      <c r="B625" s="24"/>
    </row>
    <row r="626" spans="1:2">
      <c r="A626" s="23"/>
      <c r="B626" s="24"/>
    </row>
    <row r="627" spans="1:2">
      <c r="A627" s="23"/>
      <c r="B627" s="24"/>
    </row>
    <row r="628" spans="1:2">
      <c r="A628" s="23"/>
      <c r="B628" s="24"/>
    </row>
    <row r="629" spans="1:2">
      <c r="A629" s="23"/>
      <c r="B629" s="24"/>
    </row>
    <row r="630" spans="1:2">
      <c r="A630" s="23"/>
      <c r="B630" s="24"/>
    </row>
    <row r="631" spans="1:2">
      <c r="A631" s="23"/>
      <c r="B631" s="24"/>
    </row>
    <row r="632" spans="1:2">
      <c r="A632" s="23"/>
      <c r="B632" s="24"/>
    </row>
    <row r="633" spans="1:2">
      <c r="A633" s="23"/>
      <c r="B633" s="24"/>
    </row>
    <row r="634" spans="1:2">
      <c r="A634" s="23"/>
      <c r="B634" s="24"/>
    </row>
    <row r="635" spans="1:2">
      <c r="A635" s="23"/>
      <c r="B635" s="24"/>
    </row>
    <row r="636" spans="1:2">
      <c r="A636" s="23"/>
      <c r="B636" s="24"/>
    </row>
    <row r="637" spans="1:2">
      <c r="A637" s="23"/>
      <c r="B637" s="24"/>
    </row>
    <row r="638" spans="1:2">
      <c r="A638" s="23"/>
      <c r="B638" s="24"/>
    </row>
    <row r="639" spans="1:2">
      <c r="A639" s="23"/>
      <c r="B639" s="24"/>
    </row>
    <row r="640" spans="1:2">
      <c r="A640" s="23"/>
      <c r="B640" s="24"/>
    </row>
    <row r="641" spans="1:2">
      <c r="A641" s="23"/>
      <c r="B641" s="24"/>
    </row>
    <row r="642" spans="1:2">
      <c r="A642" s="23"/>
      <c r="B642" s="24"/>
    </row>
    <row r="643" spans="1:2">
      <c r="A643" s="23"/>
      <c r="B643" s="24"/>
    </row>
    <row r="644" spans="1:2">
      <c r="A644" s="23"/>
      <c r="B644" s="24"/>
    </row>
    <row r="645" spans="1:2">
      <c r="A645" s="23"/>
      <c r="B645" s="24"/>
    </row>
    <row r="646" spans="1:2">
      <c r="A646" s="23"/>
      <c r="B646" s="24"/>
    </row>
    <row r="647" spans="1:2">
      <c r="A647" s="23"/>
      <c r="B647" s="24"/>
    </row>
    <row r="648" spans="1:2">
      <c r="A648" s="23"/>
      <c r="B648" s="24"/>
    </row>
    <row r="649" spans="1:2">
      <c r="A649" s="23"/>
      <c r="B649" s="24"/>
    </row>
    <row r="650" spans="1:2">
      <c r="A650" s="23"/>
      <c r="B650" s="24"/>
    </row>
    <row r="651" spans="1:2">
      <c r="A651" s="23"/>
      <c r="B651" s="24"/>
    </row>
    <row r="652" spans="1:2">
      <c r="A652" s="23"/>
      <c r="B652" s="24"/>
    </row>
    <row r="653" spans="1:2">
      <c r="A653" s="23"/>
      <c r="B653" s="24"/>
    </row>
    <row r="654" spans="1:2">
      <c r="A654" s="23"/>
      <c r="B654" s="24"/>
    </row>
    <row r="655" spans="1:2">
      <c r="A655" s="23"/>
      <c r="B655" s="24"/>
    </row>
    <row r="656" spans="1:2">
      <c r="A656" s="23"/>
      <c r="B656" s="24"/>
    </row>
    <row r="657" spans="1:2">
      <c r="A657" s="23"/>
      <c r="B657" s="24"/>
    </row>
    <row r="658" spans="1:2">
      <c r="A658" s="23"/>
      <c r="B658" s="24"/>
    </row>
    <row r="659" spans="1:2">
      <c r="A659" s="23"/>
      <c r="B659" s="24"/>
    </row>
    <row r="660" spans="1:2">
      <c r="A660" s="23"/>
      <c r="B660" s="24"/>
    </row>
    <row r="661" spans="1:2">
      <c r="A661" s="23"/>
      <c r="B661" s="24"/>
    </row>
    <row r="662" spans="1:2">
      <c r="A662" s="23"/>
      <c r="B662" s="24"/>
    </row>
    <row r="663" spans="1:2">
      <c r="A663" s="23"/>
      <c r="B663" s="24"/>
    </row>
    <row r="664" spans="1:2">
      <c r="A664" s="23"/>
      <c r="B664" s="24"/>
    </row>
    <row r="665" spans="1:2">
      <c r="A665" s="23"/>
      <c r="B665" s="24"/>
    </row>
    <row r="666" spans="1:2">
      <c r="A666" s="23"/>
      <c r="B666" s="24"/>
    </row>
    <row r="667" spans="1:2">
      <c r="A667" s="23"/>
      <c r="B667" s="24"/>
    </row>
    <row r="668" spans="1:2">
      <c r="A668" s="23"/>
      <c r="B668" s="24"/>
    </row>
    <row r="669" spans="1:2">
      <c r="A669" s="23"/>
      <c r="B669" s="24"/>
    </row>
    <row r="670" spans="1:2">
      <c r="A670" s="23"/>
      <c r="B670" s="24"/>
    </row>
    <row r="671" spans="1:2">
      <c r="A671" s="23"/>
      <c r="B671" s="24"/>
    </row>
    <row r="672" spans="1:2">
      <c r="A672" s="23"/>
      <c r="B672" s="24"/>
    </row>
    <row r="673" spans="1:2">
      <c r="A673" s="23"/>
      <c r="B673" s="24"/>
    </row>
    <row r="674" spans="1:2">
      <c r="A674" s="23"/>
      <c r="B674" s="24"/>
    </row>
    <row r="675" spans="1:2">
      <c r="A675" s="23"/>
      <c r="B675" s="24"/>
    </row>
    <row r="676" spans="1:2">
      <c r="A676" s="23"/>
      <c r="B676" s="24"/>
    </row>
    <row r="677" spans="1:2">
      <c r="A677" s="23"/>
      <c r="B677" s="24"/>
    </row>
    <row r="678" spans="1:2">
      <c r="A678" s="23"/>
      <c r="B678" s="24"/>
    </row>
    <row r="679" spans="1:2">
      <c r="A679" s="23"/>
      <c r="B679" s="24"/>
    </row>
    <row r="680" spans="1:2">
      <c r="A680" s="23"/>
      <c r="B680" s="24"/>
    </row>
    <row r="681" spans="1:2">
      <c r="A681" s="23"/>
      <c r="B681" s="24"/>
    </row>
    <row r="682" spans="1:2">
      <c r="A682" s="23"/>
      <c r="B682" s="24"/>
    </row>
    <row r="683" spans="1:2">
      <c r="A683" s="23"/>
      <c r="B683" s="24"/>
    </row>
    <row r="684" spans="1:2">
      <c r="A684" s="23"/>
      <c r="B684" s="24"/>
    </row>
    <row r="685" spans="1:2">
      <c r="A685" s="23"/>
      <c r="B685" s="24"/>
    </row>
    <row r="686" spans="1:2">
      <c r="A686" s="23"/>
      <c r="B686" s="24"/>
    </row>
    <row r="687" spans="1:2">
      <c r="A687" s="23"/>
      <c r="B687" s="24"/>
    </row>
    <row r="688" spans="1:2">
      <c r="A688" s="23"/>
      <c r="B688" s="24"/>
    </row>
    <row r="689" spans="1:2">
      <c r="A689" s="23"/>
      <c r="B689" s="24"/>
    </row>
    <row r="690" spans="1:2">
      <c r="A690" s="23"/>
      <c r="B690" s="24"/>
    </row>
    <row r="691" spans="1:2">
      <c r="A691" s="23"/>
      <c r="B691" s="24"/>
    </row>
    <row r="692" spans="1:2">
      <c r="A692" s="23"/>
      <c r="B692" s="24"/>
    </row>
    <row r="693" spans="1:2">
      <c r="A693" s="23"/>
      <c r="B693" s="24"/>
    </row>
  </sheetData>
  <autoFilter ref="A1:G338" xr:uid="{00000000-0009-0000-0000-000001000000}"/>
  <pageMargins left="0.7" right="0.7" top="0.75" bottom="0.75" header="0.3" footer="0.3"/>
  <pageSetup paperSize="9" orientation="portrait" r:id="rId1"/>
  <ignoredErrors>
    <ignoredError sqref="D2:D63 D64:D82 D86:D87 D88:D89 D94:D141" numberStoredAsText="1"/>
    <ignoredError sqref="G1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Seguimiento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Aparicio Lalinde</dc:creator>
  <cp:lastModifiedBy>oriol Calblay</cp:lastModifiedBy>
  <dcterms:created xsi:type="dcterms:W3CDTF">2018-10-08T17:03:01Z</dcterms:created>
  <dcterms:modified xsi:type="dcterms:W3CDTF">2024-05-18T16:09:02Z</dcterms:modified>
</cp:coreProperties>
</file>