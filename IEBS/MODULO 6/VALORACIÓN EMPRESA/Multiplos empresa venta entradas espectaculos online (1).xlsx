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6/VALORACIÓN EMPRESA/"/>
    </mc:Choice>
  </mc:AlternateContent>
  <xr:revisionPtr revIDLastSave="4" documentId="8_{5A9A6A98-6AD3-4A37-950D-926C62EF319F}" xr6:coauthVersionLast="47" xr6:coauthVersionMax="47" xr10:uidLastSave="{678E2240-7714-4BB9-8F55-F728245AFD55}"/>
  <bookViews>
    <workbookView xWindow="22932" yWindow="-60" windowWidth="23256" windowHeight="12456" xr2:uid="{00000000-000D-0000-FFFF-FFFF00000000}"/>
  </bookViews>
  <sheets>
    <sheet name="Múltiplo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0" i="4" l="1"/>
  <c r="I55" i="4" s="1"/>
  <c r="H47" i="4"/>
  <c r="H55" i="4" s="1"/>
  <c r="G49" i="4"/>
  <c r="G55" i="4" s="1"/>
  <c r="F48" i="4"/>
  <c r="F55" i="4" s="1"/>
  <c r="E49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909C7B-74A1-421A-8226-964C94920F34}" keepAlive="1" name="Consulta - Table 1" description="Conexión a la consulta 'Table 1' en el libro." type="5" refreshedVersion="0" background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<sst xmlns="http://schemas.openxmlformats.org/spreadsheetml/2006/main" count="201" uniqueCount="96">
  <si>
    <t>favorite_border</t>
  </si>
  <si>
    <t>ZAL</t>
  </si>
  <si>
    <t>Zalando SE</t>
  </si>
  <si>
    <t>Comercio minorista de Internet y marketing directo</t>
  </si>
  <si>
    <t>Europe</t>
  </si>
  <si>
    <t>HFG</t>
  </si>
  <si>
    <t>HelloFresh SE</t>
  </si>
  <si>
    <t>ALE</t>
  </si>
  <si>
    <t>Allegro.eu SA</t>
  </si>
  <si>
    <t>BOO</t>
  </si>
  <si>
    <t>boohoo group plc</t>
  </si>
  <si>
    <t>ASC</t>
  </si>
  <si>
    <t>ASOS Plc</t>
  </si>
  <si>
    <t>ZO1</t>
  </si>
  <si>
    <t>zooplus AG</t>
  </si>
  <si>
    <t>BHG</t>
  </si>
  <si>
    <t>BHG Group AB (publ)</t>
  </si>
  <si>
    <t>MONY</t>
  </si>
  <si>
    <t>Moneysupermarket.com Group PLC</t>
  </si>
  <si>
    <t>AO.</t>
  </si>
  <si>
    <t>AO World plc</t>
  </si>
  <si>
    <t>BOOZT</t>
  </si>
  <si>
    <t>Boozt AB (publ)</t>
  </si>
  <si>
    <t>DUST</t>
  </si>
  <si>
    <t>Dustin Group AB (publ)</t>
  </si>
  <si>
    <t>TTK</t>
  </si>
  <si>
    <t>TAKKT AG</t>
  </si>
  <si>
    <t>WEW</t>
  </si>
  <si>
    <t>Westwing Group AG</t>
  </si>
  <si>
    <t>MAN</t>
  </si>
  <si>
    <t>Manutan International S.A.</t>
  </si>
  <si>
    <t>VERK</t>
  </si>
  <si>
    <t>Verkkokauppa.com Oyj</t>
  </si>
  <si>
    <t>ALLDL</t>
  </si>
  <si>
    <t>Groupe LDLC société anonyme</t>
  </si>
  <si>
    <t>SRP</t>
  </si>
  <si>
    <t>SRP Groupe S.A.</t>
  </si>
  <si>
    <t>BWNG</t>
  </si>
  <si>
    <t>N Brown Group plc</t>
  </si>
  <si>
    <t>STU</t>
  </si>
  <si>
    <t>Studio Retail Group plc</t>
  </si>
  <si>
    <t>OPN</t>
  </si>
  <si>
    <t>Oponeo.pl S.A.</t>
  </si>
  <si>
    <t>DEX</t>
  </si>
  <si>
    <t>Delticom AG</t>
  </si>
  <si>
    <t>EV/EBITDA</t>
  </si>
  <si>
    <t>P/BV</t>
  </si>
  <si>
    <t>Fondos propios</t>
  </si>
  <si>
    <t>Ingresos</t>
  </si>
  <si>
    <t>EBITDA</t>
  </si>
  <si>
    <t>Beneficio</t>
  </si>
  <si>
    <t>Deuda Financiera</t>
  </si>
  <si>
    <t>Caja</t>
  </si>
  <si>
    <t>Año X</t>
  </si>
  <si>
    <t>ENTRADAS EVENTIM SA (Entradas online espectáculos)</t>
  </si>
  <si>
    <t>Ticker</t>
  </si>
  <si>
    <t>Nombre de la empresa</t>
  </si>
  <si>
    <t>Industria</t>
  </si>
  <si>
    <t>Global Region</t>
  </si>
  <si>
    <t>Trailing TEV/REV LTM</t>
  </si>
  <si>
    <t>Trailing TEV/EBITDA LTM</t>
  </si>
  <si>
    <t>Trailing P/BVPS LTM</t>
  </si>
  <si>
    <t>Trailing P/Diluted EPS before Extra LTM</t>
  </si>
  <si>
    <t>ALVU</t>
  </si>
  <si>
    <t>Vente-Unique.com SA</t>
  </si>
  <si>
    <t>ALSPT</t>
  </si>
  <si>
    <t>Spartoo SAS</t>
  </si>
  <si>
    <t>ALVAP</t>
  </si>
  <si>
    <t>Kumulus Vape S.A.</t>
  </si>
  <si>
    <t>PMT</t>
  </si>
  <si>
    <t>Promotica S.p.A.</t>
  </si>
  <si>
    <t>ANR</t>
  </si>
  <si>
    <t>Answear.com S.A.</t>
  </si>
  <si>
    <t>DAD</t>
  </si>
  <si>
    <t>Dadelo S.A.</t>
  </si>
  <si>
    <t>MCE</t>
  </si>
  <si>
    <t>Modern Commerce S.A.</t>
  </si>
  <si>
    <t>LGT</t>
  </si>
  <si>
    <t>Logintrade S.A.</t>
  </si>
  <si>
    <t>PIERCE</t>
  </si>
  <si>
    <t>Pierce Group AB (publ)</t>
  </si>
  <si>
    <t>RUG</t>
  </si>
  <si>
    <t>Rugvista Group AB (publ)</t>
  </si>
  <si>
    <t>SODER</t>
  </si>
  <si>
    <t>Söder Sportfiske AB (publ)</t>
  </si>
  <si>
    <t>MEGR</t>
  </si>
  <si>
    <t>Mediacle Group AB (publ)</t>
  </si>
  <si>
    <t>VIC</t>
  </si>
  <si>
    <t>Victorian Plumbing Group plc</t>
  </si>
  <si>
    <t>ITS</t>
  </si>
  <si>
    <t>In The Style Group Plc</t>
  </si>
  <si>
    <t>SMK</t>
  </si>
  <si>
    <t>Samarkand Group Plc</t>
  </si>
  <si>
    <t>Equity Value</t>
  </si>
  <si>
    <t>EV/Ventas</t>
  </si>
  <si>
    <t>P/Beneficio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</si>
</sst>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Roboto"/>
    </font>
    <font>
      <sz val="12"/>
      <color theme="1"/>
      <name val="Roboto"/>
    </font>
    <font>
      <sz val="14"/>
      <color theme="1"/>
      <name val="Material Icons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2" fillId="4" borderId="0" xfId="0" applyFont="1" applyFill="1" applyAlignment="1">
      <alignment horizontal="left" vertical="center" wrapText="1" indent="1"/>
    </xf>
    <xf numFmtId="0" fontId="4" fillId="4" borderId="0" xfId="0" applyFont="1" applyFill="1" applyAlignment="1">
      <alignment horizontal="center" vertical="center" wrapText="1"/>
    </xf>
    <xf numFmtId="0" fontId="5" fillId="4" borderId="0" xfId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4" fontId="0" fillId="2" borderId="1" xfId="0" applyNumberForma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</cellXfs>
  <cellStyles count="2">
    <cellStyle name="Enllaç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pp.tikr.com/stock/about?cid=552505&amp;tid=32518611&amp;ref=dddptb" TargetMode="External"/><Relationship Id="rId21" Type="http://schemas.openxmlformats.org/officeDocument/2006/relationships/hyperlink" Target="https://app.tikr.com/stock/about?cid=668927&amp;tid=32517607&amp;ref=dddptb" TargetMode="External"/><Relationship Id="rId42" Type="http://schemas.openxmlformats.org/officeDocument/2006/relationships/hyperlink" Target="https://app.tikr.com/stock/about?cid=412090459&amp;tid=556642691&amp;ref=dddptb" TargetMode="External"/><Relationship Id="rId47" Type="http://schemas.openxmlformats.org/officeDocument/2006/relationships/hyperlink" Target="https://app.tikr.com/stock/about?cid=706665649&amp;tid=708490237&amp;ref=dddptb" TargetMode="External"/><Relationship Id="rId63" Type="http://schemas.openxmlformats.org/officeDocument/2006/relationships/hyperlink" Target="https://app.tikr.com/stock/about?cid=716987813&amp;tid=717928001&amp;ref=dddptb" TargetMode="External"/><Relationship Id="rId68" Type="http://schemas.openxmlformats.org/officeDocument/2006/relationships/hyperlink" Target="https://app.tikr.com/stock/about?cid=876670&amp;tid=20176296&amp;ref=dddptb" TargetMode="External"/><Relationship Id="rId2" Type="http://schemas.openxmlformats.org/officeDocument/2006/relationships/hyperlink" Target="https://app.tikr.com/stock/about?cid=30488117&amp;tid=261398974&amp;ref=dddptb" TargetMode="External"/><Relationship Id="rId16" Type="http://schemas.openxmlformats.org/officeDocument/2006/relationships/hyperlink" Target="https://app.tikr.com/stock/about?cid=97997549&amp;tid=273511203&amp;ref=dddptb" TargetMode="External"/><Relationship Id="rId29" Type="http://schemas.openxmlformats.org/officeDocument/2006/relationships/hyperlink" Target="https://app.tikr.com/stock/about?cid=684129716&amp;tid=689709459&amp;ref=dddptb" TargetMode="External"/><Relationship Id="rId11" Type="http://schemas.openxmlformats.org/officeDocument/2006/relationships/hyperlink" Target="https://app.tikr.com/stock/about?cid=36422550&amp;tid=1671509644&amp;ref=dddptb" TargetMode="External"/><Relationship Id="rId24" Type="http://schemas.openxmlformats.org/officeDocument/2006/relationships/hyperlink" Target="https://app.tikr.com/stock/about?cid=580985472&amp;tid=585886361&amp;ref=dddptb" TargetMode="External"/><Relationship Id="rId32" Type="http://schemas.openxmlformats.org/officeDocument/2006/relationships/hyperlink" Target="https://app.tikr.com/stock/about?cid=36544341&amp;tid=36522065&amp;ref=dddptb" TargetMode="External"/><Relationship Id="rId37" Type="http://schemas.openxmlformats.org/officeDocument/2006/relationships/hyperlink" Target="https://app.tikr.com/stock/about?cid=23317708&amp;tid=114763957&amp;ref=dddptb" TargetMode="External"/><Relationship Id="rId40" Type="http://schemas.openxmlformats.org/officeDocument/2006/relationships/hyperlink" Target="https://app.tikr.com/stock/about?cid=214732082&amp;tid=227993511&amp;ref=dddptb" TargetMode="External"/><Relationship Id="rId45" Type="http://schemas.openxmlformats.org/officeDocument/2006/relationships/hyperlink" Target="https://app.tikr.com/stock/about?cid=5570027&amp;tid=283889673&amp;ref=dddptb" TargetMode="External"/><Relationship Id="rId53" Type="http://schemas.openxmlformats.org/officeDocument/2006/relationships/hyperlink" Target="https://app.tikr.com/stock/about?cid=311252325&amp;tid=327940284&amp;ref=dddptb" TargetMode="External"/><Relationship Id="rId58" Type="http://schemas.openxmlformats.org/officeDocument/2006/relationships/hyperlink" Target="https://app.tikr.com/stock/about?cid=9237218&amp;tid=20186268&amp;ref=dddptb" TargetMode="External"/><Relationship Id="rId66" Type="http://schemas.openxmlformats.org/officeDocument/2006/relationships/hyperlink" Target="https://app.tikr.com/stock/about?cid=876433&amp;tid=32269186&amp;ref=dddptb" TargetMode="External"/><Relationship Id="rId5" Type="http://schemas.openxmlformats.org/officeDocument/2006/relationships/hyperlink" Target="https://app.tikr.com/stock/about?cid=20354344&amp;tid=20212064&amp;ref=dddptb" TargetMode="External"/><Relationship Id="rId61" Type="http://schemas.openxmlformats.org/officeDocument/2006/relationships/hyperlink" Target="https://app.tikr.com/stock/about?cid=51972899&amp;tid=256836743&amp;ref=dddptb" TargetMode="External"/><Relationship Id="rId19" Type="http://schemas.openxmlformats.org/officeDocument/2006/relationships/hyperlink" Target="https://app.tikr.com/stock/about?cid=539321&amp;tid=46259586&amp;ref=dddptb" TargetMode="External"/><Relationship Id="rId14" Type="http://schemas.openxmlformats.org/officeDocument/2006/relationships/hyperlink" Target="https://app.tikr.com/stock/about?cid=537423168&amp;tid=614907309&amp;ref=dddptb" TargetMode="External"/><Relationship Id="rId22" Type="http://schemas.openxmlformats.org/officeDocument/2006/relationships/hyperlink" Target="https://app.tikr.com/stock/about?cid=668927&amp;tid=32517607&amp;ref=dddptb" TargetMode="External"/><Relationship Id="rId27" Type="http://schemas.openxmlformats.org/officeDocument/2006/relationships/hyperlink" Target="https://app.tikr.com/stock/about?cid=206635958&amp;tid=694778850&amp;ref=dddptb" TargetMode="External"/><Relationship Id="rId30" Type="http://schemas.openxmlformats.org/officeDocument/2006/relationships/hyperlink" Target="https://app.tikr.com/stock/about?cid=684129716&amp;tid=689709459&amp;ref=dddptb" TargetMode="External"/><Relationship Id="rId35" Type="http://schemas.openxmlformats.org/officeDocument/2006/relationships/hyperlink" Target="https://app.tikr.com/stock/about?cid=641618052&amp;tid=707248338&amp;ref=dddptb" TargetMode="External"/><Relationship Id="rId43" Type="http://schemas.openxmlformats.org/officeDocument/2006/relationships/hyperlink" Target="https://app.tikr.com/stock/about?cid=82015177&amp;tid=431288072&amp;ref=dddptb" TargetMode="External"/><Relationship Id="rId48" Type="http://schemas.openxmlformats.org/officeDocument/2006/relationships/hyperlink" Target="https://app.tikr.com/stock/about?cid=706665649&amp;tid=708490237&amp;ref=dddptb" TargetMode="External"/><Relationship Id="rId56" Type="http://schemas.openxmlformats.org/officeDocument/2006/relationships/hyperlink" Target="https://app.tikr.com/stock/about?cid=252132831&amp;tid=259949316&amp;ref=dddptb" TargetMode="External"/><Relationship Id="rId64" Type="http://schemas.openxmlformats.org/officeDocument/2006/relationships/hyperlink" Target="https://app.tikr.com/stock/about?cid=716987813&amp;tid=717928001&amp;ref=dddptb" TargetMode="External"/><Relationship Id="rId69" Type="http://schemas.openxmlformats.org/officeDocument/2006/relationships/hyperlink" Target="https://app.tikr.com/stock/about?cid=592674986&amp;tid=706878974&amp;ref=dddptb" TargetMode="External"/><Relationship Id="rId8" Type="http://schemas.openxmlformats.org/officeDocument/2006/relationships/hyperlink" Target="https://app.tikr.com/stock/about?cid=311185986&amp;tid=314673248&amp;ref=dddptb" TargetMode="External"/><Relationship Id="rId51" Type="http://schemas.openxmlformats.org/officeDocument/2006/relationships/hyperlink" Target="https://app.tikr.com/stock/about?cid=568651545&amp;tid=1679983624&amp;ref=dddptb" TargetMode="External"/><Relationship Id="rId72" Type="http://schemas.openxmlformats.org/officeDocument/2006/relationships/hyperlink" Target="https://app.tikr.com/stock/about?cid=703858076&amp;tid=707573035&amp;ref=dddptb" TargetMode="External"/><Relationship Id="rId3" Type="http://schemas.openxmlformats.org/officeDocument/2006/relationships/hyperlink" Target="https://app.tikr.com/stock/about?cid=879643&amp;tid=20200902&amp;ref=dddptb" TargetMode="External"/><Relationship Id="rId12" Type="http://schemas.openxmlformats.org/officeDocument/2006/relationships/hyperlink" Target="https://app.tikr.com/stock/about?cid=36422550&amp;tid=1671509644&amp;ref=dddptb" TargetMode="External"/><Relationship Id="rId17" Type="http://schemas.openxmlformats.org/officeDocument/2006/relationships/hyperlink" Target="https://app.tikr.com/stock/about?cid=315460452&amp;tid=541712010&amp;ref=dddptb" TargetMode="External"/><Relationship Id="rId25" Type="http://schemas.openxmlformats.org/officeDocument/2006/relationships/hyperlink" Target="https://app.tikr.com/stock/about?cid=552505&amp;tid=32518611&amp;ref=dddptb" TargetMode="External"/><Relationship Id="rId33" Type="http://schemas.openxmlformats.org/officeDocument/2006/relationships/hyperlink" Target="https://app.tikr.com/stock/about?cid=242770814&amp;tid=699497979&amp;ref=dddptb" TargetMode="External"/><Relationship Id="rId38" Type="http://schemas.openxmlformats.org/officeDocument/2006/relationships/hyperlink" Target="https://app.tikr.com/stock/about?cid=23317708&amp;tid=114763957&amp;ref=dddptb" TargetMode="External"/><Relationship Id="rId46" Type="http://schemas.openxmlformats.org/officeDocument/2006/relationships/hyperlink" Target="https://app.tikr.com/stock/about?cid=5570027&amp;tid=283889673&amp;ref=dddptb" TargetMode="External"/><Relationship Id="rId59" Type="http://schemas.openxmlformats.org/officeDocument/2006/relationships/hyperlink" Target="https://app.tikr.com/stock/about?cid=35903582&amp;tid=35897851&amp;ref=dddptb" TargetMode="External"/><Relationship Id="rId67" Type="http://schemas.openxmlformats.org/officeDocument/2006/relationships/hyperlink" Target="https://app.tikr.com/stock/about?cid=876670&amp;tid=20176296&amp;ref=dddptb" TargetMode="External"/><Relationship Id="rId20" Type="http://schemas.openxmlformats.org/officeDocument/2006/relationships/hyperlink" Target="https://app.tikr.com/stock/about?cid=539321&amp;tid=46259586&amp;ref=dddptb" TargetMode="External"/><Relationship Id="rId41" Type="http://schemas.openxmlformats.org/officeDocument/2006/relationships/hyperlink" Target="https://app.tikr.com/stock/about?cid=412090459&amp;tid=556642691&amp;ref=dddptb" TargetMode="External"/><Relationship Id="rId54" Type="http://schemas.openxmlformats.org/officeDocument/2006/relationships/hyperlink" Target="https://app.tikr.com/stock/about?cid=311252325&amp;tid=327940284&amp;ref=dddptb" TargetMode="External"/><Relationship Id="rId62" Type="http://schemas.openxmlformats.org/officeDocument/2006/relationships/hyperlink" Target="https://app.tikr.com/stock/about?cid=51972899&amp;tid=256836743&amp;ref=dddptb" TargetMode="External"/><Relationship Id="rId70" Type="http://schemas.openxmlformats.org/officeDocument/2006/relationships/hyperlink" Target="https://app.tikr.com/stock/about?cid=592674986&amp;tid=706878974&amp;ref=dddptb" TargetMode="External"/><Relationship Id="rId1" Type="http://schemas.openxmlformats.org/officeDocument/2006/relationships/hyperlink" Target="https://app.tikr.com/stock/about?cid=30488117&amp;tid=261398974&amp;ref=dddptb" TargetMode="External"/><Relationship Id="rId6" Type="http://schemas.openxmlformats.org/officeDocument/2006/relationships/hyperlink" Target="https://app.tikr.com/stock/about?cid=20354344&amp;tid=20212064&amp;ref=dddptb" TargetMode="External"/><Relationship Id="rId15" Type="http://schemas.openxmlformats.org/officeDocument/2006/relationships/hyperlink" Target="https://app.tikr.com/stock/about?cid=97997549&amp;tid=273511203&amp;ref=dddptb" TargetMode="External"/><Relationship Id="rId23" Type="http://schemas.openxmlformats.org/officeDocument/2006/relationships/hyperlink" Target="https://app.tikr.com/stock/about?cid=580985472&amp;tid=585886361&amp;ref=dddptb" TargetMode="External"/><Relationship Id="rId28" Type="http://schemas.openxmlformats.org/officeDocument/2006/relationships/hyperlink" Target="https://app.tikr.com/stock/about?cid=206635958&amp;tid=694778850&amp;ref=dddptb" TargetMode="External"/><Relationship Id="rId36" Type="http://schemas.openxmlformats.org/officeDocument/2006/relationships/hyperlink" Target="https://app.tikr.com/stock/about?cid=641618052&amp;tid=707248338&amp;ref=dddptb" TargetMode="External"/><Relationship Id="rId49" Type="http://schemas.openxmlformats.org/officeDocument/2006/relationships/hyperlink" Target="https://app.tikr.com/stock/about?cid=596847551&amp;tid=670707812&amp;ref=dddptb" TargetMode="External"/><Relationship Id="rId57" Type="http://schemas.openxmlformats.org/officeDocument/2006/relationships/hyperlink" Target="https://app.tikr.com/stock/about?cid=9237218&amp;tid=20186268&amp;ref=dddptb" TargetMode="External"/><Relationship Id="rId10" Type="http://schemas.openxmlformats.org/officeDocument/2006/relationships/hyperlink" Target="https://app.tikr.com/stock/about?cid=99945040&amp;tid=556120936&amp;ref=dddptb" TargetMode="External"/><Relationship Id="rId31" Type="http://schemas.openxmlformats.org/officeDocument/2006/relationships/hyperlink" Target="https://app.tikr.com/stock/about?cid=36544341&amp;tid=36522065&amp;ref=dddptb" TargetMode="External"/><Relationship Id="rId44" Type="http://schemas.openxmlformats.org/officeDocument/2006/relationships/hyperlink" Target="https://app.tikr.com/stock/about?cid=82015177&amp;tid=431288072&amp;ref=dddptb" TargetMode="External"/><Relationship Id="rId52" Type="http://schemas.openxmlformats.org/officeDocument/2006/relationships/hyperlink" Target="https://app.tikr.com/stock/about?cid=568651545&amp;tid=1679983624&amp;ref=dddptb" TargetMode="External"/><Relationship Id="rId60" Type="http://schemas.openxmlformats.org/officeDocument/2006/relationships/hyperlink" Target="https://app.tikr.com/stock/about?cid=35903582&amp;tid=35897851&amp;ref=dddptb" TargetMode="External"/><Relationship Id="rId65" Type="http://schemas.openxmlformats.org/officeDocument/2006/relationships/hyperlink" Target="https://app.tikr.com/stock/about?cid=876433&amp;tid=32269186&amp;ref=dddptb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app.tikr.com/stock/about?cid=879643&amp;tid=20200902&amp;ref=dddptb" TargetMode="External"/><Relationship Id="rId9" Type="http://schemas.openxmlformats.org/officeDocument/2006/relationships/hyperlink" Target="https://app.tikr.com/stock/about?cid=99945040&amp;tid=556120936&amp;ref=dddptb" TargetMode="External"/><Relationship Id="rId13" Type="http://schemas.openxmlformats.org/officeDocument/2006/relationships/hyperlink" Target="https://app.tikr.com/stock/about?cid=537423168&amp;tid=614907309&amp;ref=dddptb" TargetMode="External"/><Relationship Id="rId18" Type="http://schemas.openxmlformats.org/officeDocument/2006/relationships/hyperlink" Target="https://app.tikr.com/stock/about?cid=315460452&amp;tid=541712010&amp;ref=dddptb" TargetMode="External"/><Relationship Id="rId39" Type="http://schemas.openxmlformats.org/officeDocument/2006/relationships/hyperlink" Target="https://app.tikr.com/stock/about?cid=214732082&amp;tid=227993511&amp;ref=dddptb" TargetMode="External"/><Relationship Id="rId34" Type="http://schemas.openxmlformats.org/officeDocument/2006/relationships/hyperlink" Target="https://app.tikr.com/stock/about?cid=242770814&amp;tid=699497979&amp;ref=dddptb" TargetMode="External"/><Relationship Id="rId50" Type="http://schemas.openxmlformats.org/officeDocument/2006/relationships/hyperlink" Target="https://app.tikr.com/stock/about?cid=596847551&amp;tid=670707812&amp;ref=dddptb" TargetMode="External"/><Relationship Id="rId55" Type="http://schemas.openxmlformats.org/officeDocument/2006/relationships/hyperlink" Target="https://app.tikr.com/stock/about?cid=252132831&amp;tid=259949316&amp;ref=dddptb" TargetMode="External"/><Relationship Id="rId7" Type="http://schemas.openxmlformats.org/officeDocument/2006/relationships/hyperlink" Target="https://app.tikr.com/stock/about?cid=311185986&amp;tid=314673248&amp;ref=dddptb" TargetMode="External"/><Relationship Id="rId71" Type="http://schemas.openxmlformats.org/officeDocument/2006/relationships/hyperlink" Target="https://app.tikr.com/stock/about?cid=703858076&amp;tid=707573035&amp;ref=dddpt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9B822-DECA-443B-AD0E-D8E426C28219}">
  <dimension ref="A1:I55"/>
  <sheetViews>
    <sheetView tabSelected="1" topLeftCell="B36" workbookViewId="0">
      <selection activeCell="H39" sqref="H39"/>
    </sheetView>
  </sheetViews>
  <sheetFormatPr defaultColWidth="11.42578125" defaultRowHeight="15"/>
  <cols>
    <col min="3" max="3" width="28.85546875" customWidth="1"/>
    <col min="4" max="4" width="50" bestFit="1" customWidth="1"/>
    <col min="5" max="5" width="12.140625" bestFit="1" customWidth="1"/>
    <col min="6" max="6" width="19.7109375" style="1" bestFit="1" customWidth="1"/>
    <col min="7" max="7" width="22.7109375" style="1" bestFit="1" customWidth="1"/>
    <col min="8" max="8" width="18.7109375" style="1" bestFit="1" customWidth="1"/>
    <col min="9" max="9" width="36" style="1" bestFit="1" customWidth="1"/>
  </cols>
  <sheetData>
    <row r="1" spans="1:9" ht="31.5">
      <c r="A1" s="8"/>
      <c r="B1" s="8" t="s">
        <v>55</v>
      </c>
      <c r="C1" s="8" t="s">
        <v>56</v>
      </c>
      <c r="D1" s="8" t="s">
        <v>57</v>
      </c>
      <c r="E1" s="8" t="s">
        <v>58</v>
      </c>
      <c r="F1" s="8" t="s">
        <v>59</v>
      </c>
      <c r="G1" s="8" t="s">
        <v>60</v>
      </c>
      <c r="H1" s="8" t="s">
        <v>61</v>
      </c>
      <c r="I1" s="8" t="s">
        <v>62</v>
      </c>
    </row>
    <row r="2" spans="1:9" ht="36">
      <c r="A2" s="9" t="s">
        <v>0</v>
      </c>
      <c r="B2" s="10" t="s">
        <v>31</v>
      </c>
      <c r="C2" s="10" t="s">
        <v>32</v>
      </c>
      <c r="D2" s="11" t="s">
        <v>3</v>
      </c>
      <c r="E2" s="11" t="s">
        <v>4</v>
      </c>
      <c r="F2" s="11">
        <v>0.65</v>
      </c>
      <c r="G2" s="11">
        <v>17.45</v>
      </c>
      <c r="H2" s="11">
        <v>11.03</v>
      </c>
      <c r="I2" s="11">
        <v>22.91</v>
      </c>
    </row>
    <row r="3" spans="1:9" ht="36">
      <c r="A3" s="9" t="s">
        <v>0</v>
      </c>
      <c r="B3" s="10" t="s">
        <v>29</v>
      </c>
      <c r="C3" s="10" t="s">
        <v>30</v>
      </c>
      <c r="D3" s="11" t="s">
        <v>3</v>
      </c>
      <c r="E3" s="11" t="s">
        <v>4</v>
      </c>
      <c r="F3" s="11">
        <v>0.65</v>
      </c>
      <c r="G3" s="11">
        <v>8.4499999999999993</v>
      </c>
      <c r="H3" s="11">
        <v>1.1399999999999999</v>
      </c>
      <c r="I3" s="11">
        <v>13.71</v>
      </c>
    </row>
    <row r="4" spans="1:9" ht="36">
      <c r="A4" s="9" t="s">
        <v>0</v>
      </c>
      <c r="B4" s="10" t="s">
        <v>33</v>
      </c>
      <c r="C4" s="10" t="s">
        <v>34</v>
      </c>
      <c r="D4" s="11" t="s">
        <v>3</v>
      </c>
      <c r="E4" s="11" t="s">
        <v>4</v>
      </c>
      <c r="F4" s="11">
        <v>0.45</v>
      </c>
      <c r="G4" s="11">
        <v>4.7699999999999996</v>
      </c>
      <c r="H4" s="11">
        <v>3.55</v>
      </c>
      <c r="I4" s="11">
        <v>8.7200000000000006</v>
      </c>
    </row>
    <row r="5" spans="1:9" ht="36">
      <c r="A5" s="9" t="s">
        <v>0</v>
      </c>
      <c r="B5" s="10" t="s">
        <v>35</v>
      </c>
      <c r="C5" s="10" t="s">
        <v>36</v>
      </c>
      <c r="D5" s="11" t="s">
        <v>3</v>
      </c>
      <c r="E5" s="11" t="s">
        <v>4</v>
      </c>
      <c r="F5" s="11">
        <v>0.38</v>
      </c>
      <c r="G5" s="11">
        <v>6.28</v>
      </c>
      <c r="H5" s="11">
        <v>1.64</v>
      </c>
      <c r="I5" s="11">
        <v>8.01</v>
      </c>
    </row>
    <row r="6" spans="1:9" ht="36">
      <c r="A6" s="9" t="s">
        <v>0</v>
      </c>
      <c r="B6" s="10" t="s">
        <v>63</v>
      </c>
      <c r="C6" s="10" t="s">
        <v>64</v>
      </c>
      <c r="D6" s="11" t="s">
        <v>3</v>
      </c>
      <c r="E6" s="11" t="s">
        <v>4</v>
      </c>
      <c r="F6" s="11">
        <v>0.87</v>
      </c>
      <c r="G6" s="11">
        <v>7.55</v>
      </c>
      <c r="H6" s="11">
        <v>6.69</v>
      </c>
      <c r="I6" s="11">
        <v>13.28</v>
      </c>
    </row>
    <row r="7" spans="1:9" ht="36">
      <c r="A7" s="9" t="s">
        <v>0</v>
      </c>
      <c r="B7" s="10" t="s">
        <v>65</v>
      </c>
      <c r="C7" s="10" t="s">
        <v>66</v>
      </c>
      <c r="D7" s="11" t="s">
        <v>3</v>
      </c>
      <c r="E7" s="11" t="s">
        <v>4</v>
      </c>
      <c r="F7" s="11">
        <v>0.86</v>
      </c>
      <c r="G7" s="11">
        <v>15.68</v>
      </c>
      <c r="H7" s="11">
        <v>1.1299999999999999</v>
      </c>
      <c r="I7" s="11">
        <v>8.93</v>
      </c>
    </row>
    <row r="8" spans="1:9" ht="36">
      <c r="A8" s="9" t="s">
        <v>0</v>
      </c>
      <c r="B8" s="10" t="s">
        <v>67</v>
      </c>
      <c r="C8" s="10" t="s">
        <v>68</v>
      </c>
      <c r="D8" s="11" t="s">
        <v>3</v>
      </c>
      <c r="E8" s="11" t="s">
        <v>4</v>
      </c>
      <c r="F8" s="11">
        <v>1.61</v>
      </c>
      <c r="G8" s="11">
        <v>27.65</v>
      </c>
      <c r="H8" s="11">
        <v>7.05</v>
      </c>
      <c r="I8" s="11">
        <v>40.29</v>
      </c>
    </row>
    <row r="9" spans="1:9" ht="36">
      <c r="A9" s="9" t="s">
        <v>0</v>
      </c>
      <c r="B9" s="10" t="s">
        <v>1</v>
      </c>
      <c r="C9" s="10" t="s">
        <v>2</v>
      </c>
      <c r="D9" s="11" t="s">
        <v>3</v>
      </c>
      <c r="E9" s="11" t="s">
        <v>4</v>
      </c>
      <c r="F9" s="11">
        <v>2.19</v>
      </c>
      <c r="G9" s="11">
        <v>29.84</v>
      </c>
      <c r="H9" s="11">
        <v>9.74</v>
      </c>
      <c r="I9" s="11">
        <v>64.92</v>
      </c>
    </row>
    <row r="10" spans="1:9" ht="36">
      <c r="A10" s="9" t="s">
        <v>0</v>
      </c>
      <c r="B10" s="10" t="s">
        <v>5</v>
      </c>
      <c r="C10" s="10" t="s">
        <v>6</v>
      </c>
      <c r="D10" s="11" t="s">
        <v>3</v>
      </c>
      <c r="E10" s="11" t="s">
        <v>4</v>
      </c>
      <c r="F10" s="11">
        <v>2.84</v>
      </c>
      <c r="G10" s="11">
        <v>26.57</v>
      </c>
      <c r="H10" s="11">
        <v>18.64</v>
      </c>
      <c r="I10" s="11">
        <v>38.409999999999997</v>
      </c>
    </row>
    <row r="11" spans="1:9" ht="36">
      <c r="A11" s="9" t="s">
        <v>0</v>
      </c>
      <c r="B11" s="10" t="s">
        <v>13</v>
      </c>
      <c r="C11" s="10" t="s">
        <v>14</v>
      </c>
      <c r="D11" s="11" t="s">
        <v>3</v>
      </c>
      <c r="E11" s="11" t="s">
        <v>4</v>
      </c>
      <c r="F11" s="11">
        <v>1.65</v>
      </c>
      <c r="G11" s="11">
        <v>58.11</v>
      </c>
      <c r="H11" s="11">
        <v>23.34</v>
      </c>
      <c r="I11" s="11">
        <v>125.64</v>
      </c>
    </row>
    <row r="12" spans="1:9" ht="36">
      <c r="A12" s="9" t="s">
        <v>0</v>
      </c>
      <c r="B12" s="10" t="s">
        <v>25</v>
      </c>
      <c r="C12" s="10" t="s">
        <v>26</v>
      </c>
      <c r="D12" s="11" t="s">
        <v>3</v>
      </c>
      <c r="E12" s="11" t="s">
        <v>4</v>
      </c>
      <c r="F12" s="11">
        <v>0.91</v>
      </c>
      <c r="G12" s="11">
        <v>16.829999999999998</v>
      </c>
      <c r="H12" s="11">
        <v>1.43</v>
      </c>
      <c r="I12" s="11">
        <v>21.44</v>
      </c>
    </row>
    <row r="13" spans="1:9" ht="36">
      <c r="A13" s="9" t="s">
        <v>0</v>
      </c>
      <c r="B13" s="10" t="s">
        <v>27</v>
      </c>
      <c r="C13" s="10" t="s">
        <v>28</v>
      </c>
      <c r="D13" s="11" t="s">
        <v>3</v>
      </c>
      <c r="E13" s="11" t="s">
        <v>4</v>
      </c>
      <c r="F13" s="11">
        <v>1.21</v>
      </c>
      <c r="G13" s="11">
        <v>13.91</v>
      </c>
      <c r="H13" s="11">
        <v>5.75</v>
      </c>
      <c r="I13" s="11">
        <v>20.170000000000002</v>
      </c>
    </row>
    <row r="14" spans="1:9" ht="36">
      <c r="A14" s="9" t="s">
        <v>0</v>
      </c>
      <c r="B14" s="10" t="s">
        <v>43</v>
      </c>
      <c r="C14" s="10" t="s">
        <v>44</v>
      </c>
      <c r="D14" s="11" t="s">
        <v>3</v>
      </c>
      <c r="E14" s="11" t="s">
        <v>4</v>
      </c>
      <c r="F14" s="11">
        <v>0.4</v>
      </c>
      <c r="G14" s="11">
        <v>41.39</v>
      </c>
      <c r="H14" s="11">
        <v>4.0599999999999996</v>
      </c>
      <c r="I14" s="11">
        <v>7.86</v>
      </c>
    </row>
    <row r="15" spans="1:9" ht="36">
      <c r="A15" s="9" t="s">
        <v>0</v>
      </c>
      <c r="B15" s="10" t="s">
        <v>69</v>
      </c>
      <c r="C15" s="10" t="s">
        <v>70</v>
      </c>
      <c r="D15" s="11" t="s">
        <v>3</v>
      </c>
      <c r="E15" s="11" t="s">
        <v>4</v>
      </c>
      <c r="F15" s="11">
        <v>0.86</v>
      </c>
      <c r="G15" s="11">
        <v>7.79</v>
      </c>
      <c r="H15" s="11">
        <v>4.08</v>
      </c>
      <c r="I15" s="11">
        <v>10.78</v>
      </c>
    </row>
    <row r="16" spans="1:9" ht="36">
      <c r="A16" s="9" t="s">
        <v>0</v>
      </c>
      <c r="B16" s="10" t="s">
        <v>7</v>
      </c>
      <c r="C16" s="10" t="s">
        <v>8</v>
      </c>
      <c r="D16" s="11" t="s">
        <v>3</v>
      </c>
      <c r="E16" s="11" t="s">
        <v>4</v>
      </c>
      <c r="F16" s="11">
        <v>13.78</v>
      </c>
      <c r="G16" s="11">
        <v>36.14</v>
      </c>
      <c r="H16" s="11">
        <v>7.04</v>
      </c>
      <c r="I16" s="11">
        <v>131.52000000000001</v>
      </c>
    </row>
    <row r="17" spans="1:9" ht="36">
      <c r="A17" s="9" t="s">
        <v>0</v>
      </c>
      <c r="B17" s="10" t="s">
        <v>41</v>
      </c>
      <c r="C17" s="10" t="s">
        <v>42</v>
      </c>
      <c r="D17" s="11" t="s">
        <v>3</v>
      </c>
      <c r="E17" s="11" t="s">
        <v>4</v>
      </c>
      <c r="F17" s="11">
        <v>0.79</v>
      </c>
      <c r="G17" s="11">
        <v>25.56</v>
      </c>
      <c r="H17" s="11">
        <v>4.4400000000000004</v>
      </c>
      <c r="I17" s="11">
        <v>32.950000000000003</v>
      </c>
    </row>
    <row r="18" spans="1:9" ht="36">
      <c r="A18" s="9" t="s">
        <v>0</v>
      </c>
      <c r="B18" s="10" t="s">
        <v>71</v>
      </c>
      <c r="C18" s="10" t="s">
        <v>72</v>
      </c>
      <c r="D18" s="11" t="s">
        <v>3</v>
      </c>
      <c r="E18" s="11" t="s">
        <v>4</v>
      </c>
      <c r="F18" s="11">
        <v>1.49</v>
      </c>
      <c r="G18" s="11">
        <v>20.43</v>
      </c>
      <c r="H18" s="11">
        <v>5.39</v>
      </c>
      <c r="I18" s="11">
        <v>29.27</v>
      </c>
    </row>
    <row r="19" spans="1:9" ht="36">
      <c r="A19" s="9" t="s">
        <v>0</v>
      </c>
      <c r="B19" s="10" t="s">
        <v>73</v>
      </c>
      <c r="C19" s="10" t="s">
        <v>74</v>
      </c>
      <c r="D19" s="11" t="s">
        <v>3</v>
      </c>
      <c r="E19" s="11" t="s">
        <v>4</v>
      </c>
      <c r="F19" s="11">
        <v>2.4700000000000002</v>
      </c>
      <c r="G19" s="11">
        <v>21.01</v>
      </c>
      <c r="H19" s="11">
        <v>2.17</v>
      </c>
      <c r="I19" s="11">
        <v>21.57</v>
      </c>
    </row>
    <row r="20" spans="1:9" ht="36">
      <c r="A20" s="9" t="s">
        <v>0</v>
      </c>
      <c r="B20" s="10" t="s">
        <v>75</v>
      </c>
      <c r="C20" s="10" t="s">
        <v>76</v>
      </c>
      <c r="D20" s="11" t="s">
        <v>3</v>
      </c>
      <c r="E20" s="11" t="s">
        <v>4</v>
      </c>
      <c r="F20" s="11">
        <v>12.65</v>
      </c>
      <c r="G20" s="11">
        <v>12.78</v>
      </c>
      <c r="H20" s="11">
        <v>22.13</v>
      </c>
      <c r="I20" s="11">
        <v>11.05</v>
      </c>
    </row>
    <row r="21" spans="1:9" ht="36">
      <c r="A21" s="9" t="s">
        <v>0</v>
      </c>
      <c r="B21" s="10" t="s">
        <v>77</v>
      </c>
      <c r="C21" s="10" t="s">
        <v>78</v>
      </c>
      <c r="D21" s="11" t="s">
        <v>3</v>
      </c>
      <c r="E21" s="11" t="s">
        <v>4</v>
      </c>
      <c r="F21" s="11">
        <v>0.99</v>
      </c>
      <c r="G21" s="11">
        <v>8.6199999999999992</v>
      </c>
      <c r="H21" s="11">
        <v>1.72</v>
      </c>
      <c r="I21" s="11">
        <v>52.95</v>
      </c>
    </row>
    <row r="22" spans="1:9" ht="36">
      <c r="A22" s="9" t="s">
        <v>0</v>
      </c>
      <c r="B22" s="10" t="s">
        <v>15</v>
      </c>
      <c r="C22" s="10" t="s">
        <v>16</v>
      </c>
      <c r="D22" s="11" t="s">
        <v>3</v>
      </c>
      <c r="E22" s="11" t="s">
        <v>4</v>
      </c>
      <c r="F22" s="11">
        <v>1.77</v>
      </c>
      <c r="G22" s="11">
        <v>21.1</v>
      </c>
      <c r="H22" s="11">
        <v>3.41</v>
      </c>
      <c r="I22" s="11">
        <v>28.99</v>
      </c>
    </row>
    <row r="23" spans="1:9" ht="36">
      <c r="A23" s="9" t="s">
        <v>0</v>
      </c>
      <c r="B23" s="10" t="s">
        <v>21</v>
      </c>
      <c r="C23" s="10" t="s">
        <v>22</v>
      </c>
      <c r="D23" s="11" t="s">
        <v>3</v>
      </c>
      <c r="E23" s="11" t="s">
        <v>4</v>
      </c>
      <c r="F23" s="11">
        <v>1.91</v>
      </c>
      <c r="G23" s="11">
        <v>30.08</v>
      </c>
      <c r="H23" s="11">
        <v>4.82</v>
      </c>
      <c r="I23" s="11">
        <v>45.39</v>
      </c>
    </row>
    <row r="24" spans="1:9" ht="36">
      <c r="A24" s="9" t="s">
        <v>0</v>
      </c>
      <c r="B24" s="10" t="s">
        <v>23</v>
      </c>
      <c r="C24" s="10" t="s">
        <v>24</v>
      </c>
      <c r="D24" s="11" t="s">
        <v>3</v>
      </c>
      <c r="E24" s="11" t="s">
        <v>4</v>
      </c>
      <c r="F24" s="11">
        <v>0.87</v>
      </c>
      <c r="G24" s="11">
        <v>17.559999999999999</v>
      </c>
      <c r="H24" s="11">
        <v>3.1</v>
      </c>
      <c r="I24" s="11">
        <v>22.01</v>
      </c>
    </row>
    <row r="25" spans="1:9" ht="36">
      <c r="A25" s="9" t="s">
        <v>0</v>
      </c>
      <c r="B25" s="10" t="s">
        <v>79</v>
      </c>
      <c r="C25" s="10" t="s">
        <v>80</v>
      </c>
      <c r="D25" s="11" t="s">
        <v>3</v>
      </c>
      <c r="E25" s="11" t="s">
        <v>4</v>
      </c>
      <c r="F25" s="11">
        <v>1.93</v>
      </c>
      <c r="G25" s="11">
        <v>34.74</v>
      </c>
      <c r="H25" s="11">
        <v>6.67</v>
      </c>
      <c r="I25" s="11">
        <v>139.75</v>
      </c>
    </row>
    <row r="26" spans="1:9" ht="36">
      <c r="A26" s="9" t="s">
        <v>0</v>
      </c>
      <c r="B26" s="10" t="s">
        <v>81</v>
      </c>
      <c r="C26" s="10" t="s">
        <v>82</v>
      </c>
      <c r="D26" s="11" t="s">
        <v>3</v>
      </c>
      <c r="E26" s="11" t="s">
        <v>4</v>
      </c>
      <c r="F26" s="11">
        <v>3.91</v>
      </c>
      <c r="G26" s="11">
        <v>20.63</v>
      </c>
      <c r="H26" s="11">
        <v>6.16</v>
      </c>
      <c r="I26" s="11">
        <v>27.09</v>
      </c>
    </row>
    <row r="27" spans="1:9" ht="36">
      <c r="A27" s="9" t="s">
        <v>0</v>
      </c>
      <c r="B27" s="10" t="s">
        <v>83</v>
      </c>
      <c r="C27" s="10" t="s">
        <v>84</v>
      </c>
      <c r="D27" s="11" t="s">
        <v>3</v>
      </c>
      <c r="E27" s="11" t="s">
        <v>4</v>
      </c>
      <c r="F27" s="11">
        <v>2.42</v>
      </c>
      <c r="G27" s="11">
        <v>21.93</v>
      </c>
      <c r="H27" s="11">
        <v>14.51</v>
      </c>
      <c r="I27" s="11">
        <v>54.38</v>
      </c>
    </row>
    <row r="28" spans="1:9" ht="36">
      <c r="A28" s="9" t="s">
        <v>0</v>
      </c>
      <c r="B28" s="10" t="s">
        <v>85</v>
      </c>
      <c r="C28" s="10" t="s">
        <v>86</v>
      </c>
      <c r="D28" s="11" t="s">
        <v>3</v>
      </c>
      <c r="E28" s="11" t="s">
        <v>4</v>
      </c>
      <c r="F28" s="11">
        <v>6.04</v>
      </c>
      <c r="G28" s="11">
        <v>9.15</v>
      </c>
      <c r="H28" s="11">
        <v>4.09</v>
      </c>
      <c r="I28" s="11">
        <v>174.33</v>
      </c>
    </row>
    <row r="29" spans="1:9" ht="36">
      <c r="A29" s="9" t="s">
        <v>0</v>
      </c>
      <c r="B29" s="10" t="s">
        <v>9</v>
      </c>
      <c r="C29" s="10" t="s">
        <v>10</v>
      </c>
      <c r="D29" s="11" t="s">
        <v>3</v>
      </c>
      <c r="E29" s="11" t="s">
        <v>4</v>
      </c>
      <c r="F29" s="11">
        <v>1.72</v>
      </c>
      <c r="G29" s="11">
        <v>20.83</v>
      </c>
      <c r="H29" s="11">
        <v>6.91</v>
      </c>
      <c r="I29" s="11">
        <v>36.32</v>
      </c>
    </row>
    <row r="30" spans="1:9" ht="36">
      <c r="A30" s="9" t="s">
        <v>0</v>
      </c>
      <c r="B30" s="10" t="s">
        <v>11</v>
      </c>
      <c r="C30" s="10" t="s">
        <v>12</v>
      </c>
      <c r="D30" s="11" t="s">
        <v>3</v>
      </c>
      <c r="E30" s="11" t="s">
        <v>4</v>
      </c>
      <c r="F30" s="11">
        <v>0.94</v>
      </c>
      <c r="G30" s="11">
        <v>12.99</v>
      </c>
      <c r="H30" s="11">
        <v>3.46</v>
      </c>
      <c r="I30" s="11">
        <v>18.329999999999998</v>
      </c>
    </row>
    <row r="31" spans="1:9" ht="36">
      <c r="A31" s="9" t="s">
        <v>0</v>
      </c>
      <c r="B31" s="10" t="s">
        <v>17</v>
      </c>
      <c r="C31" s="10" t="s">
        <v>18</v>
      </c>
      <c r="D31" s="11" t="s">
        <v>3</v>
      </c>
      <c r="E31" s="11" t="s">
        <v>4</v>
      </c>
      <c r="F31" s="11">
        <v>3.67</v>
      </c>
      <c r="G31" s="11">
        <v>15.48</v>
      </c>
      <c r="H31" s="11">
        <v>6.09</v>
      </c>
      <c r="I31" s="11">
        <v>20.73</v>
      </c>
    </row>
    <row r="32" spans="1:9" ht="36">
      <c r="A32" s="9" t="s">
        <v>0</v>
      </c>
      <c r="B32" s="10" t="s">
        <v>19</v>
      </c>
      <c r="C32" s="10" t="s">
        <v>20</v>
      </c>
      <c r="D32" s="11" t="s">
        <v>3</v>
      </c>
      <c r="E32" s="11" t="s">
        <v>4</v>
      </c>
      <c r="F32" s="11">
        <v>0.67</v>
      </c>
      <c r="G32" s="11">
        <v>27.24</v>
      </c>
      <c r="H32" s="11">
        <v>11.18</v>
      </c>
      <c r="I32" s="11">
        <v>62.14</v>
      </c>
    </row>
    <row r="33" spans="1:9" ht="36">
      <c r="A33" s="9" t="s">
        <v>0</v>
      </c>
      <c r="B33" s="10" t="s">
        <v>87</v>
      </c>
      <c r="C33" s="10" t="s">
        <v>88</v>
      </c>
      <c r="D33" s="11" t="s">
        <v>3</v>
      </c>
      <c r="E33" s="11" t="s">
        <v>4</v>
      </c>
      <c r="F33" s="11">
        <v>3.35</v>
      </c>
      <c r="G33" s="11">
        <v>26.72</v>
      </c>
      <c r="H33" s="11">
        <v>34.36</v>
      </c>
      <c r="I33" s="11">
        <v>34.08</v>
      </c>
    </row>
    <row r="34" spans="1:9" ht="36">
      <c r="A34" s="9" t="s">
        <v>0</v>
      </c>
      <c r="B34" s="10" t="s">
        <v>37</v>
      </c>
      <c r="C34" s="10" t="s">
        <v>38</v>
      </c>
      <c r="D34" s="11" t="s">
        <v>3</v>
      </c>
      <c r="E34" s="11" t="s">
        <v>4</v>
      </c>
      <c r="F34" s="11">
        <v>0.73</v>
      </c>
      <c r="G34" s="11">
        <v>10.52</v>
      </c>
      <c r="H34" s="11">
        <v>0.56999999999999995</v>
      </c>
      <c r="I34" s="11">
        <v>19.559999999999999</v>
      </c>
    </row>
    <row r="35" spans="1:9" ht="36">
      <c r="A35" s="9" t="s">
        <v>0</v>
      </c>
      <c r="B35" s="10" t="s">
        <v>39</v>
      </c>
      <c r="C35" s="10" t="s">
        <v>40</v>
      </c>
      <c r="D35" s="11" t="s">
        <v>3</v>
      </c>
      <c r="E35" s="11" t="s">
        <v>4</v>
      </c>
      <c r="F35" s="11">
        <v>0.9</v>
      </c>
      <c r="G35" s="11">
        <v>7.77</v>
      </c>
      <c r="H35" s="11">
        <v>2.77</v>
      </c>
      <c r="I35" s="11">
        <v>7.25</v>
      </c>
    </row>
    <row r="36" spans="1:9" ht="36">
      <c r="A36" s="9" t="s">
        <v>0</v>
      </c>
      <c r="B36" s="10" t="s">
        <v>89</v>
      </c>
      <c r="C36" s="10" t="s">
        <v>90</v>
      </c>
      <c r="D36" s="11" t="s">
        <v>3</v>
      </c>
      <c r="E36" s="11" t="s">
        <v>4</v>
      </c>
      <c r="F36" s="11">
        <v>2</v>
      </c>
      <c r="G36" s="11">
        <v>140.41</v>
      </c>
      <c r="H36" s="11">
        <v>9.02</v>
      </c>
      <c r="I36" s="11">
        <v>432.6</v>
      </c>
    </row>
    <row r="37" spans="1:9" ht="36">
      <c r="A37" s="9" t="s">
        <v>0</v>
      </c>
      <c r="B37" s="10" t="s">
        <v>91</v>
      </c>
      <c r="C37" s="10" t="s">
        <v>92</v>
      </c>
      <c r="D37" s="11" t="s">
        <v>3</v>
      </c>
      <c r="E37" s="11" t="s">
        <v>4</v>
      </c>
      <c r="F37" s="11">
        <v>3.1</v>
      </c>
      <c r="G37" s="11">
        <v>86.53</v>
      </c>
      <c r="H37" s="11">
        <v>5.05</v>
      </c>
      <c r="I37" s="11">
        <v>186.06</v>
      </c>
    </row>
    <row r="38" spans="1:9">
      <c r="F38">
        <v>0.91</v>
      </c>
      <c r="G38">
        <v>17.559999999999999</v>
      </c>
      <c r="H38">
        <v>4.4400000000000004</v>
      </c>
      <c r="I38">
        <v>22.01</v>
      </c>
    </row>
    <row r="45" spans="1:9">
      <c r="D45" s="2"/>
      <c r="E45" s="2"/>
      <c r="F45" s="3" t="s">
        <v>94</v>
      </c>
      <c r="G45" s="12" t="s">
        <v>45</v>
      </c>
      <c r="H45" s="3" t="s">
        <v>46</v>
      </c>
      <c r="I45" s="3" t="s">
        <v>95</v>
      </c>
    </row>
    <row r="46" spans="1:9">
      <c r="D46" s="4" t="s">
        <v>54</v>
      </c>
      <c r="E46" s="5" t="s">
        <v>53</v>
      </c>
      <c r="F46" s="6"/>
      <c r="G46" s="13"/>
      <c r="H46" s="6"/>
      <c r="I46" s="6"/>
    </row>
    <row r="47" spans="1:9">
      <c r="D47" s="4" t="s">
        <v>47</v>
      </c>
      <c r="E47" s="7">
        <v>6636613</v>
      </c>
      <c r="F47" s="6"/>
      <c r="G47" s="13"/>
      <c r="H47" s="6">
        <f>+E47*H38</f>
        <v>29466561.720000003</v>
      </c>
      <c r="I47" s="6"/>
    </row>
    <row r="48" spans="1:9">
      <c r="D48" s="4" t="s">
        <v>48</v>
      </c>
      <c r="E48" s="7">
        <v>69120220</v>
      </c>
      <c r="F48" s="6">
        <f>+E48*F38</f>
        <v>62899400.200000003</v>
      </c>
      <c r="G48" s="13"/>
      <c r="H48" s="6"/>
      <c r="I48" s="6"/>
    </row>
    <row r="49" spans="4:9">
      <c r="D49" s="4" t="s">
        <v>49</v>
      </c>
      <c r="E49" s="7">
        <f>3093191+446120</f>
        <v>3539311</v>
      </c>
      <c r="F49" s="6"/>
      <c r="G49" s="13">
        <f>+E49*G38</f>
        <v>62150301.159999996</v>
      </c>
      <c r="H49" s="6"/>
      <c r="I49" s="6"/>
    </row>
    <row r="50" spans="4:9">
      <c r="D50" s="4" t="s">
        <v>50</v>
      </c>
      <c r="E50" s="7">
        <v>2326846</v>
      </c>
      <c r="F50" s="6"/>
      <c r="G50" s="13"/>
      <c r="H50" s="6"/>
      <c r="I50" s="6">
        <f>+E50*I38</f>
        <v>51213880.460000001</v>
      </c>
    </row>
    <row r="51" spans="4:9">
      <c r="D51" s="4"/>
      <c r="E51" s="5"/>
      <c r="F51" s="6"/>
      <c r="G51" s="13"/>
      <c r="H51" s="6"/>
      <c r="I51" s="6"/>
    </row>
    <row r="52" spans="4:9">
      <c r="D52" s="4" t="s">
        <v>51</v>
      </c>
      <c r="E52" s="7">
        <v>0</v>
      </c>
      <c r="F52" s="6"/>
      <c r="G52" s="13"/>
      <c r="H52" s="6"/>
      <c r="I52" s="6"/>
    </row>
    <row r="53" spans="4:9">
      <c r="D53" s="4" t="s">
        <v>52</v>
      </c>
      <c r="E53" s="7">
        <v>6945343</v>
      </c>
      <c r="F53" s="6"/>
      <c r="G53" s="13"/>
      <c r="H53" s="6"/>
      <c r="I53" s="6"/>
    </row>
    <row r="54" spans="4:9">
      <c r="D54" s="2"/>
      <c r="E54" s="2"/>
      <c r="F54" s="6"/>
      <c r="G54" s="13"/>
      <c r="H54" s="6"/>
      <c r="I54" s="6"/>
    </row>
    <row r="55" spans="4:9">
      <c r="D55" s="2"/>
      <c r="E55" s="2" t="s">
        <v>93</v>
      </c>
      <c r="F55" s="6">
        <f>+F48+E53</f>
        <v>69844743.200000003</v>
      </c>
      <c r="G55" s="14">
        <f>+G49+E53</f>
        <v>69095644.159999996</v>
      </c>
      <c r="H55" s="6">
        <f>+H47</f>
        <v>29466561.720000003</v>
      </c>
      <c r="I55" s="6">
        <f>+I50</f>
        <v>51213880.460000001</v>
      </c>
    </row>
  </sheetData>
  <hyperlinks>
    <hyperlink ref="B2" r:id="rId1" display="https://app.tikr.com/stock/about?cid=30488117&amp;tid=261398974&amp;ref=dddptb" xr:uid="{5F81C584-8ACE-47C5-BE91-877D9F4CAB9B}"/>
    <hyperlink ref="C2" r:id="rId2" display="https://app.tikr.com/stock/about?cid=30488117&amp;tid=261398974&amp;ref=dddptb" xr:uid="{82B4642B-58AD-48E7-876A-FFD9CBA28B35}"/>
    <hyperlink ref="B3" r:id="rId3" display="https://app.tikr.com/stock/about?cid=879643&amp;tid=20200902&amp;ref=dddptb" xr:uid="{17A1B3EF-62D1-47B7-9AE7-218785CD70AF}"/>
    <hyperlink ref="C3" r:id="rId4" display="https://app.tikr.com/stock/about?cid=879643&amp;tid=20200902&amp;ref=dddptb" xr:uid="{F3C132DB-B190-4EAD-AC07-D12151417AFC}"/>
    <hyperlink ref="B4" r:id="rId5" display="https://app.tikr.com/stock/about?cid=20354344&amp;tid=20212064&amp;ref=dddptb" xr:uid="{1200D60B-77BE-4CB0-BE30-9754CEDBA50B}"/>
    <hyperlink ref="C4" r:id="rId6" display="https://app.tikr.com/stock/about?cid=20354344&amp;tid=20212064&amp;ref=dddptb" xr:uid="{858831D3-0794-4A8F-8482-BE050545EFAB}"/>
    <hyperlink ref="B5" r:id="rId7" display="https://app.tikr.com/stock/about?cid=311185986&amp;tid=314673248&amp;ref=dddptb" xr:uid="{A30EA31F-A244-4675-8AB8-E22339E69F1D}"/>
    <hyperlink ref="C5" r:id="rId8" display="https://app.tikr.com/stock/about?cid=311185986&amp;tid=314673248&amp;ref=dddptb" xr:uid="{F17AF2C1-5AD5-4D19-8001-A18BCF322EF6}"/>
    <hyperlink ref="B6" r:id="rId9" display="https://app.tikr.com/stock/about?cid=99945040&amp;tid=556120936&amp;ref=dddptb" xr:uid="{C6CB881F-A488-4672-8EB0-26A654E65728}"/>
    <hyperlink ref="C6" r:id="rId10" display="https://app.tikr.com/stock/about?cid=99945040&amp;tid=556120936&amp;ref=dddptb" xr:uid="{17C0823E-06E4-4457-9256-5A7274F86499}"/>
    <hyperlink ref="B7" r:id="rId11" display="https://app.tikr.com/stock/about?cid=36422550&amp;tid=1671509644&amp;ref=dddptb" xr:uid="{6EC5DE71-6A39-4D05-823B-9D66753CA6A7}"/>
    <hyperlink ref="C7" r:id="rId12" display="https://app.tikr.com/stock/about?cid=36422550&amp;tid=1671509644&amp;ref=dddptb" xr:uid="{9F70AA71-7123-4FB1-883A-882D1647D841}"/>
    <hyperlink ref="B8" r:id="rId13" display="https://app.tikr.com/stock/about?cid=537423168&amp;tid=614907309&amp;ref=dddptb" xr:uid="{4C9628AF-7439-4530-A031-79C04EA561C1}"/>
    <hyperlink ref="C8" r:id="rId14" display="https://app.tikr.com/stock/about?cid=537423168&amp;tid=614907309&amp;ref=dddptb" xr:uid="{21FDF393-B904-4848-88DB-D2C7753D1830}"/>
    <hyperlink ref="B9" r:id="rId15" display="https://app.tikr.com/stock/about?cid=97997549&amp;tid=273511203&amp;ref=dddptb" xr:uid="{652BC889-1D1E-4FF6-A371-79B17077A7EC}"/>
    <hyperlink ref="C9" r:id="rId16" display="https://app.tikr.com/stock/about?cid=97997549&amp;tid=273511203&amp;ref=dddptb" xr:uid="{F5C9BD9A-A502-4991-B4B4-D754AC428700}"/>
    <hyperlink ref="B10" r:id="rId17" display="https://app.tikr.com/stock/about?cid=315460452&amp;tid=541712010&amp;ref=dddptb" xr:uid="{56800169-4F62-4BAC-A24E-AEEC9AC448F0}"/>
    <hyperlink ref="C10" r:id="rId18" display="https://app.tikr.com/stock/about?cid=315460452&amp;tid=541712010&amp;ref=dddptb" xr:uid="{8582EFB9-E7F4-48ED-A4B5-3EFB7C2C53DA}"/>
    <hyperlink ref="B11" r:id="rId19" display="https://app.tikr.com/stock/about?cid=539321&amp;tid=46259586&amp;ref=dddptb" xr:uid="{398E8D13-7525-4C3C-9AF9-A5D5DB405E2A}"/>
    <hyperlink ref="C11" r:id="rId20" display="https://app.tikr.com/stock/about?cid=539321&amp;tid=46259586&amp;ref=dddptb" xr:uid="{F07BCD81-D1C4-475D-8F01-2B6588587D10}"/>
    <hyperlink ref="B12" r:id="rId21" display="https://app.tikr.com/stock/about?cid=668927&amp;tid=32517607&amp;ref=dddptb" xr:uid="{96433D26-87CA-45AC-8566-AD58752D4F40}"/>
    <hyperlink ref="C12" r:id="rId22" display="https://app.tikr.com/stock/about?cid=668927&amp;tid=32517607&amp;ref=dddptb" xr:uid="{0E15BAC2-AC73-492F-AC3C-474212B6CA02}"/>
    <hyperlink ref="B13" r:id="rId23" display="https://app.tikr.com/stock/about?cid=580985472&amp;tid=585886361&amp;ref=dddptb" xr:uid="{627823F9-B93F-49E2-8377-613E69CA2296}"/>
    <hyperlink ref="C13" r:id="rId24" display="https://app.tikr.com/stock/about?cid=580985472&amp;tid=585886361&amp;ref=dddptb" xr:uid="{A6BF1654-FFAE-49F5-9188-D0A5D30DCE19}"/>
    <hyperlink ref="B14" r:id="rId25" display="https://app.tikr.com/stock/about?cid=552505&amp;tid=32518611&amp;ref=dddptb" xr:uid="{A32C5D15-4745-4DFF-A927-74ECD71553F0}"/>
    <hyperlink ref="C14" r:id="rId26" display="https://app.tikr.com/stock/about?cid=552505&amp;tid=32518611&amp;ref=dddptb" xr:uid="{6E18E6C2-BCC4-4557-A8FD-9593B14531F1}"/>
    <hyperlink ref="B15" r:id="rId27" display="https://app.tikr.com/stock/about?cid=206635958&amp;tid=694778850&amp;ref=dddptb" xr:uid="{EAC5A559-3A78-43E6-91F4-3482D23C2EA4}"/>
    <hyperlink ref="C15" r:id="rId28" display="https://app.tikr.com/stock/about?cid=206635958&amp;tid=694778850&amp;ref=dddptb" xr:uid="{85FB4EB3-6FA9-40D7-8C1D-2A1083C65D82}"/>
    <hyperlink ref="B16" r:id="rId29" display="https://app.tikr.com/stock/about?cid=684129716&amp;tid=689709459&amp;ref=dddptb" xr:uid="{ED36A7E0-BE58-4105-93E8-9AFAF8CFF669}"/>
    <hyperlink ref="C16" r:id="rId30" display="https://app.tikr.com/stock/about?cid=684129716&amp;tid=689709459&amp;ref=dddptb" xr:uid="{0E94C9B6-E613-42B6-8371-5EE30E619947}"/>
    <hyperlink ref="B17" r:id="rId31" display="https://app.tikr.com/stock/about?cid=36544341&amp;tid=36522065&amp;ref=dddptb" xr:uid="{71FA4E89-1931-4668-8130-6641754C985C}"/>
    <hyperlink ref="C17" r:id="rId32" display="https://app.tikr.com/stock/about?cid=36544341&amp;tid=36522065&amp;ref=dddptb" xr:uid="{978F5DCF-2043-4CD2-83DB-EDBD274CC52C}"/>
    <hyperlink ref="B18" r:id="rId33" display="https://app.tikr.com/stock/about?cid=242770814&amp;tid=699497979&amp;ref=dddptb" xr:uid="{0E01E9A0-C58B-4521-92EB-47C046765AAE}"/>
    <hyperlink ref="C18" r:id="rId34" display="https://app.tikr.com/stock/about?cid=242770814&amp;tid=699497979&amp;ref=dddptb" xr:uid="{2855FF63-4A89-48E1-93D7-C7C9A1F472C8}"/>
    <hyperlink ref="B19" r:id="rId35" display="https://app.tikr.com/stock/about?cid=641618052&amp;tid=707248338&amp;ref=dddptb" xr:uid="{948C6A3A-38EF-4244-AC42-3417A1CA1872}"/>
    <hyperlink ref="C19" r:id="rId36" display="https://app.tikr.com/stock/about?cid=641618052&amp;tid=707248338&amp;ref=dddptb" xr:uid="{0054BAB3-263B-4380-855A-90C2415FD365}"/>
    <hyperlink ref="B20" r:id="rId37" display="https://app.tikr.com/stock/about?cid=23317708&amp;tid=114763957&amp;ref=dddptb" xr:uid="{2DE614C4-55D3-4D39-ACAD-DBDEC8AC9D06}"/>
    <hyperlink ref="C20" r:id="rId38" display="https://app.tikr.com/stock/about?cid=23317708&amp;tid=114763957&amp;ref=dddptb" xr:uid="{58AD9F12-EBF7-45F1-BEAB-A1AB93F6A20A}"/>
    <hyperlink ref="B21" r:id="rId39" display="https://app.tikr.com/stock/about?cid=214732082&amp;tid=227993511&amp;ref=dddptb" xr:uid="{A65AE5F4-A708-448A-AFBF-3C2058EABCF0}"/>
    <hyperlink ref="C21" r:id="rId40" display="https://app.tikr.com/stock/about?cid=214732082&amp;tid=227993511&amp;ref=dddptb" xr:uid="{CE89DDB9-F115-465B-B376-B4D977B9280B}"/>
    <hyperlink ref="B22" r:id="rId41" display="https://app.tikr.com/stock/about?cid=412090459&amp;tid=556642691&amp;ref=dddptb" xr:uid="{071208E6-38B3-4461-B88E-FB5A8C100952}"/>
    <hyperlink ref="C22" r:id="rId42" display="https://app.tikr.com/stock/about?cid=412090459&amp;tid=556642691&amp;ref=dddptb" xr:uid="{7E7A947C-0AA7-44CA-9B68-3563163765D2}"/>
    <hyperlink ref="B23" r:id="rId43" display="https://app.tikr.com/stock/about?cid=82015177&amp;tid=431288072&amp;ref=dddptb" xr:uid="{D6D891C7-DDD9-4CC5-B606-16266C3D4EC2}"/>
    <hyperlink ref="C23" r:id="rId44" display="https://app.tikr.com/stock/about?cid=82015177&amp;tid=431288072&amp;ref=dddptb" xr:uid="{96026BDE-B6E0-4ECE-A174-9B658A377A7C}"/>
    <hyperlink ref="B24" r:id="rId45" display="https://app.tikr.com/stock/about?cid=5570027&amp;tid=283889673&amp;ref=dddptb" xr:uid="{6EAC70FE-7D4E-4510-BD3A-1F13724C80EC}"/>
    <hyperlink ref="C24" r:id="rId46" display="https://app.tikr.com/stock/about?cid=5570027&amp;tid=283889673&amp;ref=dddptb" xr:uid="{0D2BBBD5-EB21-4188-AE4C-D06658424E67}"/>
    <hyperlink ref="B25" r:id="rId47" display="https://app.tikr.com/stock/about?cid=706665649&amp;tid=708490237&amp;ref=dddptb" xr:uid="{139C99F5-EE62-481C-92D3-5F709DC9F745}"/>
    <hyperlink ref="C25" r:id="rId48" display="https://app.tikr.com/stock/about?cid=706665649&amp;tid=708490237&amp;ref=dddptb" xr:uid="{0D67F701-5782-46F8-B6D0-A8E6072558AE}"/>
    <hyperlink ref="B26" r:id="rId49" display="https://app.tikr.com/stock/about?cid=596847551&amp;tid=670707812&amp;ref=dddptb" xr:uid="{B719A153-7E64-423C-9D0E-24DE673F2677}"/>
    <hyperlink ref="C26" r:id="rId50" display="https://app.tikr.com/stock/about?cid=596847551&amp;tid=670707812&amp;ref=dddptb" xr:uid="{CD428C82-CDCF-4585-93D2-8F9A13DBF22B}"/>
    <hyperlink ref="B27" r:id="rId51" display="https://app.tikr.com/stock/about?cid=568651545&amp;tid=1679983624&amp;ref=dddptb" xr:uid="{39259092-21FF-4FBE-B9B4-1480E1C0FB96}"/>
    <hyperlink ref="C27" r:id="rId52" display="https://app.tikr.com/stock/about?cid=568651545&amp;tid=1679983624&amp;ref=dddptb" xr:uid="{9C14BB36-0284-4BD5-B8F4-BD176BE89C96}"/>
    <hyperlink ref="B28" r:id="rId53" display="https://app.tikr.com/stock/about?cid=311252325&amp;tid=327940284&amp;ref=dddptb" xr:uid="{A5280D1E-7AA6-462D-8744-15A3044B71E1}"/>
    <hyperlink ref="C28" r:id="rId54" display="https://app.tikr.com/stock/about?cid=311252325&amp;tid=327940284&amp;ref=dddptb" xr:uid="{227761C2-C6A8-49ED-BC63-E198ED326EB0}"/>
    <hyperlink ref="B29" r:id="rId55" display="https://app.tikr.com/stock/about?cid=252132831&amp;tid=259949316&amp;ref=dddptb" xr:uid="{B45B133A-E152-42B2-9719-67EB6AC24A9E}"/>
    <hyperlink ref="C29" r:id="rId56" display="https://app.tikr.com/stock/about?cid=252132831&amp;tid=259949316&amp;ref=dddptb" xr:uid="{297BAB43-70C9-4E11-A4FD-D1985B3C2806}"/>
    <hyperlink ref="B30" r:id="rId57" display="https://app.tikr.com/stock/about?cid=9237218&amp;tid=20186268&amp;ref=dddptb" xr:uid="{06F6397E-C7CC-4E6B-A391-4AD297D0B000}"/>
    <hyperlink ref="C30" r:id="rId58" display="https://app.tikr.com/stock/about?cid=9237218&amp;tid=20186268&amp;ref=dddptb" xr:uid="{6EF552FA-ABFC-4576-938B-FB4F95ABC281}"/>
    <hyperlink ref="B31" r:id="rId59" display="https://app.tikr.com/stock/about?cid=35903582&amp;tid=35897851&amp;ref=dddptb" xr:uid="{1D8CDB49-899A-40FB-9440-DCAB02AB8A7C}"/>
    <hyperlink ref="C31" r:id="rId60" display="https://app.tikr.com/stock/about?cid=35903582&amp;tid=35897851&amp;ref=dddptb" xr:uid="{DDA42ED3-EC2B-4021-99FF-67F1CDF3D6F5}"/>
    <hyperlink ref="B32" r:id="rId61" display="https://app.tikr.com/stock/about?cid=51972899&amp;tid=256836743&amp;ref=dddptb" xr:uid="{2EB44DE4-1F06-4A76-8A20-B82B624CA7C4}"/>
    <hyperlink ref="C32" r:id="rId62" display="https://app.tikr.com/stock/about?cid=51972899&amp;tid=256836743&amp;ref=dddptb" xr:uid="{BD1FA6DF-EAC1-4130-A67C-F69D751145C3}"/>
    <hyperlink ref="B33" r:id="rId63" display="https://app.tikr.com/stock/about?cid=716987813&amp;tid=717928001&amp;ref=dddptb" xr:uid="{9CDC0027-60C4-4A5D-AE9B-A2549265C808}"/>
    <hyperlink ref="C33" r:id="rId64" display="https://app.tikr.com/stock/about?cid=716987813&amp;tid=717928001&amp;ref=dddptb" xr:uid="{6052671C-CE4F-4528-B636-B1B84F44FB76}"/>
    <hyperlink ref="B34" r:id="rId65" display="https://app.tikr.com/stock/about?cid=876433&amp;tid=32269186&amp;ref=dddptb" xr:uid="{A9A8EC72-7B6D-4696-A13A-630A0D590B19}"/>
    <hyperlink ref="C34" r:id="rId66" display="https://app.tikr.com/stock/about?cid=876433&amp;tid=32269186&amp;ref=dddptb" xr:uid="{B6388F9F-0AB1-410B-B26D-DD9232A0C2AE}"/>
    <hyperlink ref="B35" r:id="rId67" display="https://app.tikr.com/stock/about?cid=876670&amp;tid=20176296&amp;ref=dddptb" xr:uid="{523023BE-77C0-4F05-B59F-61550BF13351}"/>
    <hyperlink ref="C35" r:id="rId68" display="https://app.tikr.com/stock/about?cid=876670&amp;tid=20176296&amp;ref=dddptb" xr:uid="{C4758D19-CB0F-498B-B049-272D125BF4E1}"/>
    <hyperlink ref="B36" r:id="rId69" display="https://app.tikr.com/stock/about?cid=592674986&amp;tid=706878974&amp;ref=dddptb" xr:uid="{F1384804-89E2-466C-9F1E-65F6127362E2}"/>
    <hyperlink ref="C36" r:id="rId70" display="https://app.tikr.com/stock/about?cid=592674986&amp;tid=706878974&amp;ref=dddptb" xr:uid="{6D909603-CD2D-4D03-BA96-C38CC10632B2}"/>
    <hyperlink ref="B37" r:id="rId71" display="https://app.tikr.com/stock/about?cid=703858076&amp;tid=707573035&amp;ref=dddptb" xr:uid="{016FFB64-CA8A-4A90-B395-913C316E0697}"/>
    <hyperlink ref="C37" r:id="rId72" display="https://app.tikr.com/stock/about?cid=703858076&amp;tid=707573035&amp;ref=dddptb" xr:uid="{2553832B-F38D-4AA1-BFDF-D5DEC24F8375}"/>
  </hyperlinks>
  <pageMargins left="0.7" right="0.7" top="0.75" bottom="0.75" header="0.3" footer="0.3"/>
  <pageSetup paperSize="9" orientation="portrait" r:id="rId7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CC5A58-069B-4E3E-86EF-D0F64A5798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Múltiplos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Domingo</dc:creator>
  <cp:lastModifiedBy>oriol Calblay</cp:lastModifiedBy>
  <dcterms:created xsi:type="dcterms:W3CDTF">2021-09-24T10:22:20Z</dcterms:created>
  <dcterms:modified xsi:type="dcterms:W3CDTF">2024-05-14T17:23:10Z</dcterms:modified>
</cp:coreProperties>
</file>