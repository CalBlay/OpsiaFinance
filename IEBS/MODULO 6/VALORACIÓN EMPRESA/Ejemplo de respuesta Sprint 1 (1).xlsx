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6/VALORACIÓN EMPRESA/"/>
    </mc:Choice>
  </mc:AlternateContent>
  <xr:revisionPtr revIDLastSave="0" documentId="8_{A482086B-4028-4CA4-BE6E-6CC51C391410}" xr6:coauthVersionLast="47" xr6:coauthVersionMax="47" xr10:uidLastSave="{00000000-0000-0000-0000-000000000000}"/>
  <bookViews>
    <workbookView xWindow="22932" yWindow="-60" windowWidth="23256" windowHeight="12456" tabRatio="982" activeTab="7" xr2:uid="{00000000-000D-0000-FFFF-FFFF00000000}"/>
  </bookViews>
  <sheets>
    <sheet name="RESULTADO PROPUESTO" sheetId="9" r:id="rId1"/>
    <sheet name="Datos" sheetId="2" r:id="rId2"/>
    <sheet name="EMPRESA HOLDING" sheetId="1" r:id="rId3"/>
    <sheet name="BODEGAS" sheetId="3" r:id="rId4"/>
    <sheet name="Multiplos Bebidas" sheetId="6" r:id="rId5"/>
    <sheet name="HOTEL" sheetId="4" r:id="rId6"/>
    <sheet name="Multiplos hotel Caribe" sheetId="7" r:id="rId7"/>
    <sheet name="Promotora inmobiliaria y alquil" sheetId="5" r:id="rId8"/>
    <sheet name="Múltiplos promotora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3" l="1"/>
  <c r="F48" i="6"/>
  <c r="B48" i="3" s="1"/>
  <c r="F7" i="7"/>
  <c r="B89" i="4" s="1"/>
  <c r="B76" i="5"/>
  <c r="B75" i="5"/>
  <c r="B74" i="5"/>
  <c r="B71" i="5"/>
  <c r="F19" i="8"/>
  <c r="C32" i="1" l="1"/>
  <c r="B72" i="5"/>
  <c r="B93" i="4"/>
  <c r="B92" i="4"/>
  <c r="B91" i="4"/>
  <c r="B88" i="4"/>
  <c r="B52" i="3"/>
  <c r="B51" i="3"/>
  <c r="B50" i="3"/>
  <c r="B49" i="3"/>
  <c r="B53" i="3" s="1"/>
  <c r="B54" i="3" s="1"/>
  <c r="B56" i="3" s="1"/>
  <c r="D30" i="1"/>
  <c r="D6" i="1"/>
  <c r="D35" i="1"/>
  <c r="D46" i="1"/>
  <c r="D45" i="1"/>
  <c r="D44" i="1"/>
  <c r="D41" i="1"/>
  <c r="C41" i="1"/>
  <c r="D34" i="1"/>
  <c r="D33" i="1"/>
  <c r="C33" i="1"/>
  <c r="D31" i="1"/>
  <c r="D27" i="1"/>
  <c r="D25" i="1"/>
  <c r="D18" i="1"/>
  <c r="D11" i="1" s="1"/>
  <c r="D16" i="1"/>
  <c r="D15" i="1"/>
  <c r="D14" i="1"/>
  <c r="C11" i="1"/>
  <c r="D9" i="1"/>
  <c r="B65" i="1"/>
  <c r="B73" i="5" l="1"/>
  <c r="B77" i="5" s="1"/>
  <c r="B78" i="5" s="1"/>
  <c r="B80" i="5" s="1"/>
  <c r="B90" i="4"/>
  <c r="B94" i="4" s="1"/>
  <c r="D24" i="1"/>
  <c r="D23" i="1" s="1"/>
  <c r="B41" i="1"/>
  <c r="B64" i="1"/>
  <c r="B63" i="1"/>
  <c r="B58" i="1"/>
  <c r="B57" i="1"/>
  <c r="B33" i="1"/>
  <c r="B11" i="1"/>
  <c r="B4" i="1"/>
  <c r="B95" i="4" l="1"/>
  <c r="B96" i="4"/>
  <c r="B97" i="4" s="1"/>
  <c r="B99" i="4" s="1"/>
  <c r="C8" i="1" s="1"/>
  <c r="D8" i="1" s="1"/>
  <c r="D4" i="1" s="1"/>
  <c r="D19" i="1" s="1"/>
  <c r="D49" i="1"/>
  <c r="C23" i="1"/>
  <c r="C49" i="1" s="1"/>
  <c r="B19" i="1"/>
  <c r="B61" i="1"/>
  <c r="B67" i="1"/>
  <c r="B31" i="1" s="1"/>
  <c r="B24" i="1" s="1"/>
  <c r="B23" i="1" s="1"/>
  <c r="B49" i="1" s="1"/>
  <c r="C4" i="1" l="1"/>
  <c r="C19" i="1" s="1"/>
</calcChain>
</file>

<file path=xl/sharedStrings.xml><?xml version="1.0" encoding="utf-8"?>
<sst xmlns="http://schemas.openxmlformats.org/spreadsheetml/2006/main" count="655" uniqueCount="393">
  <si>
    <t>Activo</t>
  </si>
  <si>
    <t>VALOR CONTABLE</t>
  </si>
  <si>
    <t xml:space="preserve">    A) ACTIVO NO CORRIENTE</t>
  </si>
  <si>
    <t xml:space="preserve">      I. Inmovilizado intangible</t>
  </si>
  <si>
    <t xml:space="preserve">      II. Inmovilizado material</t>
  </si>
  <si>
    <t xml:space="preserve">      III. Inversiones inmobiliarias</t>
  </si>
  <si>
    <t xml:space="preserve">      IV. Inversiones en empresas del grupo y asociadas a largo plazo</t>
  </si>
  <si>
    <t xml:space="preserve">      V. Inversiones financieras a largo plazo</t>
  </si>
  <si>
    <t xml:space="preserve">      VI. Activos por impuesto diferido</t>
  </si>
  <si>
    <t xml:space="preserve">    B) ACTIVO CORRIENTE</t>
  </si>
  <si>
    <t xml:space="preserve">      I. Activos no corrientes mantenidos para la venta</t>
  </si>
  <si>
    <t xml:space="preserve">      II. Existencias</t>
  </si>
  <si>
    <t xml:space="preserve">      III. Deudores y otras cuentas a cobrar</t>
  </si>
  <si>
    <t xml:space="preserve">      IV. Inversiones en empresas del grupo y asociadas a corto plazo</t>
  </si>
  <si>
    <t xml:space="preserve">      V. Inversiones financieras a corto plazo</t>
  </si>
  <si>
    <t xml:space="preserve">      VI. Periodificaciones a corto plazo</t>
  </si>
  <si>
    <t xml:space="preserve">      VII. Efectivo y otros activos líquidos equivalentes</t>
  </si>
  <si>
    <t xml:space="preserve">    TOTAL ACTIVO (A + B)</t>
  </si>
  <si>
    <t>Patrimonio Neto y Pasivo</t>
  </si>
  <si>
    <t xml:space="preserve">    A) PATRIMONIO NETO</t>
  </si>
  <si>
    <t xml:space="preserve">      A1) Fondos propios</t>
  </si>
  <si>
    <t xml:space="preserve">        I. Capital</t>
  </si>
  <si>
    <t xml:space="preserve">        II. Prima de emisión</t>
  </si>
  <si>
    <t xml:space="preserve">        III. Reservas</t>
  </si>
  <si>
    <t xml:space="preserve">        IV. (Acciones y participaciones en patrimonio propias)</t>
  </si>
  <si>
    <t xml:space="preserve">        V. Resultados de ejercicios anteriores</t>
  </si>
  <si>
    <t xml:space="preserve">        VI. Dividendo a cuenta</t>
  </si>
  <si>
    <t xml:space="preserve">        VII. Resultado del ejercicio</t>
  </si>
  <si>
    <t xml:space="preserve">      A-2) Ajustes de patrimonio neto</t>
  </si>
  <si>
    <t xml:space="preserve">    B) PASIVO NO CORRIENTE</t>
  </si>
  <si>
    <t xml:space="preserve">      I. Deudas a largo plazo con Entidades Financieras</t>
  </si>
  <si>
    <t xml:space="preserve">      II. Deudas a largo plazo con empresas del grupo</t>
  </si>
  <si>
    <t xml:space="preserve">      III. Pasivo por impuesto diferido</t>
  </si>
  <si>
    <t xml:space="preserve">      IV. Pasivos por impuesto diferido</t>
  </si>
  <si>
    <t xml:space="preserve">      V. Periodificaciones a largo plazo.</t>
  </si>
  <si>
    <t xml:space="preserve">      VI. Acreedores comerciales no corrientes</t>
  </si>
  <si>
    <t xml:space="preserve">      VII. Deuda con características especiales a largo plazo</t>
  </si>
  <si>
    <t xml:space="preserve">    C) PASIVO CORRIENTE</t>
  </si>
  <si>
    <t xml:space="preserve">      I. Pasivo vinculados con activos no corrientes mantenidos para la venta</t>
  </si>
  <si>
    <t xml:space="preserve">      II. Provisiones a corto plazo</t>
  </si>
  <si>
    <t xml:space="preserve">      III. Deudas a corto plazo</t>
  </si>
  <si>
    <t xml:space="preserve">      IV. Deudas con empresas del grupo y asociadas a corto plazo</t>
  </si>
  <si>
    <t xml:space="preserve">      V. Acreedores comerciales y otras cuentas a pagar</t>
  </si>
  <si>
    <t xml:space="preserve">      VII. Otros acreedores</t>
  </si>
  <si>
    <t xml:space="preserve">    TOTAL PATRIMONIO NETO Y PASIVO (A + B + C)</t>
  </si>
  <si>
    <t>Pérdidas y Ganancias</t>
  </si>
  <si>
    <t xml:space="preserve">      1. Importe neto de la cifra de negocios</t>
  </si>
  <si>
    <t xml:space="preserve">      2. Variación de existencias</t>
  </si>
  <si>
    <t xml:space="preserve">      3. Trabajos realizados por la empresa para su activo</t>
  </si>
  <si>
    <t xml:space="preserve">      4. Aprovisionamientos</t>
  </si>
  <si>
    <t xml:space="preserve">      5. Otros ingresos de explotación.</t>
  </si>
  <si>
    <t xml:space="preserve">      6. Gastos de personal</t>
  </si>
  <si>
    <t xml:space="preserve">      7. Otros gastos de explotación.</t>
  </si>
  <si>
    <t xml:space="preserve">      8. Amortización del inmovilizado</t>
  </si>
  <si>
    <t xml:space="preserve">      9. Otros resultados.</t>
  </si>
  <si>
    <t xml:space="preserve">    A) RESULTADOS DE EXPLOTACIÓN</t>
  </si>
  <si>
    <t xml:space="preserve">      10. Ingresos financieros.</t>
  </si>
  <si>
    <t xml:space="preserve">      11. Gastos financieros.</t>
  </si>
  <si>
    <t xml:space="preserve">    B) RESULTADO FINANCIERO</t>
  </si>
  <si>
    <t xml:space="preserve">    C) RESULTADO ANTES DE IMPUESTOS</t>
  </si>
  <si>
    <t xml:space="preserve">      12. Impuestos sobre beneficios.</t>
  </si>
  <si>
    <t xml:space="preserve">    D) RESULTADO</t>
  </si>
  <si>
    <t>INVERSIONES, S.A.</t>
  </si>
  <si>
    <t>A) ACTIVO NO CORRIENTE</t>
  </si>
  <si>
    <t>I Inmovilizado intangible</t>
  </si>
  <si>
    <t>II Inmovilizado material</t>
  </si>
  <si>
    <t>III Inv. en emp. del grupo y asoc. a largo plazo</t>
  </si>
  <si>
    <t>V Inversiones financieras a largo plazo</t>
  </si>
  <si>
    <t>B) ACTIVO CORRIENTE</t>
  </si>
  <si>
    <t>I Existencias</t>
  </si>
  <si>
    <t>II Deudores comerc. y otras cuentas a cobrar</t>
  </si>
  <si>
    <t>IV Inv. en emp. del grupo y asoc. a corto plazo</t>
  </si>
  <si>
    <t>III Inversiones financieras a corto plazo</t>
  </si>
  <si>
    <t>IV Periodificaciones a corto plazo</t>
  </si>
  <si>
    <t>V Efectivo y otros activos líquidos equiv.</t>
  </si>
  <si>
    <t>TOTAL ACTIVO</t>
  </si>
  <si>
    <t>A) PATRIMONIO NETO</t>
  </si>
  <si>
    <t>A-1) Fondos propios</t>
  </si>
  <si>
    <t>I Capital</t>
  </si>
  <si>
    <t>II Prima de emisión</t>
  </si>
  <si>
    <t>III Reservas</t>
  </si>
  <si>
    <t>IV Resultado del ejercicio</t>
  </si>
  <si>
    <t>A-2) Subv., donaciones y legados recibidos</t>
  </si>
  <si>
    <t>B) PASIVO NO CORRIENTE</t>
  </si>
  <si>
    <t>I Deudas a largo plazo</t>
  </si>
  <si>
    <t>IV Pasivos por impuesto diferido</t>
  </si>
  <si>
    <t>C) PASIVO CORRIENTE</t>
  </si>
  <si>
    <t>I Deudas a corto plazo</t>
  </si>
  <si>
    <t>II Acreedores com. y otras cuentas a pagar</t>
  </si>
  <si>
    <t>TOTAL PATRIMONIO NETO Y PASIVO</t>
  </si>
  <si>
    <t>CUENTA DE RESULTADOS</t>
  </si>
  <si>
    <t>1. Importe neto de la cifra de negocios</t>
  </si>
  <si>
    <t>2. Aprovisionamientos</t>
  </si>
  <si>
    <t>3. Otros ingresos de explotación</t>
  </si>
  <si>
    <t>4. Gastos de personal</t>
  </si>
  <si>
    <t>5. Otros gastos de explotación</t>
  </si>
  <si>
    <t>6. Amortización del inmovilizado</t>
  </si>
  <si>
    <t>9. Imputación de subvenc. de inmov. no financ.</t>
  </si>
  <si>
    <t>7. Deterioro y resultado por enaj. del inmov.</t>
  </si>
  <si>
    <t>A1) RESULTADO DE EXPLOTACIÓN</t>
  </si>
  <si>
    <t>8. Ingresos financieros</t>
  </si>
  <si>
    <t>    b) De valores negociables y otros instr. fin.</t>
  </si>
  <si>
    <t>        a) De empresas del grupo y asociadas</t>
  </si>
  <si>
    <t>        b) De terceros</t>
  </si>
  <si>
    <t>    c) Imputación de subv. y donac. de carácter fin.</t>
  </si>
  <si>
    <t>9. Gastos financieros</t>
  </si>
  <si>
    <t>    b) Por deudas con terceros</t>
  </si>
  <si>
    <t>10. Variación de valor razonable en instr. fin.</t>
  </si>
  <si>
    <t>11. Diferencias de cambio</t>
  </si>
  <si>
    <t>A2) RESULTADO ANTES DE IMPUESTOS</t>
  </si>
  <si>
    <t>12. Impuestos sobre beneficios</t>
  </si>
  <si>
    <t>A3) RESULTADO DEL EJERCICIO</t>
  </si>
  <si>
    <t>III Inversiones inmobiliarias</t>
  </si>
  <si>
    <t>IV Inv. en emp. del grupo y asoc. a largo plazo</t>
  </si>
  <si>
    <t>VI Activos por impuesto diferido</t>
  </si>
  <si>
    <t>VI Deudas no comerciales corrientes</t>
  </si>
  <si>
    <t>I Activos no corrientes mantenidos para la venta</t>
  </si>
  <si>
    <t>II Existencias</t>
  </si>
  <si>
    <t>III Deudores comerc. y otras cuentas a cobrar</t>
  </si>
  <si>
    <t>V Inversiones financieras a corto plazo</t>
  </si>
  <si>
    <t>VI Periodificaciones a corto plazo</t>
  </si>
  <si>
    <t>VII Efectivo y otros activos líquidos equiv.</t>
  </si>
  <si>
    <t>IV Acciones y particip en patrimonio propias</t>
  </si>
  <si>
    <t>V Resultado de ejercicions anteriores</t>
  </si>
  <si>
    <t>VI Otras aportaciones de socios</t>
  </si>
  <si>
    <t>VII Resultado del ejercicio</t>
  </si>
  <si>
    <t>VIII Dividendo a cuenta</t>
  </si>
  <si>
    <t>IX Otros instrumentos de patrimonio</t>
  </si>
  <si>
    <t>A-2) Ajustes por cambios de valor</t>
  </si>
  <si>
    <t>A-3) Subv., donaciones y legados recibidos</t>
  </si>
  <si>
    <t>I Provisiones a largo plazo</t>
  </si>
  <si>
    <t>II Deudas a largo plazo (entidades de crédito)</t>
  </si>
  <si>
    <t>III Deudas con emp del gpo y asoc a l/plazo</t>
  </si>
  <si>
    <t>V Periodificaciones a l/plazo</t>
  </si>
  <si>
    <t>VI Acreedores comerciales no corrientes</t>
  </si>
  <si>
    <t>VII Deuda con caracteristicas especiales a l/plazo</t>
  </si>
  <si>
    <t>I Pasivos vinculados con activ no corrient para la vta</t>
  </si>
  <si>
    <t>II Provisiones a corto plazo</t>
  </si>
  <si>
    <t>III Deudas a corto plazo (entidades crédito)</t>
  </si>
  <si>
    <t>V Acreedores com. y otras cuentas a pagar</t>
  </si>
  <si>
    <t>VI Periodificaciones a c/plazo</t>
  </si>
  <si>
    <t>VII Deuda con caracteristicas especiales a c/plazo</t>
  </si>
  <si>
    <t>CUENTA DE PÉRDIDAS Y GANANCIAS</t>
  </si>
  <si>
    <t xml:space="preserve">2. Variación de existencias </t>
  </si>
  <si>
    <t>3. Trabajos realizados para la emp para su activo</t>
  </si>
  <si>
    <t>4. Aprovisionamientos</t>
  </si>
  <si>
    <t>5. Otros ingresos de explotación</t>
  </si>
  <si>
    <t>6. Gastos de personal</t>
  </si>
  <si>
    <t>7. Otros gastos de explotación</t>
  </si>
  <si>
    <t>8. Amortización del inmovilizado</t>
  </si>
  <si>
    <t>10. Excesos de provisiones</t>
  </si>
  <si>
    <t>11. Deterioro y resultado por enaj. del inmov.</t>
  </si>
  <si>
    <t>12. Diferencia negativa de combinaciones de negocio</t>
  </si>
  <si>
    <t>13. Otros resultados</t>
  </si>
  <si>
    <t>14. Ingresos financieros</t>
  </si>
  <si>
    <t xml:space="preserve">   a) De participaciones en instrumentos de patrimonio</t>
  </si>
  <si>
    <t xml:space="preserve">        a) En empresas del grupo y asociadas</t>
  </si>
  <si>
    <t xml:space="preserve">        b) En terceros</t>
  </si>
  <si>
    <t>15. Gastos financieros</t>
  </si>
  <si>
    <t>    a) Por deudas con emp del gpo y asociadas</t>
  </si>
  <si>
    <t>16. Variación de valor razonable en instr. fin.</t>
  </si>
  <si>
    <t>17. Diferencias de cambio</t>
  </si>
  <si>
    <t>18. Deterioro y rdo por enajenac de instrum financ</t>
  </si>
  <si>
    <t>A2) RESULTADO FINANCIERO</t>
  </si>
  <si>
    <t>A3) RESULTADO ANTES DE IMPUESTOS</t>
  </si>
  <si>
    <t>A4) RESULTADO DEL EJERCICIO</t>
  </si>
  <si>
    <t>ACTIVO</t>
  </si>
  <si>
    <t>PASIVO</t>
  </si>
  <si>
    <t xml:space="preserve">        IV. Resultados de ejercicios anteriores</t>
  </si>
  <si>
    <t xml:space="preserve">        V. Resultado del ejercicio</t>
  </si>
  <si>
    <t xml:space="preserve">      A2) Ajustes por cambio de valor</t>
  </si>
  <si>
    <t xml:space="preserve">      A3) Subvenciones</t>
  </si>
  <si>
    <t xml:space="preserve">      I. Provisiones a largo plazo</t>
  </si>
  <si>
    <t xml:space="preserve">      III. Deudas con empresas del grupo y asociadas a largo plazo</t>
  </si>
  <si>
    <t xml:space="preserve">      I. Pasivo vinculados con activos no corrientes</t>
  </si>
  <si>
    <t xml:space="preserve">      1. Ventas</t>
  </si>
  <si>
    <t xml:space="preserve">      2. Ingresos por arrendamientos</t>
  </si>
  <si>
    <t xml:space="preserve">      3. Variación de existencias</t>
  </si>
  <si>
    <t xml:space="preserve">      4. Trabajos realizados por la empresa para su activo</t>
  </si>
  <si>
    <t xml:space="preserve">      5. Aprovisionamientos</t>
  </si>
  <si>
    <t xml:space="preserve">      6. Otros ingresos de explotación.</t>
  </si>
  <si>
    <t xml:space="preserve">      7. Gastos de personal</t>
  </si>
  <si>
    <t xml:space="preserve">      8. Otros gastos de explotación.</t>
  </si>
  <si>
    <t xml:space="preserve">      9. Amortización del inmovilizado</t>
  </si>
  <si>
    <t xml:space="preserve">      10. Imputación de subvenciones</t>
  </si>
  <si>
    <t xml:space="preserve">      11. Otros resultados.</t>
  </si>
  <si>
    <t xml:space="preserve">      12. Ingresos financieros.</t>
  </si>
  <si>
    <t xml:space="preserve">      13. Gastos financieros.</t>
  </si>
  <si>
    <t xml:space="preserve">      14. Diferencias de cambio.</t>
  </si>
  <si>
    <t xml:space="preserve">        a) Incorporación al activo de gastos financieros</t>
  </si>
  <si>
    <t xml:space="preserve">        b) Ingresos financieros derivados de convenios de acreedores</t>
  </si>
  <si>
    <t xml:space="preserve">        c) Resto de ingresos y gastos</t>
  </si>
  <si>
    <t xml:space="preserve">      15. Impuestos sobre beneficios.</t>
  </si>
  <si>
    <t xml:space="preserve">      II. Deudas financieras a largo plazo</t>
  </si>
  <si>
    <t xml:space="preserve">      III. Deudas financieras a corto plazo</t>
  </si>
  <si>
    <t>IV Deudas con empresas del grupo y asoc.a cp (cuenta corriente)</t>
  </si>
  <si>
    <t>AJUSTES</t>
  </si>
  <si>
    <t>VALOR CONTABLE AJUSTADO</t>
  </si>
  <si>
    <t>Ticker</t>
  </si>
  <si>
    <t>Global Region</t>
  </si>
  <si>
    <t>ABI</t>
  </si>
  <si>
    <t>Anheuser-Busch InBev SA/NV</t>
  </si>
  <si>
    <t>Europe</t>
  </si>
  <si>
    <t>SPA</t>
  </si>
  <si>
    <t>KTJV</t>
  </si>
  <si>
    <t>Kutjevo d.d.</t>
  </si>
  <si>
    <t>WINE</t>
  </si>
  <si>
    <t>Purcari Wineries Public Company Limited</t>
  </si>
  <si>
    <t>KEO</t>
  </si>
  <si>
    <t>KEO plc</t>
  </si>
  <si>
    <t>KOFOL</t>
  </si>
  <si>
    <t>Kofola CeskoSlovensko a.s.</t>
  </si>
  <si>
    <t>CARL B</t>
  </si>
  <si>
    <t>Carlsberg A/S</t>
  </si>
  <si>
    <t>RBREW</t>
  </si>
  <si>
    <t>Royal Unibrew A/S</t>
  </si>
  <si>
    <t>HARB B</t>
  </si>
  <si>
    <t>Harboes Bryggeri A/S</t>
  </si>
  <si>
    <t>LINDA</t>
  </si>
  <si>
    <t>aktsiaselts Linda Nektar</t>
  </si>
  <si>
    <t>OLVAS</t>
  </si>
  <si>
    <t>Olvi Oyj</t>
  </si>
  <si>
    <t>ANORA</t>
  </si>
  <si>
    <t>Anora Group Oyj</t>
  </si>
  <si>
    <t>RI</t>
  </si>
  <si>
    <t>Pernod Ricard SA</t>
  </si>
  <si>
    <t>LPE</t>
  </si>
  <si>
    <t>Laurent-Perrier S.A.</t>
  </si>
  <si>
    <t>VRAP</t>
  </si>
  <si>
    <t>Vranken-Pommery Monopole Société Anonyme</t>
  </si>
  <si>
    <t>MBWS</t>
  </si>
  <si>
    <t>Marie Brizard Wine &amp; Spirits SA</t>
  </si>
  <si>
    <t>KUL</t>
  </si>
  <si>
    <t>Kulmbacher Brauerei Aktien-Gesellschaft</t>
  </si>
  <si>
    <t>SWA</t>
  </si>
  <si>
    <t>Schloss Wachenheim AG</t>
  </si>
  <si>
    <t>MUT</t>
  </si>
  <si>
    <t>Mineralbrunnen Überkingen-Teinach GmbH &amp; Co. KGaA</t>
  </si>
  <si>
    <t>PKB</t>
  </si>
  <si>
    <t>Park &amp; Bellheimer AG</t>
  </si>
  <si>
    <t>B9B</t>
  </si>
  <si>
    <t>BHB Brauholding Bayern-Mitte AG</t>
  </si>
  <si>
    <t>ZWACK</t>
  </si>
  <si>
    <t>Zwack Unicum Nyrt.</t>
  </si>
  <si>
    <t>CCR</t>
  </si>
  <si>
    <t>C&amp;C Group plc</t>
  </si>
  <si>
    <t>IWB</t>
  </si>
  <si>
    <t>Italian Wine Brands S.p.A.</t>
  </si>
  <si>
    <t>BAL1R</t>
  </si>
  <si>
    <t>AS Latvijas balzams</t>
  </si>
  <si>
    <t>SFC</t>
  </si>
  <si>
    <t>Simonds Farsons Cisk plc</t>
  </si>
  <si>
    <t>HEIA</t>
  </si>
  <si>
    <t>Heineken N.V.</t>
  </si>
  <si>
    <t>HEIO</t>
  </si>
  <si>
    <t>Heineken Holding N.V.</t>
  </si>
  <si>
    <t>BOLS</t>
  </si>
  <si>
    <t>Lucas Bols N.V.</t>
  </si>
  <si>
    <t>ZWC</t>
  </si>
  <si>
    <t>Grupa Zywiec S.A.</t>
  </si>
  <si>
    <t>AMB</t>
  </si>
  <si>
    <t>Ambra S.A.</t>
  </si>
  <si>
    <t>EXC</t>
  </si>
  <si>
    <t>Excellence S.A.</t>
  </si>
  <si>
    <t>BRM</t>
  </si>
  <si>
    <t>S.C. Bermas S.A.</t>
  </si>
  <si>
    <t>BELU</t>
  </si>
  <si>
    <t>ABRD</t>
  </si>
  <si>
    <t>Public Joint Stock Company Abrau-Durso</t>
  </si>
  <si>
    <t>RIO</t>
  </si>
  <si>
    <t>Bodegas Riojanas, S.A.</t>
  </si>
  <si>
    <t>KOBR B</t>
  </si>
  <si>
    <t>Kopparbergs Bryggeri AB (publ)</t>
  </si>
  <si>
    <t>CCH</t>
  </si>
  <si>
    <t>Coca-Cola HBC AG</t>
  </si>
  <si>
    <t>DGE</t>
  </si>
  <si>
    <t>Diageo plc</t>
  </si>
  <si>
    <t>CCEP</t>
  </si>
  <si>
    <t>Coca-Cola Europacific Partners PLC</t>
  </si>
  <si>
    <t>BVIC</t>
  </si>
  <si>
    <t>Britvic plc</t>
  </si>
  <si>
    <t>BAG</t>
  </si>
  <si>
    <t>A.G. BARR p.l.c.</t>
  </si>
  <si>
    <t>NICL</t>
  </si>
  <si>
    <t>Nichols plc</t>
  </si>
  <si>
    <t>mediana</t>
  </si>
  <si>
    <t>EBITDA</t>
  </si>
  <si>
    <t>EV/EBITDA</t>
  </si>
  <si>
    <t>EV BODEGA</t>
  </si>
  <si>
    <t>DEUDA FINANCIERA</t>
  </si>
  <si>
    <t>TESORERIA</t>
  </si>
  <si>
    <t>ACTIVOS NO OPERATIVOS</t>
  </si>
  <si>
    <t>EQUITY VALUE BODEGA</t>
  </si>
  <si>
    <t>Participación 100% HOLDING</t>
  </si>
  <si>
    <t>Valor contable</t>
  </si>
  <si>
    <t>Plusvalía participación</t>
  </si>
  <si>
    <t>SVL</t>
  </si>
  <si>
    <t>Supreme Ventures Limited</t>
  </si>
  <si>
    <t>ECL</t>
  </si>
  <si>
    <t>138SL</t>
  </si>
  <si>
    <t>138 Student Living Jamaica Limited</t>
  </si>
  <si>
    <t>ALSEA *</t>
  </si>
  <si>
    <t>Alsea, S.A.B. de C.V.</t>
  </si>
  <si>
    <t>PHL</t>
  </si>
  <si>
    <t>Prestige Holdings Limited</t>
  </si>
  <si>
    <t>EV HOTEL</t>
  </si>
  <si>
    <t>EQUITY VALUE HOTEL</t>
  </si>
  <si>
    <t>Participación 45% HOLDING</t>
  </si>
  <si>
    <t>Altareit SCA</t>
  </si>
  <si>
    <t>Galimmo SCA</t>
  </si>
  <si>
    <t>ORIA</t>
  </si>
  <si>
    <t>Fiducial Real Estate SA</t>
  </si>
  <si>
    <t>ARTE</t>
  </si>
  <si>
    <t>Artea SA</t>
  </si>
  <si>
    <t>ALREA</t>
  </si>
  <si>
    <t>Foncière Volta</t>
  </si>
  <si>
    <t>Groupe Capelli</t>
  </si>
  <si>
    <t>EFI</t>
  </si>
  <si>
    <t>Eurasia Fonciere Investissements Société Anonyme</t>
  </si>
  <si>
    <t>ALSAS</t>
  </si>
  <si>
    <t>Stradim Espace Finances SA</t>
  </si>
  <si>
    <t>ALEUA</t>
  </si>
  <si>
    <t>ALUNT</t>
  </si>
  <si>
    <t>Uniti S.A</t>
  </si>
  <si>
    <t>MLT</t>
  </si>
  <si>
    <t>ALIMO</t>
  </si>
  <si>
    <t>Groupimo S.A.</t>
  </si>
  <si>
    <t>CBOT</t>
  </si>
  <si>
    <t>CBo Territoria SA</t>
  </si>
  <si>
    <t>AREIT</t>
  </si>
  <si>
    <t>BASS</t>
  </si>
  <si>
    <t>BASSAC Société anonyme</t>
  </si>
  <si>
    <t>GALIM</t>
  </si>
  <si>
    <t>Réalités</t>
  </si>
  <si>
    <t>SPEL</t>
  </si>
  <si>
    <t>IRD</t>
  </si>
  <si>
    <t>Groupe IRD SA</t>
  </si>
  <si>
    <t>Eurasia Groupe SA</t>
  </si>
  <si>
    <t>EV PROMOTORA INMOBILIARIA</t>
  </si>
  <si>
    <t>EQUITY VALUE PROMOTORA INMOBILIARIA</t>
  </si>
  <si>
    <t>Participación 90% HOLDING</t>
  </si>
  <si>
    <t>Deterioro participación</t>
  </si>
  <si>
    <t>Company Name</t>
  </si>
  <si>
    <t>Country</t>
  </si>
  <si>
    <t>Industry</t>
  </si>
  <si>
    <t>Public joint-stock company Beluga Group</t>
  </si>
  <si>
    <t>BEL</t>
  </si>
  <si>
    <t>Beverages</t>
  </si>
  <si>
    <t>EST</t>
  </si>
  <si>
    <t>CYP</t>
  </si>
  <si>
    <t>Société de Services, de Participations, de Direction et d'Elaboration Société anonyme</t>
  </si>
  <si>
    <t>GBR</t>
  </si>
  <si>
    <t>FRA</t>
  </si>
  <si>
    <t>DNK</t>
  </si>
  <si>
    <t>FIN</t>
  </si>
  <si>
    <t>RUS</t>
  </si>
  <si>
    <t>SWE</t>
  </si>
  <si>
    <t>VIVA</t>
  </si>
  <si>
    <t>Viva Wine Group AB</t>
  </si>
  <si>
    <t>CZE</t>
  </si>
  <si>
    <t>NLD</t>
  </si>
  <si>
    <t>DEU</t>
  </si>
  <si>
    <t>ADVI</t>
  </si>
  <si>
    <t>AdVini S.A.</t>
  </si>
  <si>
    <t>CDGP</t>
  </si>
  <si>
    <t>Chapel Down Group Plc</t>
  </si>
  <si>
    <t>HRV</t>
  </si>
  <si>
    <t>LVA</t>
  </si>
  <si>
    <t>HUN</t>
  </si>
  <si>
    <t>ROU</t>
  </si>
  <si>
    <t>ESP</t>
  </si>
  <si>
    <t>POL</t>
  </si>
  <si>
    <t>ITA</t>
  </si>
  <si>
    <t>Mediana</t>
  </si>
  <si>
    <t>Latin America and Caribbean</t>
  </si>
  <si>
    <t>MEX</t>
  </si>
  <si>
    <t>Hotels, Restaurants and Leisure</t>
  </si>
  <si>
    <t>JAM</t>
  </si>
  <si>
    <t>Express Catering Limited</t>
  </si>
  <si>
    <t>Real Estate Management and Development</t>
  </si>
  <si>
    <t>ALCAP</t>
  </si>
  <si>
    <t>MLAGP</t>
  </si>
  <si>
    <t>AGP Málaga Socimi, S.A.</t>
  </si>
  <si>
    <t>Únicamente tenemos un comparable en ESPAÑA he ampliado a región EUROPA</t>
  </si>
  <si>
    <t>Hay suficientes comparables en Francia por lo que no he ampliado más paises</t>
  </si>
  <si>
    <t>Penalización por participación minoritaria (20%)</t>
  </si>
  <si>
    <t>EQUITY VALUE HOTEL penalizado</t>
  </si>
  <si>
    <t>No lo penalizo al considerar que la prima de control compensa la prima de iliquidez (no cotizada)</t>
  </si>
  <si>
    <t>He penalizado el valor de las participaciones por iliquidez(no cotizada) y partipación minoritaria (prima razonable entre un 15%-25%)</t>
  </si>
  <si>
    <t>NXI</t>
  </si>
  <si>
    <t>Nexity SA</t>
  </si>
  <si>
    <t>TTO</t>
  </si>
  <si>
    <t>Trailing TEV/EBITDA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</si>
</sst>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_ ;[Red]\-#,##0\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8C1D4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3" fillId="3" borderId="2" xfId="1" applyFont="1" applyFill="1" applyBorder="1"/>
    <xf numFmtId="0" fontId="3" fillId="3" borderId="1" xfId="1" applyFont="1" applyFill="1" applyBorder="1"/>
    <xf numFmtId="165" fontId="4" fillId="3" borderId="1" xfId="2" applyNumberFormat="1" applyFont="1" applyFill="1" applyBorder="1" applyAlignment="1">
      <alignment horizontal="center" vertical="center" wrapText="1" shrinkToFit="1"/>
    </xf>
    <xf numFmtId="0" fontId="5" fillId="3" borderId="2" xfId="1" applyFont="1" applyFill="1" applyBorder="1"/>
    <xf numFmtId="165" fontId="4" fillId="3" borderId="1" xfId="1" applyNumberFormat="1" applyFont="1" applyFill="1" applyBorder="1" applyAlignment="1">
      <alignment horizontal="center" vertical="center" wrapText="1" shrinkToFit="1"/>
    </xf>
    <xf numFmtId="165" fontId="1" fillId="3" borderId="2" xfId="3" applyNumberFormat="1" applyFont="1" applyFill="1" applyBorder="1" applyAlignment="1">
      <alignment horizontal="center" vertical="center" wrapText="1" shrinkToFit="1"/>
    </xf>
    <xf numFmtId="165" fontId="4" fillId="3" borderId="5" xfId="2" applyNumberFormat="1" applyFont="1" applyFill="1" applyBorder="1" applyAlignment="1">
      <alignment horizontal="center" vertical="center" wrapText="1" shrinkToFit="1"/>
    </xf>
    <xf numFmtId="0" fontId="5" fillId="3" borderId="7" xfId="1" applyFont="1" applyFill="1" applyBorder="1"/>
    <xf numFmtId="165" fontId="4" fillId="3" borderId="2" xfId="2" applyNumberFormat="1" applyFont="1" applyFill="1" applyBorder="1" applyAlignment="1">
      <alignment horizontal="center" vertical="center" wrapText="1" shrinkToFit="1"/>
    </xf>
    <xf numFmtId="0" fontId="3" fillId="3" borderId="6" xfId="1" applyFont="1" applyFill="1" applyBorder="1"/>
    <xf numFmtId="165" fontId="2" fillId="2" borderId="1" xfId="2" applyNumberFormat="1" applyFont="1" applyFill="1" applyBorder="1" applyAlignment="1">
      <alignment horizontal="center" vertical="center" wrapText="1" shrinkToFit="1"/>
    </xf>
    <xf numFmtId="165" fontId="1" fillId="3" borderId="2" xfId="2" applyNumberFormat="1" applyFont="1" applyFill="1" applyBorder="1" applyAlignment="1">
      <alignment horizontal="center" vertical="center" wrapText="1" shrinkToFit="1"/>
    </xf>
    <xf numFmtId="165" fontId="1" fillId="3" borderId="4" xfId="2" applyNumberFormat="1" applyFont="1" applyFill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center"/>
    </xf>
    <xf numFmtId="0" fontId="4" fillId="3" borderId="9" xfId="0" applyFont="1" applyFill="1" applyBorder="1"/>
    <xf numFmtId="3" fontId="4" fillId="3" borderId="9" xfId="0" applyNumberFormat="1" applyFont="1" applyFill="1" applyBorder="1" applyAlignment="1">
      <alignment horizontal="right"/>
    </xf>
    <xf numFmtId="0" fontId="4" fillId="3" borderId="10" xfId="0" applyFont="1" applyFill="1" applyBorder="1"/>
    <xf numFmtId="3" fontId="4" fillId="3" borderId="10" xfId="0" applyNumberFormat="1" applyFont="1" applyFill="1" applyBorder="1"/>
    <xf numFmtId="3" fontId="4" fillId="3" borderId="10" xfId="0" applyNumberFormat="1" applyFont="1" applyFill="1" applyBorder="1" applyAlignment="1">
      <alignment horizontal="right"/>
    </xf>
    <xf numFmtId="0" fontId="0" fillId="3" borderId="10" xfId="0" applyFill="1" applyBorder="1"/>
    <xf numFmtId="3" fontId="0" fillId="3" borderId="10" xfId="0" applyNumberFormat="1" applyFill="1" applyBorder="1" applyAlignment="1">
      <alignment horizontal="right"/>
    </xf>
    <xf numFmtId="0" fontId="4" fillId="3" borderId="0" xfId="0" applyFont="1" applyFill="1"/>
    <xf numFmtId="3" fontId="4" fillId="3" borderId="0" xfId="0" applyNumberFormat="1" applyFont="1" applyFill="1" applyAlignment="1">
      <alignment horizontal="right"/>
    </xf>
    <xf numFmtId="0" fontId="1" fillId="3" borderId="10" xfId="0" applyFont="1" applyFill="1" applyBorder="1"/>
    <xf numFmtId="1" fontId="4" fillId="3" borderId="9" xfId="0" applyNumberFormat="1" applyFont="1" applyFill="1" applyBorder="1" applyAlignment="1">
      <alignment horizontal="center"/>
    </xf>
    <xf numFmtId="0" fontId="7" fillId="3" borderId="10" xfId="0" applyFont="1" applyFill="1" applyBorder="1"/>
    <xf numFmtId="3" fontId="0" fillId="0" borderId="0" xfId="0" applyNumberFormat="1"/>
    <xf numFmtId="3" fontId="7" fillId="3" borderId="10" xfId="0" applyNumberFormat="1" applyFont="1" applyFill="1" applyBorder="1" applyAlignment="1">
      <alignment horizontal="right"/>
    </xf>
    <xf numFmtId="3" fontId="1" fillId="3" borderId="10" xfId="0" applyNumberFormat="1" applyFont="1" applyFill="1" applyBorder="1" applyAlignment="1">
      <alignment horizontal="right"/>
    </xf>
    <xf numFmtId="3" fontId="8" fillId="3" borderId="10" xfId="0" applyNumberFormat="1" applyFont="1" applyFill="1" applyBorder="1" applyAlignment="1">
      <alignment horizontal="right"/>
    </xf>
    <xf numFmtId="0" fontId="3" fillId="3" borderId="2" xfId="0" applyFont="1" applyFill="1" applyBorder="1"/>
    <xf numFmtId="0" fontId="3" fillId="3" borderId="1" xfId="0" applyFont="1" applyFill="1" applyBorder="1"/>
    <xf numFmtId="0" fontId="5" fillId="3" borderId="2" xfId="0" applyFont="1" applyFill="1" applyBorder="1"/>
    <xf numFmtId="0" fontId="5" fillId="3" borderId="7" xfId="0" applyFont="1" applyFill="1" applyBorder="1"/>
    <xf numFmtId="0" fontId="3" fillId="3" borderId="6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65" fontId="3" fillId="3" borderId="1" xfId="2" applyNumberFormat="1" applyFont="1" applyFill="1" applyBorder="1" applyAlignment="1">
      <alignment horizontal="center" vertical="center" wrapText="1" shrinkToFit="1"/>
    </xf>
    <xf numFmtId="165" fontId="5" fillId="3" borderId="11" xfId="3" applyNumberFormat="1" applyFont="1" applyFill="1" applyBorder="1" applyAlignment="1">
      <alignment horizontal="center" vertical="center" wrapText="1" shrinkToFit="1"/>
    </xf>
    <xf numFmtId="165" fontId="5" fillId="3" borderId="2" xfId="0" applyNumberFormat="1" applyFont="1" applyFill="1" applyBorder="1" applyAlignment="1">
      <alignment horizontal="center" vertical="center" wrapText="1" shrinkToFit="1"/>
    </xf>
    <xf numFmtId="165" fontId="5" fillId="3" borderId="2" xfId="3" applyNumberFormat="1" applyFont="1" applyFill="1" applyBorder="1" applyAlignment="1">
      <alignment horizontal="center" vertical="center" wrapText="1" shrinkToFit="1"/>
    </xf>
    <xf numFmtId="165" fontId="5" fillId="3" borderId="8" xfId="3" applyNumberFormat="1" applyFont="1" applyFill="1" applyBorder="1" applyAlignment="1">
      <alignment horizontal="center" vertical="center" wrapText="1" shrinkToFit="1"/>
    </xf>
    <xf numFmtId="165" fontId="3" fillId="3" borderId="1" xfId="0" applyNumberFormat="1" applyFont="1" applyFill="1" applyBorder="1" applyAlignment="1">
      <alignment horizontal="center" vertical="center" wrapText="1" shrinkToFit="1"/>
    </xf>
    <xf numFmtId="166" fontId="3" fillId="3" borderId="4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165" fontId="5" fillId="3" borderId="2" xfId="5" applyNumberFormat="1" applyFont="1" applyFill="1" applyBorder="1" applyAlignment="1">
      <alignment horizontal="center" vertical="center" wrapText="1" shrinkToFit="1"/>
    </xf>
    <xf numFmtId="166" fontId="3" fillId="3" borderId="0" xfId="0" applyNumberFormat="1" applyFont="1" applyFill="1" applyAlignment="1">
      <alignment horizontal="center"/>
    </xf>
    <xf numFmtId="165" fontId="3" fillId="3" borderId="2" xfId="5" applyNumberFormat="1" applyFont="1" applyFill="1" applyBorder="1" applyAlignment="1">
      <alignment horizontal="center" vertical="center" wrapText="1" shrinkToFit="1"/>
    </xf>
    <xf numFmtId="165" fontId="5" fillId="3" borderId="2" xfId="2" applyNumberFormat="1" applyFont="1" applyFill="1" applyBorder="1" applyAlignment="1">
      <alignment horizontal="center" vertical="center" wrapText="1" shrinkToFit="1"/>
    </xf>
    <xf numFmtId="165" fontId="5" fillId="3" borderId="2" xfId="4" applyNumberFormat="1" applyFont="1" applyFill="1" applyBorder="1" applyAlignment="1">
      <alignment horizontal="center" vertical="center" wrapText="1" shrinkToFit="1"/>
    </xf>
    <xf numFmtId="165" fontId="3" fillId="3" borderId="8" xfId="2" applyNumberFormat="1" applyFont="1" applyFill="1" applyBorder="1" applyAlignment="1">
      <alignment horizontal="center" vertical="center" wrapText="1" shrinkToFit="1"/>
    </xf>
    <xf numFmtId="165" fontId="5" fillId="3" borderId="8" xfId="2" applyNumberFormat="1" applyFont="1" applyFill="1" applyBorder="1" applyAlignment="1">
      <alignment horizontal="center" vertical="center" wrapText="1" shrinkToFit="1"/>
    </xf>
    <xf numFmtId="165" fontId="5" fillId="3" borderId="11" xfId="2" applyNumberFormat="1" applyFont="1" applyFill="1" applyBorder="1" applyAlignment="1">
      <alignment horizontal="center" vertical="center" wrapText="1" shrinkToFit="1"/>
    </xf>
    <xf numFmtId="165" fontId="5" fillId="3" borderId="8" xfId="5" applyNumberFormat="1" applyFont="1" applyFill="1" applyBorder="1" applyAlignment="1">
      <alignment horizontal="center" vertical="center" wrapText="1" shrinkToFit="1"/>
    </xf>
    <xf numFmtId="2" fontId="0" fillId="0" borderId="0" xfId="0" applyNumberFormat="1"/>
    <xf numFmtId="0" fontId="9" fillId="3" borderId="10" xfId="0" applyFont="1" applyFill="1" applyBorder="1"/>
    <xf numFmtId="3" fontId="9" fillId="3" borderId="10" xfId="0" applyNumberFormat="1" applyFont="1" applyFill="1" applyBorder="1" applyAlignment="1">
      <alignment horizontal="right"/>
    </xf>
    <xf numFmtId="3" fontId="10" fillId="3" borderId="10" xfId="0" applyNumberFormat="1" applyFont="1" applyFill="1" applyBorder="1" applyAlignment="1">
      <alignment horizontal="right"/>
    </xf>
    <xf numFmtId="0" fontId="11" fillId="3" borderId="10" xfId="0" applyFont="1" applyFill="1" applyBorder="1"/>
    <xf numFmtId="3" fontId="11" fillId="3" borderId="10" xfId="0" applyNumberFormat="1" applyFont="1" applyFill="1" applyBorder="1" applyAlignment="1">
      <alignment horizontal="right"/>
    </xf>
    <xf numFmtId="0" fontId="10" fillId="3" borderId="10" xfId="0" applyFont="1" applyFill="1" applyBorder="1"/>
    <xf numFmtId="3" fontId="10" fillId="3" borderId="10" xfId="0" applyNumberFormat="1" applyFont="1" applyFill="1" applyBorder="1"/>
    <xf numFmtId="0" fontId="10" fillId="3" borderId="0" xfId="0" applyFont="1" applyFill="1"/>
    <xf numFmtId="0" fontId="3" fillId="3" borderId="0" xfId="0" applyFont="1" applyFill="1" applyAlignment="1">
      <alignment horizontal="right"/>
    </xf>
    <xf numFmtId="165" fontId="3" fillId="3" borderId="1" xfId="4" applyNumberFormat="1" applyFont="1" applyFill="1" applyBorder="1" applyAlignment="1">
      <alignment horizontal="center" vertical="center" wrapText="1" shrinkToFit="1"/>
    </xf>
    <xf numFmtId="4" fontId="0" fillId="0" borderId="0" xfId="0" applyNumberFormat="1"/>
    <xf numFmtId="0" fontId="12" fillId="0" borderId="6" xfId="0" applyFont="1" applyBorder="1"/>
    <xf numFmtId="4" fontId="12" fillId="0" borderId="5" xfId="0" applyNumberFormat="1" applyFont="1" applyBorder="1"/>
    <xf numFmtId="0" fontId="0" fillId="0" borderId="6" xfId="0" applyBorder="1"/>
    <xf numFmtId="4" fontId="0" fillId="0" borderId="5" xfId="0" applyNumberFormat="1" applyBorder="1"/>
    <xf numFmtId="165" fontId="0" fillId="0" borderId="0" xfId="0" applyNumberFormat="1"/>
    <xf numFmtId="0" fontId="11" fillId="3" borderId="1" xfId="0" applyFont="1" applyFill="1" applyBorder="1" applyAlignment="1">
      <alignment horizontal="center"/>
    </xf>
    <xf numFmtId="14" fontId="11" fillId="3" borderId="1" xfId="0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1" fontId="4" fillId="3" borderId="1" xfId="2" applyNumberFormat="1" applyFont="1" applyFill="1" applyBorder="1" applyAlignment="1">
      <alignment horizontal="center" vertical="center" wrapText="1"/>
    </xf>
    <xf numFmtId="165" fontId="4" fillId="3" borderId="3" xfId="2" applyNumberFormat="1" applyFont="1" applyFill="1" applyBorder="1" applyAlignment="1">
      <alignment horizontal="center" vertical="center" wrapText="1"/>
    </xf>
    <xf numFmtId="0" fontId="13" fillId="3" borderId="1" xfId="1" applyFont="1" applyFill="1" applyBorder="1"/>
    <xf numFmtId="165" fontId="13" fillId="3" borderId="1" xfId="1" applyNumberFormat="1" applyFont="1" applyFill="1" applyBorder="1" applyAlignment="1">
      <alignment horizontal="center" vertical="center" wrapText="1" shrinkToFit="1"/>
    </xf>
    <xf numFmtId="0" fontId="1" fillId="3" borderId="0" xfId="1" applyFill="1"/>
    <xf numFmtId="0" fontId="13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 shrinkToFit="1"/>
    </xf>
    <xf numFmtId="165" fontId="10" fillId="3" borderId="2" xfId="2" applyNumberFormat="1" applyFont="1" applyFill="1" applyBorder="1" applyAlignment="1">
      <alignment horizontal="center" vertical="center" wrapText="1" shrinkToFit="1"/>
    </xf>
    <xf numFmtId="0" fontId="13" fillId="3" borderId="6" xfId="1" applyFont="1" applyFill="1" applyBorder="1"/>
    <xf numFmtId="165" fontId="13" fillId="3" borderId="1" xfId="2" applyNumberFormat="1" applyFont="1" applyFill="1" applyBorder="1" applyAlignment="1">
      <alignment horizontal="center" vertical="center" wrapText="1" shrinkToFit="1"/>
    </xf>
    <xf numFmtId="0" fontId="4" fillId="3" borderId="6" xfId="1" applyFont="1" applyFill="1" applyBorder="1" applyAlignment="1">
      <alignment horizontal="center"/>
    </xf>
    <xf numFmtId="165" fontId="1" fillId="3" borderId="2" xfId="4" applyNumberFormat="1" applyFont="1" applyFill="1" applyBorder="1" applyAlignment="1">
      <alignment horizontal="center" vertical="center" wrapText="1" shrinkToFit="1"/>
    </xf>
    <xf numFmtId="0" fontId="4" fillId="3" borderId="6" xfId="1" applyFont="1" applyFill="1" applyBorder="1"/>
    <xf numFmtId="165" fontId="4" fillId="3" borderId="1" xfId="4" applyNumberFormat="1" applyFont="1" applyFill="1" applyBorder="1" applyAlignment="1">
      <alignment horizontal="center" vertical="center" wrapText="1" shrinkToFit="1"/>
    </xf>
    <xf numFmtId="165" fontId="1" fillId="3" borderId="1" xfId="2" applyNumberFormat="1" applyFont="1" applyFill="1" applyBorder="1" applyAlignment="1">
      <alignment horizontal="center" vertical="center" wrapText="1" shrinkToFit="1"/>
    </xf>
    <xf numFmtId="165" fontId="1" fillId="3" borderId="8" xfId="2" applyNumberFormat="1" applyFont="1" applyFill="1" applyBorder="1" applyAlignment="1">
      <alignment horizontal="center" vertical="center" wrapText="1" shrinkToFi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2" fillId="0" borderId="0" xfId="0" applyFont="1"/>
    <xf numFmtId="4" fontId="12" fillId="0" borderId="0" xfId="0" applyNumberFormat="1" applyFont="1"/>
  </cellXfs>
  <cellStyles count="6">
    <cellStyle name="Millares 2" xfId="2" xr:uid="{D4BD114E-DBA6-47CA-9A15-0C4B5A37643C}"/>
    <cellStyle name="Millares 3 2" xfId="5" xr:uid="{E649CCEC-E78B-49B1-A35E-49AF3559A81E}"/>
    <cellStyle name="Normal" xfId="0" builtinId="0"/>
    <cellStyle name="Normal 2" xfId="1" xr:uid="{2721C95F-30B7-45DA-9AF8-9FECEDF48794}"/>
    <cellStyle name="Normal 2 2" xfId="3" xr:uid="{CD9CC7F8-1B2C-4BDE-B64F-3C68404D9E5B}"/>
    <cellStyle name="Porcentaje 2" xfId="4" xr:uid="{6C8EE194-6BC5-499E-8B5F-46DE08B9B9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</xdr:rowOff>
    </xdr:from>
    <xdr:to>
      <xdr:col>9</xdr:col>
      <xdr:colOff>352425</xdr:colOff>
      <xdr:row>10</xdr:row>
      <xdr:rowOff>76201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85D87AD-623E-44A8-8A63-081FCBA86512}"/>
            </a:ext>
          </a:extLst>
        </xdr:cNvPr>
        <xdr:cNvSpPr txBox="1"/>
      </xdr:nvSpPr>
      <xdr:spPr>
        <a:xfrm>
          <a:off x="0" y="381001"/>
          <a:ext cx="9877425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100"/>
        </a:p>
        <a:p>
          <a:r>
            <a:rPr lang="es-ES" sz="2500" b="0" u="none"/>
            <a:t>EL VALOR DE LA</a:t>
          </a:r>
          <a:r>
            <a:rPr lang="es-ES" sz="2500" b="0" u="none" baseline="0"/>
            <a:t> SOCIEDAD HOLDING "INVERSIONES, S.A." A 31 DE DICIEMBRE DE 2023, VALORADA POR EL MÉTODO DEL VALOR NETO CONTABLE AJUSTADO ASCIENDE A </a:t>
          </a:r>
          <a:r>
            <a:rPr lang="es-ES" sz="2500" b="1" u="sng" baseline="0"/>
            <a:t>116.900.165</a:t>
          </a:r>
          <a:r>
            <a:rPr lang="es-ES" sz="2500" b="0" u="none" baseline="0"/>
            <a:t> EUROS.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323849</xdr:colOff>
      <xdr:row>48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C026853-63F1-49BB-98EF-FA7F3E9BD4DF}"/>
            </a:ext>
          </a:extLst>
        </xdr:cNvPr>
        <xdr:cNvSpPr txBox="1"/>
      </xdr:nvSpPr>
      <xdr:spPr>
        <a:xfrm>
          <a:off x="0" y="190500"/>
          <a:ext cx="5657849" cy="909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100"/>
        </a:p>
        <a:p>
          <a:r>
            <a:rPr lang="es-ES" sz="1100" b="1" u="sng"/>
            <a:t>Se pide</a:t>
          </a:r>
          <a:r>
            <a:rPr lang="es-ES" sz="1100"/>
            <a:t>: Valorar la  empresa  Holding</a:t>
          </a:r>
          <a:r>
            <a:rPr lang="es-ES" sz="1100" baseline="0"/>
            <a:t> INVERSIONES, S.A. a 31 de diciembre de 2023, considerando que el múltiplo más adecuado para valorar las participadas es el ratio EV/EBITDA, se pide utilizar únicamente aquellas compañías que coticen en un ratio EV/EBITDA de entre 5x y 30x, considerando que las empresas que cotizan a ratios superiores o inferiores no serían comparables con las empresas a analizar.</a:t>
          </a:r>
        </a:p>
        <a:p>
          <a:endParaRPr lang="es-ES" sz="1100" baseline="0"/>
        </a:p>
        <a:p>
          <a:r>
            <a:rPr lang="es-ES" sz="1100" b="1" u="sng" baseline="0"/>
            <a:t>Datos</a:t>
          </a:r>
          <a:r>
            <a:rPr lang="es-ES" sz="1100" baseline="0"/>
            <a:t>:</a:t>
          </a:r>
        </a:p>
        <a:p>
          <a:endParaRPr lang="es-ES" sz="1100" baseline="0"/>
        </a:p>
        <a:p>
          <a:r>
            <a:rPr lang="es-ES" sz="1100" baseline="0"/>
            <a:t>- La sociedad compró en el ejercicio 2010 unos terrenos valorados en 1.525.000 euros, dichos terrenos han sido tasados recientemente 3.000.000 euros.</a:t>
          </a:r>
        </a:p>
        <a:p>
          <a:endParaRPr lang="es-ES" sz="1100" baseline="0"/>
        </a:p>
        <a:p>
          <a:r>
            <a:rPr lang="es-ES" sz="1100" baseline="0"/>
            <a:t>- La sociedad cuenta con 3 participaciones en sociedades no cotizadas (moneda estados financieros en euros):</a:t>
          </a:r>
        </a:p>
        <a:p>
          <a:endParaRPr lang="es-ES" sz="1100" baseline="0"/>
        </a:p>
        <a:p>
          <a:r>
            <a:rPr lang="es-ES" sz="1100" baseline="0"/>
            <a:t>1) Participación del 100% de las acciones de una bodega española valorada contablemente en 346.243 euros.</a:t>
          </a:r>
        </a:p>
        <a:p>
          <a:endParaRPr lang="es-ES" sz="1100" baseline="0"/>
        </a:p>
        <a:p>
          <a:r>
            <a:rPr lang="es-ES" sz="1100" baseline="0"/>
            <a:t>2) Participación del 45% (el otro socio tiene el 55%) en una sociedad que explota un hotel en Republica Dominicana, valorada contablemente en 45.000.000 de euros.</a:t>
          </a:r>
        </a:p>
        <a:p>
          <a:endParaRPr lang="es-ES" sz="1100" baseline="0"/>
        </a:p>
        <a:p>
          <a:r>
            <a:rPr lang="es-ES" sz="1100" baseline="0"/>
            <a:t>3) Participación del  90% en una sociedad francesa dedicada a la promoción inmobiliaria y arrendamiento de inmuebles, valorada contablemente en 13.947.209 euros.</a:t>
          </a:r>
        </a:p>
        <a:p>
          <a:endParaRPr lang="es-ES" sz="1100" baseline="0"/>
        </a:p>
        <a:p>
          <a:endParaRPr lang="es-ES" sz="1100" baseline="0"/>
        </a:p>
        <a:p>
          <a:r>
            <a:rPr lang="es-ES" sz="1100" baseline="0"/>
            <a:t>- La sociedad tiene un saldo de cliente pendiente de cobro de 1 millon de euros con una sociedad que se encuentra en concurso de acreedores y de la que no se espera que se pueda cobrar nada, dicho saldo no se encuentra provisionado en balance.</a:t>
          </a:r>
        </a:p>
        <a:p>
          <a:endParaRPr lang="es-ES" sz="1100" baseline="0"/>
        </a:p>
        <a:p>
          <a:r>
            <a:rPr lang="es-ES" sz="1100" baseline="0"/>
            <a:t>- La sociedad antes del cierre del ejercicio 2023 repartió un dicidendo de 2.000.000 de euros a sus accionistas, en los estados financieros de la HOLDING no se ha registrado este movimiento.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83D6-F280-489A-AB3E-4ED62B7E171D}">
  <dimension ref="A1"/>
  <sheetViews>
    <sheetView workbookViewId="0">
      <selection activeCell="C12" sqref="C12"/>
    </sheetView>
  </sheetViews>
  <sheetFormatPr defaultColWidth="11.42578125" defaultRowHeight="15" x14ac:dyDescent="0.25"/>
  <cols>
    <col min="1" max="1" width="51.42578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0F04-6F00-427B-A28A-F93E41AB8819}">
  <dimension ref="J13"/>
  <sheetViews>
    <sheetView workbookViewId="0">
      <selection activeCell="J27" sqref="J27"/>
    </sheetView>
  </sheetViews>
  <sheetFormatPr defaultColWidth="11.42578125" defaultRowHeight="15" x14ac:dyDescent="0.25"/>
  <sheetData>
    <row r="13" spans="10:10" x14ac:dyDescent="0.25">
      <c r="J13" s="5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C8" sqref="C8"/>
    </sheetView>
  </sheetViews>
  <sheetFormatPr defaultColWidth="9.140625" defaultRowHeight="15" x14ac:dyDescent="0.25"/>
  <cols>
    <col min="1" max="1" width="72" bestFit="1" customWidth="1"/>
    <col min="2" max="2" width="14.140625" bestFit="1" customWidth="1"/>
    <col min="3" max="3" width="17.42578125" customWidth="1"/>
    <col min="4" max="4" width="15.42578125" bestFit="1" customWidth="1"/>
    <col min="5" max="5" width="13.7109375" bestFit="1" customWidth="1"/>
    <col min="6" max="6" width="11.5703125" bestFit="1" customWidth="1"/>
  </cols>
  <sheetData>
    <row r="1" spans="1:5" ht="15.75" thickBot="1" x14ac:dyDescent="0.3">
      <c r="A1" s="73" t="s">
        <v>62</v>
      </c>
      <c r="B1" s="74">
        <v>45291</v>
      </c>
      <c r="C1" s="64"/>
      <c r="D1" s="64"/>
    </row>
    <row r="2" spans="1:5" ht="39" thickBot="1" x14ac:dyDescent="0.3">
      <c r="A2" s="75" t="s">
        <v>0</v>
      </c>
      <c r="B2" s="76" t="s">
        <v>1</v>
      </c>
      <c r="C2" s="76" t="s">
        <v>196</v>
      </c>
      <c r="D2" s="76" t="s">
        <v>197</v>
      </c>
    </row>
    <row r="3" spans="1:5" ht="15.75" thickBot="1" x14ac:dyDescent="0.3">
      <c r="A3" s="1"/>
      <c r="B3" s="77"/>
      <c r="C3" s="77"/>
      <c r="D3" s="77"/>
    </row>
    <row r="4" spans="1:5" ht="15.75" thickBot="1" x14ac:dyDescent="0.3">
      <c r="A4" s="2" t="s">
        <v>2</v>
      </c>
      <c r="B4" s="3">
        <f>SUM(B5:B10)</f>
        <v>60820406.280000001</v>
      </c>
      <c r="C4" s="3">
        <f t="shared" ref="C4:D4" si="0">SUM(C5:C10)</f>
        <v>69805141.10428448</v>
      </c>
      <c r="D4" s="3">
        <f t="shared" si="0"/>
        <v>130625547.38428448</v>
      </c>
    </row>
    <row r="5" spans="1:5" x14ac:dyDescent="0.25">
      <c r="A5" s="4" t="s">
        <v>3</v>
      </c>
      <c r="B5" s="12"/>
      <c r="C5" s="12"/>
      <c r="D5" s="12"/>
    </row>
    <row r="6" spans="1:5" x14ac:dyDescent="0.25">
      <c r="A6" s="4" t="s">
        <v>4</v>
      </c>
      <c r="B6" s="12">
        <v>1525000</v>
      </c>
      <c r="C6" s="12">
        <v>1475000</v>
      </c>
      <c r="D6" s="12">
        <f>+B6+C6</f>
        <v>3000000</v>
      </c>
    </row>
    <row r="7" spans="1:5" x14ac:dyDescent="0.25">
      <c r="A7" s="4" t="s">
        <v>5</v>
      </c>
      <c r="B7" s="12"/>
      <c r="C7" s="12"/>
      <c r="D7" s="12"/>
    </row>
    <row r="8" spans="1:5" x14ac:dyDescent="0.25">
      <c r="A8" s="4" t="s">
        <v>6</v>
      </c>
      <c r="B8" s="12">
        <v>59293451.539999999</v>
      </c>
      <c r="C8" s="12">
        <f>+BODEGAS!B56+HOTEL!B99+'Promotora inmobiliaria y alquil'!B80</f>
        <v>68330141.10428448</v>
      </c>
      <c r="D8" s="12">
        <f t="shared" ref="D8:D9" si="1">+B8+C8</f>
        <v>127623592.64428449</v>
      </c>
      <c r="E8" s="67"/>
    </row>
    <row r="9" spans="1:5" x14ac:dyDescent="0.25">
      <c r="A9" s="4" t="s">
        <v>7</v>
      </c>
      <c r="B9" s="12">
        <v>1954.74</v>
      </c>
      <c r="C9" s="12"/>
      <c r="D9" s="12">
        <f t="shared" si="1"/>
        <v>1954.74</v>
      </c>
    </row>
    <row r="10" spans="1:5" ht="15.75" thickBot="1" x14ac:dyDescent="0.3">
      <c r="A10" s="4" t="s">
        <v>8</v>
      </c>
      <c r="B10" s="12"/>
      <c r="C10" s="12"/>
      <c r="D10" s="12"/>
    </row>
    <row r="11" spans="1:5" ht="15.75" thickBot="1" x14ac:dyDescent="0.3">
      <c r="A11" s="2" t="s">
        <v>9</v>
      </c>
      <c r="B11" s="5">
        <f>SUM(B12:B18)</f>
        <v>7051445.4100000001</v>
      </c>
      <c r="C11" s="5">
        <f t="shared" ref="C11:D11" si="2">SUM(C12:C18)</f>
        <v>-3000000</v>
      </c>
      <c r="D11" s="5">
        <f t="shared" si="2"/>
        <v>4051445.41</v>
      </c>
    </row>
    <row r="12" spans="1:5" x14ac:dyDescent="0.25">
      <c r="A12" s="4" t="s">
        <v>10</v>
      </c>
      <c r="B12" s="6"/>
      <c r="C12" s="6"/>
      <c r="D12" s="6"/>
    </row>
    <row r="13" spans="1:5" x14ac:dyDescent="0.25">
      <c r="A13" s="4" t="s">
        <v>11</v>
      </c>
      <c r="B13" s="12"/>
      <c r="C13" s="12"/>
      <c r="D13" s="12"/>
    </row>
    <row r="14" spans="1:5" x14ac:dyDescent="0.25">
      <c r="A14" s="4" t="s">
        <v>12</v>
      </c>
      <c r="B14" s="12">
        <v>1625367.93</v>
      </c>
      <c r="C14" s="12">
        <v>-1000000</v>
      </c>
      <c r="D14" s="12">
        <f t="shared" ref="D14:D18" si="3">+B14+C14</f>
        <v>625367.92999999993</v>
      </c>
    </row>
    <row r="15" spans="1:5" x14ac:dyDescent="0.25">
      <c r="A15" s="4" t="s">
        <v>13</v>
      </c>
      <c r="B15" s="12">
        <v>602068.47999999998</v>
      </c>
      <c r="C15" s="12"/>
      <c r="D15" s="12">
        <f t="shared" si="3"/>
        <v>602068.47999999998</v>
      </c>
    </row>
    <row r="16" spans="1:5" x14ac:dyDescent="0.25">
      <c r="A16" s="4" t="s">
        <v>14</v>
      </c>
      <c r="B16" s="12">
        <v>1500</v>
      </c>
      <c r="C16" s="12"/>
      <c r="D16" s="12">
        <f t="shared" si="3"/>
        <v>1500</v>
      </c>
    </row>
    <row r="17" spans="1:6" x14ac:dyDescent="0.25">
      <c r="A17" s="4" t="s">
        <v>15</v>
      </c>
      <c r="B17" s="12"/>
      <c r="C17" s="12"/>
      <c r="D17" s="12"/>
    </row>
    <row r="18" spans="1:6" ht="15.75" thickBot="1" x14ac:dyDescent="0.3">
      <c r="A18" s="4" t="s">
        <v>16</v>
      </c>
      <c r="B18" s="12">
        <v>4822509</v>
      </c>
      <c r="C18" s="12">
        <v>-2000000</v>
      </c>
      <c r="D18" s="12">
        <f t="shared" si="3"/>
        <v>2822509</v>
      </c>
    </row>
    <row r="19" spans="1:6" ht="15.75" thickBot="1" x14ac:dyDescent="0.3">
      <c r="A19" s="78" t="s">
        <v>17</v>
      </c>
      <c r="B19" s="79">
        <f>+B4+B11</f>
        <v>67871851.689999998</v>
      </c>
      <c r="C19" s="79">
        <f t="shared" ref="C19:D19" si="4">+C4+C11</f>
        <v>66805141.10428448</v>
      </c>
      <c r="D19" s="79">
        <f t="shared" si="4"/>
        <v>134676992.79428449</v>
      </c>
    </row>
    <row r="20" spans="1:6" ht="15.75" thickBot="1" x14ac:dyDescent="0.3">
      <c r="A20" s="1"/>
      <c r="B20" s="74">
        <v>44196</v>
      </c>
      <c r="C20" s="80"/>
      <c r="D20" s="80"/>
    </row>
    <row r="21" spans="1:6" ht="39" thickBot="1" x14ac:dyDescent="0.3">
      <c r="A21" s="81" t="s">
        <v>18</v>
      </c>
      <c r="B21" s="76" t="s">
        <v>1</v>
      </c>
      <c r="C21" s="76" t="s">
        <v>196</v>
      </c>
      <c r="D21" s="76" t="s">
        <v>197</v>
      </c>
    </row>
    <row r="22" spans="1:6" ht="15.75" thickBot="1" x14ac:dyDescent="0.3">
      <c r="A22" s="1"/>
      <c r="B22" s="82"/>
      <c r="C22" s="82"/>
      <c r="D22" s="82"/>
    </row>
    <row r="23" spans="1:6" ht="15.75" thickBot="1" x14ac:dyDescent="0.3">
      <c r="A23" s="2" t="s">
        <v>19</v>
      </c>
      <c r="B23" s="3">
        <f>+B24+B32</f>
        <v>50095023.422499999</v>
      </c>
      <c r="C23" s="3">
        <f>+D23-B23</f>
        <v>66805141.104284495</v>
      </c>
      <c r="D23" s="11">
        <f>+D24+D32</f>
        <v>116900164.52678449</v>
      </c>
    </row>
    <row r="24" spans="1:6" x14ac:dyDescent="0.25">
      <c r="A24" s="4" t="s">
        <v>20</v>
      </c>
      <c r="B24" s="12">
        <f>SUM(B25:B31)</f>
        <v>50095023.422499999</v>
      </c>
      <c r="C24" s="12"/>
      <c r="D24" s="12">
        <f>SUM(D25:D31)</f>
        <v>48095023.422499999</v>
      </c>
    </row>
    <row r="25" spans="1:6" x14ac:dyDescent="0.25">
      <c r="A25" s="4" t="s">
        <v>21</v>
      </c>
      <c r="B25" s="12">
        <v>93650</v>
      </c>
      <c r="C25" s="12"/>
      <c r="D25" s="12">
        <f>+B25+C25</f>
        <v>93650</v>
      </c>
    </row>
    <row r="26" spans="1:6" x14ac:dyDescent="0.25">
      <c r="A26" s="4" t="s">
        <v>22</v>
      </c>
      <c r="B26" s="13"/>
      <c r="C26" s="13"/>
      <c r="D26" s="12"/>
    </row>
    <row r="27" spans="1:6" x14ac:dyDescent="0.25">
      <c r="A27" s="4" t="s">
        <v>23</v>
      </c>
      <c r="B27" s="12">
        <v>46166818.384999998</v>
      </c>
      <c r="C27" s="12"/>
      <c r="D27" s="12">
        <f t="shared" ref="D27:D31" si="5">+B27+C27</f>
        <v>46166818.384999998</v>
      </c>
    </row>
    <row r="28" spans="1:6" x14ac:dyDescent="0.25">
      <c r="A28" s="4" t="s">
        <v>24</v>
      </c>
      <c r="B28" s="13"/>
      <c r="C28" s="13"/>
      <c r="D28" s="12"/>
    </row>
    <row r="29" spans="1:6" x14ac:dyDescent="0.25">
      <c r="A29" s="4" t="s">
        <v>25</v>
      </c>
      <c r="B29" s="12"/>
      <c r="C29" s="12"/>
      <c r="D29" s="12"/>
    </row>
    <row r="30" spans="1:6" x14ac:dyDescent="0.25">
      <c r="A30" s="4" t="s">
        <v>26</v>
      </c>
      <c r="B30" s="12"/>
      <c r="C30" s="12">
        <v>-2000000</v>
      </c>
      <c r="D30" s="12">
        <f>+B30+C30</f>
        <v>-2000000</v>
      </c>
    </row>
    <row r="31" spans="1:6" x14ac:dyDescent="0.25">
      <c r="A31" s="4" t="s">
        <v>27</v>
      </c>
      <c r="B31" s="12">
        <f>+B67</f>
        <v>3834555.0374999996</v>
      </c>
      <c r="C31" s="83"/>
      <c r="D31" s="12">
        <f t="shared" si="5"/>
        <v>3834555.0374999996</v>
      </c>
      <c r="E31" s="72"/>
    </row>
    <row r="32" spans="1:6" ht="15.75" thickBot="1" x14ac:dyDescent="0.3">
      <c r="A32" s="4" t="s">
        <v>28</v>
      </c>
      <c r="B32" s="12"/>
      <c r="C32" s="12">
        <f>+D32</f>
        <v>68805141.104284495</v>
      </c>
      <c r="D32" s="12">
        <v>68805141.104284495</v>
      </c>
      <c r="F32" s="72"/>
    </row>
    <row r="33" spans="1:4" ht="15.75" thickBot="1" x14ac:dyDescent="0.3">
      <c r="A33" s="2" t="s">
        <v>29</v>
      </c>
      <c r="B33" s="3">
        <f>SUM(B34:B35)</f>
        <v>6432048.9074999988</v>
      </c>
      <c r="C33" s="3">
        <f t="shared" ref="C33:D33" si="6">SUM(C34:C35)</f>
        <v>0</v>
      </c>
      <c r="D33" s="3">
        <f t="shared" si="6"/>
        <v>6432048.9074999988</v>
      </c>
    </row>
    <row r="34" spans="1:4" x14ac:dyDescent="0.25">
      <c r="A34" s="4" t="s">
        <v>30</v>
      </c>
      <c r="B34" s="12">
        <v>2910950.86</v>
      </c>
      <c r="C34" s="12"/>
      <c r="D34" s="12">
        <f>+B34+C34</f>
        <v>2910950.86</v>
      </c>
    </row>
    <row r="35" spans="1:4" x14ac:dyDescent="0.25">
      <c r="A35" s="4" t="s">
        <v>31</v>
      </c>
      <c r="B35" s="12">
        <v>3521098.0474999994</v>
      </c>
      <c r="C35" s="12"/>
      <c r="D35" s="12">
        <f>+B35+C35</f>
        <v>3521098.0474999994</v>
      </c>
    </row>
    <row r="36" spans="1:4" x14ac:dyDescent="0.25">
      <c r="A36" s="4" t="s">
        <v>32</v>
      </c>
      <c r="B36" s="12"/>
      <c r="C36" s="12"/>
      <c r="D36" s="12"/>
    </row>
    <row r="37" spans="1:4" x14ac:dyDescent="0.25">
      <c r="A37" s="4" t="s">
        <v>33</v>
      </c>
      <c r="B37" s="12"/>
      <c r="C37" s="12"/>
      <c r="D37" s="12"/>
    </row>
    <row r="38" spans="1:4" x14ac:dyDescent="0.25">
      <c r="A38" s="4" t="s">
        <v>34</v>
      </c>
      <c r="B38" s="9"/>
      <c r="C38" s="9"/>
      <c r="D38" s="9"/>
    </row>
    <row r="39" spans="1:4" x14ac:dyDescent="0.25">
      <c r="A39" s="4" t="s">
        <v>35</v>
      </c>
      <c r="B39" s="9"/>
      <c r="C39" s="9"/>
      <c r="D39" s="9"/>
    </row>
    <row r="40" spans="1:4" ht="15.75" thickBot="1" x14ac:dyDescent="0.3">
      <c r="A40" s="4" t="s">
        <v>36</v>
      </c>
      <c r="B40" s="9"/>
      <c r="C40" s="9"/>
      <c r="D40" s="9"/>
    </row>
    <row r="41" spans="1:4" ht="15.75" thickBot="1" x14ac:dyDescent="0.3">
      <c r="A41" s="2" t="s">
        <v>37</v>
      </c>
      <c r="B41" s="7">
        <f>SUM(B42:B46)</f>
        <v>11344779.359999999</v>
      </c>
      <c r="C41" s="7">
        <f t="shared" ref="C41:D41" si="7">SUM(C42:C46)</f>
        <v>0</v>
      </c>
      <c r="D41" s="7">
        <f t="shared" si="7"/>
        <v>11344779.359999999</v>
      </c>
    </row>
    <row r="42" spans="1:4" x14ac:dyDescent="0.25">
      <c r="A42" s="4" t="s">
        <v>38</v>
      </c>
      <c r="B42" s="13"/>
      <c r="C42" s="13"/>
      <c r="D42" s="13"/>
    </row>
    <row r="43" spans="1:4" x14ac:dyDescent="0.25">
      <c r="A43" s="4" t="s">
        <v>39</v>
      </c>
      <c r="B43" s="12"/>
      <c r="C43" s="12"/>
      <c r="D43" s="12"/>
    </row>
    <row r="44" spans="1:4" x14ac:dyDescent="0.25">
      <c r="A44" s="4" t="s">
        <v>40</v>
      </c>
      <c r="B44" s="12">
        <v>2436194.94</v>
      </c>
      <c r="C44" s="12"/>
      <c r="D44" s="12">
        <f t="shared" ref="D44:D46" si="8">+B44+C44</f>
        <v>2436194.94</v>
      </c>
    </row>
    <row r="45" spans="1:4" x14ac:dyDescent="0.25">
      <c r="A45" s="4" t="s">
        <v>41</v>
      </c>
      <c r="B45" s="12">
        <v>8791456.9000000004</v>
      </c>
      <c r="C45" s="12"/>
      <c r="D45" s="12">
        <f t="shared" si="8"/>
        <v>8791456.9000000004</v>
      </c>
    </row>
    <row r="46" spans="1:4" x14ac:dyDescent="0.25">
      <c r="A46" s="4" t="s">
        <v>42</v>
      </c>
      <c r="B46" s="12">
        <v>117127.52</v>
      </c>
      <c r="C46" s="12"/>
      <c r="D46" s="12">
        <f t="shared" si="8"/>
        <v>117127.52</v>
      </c>
    </row>
    <row r="47" spans="1:4" x14ac:dyDescent="0.25">
      <c r="A47" s="4" t="s">
        <v>15</v>
      </c>
      <c r="B47" s="12"/>
      <c r="C47" s="12"/>
      <c r="D47" s="12"/>
    </row>
    <row r="48" spans="1:4" ht="15.75" thickBot="1" x14ac:dyDescent="0.3">
      <c r="A48" s="4" t="s">
        <v>43</v>
      </c>
      <c r="B48" s="12"/>
      <c r="C48" s="12"/>
      <c r="D48" s="12"/>
    </row>
    <row r="49" spans="1:4" ht="15.75" thickBot="1" x14ac:dyDescent="0.3">
      <c r="A49" s="84" t="s">
        <v>44</v>
      </c>
      <c r="B49" s="85">
        <f>+B23+B33+B41</f>
        <v>67871851.689999998</v>
      </c>
      <c r="C49" s="85">
        <f>+C23+C33+C41</f>
        <v>66805141.104284495</v>
      </c>
      <c r="D49" s="85">
        <f>+D23+D33+D41</f>
        <v>134676992.79428449</v>
      </c>
    </row>
    <row r="50" spans="1:4" ht="15.75" thickBot="1" x14ac:dyDescent="0.3">
      <c r="A50" s="80"/>
      <c r="B50" s="80"/>
      <c r="C50" s="64"/>
      <c r="D50" s="64"/>
    </row>
    <row r="51" spans="1:4" ht="15.75" thickBot="1" x14ac:dyDescent="0.3">
      <c r="A51" s="86" t="s">
        <v>45</v>
      </c>
      <c r="B51" s="76">
        <v>2023</v>
      </c>
      <c r="C51" s="64"/>
      <c r="D51" s="64"/>
    </row>
    <row r="52" spans="1:4" x14ac:dyDescent="0.25">
      <c r="A52" s="8" t="s">
        <v>46</v>
      </c>
      <c r="B52" s="9">
        <v>5669592.6699999999</v>
      </c>
      <c r="C52" s="64"/>
      <c r="D52" s="64"/>
    </row>
    <row r="53" spans="1:4" x14ac:dyDescent="0.25">
      <c r="A53" s="8" t="s">
        <v>47</v>
      </c>
      <c r="B53" s="6"/>
      <c r="C53" s="64"/>
      <c r="D53" s="64"/>
    </row>
    <row r="54" spans="1:4" x14ac:dyDescent="0.25">
      <c r="A54" s="8" t="s">
        <v>48</v>
      </c>
      <c r="B54" s="12"/>
      <c r="C54" s="64"/>
      <c r="D54" s="64"/>
    </row>
    <row r="55" spans="1:4" x14ac:dyDescent="0.25">
      <c r="A55" s="8" t="s">
        <v>49</v>
      </c>
      <c r="B55" s="12"/>
      <c r="C55" s="64"/>
      <c r="D55" s="64"/>
    </row>
    <row r="56" spans="1:4" x14ac:dyDescent="0.25">
      <c r="A56" s="8" t="s">
        <v>50</v>
      </c>
      <c r="B56" s="87">
        <v>680.84</v>
      </c>
      <c r="C56" s="64"/>
      <c r="D56" s="64"/>
    </row>
    <row r="57" spans="1:4" x14ac:dyDescent="0.25">
      <c r="A57" s="8" t="s">
        <v>51</v>
      </c>
      <c r="B57" s="6">
        <f>-300538.95-105000-38288.66-4183.62</f>
        <v>-448011.23</v>
      </c>
      <c r="C57" s="64"/>
      <c r="D57" s="64"/>
    </row>
    <row r="58" spans="1:4" x14ac:dyDescent="0.25">
      <c r="A58" s="8" t="s">
        <v>52</v>
      </c>
      <c r="B58" s="6">
        <f>-36219.26-139.37-31764.05-187.34-265.64-2825.12-5081.43</f>
        <v>-76482.209999999992</v>
      </c>
      <c r="C58" s="64"/>
      <c r="D58" s="64"/>
    </row>
    <row r="59" spans="1:4" x14ac:dyDescent="0.25">
      <c r="A59" s="8" t="s">
        <v>53</v>
      </c>
      <c r="B59" s="87"/>
      <c r="C59" s="64"/>
      <c r="D59" s="64"/>
    </row>
    <row r="60" spans="1:4" ht="15.75" thickBot="1" x14ac:dyDescent="0.3">
      <c r="A60" s="8" t="s">
        <v>54</v>
      </c>
      <c r="B60" s="87"/>
      <c r="C60" s="64"/>
      <c r="D60" s="64"/>
    </row>
    <row r="61" spans="1:4" ht="15.75" thickBot="1" x14ac:dyDescent="0.3">
      <c r="A61" s="88" t="s">
        <v>55</v>
      </c>
      <c r="B61" s="89">
        <f>SUM(B52:B60)</f>
        <v>5145780.0699999994</v>
      </c>
      <c r="C61" s="64"/>
      <c r="D61" s="64"/>
    </row>
    <row r="62" spans="1:4" x14ac:dyDescent="0.25">
      <c r="A62" s="8" t="s">
        <v>56</v>
      </c>
      <c r="B62" s="12"/>
      <c r="C62" s="64"/>
      <c r="D62" s="64"/>
    </row>
    <row r="63" spans="1:4" ht="15.75" thickBot="1" x14ac:dyDescent="0.3">
      <c r="A63" s="8" t="s">
        <v>57</v>
      </c>
      <c r="B63" s="12">
        <f>-33030.43-9.59</f>
        <v>-33040.019999999997</v>
      </c>
      <c r="C63" s="64"/>
      <c r="D63" s="64"/>
    </row>
    <row r="64" spans="1:4" ht="15.75" thickBot="1" x14ac:dyDescent="0.3">
      <c r="A64" s="10" t="s">
        <v>58</v>
      </c>
      <c r="B64" s="90">
        <f>SUM(B62:B63)</f>
        <v>-33040.019999999997</v>
      </c>
      <c r="C64" s="64"/>
      <c r="D64" s="64"/>
    </row>
    <row r="65" spans="1:4" ht="15.75" thickBot="1" x14ac:dyDescent="0.3">
      <c r="A65" s="10" t="s">
        <v>59</v>
      </c>
      <c r="B65" s="91">
        <f>B61+B64</f>
        <v>5112740.05</v>
      </c>
      <c r="C65" s="64"/>
      <c r="D65" s="64"/>
    </row>
    <row r="66" spans="1:4" ht="15.75" thickBot="1" x14ac:dyDescent="0.3">
      <c r="A66" s="8" t="s">
        <v>60</v>
      </c>
      <c r="B66" s="12">
        <v>-1278185.0125</v>
      </c>
      <c r="C66" s="64"/>
      <c r="D66" s="64"/>
    </row>
    <row r="67" spans="1:4" ht="15.75" thickBot="1" x14ac:dyDescent="0.3">
      <c r="A67" s="88" t="s">
        <v>61</v>
      </c>
      <c r="B67" s="3">
        <f>B65+B66</f>
        <v>3834555.0374999996</v>
      </c>
      <c r="C67" s="64"/>
      <c r="D67" s="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D898-1E42-46D1-9C73-505AA8361CD8}">
  <dimension ref="A1:C57"/>
  <sheetViews>
    <sheetView topLeftCell="A32" workbookViewId="0">
      <selection activeCell="B56" sqref="B56"/>
    </sheetView>
  </sheetViews>
  <sheetFormatPr defaultColWidth="11.42578125" defaultRowHeight="15" x14ac:dyDescent="0.25"/>
  <cols>
    <col min="1" max="1" width="44.140625" bestFit="1" customWidth="1"/>
    <col min="2" max="2" width="16.28515625" customWidth="1"/>
  </cols>
  <sheetData>
    <row r="1" spans="1:2" x14ac:dyDescent="0.25">
      <c r="A1" s="14" t="s">
        <v>166</v>
      </c>
      <c r="B1" s="25">
        <v>2023</v>
      </c>
    </row>
    <row r="2" spans="1:2" x14ac:dyDescent="0.25">
      <c r="A2" s="15" t="s">
        <v>63</v>
      </c>
      <c r="B2" s="16">
        <v>2084850.1733605738</v>
      </c>
    </row>
    <row r="3" spans="1:2" x14ac:dyDescent="0.25">
      <c r="A3" s="17" t="s">
        <v>64</v>
      </c>
      <c r="B3" s="19">
        <v>0</v>
      </c>
    </row>
    <row r="4" spans="1:2" x14ac:dyDescent="0.25">
      <c r="A4" s="17" t="s">
        <v>65</v>
      </c>
      <c r="B4" s="19">
        <v>2082025.6833605738</v>
      </c>
    </row>
    <row r="5" spans="1:2" x14ac:dyDescent="0.25">
      <c r="A5" s="17" t="s">
        <v>66</v>
      </c>
      <c r="B5" s="19">
        <v>2824.49</v>
      </c>
    </row>
    <row r="6" spans="1:2" x14ac:dyDescent="0.25">
      <c r="A6" s="15" t="s">
        <v>68</v>
      </c>
      <c r="B6" s="16">
        <v>4335076.7455330687</v>
      </c>
    </row>
    <row r="7" spans="1:2" x14ac:dyDescent="0.25">
      <c r="A7" s="17" t="s">
        <v>69</v>
      </c>
      <c r="B7" s="19">
        <v>498990.22574547381</v>
      </c>
    </row>
    <row r="8" spans="1:2" x14ac:dyDescent="0.25">
      <c r="A8" s="17" t="s">
        <v>70</v>
      </c>
      <c r="B8" s="19">
        <v>807826.5549819927</v>
      </c>
    </row>
    <row r="9" spans="1:2" x14ac:dyDescent="0.25">
      <c r="A9" s="17" t="s">
        <v>72</v>
      </c>
      <c r="B9" s="19">
        <v>0</v>
      </c>
    </row>
    <row r="10" spans="1:2" x14ac:dyDescent="0.25">
      <c r="A10" s="17" t="s">
        <v>73</v>
      </c>
      <c r="B10" s="19"/>
    </row>
    <row r="11" spans="1:2" x14ac:dyDescent="0.25">
      <c r="A11" s="17" t="s">
        <v>74</v>
      </c>
      <c r="B11" s="19">
        <v>3028259.9648056021</v>
      </c>
    </row>
    <row r="12" spans="1:2" x14ac:dyDescent="0.25">
      <c r="A12" s="15" t="s">
        <v>75</v>
      </c>
      <c r="B12" s="16">
        <v>6419926.9188936427</v>
      </c>
    </row>
    <row r="13" spans="1:2" x14ac:dyDescent="0.25">
      <c r="A13" s="22"/>
      <c r="B13" s="23"/>
    </row>
    <row r="14" spans="1:2" x14ac:dyDescent="0.25">
      <c r="A14" s="14" t="s">
        <v>167</v>
      </c>
      <c r="B14" s="25">
        <v>2023</v>
      </c>
    </row>
    <row r="15" spans="1:2" x14ac:dyDescent="0.25">
      <c r="A15" s="15" t="s">
        <v>76</v>
      </c>
      <c r="B15" s="16">
        <v>4944358.9829720417</v>
      </c>
    </row>
    <row r="16" spans="1:2" x14ac:dyDescent="0.25">
      <c r="A16" s="17" t="s">
        <v>77</v>
      </c>
      <c r="B16" s="19">
        <v>4852364.2929720413</v>
      </c>
    </row>
    <row r="17" spans="1:2" x14ac:dyDescent="0.25">
      <c r="A17" s="20" t="s">
        <v>78</v>
      </c>
      <c r="B17" s="21">
        <v>108182.18</v>
      </c>
    </row>
    <row r="18" spans="1:2" x14ac:dyDescent="0.25">
      <c r="A18" s="20" t="s">
        <v>79</v>
      </c>
      <c r="B18" s="21">
        <v>238061</v>
      </c>
    </row>
    <row r="19" spans="1:2" x14ac:dyDescent="0.25">
      <c r="A19" s="20" t="s">
        <v>80</v>
      </c>
      <c r="B19" s="21">
        <v>4206862.6877383254</v>
      </c>
    </row>
    <row r="20" spans="1:2" x14ac:dyDescent="0.25">
      <c r="A20" s="24" t="s">
        <v>81</v>
      </c>
      <c r="B20" s="21">
        <v>299258.42523371655</v>
      </c>
    </row>
    <row r="21" spans="1:2" x14ac:dyDescent="0.25">
      <c r="A21" s="17" t="s">
        <v>82</v>
      </c>
      <c r="B21" s="19">
        <v>91994.69</v>
      </c>
    </row>
    <row r="22" spans="1:2" x14ac:dyDescent="0.25">
      <c r="A22" s="15" t="s">
        <v>83</v>
      </c>
      <c r="B22" s="16">
        <v>41828.239999999998</v>
      </c>
    </row>
    <row r="23" spans="1:2" x14ac:dyDescent="0.25">
      <c r="A23" s="17" t="s">
        <v>84</v>
      </c>
      <c r="B23" s="19">
        <v>41828.239999999998</v>
      </c>
    </row>
    <row r="24" spans="1:2" x14ac:dyDescent="0.25">
      <c r="A24" s="15" t="s">
        <v>86</v>
      </c>
      <c r="B24" s="16">
        <v>1433740.1159216003</v>
      </c>
    </row>
    <row r="25" spans="1:2" x14ac:dyDescent="0.25">
      <c r="A25" s="17" t="s">
        <v>87</v>
      </c>
      <c r="B25" s="19">
        <v>0</v>
      </c>
    </row>
    <row r="26" spans="1:2" x14ac:dyDescent="0.25">
      <c r="A26" s="17" t="s">
        <v>88</v>
      </c>
      <c r="B26" s="19">
        <v>1433740.1159216003</v>
      </c>
    </row>
    <row r="27" spans="1:2" x14ac:dyDescent="0.25">
      <c r="A27" s="15" t="s">
        <v>89</v>
      </c>
      <c r="B27" s="16">
        <v>6419927.3388936426</v>
      </c>
    </row>
    <row r="29" spans="1:2" x14ac:dyDescent="0.25">
      <c r="A29" s="14" t="s">
        <v>90</v>
      </c>
      <c r="B29" s="25">
        <v>2023</v>
      </c>
    </row>
    <row r="30" spans="1:2" x14ac:dyDescent="0.25">
      <c r="A30" s="17" t="s">
        <v>91</v>
      </c>
      <c r="B30" s="19">
        <v>2191605.9824848147</v>
      </c>
    </row>
    <row r="31" spans="1:2" x14ac:dyDescent="0.25">
      <c r="A31" s="17" t="s">
        <v>92</v>
      </c>
      <c r="B31" s="19">
        <v>-776752.16023538285</v>
      </c>
    </row>
    <row r="32" spans="1:2" x14ac:dyDescent="0.25">
      <c r="A32" s="17" t="s">
        <v>93</v>
      </c>
      <c r="B32" s="19">
        <v>15058.13149332343</v>
      </c>
    </row>
    <row r="33" spans="1:3" x14ac:dyDescent="0.25">
      <c r="A33" s="17" t="s">
        <v>94</v>
      </c>
      <c r="B33" s="19">
        <v>-317326.11799800023</v>
      </c>
    </row>
    <row r="34" spans="1:3" x14ac:dyDescent="0.25">
      <c r="A34" s="17" t="s">
        <v>95</v>
      </c>
      <c r="B34" s="19">
        <v>-409148.18205009564</v>
      </c>
    </row>
    <row r="35" spans="1:3" x14ac:dyDescent="0.25">
      <c r="A35" s="17" t="s">
        <v>96</v>
      </c>
      <c r="B35" s="19">
        <v>-304426.4100492259</v>
      </c>
    </row>
    <row r="36" spans="1:3" x14ac:dyDescent="0.25">
      <c r="A36" s="17" t="s">
        <v>98</v>
      </c>
      <c r="B36" s="19">
        <v>0</v>
      </c>
    </row>
    <row r="37" spans="1:3" x14ac:dyDescent="0.25">
      <c r="A37" s="15" t="s">
        <v>99</v>
      </c>
      <c r="B37" s="16">
        <v>399011.24364543357</v>
      </c>
    </row>
    <row r="38" spans="1:3" x14ac:dyDescent="0.25">
      <c r="A38" s="17" t="s">
        <v>100</v>
      </c>
      <c r="B38" s="19"/>
    </row>
    <row r="39" spans="1:3" x14ac:dyDescent="0.25">
      <c r="A39" s="17" t="s">
        <v>105</v>
      </c>
      <c r="B39" s="19">
        <v>-1.000047816872853E-2</v>
      </c>
    </row>
    <row r="40" spans="1:3" x14ac:dyDescent="0.25">
      <c r="A40" s="17" t="s">
        <v>107</v>
      </c>
      <c r="B40" s="19"/>
    </row>
    <row r="41" spans="1:3" x14ac:dyDescent="0.25">
      <c r="A41" s="17" t="s">
        <v>108</v>
      </c>
      <c r="B41" s="19"/>
    </row>
    <row r="42" spans="1:3" x14ac:dyDescent="0.25">
      <c r="A42" s="15" t="s">
        <v>109</v>
      </c>
      <c r="B42" s="16">
        <v>399011.23364495538</v>
      </c>
    </row>
    <row r="43" spans="1:3" x14ac:dyDescent="0.25">
      <c r="A43" s="24" t="s">
        <v>110</v>
      </c>
      <c r="B43" s="21">
        <v>-99752.808411238846</v>
      </c>
    </row>
    <row r="44" spans="1:3" x14ac:dyDescent="0.25">
      <c r="A44" s="15" t="s">
        <v>111</v>
      </c>
      <c r="B44" s="16">
        <v>299258.42523371655</v>
      </c>
    </row>
    <row r="47" spans="1:3" x14ac:dyDescent="0.25">
      <c r="A47" t="s">
        <v>286</v>
      </c>
      <c r="B47" s="27">
        <f>+B37-B35</f>
        <v>703437.65369465947</v>
      </c>
    </row>
    <row r="48" spans="1:3" ht="15.75" thickBot="1" x14ac:dyDescent="0.3">
      <c r="A48" t="s">
        <v>287</v>
      </c>
      <c r="B48">
        <f>+'Multiplos Bebidas'!F48</f>
        <v>12.755000000000001</v>
      </c>
      <c r="C48" t="s">
        <v>383</v>
      </c>
    </row>
    <row r="49" spans="1:3" ht="15.75" thickBot="1" x14ac:dyDescent="0.3">
      <c r="A49" s="68" t="s">
        <v>288</v>
      </c>
      <c r="B49" s="69">
        <f>+B47*B48</f>
        <v>8972347.2728753816</v>
      </c>
    </row>
    <row r="50" spans="1:3" x14ac:dyDescent="0.25">
      <c r="A50" t="s">
        <v>289</v>
      </c>
      <c r="B50" s="27">
        <f>-B23</f>
        <v>-41828.239999999998</v>
      </c>
    </row>
    <row r="51" spans="1:3" x14ac:dyDescent="0.25">
      <c r="A51" t="s">
        <v>290</v>
      </c>
      <c r="B51" s="27">
        <f>+B11</f>
        <v>3028259.9648056021</v>
      </c>
    </row>
    <row r="52" spans="1:3" ht="15.75" thickBot="1" x14ac:dyDescent="0.3">
      <c r="A52" t="s">
        <v>291</v>
      </c>
      <c r="B52" s="27">
        <f>+B5</f>
        <v>2824.49</v>
      </c>
    </row>
    <row r="53" spans="1:3" ht="15.75" thickBot="1" x14ac:dyDescent="0.3">
      <c r="A53" s="68" t="s">
        <v>292</v>
      </c>
      <c r="B53" s="69">
        <f>SUM(B49:B52)</f>
        <v>11961603.487680985</v>
      </c>
      <c r="C53" t="s">
        <v>387</v>
      </c>
    </row>
    <row r="54" spans="1:3" x14ac:dyDescent="0.25">
      <c r="A54" t="s">
        <v>293</v>
      </c>
      <c r="B54" s="67">
        <f>+B53</f>
        <v>11961603.487680985</v>
      </c>
    </row>
    <row r="55" spans="1:3" ht="15.75" thickBot="1" x14ac:dyDescent="0.3">
      <c r="A55" t="s">
        <v>294</v>
      </c>
      <c r="B55" s="67">
        <v>346243</v>
      </c>
    </row>
    <row r="56" spans="1:3" ht="15.75" thickBot="1" x14ac:dyDescent="0.3">
      <c r="A56" s="70" t="s">
        <v>295</v>
      </c>
      <c r="B56" s="71">
        <f>+B54-B55</f>
        <v>11615360.487680985</v>
      </c>
    </row>
    <row r="57" spans="1:3" x14ac:dyDescent="0.25">
      <c r="B57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0484-EE41-4452-ABE6-7EEED30A01C8}">
  <dimension ref="A1:F48"/>
  <sheetViews>
    <sheetView workbookViewId="0">
      <selection activeCell="F2" sqref="F2"/>
    </sheetView>
  </sheetViews>
  <sheetFormatPr defaultColWidth="11.42578125" defaultRowHeight="15" x14ac:dyDescent="0.25"/>
  <cols>
    <col min="2" max="2" width="61.42578125" bestFit="1" customWidth="1"/>
    <col min="3" max="3" width="8.85546875" bestFit="1" customWidth="1"/>
    <col min="5" max="5" width="24.5703125" bestFit="1" customWidth="1"/>
  </cols>
  <sheetData>
    <row r="1" spans="1:6" x14ac:dyDescent="0.25">
      <c r="A1" t="s">
        <v>198</v>
      </c>
      <c r="B1" t="s">
        <v>342</v>
      </c>
      <c r="C1" t="s">
        <v>199</v>
      </c>
      <c r="D1" t="s">
        <v>344</v>
      </c>
      <c r="E1" t="s">
        <v>343</v>
      </c>
      <c r="F1" t="s">
        <v>392</v>
      </c>
    </row>
    <row r="2" spans="1:6" x14ac:dyDescent="0.25">
      <c r="A2" t="s">
        <v>281</v>
      </c>
      <c r="B2" t="s">
        <v>282</v>
      </c>
      <c r="C2" t="s">
        <v>202</v>
      </c>
      <c r="D2" t="s">
        <v>347</v>
      </c>
      <c r="E2" t="s">
        <v>351</v>
      </c>
      <c r="F2">
        <v>11.91</v>
      </c>
    </row>
    <row r="3" spans="1:6" x14ac:dyDescent="0.25">
      <c r="A3" t="s">
        <v>362</v>
      </c>
      <c r="B3" t="s">
        <v>363</v>
      </c>
      <c r="C3" t="s">
        <v>202</v>
      </c>
      <c r="D3" t="s">
        <v>347</v>
      </c>
      <c r="E3" t="s">
        <v>352</v>
      </c>
      <c r="F3">
        <v>28.74</v>
      </c>
    </row>
    <row r="4" spans="1:6" x14ac:dyDescent="0.25">
      <c r="A4" t="s">
        <v>218</v>
      </c>
      <c r="B4" t="s">
        <v>219</v>
      </c>
      <c r="C4" t="s">
        <v>202</v>
      </c>
      <c r="D4" t="s">
        <v>347</v>
      </c>
      <c r="E4" t="s">
        <v>348</v>
      </c>
      <c r="F4">
        <v>22.53</v>
      </c>
    </row>
    <row r="5" spans="1:6" x14ac:dyDescent="0.25">
      <c r="A5" t="s">
        <v>260</v>
      </c>
      <c r="B5" t="s">
        <v>261</v>
      </c>
      <c r="C5" t="s">
        <v>202</v>
      </c>
      <c r="D5" t="s">
        <v>347</v>
      </c>
      <c r="E5" t="s">
        <v>371</v>
      </c>
      <c r="F5">
        <v>9.1999999999999993</v>
      </c>
    </row>
    <row r="6" spans="1:6" x14ac:dyDescent="0.25">
      <c r="A6" t="s">
        <v>200</v>
      </c>
      <c r="B6" t="s">
        <v>201</v>
      </c>
      <c r="C6" t="s">
        <v>202</v>
      </c>
      <c r="D6" t="s">
        <v>347</v>
      </c>
      <c r="E6" t="s">
        <v>346</v>
      </c>
      <c r="F6">
        <v>12.8</v>
      </c>
    </row>
    <row r="7" spans="1:6" x14ac:dyDescent="0.25">
      <c r="A7" t="s">
        <v>222</v>
      </c>
      <c r="B7" t="s">
        <v>223</v>
      </c>
      <c r="C7" t="s">
        <v>202</v>
      </c>
      <c r="D7" t="s">
        <v>347</v>
      </c>
      <c r="E7" t="s">
        <v>354</v>
      </c>
      <c r="F7">
        <v>17.010000000000002</v>
      </c>
    </row>
    <row r="8" spans="1:6" x14ac:dyDescent="0.25">
      <c r="A8" t="s">
        <v>248</v>
      </c>
      <c r="B8" t="s">
        <v>249</v>
      </c>
      <c r="C8" t="s">
        <v>202</v>
      </c>
      <c r="D8" t="s">
        <v>347</v>
      </c>
      <c r="E8" t="s">
        <v>367</v>
      </c>
      <c r="F8">
        <v>7.11</v>
      </c>
    </row>
    <row r="9" spans="1:6" x14ac:dyDescent="0.25">
      <c r="A9" t="s">
        <v>240</v>
      </c>
      <c r="B9" t="s">
        <v>241</v>
      </c>
      <c r="C9" t="s">
        <v>202</v>
      </c>
      <c r="D9" t="s">
        <v>347</v>
      </c>
      <c r="E9" t="s">
        <v>361</v>
      </c>
      <c r="F9">
        <v>10.35</v>
      </c>
    </row>
    <row r="10" spans="1:6" x14ac:dyDescent="0.25">
      <c r="A10" t="s">
        <v>269</v>
      </c>
      <c r="B10" t="s">
        <v>270</v>
      </c>
      <c r="C10" t="s">
        <v>202</v>
      </c>
      <c r="D10" t="s">
        <v>347</v>
      </c>
      <c r="E10" t="s">
        <v>370</v>
      </c>
      <c r="F10">
        <v>20.76</v>
      </c>
    </row>
    <row r="11" spans="1:6" x14ac:dyDescent="0.25">
      <c r="A11" t="s">
        <v>279</v>
      </c>
      <c r="B11" t="s">
        <v>280</v>
      </c>
      <c r="C11" t="s">
        <v>202</v>
      </c>
      <c r="D11" t="s">
        <v>347</v>
      </c>
      <c r="E11" t="s">
        <v>351</v>
      </c>
      <c r="F11">
        <v>15.14</v>
      </c>
    </row>
    <row r="12" spans="1:6" x14ac:dyDescent="0.25">
      <c r="A12" t="s">
        <v>244</v>
      </c>
      <c r="B12" t="s">
        <v>245</v>
      </c>
      <c r="C12" t="s">
        <v>202</v>
      </c>
      <c r="D12" t="s">
        <v>347</v>
      </c>
      <c r="E12" t="s">
        <v>351</v>
      </c>
      <c r="F12">
        <v>8.7899999999999991</v>
      </c>
    </row>
    <row r="13" spans="1:6" x14ac:dyDescent="0.25">
      <c r="A13" t="s">
        <v>212</v>
      </c>
      <c r="B13" t="s">
        <v>213</v>
      </c>
      <c r="C13" t="s">
        <v>202</v>
      </c>
      <c r="D13" t="s">
        <v>347</v>
      </c>
      <c r="E13" t="s">
        <v>353</v>
      </c>
      <c r="F13">
        <v>10.6</v>
      </c>
    </row>
    <row r="14" spans="1:6" x14ac:dyDescent="0.25">
      <c r="A14" t="s">
        <v>364</v>
      </c>
      <c r="B14" t="s">
        <v>365</v>
      </c>
      <c r="C14" t="s">
        <v>202</v>
      </c>
      <c r="D14" t="s">
        <v>347</v>
      </c>
      <c r="E14" t="s">
        <v>351</v>
      </c>
      <c r="F14">
        <v>26.83</v>
      </c>
    </row>
    <row r="15" spans="1:6" x14ac:dyDescent="0.25">
      <c r="A15" t="s">
        <v>277</v>
      </c>
      <c r="B15" t="s">
        <v>278</v>
      </c>
      <c r="C15" t="s">
        <v>202</v>
      </c>
      <c r="D15" t="s">
        <v>347</v>
      </c>
      <c r="E15" t="s">
        <v>360</v>
      </c>
      <c r="F15">
        <v>22.95</v>
      </c>
    </row>
    <row r="16" spans="1:6" x14ac:dyDescent="0.25">
      <c r="A16" t="s">
        <v>273</v>
      </c>
      <c r="B16" t="s">
        <v>274</v>
      </c>
      <c r="C16" t="s">
        <v>202</v>
      </c>
      <c r="D16" t="s">
        <v>347</v>
      </c>
      <c r="E16" t="s">
        <v>351</v>
      </c>
      <c r="F16">
        <v>7.89</v>
      </c>
    </row>
    <row r="17" spans="1:6" x14ac:dyDescent="0.25">
      <c r="A17" t="s">
        <v>275</v>
      </c>
      <c r="B17" t="s">
        <v>276</v>
      </c>
      <c r="C17" t="s">
        <v>202</v>
      </c>
      <c r="D17" t="s">
        <v>347</v>
      </c>
      <c r="E17" t="s">
        <v>351</v>
      </c>
      <c r="F17">
        <v>28.73</v>
      </c>
    </row>
    <row r="18" spans="1:6" x14ac:dyDescent="0.25">
      <c r="A18" t="s">
        <v>262</v>
      </c>
      <c r="B18" t="s">
        <v>263</v>
      </c>
      <c r="C18" t="s">
        <v>202</v>
      </c>
      <c r="D18" t="s">
        <v>347</v>
      </c>
      <c r="E18" t="s">
        <v>371</v>
      </c>
      <c r="F18">
        <v>15.51</v>
      </c>
    </row>
    <row r="19" spans="1:6" x14ac:dyDescent="0.25">
      <c r="A19" t="s">
        <v>258</v>
      </c>
      <c r="B19" t="s">
        <v>259</v>
      </c>
      <c r="C19" t="s">
        <v>202</v>
      </c>
      <c r="D19" t="s">
        <v>347</v>
      </c>
      <c r="E19" t="s">
        <v>371</v>
      </c>
      <c r="F19">
        <v>12.71</v>
      </c>
    </row>
    <row r="20" spans="1:6" x14ac:dyDescent="0.25">
      <c r="A20" t="s">
        <v>216</v>
      </c>
      <c r="B20" t="s">
        <v>217</v>
      </c>
      <c r="C20" t="s">
        <v>202</v>
      </c>
      <c r="D20" t="s">
        <v>347</v>
      </c>
      <c r="E20" t="s">
        <v>353</v>
      </c>
      <c r="F20">
        <v>7.55</v>
      </c>
    </row>
    <row r="21" spans="1:6" x14ac:dyDescent="0.25">
      <c r="A21" t="s">
        <v>254</v>
      </c>
      <c r="B21" t="s">
        <v>255</v>
      </c>
      <c r="C21" t="s">
        <v>202</v>
      </c>
      <c r="D21" t="s">
        <v>347</v>
      </c>
      <c r="E21" t="s">
        <v>360</v>
      </c>
      <c r="F21">
        <v>11.83</v>
      </c>
    </row>
    <row r="22" spans="1:6" x14ac:dyDescent="0.25">
      <c r="A22" t="s">
        <v>252</v>
      </c>
      <c r="B22" t="s">
        <v>253</v>
      </c>
      <c r="C22" t="s">
        <v>202</v>
      </c>
      <c r="D22" t="s">
        <v>347</v>
      </c>
      <c r="E22" t="s">
        <v>360</v>
      </c>
      <c r="F22">
        <v>17.829999999999998</v>
      </c>
    </row>
    <row r="23" spans="1:6" x14ac:dyDescent="0.25">
      <c r="A23" t="s">
        <v>246</v>
      </c>
      <c r="B23" t="s">
        <v>247</v>
      </c>
      <c r="C23" t="s">
        <v>202</v>
      </c>
      <c r="D23" t="s">
        <v>347</v>
      </c>
      <c r="E23" t="s">
        <v>372</v>
      </c>
      <c r="F23">
        <v>13.93</v>
      </c>
    </row>
    <row r="24" spans="1:6" x14ac:dyDescent="0.25">
      <c r="A24" t="s">
        <v>208</v>
      </c>
      <c r="B24" t="s">
        <v>209</v>
      </c>
      <c r="C24" t="s">
        <v>202</v>
      </c>
      <c r="D24" t="s">
        <v>347</v>
      </c>
      <c r="E24" t="s">
        <v>349</v>
      </c>
      <c r="F24">
        <v>15.52</v>
      </c>
    </row>
    <row r="25" spans="1:6" x14ac:dyDescent="0.25">
      <c r="A25" t="s">
        <v>210</v>
      </c>
      <c r="B25" t="s">
        <v>211</v>
      </c>
      <c r="C25" t="s">
        <v>202</v>
      </c>
      <c r="D25" t="s">
        <v>347</v>
      </c>
      <c r="E25" t="s">
        <v>359</v>
      </c>
      <c r="F25">
        <v>11.06</v>
      </c>
    </row>
    <row r="26" spans="1:6" x14ac:dyDescent="0.25">
      <c r="A26" t="s">
        <v>271</v>
      </c>
      <c r="B26" t="s">
        <v>272</v>
      </c>
      <c r="C26" t="s">
        <v>202</v>
      </c>
      <c r="D26" t="s">
        <v>347</v>
      </c>
      <c r="E26" t="s">
        <v>356</v>
      </c>
      <c r="F26">
        <v>10.63</v>
      </c>
    </row>
    <row r="27" spans="1:6" x14ac:dyDescent="0.25">
      <c r="A27" t="s">
        <v>232</v>
      </c>
      <c r="B27" t="s">
        <v>233</v>
      </c>
      <c r="C27" t="s">
        <v>202</v>
      </c>
      <c r="D27" t="s">
        <v>347</v>
      </c>
      <c r="E27" t="s">
        <v>361</v>
      </c>
      <c r="F27">
        <v>13.58</v>
      </c>
    </row>
    <row r="28" spans="1:6" x14ac:dyDescent="0.25">
      <c r="A28" t="s">
        <v>204</v>
      </c>
      <c r="B28" t="s">
        <v>205</v>
      </c>
      <c r="C28" t="s">
        <v>202</v>
      </c>
      <c r="D28" t="s">
        <v>347</v>
      </c>
      <c r="E28" t="s">
        <v>366</v>
      </c>
      <c r="F28">
        <v>8.2100000000000009</v>
      </c>
    </row>
    <row r="29" spans="1:6" x14ac:dyDescent="0.25">
      <c r="A29" t="s">
        <v>226</v>
      </c>
      <c r="B29" t="s">
        <v>227</v>
      </c>
      <c r="C29" t="s">
        <v>202</v>
      </c>
      <c r="D29" t="s">
        <v>347</v>
      </c>
      <c r="E29" t="s">
        <v>352</v>
      </c>
      <c r="F29">
        <v>16.8</v>
      </c>
    </row>
    <row r="30" spans="1:6" x14ac:dyDescent="0.25">
      <c r="A30" t="s">
        <v>256</v>
      </c>
      <c r="B30" t="s">
        <v>257</v>
      </c>
      <c r="C30" t="s">
        <v>202</v>
      </c>
      <c r="D30" t="s">
        <v>347</v>
      </c>
      <c r="E30" t="s">
        <v>360</v>
      </c>
      <c r="F30">
        <v>13.43</v>
      </c>
    </row>
    <row r="31" spans="1:6" x14ac:dyDescent="0.25">
      <c r="A31" t="s">
        <v>230</v>
      </c>
      <c r="B31" t="s">
        <v>231</v>
      </c>
      <c r="C31" t="s">
        <v>202</v>
      </c>
      <c r="D31" t="s">
        <v>347</v>
      </c>
      <c r="E31" t="s">
        <v>352</v>
      </c>
      <c r="F31">
        <v>16.57</v>
      </c>
    </row>
    <row r="32" spans="1:6" x14ac:dyDescent="0.25">
      <c r="A32" t="s">
        <v>236</v>
      </c>
      <c r="B32" t="s">
        <v>237</v>
      </c>
      <c r="C32" t="s">
        <v>202</v>
      </c>
      <c r="D32" t="s">
        <v>347</v>
      </c>
      <c r="E32" t="s">
        <v>361</v>
      </c>
      <c r="F32">
        <v>8.0399999999999991</v>
      </c>
    </row>
    <row r="33" spans="1:6" x14ac:dyDescent="0.25">
      <c r="A33" t="s">
        <v>283</v>
      </c>
      <c r="B33" t="s">
        <v>284</v>
      </c>
      <c r="C33" t="s">
        <v>202</v>
      </c>
      <c r="D33" t="s">
        <v>347</v>
      </c>
      <c r="E33" t="s">
        <v>351</v>
      </c>
      <c r="F33">
        <v>29.54</v>
      </c>
    </row>
    <row r="34" spans="1:6" x14ac:dyDescent="0.25">
      <c r="A34" t="s">
        <v>220</v>
      </c>
      <c r="B34" t="s">
        <v>221</v>
      </c>
      <c r="C34" t="s">
        <v>202</v>
      </c>
      <c r="D34" t="s">
        <v>347</v>
      </c>
      <c r="E34" t="s">
        <v>354</v>
      </c>
      <c r="F34">
        <v>7.18</v>
      </c>
    </row>
    <row r="35" spans="1:6" x14ac:dyDescent="0.25">
      <c r="A35" t="s">
        <v>238</v>
      </c>
      <c r="B35" t="s">
        <v>239</v>
      </c>
      <c r="C35" t="s">
        <v>202</v>
      </c>
      <c r="D35" t="s">
        <v>347</v>
      </c>
      <c r="E35" t="s">
        <v>361</v>
      </c>
      <c r="F35">
        <v>20.83</v>
      </c>
    </row>
    <row r="36" spans="1:6" x14ac:dyDescent="0.25">
      <c r="A36" t="s">
        <v>224</v>
      </c>
      <c r="B36" t="s">
        <v>225</v>
      </c>
      <c r="C36" t="s">
        <v>202</v>
      </c>
      <c r="D36" t="s">
        <v>347</v>
      </c>
      <c r="E36" t="s">
        <v>352</v>
      </c>
      <c r="F36">
        <v>22.8</v>
      </c>
    </row>
    <row r="37" spans="1:6" x14ac:dyDescent="0.25">
      <c r="A37" t="s">
        <v>267</v>
      </c>
      <c r="B37" t="s">
        <v>268</v>
      </c>
      <c r="C37" t="s">
        <v>202</v>
      </c>
      <c r="D37" t="s">
        <v>347</v>
      </c>
      <c r="E37" t="s">
        <v>355</v>
      </c>
      <c r="F37">
        <v>10.67</v>
      </c>
    </row>
    <row r="38" spans="1:6" x14ac:dyDescent="0.25">
      <c r="A38" t="s">
        <v>266</v>
      </c>
      <c r="B38" t="s">
        <v>345</v>
      </c>
      <c r="C38" t="s">
        <v>202</v>
      </c>
      <c r="D38" t="s">
        <v>347</v>
      </c>
      <c r="E38" t="s">
        <v>355</v>
      </c>
      <c r="F38">
        <v>5.18</v>
      </c>
    </row>
    <row r="39" spans="1:6" x14ac:dyDescent="0.25">
      <c r="A39" t="s">
        <v>206</v>
      </c>
      <c r="B39" t="s">
        <v>207</v>
      </c>
      <c r="C39" t="s">
        <v>202</v>
      </c>
      <c r="D39" t="s">
        <v>347</v>
      </c>
      <c r="E39" t="s">
        <v>369</v>
      </c>
      <c r="F39">
        <v>7.55</v>
      </c>
    </row>
    <row r="40" spans="1:6" x14ac:dyDescent="0.25">
      <c r="A40" t="s">
        <v>214</v>
      </c>
      <c r="B40" t="s">
        <v>215</v>
      </c>
      <c r="C40" t="s">
        <v>202</v>
      </c>
      <c r="D40" t="s">
        <v>347</v>
      </c>
      <c r="E40" t="s">
        <v>353</v>
      </c>
      <c r="F40">
        <v>16.48</v>
      </c>
    </row>
    <row r="41" spans="1:6" x14ac:dyDescent="0.25">
      <c r="A41" t="s">
        <v>264</v>
      </c>
      <c r="B41" t="s">
        <v>265</v>
      </c>
      <c r="C41" t="s">
        <v>202</v>
      </c>
      <c r="D41" t="s">
        <v>347</v>
      </c>
      <c r="E41" t="s">
        <v>369</v>
      </c>
      <c r="F41">
        <v>11.39</v>
      </c>
    </row>
    <row r="42" spans="1:6" x14ac:dyDescent="0.25">
      <c r="A42" t="s">
        <v>234</v>
      </c>
      <c r="B42" t="s">
        <v>235</v>
      </c>
      <c r="C42" t="s">
        <v>202</v>
      </c>
      <c r="D42" t="s">
        <v>347</v>
      </c>
      <c r="E42" t="s">
        <v>361</v>
      </c>
      <c r="F42">
        <v>8.51</v>
      </c>
    </row>
    <row r="43" spans="1:6" x14ac:dyDescent="0.25">
      <c r="A43" t="s">
        <v>250</v>
      </c>
      <c r="B43" t="s">
        <v>251</v>
      </c>
      <c r="C43" t="s">
        <v>202</v>
      </c>
      <c r="D43" t="s">
        <v>347</v>
      </c>
      <c r="E43" t="s">
        <v>324</v>
      </c>
      <c r="F43">
        <v>11.92</v>
      </c>
    </row>
    <row r="44" spans="1:6" x14ac:dyDescent="0.25">
      <c r="A44" t="s">
        <v>203</v>
      </c>
      <c r="B44" t="s">
        <v>350</v>
      </c>
      <c r="C44" t="s">
        <v>202</v>
      </c>
      <c r="D44" t="s">
        <v>347</v>
      </c>
      <c r="E44" t="s">
        <v>346</v>
      </c>
      <c r="F44">
        <v>12.51</v>
      </c>
    </row>
    <row r="45" spans="1:6" x14ac:dyDescent="0.25">
      <c r="A45" t="s">
        <v>357</v>
      </c>
      <c r="B45" t="s">
        <v>358</v>
      </c>
      <c r="C45" t="s">
        <v>202</v>
      </c>
      <c r="D45" t="s">
        <v>347</v>
      </c>
      <c r="E45" t="s">
        <v>356</v>
      </c>
      <c r="F45">
        <v>19</v>
      </c>
    </row>
    <row r="46" spans="1:6" x14ac:dyDescent="0.25">
      <c r="A46" t="s">
        <v>228</v>
      </c>
      <c r="B46" t="s">
        <v>229</v>
      </c>
      <c r="C46" t="s">
        <v>202</v>
      </c>
      <c r="D46" t="s">
        <v>347</v>
      </c>
      <c r="E46" t="s">
        <v>352</v>
      </c>
      <c r="F46">
        <v>25.73</v>
      </c>
    </row>
    <row r="47" spans="1:6" ht="15.75" thickBot="1" x14ac:dyDescent="0.3">
      <c r="A47" t="s">
        <v>242</v>
      </c>
      <c r="B47" t="s">
        <v>243</v>
      </c>
      <c r="C47" t="s">
        <v>202</v>
      </c>
      <c r="D47" t="s">
        <v>347</v>
      </c>
      <c r="E47" t="s">
        <v>368</v>
      </c>
      <c r="F47">
        <v>10.119999999999999</v>
      </c>
    </row>
    <row r="48" spans="1:6" ht="15.75" thickBot="1" x14ac:dyDescent="0.3">
      <c r="E48" s="92" t="s">
        <v>373</v>
      </c>
      <c r="F48" s="92">
        <f>+MEDIAN(F2:F47)</f>
        <v>12.755000000000001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11F4-9C5E-420F-B60F-A964ABD53C14}">
  <dimension ref="A2:D99"/>
  <sheetViews>
    <sheetView topLeftCell="A74" workbookViewId="0">
      <selection activeCell="D86" sqref="D86"/>
    </sheetView>
  </sheetViews>
  <sheetFormatPr defaultColWidth="11.42578125" defaultRowHeight="15" x14ac:dyDescent="0.25"/>
  <cols>
    <col min="1" max="1" width="57" bestFit="1" customWidth="1"/>
    <col min="2" max="2" width="24.42578125" bestFit="1" customWidth="1"/>
  </cols>
  <sheetData>
    <row r="2" spans="1:2" x14ac:dyDescent="0.25">
      <c r="A2" s="14" t="s">
        <v>166</v>
      </c>
      <c r="B2" s="14">
        <v>2023</v>
      </c>
    </row>
    <row r="3" spans="1:2" x14ac:dyDescent="0.25">
      <c r="A3" s="15" t="s">
        <v>63</v>
      </c>
      <c r="B3" s="16">
        <v>70689770</v>
      </c>
    </row>
    <row r="4" spans="1:2" x14ac:dyDescent="0.25">
      <c r="A4" s="26" t="s">
        <v>64</v>
      </c>
      <c r="B4" s="28">
        <v>1049</v>
      </c>
    </row>
    <row r="5" spans="1:2" x14ac:dyDescent="0.25">
      <c r="A5" s="26" t="s">
        <v>65</v>
      </c>
      <c r="B5" s="28">
        <v>65594242</v>
      </c>
    </row>
    <row r="6" spans="1:2" x14ac:dyDescent="0.25">
      <c r="A6" s="26" t="s">
        <v>112</v>
      </c>
      <c r="B6" s="28">
        <v>0</v>
      </c>
    </row>
    <row r="7" spans="1:2" x14ac:dyDescent="0.25">
      <c r="A7" s="26" t="s">
        <v>113</v>
      </c>
      <c r="B7" s="28">
        <v>4572655</v>
      </c>
    </row>
    <row r="8" spans="1:2" x14ac:dyDescent="0.25">
      <c r="A8" s="26" t="s">
        <v>67</v>
      </c>
      <c r="B8" s="28">
        <v>0</v>
      </c>
    </row>
    <row r="9" spans="1:2" x14ac:dyDescent="0.25">
      <c r="A9" s="26" t="s">
        <v>114</v>
      </c>
      <c r="B9" s="29">
        <v>521824</v>
      </c>
    </row>
    <row r="10" spans="1:2" x14ac:dyDescent="0.25">
      <c r="A10" s="26" t="s">
        <v>115</v>
      </c>
      <c r="B10" s="28"/>
    </row>
    <row r="11" spans="1:2" x14ac:dyDescent="0.25">
      <c r="A11" s="15" t="s">
        <v>68</v>
      </c>
      <c r="B11" s="16">
        <v>118707739</v>
      </c>
    </row>
    <row r="12" spans="1:2" x14ac:dyDescent="0.25">
      <c r="A12" s="26" t="s">
        <v>116</v>
      </c>
      <c r="B12" s="30"/>
    </row>
    <row r="13" spans="1:2" x14ac:dyDescent="0.25">
      <c r="A13" s="26" t="s">
        <v>117</v>
      </c>
      <c r="B13" s="28">
        <v>551607</v>
      </c>
    </row>
    <row r="14" spans="1:2" x14ac:dyDescent="0.25">
      <c r="A14" s="26" t="s">
        <v>118</v>
      </c>
      <c r="B14" s="28">
        <v>5391205</v>
      </c>
    </row>
    <row r="15" spans="1:2" x14ac:dyDescent="0.25">
      <c r="A15" s="26" t="s">
        <v>71</v>
      </c>
      <c r="B15" s="28">
        <v>53938811</v>
      </c>
    </row>
    <row r="16" spans="1:2" x14ac:dyDescent="0.25">
      <c r="A16" s="26" t="s">
        <v>119</v>
      </c>
      <c r="B16" s="28">
        <v>38297941</v>
      </c>
    </row>
    <row r="17" spans="1:2" x14ac:dyDescent="0.25">
      <c r="A17" s="26" t="s">
        <v>120</v>
      </c>
      <c r="B17" s="28">
        <v>119968</v>
      </c>
    </row>
    <row r="18" spans="1:2" x14ac:dyDescent="0.25">
      <c r="A18" s="26" t="s">
        <v>121</v>
      </c>
      <c r="B18" s="28">
        <v>20408207</v>
      </c>
    </row>
    <row r="19" spans="1:2" x14ac:dyDescent="0.25">
      <c r="A19" s="15" t="s">
        <v>75</v>
      </c>
      <c r="B19" s="16">
        <v>189397509</v>
      </c>
    </row>
    <row r="20" spans="1:2" x14ac:dyDescent="0.25">
      <c r="A20" s="22"/>
      <c r="B20" s="23"/>
    </row>
    <row r="21" spans="1:2" x14ac:dyDescent="0.25">
      <c r="A21" s="14" t="s">
        <v>167</v>
      </c>
      <c r="B21" s="14">
        <v>2023</v>
      </c>
    </row>
    <row r="22" spans="1:2" x14ac:dyDescent="0.25">
      <c r="A22" s="15" t="s">
        <v>76</v>
      </c>
      <c r="B22" s="16">
        <v>156685783</v>
      </c>
    </row>
    <row r="23" spans="1:2" x14ac:dyDescent="0.25">
      <c r="A23" s="17" t="s">
        <v>77</v>
      </c>
      <c r="B23" s="19">
        <v>156643916</v>
      </c>
    </row>
    <row r="24" spans="1:2" x14ac:dyDescent="0.25">
      <c r="A24" s="57" t="s">
        <v>78</v>
      </c>
      <c r="B24" s="58">
        <v>32040211</v>
      </c>
    </row>
    <row r="25" spans="1:2" x14ac:dyDescent="0.25">
      <c r="A25" s="57" t="s">
        <v>79</v>
      </c>
      <c r="B25" s="58">
        <v>107623403</v>
      </c>
    </row>
    <row r="26" spans="1:2" x14ac:dyDescent="0.25">
      <c r="A26" s="57" t="s">
        <v>80</v>
      </c>
      <c r="B26" s="58">
        <v>7982191</v>
      </c>
    </row>
    <row r="27" spans="1:2" x14ac:dyDescent="0.25">
      <c r="A27" s="57" t="s">
        <v>122</v>
      </c>
      <c r="B27" s="58"/>
    </row>
    <row r="28" spans="1:2" x14ac:dyDescent="0.25">
      <c r="A28" s="57" t="s">
        <v>123</v>
      </c>
      <c r="B28" s="58"/>
    </row>
    <row r="29" spans="1:2" x14ac:dyDescent="0.25">
      <c r="A29" s="26" t="s">
        <v>124</v>
      </c>
      <c r="B29" s="58"/>
    </row>
    <row r="30" spans="1:2" x14ac:dyDescent="0.25">
      <c r="A30" s="26" t="s">
        <v>125</v>
      </c>
      <c r="B30" s="58">
        <v>8998111</v>
      </c>
    </row>
    <row r="31" spans="1:2" x14ac:dyDescent="0.25">
      <c r="A31" s="26" t="s">
        <v>126</v>
      </c>
      <c r="B31" s="58"/>
    </row>
    <row r="32" spans="1:2" x14ac:dyDescent="0.25">
      <c r="A32" s="26" t="s">
        <v>127</v>
      </c>
      <c r="B32" s="58"/>
    </row>
    <row r="33" spans="1:2" x14ac:dyDescent="0.25">
      <c r="A33" s="17" t="s">
        <v>128</v>
      </c>
      <c r="B33" s="19"/>
    </row>
    <row r="34" spans="1:2" x14ac:dyDescent="0.25">
      <c r="A34" s="17" t="s">
        <v>129</v>
      </c>
      <c r="B34" s="19">
        <v>41867</v>
      </c>
    </row>
    <row r="35" spans="1:2" x14ac:dyDescent="0.25">
      <c r="A35" s="15" t="s">
        <v>83</v>
      </c>
      <c r="B35" s="16">
        <v>4400833</v>
      </c>
    </row>
    <row r="36" spans="1:2" x14ac:dyDescent="0.25">
      <c r="A36" s="26" t="s">
        <v>130</v>
      </c>
      <c r="B36" s="28">
        <v>17512</v>
      </c>
    </row>
    <row r="37" spans="1:2" x14ac:dyDescent="0.25">
      <c r="A37" s="26" t="s">
        <v>131</v>
      </c>
      <c r="B37" s="28">
        <v>49886</v>
      </c>
    </row>
    <row r="38" spans="1:2" x14ac:dyDescent="0.25">
      <c r="A38" s="26" t="s">
        <v>132</v>
      </c>
      <c r="B38" s="28"/>
    </row>
    <row r="39" spans="1:2" x14ac:dyDescent="0.25">
      <c r="A39" s="26" t="s">
        <v>85</v>
      </c>
      <c r="B39" s="28">
        <v>4333435</v>
      </c>
    </row>
    <row r="40" spans="1:2" x14ac:dyDescent="0.25">
      <c r="A40" s="26" t="s">
        <v>133</v>
      </c>
      <c r="B40" s="28"/>
    </row>
    <row r="41" spans="1:2" x14ac:dyDescent="0.25">
      <c r="A41" s="26" t="s">
        <v>134</v>
      </c>
      <c r="B41" s="28"/>
    </row>
    <row r="42" spans="1:2" x14ac:dyDescent="0.25">
      <c r="A42" s="26" t="s">
        <v>135</v>
      </c>
      <c r="B42" s="28"/>
    </row>
    <row r="43" spans="1:2" x14ac:dyDescent="0.25">
      <c r="A43" s="15" t="s">
        <v>86</v>
      </c>
      <c r="B43" s="16">
        <v>28310893</v>
      </c>
    </row>
    <row r="44" spans="1:2" x14ac:dyDescent="0.25">
      <c r="A44" s="26" t="s">
        <v>136</v>
      </c>
      <c r="B44" s="28"/>
    </row>
    <row r="45" spans="1:2" x14ac:dyDescent="0.25">
      <c r="A45" s="26" t="s">
        <v>137</v>
      </c>
      <c r="B45" s="28"/>
    </row>
    <row r="46" spans="1:2" x14ac:dyDescent="0.25">
      <c r="A46" s="26" t="s">
        <v>138</v>
      </c>
      <c r="B46" s="28">
        <v>16632286</v>
      </c>
    </row>
    <row r="47" spans="1:2" x14ac:dyDescent="0.25">
      <c r="A47" s="26" t="s">
        <v>195</v>
      </c>
      <c r="B47" s="28">
        <v>4005453</v>
      </c>
    </row>
    <row r="48" spans="1:2" x14ac:dyDescent="0.25">
      <c r="A48" s="26" t="s">
        <v>139</v>
      </c>
      <c r="B48" s="28">
        <v>7673154</v>
      </c>
    </row>
    <row r="49" spans="1:2" x14ac:dyDescent="0.25">
      <c r="A49" s="26" t="s">
        <v>140</v>
      </c>
      <c r="B49" s="58"/>
    </row>
    <row r="50" spans="1:2" x14ac:dyDescent="0.25">
      <c r="A50" s="26" t="s">
        <v>141</v>
      </c>
      <c r="B50" s="58"/>
    </row>
    <row r="51" spans="1:2" x14ac:dyDescent="0.25">
      <c r="A51" s="15" t="s">
        <v>89</v>
      </c>
      <c r="B51" s="16">
        <v>189397509</v>
      </c>
    </row>
    <row r="52" spans="1:2" x14ac:dyDescent="0.25">
      <c r="A52" s="64"/>
      <c r="B52" s="64"/>
    </row>
    <row r="53" spans="1:2" x14ac:dyDescent="0.25">
      <c r="A53" s="14" t="s">
        <v>142</v>
      </c>
      <c r="B53" s="14">
        <v>2023</v>
      </c>
    </row>
    <row r="54" spans="1:2" x14ac:dyDescent="0.25">
      <c r="A54" s="17" t="s">
        <v>91</v>
      </c>
      <c r="B54" s="19">
        <v>49033129</v>
      </c>
    </row>
    <row r="55" spans="1:2" x14ac:dyDescent="0.25">
      <c r="A55" s="17" t="s">
        <v>143</v>
      </c>
      <c r="B55" s="59"/>
    </row>
    <row r="56" spans="1:2" x14ac:dyDescent="0.25">
      <c r="A56" s="17" t="s">
        <v>144</v>
      </c>
      <c r="B56" s="59"/>
    </row>
    <row r="57" spans="1:2" x14ac:dyDescent="0.25">
      <c r="A57" s="17" t="s">
        <v>145</v>
      </c>
      <c r="B57" s="19">
        <v>-6500350</v>
      </c>
    </row>
    <row r="58" spans="1:2" x14ac:dyDescent="0.25">
      <c r="A58" s="17" t="s">
        <v>146</v>
      </c>
      <c r="B58" s="19">
        <v>111667</v>
      </c>
    </row>
    <row r="59" spans="1:2" x14ac:dyDescent="0.25">
      <c r="A59" s="17" t="s">
        <v>147</v>
      </c>
      <c r="B59" s="19">
        <v>-12628639</v>
      </c>
    </row>
    <row r="60" spans="1:2" x14ac:dyDescent="0.25">
      <c r="A60" s="17" t="s">
        <v>148</v>
      </c>
      <c r="B60" s="19">
        <v>-13286372</v>
      </c>
    </row>
    <row r="61" spans="1:2" x14ac:dyDescent="0.25">
      <c r="A61" s="17" t="s">
        <v>149</v>
      </c>
      <c r="B61" s="19">
        <v>-5015591</v>
      </c>
    </row>
    <row r="62" spans="1:2" x14ac:dyDescent="0.25">
      <c r="A62" s="17" t="s">
        <v>97</v>
      </c>
      <c r="B62" s="19">
        <v>19808</v>
      </c>
    </row>
    <row r="63" spans="1:2" x14ac:dyDescent="0.25">
      <c r="A63" s="17" t="s">
        <v>150</v>
      </c>
      <c r="B63" s="19"/>
    </row>
    <row r="64" spans="1:2" x14ac:dyDescent="0.25">
      <c r="A64" s="17" t="s">
        <v>151</v>
      </c>
      <c r="B64" s="19">
        <v>159</v>
      </c>
    </row>
    <row r="65" spans="1:4" x14ac:dyDescent="0.25">
      <c r="A65" s="60" t="s">
        <v>152</v>
      </c>
      <c r="B65" s="61"/>
    </row>
    <row r="66" spans="1:4" x14ac:dyDescent="0.25">
      <c r="A66" s="60" t="s">
        <v>153</v>
      </c>
      <c r="B66" s="61">
        <v>122</v>
      </c>
    </row>
    <row r="67" spans="1:4" x14ac:dyDescent="0.25">
      <c r="A67" s="15" t="s">
        <v>99</v>
      </c>
      <c r="B67" s="16">
        <v>11733933</v>
      </c>
      <c r="D67" s="27"/>
    </row>
    <row r="68" spans="1:4" x14ac:dyDescent="0.25">
      <c r="A68" s="17" t="s">
        <v>154</v>
      </c>
      <c r="B68" s="19">
        <v>111156</v>
      </c>
    </row>
    <row r="69" spans="1:4" x14ac:dyDescent="0.25">
      <c r="A69" s="62" t="s">
        <v>155</v>
      </c>
      <c r="B69" s="63">
        <v>1889</v>
      </c>
    </row>
    <row r="70" spans="1:4" x14ac:dyDescent="0.25">
      <c r="A70" s="62" t="s">
        <v>156</v>
      </c>
      <c r="B70" s="59">
        <v>191</v>
      </c>
    </row>
    <row r="71" spans="1:4" x14ac:dyDescent="0.25">
      <c r="A71" s="62" t="s">
        <v>157</v>
      </c>
      <c r="B71" s="59">
        <v>1698</v>
      </c>
    </row>
    <row r="72" spans="1:4" x14ac:dyDescent="0.25">
      <c r="A72" s="62" t="s">
        <v>101</v>
      </c>
      <c r="B72" s="63">
        <v>109267</v>
      </c>
    </row>
    <row r="73" spans="1:4" x14ac:dyDescent="0.25">
      <c r="A73" s="62" t="s">
        <v>102</v>
      </c>
      <c r="B73" s="59">
        <v>66991</v>
      </c>
    </row>
    <row r="74" spans="1:4" x14ac:dyDescent="0.25">
      <c r="A74" s="62" t="s">
        <v>103</v>
      </c>
      <c r="B74" s="59">
        <v>42276</v>
      </c>
    </row>
    <row r="75" spans="1:4" x14ac:dyDescent="0.25">
      <c r="A75" s="62" t="s">
        <v>104</v>
      </c>
      <c r="B75" s="59"/>
    </row>
    <row r="76" spans="1:4" x14ac:dyDescent="0.25">
      <c r="A76" s="17" t="s">
        <v>158</v>
      </c>
      <c r="B76" s="19">
        <v>-13</v>
      </c>
    </row>
    <row r="77" spans="1:4" x14ac:dyDescent="0.25">
      <c r="A77" s="62" t="s">
        <v>159</v>
      </c>
      <c r="B77" s="19"/>
    </row>
    <row r="78" spans="1:4" x14ac:dyDescent="0.25">
      <c r="A78" s="62" t="s">
        <v>106</v>
      </c>
      <c r="B78" s="59">
        <v>-13</v>
      </c>
    </row>
    <row r="79" spans="1:4" x14ac:dyDescent="0.25">
      <c r="A79" s="17" t="s">
        <v>160</v>
      </c>
      <c r="B79" s="18">
        <v>-6215</v>
      </c>
    </row>
    <row r="80" spans="1:4" x14ac:dyDescent="0.25">
      <c r="A80" s="17" t="s">
        <v>161</v>
      </c>
      <c r="B80" s="19">
        <v>-15</v>
      </c>
    </row>
    <row r="81" spans="1:3" x14ac:dyDescent="0.25">
      <c r="A81" s="17" t="s">
        <v>162</v>
      </c>
      <c r="B81" s="19">
        <v>0</v>
      </c>
    </row>
    <row r="82" spans="1:3" x14ac:dyDescent="0.25">
      <c r="A82" s="15" t="s">
        <v>163</v>
      </c>
      <c r="B82" s="16">
        <v>104913</v>
      </c>
    </row>
    <row r="83" spans="1:3" x14ac:dyDescent="0.25">
      <c r="A83" s="15" t="s">
        <v>164</v>
      </c>
      <c r="B83" s="16">
        <v>11838846</v>
      </c>
    </row>
    <row r="84" spans="1:3" x14ac:dyDescent="0.25">
      <c r="A84" s="24" t="s">
        <v>110</v>
      </c>
      <c r="B84" s="59">
        <v>-2840735</v>
      </c>
    </row>
    <row r="85" spans="1:3" x14ac:dyDescent="0.25">
      <c r="A85" s="15" t="s">
        <v>165</v>
      </c>
      <c r="B85" s="16">
        <v>8998111</v>
      </c>
    </row>
    <row r="88" spans="1:3" x14ac:dyDescent="0.25">
      <c r="A88" t="s">
        <v>286</v>
      </c>
      <c r="B88" s="27">
        <f>+B67-B66-B64-B62-B61</f>
        <v>16729435</v>
      </c>
    </row>
    <row r="89" spans="1:3" ht="15.75" thickBot="1" x14ac:dyDescent="0.3">
      <c r="A89" t="s">
        <v>287</v>
      </c>
      <c r="B89">
        <f>+'Multiplos hotel Caribe'!F7</f>
        <v>12.85</v>
      </c>
    </row>
    <row r="90" spans="1:3" ht="15.75" thickBot="1" x14ac:dyDescent="0.3">
      <c r="A90" s="68" t="s">
        <v>305</v>
      </c>
      <c r="B90" s="69">
        <f>+B88*B89</f>
        <v>214973239.75</v>
      </c>
    </row>
    <row r="91" spans="1:3" x14ac:dyDescent="0.25">
      <c r="A91" t="s">
        <v>289</v>
      </c>
      <c r="B91" s="27">
        <f>-B37-B46-B47</f>
        <v>-20687625</v>
      </c>
    </row>
    <row r="92" spans="1:3" x14ac:dyDescent="0.25">
      <c r="A92" t="s">
        <v>290</v>
      </c>
      <c r="B92" s="27">
        <f>+B18</f>
        <v>20408207</v>
      </c>
    </row>
    <row r="93" spans="1:3" ht="15.75" thickBot="1" x14ac:dyDescent="0.3">
      <c r="A93" t="s">
        <v>291</v>
      </c>
      <c r="B93" s="27">
        <f>+B7+B15+B16</f>
        <v>96809407</v>
      </c>
    </row>
    <row r="94" spans="1:3" ht="15.75" thickBot="1" x14ac:dyDescent="0.3">
      <c r="A94" s="68" t="s">
        <v>306</v>
      </c>
      <c r="B94" s="69">
        <f>SUM(B90:B93)</f>
        <v>311503228.75</v>
      </c>
    </row>
    <row r="95" spans="1:3" ht="15.75" thickBot="1" x14ac:dyDescent="0.3">
      <c r="A95" s="94" t="s">
        <v>385</v>
      </c>
      <c r="B95" s="95">
        <f>-B94*0.25</f>
        <v>-77875807.1875</v>
      </c>
      <c r="C95" t="s">
        <v>388</v>
      </c>
    </row>
    <row r="96" spans="1:3" ht="15.75" thickBot="1" x14ac:dyDescent="0.3">
      <c r="A96" s="68" t="s">
        <v>386</v>
      </c>
      <c r="B96" s="69">
        <f>+B94+B95</f>
        <v>233627421.5625</v>
      </c>
    </row>
    <row r="97" spans="1:2" x14ac:dyDescent="0.25">
      <c r="A97" t="s">
        <v>307</v>
      </c>
      <c r="B97" s="67">
        <f>+B96*0.45</f>
        <v>105132339.703125</v>
      </c>
    </row>
    <row r="98" spans="1:2" ht="15.75" thickBot="1" x14ac:dyDescent="0.3">
      <c r="A98" t="s">
        <v>294</v>
      </c>
      <c r="B98" s="67">
        <v>45000000</v>
      </c>
    </row>
    <row r="99" spans="1:2" ht="15.75" thickBot="1" x14ac:dyDescent="0.3">
      <c r="A99" s="70" t="s">
        <v>295</v>
      </c>
      <c r="B99" s="71">
        <f>+B97-B98</f>
        <v>60132339.703125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D706-AF64-4F78-B16B-DB576AF3028F}">
  <dimension ref="A1:F7"/>
  <sheetViews>
    <sheetView workbookViewId="0">
      <selection activeCell="F2" sqref="F2"/>
    </sheetView>
  </sheetViews>
  <sheetFormatPr defaultColWidth="11.42578125" defaultRowHeight="15" x14ac:dyDescent="0.25"/>
  <cols>
    <col min="2" max="2" width="8.140625" bestFit="1" customWidth="1"/>
    <col min="3" max="3" width="34.28515625" bestFit="1" customWidth="1"/>
    <col min="4" max="4" width="25.85546875" bestFit="1" customWidth="1"/>
    <col min="5" max="5" width="29.140625" bestFit="1" customWidth="1"/>
    <col min="6" max="6" width="28" bestFit="1" customWidth="1"/>
  </cols>
  <sheetData>
    <row r="1" spans="1:6" x14ac:dyDescent="0.25">
      <c r="A1" t="s">
        <v>198</v>
      </c>
      <c r="B1" t="s">
        <v>342</v>
      </c>
      <c r="C1" t="s">
        <v>199</v>
      </c>
      <c r="D1" t="s">
        <v>344</v>
      </c>
      <c r="E1" t="s">
        <v>343</v>
      </c>
      <c r="F1" t="s">
        <v>392</v>
      </c>
    </row>
    <row r="2" spans="1:6" x14ac:dyDescent="0.25">
      <c r="A2" t="s">
        <v>299</v>
      </c>
      <c r="B2" t="s">
        <v>300</v>
      </c>
      <c r="C2" t="s">
        <v>374</v>
      </c>
      <c r="D2" t="s">
        <v>376</v>
      </c>
      <c r="E2" t="s">
        <v>377</v>
      </c>
      <c r="F2">
        <v>10.81</v>
      </c>
    </row>
    <row r="3" spans="1:6" x14ac:dyDescent="0.25">
      <c r="A3" t="s">
        <v>301</v>
      </c>
      <c r="B3" t="s">
        <v>302</v>
      </c>
      <c r="C3" t="s">
        <v>374</v>
      </c>
      <c r="D3" t="s">
        <v>376</v>
      </c>
      <c r="E3" t="s">
        <v>375</v>
      </c>
      <c r="F3">
        <v>12.85</v>
      </c>
    </row>
    <row r="4" spans="1:6" x14ac:dyDescent="0.25">
      <c r="A4" t="s">
        <v>298</v>
      </c>
      <c r="B4" t="s">
        <v>378</v>
      </c>
      <c r="C4" t="s">
        <v>374</v>
      </c>
      <c r="D4" t="s">
        <v>376</v>
      </c>
      <c r="E4" t="s">
        <v>377</v>
      </c>
      <c r="F4">
        <v>29.82</v>
      </c>
    </row>
    <row r="5" spans="1:6" x14ac:dyDescent="0.25">
      <c r="A5" t="s">
        <v>303</v>
      </c>
      <c r="B5" t="s">
        <v>304</v>
      </c>
      <c r="C5" t="s">
        <v>374</v>
      </c>
      <c r="D5" t="s">
        <v>376</v>
      </c>
      <c r="E5" t="s">
        <v>391</v>
      </c>
      <c r="F5">
        <v>10.59</v>
      </c>
    </row>
    <row r="6" spans="1:6" ht="15.75" thickBot="1" x14ac:dyDescent="0.3">
      <c r="A6" t="s">
        <v>296</v>
      </c>
      <c r="B6" t="s">
        <v>297</v>
      </c>
      <c r="C6" t="s">
        <v>374</v>
      </c>
      <c r="D6" t="s">
        <v>376</v>
      </c>
      <c r="E6" t="s">
        <v>377</v>
      </c>
      <c r="F6">
        <v>13.87</v>
      </c>
    </row>
    <row r="7" spans="1:6" ht="15.75" thickBot="1" x14ac:dyDescent="0.3">
      <c r="E7" t="s">
        <v>373</v>
      </c>
      <c r="F7" s="92">
        <f>MEDIAN(F2:F6)</f>
        <v>12.85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3898-D1E7-458B-AAD9-6F5BCE703038}">
  <dimension ref="A1:C80"/>
  <sheetViews>
    <sheetView tabSelected="1" topLeftCell="A56" workbookViewId="0">
      <selection activeCell="B47" sqref="B47"/>
    </sheetView>
  </sheetViews>
  <sheetFormatPr defaultColWidth="11.42578125" defaultRowHeight="15" x14ac:dyDescent="0.25"/>
  <cols>
    <col min="1" max="1" width="65.5703125" bestFit="1" customWidth="1"/>
    <col min="2" max="2" width="14.42578125" bestFit="1" customWidth="1"/>
  </cols>
  <sheetData>
    <row r="1" spans="1:2" ht="15.75" thickBot="1" x14ac:dyDescent="0.3">
      <c r="A1" s="36" t="s">
        <v>0</v>
      </c>
      <c r="B1" s="36">
        <v>2023</v>
      </c>
    </row>
    <row r="2" spans="1:2" ht="15.75" thickBot="1" x14ac:dyDescent="0.3">
      <c r="A2" s="31"/>
      <c r="B2" s="37"/>
    </row>
    <row r="3" spans="1:2" ht="15.75" thickBot="1" x14ac:dyDescent="0.3">
      <c r="A3" s="32" t="s">
        <v>2</v>
      </c>
      <c r="B3" s="38">
        <v>16378314.4</v>
      </c>
    </row>
    <row r="4" spans="1:2" x14ac:dyDescent="0.25">
      <c r="A4" s="33" t="s">
        <v>3</v>
      </c>
      <c r="B4" s="39"/>
    </row>
    <row r="5" spans="1:2" x14ac:dyDescent="0.25">
      <c r="A5" s="33" t="s">
        <v>4</v>
      </c>
      <c r="B5" s="40">
        <v>57302</v>
      </c>
    </row>
    <row r="6" spans="1:2" x14ac:dyDescent="0.25">
      <c r="A6" s="33" t="s">
        <v>5</v>
      </c>
      <c r="B6" s="41">
        <v>15239487.4</v>
      </c>
    </row>
    <row r="7" spans="1:2" x14ac:dyDescent="0.25">
      <c r="A7" s="33" t="s">
        <v>6</v>
      </c>
      <c r="B7" s="40">
        <v>1080000</v>
      </c>
    </row>
    <row r="8" spans="1:2" x14ac:dyDescent="0.25">
      <c r="A8" s="33" t="s">
        <v>7</v>
      </c>
      <c r="B8" s="40">
        <v>1525</v>
      </c>
    </row>
    <row r="9" spans="1:2" ht="15.75" thickBot="1" x14ac:dyDescent="0.3">
      <c r="A9" s="33" t="s">
        <v>8</v>
      </c>
      <c r="B9" s="42"/>
    </row>
    <row r="10" spans="1:2" ht="15.75" thickBot="1" x14ac:dyDescent="0.3">
      <c r="A10" s="32" t="s">
        <v>9</v>
      </c>
      <c r="B10" s="43">
        <v>4742369.6430521067</v>
      </c>
    </row>
    <row r="11" spans="1:2" x14ac:dyDescent="0.25">
      <c r="A11" s="33" t="s">
        <v>10</v>
      </c>
      <c r="B11" s="41"/>
    </row>
    <row r="12" spans="1:2" x14ac:dyDescent="0.25">
      <c r="A12" s="33" t="s">
        <v>11</v>
      </c>
      <c r="B12" s="50">
        <v>2343862</v>
      </c>
    </row>
    <row r="13" spans="1:2" x14ac:dyDescent="0.25">
      <c r="A13" s="33" t="s">
        <v>12</v>
      </c>
      <c r="B13" s="50">
        <v>72015.720000000016</v>
      </c>
    </row>
    <row r="14" spans="1:2" x14ac:dyDescent="0.25">
      <c r="A14" s="33" t="s">
        <v>13</v>
      </c>
      <c r="B14" s="50"/>
    </row>
    <row r="15" spans="1:2" x14ac:dyDescent="0.25">
      <c r="A15" s="33" t="s">
        <v>14</v>
      </c>
      <c r="B15" s="50">
        <v>26090</v>
      </c>
    </row>
    <row r="16" spans="1:2" x14ac:dyDescent="0.25">
      <c r="A16" s="33" t="s">
        <v>15</v>
      </c>
      <c r="B16" s="50"/>
    </row>
    <row r="17" spans="1:2" ht="15.75" thickBot="1" x14ac:dyDescent="0.3">
      <c r="A17" s="33" t="s">
        <v>16</v>
      </c>
      <c r="B17" s="53">
        <v>2300401.9230521061</v>
      </c>
    </row>
    <row r="18" spans="1:2" ht="15.75" thickBot="1" x14ac:dyDescent="0.3">
      <c r="A18" s="32" t="s">
        <v>17</v>
      </c>
      <c r="B18" s="46">
        <v>21120684.043052107</v>
      </c>
    </row>
    <row r="19" spans="1:2" ht="15.75" thickBot="1" x14ac:dyDescent="0.3">
      <c r="A19" s="31"/>
      <c r="B19" s="44"/>
    </row>
    <row r="20" spans="1:2" ht="15.75" thickBot="1" x14ac:dyDescent="0.3">
      <c r="A20" s="36" t="s">
        <v>18</v>
      </c>
      <c r="B20" s="36">
        <v>2023</v>
      </c>
    </row>
    <row r="21" spans="1:2" ht="15.75" thickBot="1" x14ac:dyDescent="0.3">
      <c r="A21" s="31"/>
      <c r="B21" s="45"/>
    </row>
    <row r="22" spans="1:2" ht="15.75" thickBot="1" x14ac:dyDescent="0.3">
      <c r="A22" s="32" t="s">
        <v>19</v>
      </c>
      <c r="B22" s="38">
        <v>19520735.416087553</v>
      </c>
    </row>
    <row r="23" spans="1:2" x14ac:dyDescent="0.25">
      <c r="A23" s="33" t="s">
        <v>20</v>
      </c>
      <c r="B23" s="54">
        <v>17570406.416087553</v>
      </c>
    </row>
    <row r="24" spans="1:2" x14ac:dyDescent="0.25">
      <c r="A24" s="33" t="s">
        <v>21</v>
      </c>
      <c r="B24" s="50">
        <v>85185</v>
      </c>
    </row>
    <row r="25" spans="1:2" x14ac:dyDescent="0.25">
      <c r="A25" s="33" t="s">
        <v>22</v>
      </c>
      <c r="B25" s="50">
        <v>234227</v>
      </c>
    </row>
    <row r="26" spans="1:2" x14ac:dyDescent="0.25">
      <c r="A26" s="33" t="s">
        <v>23</v>
      </c>
      <c r="B26" s="50">
        <v>17186274</v>
      </c>
    </row>
    <row r="27" spans="1:2" x14ac:dyDescent="0.25">
      <c r="A27" s="33" t="s">
        <v>168</v>
      </c>
      <c r="B27" s="50">
        <v>-266659</v>
      </c>
    </row>
    <row r="28" spans="1:2" x14ac:dyDescent="0.25">
      <c r="A28" s="33" t="s">
        <v>169</v>
      </c>
      <c r="B28" s="50">
        <v>331379.41608755436</v>
      </c>
    </row>
    <row r="29" spans="1:2" x14ac:dyDescent="0.25">
      <c r="A29" s="33" t="s">
        <v>170</v>
      </c>
      <c r="B29" s="50"/>
    </row>
    <row r="30" spans="1:2" ht="15.75" thickBot="1" x14ac:dyDescent="0.3">
      <c r="A30" s="33" t="s">
        <v>171</v>
      </c>
      <c r="B30" s="50">
        <v>1950329</v>
      </c>
    </row>
    <row r="31" spans="1:2" ht="15.75" thickBot="1" x14ac:dyDescent="0.3">
      <c r="A31" s="32" t="s">
        <v>29</v>
      </c>
      <c r="B31" s="46">
        <v>1208802</v>
      </c>
    </row>
    <row r="32" spans="1:2" x14ac:dyDescent="0.25">
      <c r="A32" s="33" t="s">
        <v>172</v>
      </c>
      <c r="B32" s="54"/>
    </row>
    <row r="33" spans="1:2" x14ac:dyDescent="0.25">
      <c r="A33" s="33" t="s">
        <v>193</v>
      </c>
      <c r="B33" s="50">
        <v>553069</v>
      </c>
    </row>
    <row r="34" spans="1:2" x14ac:dyDescent="0.25">
      <c r="A34" s="33" t="s">
        <v>173</v>
      </c>
      <c r="B34" s="50"/>
    </row>
    <row r="35" spans="1:2" ht="15.75" thickBot="1" x14ac:dyDescent="0.3">
      <c r="A35" s="33" t="s">
        <v>33</v>
      </c>
      <c r="B35" s="47">
        <v>655733</v>
      </c>
    </row>
    <row r="36" spans="1:2" ht="15.75" thickBot="1" x14ac:dyDescent="0.3">
      <c r="A36" s="32" t="s">
        <v>37</v>
      </c>
      <c r="B36" s="38">
        <v>395444.47428955248</v>
      </c>
    </row>
    <row r="37" spans="1:2" x14ac:dyDescent="0.25">
      <c r="A37" s="33" t="s">
        <v>174</v>
      </c>
      <c r="B37" s="47"/>
    </row>
    <row r="38" spans="1:2" x14ac:dyDescent="0.25">
      <c r="A38" s="33" t="s">
        <v>39</v>
      </c>
      <c r="B38" s="47"/>
    </row>
    <row r="39" spans="1:2" x14ac:dyDescent="0.25">
      <c r="A39" s="33" t="s">
        <v>194</v>
      </c>
      <c r="B39" s="47">
        <v>216179</v>
      </c>
    </row>
    <row r="40" spans="1:2" x14ac:dyDescent="0.25">
      <c r="A40" s="33" t="s">
        <v>41</v>
      </c>
      <c r="B40" s="47"/>
    </row>
    <row r="41" spans="1:2" x14ac:dyDescent="0.25">
      <c r="A41" s="33" t="s">
        <v>42</v>
      </c>
      <c r="B41" s="47">
        <v>179265.47428955248</v>
      </c>
    </row>
    <row r="42" spans="1:2" x14ac:dyDescent="0.25">
      <c r="A42" s="33" t="s">
        <v>15</v>
      </c>
      <c r="B42" s="47"/>
    </row>
    <row r="43" spans="1:2" ht="15.75" thickBot="1" x14ac:dyDescent="0.3">
      <c r="A43" s="33" t="s">
        <v>43</v>
      </c>
      <c r="B43" s="55"/>
    </row>
    <row r="44" spans="1:2" ht="15.75" thickBot="1" x14ac:dyDescent="0.3">
      <c r="A44" s="35" t="s">
        <v>44</v>
      </c>
      <c r="B44" s="46">
        <v>21124981.890377104</v>
      </c>
    </row>
    <row r="45" spans="1:2" ht="15.75" thickBot="1" x14ac:dyDescent="0.3">
      <c r="A45" s="65"/>
      <c r="B45" s="48"/>
    </row>
    <row r="46" spans="1:2" ht="15.75" thickBot="1" x14ac:dyDescent="0.3">
      <c r="A46" s="35" t="s">
        <v>45</v>
      </c>
      <c r="B46" s="36">
        <v>2023</v>
      </c>
    </row>
    <row r="47" spans="1:2" x14ac:dyDescent="0.25">
      <c r="A47" s="34" t="s">
        <v>175</v>
      </c>
      <c r="B47" s="49">
        <v>943046.06180000002</v>
      </c>
    </row>
    <row r="48" spans="1:2" x14ac:dyDescent="0.25">
      <c r="A48" s="34" t="s">
        <v>176</v>
      </c>
      <c r="B48" s="49">
        <v>1099456.6800000002</v>
      </c>
    </row>
    <row r="49" spans="1:2" x14ac:dyDescent="0.25">
      <c r="A49" s="34" t="s">
        <v>177</v>
      </c>
      <c r="B49" s="49">
        <v>-855293</v>
      </c>
    </row>
    <row r="50" spans="1:2" x14ac:dyDescent="0.25">
      <c r="A50" s="34" t="s">
        <v>178</v>
      </c>
      <c r="B50" s="49"/>
    </row>
    <row r="51" spans="1:2" x14ac:dyDescent="0.25">
      <c r="A51" s="34" t="s">
        <v>179</v>
      </c>
      <c r="B51" s="50"/>
    </row>
    <row r="52" spans="1:2" x14ac:dyDescent="0.25">
      <c r="A52" s="34" t="s">
        <v>180</v>
      </c>
      <c r="B52" s="47"/>
    </row>
    <row r="53" spans="1:2" x14ac:dyDescent="0.25">
      <c r="A53" s="34" t="s">
        <v>181</v>
      </c>
      <c r="B53" s="41">
        <v>-160746.76800000001</v>
      </c>
    </row>
    <row r="54" spans="1:2" x14ac:dyDescent="0.25">
      <c r="A54" s="34" t="s">
        <v>182</v>
      </c>
      <c r="B54" s="41">
        <v>-282551.47200000001</v>
      </c>
    </row>
    <row r="55" spans="1:2" x14ac:dyDescent="0.25">
      <c r="A55" s="34" t="s">
        <v>183</v>
      </c>
      <c r="B55" s="51">
        <v>-348736</v>
      </c>
    </row>
    <row r="56" spans="1:2" x14ac:dyDescent="0.25">
      <c r="A56" s="34" t="s">
        <v>184</v>
      </c>
      <c r="B56" s="51">
        <v>67478</v>
      </c>
    </row>
    <row r="57" spans="1:2" ht="15.75" thickBot="1" x14ac:dyDescent="0.3">
      <c r="A57" s="34" t="s">
        <v>185</v>
      </c>
      <c r="B57" s="51">
        <v>0</v>
      </c>
    </row>
    <row r="58" spans="1:2" ht="15.75" thickBot="1" x14ac:dyDescent="0.3">
      <c r="A58" s="35" t="s">
        <v>55</v>
      </c>
      <c r="B58" s="66">
        <v>462653.5018000002</v>
      </c>
    </row>
    <row r="59" spans="1:2" x14ac:dyDescent="0.25">
      <c r="A59" s="34" t="s">
        <v>186</v>
      </c>
      <c r="B59" s="47">
        <v>6</v>
      </c>
    </row>
    <row r="60" spans="1:2" x14ac:dyDescent="0.25">
      <c r="A60" s="34" t="s">
        <v>187</v>
      </c>
      <c r="B60" s="47">
        <v>-20820.280349927751</v>
      </c>
    </row>
    <row r="61" spans="1:2" x14ac:dyDescent="0.25">
      <c r="A61" s="34" t="s">
        <v>188</v>
      </c>
      <c r="B61" s="50"/>
    </row>
    <row r="62" spans="1:2" x14ac:dyDescent="0.25">
      <c r="A62" s="34" t="s">
        <v>189</v>
      </c>
      <c r="B62" s="50"/>
    </row>
    <row r="63" spans="1:2" x14ac:dyDescent="0.25">
      <c r="A63" s="34" t="s">
        <v>190</v>
      </c>
      <c r="B63" s="50"/>
    </row>
    <row r="64" spans="1:2" ht="15.75" thickBot="1" x14ac:dyDescent="0.3">
      <c r="A64" s="34" t="s">
        <v>191</v>
      </c>
      <c r="B64" s="50"/>
    </row>
    <row r="65" spans="1:3" ht="15.75" thickBot="1" x14ac:dyDescent="0.3">
      <c r="A65" s="35" t="s">
        <v>58</v>
      </c>
      <c r="B65" s="38">
        <v>-20814.280349927751</v>
      </c>
    </row>
    <row r="66" spans="1:3" ht="15.75" thickBot="1" x14ac:dyDescent="0.3">
      <c r="A66" s="35" t="s">
        <v>59</v>
      </c>
      <c r="B66" s="52">
        <v>441839.22145007248</v>
      </c>
    </row>
    <row r="67" spans="1:3" ht="15.75" thickBot="1" x14ac:dyDescent="0.3">
      <c r="A67" s="34" t="s">
        <v>192</v>
      </c>
      <c r="B67" s="47">
        <v>-110459.80536251812</v>
      </c>
    </row>
    <row r="68" spans="1:3" ht="15.75" thickBot="1" x14ac:dyDescent="0.3">
      <c r="A68" s="35" t="s">
        <v>61</v>
      </c>
      <c r="B68" s="38">
        <v>331379.41608755436</v>
      </c>
    </row>
    <row r="71" spans="1:3" x14ac:dyDescent="0.25">
      <c r="A71" t="s">
        <v>286</v>
      </c>
      <c r="B71" s="27">
        <f>+B58-B56-B55</f>
        <v>743911.5018000002</v>
      </c>
    </row>
    <row r="72" spans="1:3" ht="15.75" thickBot="1" x14ac:dyDescent="0.3">
      <c r="A72" t="s">
        <v>287</v>
      </c>
      <c r="B72">
        <f>+'Múltiplos promotora'!F19</f>
        <v>12.18</v>
      </c>
      <c r="C72" t="s">
        <v>384</v>
      </c>
    </row>
    <row r="73" spans="1:3" ht="15.75" thickBot="1" x14ac:dyDescent="0.3">
      <c r="A73" s="68" t="s">
        <v>338</v>
      </c>
      <c r="B73" s="69">
        <f>+B71*B72</f>
        <v>9060842.0919240024</v>
      </c>
    </row>
    <row r="74" spans="1:3" x14ac:dyDescent="0.25">
      <c r="A74" t="s">
        <v>289</v>
      </c>
      <c r="B74" s="27">
        <f>-B33-B39</f>
        <v>-769248</v>
      </c>
    </row>
    <row r="75" spans="1:3" x14ac:dyDescent="0.25">
      <c r="A75" t="s">
        <v>290</v>
      </c>
      <c r="B75" s="27">
        <f>+B17</f>
        <v>2300401.9230521061</v>
      </c>
    </row>
    <row r="76" spans="1:3" ht="15.75" thickBot="1" x14ac:dyDescent="0.3">
      <c r="A76" t="s">
        <v>291</v>
      </c>
      <c r="B76" s="27">
        <f>+B7+B8+B15</f>
        <v>1107615</v>
      </c>
    </row>
    <row r="77" spans="1:3" ht="15.75" thickBot="1" x14ac:dyDescent="0.3">
      <c r="A77" s="68" t="s">
        <v>339</v>
      </c>
      <c r="B77" s="69">
        <f>SUM(B73:B76)</f>
        <v>11699611.014976108</v>
      </c>
      <c r="C77" t="s">
        <v>387</v>
      </c>
    </row>
    <row r="78" spans="1:3" x14ac:dyDescent="0.25">
      <c r="A78" t="s">
        <v>340</v>
      </c>
      <c r="B78" s="67">
        <f>+B77*0.9</f>
        <v>10529649.913478497</v>
      </c>
    </row>
    <row r="79" spans="1:3" ht="15.75" thickBot="1" x14ac:dyDescent="0.3">
      <c r="A79" t="s">
        <v>294</v>
      </c>
      <c r="B79" s="67">
        <v>13947209</v>
      </c>
    </row>
    <row r="80" spans="1:3" ht="15.75" thickBot="1" x14ac:dyDescent="0.3">
      <c r="A80" s="70" t="s">
        <v>341</v>
      </c>
      <c r="B80" s="71">
        <f>+B78-B79</f>
        <v>-3417559.0865215026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49B1-B62B-4874-82BD-BF88118908B9}">
  <dimension ref="A1:F19"/>
  <sheetViews>
    <sheetView workbookViewId="0">
      <selection activeCell="F2" sqref="F2"/>
    </sheetView>
  </sheetViews>
  <sheetFormatPr defaultColWidth="11.42578125" defaultRowHeight="15" x14ac:dyDescent="0.25"/>
  <cols>
    <col min="2" max="2" width="42.5703125" customWidth="1"/>
    <col min="4" max="4" width="39.85546875" bestFit="1" customWidth="1"/>
    <col min="5" max="5" width="8.7109375" bestFit="1" customWidth="1"/>
    <col min="6" max="6" width="24.5703125" bestFit="1" customWidth="1"/>
  </cols>
  <sheetData>
    <row r="1" spans="1:6" x14ac:dyDescent="0.25">
      <c r="A1" t="s">
        <v>198</v>
      </c>
      <c r="B1" t="s">
        <v>342</v>
      </c>
      <c r="C1" t="s">
        <v>199</v>
      </c>
      <c r="D1" t="s">
        <v>344</v>
      </c>
      <c r="E1" t="s">
        <v>343</v>
      </c>
      <c r="F1" t="s">
        <v>392</v>
      </c>
    </row>
    <row r="2" spans="1:6" x14ac:dyDescent="0.25">
      <c r="A2" t="s">
        <v>381</v>
      </c>
      <c r="B2" t="s">
        <v>382</v>
      </c>
      <c r="C2" t="s">
        <v>202</v>
      </c>
      <c r="D2" t="s">
        <v>379</v>
      </c>
      <c r="E2" t="s">
        <v>352</v>
      </c>
      <c r="F2">
        <v>21.39</v>
      </c>
    </row>
    <row r="3" spans="1:6" x14ac:dyDescent="0.25">
      <c r="A3" t="s">
        <v>329</v>
      </c>
      <c r="B3" t="s">
        <v>308</v>
      </c>
      <c r="C3" t="s">
        <v>202</v>
      </c>
      <c r="D3" t="s">
        <v>379</v>
      </c>
      <c r="E3" t="s">
        <v>352</v>
      </c>
      <c r="F3">
        <v>9.4</v>
      </c>
    </row>
    <row r="4" spans="1:6" x14ac:dyDescent="0.25">
      <c r="A4" t="s">
        <v>312</v>
      </c>
      <c r="B4" t="s">
        <v>313</v>
      </c>
      <c r="C4" t="s">
        <v>202</v>
      </c>
      <c r="D4" t="s">
        <v>379</v>
      </c>
      <c r="E4" t="s">
        <v>352</v>
      </c>
      <c r="F4">
        <v>21.51</v>
      </c>
    </row>
    <row r="5" spans="1:6" x14ac:dyDescent="0.25">
      <c r="A5" t="s">
        <v>330</v>
      </c>
      <c r="B5" t="s">
        <v>331</v>
      </c>
      <c r="C5" t="s">
        <v>202</v>
      </c>
      <c r="D5" t="s">
        <v>379</v>
      </c>
      <c r="E5" t="s">
        <v>352</v>
      </c>
      <c r="F5">
        <v>6.31</v>
      </c>
    </row>
    <row r="6" spans="1:6" x14ac:dyDescent="0.25">
      <c r="A6" t="s">
        <v>327</v>
      </c>
      <c r="B6" t="s">
        <v>328</v>
      </c>
      <c r="C6" t="s">
        <v>202</v>
      </c>
      <c r="D6" t="s">
        <v>379</v>
      </c>
      <c r="E6" t="s">
        <v>352</v>
      </c>
      <c r="F6">
        <v>12.24</v>
      </c>
    </row>
    <row r="7" spans="1:6" x14ac:dyDescent="0.25">
      <c r="A7" t="s">
        <v>317</v>
      </c>
      <c r="B7" t="s">
        <v>318</v>
      </c>
      <c r="C7" t="s">
        <v>202</v>
      </c>
      <c r="D7" t="s">
        <v>379</v>
      </c>
      <c r="E7" t="s">
        <v>352</v>
      </c>
      <c r="F7">
        <v>5.65</v>
      </c>
    </row>
    <row r="8" spans="1:6" x14ac:dyDescent="0.25">
      <c r="A8" t="s">
        <v>321</v>
      </c>
      <c r="B8" t="s">
        <v>337</v>
      </c>
      <c r="C8" t="s">
        <v>202</v>
      </c>
      <c r="D8" t="s">
        <v>379</v>
      </c>
      <c r="E8" t="s">
        <v>352</v>
      </c>
      <c r="F8">
        <v>6.45</v>
      </c>
    </row>
    <row r="9" spans="1:6" x14ac:dyDescent="0.25">
      <c r="A9" t="s">
        <v>310</v>
      </c>
      <c r="B9" t="s">
        <v>311</v>
      </c>
      <c r="C9" t="s">
        <v>202</v>
      </c>
      <c r="D9" t="s">
        <v>379</v>
      </c>
      <c r="E9" t="s">
        <v>352</v>
      </c>
      <c r="F9">
        <v>12.18</v>
      </c>
    </row>
    <row r="10" spans="1:6" x14ac:dyDescent="0.25">
      <c r="A10" t="s">
        <v>334</v>
      </c>
      <c r="B10" t="s">
        <v>315</v>
      </c>
      <c r="C10" t="s">
        <v>202</v>
      </c>
      <c r="D10" t="s">
        <v>379</v>
      </c>
      <c r="E10" t="s">
        <v>352</v>
      </c>
      <c r="F10">
        <v>11.4</v>
      </c>
    </row>
    <row r="11" spans="1:6" x14ac:dyDescent="0.25">
      <c r="A11" t="s">
        <v>332</v>
      </c>
      <c r="B11" t="s">
        <v>309</v>
      </c>
      <c r="C11" t="s">
        <v>202</v>
      </c>
      <c r="D11" t="s">
        <v>379</v>
      </c>
      <c r="E11" t="s">
        <v>352</v>
      </c>
      <c r="F11">
        <v>23</v>
      </c>
    </row>
    <row r="12" spans="1:6" x14ac:dyDescent="0.25">
      <c r="A12" t="s">
        <v>380</v>
      </c>
      <c r="B12" t="s">
        <v>316</v>
      </c>
      <c r="C12" t="s">
        <v>202</v>
      </c>
      <c r="D12" t="s">
        <v>379</v>
      </c>
      <c r="E12" t="s">
        <v>352</v>
      </c>
      <c r="F12">
        <v>15.07</v>
      </c>
    </row>
    <row r="13" spans="1:6" x14ac:dyDescent="0.25">
      <c r="A13" t="s">
        <v>335</v>
      </c>
      <c r="B13" t="s">
        <v>336</v>
      </c>
      <c r="C13" t="s">
        <v>202</v>
      </c>
      <c r="D13" t="s">
        <v>379</v>
      </c>
      <c r="E13" t="s">
        <v>352</v>
      </c>
      <c r="F13">
        <v>22.4</v>
      </c>
    </row>
    <row r="14" spans="1:6" x14ac:dyDescent="0.25">
      <c r="A14" t="s">
        <v>325</v>
      </c>
      <c r="B14" t="s">
        <v>326</v>
      </c>
      <c r="C14" t="s">
        <v>202</v>
      </c>
      <c r="D14" t="s">
        <v>379</v>
      </c>
      <c r="E14" t="s">
        <v>352</v>
      </c>
      <c r="F14">
        <v>7.39</v>
      </c>
    </row>
    <row r="15" spans="1:6" x14ac:dyDescent="0.25">
      <c r="A15" t="s">
        <v>389</v>
      </c>
      <c r="B15" t="s">
        <v>390</v>
      </c>
      <c r="C15" t="s">
        <v>202</v>
      </c>
      <c r="D15" t="s">
        <v>379</v>
      </c>
      <c r="E15" t="s">
        <v>352</v>
      </c>
      <c r="F15">
        <v>9.26</v>
      </c>
    </row>
    <row r="16" spans="1:6" x14ac:dyDescent="0.25">
      <c r="A16" t="s">
        <v>314</v>
      </c>
      <c r="B16" t="s">
        <v>333</v>
      </c>
      <c r="C16" t="s">
        <v>202</v>
      </c>
      <c r="D16" t="s">
        <v>379</v>
      </c>
      <c r="E16" t="s">
        <v>352</v>
      </c>
      <c r="F16">
        <v>19.97</v>
      </c>
    </row>
    <row r="17" spans="1:6" x14ac:dyDescent="0.25">
      <c r="A17" t="s">
        <v>319</v>
      </c>
      <c r="B17" t="s">
        <v>320</v>
      </c>
      <c r="C17" t="s">
        <v>202</v>
      </c>
      <c r="D17" t="s">
        <v>379</v>
      </c>
      <c r="E17" t="s">
        <v>352</v>
      </c>
      <c r="F17">
        <v>22.23</v>
      </c>
    </row>
    <row r="18" spans="1:6" ht="15.75" thickBot="1" x14ac:dyDescent="0.3">
      <c r="A18" t="s">
        <v>322</v>
      </c>
      <c r="B18" t="s">
        <v>323</v>
      </c>
      <c r="C18" t="s">
        <v>202</v>
      </c>
      <c r="D18" t="s">
        <v>379</v>
      </c>
      <c r="E18" t="s">
        <v>352</v>
      </c>
      <c r="F18">
        <v>11.1</v>
      </c>
    </row>
    <row r="19" spans="1:6" ht="15.75" thickBot="1" x14ac:dyDescent="0.3">
      <c r="E19" s="93" t="s">
        <v>285</v>
      </c>
      <c r="F19" s="92">
        <f>+MEDIAN(F2:F18)</f>
        <v>12.18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9</vt:i4>
      </vt:variant>
    </vt:vector>
  </HeadingPairs>
  <TitlesOfParts>
    <vt:vector size="9" baseType="lpstr">
      <vt:lpstr>RESULTADO PROPUESTO</vt:lpstr>
      <vt:lpstr>Datos</vt:lpstr>
      <vt:lpstr>EMPRESA HOLDING</vt:lpstr>
      <vt:lpstr>BODEGAS</vt:lpstr>
      <vt:lpstr>Multiplos Bebidas</vt:lpstr>
      <vt:lpstr>HOTEL</vt:lpstr>
      <vt:lpstr>Multiplos hotel Caribe</vt:lpstr>
      <vt:lpstr>Promotora inmobiliaria y alquil</vt:lpstr>
      <vt:lpstr>Múltiplos promotora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Domingo</dc:creator>
  <cp:lastModifiedBy>oriol Calblay</cp:lastModifiedBy>
  <dcterms:created xsi:type="dcterms:W3CDTF">2015-06-05T18:19:34Z</dcterms:created>
  <dcterms:modified xsi:type="dcterms:W3CDTF">2024-05-15T14:05:00Z</dcterms:modified>
</cp:coreProperties>
</file>