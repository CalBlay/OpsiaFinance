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d.docs.live.net/e6c7bcb4eb356115/Escritorio/IEBS/MODULO 6/VALORACIÓN EMPRESA/Clase 2/"/>
    </mc:Choice>
  </mc:AlternateContent>
  <xr:revisionPtr revIDLastSave="8" documentId="8_{C08D9EA2-CE69-429C-B761-0336FFF6FF22}" xr6:coauthVersionLast="47" xr6:coauthVersionMax="47" xr10:uidLastSave="{F50FB5FF-34A4-437C-A61F-2A1767C68A01}"/>
  <bookViews>
    <workbookView xWindow="22932" yWindow="-60" windowWidth="23256" windowHeight="12456" tabRatio="910" xr2:uid="{00000000-000D-0000-FFFF-FFFF00000000}"/>
  </bookViews>
  <sheets>
    <sheet name="SOLUCIÓN WACC" sheetId="9" r:id="rId1"/>
    <sheet name="Datos" sheetId="2" r:id="rId2"/>
    <sheet name="BODEGAS" sheetId="3" r:id="rId3"/>
    <sheet name="Beta Bodega" sheetId="6" r:id="rId4"/>
    <sheet name="HOTEL" sheetId="4" r:id="rId5"/>
    <sheet name="Beta Hotel" sheetId="8" r:id="rId6"/>
    <sheet name="Promotora inmobiliaria y alquil" sheetId="5" r:id="rId7"/>
    <sheet name="Beta Promotora" sheetId="7" r:id="rId8"/>
  </sheets>
  <definedNames>
    <definedName name="_xlnm.Print_Titles" localSheetId="3">'Beta Bodega'!$10:$10</definedName>
    <definedName name="_xlnm.Print_Titles" localSheetId="5">'Beta Hotel'!$10:$10</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7" l="1"/>
  <c r="J2" i="7"/>
  <c r="F6" i="9"/>
  <c r="F30" i="9"/>
  <c r="F18" i="9"/>
  <c r="J3" i="7"/>
  <c r="F106" i="8"/>
  <c r="H106" i="8" s="1"/>
  <c r="P106" i="8" s="1"/>
  <c r="F105" i="8"/>
  <c r="H105" i="8" s="1"/>
  <c r="P105" i="8" s="1"/>
  <c r="F104" i="8"/>
  <c r="H104" i="8" s="1"/>
  <c r="P104" i="8" s="1"/>
  <c r="F103" i="8"/>
  <c r="H103" i="8" s="1"/>
  <c r="P103" i="8" s="1"/>
  <c r="F102" i="8"/>
  <c r="H102" i="8" s="1"/>
  <c r="P102" i="8" s="1"/>
  <c r="F101" i="8"/>
  <c r="H101" i="8" s="1"/>
  <c r="P101" i="8" s="1"/>
  <c r="F100" i="8"/>
  <c r="H100" i="8" s="1"/>
  <c r="P100" i="8" s="1"/>
  <c r="F99" i="8"/>
  <c r="H99" i="8" s="1"/>
  <c r="P99" i="8" s="1"/>
  <c r="F98" i="8"/>
  <c r="H98" i="8" s="1"/>
  <c r="P98" i="8" s="1"/>
  <c r="F97" i="8"/>
  <c r="H97" i="8" s="1"/>
  <c r="P97" i="8" s="1"/>
  <c r="H96" i="8"/>
  <c r="P96" i="8" s="1"/>
  <c r="F96" i="8"/>
  <c r="F95" i="8"/>
  <c r="H95" i="8" s="1"/>
  <c r="P95" i="8" s="1"/>
  <c r="F94" i="8"/>
  <c r="H94" i="8" s="1"/>
  <c r="P94" i="8" s="1"/>
  <c r="F93" i="8"/>
  <c r="H93" i="8" s="1"/>
  <c r="P93" i="8" s="1"/>
  <c r="F92" i="8"/>
  <c r="H92" i="8" s="1"/>
  <c r="P92" i="8" s="1"/>
  <c r="F91" i="8"/>
  <c r="H91" i="8" s="1"/>
  <c r="P91" i="8" s="1"/>
  <c r="F90" i="8"/>
  <c r="H90" i="8" s="1"/>
  <c r="P90" i="8" s="1"/>
  <c r="F89" i="8"/>
  <c r="H89" i="8" s="1"/>
  <c r="P89" i="8" s="1"/>
  <c r="F88" i="8"/>
  <c r="H88" i="8" s="1"/>
  <c r="P88" i="8" s="1"/>
  <c r="F87" i="8"/>
  <c r="H87" i="8" s="1"/>
  <c r="P87" i="8" s="1"/>
  <c r="F86" i="8"/>
  <c r="H86" i="8" s="1"/>
  <c r="P86" i="8" s="1"/>
  <c r="F85" i="8"/>
  <c r="H85" i="8" s="1"/>
  <c r="P85" i="8" s="1"/>
  <c r="F84" i="8"/>
  <c r="H84" i="8" s="1"/>
  <c r="P84" i="8" s="1"/>
  <c r="F83" i="8"/>
  <c r="H83" i="8" s="1"/>
  <c r="P83" i="8" s="1"/>
  <c r="F82" i="8"/>
  <c r="H82" i="8" s="1"/>
  <c r="P82" i="8" s="1"/>
  <c r="F81" i="8"/>
  <c r="H81" i="8" s="1"/>
  <c r="P81" i="8" s="1"/>
  <c r="F80" i="8"/>
  <c r="H80" i="8" s="1"/>
  <c r="P80" i="8" s="1"/>
  <c r="F79" i="8"/>
  <c r="H79" i="8" s="1"/>
  <c r="P79" i="8" s="1"/>
  <c r="F78" i="8"/>
  <c r="H78" i="8" s="1"/>
  <c r="P78" i="8" s="1"/>
  <c r="H77" i="8"/>
  <c r="P77" i="8" s="1"/>
  <c r="F77" i="8"/>
  <c r="F76" i="8"/>
  <c r="H76" i="8" s="1"/>
  <c r="P76" i="8" s="1"/>
  <c r="F75" i="8"/>
  <c r="H75" i="8" s="1"/>
  <c r="P75" i="8" s="1"/>
  <c r="F74" i="8"/>
  <c r="H74" i="8" s="1"/>
  <c r="P74" i="8" s="1"/>
  <c r="F73" i="8"/>
  <c r="H73" i="8" s="1"/>
  <c r="P73" i="8" s="1"/>
  <c r="F72" i="8"/>
  <c r="H72" i="8" s="1"/>
  <c r="P72" i="8" s="1"/>
  <c r="F71" i="8"/>
  <c r="H71" i="8" s="1"/>
  <c r="P71" i="8" s="1"/>
  <c r="F70" i="8"/>
  <c r="H70" i="8" s="1"/>
  <c r="P70" i="8" s="1"/>
  <c r="F69" i="8"/>
  <c r="H69" i="8" s="1"/>
  <c r="P69" i="8" s="1"/>
  <c r="F68" i="8"/>
  <c r="H68" i="8" s="1"/>
  <c r="P68" i="8" s="1"/>
  <c r="F67" i="8"/>
  <c r="H67" i="8" s="1"/>
  <c r="P67" i="8" s="1"/>
  <c r="F66" i="8"/>
  <c r="H66" i="8" s="1"/>
  <c r="P66" i="8" s="1"/>
  <c r="F65" i="8"/>
  <c r="H65" i="8" s="1"/>
  <c r="P65" i="8" s="1"/>
  <c r="F64" i="8"/>
  <c r="H64" i="8" s="1"/>
  <c r="P64" i="8" s="1"/>
  <c r="F63" i="8"/>
  <c r="H63" i="8" s="1"/>
  <c r="P63" i="8" s="1"/>
  <c r="F62" i="8"/>
  <c r="H62" i="8" s="1"/>
  <c r="P62" i="8" s="1"/>
  <c r="F61" i="8"/>
  <c r="H61" i="8" s="1"/>
  <c r="P61" i="8" s="1"/>
  <c r="F60" i="8"/>
  <c r="H60" i="8" s="1"/>
  <c r="P60" i="8" s="1"/>
  <c r="F59" i="8"/>
  <c r="H59" i="8" s="1"/>
  <c r="P59" i="8" s="1"/>
  <c r="F58" i="8"/>
  <c r="H58" i="8" s="1"/>
  <c r="P58" i="8" s="1"/>
  <c r="F57" i="8"/>
  <c r="H57" i="8" s="1"/>
  <c r="P57" i="8" s="1"/>
  <c r="F56" i="8"/>
  <c r="H56" i="8" s="1"/>
  <c r="P56" i="8" s="1"/>
  <c r="F55" i="8"/>
  <c r="H55" i="8" s="1"/>
  <c r="P55" i="8" s="1"/>
  <c r="F54" i="8"/>
  <c r="H54" i="8" s="1"/>
  <c r="P54" i="8" s="1"/>
  <c r="F53" i="8"/>
  <c r="H53" i="8" s="1"/>
  <c r="P53" i="8" s="1"/>
  <c r="F52" i="8"/>
  <c r="H52" i="8" s="1"/>
  <c r="P52" i="8" s="1"/>
  <c r="F51" i="8"/>
  <c r="H51" i="8" s="1"/>
  <c r="P51" i="8" s="1"/>
  <c r="F50" i="8"/>
  <c r="H50" i="8" s="1"/>
  <c r="P50" i="8" s="1"/>
  <c r="F49" i="8"/>
  <c r="H49" i="8" s="1"/>
  <c r="P49" i="8" s="1"/>
  <c r="F48" i="8"/>
  <c r="H48" i="8" s="1"/>
  <c r="P48" i="8" s="1"/>
  <c r="F47" i="8"/>
  <c r="H47" i="8" s="1"/>
  <c r="P47" i="8" s="1"/>
  <c r="F46" i="8"/>
  <c r="H46" i="8" s="1"/>
  <c r="P46" i="8" s="1"/>
  <c r="F45" i="8"/>
  <c r="H45" i="8" s="1"/>
  <c r="P45" i="8" s="1"/>
  <c r="F44" i="8"/>
  <c r="H44" i="8" s="1"/>
  <c r="P44" i="8" s="1"/>
  <c r="F43" i="8"/>
  <c r="H43" i="8" s="1"/>
  <c r="P43" i="8" s="1"/>
  <c r="F42" i="8"/>
  <c r="H42" i="8" s="1"/>
  <c r="P42" i="8" s="1"/>
  <c r="F41" i="8"/>
  <c r="H41" i="8" s="1"/>
  <c r="P41" i="8" s="1"/>
  <c r="F40" i="8"/>
  <c r="H40" i="8" s="1"/>
  <c r="P40" i="8" s="1"/>
  <c r="F39" i="8"/>
  <c r="H39" i="8" s="1"/>
  <c r="P39" i="8" s="1"/>
  <c r="F38" i="8"/>
  <c r="H38" i="8" s="1"/>
  <c r="P38" i="8" s="1"/>
  <c r="F37" i="8"/>
  <c r="H37" i="8" s="1"/>
  <c r="P37" i="8" s="1"/>
  <c r="F36" i="8"/>
  <c r="H36" i="8" s="1"/>
  <c r="P36" i="8" s="1"/>
  <c r="F35" i="8"/>
  <c r="H35" i="8" s="1"/>
  <c r="P35" i="8" s="1"/>
  <c r="F34" i="8"/>
  <c r="H34" i="8" s="1"/>
  <c r="P34" i="8" s="1"/>
  <c r="F33" i="8"/>
  <c r="H33" i="8" s="1"/>
  <c r="P33" i="8" s="1"/>
  <c r="F32" i="8"/>
  <c r="H32" i="8" s="1"/>
  <c r="P32" i="8" s="1"/>
  <c r="F31" i="8"/>
  <c r="H31" i="8" s="1"/>
  <c r="P31" i="8" s="1"/>
  <c r="F30" i="8"/>
  <c r="H30" i="8" s="1"/>
  <c r="P30" i="8" s="1"/>
  <c r="F29" i="8"/>
  <c r="H29" i="8" s="1"/>
  <c r="P29" i="8" s="1"/>
  <c r="F28" i="8"/>
  <c r="H28" i="8" s="1"/>
  <c r="P28" i="8" s="1"/>
  <c r="F27" i="8"/>
  <c r="H27" i="8" s="1"/>
  <c r="P27" i="8" s="1"/>
  <c r="F26" i="8"/>
  <c r="H26" i="8" s="1"/>
  <c r="P26" i="8" s="1"/>
  <c r="F25" i="8"/>
  <c r="H25" i="8" s="1"/>
  <c r="P25" i="8" s="1"/>
  <c r="F24" i="8"/>
  <c r="H24" i="8" s="1"/>
  <c r="P24" i="8" s="1"/>
  <c r="F23" i="8"/>
  <c r="H23" i="8" s="1"/>
  <c r="P23" i="8" s="1"/>
  <c r="F22" i="8"/>
  <c r="H22" i="8" s="1"/>
  <c r="P22" i="8" s="1"/>
  <c r="F21" i="8"/>
  <c r="H21" i="8" s="1"/>
  <c r="P21" i="8" s="1"/>
  <c r="F20" i="8"/>
  <c r="H20" i="8" s="1"/>
  <c r="P20" i="8" s="1"/>
  <c r="F19" i="8"/>
  <c r="H19" i="8" s="1"/>
  <c r="P19" i="8" s="1"/>
  <c r="F18" i="8"/>
  <c r="H18" i="8" s="1"/>
  <c r="P18" i="8" s="1"/>
  <c r="F17" i="8"/>
  <c r="H17" i="8" s="1"/>
  <c r="P17" i="8" s="1"/>
  <c r="F16" i="8"/>
  <c r="H16" i="8" s="1"/>
  <c r="P16" i="8" s="1"/>
  <c r="F15" i="8"/>
  <c r="H15" i="8" s="1"/>
  <c r="P15" i="8" s="1"/>
  <c r="F14" i="8"/>
  <c r="H14" i="8" s="1"/>
  <c r="P14" i="8" s="1"/>
  <c r="F13" i="8"/>
  <c r="H13" i="8" s="1"/>
  <c r="P13" i="8" s="1"/>
  <c r="F12" i="8"/>
  <c r="H12" i="8" s="1"/>
  <c r="P12" i="8" s="1"/>
  <c r="F11" i="8"/>
  <c r="H11" i="8" s="1"/>
  <c r="P11" i="8" s="1"/>
  <c r="J6" i="9"/>
  <c r="B9" i="9"/>
  <c r="B8" i="9"/>
  <c r="F106" i="6"/>
  <c r="H106" i="6" s="1"/>
  <c r="P106" i="6" s="1"/>
  <c r="F105" i="6"/>
  <c r="H105" i="6" s="1"/>
  <c r="P105" i="6" s="1"/>
  <c r="F104" i="6"/>
  <c r="H104" i="6" s="1"/>
  <c r="P104" i="6" s="1"/>
  <c r="F103" i="6"/>
  <c r="H103" i="6" s="1"/>
  <c r="P103" i="6" s="1"/>
  <c r="F102" i="6"/>
  <c r="H102" i="6" s="1"/>
  <c r="P102" i="6" s="1"/>
  <c r="F101" i="6"/>
  <c r="H101" i="6" s="1"/>
  <c r="P101" i="6" s="1"/>
  <c r="F100" i="6"/>
  <c r="H100" i="6" s="1"/>
  <c r="P100" i="6" s="1"/>
  <c r="F99" i="6"/>
  <c r="H99" i="6" s="1"/>
  <c r="P99" i="6" s="1"/>
  <c r="F98" i="6"/>
  <c r="H98" i="6" s="1"/>
  <c r="P98" i="6" s="1"/>
  <c r="F97" i="6"/>
  <c r="H97" i="6" s="1"/>
  <c r="P97" i="6" s="1"/>
  <c r="F96" i="6"/>
  <c r="H96" i="6" s="1"/>
  <c r="P96" i="6" s="1"/>
  <c r="F95" i="6"/>
  <c r="H95" i="6" s="1"/>
  <c r="P95" i="6" s="1"/>
  <c r="F94" i="6"/>
  <c r="H94" i="6" s="1"/>
  <c r="P94" i="6" s="1"/>
  <c r="F93" i="6"/>
  <c r="H93" i="6" s="1"/>
  <c r="P93" i="6" s="1"/>
  <c r="F92" i="6"/>
  <c r="H92" i="6" s="1"/>
  <c r="P92" i="6" s="1"/>
  <c r="F91" i="6"/>
  <c r="H91" i="6" s="1"/>
  <c r="P91" i="6" s="1"/>
  <c r="F90" i="6"/>
  <c r="H90" i="6" s="1"/>
  <c r="P90" i="6" s="1"/>
  <c r="F89" i="6"/>
  <c r="H89" i="6" s="1"/>
  <c r="P89" i="6" s="1"/>
  <c r="F88" i="6"/>
  <c r="H88" i="6" s="1"/>
  <c r="P88" i="6" s="1"/>
  <c r="F87" i="6"/>
  <c r="H87" i="6" s="1"/>
  <c r="P87" i="6" s="1"/>
  <c r="F86" i="6"/>
  <c r="H86" i="6" s="1"/>
  <c r="P86" i="6" s="1"/>
  <c r="H85" i="6"/>
  <c r="P85" i="6" s="1"/>
  <c r="F85" i="6"/>
  <c r="F84" i="6"/>
  <c r="H84" i="6" s="1"/>
  <c r="P84" i="6" s="1"/>
  <c r="H83" i="6"/>
  <c r="P83" i="6" s="1"/>
  <c r="F83" i="6"/>
  <c r="F82" i="6"/>
  <c r="H82" i="6" s="1"/>
  <c r="P82" i="6" s="1"/>
  <c r="F81" i="6"/>
  <c r="H81" i="6" s="1"/>
  <c r="P81" i="6" s="1"/>
  <c r="F80" i="6"/>
  <c r="H80" i="6" s="1"/>
  <c r="P80" i="6" s="1"/>
  <c r="F79" i="6"/>
  <c r="H79" i="6" s="1"/>
  <c r="P79" i="6" s="1"/>
  <c r="F78" i="6"/>
  <c r="H78" i="6" s="1"/>
  <c r="P78" i="6" s="1"/>
  <c r="F77" i="6"/>
  <c r="H77" i="6" s="1"/>
  <c r="P77" i="6" s="1"/>
  <c r="F76" i="6"/>
  <c r="H76" i="6" s="1"/>
  <c r="P76" i="6" s="1"/>
  <c r="F75" i="6"/>
  <c r="H75" i="6" s="1"/>
  <c r="P75" i="6" s="1"/>
  <c r="F74" i="6"/>
  <c r="H74" i="6" s="1"/>
  <c r="P74" i="6" s="1"/>
  <c r="F73" i="6"/>
  <c r="H73" i="6" s="1"/>
  <c r="P73" i="6" s="1"/>
  <c r="F72" i="6"/>
  <c r="H72" i="6" s="1"/>
  <c r="P72" i="6" s="1"/>
  <c r="F71" i="6"/>
  <c r="H71" i="6" s="1"/>
  <c r="P71" i="6" s="1"/>
  <c r="F70" i="6"/>
  <c r="H70" i="6" s="1"/>
  <c r="P70" i="6" s="1"/>
  <c r="F69" i="6"/>
  <c r="H69" i="6" s="1"/>
  <c r="P69" i="6" s="1"/>
  <c r="F68" i="6"/>
  <c r="H68" i="6" s="1"/>
  <c r="P68" i="6" s="1"/>
  <c r="F67" i="6"/>
  <c r="H67" i="6" s="1"/>
  <c r="P67" i="6" s="1"/>
  <c r="F66" i="6"/>
  <c r="H66" i="6" s="1"/>
  <c r="P66" i="6" s="1"/>
  <c r="F65" i="6"/>
  <c r="H65" i="6" s="1"/>
  <c r="P65" i="6" s="1"/>
  <c r="F64" i="6"/>
  <c r="H64" i="6" s="1"/>
  <c r="P64" i="6" s="1"/>
  <c r="F63" i="6"/>
  <c r="H63" i="6" s="1"/>
  <c r="P63" i="6" s="1"/>
  <c r="F62" i="6"/>
  <c r="H62" i="6" s="1"/>
  <c r="P62" i="6" s="1"/>
  <c r="F61" i="6"/>
  <c r="H61" i="6" s="1"/>
  <c r="P61" i="6" s="1"/>
  <c r="F60" i="6"/>
  <c r="H60" i="6" s="1"/>
  <c r="P60" i="6" s="1"/>
  <c r="F59" i="6"/>
  <c r="H59" i="6" s="1"/>
  <c r="P59" i="6" s="1"/>
  <c r="F58" i="6"/>
  <c r="H58" i="6" s="1"/>
  <c r="P58" i="6" s="1"/>
  <c r="F57" i="6"/>
  <c r="H57" i="6" s="1"/>
  <c r="P57" i="6" s="1"/>
  <c r="F56" i="6"/>
  <c r="H56" i="6" s="1"/>
  <c r="P56" i="6" s="1"/>
  <c r="F55" i="6"/>
  <c r="H55" i="6" s="1"/>
  <c r="P55" i="6" s="1"/>
  <c r="F54" i="6"/>
  <c r="H54" i="6" s="1"/>
  <c r="P54" i="6" s="1"/>
  <c r="F53" i="6"/>
  <c r="H53" i="6" s="1"/>
  <c r="P53" i="6" s="1"/>
  <c r="F52" i="6"/>
  <c r="H52" i="6" s="1"/>
  <c r="P52" i="6" s="1"/>
  <c r="F51" i="6"/>
  <c r="H51" i="6" s="1"/>
  <c r="P51" i="6" s="1"/>
  <c r="F50" i="6"/>
  <c r="H50" i="6" s="1"/>
  <c r="P50" i="6" s="1"/>
  <c r="F49" i="6"/>
  <c r="H49" i="6" s="1"/>
  <c r="P49" i="6" s="1"/>
  <c r="F48" i="6"/>
  <c r="H48" i="6" s="1"/>
  <c r="P48" i="6" s="1"/>
  <c r="F47" i="6"/>
  <c r="H47" i="6" s="1"/>
  <c r="P47" i="6" s="1"/>
  <c r="F46" i="6"/>
  <c r="H46" i="6" s="1"/>
  <c r="P46" i="6" s="1"/>
  <c r="F45" i="6"/>
  <c r="H45" i="6" s="1"/>
  <c r="P45" i="6" s="1"/>
  <c r="F44" i="6"/>
  <c r="H44" i="6" s="1"/>
  <c r="P44" i="6" s="1"/>
  <c r="F43" i="6"/>
  <c r="H43" i="6" s="1"/>
  <c r="P43" i="6" s="1"/>
  <c r="F42" i="6"/>
  <c r="H42" i="6" s="1"/>
  <c r="P42" i="6" s="1"/>
  <c r="F41" i="6"/>
  <c r="H41" i="6" s="1"/>
  <c r="P41" i="6" s="1"/>
  <c r="F40" i="6"/>
  <c r="H40" i="6" s="1"/>
  <c r="P40" i="6" s="1"/>
  <c r="F39" i="6"/>
  <c r="H39" i="6" s="1"/>
  <c r="P39" i="6" s="1"/>
  <c r="F38" i="6"/>
  <c r="H38" i="6" s="1"/>
  <c r="P38" i="6" s="1"/>
  <c r="F37" i="6"/>
  <c r="H37" i="6" s="1"/>
  <c r="P37" i="6" s="1"/>
  <c r="F36" i="6"/>
  <c r="H36" i="6" s="1"/>
  <c r="P36" i="6" s="1"/>
  <c r="F35" i="6"/>
  <c r="H35" i="6" s="1"/>
  <c r="P35" i="6" s="1"/>
  <c r="F34" i="6"/>
  <c r="H34" i="6" s="1"/>
  <c r="P34" i="6" s="1"/>
  <c r="F33" i="6"/>
  <c r="H33" i="6" s="1"/>
  <c r="P33" i="6" s="1"/>
  <c r="F32" i="6"/>
  <c r="H32" i="6" s="1"/>
  <c r="P32" i="6" s="1"/>
  <c r="F31" i="6"/>
  <c r="H31" i="6" s="1"/>
  <c r="P31" i="6" s="1"/>
  <c r="F30" i="6"/>
  <c r="H30" i="6" s="1"/>
  <c r="P30" i="6" s="1"/>
  <c r="F29" i="6"/>
  <c r="H29" i="6" s="1"/>
  <c r="P29" i="6" s="1"/>
  <c r="H28" i="6"/>
  <c r="P28" i="6" s="1"/>
  <c r="F28" i="6"/>
  <c r="F27" i="6"/>
  <c r="H27" i="6" s="1"/>
  <c r="P27" i="6" s="1"/>
  <c r="F26" i="6"/>
  <c r="H26" i="6" s="1"/>
  <c r="P26" i="6" s="1"/>
  <c r="F25" i="6"/>
  <c r="H25" i="6" s="1"/>
  <c r="P25" i="6" s="1"/>
  <c r="F24" i="6"/>
  <c r="H24" i="6" s="1"/>
  <c r="P24" i="6" s="1"/>
  <c r="F23" i="6"/>
  <c r="H23" i="6" s="1"/>
  <c r="P23" i="6" s="1"/>
  <c r="F22" i="6"/>
  <c r="H22" i="6" s="1"/>
  <c r="P22" i="6" s="1"/>
  <c r="H21" i="6"/>
  <c r="P21" i="6" s="1"/>
  <c r="F21" i="6"/>
  <c r="F20" i="6"/>
  <c r="H20" i="6" s="1"/>
  <c r="P20" i="6" s="1"/>
  <c r="F19" i="6"/>
  <c r="H19" i="6" s="1"/>
  <c r="P19" i="6" s="1"/>
  <c r="H18" i="6"/>
  <c r="P18" i="6" s="1"/>
  <c r="F18" i="6"/>
  <c r="F17" i="6"/>
  <c r="H17" i="6" s="1"/>
  <c r="P17" i="6" s="1"/>
  <c r="F16" i="6"/>
  <c r="H16" i="6" s="1"/>
  <c r="P16" i="6" s="1"/>
  <c r="F15" i="6"/>
  <c r="H15" i="6" s="1"/>
  <c r="P15" i="6" s="1"/>
  <c r="F14" i="6"/>
  <c r="H14" i="6" s="1"/>
  <c r="P14" i="6" s="1"/>
  <c r="F13" i="6"/>
  <c r="H13" i="6" s="1"/>
  <c r="P13" i="6" s="1"/>
  <c r="F12" i="6"/>
  <c r="H12" i="6" s="1"/>
  <c r="P12" i="6" s="1"/>
  <c r="F11" i="6"/>
  <c r="H11" i="6" s="1"/>
  <c r="P11" i="6" s="1"/>
  <c r="J17" i="9"/>
  <c r="J18" i="9" s="1"/>
  <c r="J5" i="9"/>
  <c r="J29" i="9"/>
  <c r="J30" i="9" s="1"/>
  <c r="F29" i="9"/>
  <c r="F33" i="9"/>
  <c r="F21" i="9"/>
  <c r="F9" i="9"/>
  <c r="B20" i="9" l="1"/>
  <c r="B21" i="9" s="1"/>
  <c r="B25" i="9"/>
  <c r="J20" i="9" l="1"/>
  <c r="B13" i="9"/>
  <c r="J8" i="9" l="1"/>
  <c r="J7" i="7" l="1"/>
  <c r="J6" i="7"/>
  <c r="J5" i="7"/>
  <c r="J4" i="7"/>
  <c r="C58" i="5"/>
  <c r="B32" i="9" l="1"/>
  <c r="B33" i="9" l="1"/>
  <c r="B37" i="9" s="1"/>
  <c r="J32" i="9" s="1"/>
</calcChain>
</file>

<file path=xl/sharedStrings.xml><?xml version="1.0" encoding="utf-8"?>
<sst xmlns="http://schemas.openxmlformats.org/spreadsheetml/2006/main" count="541" uniqueCount="352">
  <si>
    <t>Activo</t>
  </si>
  <si>
    <t xml:space="preserve">    A) ACTIVO NO CORRIENTE</t>
  </si>
  <si>
    <t xml:space="preserve">      I. Inmovilizado intangible</t>
  </si>
  <si>
    <t xml:space="preserve">      II. Inmovilizado material</t>
  </si>
  <si>
    <t xml:space="preserve">      III. Inversiones inmobiliarias</t>
  </si>
  <si>
    <t xml:space="preserve">      IV. Inversiones en empresas del grupo y asociadas a largo plazo</t>
  </si>
  <si>
    <t xml:space="preserve">      V. Inversiones financieras a largo plazo</t>
  </si>
  <si>
    <t xml:space="preserve">      VI. Activos por impuesto diferido</t>
  </si>
  <si>
    <t xml:space="preserve">    B) ACTIVO CORRIENTE</t>
  </si>
  <si>
    <t xml:space="preserve">      I. Activos no corrientes mantenidos para la venta</t>
  </si>
  <si>
    <t xml:space="preserve">      II. Existencias</t>
  </si>
  <si>
    <t xml:space="preserve">      III. Deudores y otras cuentas a cobrar</t>
  </si>
  <si>
    <t xml:space="preserve">      IV. Inversiones en empresas del grupo y asociadas a corto plazo</t>
  </si>
  <si>
    <t xml:space="preserve">      V. Inversiones financieras a corto plazo</t>
  </si>
  <si>
    <t xml:space="preserve">      VI. Periodificaciones a corto plazo</t>
  </si>
  <si>
    <t xml:space="preserve">      VII. Efectivo y otros activos líquidos equivalentes</t>
  </si>
  <si>
    <t xml:space="preserve">    TOTAL ACTIVO (A + B)</t>
  </si>
  <si>
    <t>Patrimonio Neto y Pasivo</t>
  </si>
  <si>
    <t xml:space="preserve">    A) PATRIMONIO NETO</t>
  </si>
  <si>
    <t xml:space="preserve">      A1) Fondos propios</t>
  </si>
  <si>
    <t xml:space="preserve">        I. Capital</t>
  </si>
  <si>
    <t xml:space="preserve">        II. Prima de emisión</t>
  </si>
  <si>
    <t xml:space="preserve">        III. Reservas</t>
  </si>
  <si>
    <t xml:space="preserve">    B) PASIVO NO CORRIENTE</t>
  </si>
  <si>
    <t xml:space="preserve">      IV. Pasivos por impuesto diferido</t>
  </si>
  <si>
    <t xml:space="preserve">    C) PASIVO CORRIENTE</t>
  </si>
  <si>
    <t xml:space="preserve">      II. Provisiones a corto plazo</t>
  </si>
  <si>
    <t xml:space="preserve">      IV. Deudas con empresas del grupo y asociadas a corto plazo</t>
  </si>
  <si>
    <t xml:space="preserve">      V. Acreedores comerciales y otras cuentas a pagar</t>
  </si>
  <si>
    <t xml:space="preserve">      VII. Otros acreedores</t>
  </si>
  <si>
    <t xml:space="preserve">    TOTAL PATRIMONIO NETO Y PASIVO (A + B + C)</t>
  </si>
  <si>
    <t>Pérdidas y Ganancias</t>
  </si>
  <si>
    <t xml:space="preserve">    A) RESULTADOS DE EXPLOTACIÓN</t>
  </si>
  <si>
    <t xml:space="preserve">    B) RESULTADO FINANCIERO</t>
  </si>
  <si>
    <t xml:space="preserve">    C) RESULTADO ANTES DE IMPUESTOS</t>
  </si>
  <si>
    <t xml:space="preserve">    D) RESULTADO</t>
  </si>
  <si>
    <t>A) ACTIVO NO CORRIENTE</t>
  </si>
  <si>
    <t>I Inmovilizado intangible</t>
  </si>
  <si>
    <t>II Inmovilizado material</t>
  </si>
  <si>
    <t>III Inv. en emp. del grupo y asoc. a largo plazo</t>
  </si>
  <si>
    <t>V Inversiones financieras a largo plazo</t>
  </si>
  <si>
    <t>B) ACTIVO CORRIENTE</t>
  </si>
  <si>
    <t>I Existencias</t>
  </si>
  <si>
    <t>II Deudores comerc. y otras cuentas a cobrar</t>
  </si>
  <si>
    <t>IV Inv. en emp. del grupo y asoc. a corto plazo</t>
  </si>
  <si>
    <t>III Inversiones financieras a corto plazo</t>
  </si>
  <si>
    <t>IV Periodificaciones a corto plazo</t>
  </si>
  <si>
    <t>V Efectivo y otros activos líquidos equiv.</t>
  </si>
  <si>
    <t>TOTAL ACTIVO</t>
  </si>
  <si>
    <t>A) PATRIMONIO NETO</t>
  </si>
  <si>
    <t>A-1) Fondos propios</t>
  </si>
  <si>
    <t>I Capital</t>
  </si>
  <si>
    <t>II Prima de emisión</t>
  </si>
  <si>
    <t>III Reservas</t>
  </si>
  <si>
    <t>IV Resultado del ejercicio</t>
  </si>
  <si>
    <t>A-2) Subv., donaciones y legados recibidos</t>
  </si>
  <si>
    <t>B) PASIVO NO CORRIENTE</t>
  </si>
  <si>
    <t>I Deudas a largo plazo</t>
  </si>
  <si>
    <t>IV Pasivos por impuesto diferido</t>
  </si>
  <si>
    <t>C) PASIVO CORRIENTE</t>
  </si>
  <si>
    <t>I Deudas a corto plazo</t>
  </si>
  <si>
    <t>II Acreedores com. y otras cuentas a pagar</t>
  </si>
  <si>
    <t>TOTAL PATRIMONIO NETO Y PASIVO</t>
  </si>
  <si>
    <t>CUENTA DE RESULTADOS</t>
  </si>
  <si>
    <t>1. Importe neto de la cifra de negocios</t>
  </si>
  <si>
    <t>2. Aprovisionamientos</t>
  </si>
  <si>
    <t>3. Otros ingresos de explotación</t>
  </si>
  <si>
    <t>4. Gastos de personal</t>
  </si>
  <si>
    <t>5. Otros gastos de explotación</t>
  </si>
  <si>
    <t>6. Amortización del inmovilizado</t>
  </si>
  <si>
    <t>9. Imputación de subvenc. de inmov. no financ.</t>
  </si>
  <si>
    <t>7. Deterioro y resultado por enaj. del inmov.</t>
  </si>
  <si>
    <t>A1) RESULTADO DE EXPLOTACIÓN</t>
  </si>
  <si>
    <t>8. Ingresos financieros</t>
  </si>
  <si>
    <t>    b) De valores negociables y otros instr. fin.</t>
  </si>
  <si>
    <t>        a) De empresas del grupo y asociadas</t>
  </si>
  <si>
    <t>        b) De terceros</t>
  </si>
  <si>
    <t>    c) Imputación de subv. y donac. de carácter fin.</t>
  </si>
  <si>
    <t>9. Gastos financieros</t>
  </si>
  <si>
    <t>    b) Por deudas con terceros</t>
  </si>
  <si>
    <t>10. Variación de valor razonable en instr. fin.</t>
  </si>
  <si>
    <t>11. Diferencias de cambio</t>
  </si>
  <si>
    <t>A2) RESULTADO ANTES DE IMPUESTOS</t>
  </si>
  <si>
    <t>12. Impuestos sobre beneficios</t>
  </si>
  <si>
    <t>A3) RESULTADO DEL EJERCICIO</t>
  </si>
  <si>
    <t>III Inversiones inmobiliarias</t>
  </si>
  <si>
    <t>IV Inv. en emp. del grupo y asoc. a largo plazo</t>
  </si>
  <si>
    <t>VI Activos por impuesto diferido</t>
  </si>
  <si>
    <t>VI Deudas no comerciales corrientes</t>
  </si>
  <si>
    <t>I Activos no corrientes mantenidos para la venta</t>
  </si>
  <si>
    <t>II Existencias</t>
  </si>
  <si>
    <t>III Deudores comerc. y otras cuentas a cobrar</t>
  </si>
  <si>
    <t>V Inversiones financieras a corto plazo</t>
  </si>
  <si>
    <t>VI Periodificaciones a corto plazo</t>
  </si>
  <si>
    <t>VII Efectivo y otros activos líquidos equiv.</t>
  </si>
  <si>
    <t>IV Acciones y particip en patrimonio propias</t>
  </si>
  <si>
    <t>V Resultado de ejercicions anteriores</t>
  </si>
  <si>
    <t>VI Otras aportaciones de socios</t>
  </si>
  <si>
    <t>VII Resultado del ejercicio</t>
  </si>
  <si>
    <t>VIII Dividendo a cuenta</t>
  </si>
  <si>
    <t>IX Otros instrumentos de patrimonio</t>
  </si>
  <si>
    <t>A-2) Ajustes por cambios de valor</t>
  </si>
  <si>
    <t>A-3) Subv., donaciones y legados recibidos</t>
  </si>
  <si>
    <t>I Provisiones a largo plazo</t>
  </si>
  <si>
    <t>II Deudas a largo plazo (entidades de crédito)</t>
  </si>
  <si>
    <t>III Deudas con emp del gpo y asoc a l/plazo</t>
  </si>
  <si>
    <t>V Periodificaciones a l/plazo</t>
  </si>
  <si>
    <t>VI Acreedores comerciales no corrientes</t>
  </si>
  <si>
    <t>VII Deuda con caracteristicas especiales a l/plazo</t>
  </si>
  <si>
    <t>I Pasivos vinculados con activ no corrient para la vta</t>
  </si>
  <si>
    <t>II Provisiones a corto plazo</t>
  </si>
  <si>
    <t>III Deudas a corto plazo (entidades crédito)</t>
  </si>
  <si>
    <t>V Acreedores com. y otras cuentas a pagar</t>
  </si>
  <si>
    <t>VI Periodificaciones a c/plazo</t>
  </si>
  <si>
    <t>VII Deuda con caracteristicas especiales a c/plazo</t>
  </si>
  <si>
    <t>CUENTA DE PÉRDIDAS Y GANANCIAS</t>
  </si>
  <si>
    <t xml:space="preserve">2. Variación de existencias </t>
  </si>
  <si>
    <t>3. Trabajos realizados para la emp para su activo</t>
  </si>
  <si>
    <t>4. Aprovisionamientos</t>
  </si>
  <si>
    <t>5. Otros ingresos de explotación</t>
  </si>
  <si>
    <t>6. Gastos de personal</t>
  </si>
  <si>
    <t>7. Otros gastos de explotación</t>
  </si>
  <si>
    <t>8. Amortización del inmovilizado</t>
  </si>
  <si>
    <t>10. Excesos de provisiones</t>
  </si>
  <si>
    <t>11. Deterioro y resultado por enaj. del inmov.</t>
  </si>
  <si>
    <t>12. Diferencia negativa de combinaciones de negocio</t>
  </si>
  <si>
    <t>13. Otros resultados</t>
  </si>
  <si>
    <t>14. Ingresos financieros</t>
  </si>
  <si>
    <t xml:space="preserve">   a) De participaciones en instrumentos de patrimonio</t>
  </si>
  <si>
    <t xml:space="preserve">        a) En empresas del grupo y asociadas</t>
  </si>
  <si>
    <t xml:space="preserve">        b) En terceros</t>
  </si>
  <si>
    <t>15. Gastos financieros</t>
  </si>
  <si>
    <t>    a) Por deudas con emp del gpo y asociadas</t>
  </si>
  <si>
    <t>16. Variación de valor razonable en instr. fin.</t>
  </si>
  <si>
    <t>17. Diferencias de cambio</t>
  </si>
  <si>
    <t>18. Deterioro y rdo por enajenac de instrum financ</t>
  </si>
  <si>
    <t>A2) RESULTADO FINANCIERO</t>
  </si>
  <si>
    <t>A3) RESULTADO ANTES DE IMPUESTOS</t>
  </si>
  <si>
    <t>A4) RESULTADO DEL EJERCICIO</t>
  </si>
  <si>
    <t>ACTIVO</t>
  </si>
  <si>
    <t>PASIVO</t>
  </si>
  <si>
    <t xml:space="preserve">        IV. Resultados de ejercicios anteriores</t>
  </si>
  <si>
    <t xml:space="preserve">        V. Resultado del ejercicio</t>
  </si>
  <si>
    <t xml:space="preserve">      A2) Ajustes por cambio de valor</t>
  </si>
  <si>
    <t xml:space="preserve">      A3) Subvenciones</t>
  </si>
  <si>
    <t xml:space="preserve">      I. Provisiones a largo plazo</t>
  </si>
  <si>
    <t xml:space="preserve">      III. Deudas con empresas del grupo y asociadas a largo plazo</t>
  </si>
  <si>
    <t xml:space="preserve">      I. Pasivo vinculados con activos no corrientes</t>
  </si>
  <si>
    <t xml:space="preserve">      1. Ventas</t>
  </si>
  <si>
    <t xml:space="preserve">      2. Ingresos por arrendamientos</t>
  </si>
  <si>
    <t xml:space="preserve">      3. Variación de existencias</t>
  </si>
  <si>
    <t xml:space="preserve">      4. Trabajos realizados por la empresa para su activo</t>
  </si>
  <si>
    <t xml:space="preserve">      5. Aprovisionamientos</t>
  </si>
  <si>
    <t xml:space="preserve">      6. Otros ingresos de explotación.</t>
  </si>
  <si>
    <t xml:space="preserve">      7. Gastos de personal</t>
  </si>
  <si>
    <t xml:space="preserve">      8. Otros gastos de explotación.</t>
  </si>
  <si>
    <t xml:space="preserve">      9. Amortización del inmovilizado</t>
  </si>
  <si>
    <t xml:space="preserve">      10. Imputación de subvenciones</t>
  </si>
  <si>
    <t xml:space="preserve">      11. Otros resultados.</t>
  </si>
  <si>
    <t xml:space="preserve">      12. Ingresos financieros.</t>
  </si>
  <si>
    <t xml:space="preserve">      13. Gastos financieros.</t>
  </si>
  <si>
    <t xml:space="preserve">      14. Diferencias de cambio.</t>
  </si>
  <si>
    <t xml:space="preserve">        a) Incorporación al activo de gastos financieros</t>
  </si>
  <si>
    <t xml:space="preserve">        b) Ingresos financieros derivados de convenios de acreedores</t>
  </si>
  <si>
    <t xml:space="preserve">        c) Resto de ingresos y gastos</t>
  </si>
  <si>
    <t xml:space="preserve">      15. Impuestos sobre beneficios.</t>
  </si>
  <si>
    <t xml:space="preserve">      II. Deudas financieras a largo plazo</t>
  </si>
  <si>
    <t xml:space="preserve">      III. Deudas financieras a corto plazo</t>
  </si>
  <si>
    <t>IV Deudas con empresas del grupo y asoc.a cp (cuenta corriente)</t>
  </si>
  <si>
    <t>Ticker</t>
  </si>
  <si>
    <t>Company Name</t>
  </si>
  <si>
    <t>Industry</t>
  </si>
  <si>
    <t>Global Region</t>
  </si>
  <si>
    <t>CBOT</t>
  </si>
  <si>
    <t>CBo Territoria SA</t>
  </si>
  <si>
    <t>Real Estate Management and Development</t>
  </si>
  <si>
    <t>Europe</t>
  </si>
  <si>
    <t>FPO</t>
  </si>
  <si>
    <t>First Property Group plc</t>
  </si>
  <si>
    <t>INP</t>
  </si>
  <si>
    <t>Inpro S.A.</t>
  </si>
  <si>
    <t>PREMIA</t>
  </si>
  <si>
    <t>Premia S.A.</t>
  </si>
  <si>
    <t>INR1L</t>
  </si>
  <si>
    <t>Special Closed-Ended Type Real Estate Investment Company INVL BALTIC REAL ESTATE</t>
  </si>
  <si>
    <t>TR61</t>
  </si>
  <si>
    <t>TMM Real Estate Development Plc</t>
  </si>
  <si>
    <t>Beta (Yahoo Finance)</t>
  </si>
  <si>
    <t>Beta desapalancada</t>
  </si>
  <si>
    <t>Mediana</t>
  </si>
  <si>
    <t>Date updated:</t>
  </si>
  <si>
    <t>YouTube Video explaining estimation choices and process.</t>
  </si>
  <si>
    <t>Created by:</t>
  </si>
  <si>
    <t>Aswath Damodaran, adamodar@stern.nyu.edu</t>
  </si>
  <si>
    <t>What is this data?</t>
  </si>
  <si>
    <t>Beta, Unlevered beta and other risk measures</t>
  </si>
  <si>
    <t>Western Europe</t>
  </si>
  <si>
    <t>Home Page:</t>
  </si>
  <si>
    <t>http://www.damodaran.com</t>
  </si>
  <si>
    <t>Data website:</t>
  </si>
  <si>
    <t>Companies in each industry:</t>
  </si>
  <si>
    <t>Variable definitions:</t>
  </si>
  <si>
    <t>Do you want to use marginal or effective tax rates in unlevering betas?</t>
  </si>
  <si>
    <t>Marginal</t>
  </si>
  <si>
    <t>If marginal tax rate, enter the marginal tax rate to use</t>
  </si>
  <si>
    <t>Industry Name</t>
  </si>
  <si>
    <t>Number of firms</t>
  </si>
  <si>
    <t xml:space="preserve">Beta </t>
  </si>
  <si>
    <t>D/E Ratio</t>
  </si>
  <si>
    <t>Effective Tax rate</t>
  </si>
  <si>
    <t>Unlevered beta</t>
  </si>
  <si>
    <t>Cash/Firm value</t>
  </si>
  <si>
    <t>Unlevered beta corrected for cash</t>
  </si>
  <si>
    <t>HiLo Risk</t>
  </si>
  <si>
    <t>Standard deviation of equity</t>
  </si>
  <si>
    <t>Standard deviation in operating income (last 10 years)</t>
  </si>
  <si>
    <t>Advertising</t>
  </si>
  <si>
    <t>Aerospace/Defense</t>
  </si>
  <si>
    <t>Air Transport</t>
  </si>
  <si>
    <t>Apparel</t>
  </si>
  <si>
    <t>Auto &amp; Truck</t>
  </si>
  <si>
    <t>Auto Parts</t>
  </si>
  <si>
    <t>Bank (Money Center)</t>
  </si>
  <si>
    <t>NA</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</si>
  <si>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</si>
  <si>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</si>
  <si>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</si>
  <si>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</si>
  <si>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</si>
  <si>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</si>
  <si>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</si>
  <si>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</si>
  <si>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</si>
  <si>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</si>
  <si>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</si>
  <si>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</si>
  <si>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</si>
  <si>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</si>
  <si>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</si>
  <si>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</si>
  <si>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</si>
  <si>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</si>
  <si>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</si>
  <si>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</si>
  <si>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</si>
  <si>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</si>
  <si>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</si>
  <si>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</si>
  <si>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</si>
  <si>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</si>
  <si>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</si>
  <si>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</si>
  <si>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</si>
  <si>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</si>
  <si>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</si>
  <si>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</si>
  <si>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</si>
  <si>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</si>
  <si>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</si>
  <si>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</si>
  <si>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</si>
  <si>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</si>
  <si>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</si>
  <si>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</si>
  <si>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</si>
  <si>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</si>
  <si>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</si>
  <si>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</si>
  <si>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</si>
  <si>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</si>
  <si>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</si>
  <si>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</si>
  <si>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</si>
  <si>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</si>
  <si>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</si>
  <si>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</si>
  <si>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</si>
  <si>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</si>
  <si>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Publishing &amp; Newspapers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</si>
  <si>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</si>
  <si>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</si>
  <si>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</si>
  <si>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</si>
  <si>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</si>
  <si>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</si>
  <si>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</si>
  <si>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</si>
  <si>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</si>
  <si>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</si>
  <si>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</si>
  <si>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</si>
  <si>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</si>
  <si>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</si>
  <si>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</si>
  <si>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</si>
  <si>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</si>
  <si>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</si>
  <si>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</si>
  <si>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</si>
  <si>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</si>
  <si>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</si>
  <si>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</si>
  <si>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</si>
  <si>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</si>
  <si>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</si>
  <si>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</si>
  <si>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</si>
  <si>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</si>
  <si>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</si>
  <si>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</si>
  <si>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Total Market</t>
  </si>
  <si>
    <t>Total Market (without financials)</t>
  </si>
  <si>
    <t>Emerging Markets</t>
  </si>
  <si>
    <t>2020</t>
  </si>
  <si>
    <t>ESTIMACIÓN DEL COSTE DEL CAPITAL MEDIO PONDERADO</t>
  </si>
  <si>
    <t>COSTE DE LA DEUDA FINANCIERA</t>
  </si>
  <si>
    <t>COSTE DEL CAPITAL MEDIO PONDERADO</t>
  </si>
  <si>
    <t>Tipo sin riesgo</t>
  </si>
  <si>
    <t>kd</t>
  </si>
  <si>
    <t>DF/(DF+E)</t>
  </si>
  <si>
    <t>Prima de mercado</t>
  </si>
  <si>
    <t>kd desp. impuestos</t>
  </si>
  <si>
    <t>DF/E</t>
  </si>
  <si>
    <t>Beta reapalancada</t>
  </si>
  <si>
    <t>Prima de liquidez</t>
  </si>
  <si>
    <t>ke</t>
  </si>
  <si>
    <t>WACC</t>
  </si>
  <si>
    <t>COSTE DE LOS FONDOS PROPIOS BODEGA</t>
  </si>
  <si>
    <t>COSTE DE LOS FONDOS PROPIOS HOTEL</t>
  </si>
  <si>
    <t>COSTE DE LOS FONDOS PROPIOS PROMOTORA</t>
  </si>
  <si>
    <t>Tipo impositivo</t>
  </si>
  <si>
    <t>Country</t>
  </si>
  <si>
    <t>FRA</t>
  </si>
  <si>
    <t>GBR</t>
  </si>
  <si>
    <t>POL</t>
  </si>
  <si>
    <t>GRC</t>
  </si>
  <si>
    <t>LTU</t>
  </si>
  <si>
    <t>DEU</t>
  </si>
  <si>
    <t>No tiene Beta en YAHOO FINANCE</t>
  </si>
  <si>
    <t>Beta negativa descartada por dato incoherente</t>
  </si>
  <si>
    <t>Descartada por exceso de volatilidad</t>
  </si>
  <si>
    <t>https://pages.stern.nyu.edu/~adamodar/New_Home_Page/data.html</t>
  </si>
  <si>
    <t>https://pages.stern.nyu.edu/~adamodar/pc/datasets/indname.xls</t>
  </si>
  <si>
    <t>https://pages.stern.nyu.edu/~adamodar/New_Home_Page/datafile/variable.htm</t>
  </si>
  <si>
    <t>Beta over time</t>
  </si>
  <si>
    <t>2021</t>
  </si>
  <si>
    <t>2022</t>
  </si>
  <si>
    <t>Average: 2020-24</t>
  </si>
  <si>
    <t>Retail (REITs)</t>
  </si>
  <si>
    <t>Total Debt/Equity (2023)</t>
  </si>
  <si>
    <t>Effective Tax Rate - (Ratio) (2023)</t>
  </si>
  <si>
    <t>EBIT Margin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</si>
</sst>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_(* #,##0_);_(* \(#,##0\);_(* &quot;-&quot;??_);_(@_)"/>
    <numFmt numFmtId="166" formatCode="#,##0_ ;[Red]\-#,##0\ "/>
    <numFmt numFmtId="167" formatCode="0.0000"/>
    <numFmt numFmtId="168" formatCode="0.000%"/>
  </numFmts>
  <fonts count="24" x14ac:knownFonts="1">
    <font>
      <sz val="11"/>
      <color theme="1"/>
      <name val="Calibri"/>
      <family val="2"/>
      <scheme val="minor"/>
    </font>
    <font>
      <sz val="10"/>
      <name val="Arial"/>
      <family val="2"/>
    </font>
    <font>
      <b/>
      <sz val="11"/>
      <name val="Arial"/>
      <family val="2"/>
    </font>
    <font>
      <b/>
      <sz val="10"/>
      <name val="Arial"/>
      <family val="2"/>
    </font>
    <font>
      <sz val="11"/>
      <name val="Arial"/>
      <family val="2"/>
    </font>
    <font>
      <sz val="8"/>
      <name val="Arial"/>
      <family val="2"/>
    </font>
    <font>
      <i/>
      <sz val="10"/>
      <name val="Arial"/>
      <family val="2"/>
    </font>
    <font>
      <b/>
      <i/>
      <sz val="10"/>
      <name val="Arial"/>
      <family val="2"/>
    </font>
    <font>
      <i/>
      <sz val="11"/>
      <name val="Calibri"/>
      <family val="2"/>
      <scheme val="minor"/>
    </font>
    <font>
      <sz val="11"/>
      <name val="Calibri"/>
      <family val="2"/>
      <scheme val="minor"/>
    </font>
    <font>
      <b/>
      <sz val="11"/>
      <name val="Calibri"/>
      <family val="2"/>
      <scheme val="minor"/>
    </font>
    <font>
      <sz val="11"/>
      <color theme="1"/>
      <name val="Calibri"/>
      <family val="2"/>
      <scheme val="minor"/>
    </font>
    <font>
      <sz val="12"/>
      <color theme="1"/>
      <name val="Calibri"/>
      <family val="2"/>
      <scheme val="minor"/>
    </font>
    <font>
      <b/>
      <sz val="12"/>
      <color rgb="FF000000"/>
      <name val="Calibri"/>
      <family val="2"/>
      <scheme val="minor"/>
    </font>
    <font>
      <i/>
      <sz val="12"/>
      <color rgb="FF000000"/>
      <name val="Calibri"/>
      <family val="2"/>
      <scheme val="minor"/>
    </font>
    <font>
      <u/>
      <sz val="12"/>
      <color theme="10"/>
      <name val="Calibri"/>
      <family val="2"/>
      <scheme val="minor"/>
    </font>
    <font>
      <sz val="12"/>
      <name val="Calibri"/>
      <family val="2"/>
      <scheme val="minor"/>
    </font>
    <font>
      <sz val="12"/>
      <color rgb="FF000000"/>
      <name val="Calibri"/>
      <family val="2"/>
      <scheme val="minor"/>
    </font>
    <font>
      <b/>
      <sz val="12"/>
      <color theme="1"/>
      <name val="Calibri"/>
      <family val="2"/>
      <scheme val="minor"/>
    </font>
    <font>
      <i/>
      <sz val="10"/>
      <name val="Verdana"/>
      <family val="2"/>
    </font>
    <font>
      <sz val="10"/>
      <name val="Verdana"/>
      <family val="2"/>
    </font>
    <font>
      <b/>
      <sz val="10"/>
      <name val="Verdana"/>
      <family val="2"/>
    </font>
    <font>
      <b/>
      <sz val="10"/>
      <color indexed="9"/>
      <name val="Arial"/>
      <family val="2"/>
    </font>
    <font>
      <u/>
      <sz val="11"/>
      <color theme="1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rgb="FF000000"/>
      </patternFill>
    </fill>
    <fill>
      <patternFill patternType="solid">
        <fgColor theme="0" tint="-0.249977111117893"/>
        <bgColor indexed="64"/>
      </patternFill>
    </fill>
    <fill>
      <patternFill patternType="solid">
        <fgColor rgb="FFFFFF00"/>
        <bgColor indexed="64"/>
      </patternFill>
    </fill>
    <fill>
      <patternFill patternType="solid">
        <fgColor indexed="23"/>
        <bgColor indexed="64"/>
      </patternFill>
    </fill>
  </fills>
  <borders count="4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medium">
        <color rgb="FF000000"/>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style="thin">
        <color indexed="64"/>
      </right>
      <top style="thin">
        <color indexed="64"/>
      </top>
      <bottom/>
      <diagonal/>
    </border>
    <border>
      <left style="medium">
        <color rgb="FF000000"/>
      </left>
      <right style="thin">
        <color indexed="64"/>
      </right>
      <top/>
      <bottom/>
      <diagonal/>
    </border>
    <border>
      <left style="medium">
        <color rgb="FF000000"/>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1">
    <xf numFmtId="0" fontId="0" fillId="0" borderId="0"/>
    <xf numFmtId="0" fontId="1" fillId="0" borderId="0"/>
    <xf numFmtId="164" fontId="1" fillId="0" borderId="0" applyFont="0" applyFill="0" applyBorder="0" applyAlignment="0" applyProtection="0"/>
    <xf numFmtId="0" fontId="5" fillId="0" borderId="0"/>
    <xf numFmtId="9" fontId="1" fillId="0" borderId="0" applyFont="0" applyFill="0" applyBorder="0" applyAlignment="0" applyProtection="0"/>
    <xf numFmtId="43" fontId="1" fillId="0" borderId="0" applyFont="0" applyFill="0" applyBorder="0" applyAlignment="0" applyProtection="0"/>
    <xf numFmtId="9" fontId="11" fillId="0" borderId="0" applyFont="0" applyFill="0" applyBorder="0" applyAlignment="0" applyProtection="0"/>
    <xf numFmtId="0" fontId="12" fillId="0" borderId="0"/>
    <xf numFmtId="0" fontId="15" fillId="0" borderId="0" applyNumberFormat="0" applyFill="0" applyBorder="0" applyAlignment="0" applyProtection="0"/>
    <xf numFmtId="9" fontId="12" fillId="0" borderId="0" applyFont="0" applyFill="0" applyBorder="0" applyAlignment="0" applyProtection="0"/>
    <xf numFmtId="0" fontId="23" fillId="0" borderId="0" applyNumberFormat="0" applyFill="0" applyBorder="0" applyAlignment="0" applyProtection="0"/>
  </cellStyleXfs>
  <cellXfs count="150">
    <xf numFmtId="0" fontId="0" fillId="0" borderId="0" xfId="0"/>
    <xf numFmtId="0" fontId="3" fillId="2" borderId="8" xfId="0" applyFont="1" applyFill="1" applyBorder="1" applyAlignment="1">
      <alignment horizontal="center"/>
    </xf>
    <xf numFmtId="0" fontId="3" fillId="2" borderId="8" xfId="0" applyFont="1" applyFill="1" applyBorder="1"/>
    <xf numFmtId="3" fontId="3" fillId="2" borderId="8" xfId="0" applyNumberFormat="1" applyFont="1" applyFill="1" applyBorder="1" applyAlignment="1">
      <alignment horizontal="right"/>
    </xf>
    <xf numFmtId="0" fontId="3" fillId="2" borderId="9" xfId="0" applyFont="1" applyFill="1" applyBorder="1"/>
    <xf numFmtId="3" fontId="3" fillId="2" borderId="9" xfId="0" applyNumberFormat="1" applyFont="1" applyFill="1" applyBorder="1"/>
    <xf numFmtId="3" fontId="3" fillId="2" borderId="9" xfId="0" applyNumberFormat="1" applyFont="1" applyFill="1" applyBorder="1" applyAlignment="1">
      <alignment horizontal="right"/>
    </xf>
    <xf numFmtId="0" fontId="0" fillId="2" borderId="9" xfId="0" applyFill="1" applyBorder="1"/>
    <xf numFmtId="3" fontId="0" fillId="2" borderId="9" xfId="0" applyNumberFormat="1" applyFill="1" applyBorder="1" applyAlignment="1">
      <alignment horizontal="right"/>
    </xf>
    <xf numFmtId="0" fontId="3" fillId="2" borderId="0" xfId="0" applyFont="1" applyFill="1"/>
    <xf numFmtId="3" fontId="3" fillId="2" borderId="0" xfId="0" applyNumberFormat="1" applyFont="1" applyFill="1" applyAlignment="1">
      <alignment horizontal="right"/>
    </xf>
    <xf numFmtId="0" fontId="1" fillId="2" borderId="9" xfId="0" applyFont="1" applyFill="1" applyBorder="1"/>
    <xf numFmtId="1" fontId="3" fillId="2" borderId="8" xfId="0" applyNumberFormat="1" applyFont="1" applyFill="1" applyBorder="1" applyAlignment="1">
      <alignment horizontal="center"/>
    </xf>
    <xf numFmtId="0" fontId="6" fillId="2" borderId="9" xfId="0" applyFont="1" applyFill="1" applyBorder="1"/>
    <xf numFmtId="3" fontId="0" fillId="0" borderId="0" xfId="0" applyNumberFormat="1"/>
    <xf numFmtId="3" fontId="6" fillId="2" borderId="9" xfId="0" applyNumberFormat="1" applyFont="1" applyFill="1" applyBorder="1" applyAlignment="1">
      <alignment horizontal="right"/>
    </xf>
    <xf numFmtId="3" fontId="1" fillId="2" borderId="9" xfId="0" applyNumberFormat="1" applyFont="1" applyFill="1" applyBorder="1" applyAlignment="1">
      <alignment horizontal="right"/>
    </xf>
    <xf numFmtId="3" fontId="7" fillId="2" borderId="9" xfId="0" applyNumberFormat="1" applyFont="1" applyFill="1" applyBorder="1" applyAlignment="1">
      <alignment horizontal="right"/>
    </xf>
    <xf numFmtId="0" fontId="2" fillId="2" borderId="2" xfId="0" applyFont="1" applyFill="1" applyBorder="1"/>
    <xf numFmtId="0" fontId="2" fillId="2" borderId="1" xfId="0" applyFont="1" applyFill="1" applyBorder="1"/>
    <xf numFmtId="0" fontId="4" fillId="2" borderId="2" xfId="0" applyFont="1" applyFill="1" applyBorder="1"/>
    <xf numFmtId="0" fontId="4" fillId="2" borderId="6" xfId="0" applyFont="1" applyFill="1" applyBorder="1"/>
    <xf numFmtId="0" fontId="2" fillId="2" borderId="5" xfId="0" applyFont="1" applyFill="1" applyBorder="1"/>
    <xf numFmtId="0" fontId="2" fillId="2" borderId="1" xfId="0" applyFont="1" applyFill="1" applyBorder="1" applyAlignment="1">
      <alignment horizontal="center"/>
    </xf>
    <xf numFmtId="0" fontId="2" fillId="2" borderId="10" xfId="0" applyFont="1" applyFill="1" applyBorder="1" applyAlignment="1">
      <alignment horizontal="center"/>
    </xf>
    <xf numFmtId="165" fontId="2" fillId="2" borderId="1" xfId="2" applyNumberFormat="1" applyFont="1" applyFill="1" applyBorder="1" applyAlignment="1">
      <alignment horizontal="center" vertical="center" wrapText="1" shrinkToFit="1"/>
    </xf>
    <xf numFmtId="165" fontId="4" fillId="2" borderId="10" xfId="3" applyNumberFormat="1" applyFont="1" applyFill="1" applyBorder="1" applyAlignment="1">
      <alignment horizontal="center" vertical="center" wrapText="1" shrinkToFit="1"/>
    </xf>
    <xf numFmtId="165" fontId="4" fillId="2" borderId="2" xfId="0" applyNumberFormat="1" applyFont="1" applyFill="1" applyBorder="1" applyAlignment="1">
      <alignment horizontal="center" vertical="center" wrapText="1" shrinkToFit="1"/>
    </xf>
    <xf numFmtId="165" fontId="4" fillId="2" borderId="2" xfId="3" applyNumberFormat="1" applyFont="1" applyFill="1" applyBorder="1" applyAlignment="1">
      <alignment horizontal="center" vertical="center" wrapText="1" shrinkToFit="1"/>
    </xf>
    <xf numFmtId="165" fontId="4" fillId="2" borderId="7" xfId="3" applyNumberFormat="1" applyFont="1" applyFill="1" applyBorder="1" applyAlignment="1">
      <alignment horizontal="center" vertical="center" wrapText="1" shrinkToFit="1"/>
    </xf>
    <xf numFmtId="165" fontId="2" fillId="2" borderId="1" xfId="0" applyNumberFormat="1" applyFont="1" applyFill="1" applyBorder="1" applyAlignment="1">
      <alignment horizontal="center" vertical="center" wrapText="1" shrinkToFit="1"/>
    </xf>
    <xf numFmtId="166" fontId="2" fillId="2" borderId="3" xfId="0" applyNumberFormat="1" applyFont="1" applyFill="1" applyBorder="1" applyAlignment="1">
      <alignment horizontal="center"/>
    </xf>
    <xf numFmtId="0" fontId="2" fillId="2" borderId="2" xfId="0" applyFont="1" applyFill="1" applyBorder="1" applyAlignment="1">
      <alignment horizontal="center"/>
    </xf>
    <xf numFmtId="166" fontId="2" fillId="2" borderId="1" xfId="0" applyNumberFormat="1" applyFont="1" applyFill="1" applyBorder="1" applyAlignment="1">
      <alignment horizontal="center"/>
    </xf>
    <xf numFmtId="165" fontId="4" fillId="2" borderId="2" xfId="5" applyNumberFormat="1" applyFont="1" applyFill="1" applyBorder="1" applyAlignment="1">
      <alignment horizontal="center" vertical="center" wrapText="1" shrinkToFit="1"/>
    </xf>
    <xf numFmtId="166" fontId="2" fillId="2" borderId="0" xfId="0" applyNumberFormat="1" applyFont="1" applyFill="1" applyAlignment="1">
      <alignment horizontal="center"/>
    </xf>
    <xf numFmtId="165" fontId="2" fillId="2" borderId="2" xfId="5" applyNumberFormat="1" applyFont="1" applyFill="1" applyBorder="1" applyAlignment="1">
      <alignment horizontal="center" vertical="center" wrapText="1" shrinkToFit="1"/>
    </xf>
    <xf numFmtId="165" fontId="4" fillId="2" borderId="2" xfId="2" applyNumberFormat="1" applyFont="1" applyFill="1" applyBorder="1" applyAlignment="1">
      <alignment horizontal="center" vertical="center" wrapText="1" shrinkToFit="1"/>
    </xf>
    <xf numFmtId="165" fontId="4" fillId="2" borderId="2" xfId="4" applyNumberFormat="1" applyFont="1" applyFill="1" applyBorder="1" applyAlignment="1">
      <alignment horizontal="center" vertical="center" wrapText="1" shrinkToFit="1"/>
    </xf>
    <xf numFmtId="165" fontId="2" fillId="2" borderId="7" xfId="2" applyNumberFormat="1" applyFont="1" applyFill="1" applyBorder="1" applyAlignment="1">
      <alignment horizontal="center" vertical="center" wrapText="1" shrinkToFit="1"/>
    </xf>
    <xf numFmtId="165" fontId="4" fillId="2" borderId="7" xfId="2" applyNumberFormat="1" applyFont="1" applyFill="1" applyBorder="1" applyAlignment="1">
      <alignment horizontal="center" vertical="center" wrapText="1" shrinkToFit="1"/>
    </xf>
    <xf numFmtId="165" fontId="4" fillId="2" borderId="10" xfId="2" applyNumberFormat="1" applyFont="1" applyFill="1" applyBorder="1" applyAlignment="1">
      <alignment horizontal="center" vertical="center" wrapText="1" shrinkToFit="1"/>
    </xf>
    <xf numFmtId="165" fontId="4" fillId="2" borderId="7" xfId="5" applyNumberFormat="1" applyFont="1" applyFill="1" applyBorder="1" applyAlignment="1">
      <alignment horizontal="center" vertical="center" wrapText="1" shrinkToFit="1"/>
    </xf>
    <xf numFmtId="2" fontId="0" fillId="0" borderId="0" xfId="0" applyNumberFormat="1"/>
    <xf numFmtId="0" fontId="8" fillId="2" borderId="9" xfId="0" applyFont="1" applyFill="1" applyBorder="1"/>
    <xf numFmtId="3" fontId="8" fillId="2" borderId="9" xfId="0" applyNumberFormat="1" applyFont="1" applyFill="1" applyBorder="1" applyAlignment="1">
      <alignment horizontal="right"/>
    </xf>
    <xf numFmtId="3" fontId="9" fillId="2" borderId="9" xfId="0" applyNumberFormat="1" applyFont="1" applyFill="1" applyBorder="1" applyAlignment="1">
      <alignment horizontal="right"/>
    </xf>
    <xf numFmtId="0" fontId="10" fillId="2" borderId="9" xfId="0" applyFont="1" applyFill="1" applyBorder="1"/>
    <xf numFmtId="3" fontId="10" fillId="2" borderId="9" xfId="0" applyNumberFormat="1" applyFont="1" applyFill="1" applyBorder="1" applyAlignment="1">
      <alignment horizontal="right"/>
    </xf>
    <xf numFmtId="0" fontId="9" fillId="2" borderId="9" xfId="0" applyFont="1" applyFill="1" applyBorder="1"/>
    <xf numFmtId="3" fontId="9" fillId="2" borderId="9" xfId="0" applyNumberFormat="1" applyFont="1" applyFill="1" applyBorder="1"/>
    <xf numFmtId="0" fontId="9" fillId="2" borderId="0" xfId="0" applyFont="1" applyFill="1"/>
    <xf numFmtId="0" fontId="2" fillId="2" borderId="0" xfId="0" applyFont="1" applyFill="1" applyAlignment="1">
      <alignment horizontal="right"/>
    </xf>
    <xf numFmtId="165" fontId="2" fillId="2" borderId="1" xfId="4" applyNumberFormat="1" applyFont="1" applyFill="1" applyBorder="1" applyAlignment="1">
      <alignment horizontal="center" vertical="center" wrapText="1" shrinkToFit="1"/>
    </xf>
    <xf numFmtId="10" fontId="0" fillId="0" borderId="0" xfId="6" applyNumberFormat="1" applyFont="1"/>
    <xf numFmtId="10" fontId="0" fillId="0" borderId="0" xfId="0" applyNumberFormat="1"/>
    <xf numFmtId="4" fontId="0" fillId="0" borderId="0" xfId="0" applyNumberFormat="1"/>
    <xf numFmtId="4" fontId="0" fillId="0" borderId="1" xfId="0" applyNumberFormat="1" applyBorder="1"/>
    <xf numFmtId="0" fontId="0" fillId="0" borderId="1" xfId="0" applyBorder="1"/>
    <xf numFmtId="10" fontId="12" fillId="0" borderId="0" xfId="9" applyNumberFormat="1" applyFont="1" applyAlignment="1">
      <alignment horizontal="center"/>
    </xf>
    <xf numFmtId="0" fontId="22" fillId="6" borderId="0" xfId="1" applyFont="1" applyFill="1"/>
    <xf numFmtId="0" fontId="1" fillId="0" borderId="0" xfId="1"/>
    <xf numFmtId="10" fontId="1" fillId="0" borderId="20" xfId="1" applyNumberFormat="1" applyBorder="1"/>
    <xf numFmtId="0" fontId="1" fillId="0" borderId="17" xfId="1" applyBorder="1"/>
    <xf numFmtId="0" fontId="1" fillId="0" borderId="20" xfId="1" applyBorder="1"/>
    <xf numFmtId="168" fontId="1" fillId="0" borderId="8" xfId="1" applyNumberFormat="1" applyBorder="1"/>
    <xf numFmtId="168" fontId="1" fillId="0" borderId="8" xfId="4" applyNumberFormat="1" applyFont="1" applyBorder="1"/>
    <xf numFmtId="0" fontId="1" fillId="0" borderId="26" xfId="1" applyBorder="1"/>
    <xf numFmtId="0" fontId="1" fillId="0" borderId="27" xfId="1" applyBorder="1"/>
    <xf numFmtId="167" fontId="1" fillId="0" borderId="20" xfId="1" applyNumberFormat="1" applyBorder="1"/>
    <xf numFmtId="167" fontId="1" fillId="0" borderId="27" xfId="1" applyNumberFormat="1" applyBorder="1"/>
    <xf numFmtId="10" fontId="1" fillId="0" borderId="8" xfId="1" applyNumberFormat="1" applyBorder="1"/>
    <xf numFmtId="0" fontId="3" fillId="0" borderId="5" xfId="1" applyFont="1" applyBorder="1"/>
    <xf numFmtId="0" fontId="3" fillId="0" borderId="32" xfId="1" applyFont="1" applyBorder="1"/>
    <xf numFmtId="10" fontId="3" fillId="0" borderId="4" xfId="4" applyNumberFormat="1" applyFont="1" applyFill="1" applyBorder="1"/>
    <xf numFmtId="0" fontId="22" fillId="6" borderId="33" xfId="1" applyFont="1" applyFill="1" applyBorder="1"/>
    <xf numFmtId="0" fontId="22" fillId="6" borderId="34" xfId="1" applyFont="1" applyFill="1" applyBorder="1"/>
    <xf numFmtId="0" fontId="1" fillId="0" borderId="34" xfId="1" applyBorder="1"/>
    <xf numFmtId="0" fontId="22" fillId="6" borderId="35" xfId="1" applyFont="1" applyFill="1" applyBorder="1"/>
    <xf numFmtId="0" fontId="1" fillId="0" borderId="6" xfId="1" applyBorder="1"/>
    <xf numFmtId="0" fontId="1" fillId="0" borderId="3" xfId="1" applyBorder="1"/>
    <xf numFmtId="0" fontId="1" fillId="0" borderId="36" xfId="1" applyBorder="1"/>
    <xf numFmtId="10" fontId="1" fillId="0" borderId="37" xfId="1" applyNumberFormat="1" applyBorder="1"/>
    <xf numFmtId="10" fontId="1" fillId="0" borderId="38" xfId="1" applyNumberFormat="1" applyBorder="1"/>
    <xf numFmtId="0" fontId="1" fillId="0" borderId="16" xfId="1" applyBorder="1"/>
    <xf numFmtId="0" fontId="1" fillId="0" borderId="39" xfId="1" applyBorder="1"/>
    <xf numFmtId="10" fontId="1" fillId="0" borderId="40" xfId="1" applyNumberFormat="1" applyBorder="1"/>
    <xf numFmtId="0" fontId="1" fillId="0" borderId="41" xfId="1" applyBorder="1"/>
    <xf numFmtId="0" fontId="1" fillId="0" borderId="42" xfId="1" applyBorder="1"/>
    <xf numFmtId="10" fontId="1" fillId="0" borderId="8" xfId="4" applyNumberFormat="1" applyFont="1" applyBorder="1"/>
    <xf numFmtId="9" fontId="1" fillId="0" borderId="8" xfId="4" applyFont="1" applyBorder="1"/>
    <xf numFmtId="0" fontId="13" fillId="3" borderId="11" xfId="0" applyFont="1" applyFill="1" applyBorder="1" applyAlignment="1">
      <alignment horizontal="left"/>
    </xf>
    <xf numFmtId="0" fontId="13" fillId="3" borderId="16" xfId="0" applyFont="1" applyFill="1" applyBorder="1" applyAlignment="1">
      <alignment horizontal="left"/>
    </xf>
    <xf numFmtId="0" fontId="17" fillId="0" borderId="0" xfId="0" applyFont="1"/>
    <xf numFmtId="0" fontId="18" fillId="0" borderId="0" xfId="0" applyFont="1"/>
    <xf numFmtId="0" fontId="13" fillId="3" borderId="21" xfId="0" applyFont="1" applyFill="1" applyBorder="1" applyAlignment="1">
      <alignment horizontal="left"/>
    </xf>
    <xf numFmtId="0" fontId="0" fillId="0" borderId="0" xfId="0" applyAlignment="1">
      <alignment horizontal="center"/>
    </xf>
    <xf numFmtId="2" fontId="0" fillId="0" borderId="0" xfId="0" applyNumberFormat="1" applyAlignment="1">
      <alignment horizontal="center"/>
    </xf>
    <xf numFmtId="0" fontId="0" fillId="5" borderId="8" xfId="0" applyFill="1" applyBorder="1" applyAlignment="1">
      <alignment horizontal="center"/>
    </xf>
    <xf numFmtId="10" fontId="0" fillId="5" borderId="8" xfId="0" applyNumberFormat="1" applyFill="1" applyBorder="1" applyAlignment="1">
      <alignment horizontal="center"/>
    </xf>
    <xf numFmtId="0" fontId="19" fillId="0" borderId="8" xfId="0" applyFont="1" applyBorder="1" applyAlignment="1">
      <alignment wrapText="1"/>
    </xf>
    <xf numFmtId="0" fontId="19" fillId="0" borderId="8" xfId="0" applyFont="1" applyBorder="1" applyAlignment="1">
      <alignment horizontal="center" wrapText="1"/>
    </xf>
    <xf numFmtId="2" fontId="19" fillId="0" borderId="8" xfId="0" applyNumberFormat="1" applyFont="1" applyBorder="1" applyAlignment="1">
      <alignment horizontal="center" wrapText="1"/>
    </xf>
    <xf numFmtId="0" fontId="19" fillId="0" borderId="25" xfId="0" applyFont="1" applyBorder="1" applyAlignment="1">
      <alignment horizontal="center" wrapText="1"/>
    </xf>
    <xf numFmtId="10" fontId="0" fillId="0" borderId="26" xfId="0" applyNumberFormat="1" applyBorder="1" applyAlignment="1">
      <alignment horizontal="center"/>
    </xf>
    <xf numFmtId="2" fontId="19" fillId="0" borderId="25" xfId="0" applyNumberFormat="1" applyFont="1" applyBorder="1" applyAlignment="1">
      <alignment horizontal="center" wrapText="1"/>
    </xf>
    <xf numFmtId="0" fontId="0" fillId="0" borderId="8" xfId="0" applyBorder="1"/>
    <xf numFmtId="0" fontId="0" fillId="0" borderId="8" xfId="0" applyBorder="1" applyAlignment="1">
      <alignment horizontal="center"/>
    </xf>
    <xf numFmtId="2" fontId="0" fillId="0" borderId="8" xfId="0" applyNumberFormat="1" applyBorder="1" applyAlignment="1">
      <alignment horizontal="center"/>
    </xf>
    <xf numFmtId="10" fontId="0" fillId="0" borderId="8" xfId="0" applyNumberFormat="1" applyBorder="1" applyAlignment="1">
      <alignment horizontal="center"/>
    </xf>
    <xf numFmtId="167" fontId="0" fillId="0" borderId="8" xfId="0" applyNumberFormat="1" applyBorder="1" applyAlignment="1">
      <alignment horizontal="center"/>
    </xf>
    <xf numFmtId="10" fontId="20" fillId="0" borderId="8" xfId="0" applyNumberFormat="1" applyFont="1" applyBorder="1" applyAlignment="1">
      <alignment horizontal="center"/>
    </xf>
    <xf numFmtId="10" fontId="0" fillId="0" borderId="17" xfId="0" applyNumberFormat="1" applyBorder="1" applyAlignment="1">
      <alignment horizontal="center"/>
    </xf>
    <xf numFmtId="0" fontId="20" fillId="0" borderId="8" xfId="0" applyFont="1" applyBorder="1" applyAlignment="1">
      <alignment horizontal="center"/>
    </xf>
    <xf numFmtId="0" fontId="20" fillId="0" borderId="0" xfId="0" applyFont="1" applyAlignment="1">
      <alignment horizontal="center"/>
    </xf>
    <xf numFmtId="2" fontId="0" fillId="0" borderId="8" xfId="0" applyNumberFormat="1" applyBorder="1"/>
    <xf numFmtId="10" fontId="21" fillId="0" borderId="8" xfId="0" applyNumberFormat="1" applyFont="1" applyBorder="1" applyAlignment="1">
      <alignment horizontal="center"/>
    </xf>
    <xf numFmtId="10" fontId="18" fillId="0" borderId="17" xfId="0" applyNumberFormat="1" applyFont="1" applyBorder="1" applyAlignment="1">
      <alignment horizontal="center"/>
    </xf>
    <xf numFmtId="10" fontId="21" fillId="0" borderId="15" xfId="0" applyNumberFormat="1" applyFont="1" applyBorder="1" applyAlignment="1">
      <alignment horizontal="center"/>
    </xf>
    <xf numFmtId="10" fontId="18" fillId="0" borderId="22" xfId="0" applyNumberFormat="1" applyFont="1" applyBorder="1" applyAlignment="1">
      <alignment horizontal="center"/>
    </xf>
    <xf numFmtId="0" fontId="0" fillId="0" borderId="0" xfId="0" applyAlignment="1">
      <alignment horizontal="left"/>
    </xf>
    <xf numFmtId="0" fontId="0" fillId="0" borderId="5" xfId="0" applyBorder="1" applyAlignment="1">
      <alignment horizontal="center"/>
    </xf>
    <xf numFmtId="0" fontId="0" fillId="0" borderId="31" xfId="0" applyBorder="1" applyAlignment="1">
      <alignment horizontal="center"/>
    </xf>
    <xf numFmtId="0" fontId="0" fillId="0" borderId="4" xfId="0" applyBorder="1" applyAlignment="1">
      <alignment horizontal="center"/>
    </xf>
    <xf numFmtId="15" fontId="14" fillId="3" borderId="12" xfId="0" applyNumberFormat="1" applyFont="1" applyFill="1" applyBorder="1" applyAlignment="1">
      <alignment horizontal="left"/>
    </xf>
    <xf numFmtId="15" fontId="14" fillId="3" borderId="13" xfId="0" applyNumberFormat="1" applyFont="1" applyFill="1" applyBorder="1" applyAlignment="1">
      <alignment horizontal="left"/>
    </xf>
    <xf numFmtId="15" fontId="14" fillId="3" borderId="14" xfId="0" applyNumberFormat="1" applyFont="1" applyFill="1" applyBorder="1" applyAlignment="1">
      <alignment horizontal="left"/>
    </xf>
    <xf numFmtId="0" fontId="15" fillId="4" borderId="15" xfId="8" applyFill="1" applyBorder="1" applyAlignment="1">
      <alignment horizontal="left" vertical="top" wrapText="1"/>
    </xf>
    <xf numFmtId="0" fontId="15" fillId="4" borderId="9" xfId="8" applyFill="1" applyBorder="1" applyAlignment="1">
      <alignment horizontal="left" vertical="top" wrapText="1"/>
    </xf>
    <xf numFmtId="0" fontId="15" fillId="4" borderId="25" xfId="8" applyFill="1" applyBorder="1" applyAlignment="1">
      <alignment horizontal="left" vertical="top" wrapText="1"/>
    </xf>
    <xf numFmtId="0" fontId="15" fillId="3" borderId="17" xfId="8" applyFill="1" applyBorder="1" applyAlignment="1">
      <alignment horizontal="left"/>
    </xf>
    <xf numFmtId="0" fontId="15" fillId="3" borderId="18" xfId="8" applyFill="1" applyBorder="1" applyAlignment="1">
      <alignment horizontal="left"/>
    </xf>
    <xf numFmtId="0" fontId="15" fillId="3" borderId="19" xfId="8" applyFill="1" applyBorder="1" applyAlignment="1">
      <alignment horizontal="left"/>
    </xf>
    <xf numFmtId="0" fontId="16" fillId="3" borderId="17" xfId="0" applyFont="1" applyFill="1" applyBorder="1" applyAlignment="1">
      <alignment horizontal="left"/>
    </xf>
    <xf numFmtId="0" fontId="16" fillId="3" borderId="18" xfId="0" applyFont="1" applyFill="1" applyBorder="1" applyAlignment="1">
      <alignment horizontal="left"/>
    </xf>
    <xf numFmtId="0" fontId="16" fillId="3" borderId="20" xfId="0" applyFont="1" applyFill="1" applyBorder="1" applyAlignment="1">
      <alignment horizontal="left"/>
    </xf>
    <xf numFmtId="0" fontId="16" fillId="3" borderId="19" xfId="0" applyFont="1" applyFill="1" applyBorder="1" applyAlignment="1">
      <alignment horizontal="left"/>
    </xf>
    <xf numFmtId="15" fontId="15" fillId="3" borderId="17" xfId="8" applyNumberFormat="1" applyFill="1" applyBorder="1" applyAlignment="1">
      <alignment horizontal="left"/>
    </xf>
    <xf numFmtId="15" fontId="15" fillId="3" borderId="18" xfId="8" applyNumberFormat="1" applyFill="1" applyBorder="1" applyAlignment="1">
      <alignment horizontal="left"/>
    </xf>
    <xf numFmtId="15" fontId="15" fillId="3" borderId="19" xfId="8" applyNumberFormat="1" applyFill="1" applyBorder="1" applyAlignment="1">
      <alignment horizontal="left"/>
    </xf>
    <xf numFmtId="0" fontId="15" fillId="3" borderId="17" xfId="8" applyFill="1" applyBorder="1"/>
    <xf numFmtId="0" fontId="15" fillId="3" borderId="18" xfId="8" applyFill="1" applyBorder="1"/>
    <xf numFmtId="0" fontId="15" fillId="3" borderId="19" xfId="8" applyFill="1" applyBorder="1"/>
    <xf numFmtId="0" fontId="15" fillId="3" borderId="22" xfId="8" applyFill="1" applyBorder="1" applyAlignment="1">
      <alignment horizontal="left"/>
    </xf>
    <xf numFmtId="0" fontId="15" fillId="3" borderId="23" xfId="8" applyFill="1" applyBorder="1" applyAlignment="1">
      <alignment horizontal="left"/>
    </xf>
    <xf numFmtId="0" fontId="15" fillId="3" borderId="24" xfId="8" applyFill="1" applyBorder="1" applyAlignment="1">
      <alignment horizontal="left"/>
    </xf>
    <xf numFmtId="0" fontId="15" fillId="4" borderId="28" xfId="8" applyFill="1" applyBorder="1" applyAlignment="1">
      <alignment horizontal="left" vertical="top" wrapText="1"/>
    </xf>
    <xf numFmtId="0" fontId="15" fillId="4" borderId="29" xfId="8" applyFill="1" applyBorder="1" applyAlignment="1">
      <alignment horizontal="left" vertical="top" wrapText="1"/>
    </xf>
    <xf numFmtId="0" fontId="15" fillId="4" borderId="30" xfId="8" applyFill="1" applyBorder="1" applyAlignment="1">
      <alignment horizontal="left" vertical="top" wrapText="1"/>
    </xf>
    <xf numFmtId="0" fontId="23" fillId="3" borderId="22" xfId="10" applyFill="1" applyBorder="1" applyAlignment="1">
      <alignment horizontal="left"/>
    </xf>
  </cellXfs>
  <cellStyles count="11">
    <cellStyle name="Enllaç" xfId="10" builtinId="8"/>
    <cellStyle name="Hipervínculo 2" xfId="8" xr:uid="{096556D7-26CE-470E-A919-191B472516C9}"/>
    <cellStyle name="Millares 2" xfId="2" xr:uid="{D4BD114E-DBA6-47CA-9A15-0C4B5A37643C}"/>
    <cellStyle name="Millares 3 2" xfId="5" xr:uid="{E649CCEC-E78B-49B1-A35E-49AF3559A81E}"/>
    <cellStyle name="Normal" xfId="0" builtinId="0"/>
    <cellStyle name="Normal 2" xfId="1" xr:uid="{2721C95F-30B7-45DA-9AF8-9FECEDF48794}"/>
    <cellStyle name="Normal 2 2" xfId="3" xr:uid="{CD9CC7F8-1B2C-4BDE-B64F-3C68404D9E5B}"/>
    <cellStyle name="Normal 3" xfId="7" xr:uid="{36B39714-D097-43FE-B341-00DE94A1ECD4}"/>
    <cellStyle name="Percentatge" xfId="6" builtinId="5"/>
    <cellStyle name="Porcentaje 2" xfId="4" xr:uid="{6C8EE194-6BC5-499E-8B5F-46DE08B9B9B5}"/>
    <cellStyle name="Porcentaje 3" xfId="9" xr:uid="{CD6EAAC9-066B-4033-8AD6-8F96DF3B8B92}"/>
  </cellStyles>
  <dxfs count="38">
    <dxf>
      <font>
        <b val="0"/>
        <i val="0"/>
        <strike val="0"/>
        <condense val="0"/>
        <extend val="0"/>
        <outline val="0"/>
        <shadow val="0"/>
        <u val="none"/>
        <vertAlign val="baseline"/>
        <sz val="10"/>
        <color auto="1"/>
        <name val="Verdana"/>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0"/>
        <color auto="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Verdana"/>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0"/>
        <color auto="1"/>
        <name val="Verdana"/>
        <family val="2"/>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167" formatCode="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border diagonalUp="0" diagonalDown="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rder>
    </dxf>
    <dxf>
      <font>
        <b val="0"/>
        <i val="0"/>
        <strike val="0"/>
        <condense val="0"/>
        <extend val="0"/>
        <outline val="0"/>
        <shadow val="0"/>
        <u val="none"/>
        <vertAlign val="baseline"/>
        <sz val="10"/>
        <color auto="1"/>
        <name val="Verdana"/>
        <scheme val="none"/>
      </font>
      <alignment horizontal="center"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0"/>
        <color auto="1"/>
        <name val="Verdana"/>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Verdana"/>
        <scheme val="none"/>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0"/>
        <color auto="1"/>
        <name val="Verdana"/>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Verdana"/>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0"/>
        <color auto="1"/>
        <name val="Verdana"/>
        <family val="2"/>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167" formatCode="0.0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numFmt numFmtId="14"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Verdana"/>
        <family val="2"/>
        <scheme val="none"/>
      </font>
      <border diagonalUp="0" diagonalDown="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border>
    </dxf>
    <dxf>
      <font>
        <b val="0"/>
        <i val="0"/>
        <strike val="0"/>
        <condense val="0"/>
        <extend val="0"/>
        <outline val="0"/>
        <shadow val="0"/>
        <u val="none"/>
        <vertAlign val="baseline"/>
        <sz val="10"/>
        <color auto="1"/>
        <name val="Verdana"/>
        <scheme val="none"/>
      </font>
      <alignment horizontal="center"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0"/>
        <color auto="1"/>
        <name val="Verdana"/>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114300</xdr:colOff>
      <xdr:row>0</xdr:row>
      <xdr:rowOff>76200</xdr:rowOff>
    </xdr:from>
    <xdr:to>
      <xdr:col>17</xdr:col>
      <xdr:colOff>266014</xdr:colOff>
      <xdr:row>31</xdr:row>
      <xdr:rowOff>151687</xdr:rowOff>
    </xdr:to>
    <xdr:pic>
      <xdr:nvPicPr>
        <xdr:cNvPr id="6" name="Imagen 5">
          <a:extLst>
            <a:ext uri="{FF2B5EF4-FFF2-40B4-BE49-F238E27FC236}">
              <a16:creationId xmlns:a16="http://schemas.microsoft.com/office/drawing/2014/main" id="{8FF56F92-EB34-5048-E6E5-3D850A05A326}"/>
            </a:ext>
          </a:extLst>
        </xdr:cNvPr>
        <xdr:cNvPicPr>
          <a:picLocks noChangeAspect="1"/>
        </xdr:cNvPicPr>
      </xdr:nvPicPr>
      <xdr:blipFill>
        <a:blip xmlns:r="http://schemas.openxmlformats.org/officeDocument/2006/relationships" r:embed="rId1"/>
        <a:stretch>
          <a:fillRect/>
        </a:stretch>
      </xdr:blipFill>
      <xdr:spPr>
        <a:xfrm>
          <a:off x="11068050" y="76200"/>
          <a:ext cx="5485714" cy="5704762"/>
        </a:xfrm>
        <a:prstGeom prst="rect">
          <a:avLst/>
        </a:prstGeom>
      </xdr:spPr>
    </xdr:pic>
    <xdr:clientData/>
  </xdr:twoCellAnchor>
  <xdr:twoCellAnchor editAs="oneCell">
    <xdr:from>
      <xdr:col>16</xdr:col>
      <xdr:colOff>666750</xdr:colOff>
      <xdr:row>0</xdr:row>
      <xdr:rowOff>38100</xdr:rowOff>
    </xdr:from>
    <xdr:to>
      <xdr:col>23</xdr:col>
      <xdr:colOff>361296</xdr:colOff>
      <xdr:row>31</xdr:row>
      <xdr:rowOff>8825</xdr:rowOff>
    </xdr:to>
    <xdr:pic>
      <xdr:nvPicPr>
        <xdr:cNvPr id="9" name="Imagen 8">
          <a:extLst>
            <a:ext uri="{FF2B5EF4-FFF2-40B4-BE49-F238E27FC236}">
              <a16:creationId xmlns:a16="http://schemas.microsoft.com/office/drawing/2014/main" id="{FE26A048-32AC-5638-B9FE-01B777A1C0EF}"/>
            </a:ext>
          </a:extLst>
        </xdr:cNvPr>
        <xdr:cNvPicPr>
          <a:picLocks noChangeAspect="1"/>
        </xdr:cNvPicPr>
      </xdr:nvPicPr>
      <xdr:blipFill rotWithShape="1">
        <a:blip xmlns:r="http://schemas.openxmlformats.org/officeDocument/2006/relationships" r:embed="rId2"/>
        <a:srcRect l="3826"/>
        <a:stretch/>
      </xdr:blipFill>
      <xdr:spPr>
        <a:xfrm>
          <a:off x="16192500" y="38100"/>
          <a:ext cx="5028546" cy="5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323849</xdr:colOff>
      <xdr:row>38</xdr:row>
      <xdr:rowOff>123825</xdr:rowOff>
    </xdr:to>
    <xdr:sp macro="" textlink="">
      <xdr:nvSpPr>
        <xdr:cNvPr id="3" name="CuadroTexto 2">
          <a:extLst>
            <a:ext uri="{FF2B5EF4-FFF2-40B4-BE49-F238E27FC236}">
              <a16:creationId xmlns:a16="http://schemas.microsoft.com/office/drawing/2014/main" id="{9C026853-63F1-49BB-98EF-FA7F3E9BD4DF}"/>
            </a:ext>
          </a:extLst>
        </xdr:cNvPr>
        <xdr:cNvSpPr txBox="1"/>
      </xdr:nvSpPr>
      <xdr:spPr>
        <a:xfrm>
          <a:off x="0" y="190500"/>
          <a:ext cx="5657849" cy="7172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a:p>
          <a:r>
            <a:rPr lang="es-ES" sz="1100" b="1" u="sng"/>
            <a:t>Se pide</a:t>
          </a:r>
          <a:r>
            <a:rPr lang="es-ES" sz="1100"/>
            <a:t>: Calcular el WACC a utilizar en las tres empresas (Bodega, hotel y promotora)</a:t>
          </a:r>
          <a:endParaRPr lang="es-ES" sz="1100" baseline="0"/>
        </a:p>
        <a:p>
          <a:endParaRPr lang="es-ES" sz="1100" baseline="0"/>
        </a:p>
        <a:p>
          <a:r>
            <a:rPr lang="es-ES" sz="1100" b="1" u="sng" baseline="0"/>
            <a:t>Indicaciones</a:t>
          </a:r>
          <a:r>
            <a:rPr lang="es-ES" sz="1100" baseline="0"/>
            <a:t>:</a:t>
          </a:r>
        </a:p>
        <a:p>
          <a:endParaRPr lang="es-ES" sz="1100" baseline="0"/>
        </a:p>
        <a:p>
          <a:r>
            <a:rPr lang="es-ES" sz="1100" baseline="0"/>
            <a:t>Las empresas y países son los siguientes:</a:t>
          </a:r>
        </a:p>
        <a:p>
          <a:endParaRPr lang="es-ES" sz="1100" baseline="0"/>
        </a:p>
        <a:p>
          <a:r>
            <a:rPr lang="es-ES" sz="1100" baseline="0"/>
            <a:t>- Bodega de vino española. </a:t>
          </a:r>
        </a:p>
        <a:p>
          <a:r>
            <a:rPr lang="es-ES" sz="1100" baseline="0"/>
            <a:t>- Hotel en Republica Dominicana. </a:t>
          </a:r>
        </a:p>
        <a:p>
          <a:r>
            <a:rPr lang="es-ES" sz="1100" baseline="0"/>
            <a:t>- Promoción inmobiliaria y arrendamiento de inmuebles que opera en Francia. </a:t>
          </a:r>
          <a:endParaRPr lang="es-ES" sz="1100" baseline="0">
            <a:solidFill>
              <a:schemeClr val="dk1"/>
            </a:solidFill>
            <a:effectLst/>
            <a:latin typeface="+mn-lt"/>
            <a:ea typeface="+mn-ea"/>
            <a:cs typeface="+mn-cs"/>
          </a:endParaRPr>
        </a:p>
        <a:p>
          <a:endParaRPr lang="es-ES" sz="1100" baseline="0">
            <a:solidFill>
              <a:schemeClr val="dk1"/>
            </a:solidFill>
            <a:effectLst/>
            <a:latin typeface="+mn-lt"/>
            <a:ea typeface="+mn-ea"/>
            <a:cs typeface="+mn-cs"/>
          </a:endParaRPr>
        </a:p>
        <a:p>
          <a:endParaRPr lang="es-ES" sz="1100" baseline="0"/>
        </a:p>
        <a:p>
          <a:r>
            <a:rPr lang="es-ES" sz="1100" baseline="0"/>
            <a:t>La </a:t>
          </a:r>
          <a:r>
            <a:rPr lang="es-ES" sz="1100" b="1" baseline="0"/>
            <a:t>prima libre de riesgo y prima de mercado </a:t>
          </a:r>
          <a:r>
            <a:rPr lang="es-ES" sz="1100" baseline="0"/>
            <a:t>se ha considerado utilizar el "paper" de Pablo Fernandez de 2023.</a:t>
          </a:r>
        </a:p>
        <a:p>
          <a:endParaRPr lang="es-ES" sz="1100" baseline="0"/>
        </a:p>
        <a:p>
          <a:r>
            <a:rPr lang="es-ES" sz="1100" baseline="0"/>
            <a:t>Para calcular la </a:t>
          </a:r>
          <a:r>
            <a:rPr lang="es-ES" sz="1100" b="1" baseline="0"/>
            <a:t>beta</a:t>
          </a:r>
          <a:r>
            <a:rPr lang="es-ES" sz="1100" baseline="0"/>
            <a:t> de la bodega y del hotel se ha considerado como más apropiado usar las betas sectoriales de DAMODARAN.</a:t>
          </a:r>
        </a:p>
        <a:p>
          <a:endParaRPr lang="es-ES" sz="1100" baseline="0"/>
        </a:p>
        <a:p>
          <a:r>
            <a:rPr lang="es-ES" sz="1100" baseline="0"/>
            <a:t>Para calcular la </a:t>
          </a:r>
          <a:r>
            <a:rPr lang="es-ES" sz="1100" b="1" baseline="0"/>
            <a:t>beta</a:t>
          </a:r>
          <a:r>
            <a:rPr lang="es-ES" sz="1100" baseline="0"/>
            <a:t> de la promotora se ha estimado que la beta ofrecida por DAMODARAN no refleja la realidad de la empresa, por lo que se ha considerado estimarla a partir de múltiplos sectoriales obtenidos de TIKR terminal u otro screener que nos permita obtener comparables de mercado cotizados en Europa. Dado el elevado número de empresas obtenidos se ha decicido filtrar los resultados por el ratio "EBIT Margin %" entre un 22% y un 23% similar a la empresa a valorar, todos los datos son referidos al ejercicio 2023. Para desapalancar la beta (obtenida de yahoo finance) se han </a:t>
          </a:r>
          <a:r>
            <a:rPr lang="es-ES" sz="1100" baseline="0">
              <a:solidFill>
                <a:schemeClr val="dk1"/>
              </a:solidFill>
              <a:effectLst/>
              <a:latin typeface="+mn-lt"/>
              <a:ea typeface="+mn-ea"/>
              <a:cs typeface="+mn-cs"/>
            </a:rPr>
            <a:t>seleccionando los ratios "Debt/Equity %" y "Effective Tax Rate" del ejercicio 2023 para desapalancarla.</a:t>
          </a:r>
        </a:p>
        <a:p>
          <a:endParaRPr lang="es-ES" sz="1100" baseline="0">
            <a:solidFill>
              <a:schemeClr val="dk1"/>
            </a:solidFill>
            <a:effectLst/>
            <a:latin typeface="+mn-lt"/>
            <a:ea typeface="+mn-ea"/>
            <a:cs typeface="+mn-cs"/>
          </a:endParaRPr>
        </a:p>
        <a:p>
          <a:r>
            <a:rPr lang="es-ES" sz="1100" baseline="0">
              <a:solidFill>
                <a:schemeClr val="dk1"/>
              </a:solidFill>
              <a:effectLst/>
              <a:latin typeface="+mn-lt"/>
              <a:ea typeface="+mn-ea"/>
              <a:cs typeface="+mn-cs"/>
            </a:rPr>
            <a:t>El coste de la deuda reflejado en los estados financieros de la promotora se considera que coincide con el coste de mercado de la deuda. El coste de mercado de la deuda del hotel y la bodega se ha estimado en un 5%, dado que los estados financieros no reflejan el coste financiero de mercado de la deuda.</a:t>
          </a:r>
        </a:p>
        <a:p>
          <a:endParaRPr lang="es-ES" sz="1100" baseline="0">
            <a:solidFill>
              <a:schemeClr val="dk1"/>
            </a:solidFill>
            <a:effectLst/>
            <a:latin typeface="+mn-lt"/>
            <a:ea typeface="+mn-ea"/>
            <a:cs typeface="+mn-cs"/>
          </a:endParaRPr>
        </a:p>
        <a:p>
          <a:r>
            <a:rPr lang="es-ES" sz="1100" baseline="0">
              <a:solidFill>
                <a:schemeClr val="dk1"/>
              </a:solidFill>
              <a:effectLst/>
              <a:latin typeface="+mn-lt"/>
              <a:ea typeface="+mn-ea"/>
              <a:cs typeface="+mn-cs"/>
            </a:rPr>
            <a:t>Se ha considerado aplicar una prima de iliquidez del 2% por tratarse de empresas no cotizadas en las tres empresas.</a:t>
          </a:r>
          <a:endParaRPr lang="es-ES" sz="1100" baseline="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6F1457-E0AD-4E5A-99AF-62EE120A7C41}" name="Table14" displayName="Table14" ref="A10:N106" totalsRowShown="0" headerRowDxfId="37" dataDxfId="35" headerRowBorderDxfId="36" tableBorderDxfId="34" totalsRowBorderDxfId="33">
  <autoFilter ref="A10:N106" xr:uid="{F66F1457-E0AD-4E5A-99AF-62EE120A7C41}">
    <filterColumn colId="0">
      <filters>
        <filter val="Beverage (Alcoholic)"/>
      </filters>
    </filterColumn>
  </autoFilter>
  <tableColumns count="14">
    <tableColumn id="1" xr3:uid="{7EC338D2-2E63-4C04-92C6-7B6E3E0FBE75}" name="Industry Name" dataDxfId="32"/>
    <tableColumn id="2" xr3:uid="{F3B34C39-215B-453B-8255-D030123C1148}" name="Number of firms" dataDxfId="31"/>
    <tableColumn id="3" xr3:uid="{E42C9AF4-C3A1-413D-8F45-B7275FB21E6D}" name="Beta " dataDxfId="30"/>
    <tableColumn id="4" xr3:uid="{95454D1C-F153-4444-ABAB-EC17A213DE3E}" name="D/E Ratio" dataDxfId="29"/>
    <tableColumn id="5" xr3:uid="{B1B669AB-FE62-462C-83E7-BAE076B5584A}" name="Effective Tax rate" dataDxfId="28"/>
    <tableColumn id="6" xr3:uid="{71734C5D-D8BB-475C-99E5-0AD69167A5EA}" name="Unlevered beta" dataDxfId="27">
      <calculatedColumnFormula>IF($F$8="Effective",C11/(1+(1-E11)*D11),C11/(1+(1-$F$9)*D11))</calculatedColumnFormula>
    </tableColumn>
    <tableColumn id="7" xr3:uid="{A4F2B87B-C2A0-4A89-A4BD-9C1A3CD0F082}" name="Cash/Firm value" dataDxfId="26"/>
    <tableColumn id="8" xr3:uid="{E8D513F1-86F9-428B-92BD-6ED17304AE97}" name="Unlevered beta corrected for cash" dataDxfId="25">
      <calculatedColumnFormula>F11/(1-G11)</calculatedColumnFormula>
    </tableColumn>
    <tableColumn id="9" xr3:uid="{DD135646-93D6-4948-874A-936E99BEC2CD}" name="HiLo Risk" dataDxfId="24"/>
    <tableColumn id="10" xr3:uid="{D4523024-C8E7-43D1-8AC3-5DF1E4B5100F}" name="Standard deviation of equity" dataDxfId="23"/>
    <tableColumn id="11" xr3:uid="{14359E4E-F8A3-4EAB-BE81-A2BC029EF3CF}" name="Standard deviation in operating income (last 10 years)" dataDxfId="22"/>
    <tableColumn id="12" xr3:uid="{80402AA1-3007-4967-AB03-F036A821BD1C}" name="2020" dataDxfId="21"/>
    <tableColumn id="13" xr3:uid="{F4ED260B-9066-475F-A20D-9A67E1B65564}" name="2021" dataDxfId="20"/>
    <tableColumn id="14" xr3:uid="{CBE31D2A-C1C5-4AFD-80B5-292125761E03}" name="2022" dataDxfId="1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EAA135-33BC-43BB-8E22-16AFE75AAE94}" name="Table1" displayName="Table1" ref="A10:N106" totalsRowShown="0" headerRowDxfId="18" dataDxfId="16" headerRowBorderDxfId="17" tableBorderDxfId="15" totalsRowBorderDxfId="14">
  <autoFilter ref="A10:N106" xr:uid="{BCEAA135-33BC-43BB-8E22-16AFE75AAE94}">
    <filterColumn colId="0">
      <filters>
        <filter val="Air Transport"/>
      </filters>
    </filterColumn>
  </autoFilter>
  <tableColumns count="14">
    <tableColumn id="1" xr3:uid="{DFB1C04F-2F3E-439C-A9DB-DD13C36665F7}" name="Industry Name" dataDxfId="13"/>
    <tableColumn id="2" xr3:uid="{B371D57E-7A26-42EF-99EE-D60A978F89D7}" name="Number of firms" dataDxfId="12"/>
    <tableColumn id="3" xr3:uid="{769BFB01-F484-49FB-9A60-A59CB790E620}" name="Beta " dataDxfId="11"/>
    <tableColumn id="4" xr3:uid="{796FC6AC-3C31-4B05-A787-A2C936485832}" name="D/E Ratio" dataDxfId="10"/>
    <tableColumn id="5" xr3:uid="{5FC13F13-F1A4-4235-B1FD-616B35A55C2B}" name="Effective Tax rate" dataDxfId="9"/>
    <tableColumn id="6" xr3:uid="{778C22E4-C7F5-4E3B-AEFA-FE5E4CF4C5DE}" name="Unlevered beta" dataDxfId="8">
      <calculatedColumnFormula>IF($F$8="Effective",C11/(1+(1-E11)*D11),C11/(1+(1-$F$9)*D11))</calculatedColumnFormula>
    </tableColumn>
    <tableColumn id="7" xr3:uid="{50E82CCD-E130-40A9-9217-A0CF0B1CE6FF}" name="Cash/Firm value" dataDxfId="7"/>
    <tableColumn id="8" xr3:uid="{8FB23856-C61C-4852-88FA-48D2A8C05BF4}" name="Unlevered beta corrected for cash" dataDxfId="6">
      <calculatedColumnFormula>F11/(1-G11)</calculatedColumnFormula>
    </tableColumn>
    <tableColumn id="9" xr3:uid="{F6F43635-A0FB-4311-B77D-6CC2E1082784}" name="HiLo Risk" dataDxfId="5"/>
    <tableColumn id="10" xr3:uid="{F7DF8495-D9E2-4A37-B103-F9B6E3D2CCF0}" name="Standard deviation of equity" dataDxfId="4"/>
    <tableColumn id="11" xr3:uid="{5D02C448-CE3D-40C2-82AB-6530CE8E1C67}" name="Standard deviation in operating income (last 10 years)" dataDxfId="3"/>
    <tableColumn id="12" xr3:uid="{936B3858-7129-4F82-84B4-591CB1AE3B7D}" name="2020" dataDxfId="2"/>
    <tableColumn id="13" xr3:uid="{573F2DF8-4C6C-43A1-959D-197A4E19D55C}" name="2021" dataDxfId="1"/>
    <tableColumn id="14" xr3:uid="{4AC5B272-65C2-454C-8C53-584D8942CBC6}" name="2022"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www.stern.nyu.edu/~adamodar/New_Home_Page/data.html" TargetMode="External"/><Relationship Id="rId7" Type="http://schemas.openxmlformats.org/officeDocument/2006/relationships/table" Target="../tables/table1.xm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hyperlink" Target="https://youtu.be/rxmttgceSjg" TargetMode="Externa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www.stern.nyu.edu/~adamodar/New_Home_Page/data.html" TargetMode="External"/><Relationship Id="rId7" Type="http://schemas.openxmlformats.org/officeDocument/2006/relationships/table" Target="../tables/table2.xm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hyperlink" Target="https://youtu.be/rxmttgceSjg" TargetMode="External"/><Relationship Id="rId5" Type="http://schemas.openxmlformats.org/officeDocument/2006/relationships/hyperlink" Target="https://pages.stern.nyu.edu/~adamodar/New_Home_Page/datafile/variable.htm" TargetMode="External"/><Relationship Id="rId4" Type="http://schemas.openxmlformats.org/officeDocument/2006/relationships/hyperlink" Target="http://www.stern.nyu.edu/~adamodar/pc/datasets/indname.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38094-4AF5-406A-8C06-6A3490A06E5D}">
  <dimension ref="A1:J37"/>
  <sheetViews>
    <sheetView tabSelected="1" workbookViewId="0">
      <selection activeCell="J6" sqref="J6"/>
    </sheetView>
  </sheetViews>
  <sheetFormatPr defaultColWidth="11.42578125" defaultRowHeight="15" x14ac:dyDescent="0.25"/>
  <cols>
    <col min="1" max="1" width="56.28515625" bestFit="1" customWidth="1"/>
    <col min="10" max="10" width="16.5703125" customWidth="1"/>
  </cols>
  <sheetData>
    <row r="1" spans="1:10" s="61" customFormat="1" ht="12.75" x14ac:dyDescent="0.2">
      <c r="A1" s="60" t="s">
        <v>314</v>
      </c>
      <c r="B1" s="60"/>
      <c r="C1" s="60"/>
      <c r="D1" s="60"/>
      <c r="E1" s="60"/>
      <c r="F1" s="60"/>
      <c r="G1" s="60"/>
      <c r="H1" s="60"/>
      <c r="I1" s="60"/>
      <c r="J1" s="60"/>
    </row>
    <row r="2" spans="1:10" s="61" customFormat="1" ht="13.5" thickBot="1" x14ac:dyDescent="0.25"/>
    <row r="3" spans="1:10" s="61" customFormat="1" ht="12.75" x14ac:dyDescent="0.2">
      <c r="A3" s="75" t="s">
        <v>327</v>
      </c>
      <c r="B3" s="76"/>
      <c r="C3" s="77"/>
      <c r="D3" s="76" t="s">
        <v>315</v>
      </c>
      <c r="E3" s="76"/>
      <c r="F3" s="76"/>
      <c r="G3" s="77"/>
      <c r="H3" s="76" t="s">
        <v>316</v>
      </c>
      <c r="I3" s="76"/>
      <c r="J3" s="78"/>
    </row>
    <row r="4" spans="1:10" s="61" customFormat="1" ht="12.75" x14ac:dyDescent="0.2">
      <c r="A4" s="79"/>
      <c r="J4" s="80"/>
    </row>
    <row r="5" spans="1:10" s="61" customFormat="1" ht="12.75" x14ac:dyDescent="0.2">
      <c r="A5" s="81" t="s">
        <v>317</v>
      </c>
      <c r="B5" s="62">
        <v>3.5000000000000003E-2</v>
      </c>
      <c r="D5" s="63" t="s">
        <v>318</v>
      </c>
      <c r="E5" s="64"/>
      <c r="F5" s="65">
        <v>0.05</v>
      </c>
      <c r="H5" s="63" t="s">
        <v>319</v>
      </c>
      <c r="I5" s="64"/>
      <c r="J5" s="82">
        <f>+BODEGAS!B23/(BODEGAS!B23+BODEGAS!B16)</f>
        <v>8.5465048050734193E-3</v>
      </c>
    </row>
    <row r="6" spans="1:10" s="61" customFormat="1" ht="12.75" x14ac:dyDescent="0.2">
      <c r="A6" s="81" t="s">
        <v>320</v>
      </c>
      <c r="B6" s="62">
        <v>6.6000000000000003E-2</v>
      </c>
      <c r="D6" s="63" t="s">
        <v>321</v>
      </c>
      <c r="E6" s="64"/>
      <c r="F6" s="66">
        <f>F5*(1-F9)</f>
        <v>3.7500000000000006E-2</v>
      </c>
      <c r="H6" s="67" t="s">
        <v>322</v>
      </c>
      <c r="I6" s="68"/>
      <c r="J6" s="83">
        <f>J5/(1-J5)</f>
        <v>8.6201771908556522E-3</v>
      </c>
    </row>
    <row r="7" spans="1:10" s="61" customFormat="1" ht="13.5" thickBot="1" x14ac:dyDescent="0.25">
      <c r="A7" s="79"/>
      <c r="J7" s="80"/>
    </row>
    <row r="8" spans="1:10" s="61" customFormat="1" ht="13.5" thickBot="1" x14ac:dyDescent="0.25">
      <c r="A8" s="81" t="s">
        <v>188</v>
      </c>
      <c r="B8" s="69">
        <f>+'Beta Bodega'!F19</f>
        <v>0.44213297804802681</v>
      </c>
      <c r="H8" s="72" t="s">
        <v>326</v>
      </c>
      <c r="I8" s="73"/>
      <c r="J8" s="74">
        <f>B13*(1-J5)+F6*J5</f>
        <v>8.3968864305328406E-2</v>
      </c>
    </row>
    <row r="9" spans="1:10" s="61" customFormat="1" ht="12.75" x14ac:dyDescent="0.2">
      <c r="A9" s="84" t="s">
        <v>323</v>
      </c>
      <c r="B9" s="70">
        <f>B8*(1+J6*(1-F9))</f>
        <v>0.44499142650754786</v>
      </c>
      <c r="D9" s="63" t="s">
        <v>330</v>
      </c>
      <c r="E9" s="64"/>
      <c r="F9" s="90">
        <f>-BODEGAS!B43/BODEGAS!B42</f>
        <v>0.25</v>
      </c>
      <c r="J9" s="80"/>
    </row>
    <row r="10" spans="1:10" s="61" customFormat="1" ht="12.75" x14ac:dyDescent="0.2">
      <c r="A10" s="79"/>
      <c r="J10" s="80"/>
    </row>
    <row r="11" spans="1:10" s="61" customFormat="1" ht="12.75" x14ac:dyDescent="0.2">
      <c r="A11" s="81" t="s">
        <v>324</v>
      </c>
      <c r="B11" s="62">
        <v>0.02</v>
      </c>
      <c r="J11" s="80"/>
    </row>
    <row r="12" spans="1:10" s="61" customFormat="1" ht="12.75" x14ac:dyDescent="0.2">
      <c r="A12" s="79"/>
      <c r="J12" s="80"/>
    </row>
    <row r="13" spans="1:10" s="61" customFormat="1" ht="13.5" thickBot="1" x14ac:dyDescent="0.25">
      <c r="A13" s="85" t="s">
        <v>325</v>
      </c>
      <c r="B13" s="86">
        <f>B5+B6*B9+B11</f>
        <v>8.4369434149498171E-2</v>
      </c>
      <c r="C13" s="87"/>
      <c r="D13" s="87"/>
      <c r="E13" s="87"/>
      <c r="F13" s="87"/>
      <c r="G13" s="87"/>
      <c r="H13" s="87"/>
      <c r="I13" s="87"/>
      <c r="J13" s="88"/>
    </row>
    <row r="14" spans="1:10" ht="15.75" thickBot="1" x14ac:dyDescent="0.3"/>
    <row r="15" spans="1:10" x14ac:dyDescent="0.25">
      <c r="A15" s="75" t="s">
        <v>328</v>
      </c>
      <c r="B15" s="76"/>
      <c r="C15" s="77"/>
      <c r="D15" s="76" t="s">
        <v>315</v>
      </c>
      <c r="E15" s="76"/>
      <c r="F15" s="76"/>
      <c r="G15" s="77"/>
      <c r="H15" s="76" t="s">
        <v>316</v>
      </c>
      <c r="I15" s="76"/>
      <c r="J15" s="78"/>
    </row>
    <row r="16" spans="1:10" x14ac:dyDescent="0.25">
      <c r="A16" s="79"/>
      <c r="B16" s="61"/>
      <c r="C16" s="61"/>
      <c r="D16" s="61"/>
      <c r="E16" s="61"/>
      <c r="F16" s="61"/>
      <c r="G16" s="61"/>
      <c r="H16" s="61"/>
      <c r="I16" s="61"/>
      <c r="J16" s="80"/>
    </row>
    <row r="17" spans="1:10" x14ac:dyDescent="0.25">
      <c r="A17" s="81" t="s">
        <v>317</v>
      </c>
      <c r="B17" s="62">
        <v>7.3999999999999996E-2</v>
      </c>
      <c r="C17" s="61"/>
      <c r="D17" s="63" t="s">
        <v>318</v>
      </c>
      <c r="E17" s="64"/>
      <c r="F17" s="65">
        <v>0.05</v>
      </c>
      <c r="G17" s="61"/>
      <c r="H17" s="63" t="s">
        <v>319</v>
      </c>
      <c r="I17" s="64"/>
      <c r="J17" s="82">
        <f>+(HOTEL!B47+HOTEL!B46+HOTEL!B37)/(HOTEL!B47+HOTEL!B46+HOTEL!B37+HOTEL!B23)</f>
        <v>0.11666071858023272</v>
      </c>
    </row>
    <row r="18" spans="1:10" x14ac:dyDescent="0.25">
      <c r="A18" s="81" t="s">
        <v>320</v>
      </c>
      <c r="B18" s="62">
        <v>0.11700000000000001</v>
      </c>
      <c r="C18" s="61"/>
      <c r="D18" s="63" t="s">
        <v>321</v>
      </c>
      <c r="E18" s="64"/>
      <c r="F18" s="66">
        <f>F17*(1-F21)</f>
        <v>3.8002483519086243E-2</v>
      </c>
      <c r="G18" s="61"/>
      <c r="H18" s="67" t="s">
        <v>322</v>
      </c>
      <c r="I18" s="68"/>
      <c r="J18" s="83">
        <f>J17/(1-J17)</f>
        <v>0.13206784871236238</v>
      </c>
    </row>
    <row r="19" spans="1:10" ht="15.75" thickBot="1" x14ac:dyDescent="0.3">
      <c r="A19" s="79"/>
      <c r="B19" s="61"/>
      <c r="C19" s="61"/>
      <c r="D19" s="61"/>
      <c r="E19" s="61"/>
      <c r="F19" s="61"/>
      <c r="G19" s="61"/>
      <c r="H19" s="61"/>
      <c r="I19" s="61"/>
      <c r="J19" s="80"/>
    </row>
    <row r="20" spans="1:10" ht="15.75" thickBot="1" x14ac:dyDescent="0.3">
      <c r="A20" s="81" t="s">
        <v>188</v>
      </c>
      <c r="B20" s="69">
        <f>+'Beta Hotel'!F54</f>
        <v>0.60360730756009751</v>
      </c>
      <c r="C20" s="61"/>
      <c r="D20" s="61"/>
      <c r="E20" s="61"/>
      <c r="F20" s="61"/>
      <c r="G20" s="61"/>
      <c r="H20" s="72" t="s">
        <v>326</v>
      </c>
      <c r="I20" s="73"/>
      <c r="J20" s="74">
        <f>B25*(1-J17)+F18*J17</f>
        <v>0.1561124369747722</v>
      </c>
    </row>
    <row r="21" spans="1:10" x14ac:dyDescent="0.25">
      <c r="A21" s="84" t="s">
        <v>323</v>
      </c>
      <c r="B21" s="70">
        <f>B20*(1+J18*(1-F21))</f>
        <v>0.66419627725796493</v>
      </c>
      <c r="C21" s="61"/>
      <c r="D21" s="63" t="s">
        <v>330</v>
      </c>
      <c r="E21" s="64"/>
      <c r="F21" s="90">
        <f>-HOTEL!B84/HOTEL!B83</f>
        <v>0.23995032961827528</v>
      </c>
      <c r="G21" s="61"/>
      <c r="H21" s="61"/>
      <c r="I21" s="61"/>
      <c r="J21" s="80"/>
    </row>
    <row r="22" spans="1:10" x14ac:dyDescent="0.25">
      <c r="A22" s="79"/>
      <c r="B22" s="61"/>
      <c r="C22" s="61"/>
      <c r="D22" s="61"/>
      <c r="E22" s="61"/>
      <c r="F22" s="61"/>
      <c r="G22" s="61"/>
      <c r="H22" s="61"/>
      <c r="I22" s="61"/>
      <c r="J22" s="80"/>
    </row>
    <row r="23" spans="1:10" x14ac:dyDescent="0.25">
      <c r="A23" s="81" t="s">
        <v>324</v>
      </c>
      <c r="B23" s="62">
        <v>0.02</v>
      </c>
      <c r="C23" s="61"/>
      <c r="D23" s="61"/>
      <c r="E23" s="61"/>
      <c r="F23" s="61"/>
      <c r="G23" s="61"/>
      <c r="H23" s="61"/>
      <c r="I23" s="61"/>
      <c r="J23" s="80"/>
    </row>
    <row r="24" spans="1:10" x14ac:dyDescent="0.25">
      <c r="A24" s="79"/>
      <c r="B24" s="61"/>
      <c r="C24" s="61"/>
      <c r="D24" s="61"/>
      <c r="E24" s="61"/>
      <c r="F24" s="61"/>
      <c r="G24" s="61"/>
      <c r="H24" s="61"/>
      <c r="I24" s="61"/>
      <c r="J24" s="80"/>
    </row>
    <row r="25" spans="1:10" ht="15.75" thickBot="1" x14ac:dyDescent="0.3">
      <c r="A25" s="85" t="s">
        <v>325</v>
      </c>
      <c r="B25" s="86">
        <f>B17+B18*B21+B23</f>
        <v>0.17171096443918191</v>
      </c>
      <c r="C25" s="87"/>
      <c r="D25" s="87"/>
      <c r="E25" s="87"/>
      <c r="F25" s="87"/>
      <c r="G25" s="87"/>
      <c r="H25" s="87"/>
      <c r="I25" s="87"/>
      <c r="J25" s="88"/>
    </row>
    <row r="26" spans="1:10" ht="15.75" thickBot="1" x14ac:dyDescent="0.3"/>
    <row r="27" spans="1:10" x14ac:dyDescent="0.25">
      <c r="A27" s="75" t="s">
        <v>329</v>
      </c>
      <c r="B27" s="76"/>
      <c r="C27" s="77"/>
      <c r="D27" s="76" t="s">
        <v>315</v>
      </c>
      <c r="E27" s="76"/>
      <c r="F27" s="76"/>
      <c r="G27" s="77"/>
      <c r="H27" s="76" t="s">
        <v>316</v>
      </c>
      <c r="I27" s="76"/>
      <c r="J27" s="78"/>
    </row>
    <row r="28" spans="1:10" x14ac:dyDescent="0.25">
      <c r="A28" s="79"/>
      <c r="B28" s="61"/>
      <c r="C28" s="61"/>
      <c r="D28" s="61"/>
      <c r="E28" s="61"/>
      <c r="F28" s="61"/>
      <c r="G28" s="61"/>
      <c r="H28" s="61"/>
      <c r="I28" s="61"/>
      <c r="J28" s="80"/>
    </row>
    <row r="29" spans="1:10" x14ac:dyDescent="0.25">
      <c r="A29" s="81" t="s">
        <v>317</v>
      </c>
      <c r="B29" s="62">
        <v>0.03</v>
      </c>
      <c r="C29" s="61"/>
      <c r="D29" s="63" t="s">
        <v>318</v>
      </c>
      <c r="E29" s="64"/>
      <c r="F29" s="71">
        <f>-'Promotora inmobiliaria y alquil'!B60/('Promotora inmobiliaria y alquil'!B39+'Promotora inmobiliaria y alquil'!B33)</f>
        <v>2.7065758181922802E-2</v>
      </c>
      <c r="G29" s="61"/>
      <c r="H29" s="63" t="s">
        <v>319</v>
      </c>
      <c r="I29" s="64"/>
      <c r="J29" s="82">
        <f>+('Promotora inmobiliaria y alquil'!B39+'Promotora inmobiliaria y alquil'!B33)/('Promotora inmobiliaria y alquil'!B39+'Promotora inmobiliaria y alquil'!B33+'Promotora inmobiliaria y alquil'!B23)</f>
        <v>4.1944519921008727E-2</v>
      </c>
    </row>
    <row r="30" spans="1:10" x14ac:dyDescent="0.25">
      <c r="A30" s="81" t="s">
        <v>320</v>
      </c>
      <c r="B30" s="62">
        <v>0.06</v>
      </c>
      <c r="C30" s="61"/>
      <c r="D30" s="63" t="s">
        <v>321</v>
      </c>
      <c r="E30" s="64"/>
      <c r="F30" s="89">
        <f>F29*(1-F33)</f>
        <v>2.0299318636442101E-2</v>
      </c>
      <c r="G30" s="61"/>
      <c r="H30" s="67" t="s">
        <v>322</v>
      </c>
      <c r="I30" s="68"/>
      <c r="J30" s="83">
        <f>J29/(1-J29)</f>
        <v>4.3780888260824331E-2</v>
      </c>
    </row>
    <row r="31" spans="1:10" ht="15.75" thickBot="1" x14ac:dyDescent="0.3">
      <c r="A31" s="79"/>
      <c r="B31" s="61"/>
      <c r="C31" s="61"/>
      <c r="D31" s="61"/>
      <c r="E31" s="61"/>
      <c r="F31" s="61"/>
      <c r="G31" s="61"/>
      <c r="H31" s="61"/>
      <c r="I31" s="61"/>
      <c r="J31" s="80"/>
    </row>
    <row r="32" spans="1:10" ht="15.75" thickBot="1" x14ac:dyDescent="0.3">
      <c r="A32" s="81" t="s">
        <v>188</v>
      </c>
      <c r="B32" s="69">
        <f>+'Beta Promotora'!J8</f>
        <v>0.20494175499933254</v>
      </c>
      <c r="C32" s="61"/>
      <c r="D32" s="61"/>
      <c r="E32" s="61"/>
      <c r="F32" s="61"/>
      <c r="G32" s="61"/>
      <c r="H32" s="72" t="s">
        <v>326</v>
      </c>
      <c r="I32" s="73"/>
      <c r="J32" s="74">
        <f>B37*(1-J29)+F30*J29</f>
        <v>6.0921781725960425E-2</v>
      </c>
    </row>
    <row r="33" spans="1:10" x14ac:dyDescent="0.25">
      <c r="A33" s="84" t="s">
        <v>323</v>
      </c>
      <c r="B33" s="70">
        <f>B32*(1+J30*(1-F33))</f>
        <v>0.21167115405603479</v>
      </c>
      <c r="C33" s="61"/>
      <c r="D33" s="63" t="s">
        <v>330</v>
      </c>
      <c r="E33" s="64"/>
      <c r="F33" s="90">
        <f>-'Promotora inmobiliaria y alquil'!B67/'Promotora inmobiliaria y alquil'!B66</f>
        <v>0.25</v>
      </c>
      <c r="G33" s="61"/>
      <c r="H33" s="61"/>
      <c r="I33" s="61"/>
      <c r="J33" s="80"/>
    </row>
    <row r="34" spans="1:10" x14ac:dyDescent="0.25">
      <c r="A34" s="79"/>
      <c r="B34" s="61"/>
      <c r="C34" s="61"/>
      <c r="D34" s="61"/>
      <c r="E34" s="61"/>
      <c r="F34" s="61"/>
      <c r="G34" s="61"/>
      <c r="H34" s="61"/>
      <c r="I34" s="61"/>
      <c r="J34" s="80"/>
    </row>
    <row r="35" spans="1:10" x14ac:dyDescent="0.25">
      <c r="A35" s="81" t="s">
        <v>324</v>
      </c>
      <c r="B35" s="62">
        <v>0.02</v>
      </c>
      <c r="C35" s="61"/>
      <c r="D35" s="61"/>
      <c r="E35" s="61"/>
      <c r="F35" s="61"/>
      <c r="G35" s="61"/>
      <c r="H35" s="61"/>
      <c r="I35" s="61"/>
      <c r="J35" s="80"/>
    </row>
    <row r="36" spans="1:10" x14ac:dyDescent="0.25">
      <c r="A36" s="79"/>
      <c r="B36" s="61"/>
      <c r="C36" s="61"/>
      <c r="D36" s="61"/>
      <c r="E36" s="61"/>
      <c r="F36" s="61"/>
      <c r="G36" s="61"/>
      <c r="H36" s="61"/>
      <c r="I36" s="61"/>
      <c r="J36" s="80"/>
    </row>
    <row r="37" spans="1:10" ht="15.75" thickBot="1" x14ac:dyDescent="0.3">
      <c r="A37" s="85" t="s">
        <v>325</v>
      </c>
      <c r="B37" s="86">
        <f>B29+B30*B33+B35</f>
        <v>6.2700269243362083E-2</v>
      </c>
      <c r="C37" s="87"/>
      <c r="D37" s="87"/>
      <c r="E37" s="87"/>
      <c r="F37" s="87"/>
      <c r="G37" s="87"/>
      <c r="H37" s="87"/>
      <c r="I37" s="87"/>
      <c r="J37" s="8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0F04-6F00-427B-A28A-F93E41AB8819}">
  <dimension ref="J13"/>
  <sheetViews>
    <sheetView workbookViewId="0">
      <selection activeCell="I20" sqref="I20"/>
    </sheetView>
  </sheetViews>
  <sheetFormatPr defaultColWidth="11.42578125" defaultRowHeight="15" x14ac:dyDescent="0.25"/>
  <sheetData>
    <row r="13" spans="10:10" x14ac:dyDescent="0.25">
      <c r="J13" s="4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DD898-1E42-46D1-9C73-505AA8361CD8}">
  <dimension ref="A1:B44"/>
  <sheetViews>
    <sheetView workbookViewId="0">
      <selection activeCell="B23" sqref="B23"/>
    </sheetView>
  </sheetViews>
  <sheetFormatPr defaultColWidth="11.42578125" defaultRowHeight="15" x14ac:dyDescent="0.25"/>
  <cols>
    <col min="1" max="1" width="44.140625" bestFit="1" customWidth="1"/>
    <col min="2" max="2" width="16.28515625" customWidth="1"/>
  </cols>
  <sheetData>
    <row r="1" spans="1:2" x14ac:dyDescent="0.25">
      <c r="A1" s="1" t="s">
        <v>139</v>
      </c>
      <c r="B1" s="12">
        <v>2023</v>
      </c>
    </row>
    <row r="2" spans="1:2" x14ac:dyDescent="0.25">
      <c r="A2" s="2" t="s">
        <v>36</v>
      </c>
      <c r="B2" s="3">
        <v>2084850.1733605738</v>
      </c>
    </row>
    <row r="3" spans="1:2" x14ac:dyDescent="0.25">
      <c r="A3" s="4" t="s">
        <v>37</v>
      </c>
      <c r="B3" s="6">
        <v>0</v>
      </c>
    </row>
    <row r="4" spans="1:2" x14ac:dyDescent="0.25">
      <c r="A4" s="4" t="s">
        <v>38</v>
      </c>
      <c r="B4" s="6">
        <v>2082025.6833605738</v>
      </c>
    </row>
    <row r="5" spans="1:2" x14ac:dyDescent="0.25">
      <c r="A5" s="4" t="s">
        <v>39</v>
      </c>
      <c r="B5" s="6">
        <v>2824.49</v>
      </c>
    </row>
    <row r="6" spans="1:2" x14ac:dyDescent="0.25">
      <c r="A6" s="2" t="s">
        <v>41</v>
      </c>
      <c r="B6" s="3">
        <v>4335076.7455330687</v>
      </c>
    </row>
    <row r="7" spans="1:2" x14ac:dyDescent="0.25">
      <c r="A7" s="4" t="s">
        <v>42</v>
      </c>
      <c r="B7" s="6">
        <v>498990.22574547381</v>
      </c>
    </row>
    <row r="8" spans="1:2" x14ac:dyDescent="0.25">
      <c r="A8" s="4" t="s">
        <v>43</v>
      </c>
      <c r="B8" s="6">
        <v>807826.5549819927</v>
      </c>
    </row>
    <row r="9" spans="1:2" x14ac:dyDescent="0.25">
      <c r="A9" s="4" t="s">
        <v>45</v>
      </c>
      <c r="B9" s="6">
        <v>0</v>
      </c>
    </row>
    <row r="10" spans="1:2" x14ac:dyDescent="0.25">
      <c r="A10" s="4" t="s">
        <v>46</v>
      </c>
      <c r="B10" s="6"/>
    </row>
    <row r="11" spans="1:2" x14ac:dyDescent="0.25">
      <c r="A11" s="4" t="s">
        <v>47</v>
      </c>
      <c r="B11" s="6">
        <v>3028259.9648056021</v>
      </c>
    </row>
    <row r="12" spans="1:2" x14ac:dyDescent="0.25">
      <c r="A12" s="2" t="s">
        <v>48</v>
      </c>
      <c r="B12" s="3">
        <v>6419926.9188936427</v>
      </c>
    </row>
    <row r="13" spans="1:2" x14ac:dyDescent="0.25">
      <c r="A13" s="9"/>
      <c r="B13" s="10"/>
    </row>
    <row r="14" spans="1:2" x14ac:dyDescent="0.25">
      <c r="A14" s="1" t="s">
        <v>140</v>
      </c>
      <c r="B14" s="12">
        <v>2023</v>
      </c>
    </row>
    <row r="15" spans="1:2" x14ac:dyDescent="0.25">
      <c r="A15" s="2" t="s">
        <v>49</v>
      </c>
      <c r="B15" s="3">
        <v>4944358.9829720417</v>
      </c>
    </row>
    <row r="16" spans="1:2" x14ac:dyDescent="0.25">
      <c r="A16" s="4" t="s">
        <v>50</v>
      </c>
      <c r="B16" s="6">
        <v>4852364.2929720413</v>
      </c>
    </row>
    <row r="17" spans="1:2" x14ac:dyDescent="0.25">
      <c r="A17" s="7" t="s">
        <v>51</v>
      </c>
      <c r="B17" s="8">
        <v>108182.18</v>
      </c>
    </row>
    <row r="18" spans="1:2" x14ac:dyDescent="0.25">
      <c r="A18" s="7" t="s">
        <v>52</v>
      </c>
      <c r="B18" s="8">
        <v>238061</v>
      </c>
    </row>
    <row r="19" spans="1:2" x14ac:dyDescent="0.25">
      <c r="A19" s="7" t="s">
        <v>53</v>
      </c>
      <c r="B19" s="8">
        <v>4206862.6877383254</v>
      </c>
    </row>
    <row r="20" spans="1:2" x14ac:dyDescent="0.25">
      <c r="A20" s="11" t="s">
        <v>54</v>
      </c>
      <c r="B20" s="8">
        <v>299258.42523371655</v>
      </c>
    </row>
    <row r="21" spans="1:2" x14ac:dyDescent="0.25">
      <c r="A21" s="4" t="s">
        <v>55</v>
      </c>
      <c r="B21" s="6">
        <v>91994.69</v>
      </c>
    </row>
    <row r="22" spans="1:2" x14ac:dyDescent="0.25">
      <c r="A22" s="2" t="s">
        <v>56</v>
      </c>
      <c r="B22" s="3">
        <v>41828.239999999998</v>
      </c>
    </row>
    <row r="23" spans="1:2" x14ac:dyDescent="0.25">
      <c r="A23" s="4" t="s">
        <v>57</v>
      </c>
      <c r="B23" s="6">
        <v>41828.239999999998</v>
      </c>
    </row>
    <row r="24" spans="1:2" x14ac:dyDescent="0.25">
      <c r="A24" s="2" t="s">
        <v>59</v>
      </c>
      <c r="B24" s="3">
        <v>1433740.1159216003</v>
      </c>
    </row>
    <row r="25" spans="1:2" x14ac:dyDescent="0.25">
      <c r="A25" s="4" t="s">
        <v>60</v>
      </c>
      <c r="B25" s="6">
        <v>0</v>
      </c>
    </row>
    <row r="26" spans="1:2" x14ac:dyDescent="0.25">
      <c r="A26" s="4" t="s">
        <v>61</v>
      </c>
      <c r="B26" s="6">
        <v>1433740.1159216003</v>
      </c>
    </row>
    <row r="27" spans="1:2" x14ac:dyDescent="0.25">
      <c r="A27" s="2" t="s">
        <v>62</v>
      </c>
      <c r="B27" s="3">
        <v>6419927.3388936426</v>
      </c>
    </row>
    <row r="29" spans="1:2" x14ac:dyDescent="0.25">
      <c r="A29" s="1" t="s">
        <v>63</v>
      </c>
      <c r="B29" s="12">
        <v>2023</v>
      </c>
    </row>
    <row r="30" spans="1:2" x14ac:dyDescent="0.25">
      <c r="A30" s="4" t="s">
        <v>64</v>
      </c>
      <c r="B30" s="6">
        <v>2191605.9824848147</v>
      </c>
    </row>
    <row r="31" spans="1:2" x14ac:dyDescent="0.25">
      <c r="A31" s="4" t="s">
        <v>65</v>
      </c>
      <c r="B31" s="6">
        <v>-776752.16023538285</v>
      </c>
    </row>
    <row r="32" spans="1:2" x14ac:dyDescent="0.25">
      <c r="A32" s="4" t="s">
        <v>66</v>
      </c>
      <c r="B32" s="6">
        <v>15058.13149332343</v>
      </c>
    </row>
    <row r="33" spans="1:2" x14ac:dyDescent="0.25">
      <c r="A33" s="4" t="s">
        <v>67</v>
      </c>
      <c r="B33" s="6">
        <v>-317326.11799800023</v>
      </c>
    </row>
    <row r="34" spans="1:2" x14ac:dyDescent="0.25">
      <c r="A34" s="4" t="s">
        <v>68</v>
      </c>
      <c r="B34" s="6">
        <v>-409148.18205009564</v>
      </c>
    </row>
    <row r="35" spans="1:2" x14ac:dyDescent="0.25">
      <c r="A35" s="4" t="s">
        <v>69</v>
      </c>
      <c r="B35" s="6">
        <v>-304426.4100492259</v>
      </c>
    </row>
    <row r="36" spans="1:2" x14ac:dyDescent="0.25">
      <c r="A36" s="4" t="s">
        <v>71</v>
      </c>
      <c r="B36" s="6">
        <v>0</v>
      </c>
    </row>
    <row r="37" spans="1:2" x14ac:dyDescent="0.25">
      <c r="A37" s="2" t="s">
        <v>72</v>
      </c>
      <c r="B37" s="3">
        <v>399011.24364543357</v>
      </c>
    </row>
    <row r="38" spans="1:2" x14ac:dyDescent="0.25">
      <c r="A38" s="4" t="s">
        <v>73</v>
      </c>
      <c r="B38" s="6"/>
    </row>
    <row r="39" spans="1:2" x14ac:dyDescent="0.25">
      <c r="A39" s="4" t="s">
        <v>78</v>
      </c>
      <c r="B39" s="6">
        <v>-1.000047816872853E-2</v>
      </c>
    </row>
    <row r="40" spans="1:2" x14ac:dyDescent="0.25">
      <c r="A40" s="4" t="s">
        <v>80</v>
      </c>
      <c r="B40" s="6"/>
    </row>
    <row r="41" spans="1:2" x14ac:dyDescent="0.25">
      <c r="A41" s="4" t="s">
        <v>81</v>
      </c>
      <c r="B41" s="6"/>
    </row>
    <row r="42" spans="1:2" x14ac:dyDescent="0.25">
      <c r="A42" s="2" t="s">
        <v>82</v>
      </c>
      <c r="B42" s="3">
        <v>399011.23364495538</v>
      </c>
    </row>
    <row r="43" spans="1:2" x14ac:dyDescent="0.25">
      <c r="A43" s="11" t="s">
        <v>83</v>
      </c>
      <c r="B43" s="8">
        <v>-99752.808411238846</v>
      </c>
    </row>
    <row r="44" spans="1:2" x14ac:dyDescent="0.25">
      <c r="A44" s="2" t="s">
        <v>84</v>
      </c>
      <c r="B44" s="3">
        <v>299258.42523371655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BD39-2C44-4C4A-A21B-FEFE821623AA}">
  <dimension ref="A1:P106"/>
  <sheetViews>
    <sheetView topLeftCell="D1" workbookViewId="0">
      <selection activeCell="B19" sqref="B19"/>
    </sheetView>
  </sheetViews>
  <sheetFormatPr defaultColWidth="11.42578125" defaultRowHeight="15" x14ac:dyDescent="0.25"/>
  <cols>
    <col min="1" max="1" width="39.85546875" style="120" customWidth="1"/>
    <col min="2" max="2" width="20.140625" customWidth="1"/>
    <col min="3" max="3" width="12.7109375" customWidth="1"/>
    <col min="4" max="4" width="15.85546875" customWidth="1"/>
    <col min="5" max="5" width="12.5703125" customWidth="1"/>
    <col min="6" max="6" width="19" customWidth="1"/>
    <col min="7" max="7" width="20.140625" customWidth="1"/>
    <col min="8" max="8" width="37.140625" customWidth="1"/>
    <col min="9" max="9" width="13.28515625" customWidth="1"/>
    <col min="10" max="10" width="31.85546875" customWidth="1"/>
    <col min="11" max="11" width="54.42578125" customWidth="1"/>
    <col min="257" max="257" width="39.85546875" customWidth="1"/>
    <col min="258" max="258" width="20.140625" customWidth="1"/>
    <col min="259" max="259" width="12.7109375" customWidth="1"/>
    <col min="260" max="260" width="15.85546875" customWidth="1"/>
    <col min="261" max="261" width="12.5703125" customWidth="1"/>
    <col min="262" max="262" width="19" customWidth="1"/>
    <col min="263" max="263" width="20.140625" customWidth="1"/>
    <col min="264" max="264" width="37.140625" customWidth="1"/>
    <col min="265" max="265" width="13.28515625" customWidth="1"/>
    <col min="266" max="266" width="31.85546875" customWidth="1"/>
    <col min="267" max="267" width="54.42578125" customWidth="1"/>
    <col min="513" max="513" width="39.85546875" customWidth="1"/>
    <col min="514" max="514" width="20.140625" customWidth="1"/>
    <col min="515" max="515" width="12.7109375" customWidth="1"/>
    <col min="516" max="516" width="15.85546875" customWidth="1"/>
    <col min="517" max="517" width="12.5703125" customWidth="1"/>
    <col min="518" max="518" width="19" customWidth="1"/>
    <col min="519" max="519" width="20.140625" customWidth="1"/>
    <col min="520" max="520" width="37.140625" customWidth="1"/>
    <col min="521" max="521" width="13.28515625" customWidth="1"/>
    <col min="522" max="522" width="31.85546875" customWidth="1"/>
    <col min="523" max="523" width="54.42578125" customWidth="1"/>
    <col min="769" max="769" width="39.85546875" customWidth="1"/>
    <col min="770" max="770" width="20.140625" customWidth="1"/>
    <col min="771" max="771" width="12.7109375" customWidth="1"/>
    <col min="772" max="772" width="15.85546875" customWidth="1"/>
    <col min="773" max="773" width="12.5703125" customWidth="1"/>
    <col min="774" max="774" width="19" customWidth="1"/>
    <col min="775" max="775" width="20.140625" customWidth="1"/>
    <col min="776" max="776" width="37.140625" customWidth="1"/>
    <col min="777" max="777" width="13.28515625" customWidth="1"/>
    <col min="778" max="778" width="31.85546875" customWidth="1"/>
    <col min="779" max="779" width="54.42578125" customWidth="1"/>
    <col min="1025" max="1025" width="39.85546875" customWidth="1"/>
    <col min="1026" max="1026" width="20.140625" customWidth="1"/>
    <col min="1027" max="1027" width="12.7109375" customWidth="1"/>
    <col min="1028" max="1028" width="15.85546875" customWidth="1"/>
    <col min="1029" max="1029" width="12.5703125" customWidth="1"/>
    <col min="1030" max="1030" width="19" customWidth="1"/>
    <col min="1031" max="1031" width="20.140625" customWidth="1"/>
    <col min="1032" max="1032" width="37.140625" customWidth="1"/>
    <col min="1033" max="1033" width="13.28515625" customWidth="1"/>
    <col min="1034" max="1034" width="31.85546875" customWidth="1"/>
    <col min="1035" max="1035" width="54.42578125" customWidth="1"/>
    <col min="1281" max="1281" width="39.85546875" customWidth="1"/>
    <col min="1282" max="1282" width="20.140625" customWidth="1"/>
    <col min="1283" max="1283" width="12.7109375" customWidth="1"/>
    <col min="1284" max="1284" width="15.85546875" customWidth="1"/>
    <col min="1285" max="1285" width="12.5703125" customWidth="1"/>
    <col min="1286" max="1286" width="19" customWidth="1"/>
    <col min="1287" max="1287" width="20.140625" customWidth="1"/>
    <col min="1288" max="1288" width="37.140625" customWidth="1"/>
    <col min="1289" max="1289" width="13.28515625" customWidth="1"/>
    <col min="1290" max="1290" width="31.85546875" customWidth="1"/>
    <col min="1291" max="1291" width="54.42578125" customWidth="1"/>
    <col min="1537" max="1537" width="39.85546875" customWidth="1"/>
    <col min="1538" max="1538" width="20.140625" customWidth="1"/>
    <col min="1539" max="1539" width="12.7109375" customWidth="1"/>
    <col min="1540" max="1540" width="15.85546875" customWidth="1"/>
    <col min="1541" max="1541" width="12.5703125" customWidth="1"/>
    <col min="1542" max="1542" width="19" customWidth="1"/>
    <col min="1543" max="1543" width="20.140625" customWidth="1"/>
    <col min="1544" max="1544" width="37.140625" customWidth="1"/>
    <col min="1545" max="1545" width="13.28515625" customWidth="1"/>
    <col min="1546" max="1546" width="31.85546875" customWidth="1"/>
    <col min="1547" max="1547" width="54.42578125" customWidth="1"/>
    <col min="1793" max="1793" width="39.85546875" customWidth="1"/>
    <col min="1794" max="1794" width="20.140625" customWidth="1"/>
    <col min="1795" max="1795" width="12.7109375" customWidth="1"/>
    <col min="1796" max="1796" width="15.85546875" customWidth="1"/>
    <col min="1797" max="1797" width="12.5703125" customWidth="1"/>
    <col min="1798" max="1798" width="19" customWidth="1"/>
    <col min="1799" max="1799" width="20.140625" customWidth="1"/>
    <col min="1800" max="1800" width="37.140625" customWidth="1"/>
    <col min="1801" max="1801" width="13.28515625" customWidth="1"/>
    <col min="1802" max="1802" width="31.85546875" customWidth="1"/>
    <col min="1803" max="1803" width="54.42578125" customWidth="1"/>
    <col min="2049" max="2049" width="39.85546875" customWidth="1"/>
    <col min="2050" max="2050" width="20.140625" customWidth="1"/>
    <col min="2051" max="2051" width="12.7109375" customWidth="1"/>
    <col min="2052" max="2052" width="15.85546875" customWidth="1"/>
    <col min="2053" max="2053" width="12.5703125" customWidth="1"/>
    <col min="2054" max="2054" width="19" customWidth="1"/>
    <col min="2055" max="2055" width="20.140625" customWidth="1"/>
    <col min="2056" max="2056" width="37.140625" customWidth="1"/>
    <col min="2057" max="2057" width="13.28515625" customWidth="1"/>
    <col min="2058" max="2058" width="31.85546875" customWidth="1"/>
    <col min="2059" max="2059" width="54.42578125" customWidth="1"/>
    <col min="2305" max="2305" width="39.85546875" customWidth="1"/>
    <col min="2306" max="2306" width="20.140625" customWidth="1"/>
    <col min="2307" max="2307" width="12.7109375" customWidth="1"/>
    <col min="2308" max="2308" width="15.85546875" customWidth="1"/>
    <col min="2309" max="2309" width="12.5703125" customWidth="1"/>
    <col min="2310" max="2310" width="19" customWidth="1"/>
    <col min="2311" max="2311" width="20.140625" customWidth="1"/>
    <col min="2312" max="2312" width="37.140625" customWidth="1"/>
    <col min="2313" max="2313" width="13.28515625" customWidth="1"/>
    <col min="2314" max="2314" width="31.85546875" customWidth="1"/>
    <col min="2315" max="2315" width="54.42578125" customWidth="1"/>
    <col min="2561" max="2561" width="39.85546875" customWidth="1"/>
    <col min="2562" max="2562" width="20.140625" customWidth="1"/>
    <col min="2563" max="2563" width="12.7109375" customWidth="1"/>
    <col min="2564" max="2564" width="15.85546875" customWidth="1"/>
    <col min="2565" max="2565" width="12.5703125" customWidth="1"/>
    <col min="2566" max="2566" width="19" customWidth="1"/>
    <col min="2567" max="2567" width="20.140625" customWidth="1"/>
    <col min="2568" max="2568" width="37.140625" customWidth="1"/>
    <col min="2569" max="2569" width="13.28515625" customWidth="1"/>
    <col min="2570" max="2570" width="31.85546875" customWidth="1"/>
    <col min="2571" max="2571" width="54.42578125" customWidth="1"/>
    <col min="2817" max="2817" width="39.85546875" customWidth="1"/>
    <col min="2818" max="2818" width="20.140625" customWidth="1"/>
    <col min="2819" max="2819" width="12.7109375" customWidth="1"/>
    <col min="2820" max="2820" width="15.85546875" customWidth="1"/>
    <col min="2821" max="2821" width="12.5703125" customWidth="1"/>
    <col min="2822" max="2822" width="19" customWidth="1"/>
    <col min="2823" max="2823" width="20.140625" customWidth="1"/>
    <col min="2824" max="2824" width="37.140625" customWidth="1"/>
    <col min="2825" max="2825" width="13.28515625" customWidth="1"/>
    <col min="2826" max="2826" width="31.85546875" customWidth="1"/>
    <col min="2827" max="2827" width="54.42578125" customWidth="1"/>
    <col min="3073" max="3073" width="39.85546875" customWidth="1"/>
    <col min="3074" max="3074" width="20.140625" customWidth="1"/>
    <col min="3075" max="3075" width="12.7109375" customWidth="1"/>
    <col min="3076" max="3076" width="15.85546875" customWidth="1"/>
    <col min="3077" max="3077" width="12.5703125" customWidth="1"/>
    <col min="3078" max="3078" width="19" customWidth="1"/>
    <col min="3079" max="3079" width="20.140625" customWidth="1"/>
    <col min="3080" max="3080" width="37.140625" customWidth="1"/>
    <col min="3081" max="3081" width="13.28515625" customWidth="1"/>
    <col min="3082" max="3082" width="31.85546875" customWidth="1"/>
    <col min="3083" max="3083" width="54.42578125" customWidth="1"/>
    <col min="3329" max="3329" width="39.85546875" customWidth="1"/>
    <col min="3330" max="3330" width="20.140625" customWidth="1"/>
    <col min="3331" max="3331" width="12.7109375" customWidth="1"/>
    <col min="3332" max="3332" width="15.85546875" customWidth="1"/>
    <col min="3333" max="3333" width="12.5703125" customWidth="1"/>
    <col min="3334" max="3334" width="19" customWidth="1"/>
    <col min="3335" max="3335" width="20.140625" customWidth="1"/>
    <col min="3336" max="3336" width="37.140625" customWidth="1"/>
    <col min="3337" max="3337" width="13.28515625" customWidth="1"/>
    <col min="3338" max="3338" width="31.85546875" customWidth="1"/>
    <col min="3339" max="3339" width="54.42578125" customWidth="1"/>
    <col min="3585" max="3585" width="39.85546875" customWidth="1"/>
    <col min="3586" max="3586" width="20.140625" customWidth="1"/>
    <col min="3587" max="3587" width="12.7109375" customWidth="1"/>
    <col min="3588" max="3588" width="15.85546875" customWidth="1"/>
    <col min="3589" max="3589" width="12.5703125" customWidth="1"/>
    <col min="3590" max="3590" width="19" customWidth="1"/>
    <col min="3591" max="3591" width="20.140625" customWidth="1"/>
    <col min="3592" max="3592" width="37.140625" customWidth="1"/>
    <col min="3593" max="3593" width="13.28515625" customWidth="1"/>
    <col min="3594" max="3594" width="31.85546875" customWidth="1"/>
    <col min="3595" max="3595" width="54.42578125" customWidth="1"/>
    <col min="3841" max="3841" width="39.85546875" customWidth="1"/>
    <col min="3842" max="3842" width="20.140625" customWidth="1"/>
    <col min="3843" max="3843" width="12.7109375" customWidth="1"/>
    <col min="3844" max="3844" width="15.85546875" customWidth="1"/>
    <col min="3845" max="3845" width="12.5703125" customWidth="1"/>
    <col min="3846" max="3846" width="19" customWidth="1"/>
    <col min="3847" max="3847" width="20.140625" customWidth="1"/>
    <col min="3848" max="3848" width="37.140625" customWidth="1"/>
    <col min="3849" max="3849" width="13.28515625" customWidth="1"/>
    <col min="3850" max="3850" width="31.85546875" customWidth="1"/>
    <col min="3851" max="3851" width="54.42578125" customWidth="1"/>
    <col min="4097" max="4097" width="39.85546875" customWidth="1"/>
    <col min="4098" max="4098" width="20.140625" customWidth="1"/>
    <col min="4099" max="4099" width="12.7109375" customWidth="1"/>
    <col min="4100" max="4100" width="15.85546875" customWidth="1"/>
    <col min="4101" max="4101" width="12.5703125" customWidth="1"/>
    <col min="4102" max="4102" width="19" customWidth="1"/>
    <col min="4103" max="4103" width="20.140625" customWidth="1"/>
    <col min="4104" max="4104" width="37.140625" customWidth="1"/>
    <col min="4105" max="4105" width="13.28515625" customWidth="1"/>
    <col min="4106" max="4106" width="31.85546875" customWidth="1"/>
    <col min="4107" max="4107" width="54.42578125" customWidth="1"/>
    <col min="4353" max="4353" width="39.85546875" customWidth="1"/>
    <col min="4354" max="4354" width="20.140625" customWidth="1"/>
    <col min="4355" max="4355" width="12.7109375" customWidth="1"/>
    <col min="4356" max="4356" width="15.85546875" customWidth="1"/>
    <col min="4357" max="4357" width="12.5703125" customWidth="1"/>
    <col min="4358" max="4358" width="19" customWidth="1"/>
    <col min="4359" max="4359" width="20.140625" customWidth="1"/>
    <col min="4360" max="4360" width="37.140625" customWidth="1"/>
    <col min="4361" max="4361" width="13.28515625" customWidth="1"/>
    <col min="4362" max="4362" width="31.85546875" customWidth="1"/>
    <col min="4363" max="4363" width="54.42578125" customWidth="1"/>
    <col min="4609" max="4609" width="39.85546875" customWidth="1"/>
    <col min="4610" max="4610" width="20.140625" customWidth="1"/>
    <col min="4611" max="4611" width="12.7109375" customWidth="1"/>
    <col min="4612" max="4612" width="15.85546875" customWidth="1"/>
    <col min="4613" max="4613" width="12.5703125" customWidth="1"/>
    <col min="4614" max="4614" width="19" customWidth="1"/>
    <col min="4615" max="4615" width="20.140625" customWidth="1"/>
    <col min="4616" max="4616" width="37.140625" customWidth="1"/>
    <col min="4617" max="4617" width="13.28515625" customWidth="1"/>
    <col min="4618" max="4618" width="31.85546875" customWidth="1"/>
    <col min="4619" max="4619" width="54.42578125" customWidth="1"/>
    <col min="4865" max="4865" width="39.85546875" customWidth="1"/>
    <col min="4866" max="4866" width="20.140625" customWidth="1"/>
    <col min="4867" max="4867" width="12.7109375" customWidth="1"/>
    <col min="4868" max="4868" width="15.85546875" customWidth="1"/>
    <col min="4869" max="4869" width="12.5703125" customWidth="1"/>
    <col min="4870" max="4870" width="19" customWidth="1"/>
    <col min="4871" max="4871" width="20.140625" customWidth="1"/>
    <col min="4872" max="4872" width="37.140625" customWidth="1"/>
    <col min="4873" max="4873" width="13.28515625" customWidth="1"/>
    <col min="4874" max="4874" width="31.85546875" customWidth="1"/>
    <col min="4875" max="4875" width="54.42578125" customWidth="1"/>
    <col min="5121" max="5121" width="39.85546875" customWidth="1"/>
    <col min="5122" max="5122" width="20.140625" customWidth="1"/>
    <col min="5123" max="5123" width="12.7109375" customWidth="1"/>
    <col min="5124" max="5124" width="15.85546875" customWidth="1"/>
    <col min="5125" max="5125" width="12.5703125" customWidth="1"/>
    <col min="5126" max="5126" width="19" customWidth="1"/>
    <col min="5127" max="5127" width="20.140625" customWidth="1"/>
    <col min="5128" max="5128" width="37.140625" customWidth="1"/>
    <col min="5129" max="5129" width="13.28515625" customWidth="1"/>
    <col min="5130" max="5130" width="31.85546875" customWidth="1"/>
    <col min="5131" max="5131" width="54.42578125" customWidth="1"/>
    <col min="5377" max="5377" width="39.85546875" customWidth="1"/>
    <col min="5378" max="5378" width="20.140625" customWidth="1"/>
    <col min="5379" max="5379" width="12.7109375" customWidth="1"/>
    <col min="5380" max="5380" width="15.85546875" customWidth="1"/>
    <col min="5381" max="5381" width="12.5703125" customWidth="1"/>
    <col min="5382" max="5382" width="19" customWidth="1"/>
    <col min="5383" max="5383" width="20.140625" customWidth="1"/>
    <col min="5384" max="5384" width="37.140625" customWidth="1"/>
    <col min="5385" max="5385" width="13.28515625" customWidth="1"/>
    <col min="5386" max="5386" width="31.85546875" customWidth="1"/>
    <col min="5387" max="5387" width="54.42578125" customWidth="1"/>
    <col min="5633" max="5633" width="39.85546875" customWidth="1"/>
    <col min="5634" max="5634" width="20.140625" customWidth="1"/>
    <col min="5635" max="5635" width="12.7109375" customWidth="1"/>
    <col min="5636" max="5636" width="15.85546875" customWidth="1"/>
    <col min="5637" max="5637" width="12.5703125" customWidth="1"/>
    <col min="5638" max="5638" width="19" customWidth="1"/>
    <col min="5639" max="5639" width="20.140625" customWidth="1"/>
    <col min="5640" max="5640" width="37.140625" customWidth="1"/>
    <col min="5641" max="5641" width="13.28515625" customWidth="1"/>
    <col min="5642" max="5642" width="31.85546875" customWidth="1"/>
    <col min="5643" max="5643" width="54.42578125" customWidth="1"/>
    <col min="5889" max="5889" width="39.85546875" customWidth="1"/>
    <col min="5890" max="5890" width="20.140625" customWidth="1"/>
    <col min="5891" max="5891" width="12.7109375" customWidth="1"/>
    <col min="5892" max="5892" width="15.85546875" customWidth="1"/>
    <col min="5893" max="5893" width="12.5703125" customWidth="1"/>
    <col min="5894" max="5894" width="19" customWidth="1"/>
    <col min="5895" max="5895" width="20.140625" customWidth="1"/>
    <col min="5896" max="5896" width="37.140625" customWidth="1"/>
    <col min="5897" max="5897" width="13.28515625" customWidth="1"/>
    <col min="5898" max="5898" width="31.85546875" customWidth="1"/>
    <col min="5899" max="5899" width="54.42578125" customWidth="1"/>
    <col min="6145" max="6145" width="39.85546875" customWidth="1"/>
    <col min="6146" max="6146" width="20.140625" customWidth="1"/>
    <col min="6147" max="6147" width="12.7109375" customWidth="1"/>
    <col min="6148" max="6148" width="15.85546875" customWidth="1"/>
    <col min="6149" max="6149" width="12.5703125" customWidth="1"/>
    <col min="6150" max="6150" width="19" customWidth="1"/>
    <col min="6151" max="6151" width="20.140625" customWidth="1"/>
    <col min="6152" max="6152" width="37.140625" customWidth="1"/>
    <col min="6153" max="6153" width="13.28515625" customWidth="1"/>
    <col min="6154" max="6154" width="31.85546875" customWidth="1"/>
    <col min="6155" max="6155" width="54.42578125" customWidth="1"/>
    <col min="6401" max="6401" width="39.85546875" customWidth="1"/>
    <col min="6402" max="6402" width="20.140625" customWidth="1"/>
    <col min="6403" max="6403" width="12.7109375" customWidth="1"/>
    <col min="6404" max="6404" width="15.85546875" customWidth="1"/>
    <col min="6405" max="6405" width="12.5703125" customWidth="1"/>
    <col min="6406" max="6406" width="19" customWidth="1"/>
    <col min="6407" max="6407" width="20.140625" customWidth="1"/>
    <col min="6408" max="6408" width="37.140625" customWidth="1"/>
    <col min="6409" max="6409" width="13.28515625" customWidth="1"/>
    <col min="6410" max="6410" width="31.85546875" customWidth="1"/>
    <col min="6411" max="6411" width="54.42578125" customWidth="1"/>
    <col min="6657" max="6657" width="39.85546875" customWidth="1"/>
    <col min="6658" max="6658" width="20.140625" customWidth="1"/>
    <col min="6659" max="6659" width="12.7109375" customWidth="1"/>
    <col min="6660" max="6660" width="15.85546875" customWidth="1"/>
    <col min="6661" max="6661" width="12.5703125" customWidth="1"/>
    <col min="6662" max="6662" width="19" customWidth="1"/>
    <col min="6663" max="6663" width="20.140625" customWidth="1"/>
    <col min="6664" max="6664" width="37.140625" customWidth="1"/>
    <col min="6665" max="6665" width="13.28515625" customWidth="1"/>
    <col min="6666" max="6666" width="31.85546875" customWidth="1"/>
    <col min="6667" max="6667" width="54.42578125" customWidth="1"/>
    <col min="6913" max="6913" width="39.85546875" customWidth="1"/>
    <col min="6914" max="6914" width="20.140625" customWidth="1"/>
    <col min="6915" max="6915" width="12.7109375" customWidth="1"/>
    <col min="6916" max="6916" width="15.85546875" customWidth="1"/>
    <col min="6917" max="6917" width="12.5703125" customWidth="1"/>
    <col min="6918" max="6918" width="19" customWidth="1"/>
    <col min="6919" max="6919" width="20.140625" customWidth="1"/>
    <col min="6920" max="6920" width="37.140625" customWidth="1"/>
    <col min="6921" max="6921" width="13.28515625" customWidth="1"/>
    <col min="6922" max="6922" width="31.85546875" customWidth="1"/>
    <col min="6923" max="6923" width="54.42578125" customWidth="1"/>
    <col min="7169" max="7169" width="39.85546875" customWidth="1"/>
    <col min="7170" max="7170" width="20.140625" customWidth="1"/>
    <col min="7171" max="7171" width="12.7109375" customWidth="1"/>
    <col min="7172" max="7172" width="15.85546875" customWidth="1"/>
    <col min="7173" max="7173" width="12.5703125" customWidth="1"/>
    <col min="7174" max="7174" width="19" customWidth="1"/>
    <col min="7175" max="7175" width="20.140625" customWidth="1"/>
    <col min="7176" max="7176" width="37.140625" customWidth="1"/>
    <col min="7177" max="7177" width="13.28515625" customWidth="1"/>
    <col min="7178" max="7178" width="31.85546875" customWidth="1"/>
    <col min="7179" max="7179" width="54.42578125" customWidth="1"/>
    <col min="7425" max="7425" width="39.85546875" customWidth="1"/>
    <col min="7426" max="7426" width="20.140625" customWidth="1"/>
    <col min="7427" max="7427" width="12.7109375" customWidth="1"/>
    <col min="7428" max="7428" width="15.85546875" customWidth="1"/>
    <col min="7429" max="7429" width="12.5703125" customWidth="1"/>
    <col min="7430" max="7430" width="19" customWidth="1"/>
    <col min="7431" max="7431" width="20.140625" customWidth="1"/>
    <col min="7432" max="7432" width="37.140625" customWidth="1"/>
    <col min="7433" max="7433" width="13.28515625" customWidth="1"/>
    <col min="7434" max="7434" width="31.85546875" customWidth="1"/>
    <col min="7435" max="7435" width="54.42578125" customWidth="1"/>
    <col min="7681" max="7681" width="39.85546875" customWidth="1"/>
    <col min="7682" max="7682" width="20.140625" customWidth="1"/>
    <col min="7683" max="7683" width="12.7109375" customWidth="1"/>
    <col min="7684" max="7684" width="15.85546875" customWidth="1"/>
    <col min="7685" max="7685" width="12.5703125" customWidth="1"/>
    <col min="7686" max="7686" width="19" customWidth="1"/>
    <col min="7687" max="7687" width="20.140625" customWidth="1"/>
    <col min="7688" max="7688" width="37.140625" customWidth="1"/>
    <col min="7689" max="7689" width="13.28515625" customWidth="1"/>
    <col min="7690" max="7690" width="31.85546875" customWidth="1"/>
    <col min="7691" max="7691" width="54.42578125" customWidth="1"/>
    <col min="7937" max="7937" width="39.85546875" customWidth="1"/>
    <col min="7938" max="7938" width="20.140625" customWidth="1"/>
    <col min="7939" max="7939" width="12.7109375" customWidth="1"/>
    <col min="7940" max="7940" width="15.85546875" customWidth="1"/>
    <col min="7941" max="7941" width="12.5703125" customWidth="1"/>
    <col min="7942" max="7942" width="19" customWidth="1"/>
    <col min="7943" max="7943" width="20.140625" customWidth="1"/>
    <col min="7944" max="7944" width="37.140625" customWidth="1"/>
    <col min="7945" max="7945" width="13.28515625" customWidth="1"/>
    <col min="7946" max="7946" width="31.85546875" customWidth="1"/>
    <col min="7947" max="7947" width="54.42578125" customWidth="1"/>
    <col min="8193" max="8193" width="39.85546875" customWidth="1"/>
    <col min="8194" max="8194" width="20.140625" customWidth="1"/>
    <col min="8195" max="8195" width="12.7109375" customWidth="1"/>
    <col min="8196" max="8196" width="15.85546875" customWidth="1"/>
    <col min="8197" max="8197" width="12.5703125" customWidth="1"/>
    <col min="8198" max="8198" width="19" customWidth="1"/>
    <col min="8199" max="8199" width="20.140625" customWidth="1"/>
    <col min="8200" max="8200" width="37.140625" customWidth="1"/>
    <col min="8201" max="8201" width="13.28515625" customWidth="1"/>
    <col min="8202" max="8202" width="31.85546875" customWidth="1"/>
    <col min="8203" max="8203" width="54.42578125" customWidth="1"/>
    <col min="8449" max="8449" width="39.85546875" customWidth="1"/>
    <col min="8450" max="8450" width="20.140625" customWidth="1"/>
    <col min="8451" max="8451" width="12.7109375" customWidth="1"/>
    <col min="8452" max="8452" width="15.85546875" customWidth="1"/>
    <col min="8453" max="8453" width="12.5703125" customWidth="1"/>
    <col min="8454" max="8454" width="19" customWidth="1"/>
    <col min="8455" max="8455" width="20.140625" customWidth="1"/>
    <col min="8456" max="8456" width="37.140625" customWidth="1"/>
    <col min="8457" max="8457" width="13.28515625" customWidth="1"/>
    <col min="8458" max="8458" width="31.85546875" customWidth="1"/>
    <col min="8459" max="8459" width="54.42578125" customWidth="1"/>
    <col min="8705" max="8705" width="39.85546875" customWidth="1"/>
    <col min="8706" max="8706" width="20.140625" customWidth="1"/>
    <col min="8707" max="8707" width="12.7109375" customWidth="1"/>
    <col min="8708" max="8708" width="15.85546875" customWidth="1"/>
    <col min="8709" max="8709" width="12.5703125" customWidth="1"/>
    <col min="8710" max="8710" width="19" customWidth="1"/>
    <col min="8711" max="8711" width="20.140625" customWidth="1"/>
    <col min="8712" max="8712" width="37.140625" customWidth="1"/>
    <col min="8713" max="8713" width="13.28515625" customWidth="1"/>
    <col min="8714" max="8714" width="31.85546875" customWidth="1"/>
    <col min="8715" max="8715" width="54.42578125" customWidth="1"/>
    <col min="8961" max="8961" width="39.85546875" customWidth="1"/>
    <col min="8962" max="8962" width="20.140625" customWidth="1"/>
    <col min="8963" max="8963" width="12.7109375" customWidth="1"/>
    <col min="8964" max="8964" width="15.85546875" customWidth="1"/>
    <col min="8965" max="8965" width="12.5703125" customWidth="1"/>
    <col min="8966" max="8966" width="19" customWidth="1"/>
    <col min="8967" max="8967" width="20.140625" customWidth="1"/>
    <col min="8968" max="8968" width="37.140625" customWidth="1"/>
    <col min="8969" max="8969" width="13.28515625" customWidth="1"/>
    <col min="8970" max="8970" width="31.85546875" customWidth="1"/>
    <col min="8971" max="8971" width="54.42578125" customWidth="1"/>
    <col min="9217" max="9217" width="39.85546875" customWidth="1"/>
    <col min="9218" max="9218" width="20.140625" customWidth="1"/>
    <col min="9219" max="9219" width="12.7109375" customWidth="1"/>
    <col min="9220" max="9220" width="15.85546875" customWidth="1"/>
    <col min="9221" max="9221" width="12.5703125" customWidth="1"/>
    <col min="9222" max="9222" width="19" customWidth="1"/>
    <col min="9223" max="9223" width="20.140625" customWidth="1"/>
    <col min="9224" max="9224" width="37.140625" customWidth="1"/>
    <col min="9225" max="9225" width="13.28515625" customWidth="1"/>
    <col min="9226" max="9226" width="31.85546875" customWidth="1"/>
    <col min="9227" max="9227" width="54.42578125" customWidth="1"/>
    <col min="9473" max="9473" width="39.85546875" customWidth="1"/>
    <col min="9474" max="9474" width="20.140625" customWidth="1"/>
    <col min="9475" max="9475" width="12.7109375" customWidth="1"/>
    <col min="9476" max="9476" width="15.85546875" customWidth="1"/>
    <col min="9477" max="9477" width="12.5703125" customWidth="1"/>
    <col min="9478" max="9478" width="19" customWidth="1"/>
    <col min="9479" max="9479" width="20.140625" customWidth="1"/>
    <col min="9480" max="9480" width="37.140625" customWidth="1"/>
    <col min="9481" max="9481" width="13.28515625" customWidth="1"/>
    <col min="9482" max="9482" width="31.85546875" customWidth="1"/>
    <col min="9483" max="9483" width="54.42578125" customWidth="1"/>
    <col min="9729" max="9729" width="39.85546875" customWidth="1"/>
    <col min="9730" max="9730" width="20.140625" customWidth="1"/>
    <col min="9731" max="9731" width="12.7109375" customWidth="1"/>
    <col min="9732" max="9732" width="15.85546875" customWidth="1"/>
    <col min="9733" max="9733" width="12.5703125" customWidth="1"/>
    <col min="9734" max="9734" width="19" customWidth="1"/>
    <col min="9735" max="9735" width="20.140625" customWidth="1"/>
    <col min="9736" max="9736" width="37.140625" customWidth="1"/>
    <col min="9737" max="9737" width="13.28515625" customWidth="1"/>
    <col min="9738" max="9738" width="31.85546875" customWidth="1"/>
    <col min="9739" max="9739" width="54.42578125" customWidth="1"/>
    <col min="9985" max="9985" width="39.85546875" customWidth="1"/>
    <col min="9986" max="9986" width="20.140625" customWidth="1"/>
    <col min="9987" max="9987" width="12.7109375" customWidth="1"/>
    <col min="9988" max="9988" width="15.85546875" customWidth="1"/>
    <col min="9989" max="9989" width="12.5703125" customWidth="1"/>
    <col min="9990" max="9990" width="19" customWidth="1"/>
    <col min="9991" max="9991" width="20.140625" customWidth="1"/>
    <col min="9992" max="9992" width="37.140625" customWidth="1"/>
    <col min="9993" max="9993" width="13.28515625" customWidth="1"/>
    <col min="9994" max="9994" width="31.85546875" customWidth="1"/>
    <col min="9995" max="9995" width="54.42578125" customWidth="1"/>
    <col min="10241" max="10241" width="39.85546875" customWidth="1"/>
    <col min="10242" max="10242" width="20.140625" customWidth="1"/>
    <col min="10243" max="10243" width="12.7109375" customWidth="1"/>
    <col min="10244" max="10244" width="15.85546875" customWidth="1"/>
    <col min="10245" max="10245" width="12.5703125" customWidth="1"/>
    <col min="10246" max="10246" width="19" customWidth="1"/>
    <col min="10247" max="10247" width="20.140625" customWidth="1"/>
    <col min="10248" max="10248" width="37.140625" customWidth="1"/>
    <col min="10249" max="10249" width="13.28515625" customWidth="1"/>
    <col min="10250" max="10250" width="31.85546875" customWidth="1"/>
    <col min="10251" max="10251" width="54.42578125" customWidth="1"/>
    <col min="10497" max="10497" width="39.85546875" customWidth="1"/>
    <col min="10498" max="10498" width="20.140625" customWidth="1"/>
    <col min="10499" max="10499" width="12.7109375" customWidth="1"/>
    <col min="10500" max="10500" width="15.85546875" customWidth="1"/>
    <col min="10501" max="10501" width="12.5703125" customWidth="1"/>
    <col min="10502" max="10502" width="19" customWidth="1"/>
    <col min="10503" max="10503" width="20.140625" customWidth="1"/>
    <col min="10504" max="10504" width="37.140625" customWidth="1"/>
    <col min="10505" max="10505" width="13.28515625" customWidth="1"/>
    <col min="10506" max="10506" width="31.85546875" customWidth="1"/>
    <col min="10507" max="10507" width="54.42578125" customWidth="1"/>
    <col min="10753" max="10753" width="39.85546875" customWidth="1"/>
    <col min="10754" max="10754" width="20.140625" customWidth="1"/>
    <col min="10755" max="10755" width="12.7109375" customWidth="1"/>
    <col min="10756" max="10756" width="15.85546875" customWidth="1"/>
    <col min="10757" max="10757" width="12.5703125" customWidth="1"/>
    <col min="10758" max="10758" width="19" customWidth="1"/>
    <col min="10759" max="10759" width="20.140625" customWidth="1"/>
    <col min="10760" max="10760" width="37.140625" customWidth="1"/>
    <col min="10761" max="10761" width="13.28515625" customWidth="1"/>
    <col min="10762" max="10762" width="31.85546875" customWidth="1"/>
    <col min="10763" max="10763" width="54.42578125" customWidth="1"/>
    <col min="11009" max="11009" width="39.85546875" customWidth="1"/>
    <col min="11010" max="11010" width="20.140625" customWidth="1"/>
    <col min="11011" max="11011" width="12.7109375" customWidth="1"/>
    <col min="11012" max="11012" width="15.85546875" customWidth="1"/>
    <col min="11013" max="11013" width="12.5703125" customWidth="1"/>
    <col min="11014" max="11014" width="19" customWidth="1"/>
    <col min="11015" max="11015" width="20.140625" customWidth="1"/>
    <col min="11016" max="11016" width="37.140625" customWidth="1"/>
    <col min="11017" max="11017" width="13.28515625" customWidth="1"/>
    <col min="11018" max="11018" width="31.85546875" customWidth="1"/>
    <col min="11019" max="11019" width="54.42578125" customWidth="1"/>
    <col min="11265" max="11265" width="39.85546875" customWidth="1"/>
    <col min="11266" max="11266" width="20.140625" customWidth="1"/>
    <col min="11267" max="11267" width="12.7109375" customWidth="1"/>
    <col min="11268" max="11268" width="15.85546875" customWidth="1"/>
    <col min="11269" max="11269" width="12.5703125" customWidth="1"/>
    <col min="11270" max="11270" width="19" customWidth="1"/>
    <col min="11271" max="11271" width="20.140625" customWidth="1"/>
    <col min="11272" max="11272" width="37.140625" customWidth="1"/>
    <col min="11273" max="11273" width="13.28515625" customWidth="1"/>
    <col min="11274" max="11274" width="31.85546875" customWidth="1"/>
    <col min="11275" max="11275" width="54.42578125" customWidth="1"/>
    <col min="11521" max="11521" width="39.85546875" customWidth="1"/>
    <col min="11522" max="11522" width="20.140625" customWidth="1"/>
    <col min="11523" max="11523" width="12.7109375" customWidth="1"/>
    <col min="11524" max="11524" width="15.85546875" customWidth="1"/>
    <col min="11525" max="11525" width="12.5703125" customWidth="1"/>
    <col min="11526" max="11526" width="19" customWidth="1"/>
    <col min="11527" max="11527" width="20.140625" customWidth="1"/>
    <col min="11528" max="11528" width="37.140625" customWidth="1"/>
    <col min="11529" max="11529" width="13.28515625" customWidth="1"/>
    <col min="11530" max="11530" width="31.85546875" customWidth="1"/>
    <col min="11531" max="11531" width="54.42578125" customWidth="1"/>
    <col min="11777" max="11777" width="39.85546875" customWidth="1"/>
    <col min="11778" max="11778" width="20.140625" customWidth="1"/>
    <col min="11779" max="11779" width="12.7109375" customWidth="1"/>
    <col min="11780" max="11780" width="15.85546875" customWidth="1"/>
    <col min="11781" max="11781" width="12.5703125" customWidth="1"/>
    <col min="11782" max="11782" width="19" customWidth="1"/>
    <col min="11783" max="11783" width="20.140625" customWidth="1"/>
    <col min="11784" max="11784" width="37.140625" customWidth="1"/>
    <col min="11785" max="11785" width="13.28515625" customWidth="1"/>
    <col min="11786" max="11786" width="31.85546875" customWidth="1"/>
    <col min="11787" max="11787" width="54.42578125" customWidth="1"/>
    <col min="12033" max="12033" width="39.85546875" customWidth="1"/>
    <col min="12034" max="12034" width="20.140625" customWidth="1"/>
    <col min="12035" max="12035" width="12.7109375" customWidth="1"/>
    <col min="12036" max="12036" width="15.85546875" customWidth="1"/>
    <col min="12037" max="12037" width="12.5703125" customWidth="1"/>
    <col min="12038" max="12038" width="19" customWidth="1"/>
    <col min="12039" max="12039" width="20.140625" customWidth="1"/>
    <col min="12040" max="12040" width="37.140625" customWidth="1"/>
    <col min="12041" max="12041" width="13.28515625" customWidth="1"/>
    <col min="12042" max="12042" width="31.85546875" customWidth="1"/>
    <col min="12043" max="12043" width="54.42578125" customWidth="1"/>
    <col min="12289" max="12289" width="39.85546875" customWidth="1"/>
    <col min="12290" max="12290" width="20.140625" customWidth="1"/>
    <col min="12291" max="12291" width="12.7109375" customWidth="1"/>
    <col min="12292" max="12292" width="15.85546875" customWidth="1"/>
    <col min="12293" max="12293" width="12.5703125" customWidth="1"/>
    <col min="12294" max="12294" width="19" customWidth="1"/>
    <col min="12295" max="12295" width="20.140625" customWidth="1"/>
    <col min="12296" max="12296" width="37.140625" customWidth="1"/>
    <col min="12297" max="12297" width="13.28515625" customWidth="1"/>
    <col min="12298" max="12298" width="31.85546875" customWidth="1"/>
    <col min="12299" max="12299" width="54.42578125" customWidth="1"/>
    <col min="12545" max="12545" width="39.85546875" customWidth="1"/>
    <col min="12546" max="12546" width="20.140625" customWidth="1"/>
    <col min="12547" max="12547" width="12.7109375" customWidth="1"/>
    <col min="12548" max="12548" width="15.85546875" customWidth="1"/>
    <col min="12549" max="12549" width="12.5703125" customWidth="1"/>
    <col min="12550" max="12550" width="19" customWidth="1"/>
    <col min="12551" max="12551" width="20.140625" customWidth="1"/>
    <col min="12552" max="12552" width="37.140625" customWidth="1"/>
    <col min="12553" max="12553" width="13.28515625" customWidth="1"/>
    <col min="12554" max="12554" width="31.85546875" customWidth="1"/>
    <col min="12555" max="12555" width="54.42578125" customWidth="1"/>
    <col min="12801" max="12801" width="39.85546875" customWidth="1"/>
    <col min="12802" max="12802" width="20.140625" customWidth="1"/>
    <col min="12803" max="12803" width="12.7109375" customWidth="1"/>
    <col min="12804" max="12804" width="15.85546875" customWidth="1"/>
    <col min="12805" max="12805" width="12.5703125" customWidth="1"/>
    <col min="12806" max="12806" width="19" customWidth="1"/>
    <col min="12807" max="12807" width="20.140625" customWidth="1"/>
    <col min="12808" max="12808" width="37.140625" customWidth="1"/>
    <col min="12809" max="12809" width="13.28515625" customWidth="1"/>
    <col min="12810" max="12810" width="31.85546875" customWidth="1"/>
    <col min="12811" max="12811" width="54.42578125" customWidth="1"/>
    <col min="13057" max="13057" width="39.85546875" customWidth="1"/>
    <col min="13058" max="13058" width="20.140625" customWidth="1"/>
    <col min="13059" max="13059" width="12.7109375" customWidth="1"/>
    <col min="13060" max="13060" width="15.85546875" customWidth="1"/>
    <col min="13061" max="13061" width="12.5703125" customWidth="1"/>
    <col min="13062" max="13062" width="19" customWidth="1"/>
    <col min="13063" max="13063" width="20.140625" customWidth="1"/>
    <col min="13064" max="13064" width="37.140625" customWidth="1"/>
    <col min="13065" max="13065" width="13.28515625" customWidth="1"/>
    <col min="13066" max="13066" width="31.85546875" customWidth="1"/>
    <col min="13067" max="13067" width="54.42578125" customWidth="1"/>
    <col min="13313" max="13313" width="39.85546875" customWidth="1"/>
    <col min="13314" max="13314" width="20.140625" customWidth="1"/>
    <col min="13315" max="13315" width="12.7109375" customWidth="1"/>
    <col min="13316" max="13316" width="15.85546875" customWidth="1"/>
    <col min="13317" max="13317" width="12.5703125" customWidth="1"/>
    <col min="13318" max="13318" width="19" customWidth="1"/>
    <col min="13319" max="13319" width="20.140625" customWidth="1"/>
    <col min="13320" max="13320" width="37.140625" customWidth="1"/>
    <col min="13321" max="13321" width="13.28515625" customWidth="1"/>
    <col min="13322" max="13322" width="31.85546875" customWidth="1"/>
    <col min="13323" max="13323" width="54.42578125" customWidth="1"/>
    <col min="13569" max="13569" width="39.85546875" customWidth="1"/>
    <col min="13570" max="13570" width="20.140625" customWidth="1"/>
    <col min="13571" max="13571" width="12.7109375" customWidth="1"/>
    <col min="13572" max="13572" width="15.85546875" customWidth="1"/>
    <col min="13573" max="13573" width="12.5703125" customWidth="1"/>
    <col min="13574" max="13574" width="19" customWidth="1"/>
    <col min="13575" max="13575" width="20.140625" customWidth="1"/>
    <col min="13576" max="13576" width="37.140625" customWidth="1"/>
    <col min="13577" max="13577" width="13.28515625" customWidth="1"/>
    <col min="13578" max="13578" width="31.85546875" customWidth="1"/>
    <col min="13579" max="13579" width="54.42578125" customWidth="1"/>
    <col min="13825" max="13825" width="39.85546875" customWidth="1"/>
    <col min="13826" max="13826" width="20.140625" customWidth="1"/>
    <col min="13827" max="13827" width="12.7109375" customWidth="1"/>
    <col min="13828" max="13828" width="15.85546875" customWidth="1"/>
    <col min="13829" max="13829" width="12.5703125" customWidth="1"/>
    <col min="13830" max="13830" width="19" customWidth="1"/>
    <col min="13831" max="13831" width="20.140625" customWidth="1"/>
    <col min="13832" max="13832" width="37.140625" customWidth="1"/>
    <col min="13833" max="13833" width="13.28515625" customWidth="1"/>
    <col min="13834" max="13834" width="31.85546875" customWidth="1"/>
    <col min="13835" max="13835" width="54.42578125" customWidth="1"/>
    <col min="14081" max="14081" width="39.85546875" customWidth="1"/>
    <col min="14082" max="14082" width="20.140625" customWidth="1"/>
    <col min="14083" max="14083" width="12.7109375" customWidth="1"/>
    <col min="14084" max="14084" width="15.85546875" customWidth="1"/>
    <col min="14085" max="14085" width="12.5703125" customWidth="1"/>
    <col min="14086" max="14086" width="19" customWidth="1"/>
    <col min="14087" max="14087" width="20.140625" customWidth="1"/>
    <col min="14088" max="14088" width="37.140625" customWidth="1"/>
    <col min="14089" max="14089" width="13.28515625" customWidth="1"/>
    <col min="14090" max="14090" width="31.85546875" customWidth="1"/>
    <col min="14091" max="14091" width="54.42578125" customWidth="1"/>
    <col min="14337" max="14337" width="39.85546875" customWidth="1"/>
    <col min="14338" max="14338" width="20.140625" customWidth="1"/>
    <col min="14339" max="14339" width="12.7109375" customWidth="1"/>
    <col min="14340" max="14340" width="15.85546875" customWidth="1"/>
    <col min="14341" max="14341" width="12.5703125" customWidth="1"/>
    <col min="14342" max="14342" width="19" customWidth="1"/>
    <col min="14343" max="14343" width="20.140625" customWidth="1"/>
    <col min="14344" max="14344" width="37.140625" customWidth="1"/>
    <col min="14345" max="14345" width="13.28515625" customWidth="1"/>
    <col min="14346" max="14346" width="31.85546875" customWidth="1"/>
    <col min="14347" max="14347" width="54.42578125" customWidth="1"/>
    <col min="14593" max="14593" width="39.85546875" customWidth="1"/>
    <col min="14594" max="14594" width="20.140625" customWidth="1"/>
    <col min="14595" max="14595" width="12.7109375" customWidth="1"/>
    <col min="14596" max="14596" width="15.85546875" customWidth="1"/>
    <col min="14597" max="14597" width="12.5703125" customWidth="1"/>
    <col min="14598" max="14598" width="19" customWidth="1"/>
    <col min="14599" max="14599" width="20.140625" customWidth="1"/>
    <col min="14600" max="14600" width="37.140625" customWidth="1"/>
    <col min="14601" max="14601" width="13.28515625" customWidth="1"/>
    <col min="14602" max="14602" width="31.85546875" customWidth="1"/>
    <col min="14603" max="14603" width="54.42578125" customWidth="1"/>
    <col min="14849" max="14849" width="39.85546875" customWidth="1"/>
    <col min="14850" max="14850" width="20.140625" customWidth="1"/>
    <col min="14851" max="14851" width="12.7109375" customWidth="1"/>
    <col min="14852" max="14852" width="15.85546875" customWidth="1"/>
    <col min="14853" max="14853" width="12.5703125" customWidth="1"/>
    <col min="14854" max="14854" width="19" customWidth="1"/>
    <col min="14855" max="14855" width="20.140625" customWidth="1"/>
    <col min="14856" max="14856" width="37.140625" customWidth="1"/>
    <col min="14857" max="14857" width="13.28515625" customWidth="1"/>
    <col min="14858" max="14858" width="31.85546875" customWidth="1"/>
    <col min="14859" max="14859" width="54.42578125" customWidth="1"/>
    <col min="15105" max="15105" width="39.85546875" customWidth="1"/>
    <col min="15106" max="15106" width="20.140625" customWidth="1"/>
    <col min="15107" max="15107" width="12.7109375" customWidth="1"/>
    <col min="15108" max="15108" width="15.85546875" customWidth="1"/>
    <col min="15109" max="15109" width="12.5703125" customWidth="1"/>
    <col min="15110" max="15110" width="19" customWidth="1"/>
    <col min="15111" max="15111" width="20.140625" customWidth="1"/>
    <col min="15112" max="15112" width="37.140625" customWidth="1"/>
    <col min="15113" max="15113" width="13.28515625" customWidth="1"/>
    <col min="15114" max="15114" width="31.85546875" customWidth="1"/>
    <col min="15115" max="15115" width="54.42578125" customWidth="1"/>
    <col min="15361" max="15361" width="39.85546875" customWidth="1"/>
    <col min="15362" max="15362" width="20.140625" customWidth="1"/>
    <col min="15363" max="15363" width="12.7109375" customWidth="1"/>
    <col min="15364" max="15364" width="15.85546875" customWidth="1"/>
    <col min="15365" max="15365" width="12.5703125" customWidth="1"/>
    <col min="15366" max="15366" width="19" customWidth="1"/>
    <col min="15367" max="15367" width="20.140625" customWidth="1"/>
    <col min="15368" max="15368" width="37.140625" customWidth="1"/>
    <col min="15369" max="15369" width="13.28515625" customWidth="1"/>
    <col min="15370" max="15370" width="31.85546875" customWidth="1"/>
    <col min="15371" max="15371" width="54.42578125" customWidth="1"/>
    <col min="15617" max="15617" width="39.85546875" customWidth="1"/>
    <col min="15618" max="15618" width="20.140625" customWidth="1"/>
    <col min="15619" max="15619" width="12.7109375" customWidth="1"/>
    <col min="15620" max="15620" width="15.85546875" customWidth="1"/>
    <col min="15621" max="15621" width="12.5703125" customWidth="1"/>
    <col min="15622" max="15622" width="19" customWidth="1"/>
    <col min="15623" max="15623" width="20.140625" customWidth="1"/>
    <col min="15624" max="15624" width="37.140625" customWidth="1"/>
    <col min="15625" max="15625" width="13.28515625" customWidth="1"/>
    <col min="15626" max="15626" width="31.85546875" customWidth="1"/>
    <col min="15627" max="15627" width="54.42578125" customWidth="1"/>
    <col min="15873" max="15873" width="39.85546875" customWidth="1"/>
    <col min="15874" max="15874" width="20.140625" customWidth="1"/>
    <col min="15875" max="15875" width="12.7109375" customWidth="1"/>
    <col min="15876" max="15876" width="15.85546875" customWidth="1"/>
    <col min="15877" max="15877" width="12.5703125" customWidth="1"/>
    <col min="15878" max="15878" width="19" customWidth="1"/>
    <col min="15879" max="15879" width="20.140625" customWidth="1"/>
    <col min="15880" max="15880" width="37.140625" customWidth="1"/>
    <col min="15881" max="15881" width="13.28515625" customWidth="1"/>
    <col min="15882" max="15882" width="31.85546875" customWidth="1"/>
    <col min="15883" max="15883" width="54.42578125" customWidth="1"/>
    <col min="16129" max="16129" width="39.85546875" customWidth="1"/>
    <col min="16130" max="16130" width="20.140625" customWidth="1"/>
    <col min="16131" max="16131" width="12.7109375" customWidth="1"/>
    <col min="16132" max="16132" width="15.85546875" customWidth="1"/>
    <col min="16133" max="16133" width="12.5703125" customWidth="1"/>
    <col min="16134" max="16134" width="19" customWidth="1"/>
    <col min="16135" max="16135" width="20.140625" customWidth="1"/>
    <col min="16136" max="16136" width="37.140625" customWidth="1"/>
    <col min="16137" max="16137" width="13.28515625" customWidth="1"/>
    <col min="16138" max="16138" width="31.85546875" customWidth="1"/>
    <col min="16139" max="16139" width="54.42578125" customWidth="1"/>
  </cols>
  <sheetData>
    <row r="1" spans="1:16" ht="15.75" x14ac:dyDescent="0.25">
      <c r="A1" s="91" t="s">
        <v>190</v>
      </c>
      <c r="B1" s="124">
        <v>45296</v>
      </c>
      <c r="C1" s="125"/>
      <c r="D1" s="125"/>
      <c r="E1" s="125"/>
      <c r="F1" s="125"/>
      <c r="G1" s="126"/>
      <c r="H1" s="127" t="s">
        <v>191</v>
      </c>
    </row>
    <row r="2" spans="1:16" ht="15.75" x14ac:dyDescent="0.25">
      <c r="A2" s="92" t="s">
        <v>192</v>
      </c>
      <c r="B2" s="130" t="s">
        <v>193</v>
      </c>
      <c r="C2" s="131"/>
      <c r="D2" s="131"/>
      <c r="E2" s="131"/>
      <c r="F2" s="131"/>
      <c r="G2" s="132"/>
      <c r="H2" s="128"/>
    </row>
    <row r="3" spans="1:16" ht="15.75" x14ac:dyDescent="0.25">
      <c r="A3" s="92" t="s">
        <v>194</v>
      </c>
      <c r="B3" s="133" t="s">
        <v>195</v>
      </c>
      <c r="C3" s="134"/>
      <c r="D3" s="134"/>
      <c r="E3" s="135"/>
      <c r="F3" s="133" t="s">
        <v>196</v>
      </c>
      <c r="G3" s="136"/>
      <c r="H3" s="128"/>
      <c r="I3" s="93"/>
      <c r="J3" s="93"/>
    </row>
    <row r="4" spans="1:16" ht="15.75" x14ac:dyDescent="0.25">
      <c r="A4" s="92" t="s">
        <v>197</v>
      </c>
      <c r="B4" s="137" t="s">
        <v>198</v>
      </c>
      <c r="C4" s="138"/>
      <c r="D4" s="138"/>
      <c r="E4" s="138"/>
      <c r="F4" s="138"/>
      <c r="G4" s="139"/>
      <c r="H4" s="128"/>
    </row>
    <row r="5" spans="1:16" ht="15.75" x14ac:dyDescent="0.25">
      <c r="A5" s="92" t="s">
        <v>199</v>
      </c>
      <c r="B5" s="140" t="s">
        <v>341</v>
      </c>
      <c r="C5" s="141"/>
      <c r="D5" s="141"/>
      <c r="E5" s="141"/>
      <c r="F5" s="141"/>
      <c r="G5" s="142"/>
      <c r="H5" s="128"/>
    </row>
    <row r="6" spans="1:16" s="94" customFormat="1" ht="15.75" x14ac:dyDescent="0.25">
      <c r="A6" s="92" t="s">
        <v>200</v>
      </c>
      <c r="B6" s="130" t="s">
        <v>342</v>
      </c>
      <c r="C6" s="131"/>
      <c r="D6" s="131"/>
      <c r="E6" s="131"/>
      <c r="F6" s="131"/>
      <c r="G6" s="132"/>
      <c r="H6" s="128"/>
    </row>
    <row r="7" spans="1:16" ht="15.75" x14ac:dyDescent="0.25">
      <c r="A7" s="95" t="s">
        <v>201</v>
      </c>
      <c r="B7" s="143" t="s">
        <v>343</v>
      </c>
      <c r="C7" s="144"/>
      <c r="D7" s="144"/>
      <c r="E7" s="144"/>
      <c r="F7" s="144"/>
      <c r="G7" s="145"/>
      <c r="H7" s="129"/>
    </row>
    <row r="8" spans="1:16" ht="16.5" thickBot="1" x14ac:dyDescent="0.3">
      <c r="A8" t="s">
        <v>202</v>
      </c>
      <c r="B8" s="96"/>
      <c r="C8" s="97"/>
      <c r="D8" s="96"/>
      <c r="E8" s="96"/>
      <c r="F8" s="98" t="s">
        <v>203</v>
      </c>
      <c r="G8" s="96"/>
      <c r="H8" s="96"/>
      <c r="K8" s="59"/>
    </row>
    <row r="9" spans="1:16" ht="16.5" thickBot="1" x14ac:dyDescent="0.3">
      <c r="A9" t="s">
        <v>204</v>
      </c>
      <c r="B9" s="96"/>
      <c r="C9" s="97"/>
      <c r="D9" s="96"/>
      <c r="E9" s="96"/>
      <c r="F9" s="99">
        <v>0.24709999999999999</v>
      </c>
      <c r="G9" s="96"/>
      <c r="H9" s="96"/>
      <c r="K9" s="59"/>
      <c r="L9" s="121" t="s">
        <v>344</v>
      </c>
      <c r="M9" s="122"/>
      <c r="N9" s="122"/>
      <c r="O9" s="122"/>
      <c r="P9" s="123"/>
    </row>
    <row r="10" spans="1:16" ht="26.25" x14ac:dyDescent="0.25">
      <c r="A10" s="100" t="s">
        <v>205</v>
      </c>
      <c r="B10" s="101" t="s">
        <v>206</v>
      </c>
      <c r="C10" s="102" t="s">
        <v>207</v>
      </c>
      <c r="D10" s="101" t="s">
        <v>208</v>
      </c>
      <c r="E10" s="101" t="s">
        <v>209</v>
      </c>
      <c r="F10" s="103" t="s">
        <v>210</v>
      </c>
      <c r="G10" s="101" t="s">
        <v>211</v>
      </c>
      <c r="H10" s="103" t="s">
        <v>212</v>
      </c>
      <c r="I10" s="101" t="s">
        <v>213</v>
      </c>
      <c r="J10" s="103" t="s">
        <v>214</v>
      </c>
      <c r="K10" s="104" t="s">
        <v>215</v>
      </c>
      <c r="L10" s="103" t="s">
        <v>313</v>
      </c>
      <c r="M10" s="103" t="s">
        <v>345</v>
      </c>
      <c r="N10" s="103" t="s">
        <v>346</v>
      </c>
      <c r="O10" s="103">
        <v>2022</v>
      </c>
      <c r="P10" s="105" t="s">
        <v>347</v>
      </c>
    </row>
    <row r="11" spans="1:16" ht="15.75" hidden="1" customHeight="1" x14ac:dyDescent="0.25">
      <c r="A11" s="106" t="s">
        <v>216</v>
      </c>
      <c r="B11" s="107">
        <v>89</v>
      </c>
      <c r="C11" s="108">
        <v>1.0096480818742957</v>
      </c>
      <c r="D11" s="109">
        <v>0.46358519976523366</v>
      </c>
      <c r="E11" s="109">
        <v>0.13698926560957606</v>
      </c>
      <c r="F11" s="108">
        <f>IF($F$8="Effective",C11/(1+(1-E11)*D11),C11/(1+(1-$F$9)*D11))</f>
        <v>0.74842339636240263</v>
      </c>
      <c r="G11" s="109">
        <v>0.11363434105429032</v>
      </c>
      <c r="H11" s="108">
        <f>F11/(1-G11)</f>
        <v>0.84437318708016862</v>
      </c>
      <c r="I11" s="110">
        <v>0.37614553347622093</v>
      </c>
      <c r="J11" s="111">
        <v>0.35163784823517308</v>
      </c>
      <c r="K11" s="112">
        <v>0.45861753103534303</v>
      </c>
      <c r="L11" s="113">
        <v>0.68</v>
      </c>
      <c r="M11" s="114">
        <v>0.73</v>
      </c>
      <c r="N11" s="97">
        <v>0.83</v>
      </c>
      <c r="O11" s="97">
        <v>0.90361402776565003</v>
      </c>
      <c r="P11" s="115">
        <f>AVERAGE(H11,L11:O11)</f>
        <v>0.79759744296916368</v>
      </c>
    </row>
    <row r="12" spans="1:16" ht="15" hidden="1" customHeight="1" x14ac:dyDescent="0.25">
      <c r="A12" s="106" t="s">
        <v>217</v>
      </c>
      <c r="B12" s="107">
        <v>61</v>
      </c>
      <c r="C12" s="108">
        <v>0.90446606994531331</v>
      </c>
      <c r="D12" s="109">
        <v>0.15337917482839766</v>
      </c>
      <c r="E12" s="109">
        <v>0.1274261400807439</v>
      </c>
      <c r="F12" s="108">
        <f t="shared" ref="F12:F75" si="0">IF($F$8="Effective",C12/(1+(1-E12)*D12),C12/(1+(1-$F$9)*D12))</f>
        <v>0.81083186990077571</v>
      </c>
      <c r="G12" s="109">
        <v>8.4754502187424641E-2</v>
      </c>
      <c r="H12" s="108">
        <f t="shared" ref="H12:H75" si="1">F12/(1-G12)</f>
        <v>0.88591735423845641</v>
      </c>
      <c r="I12" s="110">
        <v>0.33615766711179518</v>
      </c>
      <c r="J12" s="111">
        <v>0.3552608942317434</v>
      </c>
      <c r="K12" s="112">
        <v>0.20735147293280809</v>
      </c>
      <c r="L12" s="113">
        <v>1.2</v>
      </c>
      <c r="M12" s="114">
        <v>1.07</v>
      </c>
      <c r="N12" s="97">
        <v>1.1399999999999999</v>
      </c>
      <c r="O12" s="97">
        <v>0.90335741471182285</v>
      </c>
      <c r="P12" s="115">
        <f t="shared" ref="P12:P75" si="2">AVERAGE(H12,L12:O12)</f>
        <v>1.0398549537900559</v>
      </c>
    </row>
    <row r="13" spans="1:16" ht="15" hidden="1" customHeight="1" x14ac:dyDescent="0.25">
      <c r="A13" s="106" t="s">
        <v>218</v>
      </c>
      <c r="B13" s="107">
        <v>34</v>
      </c>
      <c r="C13" s="108">
        <v>1.3413062774665883</v>
      </c>
      <c r="D13" s="109">
        <v>0.90658524495243031</v>
      </c>
      <c r="E13" s="109">
        <v>0.15614019779571642</v>
      </c>
      <c r="F13" s="108">
        <f t="shared" si="0"/>
        <v>0.79717803548748623</v>
      </c>
      <c r="G13" s="109">
        <v>0.11509809165213487</v>
      </c>
      <c r="H13" s="108">
        <f t="shared" si="1"/>
        <v>0.90086599200112294</v>
      </c>
      <c r="I13" s="110">
        <v>0.33432964145147182</v>
      </c>
      <c r="J13" s="111">
        <v>0.30734501632876848</v>
      </c>
      <c r="K13" s="112">
        <v>1.9268546541520331</v>
      </c>
      <c r="L13" s="113">
        <v>0.67</v>
      </c>
      <c r="M13" s="114">
        <v>0.96</v>
      </c>
      <c r="N13" s="97">
        <v>1</v>
      </c>
      <c r="O13" s="97">
        <v>0.78495585937538492</v>
      </c>
      <c r="P13" s="115">
        <f t="shared" si="2"/>
        <v>0.86316437027530157</v>
      </c>
    </row>
    <row r="14" spans="1:16" ht="15" hidden="1" customHeight="1" x14ac:dyDescent="0.25">
      <c r="A14" s="106" t="s">
        <v>219</v>
      </c>
      <c r="B14" s="107">
        <v>110</v>
      </c>
      <c r="C14" s="108">
        <v>1.0044826650762329</v>
      </c>
      <c r="D14" s="109">
        <v>0.14175138586633979</v>
      </c>
      <c r="E14" s="109">
        <v>0.14185235874230337</v>
      </c>
      <c r="F14" s="108">
        <f t="shared" si="0"/>
        <v>0.90761753046696247</v>
      </c>
      <c r="G14" s="109">
        <v>3.8663238977713246E-2</v>
      </c>
      <c r="H14" s="108">
        <f t="shared" si="1"/>
        <v>0.94412027841502788</v>
      </c>
      <c r="I14" s="110">
        <v>0.34046576817780205</v>
      </c>
      <c r="J14" s="111">
        <v>0.31434810417005654</v>
      </c>
      <c r="K14" s="112">
        <v>0.39156126561980215</v>
      </c>
      <c r="L14" s="113">
        <v>0.92</v>
      </c>
      <c r="M14" s="114">
        <v>1.04</v>
      </c>
      <c r="N14" s="97">
        <v>1.07</v>
      </c>
      <c r="O14" s="97">
        <v>1.0336800505581054</v>
      </c>
      <c r="P14" s="115">
        <f t="shared" si="2"/>
        <v>1.0015600657946266</v>
      </c>
    </row>
    <row r="15" spans="1:16" ht="15" hidden="1" customHeight="1" x14ac:dyDescent="0.25">
      <c r="A15" s="106" t="s">
        <v>220</v>
      </c>
      <c r="B15" s="107">
        <v>31</v>
      </c>
      <c r="C15" s="108">
        <v>1.3951896187246104</v>
      </c>
      <c r="D15" s="109">
        <v>1.0538961823618769</v>
      </c>
      <c r="E15" s="109">
        <v>9.6291260906391576E-2</v>
      </c>
      <c r="F15" s="108">
        <f t="shared" si="0"/>
        <v>0.77792383278913735</v>
      </c>
      <c r="G15" s="109">
        <v>0.17957990546901978</v>
      </c>
      <c r="H15" s="108">
        <f t="shared" si="1"/>
        <v>0.94820182730149094</v>
      </c>
      <c r="I15" s="110">
        <v>0.37918397947529053</v>
      </c>
      <c r="J15" s="111">
        <v>0.35583235151341913</v>
      </c>
      <c r="K15" s="112">
        <v>0.40666861693654638</v>
      </c>
      <c r="L15" s="113">
        <v>0.8</v>
      </c>
      <c r="M15" s="114">
        <v>0.69</v>
      </c>
      <c r="N15" s="97">
        <v>0.74</v>
      </c>
      <c r="O15" s="97">
        <v>0.86042100019181711</v>
      </c>
      <c r="P15" s="115">
        <f t="shared" si="2"/>
        <v>0.80772456549866156</v>
      </c>
    </row>
    <row r="16" spans="1:16" ht="15" hidden="1" customHeight="1" x14ac:dyDescent="0.25">
      <c r="A16" s="106" t="s">
        <v>221</v>
      </c>
      <c r="B16" s="107">
        <v>59</v>
      </c>
      <c r="C16" s="108">
        <v>1.4037710559198122</v>
      </c>
      <c r="D16" s="109">
        <v>0.61975545888144834</v>
      </c>
      <c r="E16" s="109">
        <v>0.17963718773568216</v>
      </c>
      <c r="F16" s="108">
        <f t="shared" si="0"/>
        <v>0.95715107451585335</v>
      </c>
      <c r="G16" s="109">
        <v>0.11256499478736735</v>
      </c>
      <c r="H16" s="108">
        <f t="shared" si="1"/>
        <v>1.0785590706854262</v>
      </c>
      <c r="I16" s="110">
        <v>0.34650164573277326</v>
      </c>
      <c r="J16" s="111">
        <v>0.30688712424747039</v>
      </c>
      <c r="K16" s="112">
        <v>0.29873411694184582</v>
      </c>
      <c r="L16" s="113">
        <v>1.3</v>
      </c>
      <c r="M16" s="114">
        <v>1.17</v>
      </c>
      <c r="N16" s="97">
        <v>1.29</v>
      </c>
      <c r="O16" s="97">
        <v>1.1829793538383109</v>
      </c>
      <c r="P16" s="115">
        <f t="shared" si="2"/>
        <v>1.2043076849047476</v>
      </c>
    </row>
    <row r="17" spans="1:16" ht="15" hidden="1" customHeight="1" x14ac:dyDescent="0.25">
      <c r="A17" s="106" t="s">
        <v>222</v>
      </c>
      <c r="B17" s="107">
        <v>112</v>
      </c>
      <c r="C17" s="108">
        <v>1.2153935486343155</v>
      </c>
      <c r="D17" s="109">
        <v>5.6156758831361548</v>
      </c>
      <c r="E17" s="109">
        <v>0.23544115727376269</v>
      </c>
      <c r="F17" s="108">
        <f t="shared" si="0"/>
        <v>0.2324758412532342</v>
      </c>
      <c r="G17" s="109">
        <v>0.36256627940098179</v>
      </c>
      <c r="H17" s="108">
        <f t="shared" si="1"/>
        <v>0.36470590390914487</v>
      </c>
      <c r="I17" s="110">
        <v>0.24497998179994823</v>
      </c>
      <c r="J17" s="111">
        <v>0.25358376727578946</v>
      </c>
      <c r="K17" s="112">
        <v>1.5390713693641629</v>
      </c>
      <c r="L17" s="113">
        <v>0.32</v>
      </c>
      <c r="M17" s="114">
        <v>0.28000000000000003</v>
      </c>
      <c r="N17" s="97">
        <v>0.42</v>
      </c>
      <c r="O17" s="97">
        <v>0.3686115410275469</v>
      </c>
      <c r="P17" s="115">
        <f t="shared" si="2"/>
        <v>0.3506634889873384</v>
      </c>
    </row>
    <row r="18" spans="1:16" ht="15" hidden="1" customHeight="1" x14ac:dyDescent="0.25">
      <c r="A18" s="106" t="s">
        <v>224</v>
      </c>
      <c r="B18" s="107">
        <v>72</v>
      </c>
      <c r="C18" s="108">
        <v>0.46828868467206308</v>
      </c>
      <c r="D18" s="109">
        <v>2.8755636653726868</v>
      </c>
      <c r="E18" s="109">
        <v>0.18768236232471092</v>
      </c>
      <c r="F18" s="108">
        <f t="shared" si="0"/>
        <v>0.14795795462564607</v>
      </c>
      <c r="G18" s="109">
        <v>0.30186275602664853</v>
      </c>
      <c r="H18" s="108">
        <f t="shared" si="1"/>
        <v>0.21193247588907282</v>
      </c>
      <c r="I18" s="110">
        <v>0.11424832735654469</v>
      </c>
      <c r="J18" s="111">
        <v>0.13283543357435104</v>
      </c>
      <c r="K18" s="112" t="s">
        <v>223</v>
      </c>
      <c r="L18" s="113">
        <v>0.2</v>
      </c>
      <c r="M18" s="114">
        <v>0.23</v>
      </c>
      <c r="N18" s="97">
        <v>0.28999999999999998</v>
      </c>
      <c r="O18" s="97">
        <v>0.24305769551689896</v>
      </c>
      <c r="P18" s="115">
        <f t="shared" si="2"/>
        <v>0.23499803428119437</v>
      </c>
    </row>
    <row r="19" spans="1:16" x14ac:dyDescent="0.25">
      <c r="A19" s="106" t="s">
        <v>225</v>
      </c>
      <c r="B19" s="107">
        <v>55</v>
      </c>
      <c r="C19" s="108">
        <v>0.59195866407723685</v>
      </c>
      <c r="D19" s="109">
        <v>0.45008658446130079</v>
      </c>
      <c r="E19" s="109">
        <v>0.18033450330480677</v>
      </c>
      <c r="F19" s="108">
        <f t="shared" si="0"/>
        <v>0.44213297804802681</v>
      </c>
      <c r="G19" s="109">
        <v>2.3482601129503063E-2</v>
      </c>
      <c r="H19" s="108">
        <f t="shared" si="1"/>
        <v>0.45276507982287501</v>
      </c>
      <c r="I19" s="110">
        <v>0.25121077199477382</v>
      </c>
      <c r="J19" s="111">
        <v>0.26354588744589025</v>
      </c>
      <c r="K19" s="112">
        <v>0.1084805482667742</v>
      </c>
      <c r="L19" s="113">
        <v>0.45</v>
      </c>
      <c r="M19" s="114">
        <v>0.47</v>
      </c>
      <c r="N19" s="97">
        <v>0.52</v>
      </c>
      <c r="O19" s="97">
        <v>0.5066604785684935</v>
      </c>
      <c r="P19" s="115">
        <f t="shared" si="2"/>
        <v>0.47988511167827375</v>
      </c>
    </row>
    <row r="20" spans="1:16" ht="15.75" hidden="1" customHeight="1" x14ac:dyDescent="0.25">
      <c r="A20" s="106" t="s">
        <v>226</v>
      </c>
      <c r="B20" s="107">
        <v>15</v>
      </c>
      <c r="C20" s="108">
        <v>0.70767231020648758</v>
      </c>
      <c r="D20" s="109">
        <v>0.36244153562853776</v>
      </c>
      <c r="E20" s="109">
        <v>0.1969973028657391</v>
      </c>
      <c r="F20" s="108">
        <f t="shared" si="0"/>
        <v>0.55596055339497163</v>
      </c>
      <c r="G20" s="109">
        <v>4.9639703661207769E-2</v>
      </c>
      <c r="H20" s="108">
        <f t="shared" si="1"/>
        <v>0.58499976854754698</v>
      </c>
      <c r="I20" s="110">
        <v>0.21789967253001749</v>
      </c>
      <c r="J20" s="111">
        <v>0.23722876941919721</v>
      </c>
      <c r="K20" s="112">
        <v>0.25353294117182978</v>
      </c>
      <c r="L20" s="113">
        <v>0.52</v>
      </c>
      <c r="M20" s="114">
        <v>0.65</v>
      </c>
      <c r="N20" s="97">
        <v>0.68</v>
      </c>
      <c r="O20" s="97">
        <v>0.71486423274055211</v>
      </c>
      <c r="P20" s="115">
        <f t="shared" si="2"/>
        <v>0.62997280025761992</v>
      </c>
    </row>
    <row r="21" spans="1:16" ht="15" hidden="1" customHeight="1" x14ac:dyDescent="0.25">
      <c r="A21" s="106" t="s">
        <v>227</v>
      </c>
      <c r="B21" s="107">
        <v>22</v>
      </c>
      <c r="C21" s="108">
        <v>0.92826313387064707</v>
      </c>
      <c r="D21" s="109">
        <v>0.44589103928594409</v>
      </c>
      <c r="E21" s="109">
        <v>0.18398284760432776</v>
      </c>
      <c r="F21" s="108">
        <f t="shared" si="0"/>
        <v>0.69495787731663405</v>
      </c>
      <c r="G21" s="109">
        <v>0.10418902761925583</v>
      </c>
      <c r="H21" s="108">
        <f t="shared" si="1"/>
        <v>0.77578629726948467</v>
      </c>
      <c r="I21" s="110">
        <v>0.28256885037093871</v>
      </c>
      <c r="J21" s="111">
        <v>0.22521575023850673</v>
      </c>
      <c r="K21" s="112">
        <v>0.14474657969099533</v>
      </c>
      <c r="L21" s="113">
        <v>1.03</v>
      </c>
      <c r="M21" s="114">
        <v>0.75</v>
      </c>
      <c r="N21" s="97">
        <v>0.82</v>
      </c>
      <c r="O21" s="97">
        <v>0.80052850582035484</v>
      </c>
      <c r="P21" s="115">
        <f t="shared" si="2"/>
        <v>0.8352629606179679</v>
      </c>
    </row>
    <row r="22" spans="1:16" ht="15" hidden="1" customHeight="1" x14ac:dyDescent="0.25">
      <c r="A22" s="106" t="s">
        <v>228</v>
      </c>
      <c r="B22" s="107">
        <v>74</v>
      </c>
      <c r="C22" s="108">
        <v>0.87073158990585464</v>
      </c>
      <c r="D22" s="109">
        <v>0.68763896268936731</v>
      </c>
      <c r="E22" s="109">
        <v>0.15189444421935591</v>
      </c>
      <c r="F22" s="108">
        <f t="shared" si="0"/>
        <v>0.57370901986720202</v>
      </c>
      <c r="G22" s="109">
        <v>0.24127415266596042</v>
      </c>
      <c r="H22" s="108">
        <f t="shared" si="1"/>
        <v>0.7561479839958829</v>
      </c>
      <c r="I22" s="110">
        <v>0.31776251933822408</v>
      </c>
      <c r="J22" s="111">
        <v>0.29262446145427512</v>
      </c>
      <c r="K22" s="112">
        <v>0.8202608076286918</v>
      </c>
      <c r="L22" s="113">
        <v>0.95</v>
      </c>
      <c r="M22" s="114">
        <v>0.73</v>
      </c>
      <c r="N22" s="97">
        <v>0.9</v>
      </c>
      <c r="O22" s="97">
        <v>0.69593196035122029</v>
      </c>
      <c r="P22" s="115">
        <f t="shared" si="2"/>
        <v>0.80641598886942067</v>
      </c>
    </row>
    <row r="23" spans="1:16" ht="15" hidden="1" customHeight="1" x14ac:dyDescent="0.25">
      <c r="A23" s="106" t="s">
        <v>229</v>
      </c>
      <c r="B23" s="107">
        <v>89</v>
      </c>
      <c r="C23" s="108">
        <v>1.0705705789689228</v>
      </c>
      <c r="D23" s="109">
        <v>0.20528766160923842</v>
      </c>
      <c r="E23" s="109">
        <v>0.1465083734825644</v>
      </c>
      <c r="F23" s="108">
        <f t="shared" si="0"/>
        <v>0.92725330614322099</v>
      </c>
      <c r="G23" s="109">
        <v>3.8480139655588656E-2</v>
      </c>
      <c r="H23" s="108">
        <f t="shared" si="1"/>
        <v>0.9643620942068567</v>
      </c>
      <c r="I23" s="110">
        <v>0.3289599722011865</v>
      </c>
      <c r="J23" s="111">
        <v>0.29813524747340214</v>
      </c>
      <c r="K23" s="112">
        <v>0.20345942702208578</v>
      </c>
      <c r="L23" s="113">
        <v>0.87</v>
      </c>
      <c r="M23" s="114">
        <v>0.83</v>
      </c>
      <c r="N23" s="97">
        <v>0.94</v>
      </c>
      <c r="O23" s="97">
        <v>1.0371856315464538</v>
      </c>
      <c r="P23" s="115">
        <f t="shared" si="2"/>
        <v>0.92830954515066222</v>
      </c>
    </row>
    <row r="24" spans="1:16" ht="15" hidden="1" customHeight="1" x14ac:dyDescent="0.25">
      <c r="A24" s="106" t="s">
        <v>230</v>
      </c>
      <c r="B24" s="107">
        <v>194</v>
      </c>
      <c r="C24" s="108">
        <v>1.0050331723966925</v>
      </c>
      <c r="D24" s="109">
        <v>0.27035026580509286</v>
      </c>
      <c r="E24" s="109">
        <v>0.1637828014742404</v>
      </c>
      <c r="F24" s="108">
        <f t="shared" si="0"/>
        <v>0.83505954506518565</v>
      </c>
      <c r="G24" s="109">
        <v>4.6347617814956936E-2</v>
      </c>
      <c r="H24" s="108">
        <f t="shared" si="1"/>
        <v>0.87564353706312437</v>
      </c>
      <c r="I24" s="110">
        <v>0.31991796040989173</v>
      </c>
      <c r="J24" s="111">
        <v>0.3073997215741856</v>
      </c>
      <c r="K24" s="112">
        <v>0.18358584247826054</v>
      </c>
      <c r="L24" s="113">
        <v>0.87</v>
      </c>
      <c r="M24" s="114">
        <v>0.85</v>
      </c>
      <c r="N24" s="97">
        <v>0.97</v>
      </c>
      <c r="O24" s="97">
        <v>0.91207821859447347</v>
      </c>
      <c r="P24" s="115">
        <f t="shared" si="2"/>
        <v>0.89554435113151953</v>
      </c>
    </row>
    <row r="25" spans="1:16" ht="15" hidden="1" customHeight="1" x14ac:dyDescent="0.25">
      <c r="A25" s="106" t="s">
        <v>231</v>
      </c>
      <c r="B25" s="107">
        <v>3</v>
      </c>
      <c r="C25" s="108">
        <v>0.77744456785852956</v>
      </c>
      <c r="D25" s="109">
        <v>1.9682831866821264</v>
      </c>
      <c r="E25" s="109">
        <v>0.16061352979004959</v>
      </c>
      <c r="F25" s="108">
        <f t="shared" si="0"/>
        <v>0.31324315007588999</v>
      </c>
      <c r="G25" s="109">
        <v>0.11543289523222097</v>
      </c>
      <c r="H25" s="108">
        <f t="shared" si="1"/>
        <v>0.35412027915974126</v>
      </c>
      <c r="I25" s="110">
        <v>0.45820935181966443</v>
      </c>
      <c r="J25" s="111">
        <v>0.28344665155280241</v>
      </c>
      <c r="K25" s="112">
        <v>0.17407735415313638</v>
      </c>
      <c r="L25" s="113">
        <v>0.51</v>
      </c>
      <c r="M25" s="114">
        <v>0.54</v>
      </c>
      <c r="N25" s="97">
        <v>0.41</v>
      </c>
      <c r="O25" s="97">
        <v>0.333771033882859</v>
      </c>
      <c r="P25" s="115">
        <f t="shared" si="2"/>
        <v>0.42957826260852006</v>
      </c>
    </row>
    <row r="26" spans="1:16" ht="15" hidden="1" customHeight="1" x14ac:dyDescent="0.25">
      <c r="A26" s="106" t="s">
        <v>232</v>
      </c>
      <c r="B26" s="107">
        <v>61</v>
      </c>
      <c r="C26" s="108">
        <v>0.83507144242402198</v>
      </c>
      <c r="D26" s="109">
        <v>0.405682446200058</v>
      </c>
      <c r="E26" s="109">
        <v>8.5926605748046295E-2</v>
      </c>
      <c r="F26" s="108">
        <f t="shared" si="0"/>
        <v>0.63968663523366343</v>
      </c>
      <c r="G26" s="109">
        <v>7.4139746206441259E-2</v>
      </c>
      <c r="H26" s="108">
        <f t="shared" si="1"/>
        <v>0.69091056950836116</v>
      </c>
      <c r="I26" s="110">
        <v>0.3837407270153203</v>
      </c>
      <c r="J26" s="111">
        <v>0.33332641349454933</v>
      </c>
      <c r="K26" s="112">
        <v>0.45412488789634126</v>
      </c>
      <c r="L26" s="113">
        <v>0.7</v>
      </c>
      <c r="M26" s="114">
        <v>0.75</v>
      </c>
      <c r="N26" s="97">
        <v>0.87</v>
      </c>
      <c r="O26" s="97">
        <v>0.90082767452827228</v>
      </c>
      <c r="P26" s="115">
        <f t="shared" si="2"/>
        <v>0.78234764880732677</v>
      </c>
    </row>
    <row r="27" spans="1:16" ht="15" hidden="1" customHeight="1" x14ac:dyDescent="0.25">
      <c r="A27" s="106" t="s">
        <v>233</v>
      </c>
      <c r="B27" s="107">
        <v>7</v>
      </c>
      <c r="C27" s="108">
        <v>1.108693626848418</v>
      </c>
      <c r="D27" s="109">
        <v>0.5199702094747497</v>
      </c>
      <c r="E27" s="109">
        <v>8.1336101067662966E-2</v>
      </c>
      <c r="F27" s="108">
        <f t="shared" si="0"/>
        <v>0.79676976188829018</v>
      </c>
      <c r="G27" s="109">
        <v>5.8824815858269257E-2</v>
      </c>
      <c r="H27" s="108">
        <f t="shared" si="1"/>
        <v>0.84656902913868726</v>
      </c>
      <c r="I27" s="110">
        <v>0.27607450868970407</v>
      </c>
      <c r="J27" s="111">
        <v>0.23183480831657868</v>
      </c>
      <c r="K27" s="112">
        <v>0.20706193232095199</v>
      </c>
      <c r="L27" s="113">
        <v>1.44</v>
      </c>
      <c r="M27" s="114">
        <v>1.08</v>
      </c>
      <c r="N27" s="97">
        <v>1.03</v>
      </c>
      <c r="O27" s="97">
        <v>0.78359122867591202</v>
      </c>
      <c r="P27" s="115">
        <f t="shared" si="2"/>
        <v>1.03603205156292</v>
      </c>
    </row>
    <row r="28" spans="1:16" ht="15" hidden="1" customHeight="1" x14ac:dyDescent="0.25">
      <c r="A28" s="106" t="s">
        <v>234</v>
      </c>
      <c r="B28" s="107">
        <v>102</v>
      </c>
      <c r="C28" s="108">
        <v>1.0757967976752074</v>
      </c>
      <c r="D28" s="109">
        <v>0.18271100457538433</v>
      </c>
      <c r="E28" s="109">
        <v>0.1068757698659088</v>
      </c>
      <c r="F28" s="108">
        <f t="shared" si="0"/>
        <v>0.94570295323712439</v>
      </c>
      <c r="G28" s="109">
        <v>3.525206423128651E-2</v>
      </c>
      <c r="H28" s="108">
        <f t="shared" si="1"/>
        <v>0.98025911035879643</v>
      </c>
      <c r="I28" s="110">
        <v>0.40222530454479227</v>
      </c>
      <c r="J28" s="111">
        <v>0.34065716956257086</v>
      </c>
      <c r="K28" s="112">
        <v>0.28389588648928848</v>
      </c>
      <c r="L28" s="113">
        <v>1.07</v>
      </c>
      <c r="M28" s="114">
        <v>0.89</v>
      </c>
      <c r="N28" s="97">
        <v>0.91</v>
      </c>
      <c r="O28" s="97">
        <v>1.0252780342177283</v>
      </c>
      <c r="P28" s="115">
        <f t="shared" si="2"/>
        <v>0.97510742891530489</v>
      </c>
    </row>
    <row r="29" spans="1:16" ht="15" hidden="1" customHeight="1" x14ac:dyDescent="0.25">
      <c r="A29" s="106" t="s">
        <v>235</v>
      </c>
      <c r="B29" s="107">
        <v>16</v>
      </c>
      <c r="C29" s="108">
        <v>0.87097445753476543</v>
      </c>
      <c r="D29" s="109">
        <v>0.14811566348638902</v>
      </c>
      <c r="E29" s="109">
        <v>6.8772811147993176E-2</v>
      </c>
      <c r="F29" s="108">
        <f t="shared" si="0"/>
        <v>0.78359127151381724</v>
      </c>
      <c r="G29" s="109">
        <v>0.27381582899919166</v>
      </c>
      <c r="H29" s="108">
        <f t="shared" si="1"/>
        <v>1.0790530870893149</v>
      </c>
      <c r="I29" s="110">
        <v>0.54964931922170801</v>
      </c>
      <c r="J29" s="111">
        <v>0.50498610658757526</v>
      </c>
      <c r="K29" s="112">
        <v>0.68724135820667187</v>
      </c>
      <c r="L29" s="113">
        <v>1.1000000000000001</v>
      </c>
      <c r="M29" s="114">
        <v>1.19</v>
      </c>
      <c r="N29" s="97">
        <v>1.95</v>
      </c>
      <c r="O29" s="97">
        <v>1.4007450881176893</v>
      </c>
      <c r="P29" s="115">
        <f t="shared" si="2"/>
        <v>1.3439596350414007</v>
      </c>
    </row>
    <row r="30" spans="1:16" ht="15" hidden="1" customHeight="1" x14ac:dyDescent="0.25">
      <c r="A30" s="106" t="s">
        <v>236</v>
      </c>
      <c r="B30" s="107">
        <v>226</v>
      </c>
      <c r="C30" s="108">
        <v>0.95331132321883205</v>
      </c>
      <c r="D30" s="109">
        <v>0.10294257329037113</v>
      </c>
      <c r="E30" s="109">
        <v>0.16295368114727554</v>
      </c>
      <c r="F30" s="108">
        <f t="shared" si="0"/>
        <v>0.88473920139939988</v>
      </c>
      <c r="G30" s="109">
        <v>5.7684758714649183E-2</v>
      </c>
      <c r="H30" s="108">
        <f t="shared" si="1"/>
        <v>0.9388993859343554</v>
      </c>
      <c r="I30" s="110">
        <v>0.33568764655358213</v>
      </c>
      <c r="J30" s="111">
        <v>0.29529805401350062</v>
      </c>
      <c r="K30" s="112">
        <v>0.29970541433219744</v>
      </c>
      <c r="L30" s="113">
        <v>0.99</v>
      </c>
      <c r="M30" s="114">
        <v>0.91</v>
      </c>
      <c r="N30" s="97">
        <v>0.97</v>
      </c>
      <c r="O30" s="97">
        <v>0.99749625697703814</v>
      </c>
      <c r="P30" s="115">
        <f t="shared" si="2"/>
        <v>0.96127912858227871</v>
      </c>
    </row>
    <row r="31" spans="1:16" ht="15" hidden="1" customHeight="1" x14ac:dyDescent="0.25">
      <c r="A31" s="106" t="s">
        <v>237</v>
      </c>
      <c r="B31" s="107">
        <v>43</v>
      </c>
      <c r="C31" s="108">
        <v>1.0944260005641828</v>
      </c>
      <c r="D31" s="109">
        <v>0.20592156673472636</v>
      </c>
      <c r="E31" s="109">
        <v>7.7526165010381135E-2</v>
      </c>
      <c r="F31" s="108">
        <f t="shared" si="0"/>
        <v>0.94752351975445581</v>
      </c>
      <c r="G31" s="109">
        <v>7.1060434196651312E-2</v>
      </c>
      <c r="H31" s="108">
        <f t="shared" si="1"/>
        <v>1.0200055575574885</v>
      </c>
      <c r="I31" s="110">
        <v>0.41431901663549436</v>
      </c>
      <c r="J31" s="111">
        <v>0.363013116850949</v>
      </c>
      <c r="K31" s="112">
        <v>0.27951538834167494</v>
      </c>
      <c r="L31" s="113">
        <v>1.38</v>
      </c>
      <c r="M31" s="114">
        <v>0.93</v>
      </c>
      <c r="N31" s="97">
        <v>0.99</v>
      </c>
      <c r="O31" s="97">
        <v>1.0170632240169539</v>
      </c>
      <c r="P31" s="115">
        <f t="shared" si="2"/>
        <v>1.0674137563148884</v>
      </c>
    </row>
    <row r="32" spans="1:16" ht="15" hidden="1" customHeight="1" x14ac:dyDescent="0.25">
      <c r="A32" s="106" t="s">
        <v>238</v>
      </c>
      <c r="B32" s="107">
        <v>123</v>
      </c>
      <c r="C32" s="108">
        <v>1.0210763622322212</v>
      </c>
      <c r="D32" s="109">
        <v>0.49168582833550722</v>
      </c>
      <c r="E32" s="109">
        <v>0.1382373708852298</v>
      </c>
      <c r="F32" s="108">
        <f t="shared" si="0"/>
        <v>0.74520772182222761</v>
      </c>
      <c r="G32" s="109">
        <v>8.270619420473288E-2</v>
      </c>
      <c r="H32" s="108">
        <f t="shared" si="1"/>
        <v>0.81239807476531922</v>
      </c>
      <c r="I32" s="110">
        <v>0.34710107993463235</v>
      </c>
      <c r="J32" s="111">
        <v>0.29989118587622066</v>
      </c>
      <c r="K32" s="112">
        <v>0.37690701930010401</v>
      </c>
      <c r="L32" s="113">
        <v>0.94</v>
      </c>
      <c r="M32" s="114">
        <v>0.92</v>
      </c>
      <c r="N32" s="97">
        <v>0.95</v>
      </c>
      <c r="O32" s="97">
        <v>0.92157379844793241</v>
      </c>
      <c r="P32" s="115">
        <f t="shared" si="2"/>
        <v>0.90879437464265023</v>
      </c>
    </row>
    <row r="33" spans="1:16" ht="15" hidden="1" customHeight="1" x14ac:dyDescent="0.25">
      <c r="A33" s="106" t="s">
        <v>239</v>
      </c>
      <c r="B33" s="107">
        <v>70</v>
      </c>
      <c r="C33" s="108">
        <v>1.1696175679430305</v>
      </c>
      <c r="D33" s="109">
        <v>0.40550149337332159</v>
      </c>
      <c r="E33" s="109">
        <v>0.13961928619976716</v>
      </c>
      <c r="F33" s="108">
        <f t="shared" si="0"/>
        <v>0.89605125964103749</v>
      </c>
      <c r="G33" s="109">
        <v>8.2811437601328655E-2</v>
      </c>
      <c r="H33" s="108">
        <f t="shared" si="1"/>
        <v>0.97695424515286733</v>
      </c>
      <c r="I33" s="110">
        <v>0.31391543421116119</v>
      </c>
      <c r="J33" s="111">
        <v>0.26480140933168178</v>
      </c>
      <c r="K33" s="112">
        <v>0.35276538725176626</v>
      </c>
      <c r="L33" s="113">
        <v>1</v>
      </c>
      <c r="M33" s="114">
        <v>0.82</v>
      </c>
      <c r="N33" s="97">
        <v>0.97</v>
      </c>
      <c r="O33" s="97">
        <v>1.0170289011045945</v>
      </c>
      <c r="P33" s="115">
        <f t="shared" si="2"/>
        <v>0.95679662925149223</v>
      </c>
    </row>
    <row r="34" spans="1:16" ht="15" hidden="1" customHeight="1" x14ac:dyDescent="0.25">
      <c r="A34" s="106" t="s">
        <v>240</v>
      </c>
      <c r="B34" s="107">
        <v>233</v>
      </c>
      <c r="C34" s="108">
        <v>1.1603519124746084</v>
      </c>
      <c r="D34" s="109">
        <v>0.16040494964355578</v>
      </c>
      <c r="E34" s="109">
        <v>1.7970566354692949E-2</v>
      </c>
      <c r="F34" s="108">
        <f t="shared" si="0"/>
        <v>1.0353177415626942</v>
      </c>
      <c r="G34" s="109">
        <v>8.2542300557837942E-2</v>
      </c>
      <c r="H34" s="108">
        <f t="shared" si="1"/>
        <v>1.1284637342868169</v>
      </c>
      <c r="I34" s="110">
        <v>0.53555195659874955</v>
      </c>
      <c r="J34" s="111">
        <v>0.51189288441269665</v>
      </c>
      <c r="K34" s="112" t="s">
        <v>223</v>
      </c>
      <c r="L34" s="113">
        <v>1.51</v>
      </c>
      <c r="M34" s="114">
        <v>1.03</v>
      </c>
      <c r="N34" s="97">
        <v>1.0900000000000001</v>
      </c>
      <c r="O34" s="97">
        <v>1.2401788982614341</v>
      </c>
      <c r="P34" s="115">
        <f t="shared" si="2"/>
        <v>1.1997285265096502</v>
      </c>
    </row>
    <row r="35" spans="1:16" ht="15" hidden="1" customHeight="1" x14ac:dyDescent="0.25">
      <c r="A35" s="106" t="s">
        <v>241</v>
      </c>
      <c r="B35" s="107">
        <v>131</v>
      </c>
      <c r="C35" s="108">
        <v>0.97730649125797919</v>
      </c>
      <c r="D35" s="109">
        <v>0.15112858450724859</v>
      </c>
      <c r="E35" s="109">
        <v>7.8774501709053688E-2</v>
      </c>
      <c r="F35" s="108">
        <f t="shared" si="0"/>
        <v>0.8774644519395195</v>
      </c>
      <c r="G35" s="109">
        <v>2.6680970921352628E-2</v>
      </c>
      <c r="H35" s="108">
        <f t="shared" si="1"/>
        <v>0.90151782275348635</v>
      </c>
      <c r="I35" s="110">
        <v>0.45679025006424573</v>
      </c>
      <c r="J35" s="111">
        <v>0.41840255220858935</v>
      </c>
      <c r="K35" s="112">
        <v>0.15801150175845452</v>
      </c>
      <c r="L35" s="113">
        <v>1.02</v>
      </c>
      <c r="M35" s="114">
        <v>0.83</v>
      </c>
      <c r="N35" s="97">
        <v>0.88</v>
      </c>
      <c r="O35" s="97">
        <v>0.92855178096889224</v>
      </c>
      <c r="P35" s="115">
        <f t="shared" si="2"/>
        <v>0.91201392074447563</v>
      </c>
    </row>
    <row r="36" spans="1:16" ht="15" hidden="1" customHeight="1" x14ac:dyDescent="0.25">
      <c r="A36" s="106" t="s">
        <v>242</v>
      </c>
      <c r="B36" s="107">
        <v>21</v>
      </c>
      <c r="C36" s="108">
        <v>0.62166980587481491</v>
      </c>
      <c r="D36" s="109">
        <v>0.29005772194089957</v>
      </c>
      <c r="E36" s="109">
        <v>6.8220148783859472E-2</v>
      </c>
      <c r="F36" s="108">
        <f t="shared" si="0"/>
        <v>0.51024108306662708</v>
      </c>
      <c r="G36" s="109">
        <v>4.8963250289176509E-2</v>
      </c>
      <c r="H36" s="108">
        <f t="shared" si="1"/>
        <v>0.53651037483227992</v>
      </c>
      <c r="I36" s="110">
        <v>0.33886517484913875</v>
      </c>
      <c r="J36" s="111">
        <v>0.27822540168105064</v>
      </c>
      <c r="K36" s="112">
        <v>0.22413230981936805</v>
      </c>
      <c r="L36" s="113">
        <v>0.57999999999999996</v>
      </c>
      <c r="M36" s="114">
        <v>0.61</v>
      </c>
      <c r="N36" s="97">
        <v>0.6</v>
      </c>
      <c r="O36" s="97">
        <v>0.63742145517762061</v>
      </c>
      <c r="P36" s="115">
        <f t="shared" si="2"/>
        <v>0.59278636600198009</v>
      </c>
    </row>
    <row r="37" spans="1:16" ht="15" hidden="1" customHeight="1" x14ac:dyDescent="0.25">
      <c r="A37" s="106" t="s">
        <v>243</v>
      </c>
      <c r="B37" s="107">
        <v>157</v>
      </c>
      <c r="C37" s="108">
        <v>1.2935071256797255</v>
      </c>
      <c r="D37" s="109">
        <v>0.15786596459932098</v>
      </c>
      <c r="E37" s="109">
        <v>9.7337317054553743E-2</v>
      </c>
      <c r="F37" s="108">
        <f t="shared" si="0"/>
        <v>1.1560966204661356</v>
      </c>
      <c r="G37" s="109">
        <v>5.1760011490873614E-2</v>
      </c>
      <c r="H37" s="108">
        <f t="shared" si="1"/>
        <v>1.2192025589258395</v>
      </c>
      <c r="I37" s="110">
        <v>0.45029032106161598</v>
      </c>
      <c r="J37" s="111">
        <v>0.38250447730424403</v>
      </c>
      <c r="K37" s="112">
        <v>0.10929320664192288</v>
      </c>
      <c r="L37" s="113">
        <v>1.19</v>
      </c>
      <c r="M37" s="114">
        <v>1.1599999999999999</v>
      </c>
      <c r="N37" s="97">
        <v>1.24</v>
      </c>
      <c r="O37" s="97">
        <v>1.2592648553636729</v>
      </c>
      <c r="P37" s="115">
        <f t="shared" si="2"/>
        <v>1.2136934828579027</v>
      </c>
    </row>
    <row r="38" spans="1:16" ht="15" hidden="1" customHeight="1" x14ac:dyDescent="0.25">
      <c r="A38" s="106" t="s">
        <v>244</v>
      </c>
      <c r="B38" s="107">
        <v>21</v>
      </c>
      <c r="C38" s="108">
        <v>1.017704497157091</v>
      </c>
      <c r="D38" s="109">
        <v>0.12963054122893664</v>
      </c>
      <c r="E38" s="109">
        <v>0.10197209286939604</v>
      </c>
      <c r="F38" s="108">
        <f t="shared" si="0"/>
        <v>0.92720989233629592</v>
      </c>
      <c r="G38" s="109">
        <v>5.4685616711846907E-2</v>
      </c>
      <c r="H38" s="108">
        <f t="shared" si="1"/>
        <v>0.98084817995799123</v>
      </c>
      <c r="I38" s="110">
        <v>0.45585740038139688</v>
      </c>
      <c r="J38" s="111">
        <v>0.39963970737896359</v>
      </c>
      <c r="K38" s="112">
        <v>0.29394917755547906</v>
      </c>
      <c r="L38" s="113">
        <v>1.38</v>
      </c>
      <c r="M38" s="114">
        <v>1.23</v>
      </c>
      <c r="N38" s="97">
        <v>1.27</v>
      </c>
      <c r="O38" s="97">
        <v>1.0800643820744182</v>
      </c>
      <c r="P38" s="115">
        <f t="shared" si="2"/>
        <v>1.1881825124064818</v>
      </c>
    </row>
    <row r="39" spans="1:16" ht="15" hidden="1" customHeight="1" x14ac:dyDescent="0.25">
      <c r="A39" s="106" t="s">
        <v>245</v>
      </c>
      <c r="B39" s="107">
        <v>151</v>
      </c>
      <c r="C39" s="108">
        <v>1.2131330452408937</v>
      </c>
      <c r="D39" s="109">
        <v>0.13376914731163964</v>
      </c>
      <c r="E39" s="109">
        <v>0.12354535547162446</v>
      </c>
      <c r="F39" s="108">
        <f t="shared" si="0"/>
        <v>1.1021320465101696</v>
      </c>
      <c r="G39" s="109">
        <v>4.0584629503041633E-2</v>
      </c>
      <c r="H39" s="108">
        <f t="shared" si="1"/>
        <v>1.148753793614216</v>
      </c>
      <c r="I39" s="110">
        <v>0.39688715103302258</v>
      </c>
      <c r="J39" s="111">
        <v>0.36147197968228162</v>
      </c>
      <c r="K39" s="112">
        <v>0.19434389305369448</v>
      </c>
      <c r="L39" s="113">
        <v>1.2</v>
      </c>
      <c r="M39" s="114">
        <v>0.95</v>
      </c>
      <c r="N39" s="97">
        <v>1.01</v>
      </c>
      <c r="O39" s="97">
        <v>1.1394180405083687</v>
      </c>
      <c r="P39" s="115">
        <f t="shared" si="2"/>
        <v>1.089634366824517</v>
      </c>
    </row>
    <row r="40" spans="1:16" ht="15" hidden="1" customHeight="1" x14ac:dyDescent="0.25">
      <c r="A40" s="106" t="s">
        <v>246</v>
      </c>
      <c r="B40" s="107">
        <v>162</v>
      </c>
      <c r="C40" s="108">
        <v>0.96745490637466303</v>
      </c>
      <c r="D40" s="109">
        <v>0.63561576192711877</v>
      </c>
      <c r="E40" s="109">
        <v>0.15524469362514215</v>
      </c>
      <c r="F40" s="108">
        <f t="shared" si="0"/>
        <v>0.6543245508354868</v>
      </c>
      <c r="G40" s="109">
        <v>0.14785000185230912</v>
      </c>
      <c r="H40" s="108">
        <f t="shared" si="1"/>
        <v>0.76785137858098329</v>
      </c>
      <c r="I40" s="110">
        <v>0.33074895570240903</v>
      </c>
      <c r="J40" s="111">
        <v>0.28933029381582115</v>
      </c>
      <c r="K40" s="112">
        <v>0.17110219976104366</v>
      </c>
      <c r="L40" s="113">
        <v>0.81</v>
      </c>
      <c r="M40" s="114">
        <v>0.74</v>
      </c>
      <c r="N40" s="97">
        <v>0.84</v>
      </c>
      <c r="O40" s="97">
        <v>0.76935136088491241</v>
      </c>
      <c r="P40" s="115">
        <f t="shared" si="2"/>
        <v>0.78544054789317919</v>
      </c>
    </row>
    <row r="41" spans="1:16" ht="15" hidden="1" customHeight="1" x14ac:dyDescent="0.25">
      <c r="A41" s="106" t="s">
        <v>247</v>
      </c>
      <c r="B41" s="107">
        <v>200</v>
      </c>
      <c r="C41" s="108">
        <v>0.89160582618723849</v>
      </c>
      <c r="D41" s="109">
        <v>0.18789420884032923</v>
      </c>
      <c r="E41" s="109">
        <v>6.6856979880058121E-2</v>
      </c>
      <c r="F41" s="108">
        <f t="shared" si="0"/>
        <v>0.78110620711718426</v>
      </c>
      <c r="G41" s="109">
        <v>7.8502941855298727E-2</v>
      </c>
      <c r="H41" s="108">
        <f t="shared" si="1"/>
        <v>0.84764915982458655</v>
      </c>
      <c r="I41" s="110">
        <v>0.42428556216409824</v>
      </c>
      <c r="J41" s="111">
        <v>0.39460048520599533</v>
      </c>
      <c r="K41" s="112">
        <v>0.43947332386056348</v>
      </c>
      <c r="L41" s="113">
        <v>1.04</v>
      </c>
      <c r="M41" s="114">
        <v>0.86</v>
      </c>
      <c r="N41" s="97">
        <v>0.93</v>
      </c>
      <c r="O41" s="97">
        <v>0.89632459318456492</v>
      </c>
      <c r="P41" s="115">
        <f t="shared" si="2"/>
        <v>0.91479475060183035</v>
      </c>
    </row>
    <row r="42" spans="1:16" ht="15" hidden="1" customHeight="1" x14ac:dyDescent="0.25">
      <c r="A42" s="106" t="s">
        <v>248</v>
      </c>
      <c r="B42" s="107">
        <v>52</v>
      </c>
      <c r="C42" s="108">
        <v>1.1149113651414317</v>
      </c>
      <c r="D42" s="109">
        <v>0.50916599957470954</v>
      </c>
      <c r="E42" s="109">
        <v>0.14445098028210721</v>
      </c>
      <c r="F42" s="108">
        <f t="shared" si="0"/>
        <v>0.80594968290418956</v>
      </c>
      <c r="G42" s="109">
        <v>9.416606792617882E-2</v>
      </c>
      <c r="H42" s="108">
        <f t="shared" si="1"/>
        <v>0.88973227251384146</v>
      </c>
      <c r="I42" s="110">
        <v>0.36968611150517222</v>
      </c>
      <c r="J42" s="111">
        <v>0.35073311275951996</v>
      </c>
      <c r="K42" s="112">
        <v>0.49398722113886123</v>
      </c>
      <c r="L42" s="113">
        <v>0.8</v>
      </c>
      <c r="M42" s="114">
        <v>0.82</v>
      </c>
      <c r="N42" s="97">
        <v>0.94</v>
      </c>
      <c r="O42" s="97">
        <v>1.0393064645303247</v>
      </c>
      <c r="P42" s="115">
        <f t="shared" si="2"/>
        <v>0.89780774740883318</v>
      </c>
    </row>
    <row r="43" spans="1:16" ht="15" hidden="1" customHeight="1" x14ac:dyDescent="0.25">
      <c r="A43" s="106" t="s">
        <v>249</v>
      </c>
      <c r="B43" s="107">
        <v>50</v>
      </c>
      <c r="C43" s="108">
        <v>0.79668334263767149</v>
      </c>
      <c r="D43" s="109">
        <v>0.88846946904928958</v>
      </c>
      <c r="E43" s="109">
        <v>0.13566818150408974</v>
      </c>
      <c r="F43" s="108">
        <f t="shared" si="0"/>
        <v>0.47736213067823779</v>
      </c>
      <c r="G43" s="109">
        <v>6.8811849935979996E-2</v>
      </c>
      <c r="H43" s="108">
        <f t="shared" si="1"/>
        <v>0.51263767762231371</v>
      </c>
      <c r="I43" s="110">
        <v>0.32626742083943311</v>
      </c>
      <c r="J43" s="111">
        <v>0.30339794047550289</v>
      </c>
      <c r="K43" s="112">
        <v>0.28004568390731399</v>
      </c>
      <c r="L43" s="113">
        <v>0.45</v>
      </c>
      <c r="M43" s="114">
        <v>0.43</v>
      </c>
      <c r="N43" s="97">
        <v>0.55000000000000004</v>
      </c>
      <c r="O43" s="97">
        <v>0.59226577894297883</v>
      </c>
      <c r="P43" s="115">
        <f t="shared" si="2"/>
        <v>0.50698069131305856</v>
      </c>
    </row>
    <row r="44" spans="1:16" ht="15" hidden="1" customHeight="1" x14ac:dyDescent="0.25">
      <c r="A44" s="106" t="s">
        <v>250</v>
      </c>
      <c r="B44" s="107">
        <v>143</v>
      </c>
      <c r="C44" s="108">
        <v>1.0216367356825768</v>
      </c>
      <c r="D44" s="109">
        <v>4.1099322779104623</v>
      </c>
      <c r="E44" s="109">
        <v>0.13338034943382607</v>
      </c>
      <c r="F44" s="108">
        <f t="shared" si="0"/>
        <v>0.24952244954010711</v>
      </c>
      <c r="G44" s="109">
        <v>0.28519402496548096</v>
      </c>
      <c r="H44" s="108">
        <f t="shared" si="1"/>
        <v>0.34907717374362646</v>
      </c>
      <c r="I44" s="110">
        <v>0.36447148464986917</v>
      </c>
      <c r="J44" s="111">
        <v>0.35551361693245503</v>
      </c>
      <c r="K44" s="112">
        <v>0.47246006619834474</v>
      </c>
      <c r="L44" s="113">
        <v>0.26</v>
      </c>
      <c r="M44" s="114">
        <v>0.27</v>
      </c>
      <c r="N44" s="97">
        <v>0.33</v>
      </c>
      <c r="O44" s="97">
        <v>0.24917297994741519</v>
      </c>
      <c r="P44" s="115">
        <f t="shared" si="2"/>
        <v>0.29165003073820833</v>
      </c>
    </row>
    <row r="45" spans="1:16" ht="15" hidden="1" customHeight="1" x14ac:dyDescent="0.25">
      <c r="A45" s="106" t="s">
        <v>251</v>
      </c>
      <c r="B45" s="107">
        <v>169</v>
      </c>
      <c r="C45" s="108">
        <v>0.5989668816915108</v>
      </c>
      <c r="D45" s="109">
        <v>0.2554558276463178</v>
      </c>
      <c r="E45" s="109">
        <v>0.14605911697751275</v>
      </c>
      <c r="F45" s="108">
        <f t="shared" si="0"/>
        <v>0.50234878687077311</v>
      </c>
      <c r="G45" s="109">
        <v>2.8569826272806464E-2</v>
      </c>
      <c r="H45" s="108">
        <f t="shared" si="1"/>
        <v>0.51712289823503832</v>
      </c>
      <c r="I45" s="110">
        <v>0.32344667905496571</v>
      </c>
      <c r="J45" s="111">
        <v>0.25796106969138299</v>
      </c>
      <c r="K45" s="112">
        <v>9.7019599144944429E-2</v>
      </c>
      <c r="L45" s="113">
        <v>0.63</v>
      </c>
      <c r="M45" s="114">
        <v>0.6</v>
      </c>
      <c r="N45" s="97">
        <v>0.64</v>
      </c>
      <c r="O45" s="97">
        <v>0.67591846496995189</v>
      </c>
      <c r="P45" s="115">
        <f t="shared" si="2"/>
        <v>0.61260827264099815</v>
      </c>
    </row>
    <row r="46" spans="1:16" ht="15" hidden="1" customHeight="1" x14ac:dyDescent="0.25">
      <c r="A46" s="106" t="s">
        <v>252</v>
      </c>
      <c r="B46" s="107">
        <v>14</v>
      </c>
      <c r="C46" s="108">
        <v>0.76416255898974117</v>
      </c>
      <c r="D46" s="109">
        <v>1.6657846635973659</v>
      </c>
      <c r="E46" s="109">
        <v>0.18696210183783005</v>
      </c>
      <c r="F46" s="108">
        <f t="shared" si="0"/>
        <v>0.33899963417446888</v>
      </c>
      <c r="G46" s="109">
        <v>7.2359078057970733E-2</v>
      </c>
      <c r="H46" s="108">
        <f t="shared" si="1"/>
        <v>0.36544273344988748</v>
      </c>
      <c r="I46" s="110">
        <v>0.32039090737009629</v>
      </c>
      <c r="J46" s="111">
        <v>0.28873718799518366</v>
      </c>
      <c r="K46" s="112">
        <v>0.23186823791828029</v>
      </c>
      <c r="L46" s="113">
        <v>0.17</v>
      </c>
      <c r="M46" s="114">
        <v>0.18</v>
      </c>
      <c r="N46" s="97">
        <v>0.24</v>
      </c>
      <c r="O46" s="97">
        <v>0.21929594189928503</v>
      </c>
      <c r="P46" s="115">
        <f t="shared" si="2"/>
        <v>0.23494773506983449</v>
      </c>
    </row>
    <row r="47" spans="1:16" ht="15" hidden="1" customHeight="1" x14ac:dyDescent="0.25">
      <c r="A47" s="106" t="s">
        <v>253</v>
      </c>
      <c r="B47" s="107">
        <v>52</v>
      </c>
      <c r="C47" s="108">
        <v>0.90140674201886739</v>
      </c>
      <c r="D47" s="109">
        <v>0.67270060602726789</v>
      </c>
      <c r="E47" s="109">
        <v>0.14498121846848683</v>
      </c>
      <c r="F47" s="108">
        <f t="shared" si="0"/>
        <v>0.59835441834002212</v>
      </c>
      <c r="G47" s="109">
        <v>0.13533410459227929</v>
      </c>
      <c r="H47" s="108">
        <f t="shared" si="1"/>
        <v>0.69200649813749948</v>
      </c>
      <c r="I47" s="110">
        <v>0.32345823488658454</v>
      </c>
      <c r="J47" s="111">
        <v>0.30170994950229618</v>
      </c>
      <c r="K47" s="112">
        <v>0.21202191893796704</v>
      </c>
      <c r="L47" s="113">
        <v>0.93</v>
      </c>
      <c r="M47" s="114">
        <v>0.96</v>
      </c>
      <c r="N47" s="97">
        <v>0.95</v>
      </c>
      <c r="O47" s="97">
        <v>0.82053587100805225</v>
      </c>
      <c r="P47" s="115">
        <f t="shared" si="2"/>
        <v>0.87050847382911023</v>
      </c>
    </row>
    <row r="48" spans="1:16" ht="15" hidden="1" customHeight="1" x14ac:dyDescent="0.25">
      <c r="A48" s="106" t="s">
        <v>254</v>
      </c>
      <c r="B48" s="107">
        <v>66</v>
      </c>
      <c r="C48" s="108">
        <v>0.83099533706975048</v>
      </c>
      <c r="D48" s="109">
        <v>0.73651822203797945</v>
      </c>
      <c r="E48" s="109">
        <v>9.0900445260106294E-2</v>
      </c>
      <c r="F48" s="108">
        <f t="shared" si="0"/>
        <v>0.53456558580173907</v>
      </c>
      <c r="G48" s="109">
        <v>7.2974736163279444E-2</v>
      </c>
      <c r="H48" s="108">
        <f t="shared" si="1"/>
        <v>0.5766461893274718</v>
      </c>
      <c r="I48" s="110">
        <v>0.3775540712458007</v>
      </c>
      <c r="J48" s="111">
        <v>0.33260833062017342</v>
      </c>
      <c r="K48" s="112">
        <v>0.66464448968352852</v>
      </c>
      <c r="L48" s="113">
        <v>0.6</v>
      </c>
      <c r="M48" s="114">
        <v>0.72</v>
      </c>
      <c r="N48" s="97">
        <v>0.68</v>
      </c>
      <c r="O48" s="97">
        <v>0.68213388226836202</v>
      </c>
      <c r="P48" s="115">
        <f t="shared" si="2"/>
        <v>0.65175601431916674</v>
      </c>
    </row>
    <row r="49" spans="1:16" ht="15" hidden="1" customHeight="1" x14ac:dyDescent="0.25">
      <c r="A49" s="106" t="s">
        <v>255</v>
      </c>
      <c r="B49" s="107">
        <v>182</v>
      </c>
      <c r="C49" s="108">
        <v>1.1934810943942749</v>
      </c>
      <c r="D49" s="109">
        <v>0.19248965812476307</v>
      </c>
      <c r="E49" s="109">
        <v>7.4931131623614547E-2</v>
      </c>
      <c r="F49" s="108">
        <f t="shared" si="0"/>
        <v>1.0424094251859646</v>
      </c>
      <c r="G49" s="109">
        <v>2.1229920227660019E-2</v>
      </c>
      <c r="H49" s="108">
        <f t="shared" si="1"/>
        <v>1.0650197086413051</v>
      </c>
      <c r="I49" s="110">
        <v>0.4819302195143968</v>
      </c>
      <c r="J49" s="111">
        <v>0.45248663574391795</v>
      </c>
      <c r="K49" s="112">
        <v>0.21701810715046571</v>
      </c>
      <c r="L49" s="113">
        <v>1.1399999999999999</v>
      </c>
      <c r="M49" s="114">
        <v>0.89</v>
      </c>
      <c r="N49" s="97">
        <v>0.89</v>
      </c>
      <c r="O49" s="97">
        <v>1.0564128005709996</v>
      </c>
      <c r="P49" s="115">
        <f t="shared" si="2"/>
        <v>1.0082865018424609</v>
      </c>
    </row>
    <row r="50" spans="1:16" ht="15" hidden="1" customHeight="1" x14ac:dyDescent="0.25">
      <c r="A50" s="106" t="s">
        <v>256</v>
      </c>
      <c r="B50" s="107">
        <v>45</v>
      </c>
      <c r="C50" s="108">
        <v>0.8558791331118023</v>
      </c>
      <c r="D50" s="109">
        <v>0.69794851392319124</v>
      </c>
      <c r="E50" s="109">
        <v>0.13951494494110495</v>
      </c>
      <c r="F50" s="108">
        <f t="shared" si="0"/>
        <v>0.56105362453116914</v>
      </c>
      <c r="G50" s="109">
        <v>4.7328518318063562E-2</v>
      </c>
      <c r="H50" s="108">
        <f t="shared" si="1"/>
        <v>0.58892665028728686</v>
      </c>
      <c r="I50" s="110">
        <v>0.37506404594512144</v>
      </c>
      <c r="J50" s="111">
        <v>0.31308910256725969</v>
      </c>
      <c r="K50" s="112">
        <v>0.14192615822055019</v>
      </c>
      <c r="L50" s="113">
        <v>0.63</v>
      </c>
      <c r="M50" s="114">
        <v>0.52</v>
      </c>
      <c r="N50" s="97">
        <v>0.56000000000000005</v>
      </c>
      <c r="O50" s="97">
        <v>0.53789388756653767</v>
      </c>
      <c r="P50" s="115">
        <f t="shared" si="2"/>
        <v>0.56736410757076494</v>
      </c>
    </row>
    <row r="51" spans="1:16" ht="15" hidden="1" customHeight="1" x14ac:dyDescent="0.25">
      <c r="A51" s="106" t="s">
        <v>257</v>
      </c>
      <c r="B51" s="107">
        <v>95</v>
      </c>
      <c r="C51" s="108">
        <v>1.1684975665107238</v>
      </c>
      <c r="D51" s="109">
        <v>0.14210031430976455</v>
      </c>
      <c r="E51" s="109">
        <v>8.0560305172723348E-2</v>
      </c>
      <c r="F51" s="108">
        <f t="shared" si="0"/>
        <v>1.0555654417954266</v>
      </c>
      <c r="G51" s="109">
        <v>3.5430957982028027E-2</v>
      </c>
      <c r="H51" s="108">
        <f t="shared" si="1"/>
        <v>1.0943389180178138</v>
      </c>
      <c r="I51" s="110">
        <v>0.39737210547166463</v>
      </c>
      <c r="J51" s="111">
        <v>0.36864747977878082</v>
      </c>
      <c r="K51" s="112">
        <v>0.45735846426913696</v>
      </c>
      <c r="L51" s="113">
        <v>1.03</v>
      </c>
      <c r="M51" s="114">
        <v>0.82</v>
      </c>
      <c r="N51" s="97">
        <v>0.85</v>
      </c>
      <c r="O51" s="97">
        <v>1.1429011757965009</v>
      </c>
      <c r="P51" s="115">
        <f t="shared" si="2"/>
        <v>0.98744801876286292</v>
      </c>
    </row>
    <row r="52" spans="1:16" ht="15" hidden="1" customHeight="1" x14ac:dyDescent="0.25">
      <c r="A52" s="106" t="s">
        <v>258</v>
      </c>
      <c r="B52" s="107">
        <v>43</v>
      </c>
      <c r="C52" s="108">
        <v>1.1386417797685302</v>
      </c>
      <c r="D52" s="109">
        <v>0.19027126011482459</v>
      </c>
      <c r="E52" s="109">
        <v>0.14986864525121921</v>
      </c>
      <c r="F52" s="108">
        <f t="shared" si="0"/>
        <v>0.99596463515421851</v>
      </c>
      <c r="G52" s="109">
        <v>0.12906796419487671</v>
      </c>
      <c r="H52" s="108">
        <f t="shared" si="1"/>
        <v>1.1435618328512973</v>
      </c>
      <c r="I52" s="110">
        <v>0.35533789559836199</v>
      </c>
      <c r="J52" s="111">
        <v>0.29430402389434418</v>
      </c>
      <c r="K52" s="112">
        <v>0.22790465023389195</v>
      </c>
      <c r="L52" s="113">
        <v>1.08</v>
      </c>
      <c r="M52" s="114">
        <v>1.1200000000000001</v>
      </c>
      <c r="N52" s="97">
        <v>1.32</v>
      </c>
      <c r="O52" s="97">
        <v>1.2130427998566085</v>
      </c>
      <c r="P52" s="115">
        <f t="shared" si="2"/>
        <v>1.1753209265415812</v>
      </c>
    </row>
    <row r="53" spans="1:16" ht="15" hidden="1" customHeight="1" x14ac:dyDescent="0.25">
      <c r="A53" s="106" t="s">
        <v>259</v>
      </c>
      <c r="B53" s="107">
        <v>29</v>
      </c>
      <c r="C53" s="108">
        <v>0.56228957725443496</v>
      </c>
      <c r="D53" s="109">
        <v>2.5641875074358489</v>
      </c>
      <c r="E53" s="109">
        <v>0.15839946050645295</v>
      </c>
      <c r="F53" s="108">
        <f t="shared" si="0"/>
        <v>0.19186993569873212</v>
      </c>
      <c r="G53" s="109">
        <v>4.2472532770715221E-2</v>
      </c>
      <c r="H53" s="108">
        <f t="shared" si="1"/>
        <v>0.20038060762259877</v>
      </c>
      <c r="I53" s="110">
        <v>0.38027515351228336</v>
      </c>
      <c r="J53" s="111">
        <v>0.28128884047543545</v>
      </c>
      <c r="K53" s="112">
        <v>0.1707302912234851</v>
      </c>
      <c r="L53" s="113">
        <v>0.37</v>
      </c>
      <c r="M53" s="114">
        <v>0.35</v>
      </c>
      <c r="N53" s="97">
        <v>0.37</v>
      </c>
      <c r="O53" s="97">
        <v>0.24649235904482145</v>
      </c>
      <c r="P53" s="115">
        <f t="shared" si="2"/>
        <v>0.30737459333348405</v>
      </c>
    </row>
    <row r="54" spans="1:16" ht="15" hidden="1" customHeight="1" x14ac:dyDescent="0.25">
      <c r="A54" s="106" t="s">
        <v>260</v>
      </c>
      <c r="B54" s="107">
        <v>106</v>
      </c>
      <c r="C54" s="108">
        <v>1.195646747312114</v>
      </c>
      <c r="D54" s="109">
        <v>0.35170591858555167</v>
      </c>
      <c r="E54" s="109">
        <v>9.9972614194437676E-2</v>
      </c>
      <c r="F54" s="108">
        <f t="shared" si="0"/>
        <v>0.94532521161003069</v>
      </c>
      <c r="G54" s="109">
        <v>7.4332950341661166E-2</v>
      </c>
      <c r="H54" s="108">
        <f t="shared" si="1"/>
        <v>1.021236752414324</v>
      </c>
      <c r="I54" s="110">
        <v>0.36094994667605118</v>
      </c>
      <c r="J54" s="111">
        <v>0.35113806119976015</v>
      </c>
      <c r="K54" s="112">
        <v>0.81185896435874427</v>
      </c>
      <c r="L54" s="113">
        <v>0.69</v>
      </c>
      <c r="M54" s="114">
        <v>0.93</v>
      </c>
      <c r="N54" s="97">
        <v>1.1000000000000001</v>
      </c>
      <c r="O54" s="97">
        <v>1.0156726914212217</v>
      </c>
      <c r="P54" s="115">
        <f t="shared" si="2"/>
        <v>0.95138188876710905</v>
      </c>
    </row>
    <row r="55" spans="1:16" ht="15" hidden="1" customHeight="1" x14ac:dyDescent="0.25">
      <c r="A55" s="106" t="s">
        <v>261</v>
      </c>
      <c r="B55" s="107">
        <v>70</v>
      </c>
      <c r="C55" s="108">
        <v>0.94816627497321804</v>
      </c>
      <c r="D55" s="109">
        <v>0.14579180414527268</v>
      </c>
      <c r="E55" s="109">
        <v>0.11830247115713513</v>
      </c>
      <c r="F55" s="108">
        <f t="shared" si="0"/>
        <v>0.85438346479079863</v>
      </c>
      <c r="G55" s="109">
        <v>2.5082510167932313E-2</v>
      </c>
      <c r="H55" s="108">
        <f t="shared" si="1"/>
        <v>0.87636489621082558</v>
      </c>
      <c r="I55" s="110">
        <v>0.35770062531344227</v>
      </c>
      <c r="J55" s="111">
        <v>0.35397113083748566</v>
      </c>
      <c r="K55" s="112">
        <v>0.16075705406629803</v>
      </c>
      <c r="L55" s="113">
        <v>0.78</v>
      </c>
      <c r="M55" s="114">
        <v>0.73</v>
      </c>
      <c r="N55" s="97">
        <v>0.79</v>
      </c>
      <c r="O55" s="97">
        <v>0.79033899554877474</v>
      </c>
      <c r="P55" s="115">
        <f t="shared" si="2"/>
        <v>0.79334077835192007</v>
      </c>
    </row>
    <row r="56" spans="1:16" ht="15" hidden="1" customHeight="1" x14ac:dyDescent="0.25">
      <c r="A56" s="106" t="s">
        <v>262</v>
      </c>
      <c r="B56" s="107">
        <v>6</v>
      </c>
      <c r="C56" s="108">
        <v>2.5196619753187326</v>
      </c>
      <c r="D56" s="109">
        <v>0.58468357300450846</v>
      </c>
      <c r="E56" s="109">
        <v>6.6137455690543911E-2</v>
      </c>
      <c r="F56" s="108">
        <f t="shared" si="0"/>
        <v>1.749512234861331</v>
      </c>
      <c r="G56" s="109">
        <v>7.4401302022785401E-2</v>
      </c>
      <c r="H56" s="108">
        <f t="shared" si="1"/>
        <v>1.8901412012405387</v>
      </c>
      <c r="I56" s="110">
        <v>0.48445430920764609</v>
      </c>
      <c r="J56" s="111">
        <v>0.38570116251229974</v>
      </c>
      <c r="K56" s="112">
        <v>0.19040843392655579</v>
      </c>
      <c r="L56" s="113">
        <v>1.02</v>
      </c>
      <c r="M56" s="114">
        <v>1.04</v>
      </c>
      <c r="N56" s="97">
        <v>1.06</v>
      </c>
      <c r="O56" s="97">
        <v>1.1607183037793078</v>
      </c>
      <c r="P56" s="115">
        <f t="shared" si="2"/>
        <v>1.2341719010039693</v>
      </c>
    </row>
    <row r="57" spans="1:16" ht="15" hidden="1" customHeight="1" x14ac:dyDescent="0.25">
      <c r="A57" s="106" t="s">
        <v>263</v>
      </c>
      <c r="B57" s="107">
        <v>36</v>
      </c>
      <c r="C57" s="108">
        <v>0.93306978755739678</v>
      </c>
      <c r="D57" s="109">
        <v>0.39883303946207621</v>
      </c>
      <c r="E57" s="109">
        <v>0.15889835536105867</v>
      </c>
      <c r="F57" s="108">
        <f t="shared" si="0"/>
        <v>0.71759066218314149</v>
      </c>
      <c r="G57" s="109">
        <v>0.17164938210968203</v>
      </c>
      <c r="H57" s="108">
        <f t="shared" si="1"/>
        <v>0.86628855787025905</v>
      </c>
      <c r="I57" s="110">
        <v>0.17745535867038198</v>
      </c>
      <c r="J57" s="111">
        <v>0.20595789341238463</v>
      </c>
      <c r="K57" s="112">
        <v>0.1161365129919219</v>
      </c>
      <c r="L57" s="113">
        <v>0.79</v>
      </c>
      <c r="M57" s="114">
        <v>0.92</v>
      </c>
      <c r="N57" s="97">
        <v>0.96</v>
      </c>
      <c r="O57" s="97">
        <v>0.83924990773739672</v>
      </c>
      <c r="P57" s="115">
        <f t="shared" si="2"/>
        <v>0.87510769312153125</v>
      </c>
    </row>
    <row r="58" spans="1:16" ht="15" hidden="1" customHeight="1" x14ac:dyDescent="0.25">
      <c r="A58" s="106" t="s">
        <v>264</v>
      </c>
      <c r="B58" s="107">
        <v>16</v>
      </c>
      <c r="C58" s="108">
        <v>1.1359621152622124</v>
      </c>
      <c r="D58" s="109">
        <v>1.7113534255049134</v>
      </c>
      <c r="E58" s="109">
        <v>0.14257900115046152</v>
      </c>
      <c r="F58" s="108">
        <f t="shared" si="0"/>
        <v>0.49638323733477607</v>
      </c>
      <c r="G58" s="109">
        <v>0.18649286987647867</v>
      </c>
      <c r="H58" s="108">
        <f t="shared" si="1"/>
        <v>0.61017687363035922</v>
      </c>
      <c r="I58" s="110">
        <v>0.21871703958493213</v>
      </c>
      <c r="J58" s="111">
        <v>0.19983865488258035</v>
      </c>
      <c r="K58" s="112">
        <v>0.19653822568327106</v>
      </c>
      <c r="L58" s="113">
        <v>0.8</v>
      </c>
      <c r="M58" s="114">
        <v>0.85</v>
      </c>
      <c r="N58" s="97">
        <v>0.69</v>
      </c>
      <c r="O58" s="97">
        <v>0.59168791753325667</v>
      </c>
      <c r="P58" s="115">
        <f t="shared" si="2"/>
        <v>0.70837295823272317</v>
      </c>
    </row>
    <row r="59" spans="1:16" ht="15" hidden="1" customHeight="1" x14ac:dyDescent="0.25">
      <c r="A59" s="106" t="s">
        <v>265</v>
      </c>
      <c r="B59" s="107">
        <v>19</v>
      </c>
      <c r="C59" s="108">
        <v>0.69042252875835886</v>
      </c>
      <c r="D59" s="109">
        <v>0.1938049269266959</v>
      </c>
      <c r="E59" s="109">
        <v>0.13374846750805483</v>
      </c>
      <c r="F59" s="108">
        <f t="shared" si="0"/>
        <v>0.60250724463812821</v>
      </c>
      <c r="G59" s="109">
        <v>4.7501711117481957E-2</v>
      </c>
      <c r="H59" s="108">
        <f t="shared" si="1"/>
        <v>0.63255467402990995</v>
      </c>
      <c r="I59" s="110">
        <v>0.29201442191350718</v>
      </c>
      <c r="J59" s="111">
        <v>0.230777965767056</v>
      </c>
      <c r="K59" s="112">
        <v>0.22214671549866044</v>
      </c>
      <c r="L59" s="113">
        <v>0.68</v>
      </c>
      <c r="M59" s="114">
        <v>0.66</v>
      </c>
      <c r="N59" s="97">
        <v>0.76</v>
      </c>
      <c r="O59" s="97">
        <v>0.78979690726403884</v>
      </c>
      <c r="P59" s="115">
        <f t="shared" si="2"/>
        <v>0.70447031625878986</v>
      </c>
    </row>
    <row r="60" spans="1:16" ht="15" hidden="1" customHeight="1" x14ac:dyDescent="0.25">
      <c r="A60" s="106" t="s">
        <v>266</v>
      </c>
      <c r="B60" s="107">
        <v>350</v>
      </c>
      <c r="C60" s="108">
        <v>0.88685563464017436</v>
      </c>
      <c r="D60" s="109">
        <v>0.27130625926332363</v>
      </c>
      <c r="E60" s="109">
        <v>7.0415280569102998E-2</v>
      </c>
      <c r="F60" s="108">
        <f t="shared" si="0"/>
        <v>0.73642806426525753</v>
      </c>
      <c r="G60" s="109">
        <v>0.22222263655321528</v>
      </c>
      <c r="H60" s="108">
        <f t="shared" si="1"/>
        <v>0.9468365870172869</v>
      </c>
      <c r="I60" s="110">
        <v>0.32176441806968509</v>
      </c>
      <c r="J60" s="111">
        <v>0.30093381709767331</v>
      </c>
      <c r="K60" s="112">
        <v>0.37682158434361873</v>
      </c>
      <c r="L60" s="113">
        <v>0.91</v>
      </c>
      <c r="M60" s="114">
        <v>0.83</v>
      </c>
      <c r="N60" s="97">
        <v>0.91</v>
      </c>
      <c r="O60" s="97">
        <v>1.1552853553427129</v>
      </c>
      <c r="P60" s="115">
        <f t="shared" si="2"/>
        <v>0.95042438847199995</v>
      </c>
    </row>
    <row r="61" spans="1:16" ht="15" hidden="1" customHeight="1" x14ac:dyDescent="0.25">
      <c r="A61" s="106" t="s">
        <v>267</v>
      </c>
      <c r="B61" s="107">
        <v>219</v>
      </c>
      <c r="C61" s="108">
        <v>1.1746048028969782</v>
      </c>
      <c r="D61" s="109">
        <v>0.12676073423111245</v>
      </c>
      <c r="E61" s="109">
        <v>0.14738852291402182</v>
      </c>
      <c r="F61" s="108">
        <f t="shared" si="0"/>
        <v>1.0722693888310841</v>
      </c>
      <c r="G61" s="109">
        <v>5.3869745487309641E-2</v>
      </c>
      <c r="H61" s="108">
        <f t="shared" si="1"/>
        <v>1.133321108501453</v>
      </c>
      <c r="I61" s="110">
        <v>0.30594645780673901</v>
      </c>
      <c r="J61" s="111">
        <v>0.30786756395107828</v>
      </c>
      <c r="K61" s="112">
        <v>0.105303376014137</v>
      </c>
      <c r="L61" s="113">
        <v>1.23</v>
      </c>
      <c r="M61" s="114">
        <v>1.01</v>
      </c>
      <c r="N61" s="97">
        <v>1.0900000000000001</v>
      </c>
      <c r="O61" s="97">
        <v>1.1959330694665142</v>
      </c>
      <c r="P61" s="115">
        <f t="shared" si="2"/>
        <v>1.1318508355935935</v>
      </c>
    </row>
    <row r="62" spans="1:16" ht="15" hidden="1" customHeight="1" x14ac:dyDescent="0.25">
      <c r="A62" s="106" t="s">
        <v>268</v>
      </c>
      <c r="B62" s="107">
        <v>120</v>
      </c>
      <c r="C62" s="108">
        <v>1.0517443227154515</v>
      </c>
      <c r="D62" s="109">
        <v>0.27178816585477233</v>
      </c>
      <c r="E62" s="109">
        <v>7.7153818133751245E-2</v>
      </c>
      <c r="F62" s="108">
        <f t="shared" si="0"/>
        <v>0.87308544954176714</v>
      </c>
      <c r="G62" s="109">
        <v>6.5787683250120785E-2</v>
      </c>
      <c r="H62" s="108">
        <f t="shared" si="1"/>
        <v>0.93456854923431942</v>
      </c>
      <c r="I62" s="110">
        <v>0.45722990628425886</v>
      </c>
      <c r="J62" s="111">
        <v>0.43006687148152678</v>
      </c>
      <c r="K62" s="112">
        <v>0.57536057110082617</v>
      </c>
      <c r="L62" s="113">
        <v>1.05</v>
      </c>
      <c r="M62" s="114">
        <v>0.98</v>
      </c>
      <c r="N62" s="97">
        <v>1.1599999999999999</v>
      </c>
      <c r="O62" s="97">
        <v>1.1402385105334458</v>
      </c>
      <c r="P62" s="115">
        <f t="shared" si="2"/>
        <v>1.0529614119535531</v>
      </c>
    </row>
    <row r="63" spans="1:16" ht="15" hidden="1" customHeight="1" x14ac:dyDescent="0.25">
      <c r="A63" s="106" t="s">
        <v>269</v>
      </c>
      <c r="B63" s="107">
        <v>22</v>
      </c>
      <c r="C63" s="108">
        <v>0.70801024052303263</v>
      </c>
      <c r="D63" s="109">
        <v>0.22555336936486706</v>
      </c>
      <c r="E63" s="109">
        <v>0.22933357548858968</v>
      </c>
      <c r="F63" s="108">
        <f t="shared" si="0"/>
        <v>0.60523051921433346</v>
      </c>
      <c r="G63" s="109">
        <v>8.5517556473635861E-2</v>
      </c>
      <c r="H63" s="108">
        <f t="shared" si="1"/>
        <v>0.66182847303277392</v>
      </c>
      <c r="I63" s="110">
        <v>0.29053641096325411</v>
      </c>
      <c r="J63" s="111">
        <v>0.25828228476517473</v>
      </c>
      <c r="K63" s="112">
        <v>0.13149525976240412</v>
      </c>
      <c r="L63" s="113">
        <v>0.92</v>
      </c>
      <c r="M63" s="114">
        <v>0.9</v>
      </c>
      <c r="N63" s="97">
        <v>0.96</v>
      </c>
      <c r="O63" s="97">
        <v>0.73085720385756126</v>
      </c>
      <c r="P63" s="115">
        <f t="shared" si="2"/>
        <v>0.83453713537806706</v>
      </c>
    </row>
    <row r="64" spans="1:16" ht="15" hidden="1" customHeight="1" x14ac:dyDescent="0.25">
      <c r="A64" s="106" t="s">
        <v>270</v>
      </c>
      <c r="B64" s="107">
        <v>12</v>
      </c>
      <c r="C64" s="108">
        <v>0.78256853870304433</v>
      </c>
      <c r="D64" s="109">
        <v>0.44005682273750313</v>
      </c>
      <c r="E64" s="109">
        <v>0.36563322110742341</v>
      </c>
      <c r="F64" s="108">
        <f t="shared" si="0"/>
        <v>0.58781454102376174</v>
      </c>
      <c r="G64" s="109">
        <v>0.14293851309880851</v>
      </c>
      <c r="H64" s="108">
        <f t="shared" si="1"/>
        <v>0.68584874015174302</v>
      </c>
      <c r="I64" s="110">
        <v>0.22714694929830323</v>
      </c>
      <c r="J64" s="111">
        <v>0.23548032311746692</v>
      </c>
      <c r="K64" s="112">
        <v>0.94317691127920955</v>
      </c>
      <c r="L64" s="113">
        <v>0.97</v>
      </c>
      <c r="M64" s="114">
        <v>0.89</v>
      </c>
      <c r="N64" s="97">
        <v>1.03</v>
      </c>
      <c r="O64" s="97">
        <v>0.83472928861059381</v>
      </c>
      <c r="P64" s="115">
        <f t="shared" si="2"/>
        <v>0.88211560575246728</v>
      </c>
    </row>
    <row r="65" spans="1:16" ht="15" hidden="1" customHeight="1" x14ac:dyDescent="0.25">
      <c r="A65" s="106" t="s">
        <v>271</v>
      </c>
      <c r="B65" s="107">
        <v>91</v>
      </c>
      <c r="C65" s="108">
        <v>0.84204926960124005</v>
      </c>
      <c r="D65" s="109">
        <v>0.66612069411543651</v>
      </c>
      <c r="E65" s="109">
        <v>0.10793852127153462</v>
      </c>
      <c r="F65" s="108">
        <f t="shared" si="0"/>
        <v>0.56079705648657174</v>
      </c>
      <c r="G65" s="109">
        <v>0.1199135940322725</v>
      </c>
      <c r="H65" s="108">
        <f t="shared" si="1"/>
        <v>0.63720681592613537</v>
      </c>
      <c r="I65" s="110">
        <v>0.49066374277259112</v>
      </c>
      <c r="J65" s="111">
        <v>0.50944001847354348</v>
      </c>
      <c r="K65" s="112">
        <v>1.5594245293021163</v>
      </c>
      <c r="L65" s="113">
        <v>0.91</v>
      </c>
      <c r="M65" s="114">
        <v>0.76</v>
      </c>
      <c r="N65" s="97">
        <v>1.1100000000000001</v>
      </c>
      <c r="O65" s="97">
        <v>0.71143928316434868</v>
      </c>
      <c r="P65" s="115">
        <f t="shared" si="2"/>
        <v>0.82572921981809677</v>
      </c>
    </row>
    <row r="66" spans="1:16" ht="15" hidden="1" customHeight="1" x14ac:dyDescent="0.25">
      <c r="A66" s="106" t="s">
        <v>272</v>
      </c>
      <c r="B66" s="107">
        <v>29</v>
      </c>
      <c r="C66" s="108">
        <v>0.76487278730437169</v>
      </c>
      <c r="D66" s="109">
        <v>0.58310166528592344</v>
      </c>
      <c r="E66" s="109">
        <v>0.11695880092480608</v>
      </c>
      <c r="F66" s="108">
        <f t="shared" si="0"/>
        <v>0.53152440709319737</v>
      </c>
      <c r="G66" s="109">
        <v>7.135376722718012E-2</v>
      </c>
      <c r="H66" s="108">
        <f t="shared" si="1"/>
        <v>0.57236479117148076</v>
      </c>
      <c r="I66" s="110">
        <v>0.32877716372886939</v>
      </c>
      <c r="J66" s="111">
        <v>0.35809607157798468</v>
      </c>
      <c r="K66" s="112">
        <v>0.59644975426469837</v>
      </c>
      <c r="L66" s="113">
        <v>0.74</v>
      </c>
      <c r="M66" s="114">
        <v>0.55000000000000004</v>
      </c>
      <c r="N66" s="97">
        <v>0.51</v>
      </c>
      <c r="O66" s="97">
        <v>0.58631204948091098</v>
      </c>
      <c r="P66" s="115">
        <f t="shared" si="2"/>
        <v>0.59173536813047833</v>
      </c>
    </row>
    <row r="67" spans="1:16" ht="15" hidden="1" customHeight="1" x14ac:dyDescent="0.25">
      <c r="A67" s="106" t="s">
        <v>273</v>
      </c>
      <c r="B67" s="107">
        <v>67</v>
      </c>
      <c r="C67" s="108">
        <v>1.1191956476665332</v>
      </c>
      <c r="D67" s="109">
        <v>0.35363910488384048</v>
      </c>
      <c r="E67" s="109">
        <v>0.13369690334216425</v>
      </c>
      <c r="F67" s="108">
        <f t="shared" si="0"/>
        <v>0.88386284903364032</v>
      </c>
      <c r="G67" s="109">
        <v>0.1319372676007286</v>
      </c>
      <c r="H67" s="108">
        <f t="shared" si="1"/>
        <v>1.0182015838771219</v>
      </c>
      <c r="I67" s="110">
        <v>0.34263210160705576</v>
      </c>
      <c r="J67" s="111">
        <v>0.39083347261237072</v>
      </c>
      <c r="K67" s="112">
        <v>0.59576296328731015</v>
      </c>
      <c r="L67" s="113">
        <v>1.24</v>
      </c>
      <c r="M67" s="114">
        <v>1.05</v>
      </c>
      <c r="N67" s="97">
        <v>1.1599999999999999</v>
      </c>
      <c r="O67" s="97">
        <v>1.0547254159691497</v>
      </c>
      <c r="P67" s="115">
        <f t="shared" si="2"/>
        <v>1.1045853999692543</v>
      </c>
    </row>
    <row r="68" spans="1:16" ht="15" hidden="1" customHeight="1" x14ac:dyDescent="0.25">
      <c r="A68" s="106" t="s">
        <v>274</v>
      </c>
      <c r="B68" s="107">
        <v>44</v>
      </c>
      <c r="C68" s="108">
        <v>0.79441518522562971</v>
      </c>
      <c r="D68" s="109">
        <v>0.45963364461543199</v>
      </c>
      <c r="E68" s="109">
        <v>0.1260432671704044</v>
      </c>
      <c r="F68" s="108">
        <f t="shared" si="0"/>
        <v>0.59017894049644204</v>
      </c>
      <c r="G68" s="109">
        <v>4.7580428320941975E-2</v>
      </c>
      <c r="H68" s="108">
        <f t="shared" si="1"/>
        <v>0.61966276003336673</v>
      </c>
      <c r="I68" s="110">
        <v>0.29361490892448061</v>
      </c>
      <c r="J68" s="111">
        <v>0.27277399788128837</v>
      </c>
      <c r="K68" s="112">
        <v>0.2859663822001427</v>
      </c>
      <c r="L68" s="113">
        <v>0.82</v>
      </c>
      <c r="M68" s="114">
        <v>0.68</v>
      </c>
      <c r="N68" s="97">
        <v>0.75</v>
      </c>
      <c r="O68" s="97">
        <v>0.694473971926442</v>
      </c>
      <c r="P68" s="115">
        <f t="shared" si="2"/>
        <v>0.71282734639196177</v>
      </c>
    </row>
    <row r="69" spans="1:16" ht="15" hidden="1" customHeight="1" x14ac:dyDescent="0.25">
      <c r="A69" s="106" t="s">
        <v>275</v>
      </c>
      <c r="B69" s="107">
        <v>38</v>
      </c>
      <c r="C69" s="108">
        <v>0.73151685382237341</v>
      </c>
      <c r="D69" s="109">
        <v>0.2665712789107274</v>
      </c>
      <c r="E69" s="109">
        <v>0.16416974609436566</v>
      </c>
      <c r="F69" s="108">
        <f t="shared" si="0"/>
        <v>0.60924121785504648</v>
      </c>
      <c r="G69" s="109">
        <v>6.98763727312115E-2</v>
      </c>
      <c r="H69" s="108">
        <f t="shared" si="1"/>
        <v>0.65501101143298557</v>
      </c>
      <c r="I69" s="110">
        <v>0.26445200057829243</v>
      </c>
      <c r="J69" s="111">
        <v>0.25783161713426789</v>
      </c>
      <c r="K69" s="112">
        <v>0.2960005167820724</v>
      </c>
      <c r="L69" s="113">
        <v>0.91</v>
      </c>
      <c r="M69" s="114">
        <v>0.74</v>
      </c>
      <c r="N69" s="97">
        <v>0.77</v>
      </c>
      <c r="O69" s="97">
        <v>0.81110096957361122</v>
      </c>
      <c r="P69" s="115">
        <f t="shared" si="2"/>
        <v>0.77722239620131939</v>
      </c>
    </row>
    <row r="70" spans="1:16" ht="15" hidden="1" customHeight="1" x14ac:dyDescent="0.25">
      <c r="A70" s="106" t="s">
        <v>276</v>
      </c>
      <c r="B70" s="107">
        <v>73</v>
      </c>
      <c r="C70" s="108">
        <v>0.77873860902772818</v>
      </c>
      <c r="D70" s="109">
        <v>0.64647999735163042</v>
      </c>
      <c r="E70" s="109">
        <v>0.15380180860405573</v>
      </c>
      <c r="F70" s="108">
        <f t="shared" si="0"/>
        <v>0.52379120624772835</v>
      </c>
      <c r="G70" s="109">
        <v>7.1326995484758501E-2</v>
      </c>
      <c r="H70" s="108">
        <f t="shared" si="1"/>
        <v>0.56402113951954747</v>
      </c>
      <c r="I70" s="110">
        <v>0.31896673156693617</v>
      </c>
      <c r="J70" s="111">
        <v>0.31125655481055869</v>
      </c>
      <c r="K70" s="112">
        <v>0.1317503612287452</v>
      </c>
      <c r="L70" s="113">
        <v>0.56999999999999995</v>
      </c>
      <c r="M70" s="114">
        <v>0.57999999999999996</v>
      </c>
      <c r="N70" s="97">
        <v>0.59</v>
      </c>
      <c r="O70" s="97">
        <v>0.53665167492098775</v>
      </c>
      <c r="P70" s="115">
        <f t="shared" si="2"/>
        <v>0.56813456288810704</v>
      </c>
    </row>
    <row r="71" spans="1:16" ht="15" hidden="1" customHeight="1" x14ac:dyDescent="0.25">
      <c r="A71" s="106" t="s">
        <v>277</v>
      </c>
      <c r="B71" s="107">
        <v>46</v>
      </c>
      <c r="C71" s="108">
        <v>1.134958303654692</v>
      </c>
      <c r="D71" s="109">
        <v>0.18237864893410582</v>
      </c>
      <c r="E71" s="109">
        <v>0.10177416289447845</v>
      </c>
      <c r="F71" s="108">
        <f t="shared" si="0"/>
        <v>0.99792969801072229</v>
      </c>
      <c r="G71" s="109">
        <v>9.8213858135784288E-2</v>
      </c>
      <c r="H71" s="108">
        <f t="shared" si="1"/>
        <v>1.1066145859679701</v>
      </c>
      <c r="I71" s="110">
        <v>0.44549679123669472</v>
      </c>
      <c r="J71" s="111">
        <v>0.42341743715023983</v>
      </c>
      <c r="K71" s="112">
        <v>0.65984650482093021</v>
      </c>
      <c r="L71" s="113">
        <v>0.99</v>
      </c>
      <c r="M71" s="114">
        <v>0.87</v>
      </c>
      <c r="N71" s="97">
        <v>1.05</v>
      </c>
      <c r="O71" s="97">
        <v>1.1005716661082103</v>
      </c>
      <c r="P71" s="115">
        <f t="shared" si="2"/>
        <v>1.023437250415236</v>
      </c>
    </row>
    <row r="72" spans="1:16" ht="15" hidden="1" customHeight="1" x14ac:dyDescent="0.25">
      <c r="A72" s="106" t="s">
        <v>278</v>
      </c>
      <c r="B72" s="107">
        <v>72</v>
      </c>
      <c r="C72" s="108">
        <v>0.80924951452446081</v>
      </c>
      <c r="D72" s="109">
        <v>0.56167412776803505</v>
      </c>
      <c r="E72" s="109">
        <v>0.13033792698490154</v>
      </c>
      <c r="F72" s="108">
        <f t="shared" si="0"/>
        <v>0.56873874338245101</v>
      </c>
      <c r="G72" s="109">
        <v>5.1229733268688918E-2</v>
      </c>
      <c r="H72" s="108">
        <f t="shared" si="1"/>
        <v>0.59944832097432932</v>
      </c>
      <c r="I72" s="110">
        <v>0.3340621266864785</v>
      </c>
      <c r="J72" s="111">
        <v>0.30011022470809878</v>
      </c>
      <c r="K72" s="112">
        <v>0.26654202870413474</v>
      </c>
      <c r="L72" s="113">
        <v>0.62</v>
      </c>
      <c r="M72" s="114">
        <v>0.73</v>
      </c>
      <c r="N72" s="97">
        <v>0.79</v>
      </c>
      <c r="O72" s="97">
        <v>0.63182369108311665</v>
      </c>
      <c r="P72" s="115">
        <f t="shared" si="2"/>
        <v>0.67425440241148915</v>
      </c>
    </row>
    <row r="73" spans="1:16" ht="15" hidden="1" customHeight="1" x14ac:dyDescent="0.25">
      <c r="A73" s="106" t="s">
        <v>279</v>
      </c>
      <c r="B73" s="107">
        <v>142</v>
      </c>
      <c r="C73" s="108">
        <v>0.73020325788584939</v>
      </c>
      <c r="D73" s="109">
        <v>0.81579128248360933</v>
      </c>
      <c r="E73" s="109">
        <v>1.2029231634608686E-2</v>
      </c>
      <c r="F73" s="108">
        <f t="shared" si="0"/>
        <v>0.45235972654007439</v>
      </c>
      <c r="G73" s="109">
        <v>2.9743397849992085E-2</v>
      </c>
      <c r="H73" s="108">
        <f t="shared" si="1"/>
        <v>0.46622689867575534</v>
      </c>
      <c r="I73" s="110">
        <v>0.26566339592833244</v>
      </c>
      <c r="J73" s="111">
        <v>0.22896465668887026</v>
      </c>
      <c r="K73" s="112">
        <v>0.14719462435291394</v>
      </c>
      <c r="L73" s="113">
        <v>0.37</v>
      </c>
      <c r="M73" s="114">
        <v>0.52</v>
      </c>
      <c r="N73" s="97">
        <v>0.54</v>
      </c>
      <c r="O73" s="97">
        <v>0.42587723144357803</v>
      </c>
      <c r="P73" s="115">
        <f t="shared" si="2"/>
        <v>0.4644208260238667</v>
      </c>
    </row>
    <row r="74" spans="1:16" ht="15" hidden="1" customHeight="1" x14ac:dyDescent="0.25">
      <c r="A74" s="106" t="s">
        <v>280</v>
      </c>
      <c r="B74" s="107">
        <v>66</v>
      </c>
      <c r="C74" s="108">
        <v>0.79639760612779886</v>
      </c>
      <c r="D74" s="109">
        <v>0.78422647927936007</v>
      </c>
      <c r="E74" s="109">
        <v>0.10939555801582926</v>
      </c>
      <c r="F74" s="108">
        <f t="shared" si="0"/>
        <v>0.50073913191357888</v>
      </c>
      <c r="G74" s="109">
        <v>0.12125979161903637</v>
      </c>
      <c r="H74" s="108">
        <f t="shared" si="1"/>
        <v>0.56983750958223078</v>
      </c>
      <c r="I74" s="110">
        <v>0.33283178969097638</v>
      </c>
      <c r="J74" s="111">
        <v>0.31979003214907947</v>
      </c>
      <c r="K74" s="112">
        <v>0.493829541790414</v>
      </c>
      <c r="L74" s="113">
        <v>0.54</v>
      </c>
      <c r="M74" s="114">
        <v>0.56000000000000005</v>
      </c>
      <c r="N74" s="97">
        <v>0.56999999999999995</v>
      </c>
      <c r="O74" s="97">
        <v>0.5883162692025512</v>
      </c>
      <c r="P74" s="115">
        <f t="shared" si="2"/>
        <v>0.56563075575695643</v>
      </c>
    </row>
    <row r="75" spans="1:16" ht="15" hidden="1" customHeight="1" x14ac:dyDescent="0.25">
      <c r="A75" s="106" t="s">
        <v>281</v>
      </c>
      <c r="B75" s="107">
        <v>48</v>
      </c>
      <c r="C75" s="108">
        <v>0.93787377343234724</v>
      </c>
      <c r="D75" s="109">
        <v>1.7469460513485613</v>
      </c>
      <c r="E75" s="109">
        <v>9.546207118571931E-2</v>
      </c>
      <c r="F75" s="108">
        <f t="shared" si="0"/>
        <v>0.40508082069852969</v>
      </c>
      <c r="G75" s="109">
        <v>5.2464910865221905E-2</v>
      </c>
      <c r="H75" s="108">
        <f t="shared" si="1"/>
        <v>0.42751009998840334</v>
      </c>
      <c r="I75" s="110">
        <v>0.29748220483098059</v>
      </c>
      <c r="J75" s="111">
        <v>0.29126749591863227</v>
      </c>
      <c r="K75" s="112">
        <v>0.32936781838466939</v>
      </c>
      <c r="L75" s="113">
        <v>0.44</v>
      </c>
      <c r="M75" s="114">
        <v>0.48</v>
      </c>
      <c r="N75" s="97">
        <v>0.49</v>
      </c>
      <c r="O75" s="97">
        <v>0.40846259646487881</v>
      </c>
      <c r="P75" s="115">
        <f t="shared" si="2"/>
        <v>0.44919453929065645</v>
      </c>
    </row>
    <row r="76" spans="1:16" ht="15" hidden="1" customHeight="1" x14ac:dyDescent="0.25">
      <c r="A76" s="106" t="s">
        <v>282</v>
      </c>
      <c r="B76" s="107">
        <v>237</v>
      </c>
      <c r="C76" s="108">
        <v>0.83004642594588762</v>
      </c>
      <c r="D76" s="109">
        <v>1.2078575796014879</v>
      </c>
      <c r="E76" s="109">
        <v>9.8494690053240574E-2</v>
      </c>
      <c r="F76" s="108">
        <f t="shared" ref="F76:F106" si="3">IF($F$8="Effective",C76/(1+(1-E76)*D76),C76/(1+(1-$F$9)*D76))</f>
        <v>0.43471675768474116</v>
      </c>
      <c r="G76" s="109">
        <v>3.6186520403333401E-2</v>
      </c>
      <c r="H76" s="108">
        <f t="shared" ref="H76:H106" si="4">F76/(1-G76)</f>
        <v>0.45103826299115463</v>
      </c>
      <c r="I76" s="110">
        <v>0.27841290426234711</v>
      </c>
      <c r="J76" s="111">
        <v>0.25519690712409959</v>
      </c>
      <c r="K76" s="112">
        <v>0.23974808798527003</v>
      </c>
      <c r="L76" s="113">
        <v>0.32</v>
      </c>
      <c r="M76" s="114">
        <v>0.36</v>
      </c>
      <c r="N76" s="97">
        <v>0.41</v>
      </c>
      <c r="O76" s="97">
        <v>0.39609858161262129</v>
      </c>
      <c r="P76" s="115">
        <f t="shared" ref="P76:P106" si="5">AVERAGE(H76,L76:O76)</f>
        <v>0.38742736892075513</v>
      </c>
    </row>
    <row r="77" spans="1:16" ht="15" hidden="1" customHeight="1" x14ac:dyDescent="0.25">
      <c r="A77" s="106" t="s">
        <v>283</v>
      </c>
      <c r="B77" s="107">
        <v>60</v>
      </c>
      <c r="C77" s="108">
        <v>1.0035503434252013</v>
      </c>
      <c r="D77" s="109">
        <v>0.29483577529668242</v>
      </c>
      <c r="E77" s="109">
        <v>0.14900264640009969</v>
      </c>
      <c r="F77" s="108">
        <f t="shared" si="3"/>
        <v>0.82124815449392297</v>
      </c>
      <c r="G77" s="109">
        <v>6.6741244929467189E-2</v>
      </c>
      <c r="H77" s="108">
        <f t="shared" si="4"/>
        <v>0.87997905193169668</v>
      </c>
      <c r="I77" s="110">
        <v>0.31033612633617264</v>
      </c>
      <c r="J77" s="111">
        <v>0.30059864085448196</v>
      </c>
      <c r="K77" s="112">
        <v>0.57538073027721115</v>
      </c>
      <c r="L77" s="113">
        <v>0.67</v>
      </c>
      <c r="M77" s="114">
        <v>0.82</v>
      </c>
      <c r="N77" s="97">
        <v>0.98</v>
      </c>
      <c r="O77" s="97">
        <v>0.88794229335542929</v>
      </c>
      <c r="P77" s="115">
        <f t="shared" si="5"/>
        <v>0.84758426905742523</v>
      </c>
    </row>
    <row r="78" spans="1:16" ht="15" hidden="1" customHeight="1" x14ac:dyDescent="0.25">
      <c r="A78" s="106" t="s">
        <v>284</v>
      </c>
      <c r="B78" s="107">
        <v>4</v>
      </c>
      <c r="C78" s="108">
        <v>1.095957800932122</v>
      </c>
      <c r="D78" s="109">
        <v>0.20372394498288837</v>
      </c>
      <c r="E78" s="109">
        <v>0.23639180216766836</v>
      </c>
      <c r="F78" s="108">
        <f t="shared" si="3"/>
        <v>0.95021088441870416</v>
      </c>
      <c r="G78" s="109">
        <v>9.5596412049439222E-2</v>
      </c>
      <c r="H78" s="108">
        <f t="shared" si="4"/>
        <v>1.0506491759635164</v>
      </c>
      <c r="I78" s="110">
        <v>0.17453001228393716</v>
      </c>
      <c r="J78" s="111">
        <v>0.18211184494801436</v>
      </c>
      <c r="K78" s="112">
        <v>0.37568403723400612</v>
      </c>
      <c r="L78" s="113">
        <v>0.94</v>
      </c>
      <c r="M78" s="114">
        <v>1.42</v>
      </c>
      <c r="N78" s="97">
        <v>1.45</v>
      </c>
      <c r="O78" s="97">
        <v>1.041956862068099</v>
      </c>
      <c r="P78" s="115">
        <f t="shared" si="5"/>
        <v>1.1805212076063232</v>
      </c>
    </row>
    <row r="79" spans="1:16" ht="15" hidden="1" customHeight="1" x14ac:dyDescent="0.25">
      <c r="A79" s="106" t="s">
        <v>285</v>
      </c>
      <c r="B79" s="107">
        <v>43</v>
      </c>
      <c r="C79" s="108">
        <v>1.2535672909065732</v>
      </c>
      <c r="D79" s="109">
        <v>0.38095783113490567</v>
      </c>
      <c r="E79" s="109">
        <v>9.3084383632332304E-2</v>
      </c>
      <c r="F79" s="108">
        <f t="shared" si="3"/>
        <v>0.97415661963536682</v>
      </c>
      <c r="G79" s="109">
        <v>7.5981664908365193E-2</v>
      </c>
      <c r="H79" s="108">
        <f t="shared" si="4"/>
        <v>1.0542611359965708</v>
      </c>
      <c r="I79" s="110">
        <v>0.35723055227558803</v>
      </c>
      <c r="J79" s="111">
        <v>0.33406471848208386</v>
      </c>
      <c r="K79" s="112">
        <v>0.89674064178919233</v>
      </c>
      <c r="L79" s="113">
        <v>0.66</v>
      </c>
      <c r="M79" s="114">
        <v>0.99</v>
      </c>
      <c r="N79" s="97">
        <v>1.19</v>
      </c>
      <c r="O79" s="97">
        <v>0.95523930120291511</v>
      </c>
      <c r="P79" s="115">
        <f t="shared" si="5"/>
        <v>0.96990008743989731</v>
      </c>
    </row>
    <row r="80" spans="1:16" ht="15" hidden="1" customHeight="1" x14ac:dyDescent="0.25">
      <c r="A80" s="106" t="s">
        <v>286</v>
      </c>
      <c r="B80" s="107">
        <v>28</v>
      </c>
      <c r="C80" s="108">
        <v>1.2408503375379711</v>
      </c>
      <c r="D80" s="109">
        <v>0.5805455783144835</v>
      </c>
      <c r="E80" s="109">
        <v>0.13157490928601703</v>
      </c>
      <c r="F80" s="108">
        <f t="shared" si="3"/>
        <v>0.86344484292888912</v>
      </c>
      <c r="G80" s="109">
        <v>0.13137922440266681</v>
      </c>
      <c r="H80" s="108">
        <f t="shared" si="4"/>
        <v>0.99404120553657649</v>
      </c>
      <c r="I80" s="110">
        <v>0.36486314178341128</v>
      </c>
      <c r="J80" s="111">
        <v>0.37537045106584821</v>
      </c>
      <c r="K80" s="112">
        <v>0.31972526578335114</v>
      </c>
      <c r="L80" s="113">
        <v>0.43</v>
      </c>
      <c r="M80" s="114">
        <v>0.79</v>
      </c>
      <c r="N80" s="97">
        <v>1.06</v>
      </c>
      <c r="O80" s="97">
        <v>0.91956287452106988</v>
      </c>
      <c r="P80" s="115">
        <f t="shared" si="5"/>
        <v>0.83872081601152926</v>
      </c>
    </row>
    <row r="81" spans="1:16" ht="15" hidden="1" customHeight="1" x14ac:dyDescent="0.25">
      <c r="A81" s="106" t="s">
        <v>287</v>
      </c>
      <c r="B81" s="107">
        <v>29</v>
      </c>
      <c r="C81" s="108">
        <v>1.2555264223300098</v>
      </c>
      <c r="D81" s="109">
        <v>0.68625958356998795</v>
      </c>
      <c r="E81" s="109">
        <v>0.19717956850228402</v>
      </c>
      <c r="F81" s="108">
        <f t="shared" si="3"/>
        <v>0.82780969970074225</v>
      </c>
      <c r="G81" s="109">
        <v>7.4720657225957499E-2</v>
      </c>
      <c r="H81" s="108">
        <f t="shared" si="4"/>
        <v>0.89465922498487815</v>
      </c>
      <c r="I81" s="110">
        <v>0.29968944874896747</v>
      </c>
      <c r="J81" s="111">
        <v>0.28071281493731903</v>
      </c>
      <c r="K81" s="112">
        <v>0.26689271134225573</v>
      </c>
      <c r="L81" s="113">
        <v>0.54</v>
      </c>
      <c r="M81" s="114">
        <v>0.82</v>
      </c>
      <c r="N81" s="97">
        <v>0.87</v>
      </c>
      <c r="O81" s="97">
        <v>0.85771106548866083</v>
      </c>
      <c r="P81" s="115">
        <f t="shared" si="5"/>
        <v>0.79647405809470784</v>
      </c>
    </row>
    <row r="82" spans="1:16" ht="15" hidden="1" customHeight="1" x14ac:dyDescent="0.25">
      <c r="A82" s="106" t="s">
        <v>288</v>
      </c>
      <c r="B82" s="107">
        <v>116</v>
      </c>
      <c r="C82" s="108">
        <v>0.98741170058225136</v>
      </c>
      <c r="D82" s="109">
        <v>0.51863067117916029</v>
      </c>
      <c r="E82" s="109">
        <v>0.1658335675207312</v>
      </c>
      <c r="F82" s="108">
        <f t="shared" si="3"/>
        <v>0.71012442321834013</v>
      </c>
      <c r="G82" s="109">
        <v>3.8012690598162376E-2</v>
      </c>
      <c r="H82" s="108">
        <f t="shared" si="4"/>
        <v>0.73818481416339521</v>
      </c>
      <c r="I82" s="110">
        <v>0.28356687199960878</v>
      </c>
      <c r="J82" s="111">
        <v>0.27346258241751981</v>
      </c>
      <c r="K82" s="112">
        <v>0.31408759583885681</v>
      </c>
      <c r="L82" s="113">
        <v>0.61</v>
      </c>
      <c r="M82" s="114">
        <v>0.7</v>
      </c>
      <c r="N82" s="97">
        <v>0.79</v>
      </c>
      <c r="O82" s="97">
        <v>0.76089858547992129</v>
      </c>
      <c r="P82" s="115">
        <f t="shared" si="5"/>
        <v>0.71981667992866338</v>
      </c>
    </row>
    <row r="83" spans="1:16" ht="15" hidden="1" customHeight="1" x14ac:dyDescent="0.25">
      <c r="A83" s="106" t="s">
        <v>289</v>
      </c>
      <c r="B83" s="107">
        <v>32</v>
      </c>
      <c r="C83" s="108">
        <v>1.0836153030318241</v>
      </c>
      <c r="D83" s="109">
        <v>0.39428371792901373</v>
      </c>
      <c r="E83" s="109">
        <v>9.5693964443221854E-2</v>
      </c>
      <c r="F83" s="108">
        <f t="shared" si="3"/>
        <v>0.83557089340314183</v>
      </c>
      <c r="G83" s="109">
        <v>4.9422240772183081E-2</v>
      </c>
      <c r="H83" s="108">
        <f t="shared" si="4"/>
        <v>0.8790137211730068</v>
      </c>
      <c r="I83" s="110">
        <v>0.34633685794231628</v>
      </c>
      <c r="J83" s="111">
        <v>0.35902674130694007</v>
      </c>
      <c r="K83" s="112">
        <v>0.14132237969843478</v>
      </c>
      <c r="L83" s="113">
        <v>0.38</v>
      </c>
      <c r="M83" s="114">
        <v>0.35</v>
      </c>
      <c r="N83" s="97">
        <v>0.4</v>
      </c>
      <c r="O83" s="97">
        <v>0.39281019353544178</v>
      </c>
      <c r="P83" s="115">
        <f t="shared" si="5"/>
        <v>0.48036478294168966</v>
      </c>
    </row>
    <row r="84" spans="1:16" ht="15" hidden="1" customHeight="1" x14ac:dyDescent="0.25">
      <c r="A84" s="106" t="s">
        <v>290</v>
      </c>
      <c r="B84" s="107">
        <v>32</v>
      </c>
      <c r="C84" s="108">
        <v>1.073982711190173</v>
      </c>
      <c r="D84" s="109">
        <v>0.62751170030997683</v>
      </c>
      <c r="E84" s="109">
        <v>0.16556934842536192</v>
      </c>
      <c r="F84" s="108">
        <f t="shared" si="3"/>
        <v>0.72938307935524183</v>
      </c>
      <c r="G84" s="109">
        <v>7.7368414081143033E-2</v>
      </c>
      <c r="H84" s="108">
        <f t="shared" si="4"/>
        <v>0.79054640062950232</v>
      </c>
      <c r="I84" s="110">
        <v>0.37721298907575029</v>
      </c>
      <c r="J84" s="111">
        <v>0.29736560971190662</v>
      </c>
      <c r="K84" s="112">
        <v>0.24824258907598656</v>
      </c>
      <c r="L84" s="113">
        <v>0.44</v>
      </c>
      <c r="M84" s="114">
        <v>0.39</v>
      </c>
      <c r="N84" s="97">
        <v>0.42</v>
      </c>
      <c r="O84" s="97">
        <v>0.5531785871425986</v>
      </c>
      <c r="P84" s="115">
        <f t="shared" si="5"/>
        <v>0.51874499755442016</v>
      </c>
    </row>
    <row r="85" spans="1:16" ht="15" hidden="1" customHeight="1" x14ac:dyDescent="0.25">
      <c r="A85" s="106" t="s">
        <v>348</v>
      </c>
      <c r="B85" s="107">
        <v>33</v>
      </c>
      <c r="C85" s="108">
        <v>0.96074699869045799</v>
      </c>
      <c r="D85" s="109">
        <v>1.4416481088663338</v>
      </c>
      <c r="E85" s="109">
        <v>4.2197142709291834E-2</v>
      </c>
      <c r="F85" s="108">
        <f t="shared" si="3"/>
        <v>0.46069781854239528</v>
      </c>
      <c r="G85" s="109">
        <v>7.0678007575419519E-2</v>
      </c>
      <c r="H85" s="108">
        <f t="shared" si="4"/>
        <v>0.49573540957579715</v>
      </c>
      <c r="I85" s="110">
        <v>0.18602968622320687</v>
      </c>
      <c r="J85" s="111">
        <v>0.21209722687273572</v>
      </c>
      <c r="K85" s="112">
        <v>0.24532736166894889</v>
      </c>
      <c r="L85" s="113">
        <v>1.23</v>
      </c>
      <c r="M85" s="114">
        <v>1.1200000000000001</v>
      </c>
      <c r="N85" s="97">
        <v>1.25</v>
      </c>
      <c r="O85" s="97">
        <v>1.4672850705706748</v>
      </c>
      <c r="P85" s="115">
        <f t="shared" si="5"/>
        <v>1.1126040960292944</v>
      </c>
    </row>
    <row r="86" spans="1:16" ht="15" hidden="1" customHeight="1" x14ac:dyDescent="0.25">
      <c r="A86" s="106" t="s">
        <v>291</v>
      </c>
      <c r="B86" s="107">
        <v>111</v>
      </c>
      <c r="C86" s="108">
        <v>1.5260199648902262</v>
      </c>
      <c r="D86" s="109">
        <v>0.21253745908618843</v>
      </c>
      <c r="E86" s="109">
        <v>0.10549003076138613</v>
      </c>
      <c r="F86" s="108">
        <f t="shared" si="3"/>
        <v>1.3155123916368283</v>
      </c>
      <c r="G86" s="109">
        <v>7.7397397860032996E-2</v>
      </c>
      <c r="H86" s="108">
        <f t="shared" si="4"/>
        <v>1.4258711048348565</v>
      </c>
      <c r="I86" s="110">
        <v>0.41122052524934199</v>
      </c>
      <c r="J86" s="111">
        <v>0.37700298014481848</v>
      </c>
      <c r="K86" s="112">
        <v>0.24209165934817631</v>
      </c>
      <c r="L86" s="113">
        <v>0.9</v>
      </c>
      <c r="M86" s="114">
        <v>1.06</v>
      </c>
      <c r="N86" s="97">
        <v>1.24</v>
      </c>
      <c r="O86" s="97">
        <v>1.1652952867668969</v>
      </c>
      <c r="P86" s="115">
        <f t="shared" si="5"/>
        <v>1.1582332783203506</v>
      </c>
    </row>
    <row r="87" spans="1:16" ht="15" hidden="1" customHeight="1" x14ac:dyDescent="0.25">
      <c r="A87" s="106" t="s">
        <v>292</v>
      </c>
      <c r="B87" s="107">
        <v>8</v>
      </c>
      <c r="C87" s="108">
        <v>1.0967762951201412</v>
      </c>
      <c r="D87" s="109">
        <v>0.43766305872451855</v>
      </c>
      <c r="E87" s="109">
        <v>0.1492611595385358</v>
      </c>
      <c r="F87" s="108">
        <f t="shared" si="3"/>
        <v>0.82494371537871014</v>
      </c>
      <c r="G87" s="109">
        <v>9.2290374523506843E-2</v>
      </c>
      <c r="H87" s="108">
        <f t="shared" si="4"/>
        <v>0.90881895732422591</v>
      </c>
      <c r="I87" s="110">
        <v>0.27712320228610793</v>
      </c>
      <c r="J87" s="111">
        <v>0.27450562055262784</v>
      </c>
      <c r="K87" s="112">
        <v>0.18740954590239534</v>
      </c>
      <c r="L87" s="113">
        <v>0.93</v>
      </c>
      <c r="M87" s="114">
        <v>0.87</v>
      </c>
      <c r="N87" s="97">
        <v>0.9</v>
      </c>
      <c r="O87" s="97">
        <v>0.88325793251214191</v>
      </c>
      <c r="P87" s="115">
        <f t="shared" si="5"/>
        <v>0.89841537796727367</v>
      </c>
    </row>
    <row r="88" spans="1:16" ht="15" hidden="1" customHeight="1" x14ac:dyDescent="0.25">
      <c r="A88" s="106" t="s">
        <v>293</v>
      </c>
      <c r="B88" s="107">
        <v>40</v>
      </c>
      <c r="C88" s="108">
        <v>1.4028368020266158</v>
      </c>
      <c r="D88" s="109">
        <v>0.13935199682060626</v>
      </c>
      <c r="E88" s="109">
        <v>4.5656755258772427E-2</v>
      </c>
      <c r="F88" s="108">
        <f t="shared" si="3"/>
        <v>1.2696296482585585</v>
      </c>
      <c r="G88" s="109">
        <v>5.565514952265601E-2</v>
      </c>
      <c r="H88" s="108">
        <f t="shared" si="4"/>
        <v>1.3444555213244302</v>
      </c>
      <c r="I88" s="110">
        <v>0.51937196744160707</v>
      </c>
      <c r="J88" s="111">
        <v>0.44518121605777689</v>
      </c>
      <c r="K88" s="112">
        <v>0.8815992248366078</v>
      </c>
      <c r="L88" s="113">
        <v>1.81</v>
      </c>
      <c r="M88" s="114">
        <v>1.1599999999999999</v>
      </c>
      <c r="N88" s="97">
        <v>1.27</v>
      </c>
      <c r="O88" s="97">
        <v>1.4469208038395083</v>
      </c>
      <c r="P88" s="115">
        <f t="shared" si="5"/>
        <v>1.4062752650327879</v>
      </c>
    </row>
    <row r="89" spans="1:16" ht="15" hidden="1" customHeight="1" x14ac:dyDescent="0.25">
      <c r="A89" s="106" t="s">
        <v>294</v>
      </c>
      <c r="B89" s="107">
        <v>22</v>
      </c>
      <c r="C89" s="108">
        <v>1.7327199822089587</v>
      </c>
      <c r="D89" s="109">
        <v>2.2837685543648907E-2</v>
      </c>
      <c r="E89" s="109">
        <v>0.11851777704671926</v>
      </c>
      <c r="F89" s="108">
        <f t="shared" si="3"/>
        <v>1.703430360047719</v>
      </c>
      <c r="G89" s="109">
        <v>2.2697391191157365E-2</v>
      </c>
      <c r="H89" s="108">
        <f t="shared" si="4"/>
        <v>1.7429917250746894</v>
      </c>
      <c r="I89" s="110">
        <v>0.40098289280839144</v>
      </c>
      <c r="J89" s="111">
        <v>0.34686166765591364</v>
      </c>
      <c r="K89" s="112">
        <v>0.67108860667962156</v>
      </c>
      <c r="L89" s="113">
        <v>2.08</v>
      </c>
      <c r="M89" s="114">
        <v>1.37</v>
      </c>
      <c r="N89" s="97">
        <v>1.5</v>
      </c>
      <c r="O89" s="97">
        <v>1.8277145326771278</v>
      </c>
      <c r="P89" s="115">
        <f t="shared" si="5"/>
        <v>1.7041412515503633</v>
      </c>
    </row>
    <row r="90" spans="1:16" ht="15" hidden="1" customHeight="1" x14ac:dyDescent="0.25">
      <c r="A90" s="106" t="s">
        <v>295</v>
      </c>
      <c r="B90" s="107">
        <v>62</v>
      </c>
      <c r="C90" s="108">
        <v>0.92095864282203832</v>
      </c>
      <c r="D90" s="109">
        <v>0.37316888449211544</v>
      </c>
      <c r="E90" s="109">
        <v>8.6244589684340039E-2</v>
      </c>
      <c r="F90" s="108">
        <f t="shared" si="3"/>
        <v>0.71896036361256632</v>
      </c>
      <c r="G90" s="109">
        <v>0.13866640870444452</v>
      </c>
      <c r="H90" s="108">
        <f t="shared" si="4"/>
        <v>0.83470605451618141</v>
      </c>
      <c r="I90" s="110">
        <v>0.34334593150438936</v>
      </c>
      <c r="J90" s="111">
        <v>0.34018799281537249</v>
      </c>
      <c r="K90" s="112">
        <v>1.2809848520050198</v>
      </c>
      <c r="L90" s="113">
        <v>0.9</v>
      </c>
      <c r="M90" s="114">
        <v>0.83</v>
      </c>
      <c r="N90" s="97">
        <v>0.93</v>
      </c>
      <c r="O90" s="97">
        <v>0.97486013382672887</v>
      </c>
      <c r="P90" s="115">
        <f t="shared" si="5"/>
        <v>0.89391323766858211</v>
      </c>
    </row>
    <row r="91" spans="1:16" ht="15" hidden="1" customHeight="1" x14ac:dyDescent="0.25">
      <c r="A91" s="106" t="s">
        <v>296</v>
      </c>
      <c r="B91" s="107">
        <v>10</v>
      </c>
      <c r="C91" s="108">
        <v>1.265248696016497</v>
      </c>
      <c r="D91" s="109">
        <v>0.25267061680159042</v>
      </c>
      <c r="E91" s="109">
        <v>0.13388795632262263</v>
      </c>
      <c r="F91" s="108">
        <f t="shared" si="3"/>
        <v>1.06302364158699</v>
      </c>
      <c r="G91" s="109">
        <v>3.9208609650315807E-2</v>
      </c>
      <c r="H91" s="108">
        <f t="shared" si="4"/>
        <v>1.1064042124691584</v>
      </c>
      <c r="I91" s="110">
        <v>0.29758930344435175</v>
      </c>
      <c r="J91" s="111">
        <v>0.31283775149323445</v>
      </c>
      <c r="K91" s="112">
        <v>0.65094719264275103</v>
      </c>
      <c r="L91" s="113">
        <v>1.67</v>
      </c>
      <c r="M91" s="114">
        <v>1.01</v>
      </c>
      <c r="N91" s="97">
        <v>1.1100000000000001</v>
      </c>
      <c r="O91" s="97">
        <v>0.96883590228436867</v>
      </c>
      <c r="P91" s="115">
        <f t="shared" si="5"/>
        <v>1.1730480229507054</v>
      </c>
    </row>
    <row r="92" spans="1:16" ht="15" hidden="1" customHeight="1" x14ac:dyDescent="0.25">
      <c r="A92" s="106" t="s">
        <v>297</v>
      </c>
      <c r="B92" s="107">
        <v>56</v>
      </c>
      <c r="C92" s="108">
        <v>1.2950431993104936</v>
      </c>
      <c r="D92" s="109">
        <v>8.7137903681313661E-2</v>
      </c>
      <c r="E92" s="109">
        <v>7.8730619195515578E-2</v>
      </c>
      <c r="F92" s="108">
        <f t="shared" si="3"/>
        <v>1.2153113290817847</v>
      </c>
      <c r="G92" s="109">
        <v>1.767189641110423E-2</v>
      </c>
      <c r="H92" s="108">
        <f t="shared" si="4"/>
        <v>1.2371745495641366</v>
      </c>
      <c r="I92" s="110">
        <v>0.44860282852196898</v>
      </c>
      <c r="J92" s="111">
        <v>0.43415402335725556</v>
      </c>
      <c r="K92" s="112">
        <v>0.18237332439975504</v>
      </c>
      <c r="L92" s="113">
        <v>1.28</v>
      </c>
      <c r="M92" s="114">
        <v>1.05</v>
      </c>
      <c r="N92" s="97">
        <v>1.01</v>
      </c>
      <c r="O92" s="97">
        <v>1.2643925029484495</v>
      </c>
      <c r="P92" s="115">
        <f t="shared" si="5"/>
        <v>1.1683134105025172</v>
      </c>
    </row>
    <row r="93" spans="1:16" ht="15" hidden="1" customHeight="1" x14ac:dyDescent="0.25">
      <c r="A93" s="106" t="s">
        <v>298</v>
      </c>
      <c r="B93" s="107">
        <v>28</v>
      </c>
      <c r="C93" s="108">
        <v>1.2218335144293462</v>
      </c>
      <c r="D93" s="109">
        <v>0.30995357055358497</v>
      </c>
      <c r="E93" s="109">
        <v>8.3751362006172878E-2</v>
      </c>
      <c r="F93" s="108">
        <f t="shared" si="3"/>
        <v>0.99065115534754922</v>
      </c>
      <c r="G93" s="109">
        <v>2.0840184383106908E-2</v>
      </c>
      <c r="H93" s="108">
        <f t="shared" si="4"/>
        <v>1.0117359184347412</v>
      </c>
      <c r="I93" s="110">
        <v>0.41106284849523672</v>
      </c>
      <c r="J93" s="111">
        <v>0.41007857439816392</v>
      </c>
      <c r="K93" s="112">
        <v>0.89366179480470331</v>
      </c>
      <c r="L93" s="113">
        <v>0.95</v>
      </c>
      <c r="M93" s="114">
        <v>0.7</v>
      </c>
      <c r="N93" s="97">
        <v>0.85</v>
      </c>
      <c r="O93" s="97">
        <v>1.0384541483190144</v>
      </c>
      <c r="P93" s="115">
        <f t="shared" si="5"/>
        <v>0.91003801335075107</v>
      </c>
    </row>
    <row r="94" spans="1:16" ht="15" hidden="1" customHeight="1" x14ac:dyDescent="0.25">
      <c r="A94" s="106" t="s">
        <v>299</v>
      </c>
      <c r="B94" s="107">
        <v>339</v>
      </c>
      <c r="C94" s="108">
        <v>1.0812033487059913</v>
      </c>
      <c r="D94" s="109">
        <v>7.451658156276969E-2</v>
      </c>
      <c r="E94" s="109">
        <v>7.8853909972494057E-2</v>
      </c>
      <c r="F94" s="108">
        <f t="shared" si="3"/>
        <v>1.0237664335296466</v>
      </c>
      <c r="G94" s="109">
        <v>5.3279629553950374E-2</v>
      </c>
      <c r="H94" s="108">
        <f t="shared" si="4"/>
        <v>1.0813820696044563</v>
      </c>
      <c r="I94" s="110">
        <v>0.42177441572542984</v>
      </c>
      <c r="J94" s="111">
        <v>0.39155351042187558</v>
      </c>
      <c r="K94" s="112">
        <v>0.10960675555101208</v>
      </c>
      <c r="L94" s="113">
        <v>1.1100000000000001</v>
      </c>
      <c r="M94" s="114">
        <v>0.86</v>
      </c>
      <c r="N94" s="97">
        <v>0.98</v>
      </c>
      <c r="O94" s="97">
        <v>1.1213890742291763</v>
      </c>
      <c r="P94" s="115">
        <f t="shared" si="5"/>
        <v>1.0305542287667264</v>
      </c>
    </row>
    <row r="95" spans="1:16" ht="15" hidden="1" customHeight="1" x14ac:dyDescent="0.25">
      <c r="A95" s="106" t="s">
        <v>300</v>
      </c>
      <c r="B95" s="107">
        <v>59</v>
      </c>
      <c r="C95" s="108">
        <v>1.0390117122502491</v>
      </c>
      <c r="D95" s="109">
        <v>0.45101994700487608</v>
      </c>
      <c r="E95" s="109">
        <v>0.12835856670190565</v>
      </c>
      <c r="F95" s="108">
        <f t="shared" si="3"/>
        <v>0.77562908163593425</v>
      </c>
      <c r="G95" s="109">
        <v>0.22647164883567003</v>
      </c>
      <c r="H95" s="108">
        <f t="shared" si="4"/>
        <v>1.0027157769569044</v>
      </c>
      <c r="I95" s="110">
        <v>0.34900266638268096</v>
      </c>
      <c r="J95" s="111">
        <v>0.34342964136539128</v>
      </c>
      <c r="K95" s="112">
        <v>0.95357022650832424</v>
      </c>
      <c r="L95" s="113">
        <v>1</v>
      </c>
      <c r="M95" s="114">
        <v>1.04</v>
      </c>
      <c r="N95" s="97">
        <v>1.1200000000000001</v>
      </c>
      <c r="O95" s="97">
        <v>1.079716890597993</v>
      </c>
      <c r="P95" s="115">
        <f t="shared" si="5"/>
        <v>1.0484865335109794</v>
      </c>
    </row>
    <row r="96" spans="1:16" ht="15" hidden="1" customHeight="1" x14ac:dyDescent="0.25">
      <c r="A96" s="106" t="s">
        <v>301</v>
      </c>
      <c r="B96" s="107">
        <v>12</v>
      </c>
      <c r="C96" s="108">
        <v>0.74344254424057932</v>
      </c>
      <c r="D96" s="109">
        <v>1.7893986630979508</v>
      </c>
      <c r="E96" s="109">
        <v>0.19421470338822303</v>
      </c>
      <c r="F96" s="108">
        <f t="shared" si="3"/>
        <v>0.31673075502624565</v>
      </c>
      <c r="G96" s="109">
        <v>7.8110026526166498E-2</v>
      </c>
      <c r="H96" s="108">
        <f t="shared" si="4"/>
        <v>0.34356676408221681</v>
      </c>
      <c r="I96" s="110">
        <v>0.28670137747190433</v>
      </c>
      <c r="J96" s="111">
        <v>0.26470063790883314</v>
      </c>
      <c r="K96" s="112">
        <v>0.45063741528799728</v>
      </c>
      <c r="L96" s="113">
        <v>0.47</v>
      </c>
      <c r="M96" s="114">
        <v>0.43</v>
      </c>
      <c r="N96" s="97">
        <v>0.48</v>
      </c>
      <c r="O96" s="97">
        <v>0.30315370523542129</v>
      </c>
      <c r="P96" s="115">
        <f t="shared" si="5"/>
        <v>0.40534409386352765</v>
      </c>
    </row>
    <row r="97" spans="1:16" ht="15" hidden="1" customHeight="1" x14ac:dyDescent="0.25">
      <c r="A97" s="106" t="s">
        <v>302</v>
      </c>
      <c r="B97" s="107">
        <v>54</v>
      </c>
      <c r="C97" s="108">
        <v>0.93275992121687246</v>
      </c>
      <c r="D97" s="109">
        <v>0.23723022533602331</v>
      </c>
      <c r="E97" s="109">
        <v>8.0153729634325599E-2</v>
      </c>
      <c r="F97" s="108">
        <f t="shared" si="3"/>
        <v>0.79140633234376467</v>
      </c>
      <c r="G97" s="109">
        <v>0.13928693513951829</v>
      </c>
      <c r="H97" s="108">
        <f t="shared" si="4"/>
        <v>0.91947754095268508</v>
      </c>
      <c r="I97" s="110">
        <v>0.42944069664943452</v>
      </c>
      <c r="J97" s="111">
        <v>0.33319520112261086</v>
      </c>
      <c r="K97" s="112">
        <v>0.4677411943986492</v>
      </c>
      <c r="L97" s="113">
        <v>1.3</v>
      </c>
      <c r="M97" s="114">
        <v>0.98</v>
      </c>
      <c r="N97" s="97">
        <v>1.06</v>
      </c>
      <c r="O97" s="97">
        <v>0.9611502591339679</v>
      </c>
      <c r="P97" s="115">
        <f t="shared" si="5"/>
        <v>1.0441255600173307</v>
      </c>
    </row>
    <row r="98" spans="1:16" ht="15" hidden="1" customHeight="1" x14ac:dyDescent="0.25">
      <c r="A98" s="106" t="s">
        <v>303</v>
      </c>
      <c r="B98" s="107">
        <v>64</v>
      </c>
      <c r="C98" s="108">
        <v>0.84930254851574982</v>
      </c>
      <c r="D98" s="109">
        <v>1.1200132531840978</v>
      </c>
      <c r="E98" s="109">
        <v>0.12245939952883556</v>
      </c>
      <c r="F98" s="108">
        <f t="shared" si="3"/>
        <v>0.46076162886801458</v>
      </c>
      <c r="G98" s="109">
        <v>4.114331708245967E-2</v>
      </c>
      <c r="H98" s="108">
        <f t="shared" si="4"/>
        <v>0.48053232258447859</v>
      </c>
      <c r="I98" s="110">
        <v>0.30890707106693721</v>
      </c>
      <c r="J98" s="111">
        <v>0.26207860927865606</v>
      </c>
      <c r="K98" s="112">
        <v>0.11011497876628254</v>
      </c>
      <c r="L98" s="113">
        <v>0.42</v>
      </c>
      <c r="M98" s="114">
        <v>0.37</v>
      </c>
      <c r="N98" s="97">
        <v>0.39</v>
      </c>
      <c r="O98" s="97">
        <v>0.44422768381409694</v>
      </c>
      <c r="P98" s="115">
        <f t="shared" si="5"/>
        <v>0.4209520012797151</v>
      </c>
    </row>
    <row r="99" spans="1:16" ht="15" hidden="1" customHeight="1" x14ac:dyDescent="0.25">
      <c r="A99" s="106" t="s">
        <v>304</v>
      </c>
      <c r="B99" s="107">
        <v>6</v>
      </c>
      <c r="C99" s="108">
        <v>0.55210818720899113</v>
      </c>
      <c r="D99" s="109">
        <v>0.74585407996443143</v>
      </c>
      <c r="E99" s="109">
        <v>0.17671211228109826</v>
      </c>
      <c r="F99" s="108">
        <f t="shared" si="3"/>
        <v>0.35356340605429915</v>
      </c>
      <c r="G99" s="109">
        <v>4.423815024314514E-2</v>
      </c>
      <c r="H99" s="108">
        <f t="shared" si="4"/>
        <v>0.36992835207248065</v>
      </c>
      <c r="I99" s="110">
        <v>0.21219736062487335</v>
      </c>
      <c r="J99" s="111">
        <v>0.18281710440540047</v>
      </c>
      <c r="K99" s="112">
        <v>0.23833071044815288</v>
      </c>
      <c r="L99" s="113">
        <v>0.4</v>
      </c>
      <c r="M99" s="114">
        <v>0.33</v>
      </c>
      <c r="N99" s="97">
        <v>0.37</v>
      </c>
      <c r="O99" s="97">
        <v>0.29390936570842574</v>
      </c>
      <c r="P99" s="115">
        <f t="shared" si="5"/>
        <v>0.35276754355618134</v>
      </c>
    </row>
    <row r="100" spans="1:16" ht="15" hidden="1" customHeight="1" x14ac:dyDescent="0.25">
      <c r="A100" s="106" t="s">
        <v>305</v>
      </c>
      <c r="B100" s="107">
        <v>59</v>
      </c>
      <c r="C100" s="108">
        <v>0.94354130954515614</v>
      </c>
      <c r="D100" s="109">
        <v>0.66920001679030083</v>
      </c>
      <c r="E100" s="109">
        <v>0.15447321046423965</v>
      </c>
      <c r="F100" s="108">
        <f t="shared" si="3"/>
        <v>0.62742105208489551</v>
      </c>
      <c r="G100" s="109">
        <v>8.6625049970371792E-2</v>
      </c>
      <c r="H100" s="108">
        <f t="shared" si="4"/>
        <v>0.68692605601296941</v>
      </c>
      <c r="I100" s="110">
        <v>0.3230337751826215</v>
      </c>
      <c r="J100" s="111">
        <v>0.30362009528384304</v>
      </c>
      <c r="K100" s="112">
        <v>0.30062381017195944</v>
      </c>
      <c r="L100" s="113">
        <v>0.62</v>
      </c>
      <c r="M100" s="114">
        <v>0.61</v>
      </c>
      <c r="N100" s="97">
        <v>0.73</v>
      </c>
      <c r="O100" s="97">
        <v>0.85061104406934174</v>
      </c>
      <c r="P100" s="115">
        <f t="shared" si="5"/>
        <v>0.69950742001646227</v>
      </c>
    </row>
    <row r="101" spans="1:16" ht="15" hidden="1" customHeight="1" x14ac:dyDescent="0.25">
      <c r="A101" s="106" t="s">
        <v>306</v>
      </c>
      <c r="B101" s="107">
        <v>7</v>
      </c>
      <c r="C101" s="108">
        <v>0.91038906159445154</v>
      </c>
      <c r="D101" s="109">
        <v>0.82249494135587442</v>
      </c>
      <c r="E101" s="109">
        <v>0.16260038342080962</v>
      </c>
      <c r="F101" s="108">
        <f t="shared" si="3"/>
        <v>0.56222661114580685</v>
      </c>
      <c r="G101" s="109">
        <v>0.16586244367956407</v>
      </c>
      <c r="H101" s="108">
        <f t="shared" si="4"/>
        <v>0.67402145711543304</v>
      </c>
      <c r="I101" s="110">
        <v>0.22029955904423559</v>
      </c>
      <c r="J101" s="111">
        <v>0.17036545746591236</v>
      </c>
      <c r="K101" s="112">
        <v>0.67017241699034036</v>
      </c>
      <c r="L101" s="113">
        <v>0.5</v>
      </c>
      <c r="M101" s="114">
        <v>0.54</v>
      </c>
      <c r="N101" s="97">
        <v>1.01</v>
      </c>
      <c r="O101" s="97">
        <v>0.81048455548839593</v>
      </c>
      <c r="P101" s="115">
        <f t="shared" si="5"/>
        <v>0.70690120252076583</v>
      </c>
    </row>
    <row r="102" spans="1:16" ht="15" hidden="1" customHeight="1" x14ac:dyDescent="0.25">
      <c r="A102" s="106" t="s">
        <v>307</v>
      </c>
      <c r="B102" s="107">
        <v>6</v>
      </c>
      <c r="C102" s="108">
        <v>1.0898056173084412</v>
      </c>
      <c r="D102" s="109">
        <v>0.57235615757425129</v>
      </c>
      <c r="E102" s="109">
        <v>0.21633647512822854</v>
      </c>
      <c r="F102" s="108">
        <f t="shared" si="3"/>
        <v>0.76160814255273868</v>
      </c>
      <c r="G102" s="109">
        <v>4.7640335105016696E-2</v>
      </c>
      <c r="H102" s="108">
        <f t="shared" si="4"/>
        <v>0.79970642460663355</v>
      </c>
      <c r="I102" s="110">
        <v>0.23881431809893972</v>
      </c>
      <c r="J102" s="111">
        <v>0.26775426645043926</v>
      </c>
      <c r="K102" s="112">
        <v>0.38989145557752991</v>
      </c>
      <c r="L102" s="113">
        <v>0.43</v>
      </c>
      <c r="M102" s="114">
        <v>0.39</v>
      </c>
      <c r="N102" s="97">
        <v>0.55000000000000004</v>
      </c>
      <c r="O102" s="97">
        <v>0.44200070610271597</v>
      </c>
      <c r="P102" s="115">
        <f t="shared" si="5"/>
        <v>0.52234142614186996</v>
      </c>
    </row>
    <row r="103" spans="1:16" ht="15" hidden="1" customHeight="1" x14ac:dyDescent="0.25">
      <c r="A103" s="106" t="s">
        <v>308</v>
      </c>
      <c r="B103" s="107">
        <v>16</v>
      </c>
      <c r="C103" s="108">
        <v>0.88697947039205449</v>
      </c>
      <c r="D103" s="109">
        <v>1.0954707451704866</v>
      </c>
      <c r="E103" s="109">
        <v>0.19612967893131861</v>
      </c>
      <c r="F103" s="108">
        <f t="shared" si="3"/>
        <v>0.48607476370567848</v>
      </c>
      <c r="G103" s="109">
        <v>0.12237761763652852</v>
      </c>
      <c r="H103" s="108">
        <f t="shared" si="4"/>
        <v>0.55385411023435849</v>
      </c>
      <c r="I103" s="110">
        <v>0.19427415820782223</v>
      </c>
      <c r="J103" s="111">
        <v>0.19193813872527388</v>
      </c>
      <c r="K103" s="112">
        <v>0.25871527894400986</v>
      </c>
      <c r="L103" s="113">
        <v>0.41</v>
      </c>
      <c r="M103" s="114">
        <v>0.43</v>
      </c>
      <c r="N103" s="97">
        <v>0.49</v>
      </c>
      <c r="O103" s="97">
        <v>0.46906876122718533</v>
      </c>
      <c r="P103" s="115">
        <f t="shared" si="5"/>
        <v>0.47058457429230877</v>
      </c>
    </row>
    <row r="104" spans="1:16" ht="15" hidden="1" customHeight="1" x14ac:dyDescent="0.25">
      <c r="A104" s="106" t="s">
        <v>309</v>
      </c>
      <c r="B104" s="107">
        <v>12</v>
      </c>
      <c r="C104" s="108">
        <v>0.76190724718224989</v>
      </c>
      <c r="D104" s="109">
        <v>1.1021027949620241</v>
      </c>
      <c r="E104" s="109">
        <v>9.589754359406201E-2</v>
      </c>
      <c r="F104" s="108">
        <f t="shared" si="3"/>
        <v>0.41639436491063125</v>
      </c>
      <c r="G104" s="109">
        <v>1.6635435457834063E-2</v>
      </c>
      <c r="H104" s="108">
        <f t="shared" si="4"/>
        <v>0.42343844788071633</v>
      </c>
      <c r="I104" s="110">
        <v>0.20145695761896276</v>
      </c>
      <c r="J104" s="111">
        <v>0.33261428375139857</v>
      </c>
      <c r="K104" s="112">
        <v>0.16564164893307939</v>
      </c>
      <c r="L104" s="113">
        <v>0.28999999999999998</v>
      </c>
      <c r="M104" s="114">
        <v>0.26</v>
      </c>
      <c r="N104" s="97">
        <v>0.28000000000000003</v>
      </c>
      <c r="O104" s="97">
        <v>0.34666020080297077</v>
      </c>
      <c r="P104" s="115">
        <f t="shared" si="5"/>
        <v>0.32001972973673742</v>
      </c>
    </row>
    <row r="105" spans="1:16" s="94" customFormat="1" ht="15.75" hidden="1" customHeight="1" x14ac:dyDescent="0.25">
      <c r="A105" s="106" t="s">
        <v>310</v>
      </c>
      <c r="B105" s="107">
        <v>6971</v>
      </c>
      <c r="C105" s="108">
        <v>1.0048847843564543</v>
      </c>
      <c r="D105" s="109">
        <v>0.82170738478877059</v>
      </c>
      <c r="E105" s="109">
        <v>0.11569402250988077</v>
      </c>
      <c r="F105" s="108">
        <f t="shared" si="3"/>
        <v>0.62081142285591406</v>
      </c>
      <c r="G105" s="109">
        <v>0.16020955149548102</v>
      </c>
      <c r="H105" s="108">
        <f t="shared" si="4"/>
        <v>0.73924563438586599</v>
      </c>
      <c r="I105" s="110">
        <v>0.35883594480436293</v>
      </c>
      <c r="J105" s="116">
        <v>0.33261428375139857</v>
      </c>
      <c r="K105" s="117">
        <v>0.23059473912718098</v>
      </c>
      <c r="L105" s="113">
        <v>0.7</v>
      </c>
      <c r="M105" s="114">
        <v>0.67</v>
      </c>
      <c r="N105" s="97">
        <v>0.79</v>
      </c>
      <c r="O105" s="97">
        <v>0.77718840617023111</v>
      </c>
      <c r="P105" s="115">
        <f t="shared" si="5"/>
        <v>0.73528680811121938</v>
      </c>
    </row>
    <row r="106" spans="1:16" s="94" customFormat="1" ht="15.75" hidden="1" customHeight="1" x14ac:dyDescent="0.25">
      <c r="A106" s="106" t="s">
        <v>311</v>
      </c>
      <c r="B106" s="107">
        <v>6149</v>
      </c>
      <c r="C106" s="108">
        <v>1.0163277560226116</v>
      </c>
      <c r="D106" s="109">
        <v>0.36251300449871871</v>
      </c>
      <c r="E106" s="109">
        <v>0.11402158700273608</v>
      </c>
      <c r="F106" s="108">
        <f t="shared" si="3"/>
        <v>0.7984122714874734</v>
      </c>
      <c r="G106" s="109">
        <v>6.5474449812850236E-2</v>
      </c>
      <c r="H106" s="108">
        <f t="shared" si="4"/>
        <v>0.85435039344572428</v>
      </c>
      <c r="I106" s="110">
        <v>0.3678598807686726</v>
      </c>
      <c r="J106" s="118">
        <v>0.33948658643112628</v>
      </c>
      <c r="K106" s="119">
        <v>0.25200057999392339</v>
      </c>
      <c r="L106" s="113">
        <v>0.85</v>
      </c>
      <c r="M106" s="114">
        <v>0.78</v>
      </c>
      <c r="N106" s="97">
        <v>0.87</v>
      </c>
      <c r="O106" s="97">
        <v>0.88171156578350574</v>
      </c>
      <c r="P106" s="115">
        <f t="shared" si="5"/>
        <v>0.84721239184584596</v>
      </c>
    </row>
  </sheetData>
  <mergeCells count="10">
    <mergeCell ref="L9:P9"/>
    <mergeCell ref="B1:G1"/>
    <mergeCell ref="H1:H7"/>
    <mergeCell ref="B2:G2"/>
    <mergeCell ref="B3:E3"/>
    <mergeCell ref="F3:G3"/>
    <mergeCell ref="B4:G4"/>
    <mergeCell ref="B5:G5"/>
    <mergeCell ref="B6:G6"/>
    <mergeCell ref="B7:G7"/>
  </mergeCells>
  <hyperlinks>
    <hyperlink ref="B2" r:id="rId1" xr:uid="{B1D46531-4AE7-4850-8999-3AFE2C571A22}"/>
    <hyperlink ref="B4" r:id="rId2" xr:uid="{CF8DD0EF-092A-4DC7-95C7-CCFA002CD5BF}"/>
    <hyperlink ref="B5" r:id="rId3" display="http://www.stern.nyu.edu/~adamodar/New_Home_Page/data.html" xr:uid="{68BE7D20-8727-4704-B38C-7BDA56E7D047}"/>
    <hyperlink ref="B6" r:id="rId4" display="http://www.stern.nyu.edu/~adamodar/pc/datasets/indname.xls" xr:uid="{F9D820B4-C07E-4BC6-B0CF-37AAB4B15F15}"/>
    <hyperlink ref="B7" r:id="rId5" display="http://www.stern.nyu.edu/~adamodar/New_Home_Page/datafile/variable.htm" xr:uid="{3117D09F-07B0-4DE0-B8D1-D0C0A83A1C4D}"/>
    <hyperlink ref="H1:H7" r:id="rId6" display="YouTube Video explaining estimation choices and process." xr:uid="{92FC75C4-9965-4FA7-A4BC-3BF5CA599A35}"/>
  </hyperlinks>
  <pageMargins left="0.75" right="0.75" top="1" bottom="1" header="0.5" footer="0.5"/>
  <pageSetup scale="60" orientation="landscape" horizontalDpi="4294967292" verticalDpi="4294967292"/>
  <headerFooter alignWithMargins="0"/>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111F4-9C5E-420F-B60F-A964ABD53C14}">
  <dimension ref="A2:D85"/>
  <sheetViews>
    <sheetView workbookViewId="0">
      <selection activeCell="B3" sqref="B3"/>
    </sheetView>
  </sheetViews>
  <sheetFormatPr defaultColWidth="11.42578125" defaultRowHeight="15" x14ac:dyDescent="0.25"/>
  <cols>
    <col min="1" max="1" width="57" bestFit="1" customWidth="1"/>
    <col min="2" max="2" width="11.7109375" bestFit="1" customWidth="1"/>
  </cols>
  <sheetData>
    <row r="2" spans="1:2" x14ac:dyDescent="0.25">
      <c r="A2" s="1" t="s">
        <v>139</v>
      </c>
      <c r="B2" s="1">
        <v>2023</v>
      </c>
    </row>
    <row r="3" spans="1:2" x14ac:dyDescent="0.25">
      <c r="A3" s="2" t="s">
        <v>36</v>
      </c>
      <c r="B3" s="3">
        <v>70689770</v>
      </c>
    </row>
    <row r="4" spans="1:2" x14ac:dyDescent="0.25">
      <c r="A4" s="13" t="s">
        <v>37</v>
      </c>
      <c r="B4" s="15">
        <v>1049</v>
      </c>
    </row>
    <row r="5" spans="1:2" x14ac:dyDescent="0.25">
      <c r="A5" s="13" t="s">
        <v>38</v>
      </c>
      <c r="B5" s="15">
        <v>65594242</v>
      </c>
    </row>
    <row r="6" spans="1:2" x14ac:dyDescent="0.25">
      <c r="A6" s="13" t="s">
        <v>85</v>
      </c>
      <c r="B6" s="15">
        <v>0</v>
      </c>
    </row>
    <row r="7" spans="1:2" x14ac:dyDescent="0.25">
      <c r="A7" s="13" t="s">
        <v>86</v>
      </c>
      <c r="B7" s="15">
        <v>4572655</v>
      </c>
    </row>
    <row r="8" spans="1:2" x14ac:dyDescent="0.25">
      <c r="A8" s="13" t="s">
        <v>40</v>
      </c>
      <c r="B8" s="15">
        <v>0</v>
      </c>
    </row>
    <row r="9" spans="1:2" x14ac:dyDescent="0.25">
      <c r="A9" s="13" t="s">
        <v>87</v>
      </c>
      <c r="B9" s="16">
        <v>521824</v>
      </c>
    </row>
    <row r="10" spans="1:2" x14ac:dyDescent="0.25">
      <c r="A10" s="13" t="s">
        <v>88</v>
      </c>
      <c r="B10" s="15"/>
    </row>
    <row r="11" spans="1:2" x14ac:dyDescent="0.25">
      <c r="A11" s="2" t="s">
        <v>41</v>
      </c>
      <c r="B11" s="3">
        <v>118707739</v>
      </c>
    </row>
    <row r="12" spans="1:2" x14ac:dyDescent="0.25">
      <c r="A12" s="13" t="s">
        <v>89</v>
      </c>
      <c r="B12" s="17"/>
    </row>
    <row r="13" spans="1:2" x14ac:dyDescent="0.25">
      <c r="A13" s="13" t="s">
        <v>90</v>
      </c>
      <c r="B13" s="15">
        <v>551607</v>
      </c>
    </row>
    <row r="14" spans="1:2" x14ac:dyDescent="0.25">
      <c r="A14" s="13" t="s">
        <v>91</v>
      </c>
      <c r="B14" s="15">
        <v>5391205</v>
      </c>
    </row>
    <row r="15" spans="1:2" x14ac:dyDescent="0.25">
      <c r="A15" s="13" t="s">
        <v>44</v>
      </c>
      <c r="B15" s="15">
        <v>53938811</v>
      </c>
    </row>
    <row r="16" spans="1:2" x14ac:dyDescent="0.25">
      <c r="A16" s="13" t="s">
        <v>92</v>
      </c>
      <c r="B16" s="15">
        <v>38297941</v>
      </c>
    </row>
    <row r="17" spans="1:2" x14ac:dyDescent="0.25">
      <c r="A17" s="13" t="s">
        <v>93</v>
      </c>
      <c r="B17" s="15">
        <v>119968</v>
      </c>
    </row>
    <row r="18" spans="1:2" x14ac:dyDescent="0.25">
      <c r="A18" s="13" t="s">
        <v>94</v>
      </c>
      <c r="B18" s="15">
        <v>20408207</v>
      </c>
    </row>
    <row r="19" spans="1:2" x14ac:dyDescent="0.25">
      <c r="A19" s="2" t="s">
        <v>48</v>
      </c>
      <c r="B19" s="3">
        <v>189397509</v>
      </c>
    </row>
    <row r="20" spans="1:2" x14ac:dyDescent="0.25">
      <c r="A20" s="9"/>
      <c r="B20" s="10"/>
    </row>
    <row r="21" spans="1:2" x14ac:dyDescent="0.25">
      <c r="A21" s="1" t="s">
        <v>140</v>
      </c>
      <c r="B21" s="1">
        <v>2023</v>
      </c>
    </row>
    <row r="22" spans="1:2" x14ac:dyDescent="0.25">
      <c r="A22" s="2" t="s">
        <v>49</v>
      </c>
      <c r="B22" s="3">
        <v>156685783</v>
      </c>
    </row>
    <row r="23" spans="1:2" x14ac:dyDescent="0.25">
      <c r="A23" s="4" t="s">
        <v>50</v>
      </c>
      <c r="B23" s="6">
        <v>156643916</v>
      </c>
    </row>
    <row r="24" spans="1:2" x14ac:dyDescent="0.25">
      <c r="A24" s="44" t="s">
        <v>51</v>
      </c>
      <c r="B24" s="45">
        <v>32040211</v>
      </c>
    </row>
    <row r="25" spans="1:2" x14ac:dyDescent="0.25">
      <c r="A25" s="44" t="s">
        <v>52</v>
      </c>
      <c r="B25" s="45">
        <v>107623403</v>
      </c>
    </row>
    <row r="26" spans="1:2" x14ac:dyDescent="0.25">
      <c r="A26" s="44" t="s">
        <v>53</v>
      </c>
      <c r="B26" s="45">
        <v>7982191</v>
      </c>
    </row>
    <row r="27" spans="1:2" x14ac:dyDescent="0.25">
      <c r="A27" s="44" t="s">
        <v>95</v>
      </c>
      <c r="B27" s="45"/>
    </row>
    <row r="28" spans="1:2" x14ac:dyDescent="0.25">
      <c r="A28" s="44" t="s">
        <v>96</v>
      </c>
      <c r="B28" s="45"/>
    </row>
    <row r="29" spans="1:2" x14ac:dyDescent="0.25">
      <c r="A29" s="13" t="s">
        <v>97</v>
      </c>
      <c r="B29" s="45"/>
    </row>
    <row r="30" spans="1:2" x14ac:dyDescent="0.25">
      <c r="A30" s="13" t="s">
        <v>98</v>
      </c>
      <c r="B30" s="45">
        <v>8998111</v>
      </c>
    </row>
    <row r="31" spans="1:2" x14ac:dyDescent="0.25">
      <c r="A31" s="13" t="s">
        <v>99</v>
      </c>
      <c r="B31" s="45"/>
    </row>
    <row r="32" spans="1:2" x14ac:dyDescent="0.25">
      <c r="A32" s="13" t="s">
        <v>100</v>
      </c>
      <c r="B32" s="45"/>
    </row>
    <row r="33" spans="1:2" x14ac:dyDescent="0.25">
      <c r="A33" s="4" t="s">
        <v>101</v>
      </c>
      <c r="B33" s="6"/>
    </row>
    <row r="34" spans="1:2" x14ac:dyDescent="0.25">
      <c r="A34" s="4" t="s">
        <v>102</v>
      </c>
      <c r="B34" s="6">
        <v>41867</v>
      </c>
    </row>
    <row r="35" spans="1:2" x14ac:dyDescent="0.25">
      <c r="A35" s="2" t="s">
        <v>56</v>
      </c>
      <c r="B35" s="3">
        <v>4400833</v>
      </c>
    </row>
    <row r="36" spans="1:2" x14ac:dyDescent="0.25">
      <c r="A36" s="13" t="s">
        <v>103</v>
      </c>
      <c r="B36" s="15">
        <v>17512</v>
      </c>
    </row>
    <row r="37" spans="1:2" x14ac:dyDescent="0.25">
      <c r="A37" s="13" t="s">
        <v>104</v>
      </c>
      <c r="B37" s="15">
        <v>49886</v>
      </c>
    </row>
    <row r="38" spans="1:2" x14ac:dyDescent="0.25">
      <c r="A38" s="13" t="s">
        <v>105</v>
      </c>
      <c r="B38" s="15"/>
    </row>
    <row r="39" spans="1:2" x14ac:dyDescent="0.25">
      <c r="A39" s="13" t="s">
        <v>58</v>
      </c>
      <c r="B39" s="15">
        <v>4333435</v>
      </c>
    </row>
    <row r="40" spans="1:2" x14ac:dyDescent="0.25">
      <c r="A40" s="13" t="s">
        <v>106</v>
      </c>
      <c r="B40" s="15"/>
    </row>
    <row r="41" spans="1:2" x14ac:dyDescent="0.25">
      <c r="A41" s="13" t="s">
        <v>107</v>
      </c>
      <c r="B41" s="15"/>
    </row>
    <row r="42" spans="1:2" x14ac:dyDescent="0.25">
      <c r="A42" s="13" t="s">
        <v>108</v>
      </c>
      <c r="B42" s="15"/>
    </row>
    <row r="43" spans="1:2" x14ac:dyDescent="0.25">
      <c r="A43" s="2" t="s">
        <v>59</v>
      </c>
      <c r="B43" s="3">
        <v>28310893</v>
      </c>
    </row>
    <row r="44" spans="1:2" x14ac:dyDescent="0.25">
      <c r="A44" s="13" t="s">
        <v>109</v>
      </c>
      <c r="B44" s="15"/>
    </row>
    <row r="45" spans="1:2" x14ac:dyDescent="0.25">
      <c r="A45" s="13" t="s">
        <v>110</v>
      </c>
      <c r="B45" s="15"/>
    </row>
    <row r="46" spans="1:2" x14ac:dyDescent="0.25">
      <c r="A46" s="13" t="s">
        <v>111</v>
      </c>
      <c r="B46" s="15">
        <v>16632286</v>
      </c>
    </row>
    <row r="47" spans="1:2" x14ac:dyDescent="0.25">
      <c r="A47" s="13" t="s">
        <v>168</v>
      </c>
      <c r="B47" s="15">
        <v>4005453</v>
      </c>
    </row>
    <row r="48" spans="1:2" x14ac:dyDescent="0.25">
      <c r="A48" s="13" t="s">
        <v>112</v>
      </c>
      <c r="B48" s="15">
        <v>7673154</v>
      </c>
    </row>
    <row r="49" spans="1:2" x14ac:dyDescent="0.25">
      <c r="A49" s="13" t="s">
        <v>113</v>
      </c>
      <c r="B49" s="45"/>
    </row>
    <row r="50" spans="1:2" x14ac:dyDescent="0.25">
      <c r="A50" s="13" t="s">
        <v>114</v>
      </c>
      <c r="B50" s="45"/>
    </row>
    <row r="51" spans="1:2" x14ac:dyDescent="0.25">
      <c r="A51" s="2" t="s">
        <v>62</v>
      </c>
      <c r="B51" s="3">
        <v>189397509</v>
      </c>
    </row>
    <row r="52" spans="1:2" x14ac:dyDescent="0.25">
      <c r="A52" s="51"/>
      <c r="B52" s="51"/>
    </row>
    <row r="53" spans="1:2" x14ac:dyDescent="0.25">
      <c r="A53" s="1" t="s">
        <v>115</v>
      </c>
      <c r="B53" s="1">
        <v>2023</v>
      </c>
    </row>
    <row r="54" spans="1:2" x14ac:dyDescent="0.25">
      <c r="A54" s="4" t="s">
        <v>64</v>
      </c>
      <c r="B54" s="6">
        <v>49033129</v>
      </c>
    </row>
    <row r="55" spans="1:2" x14ac:dyDescent="0.25">
      <c r="A55" s="4" t="s">
        <v>116</v>
      </c>
      <c r="B55" s="46"/>
    </row>
    <row r="56" spans="1:2" x14ac:dyDescent="0.25">
      <c r="A56" s="4" t="s">
        <v>117</v>
      </c>
      <c r="B56" s="46"/>
    </row>
    <row r="57" spans="1:2" x14ac:dyDescent="0.25">
      <c r="A57" s="4" t="s">
        <v>118</v>
      </c>
      <c r="B57" s="6">
        <v>-6500350</v>
      </c>
    </row>
    <row r="58" spans="1:2" x14ac:dyDescent="0.25">
      <c r="A58" s="4" t="s">
        <v>119</v>
      </c>
      <c r="B58" s="6">
        <v>111667</v>
      </c>
    </row>
    <row r="59" spans="1:2" x14ac:dyDescent="0.25">
      <c r="A59" s="4" t="s">
        <v>120</v>
      </c>
      <c r="B59" s="6">
        <v>-12628639</v>
      </c>
    </row>
    <row r="60" spans="1:2" x14ac:dyDescent="0.25">
      <c r="A60" s="4" t="s">
        <v>121</v>
      </c>
      <c r="B60" s="6">
        <v>-13286372</v>
      </c>
    </row>
    <row r="61" spans="1:2" x14ac:dyDescent="0.25">
      <c r="A61" s="4" t="s">
        <v>122</v>
      </c>
      <c r="B61" s="6">
        <v>-5015591</v>
      </c>
    </row>
    <row r="62" spans="1:2" x14ac:dyDescent="0.25">
      <c r="A62" s="4" t="s">
        <v>70</v>
      </c>
      <c r="B62" s="6">
        <v>19808</v>
      </c>
    </row>
    <row r="63" spans="1:2" x14ac:dyDescent="0.25">
      <c r="A63" s="4" t="s">
        <v>123</v>
      </c>
      <c r="B63" s="6"/>
    </row>
    <row r="64" spans="1:2" x14ac:dyDescent="0.25">
      <c r="A64" s="4" t="s">
        <v>124</v>
      </c>
      <c r="B64" s="6">
        <v>159</v>
      </c>
    </row>
    <row r="65" spans="1:4" x14ac:dyDescent="0.25">
      <c r="A65" s="47" t="s">
        <v>125</v>
      </c>
      <c r="B65" s="48"/>
    </row>
    <row r="66" spans="1:4" x14ac:dyDescent="0.25">
      <c r="A66" s="47" t="s">
        <v>126</v>
      </c>
      <c r="B66" s="48">
        <v>122</v>
      </c>
    </row>
    <row r="67" spans="1:4" x14ac:dyDescent="0.25">
      <c r="A67" s="2" t="s">
        <v>72</v>
      </c>
      <c r="B67" s="3">
        <v>11733933</v>
      </c>
      <c r="D67" s="14"/>
    </row>
    <row r="68" spans="1:4" x14ac:dyDescent="0.25">
      <c r="A68" s="4" t="s">
        <v>127</v>
      </c>
      <c r="B68" s="6">
        <v>111156</v>
      </c>
    </row>
    <row r="69" spans="1:4" x14ac:dyDescent="0.25">
      <c r="A69" s="49" t="s">
        <v>128</v>
      </c>
      <c r="B69" s="50">
        <v>1889</v>
      </c>
    </row>
    <row r="70" spans="1:4" x14ac:dyDescent="0.25">
      <c r="A70" s="49" t="s">
        <v>129</v>
      </c>
      <c r="B70" s="46">
        <v>191</v>
      </c>
    </row>
    <row r="71" spans="1:4" x14ac:dyDescent="0.25">
      <c r="A71" s="49" t="s">
        <v>130</v>
      </c>
      <c r="B71" s="46">
        <v>1698</v>
      </c>
    </row>
    <row r="72" spans="1:4" x14ac:dyDescent="0.25">
      <c r="A72" s="49" t="s">
        <v>74</v>
      </c>
      <c r="B72" s="50">
        <v>109267</v>
      </c>
    </row>
    <row r="73" spans="1:4" x14ac:dyDescent="0.25">
      <c r="A73" s="49" t="s">
        <v>75</v>
      </c>
      <c r="B73" s="46">
        <v>66991</v>
      </c>
    </row>
    <row r="74" spans="1:4" x14ac:dyDescent="0.25">
      <c r="A74" s="49" t="s">
        <v>76</v>
      </c>
      <c r="B74" s="46">
        <v>42276</v>
      </c>
    </row>
    <row r="75" spans="1:4" x14ac:dyDescent="0.25">
      <c r="A75" s="49" t="s">
        <v>77</v>
      </c>
      <c r="B75" s="46"/>
    </row>
    <row r="76" spans="1:4" x14ac:dyDescent="0.25">
      <c r="A76" s="4" t="s">
        <v>131</v>
      </c>
      <c r="B76" s="6">
        <v>-13</v>
      </c>
    </row>
    <row r="77" spans="1:4" x14ac:dyDescent="0.25">
      <c r="A77" s="49" t="s">
        <v>132</v>
      </c>
      <c r="B77" s="6"/>
    </row>
    <row r="78" spans="1:4" x14ac:dyDescent="0.25">
      <c r="A78" s="49" t="s">
        <v>79</v>
      </c>
      <c r="B78" s="46">
        <v>-13</v>
      </c>
    </row>
    <row r="79" spans="1:4" x14ac:dyDescent="0.25">
      <c r="A79" s="4" t="s">
        <v>133</v>
      </c>
      <c r="B79" s="5">
        <v>-6215</v>
      </c>
    </row>
    <row r="80" spans="1:4" x14ac:dyDescent="0.25">
      <c r="A80" s="4" t="s">
        <v>134</v>
      </c>
      <c r="B80" s="6">
        <v>-15</v>
      </c>
    </row>
    <row r="81" spans="1:2" x14ac:dyDescent="0.25">
      <c r="A81" s="4" t="s">
        <v>135</v>
      </c>
      <c r="B81" s="6">
        <v>0</v>
      </c>
    </row>
    <row r="82" spans="1:2" x14ac:dyDescent="0.25">
      <c r="A82" s="2" t="s">
        <v>136</v>
      </c>
      <c r="B82" s="3">
        <v>104913</v>
      </c>
    </row>
    <row r="83" spans="1:2" x14ac:dyDescent="0.25">
      <c r="A83" s="2" t="s">
        <v>137</v>
      </c>
      <c r="B83" s="3">
        <v>11838846</v>
      </c>
    </row>
    <row r="84" spans="1:2" x14ac:dyDescent="0.25">
      <c r="A84" s="11" t="s">
        <v>83</v>
      </c>
      <c r="B84" s="46">
        <v>-2840735</v>
      </c>
    </row>
    <row r="85" spans="1:2" x14ac:dyDescent="0.25">
      <c r="A85" s="2" t="s">
        <v>138</v>
      </c>
      <c r="B85" s="3">
        <v>8998111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FEDB4-EA28-47AE-8B75-6468600AC91C}">
  <dimension ref="A1:P106"/>
  <sheetViews>
    <sheetView topLeftCell="A7" workbookViewId="0">
      <selection activeCell="B114" sqref="B114"/>
    </sheetView>
  </sheetViews>
  <sheetFormatPr defaultColWidth="11.42578125" defaultRowHeight="15" x14ac:dyDescent="0.25"/>
  <cols>
    <col min="1" max="1" width="39.85546875" style="120" customWidth="1"/>
    <col min="2" max="2" width="20.140625" customWidth="1"/>
    <col min="3" max="3" width="12.7109375" customWidth="1"/>
    <col min="4" max="4" width="15.85546875" customWidth="1"/>
    <col min="5" max="5" width="12.5703125" customWidth="1"/>
    <col min="6" max="6" width="28.42578125" customWidth="1"/>
    <col min="7" max="7" width="20.140625" customWidth="1"/>
    <col min="8" max="8" width="37.140625" customWidth="1"/>
    <col min="9" max="9" width="13.28515625" customWidth="1"/>
    <col min="10" max="10" width="31.85546875" customWidth="1"/>
    <col min="11" max="11" width="54.42578125" customWidth="1"/>
    <col min="257" max="257" width="39.85546875" customWidth="1"/>
    <col min="258" max="258" width="20.140625" customWidth="1"/>
    <col min="259" max="259" width="12.7109375" customWidth="1"/>
    <col min="260" max="260" width="15.85546875" customWidth="1"/>
    <col min="261" max="261" width="12.5703125" customWidth="1"/>
    <col min="262" max="262" width="19" customWidth="1"/>
    <col min="263" max="263" width="20.140625" customWidth="1"/>
    <col min="264" max="264" width="37.140625" customWidth="1"/>
    <col min="265" max="265" width="13.28515625" customWidth="1"/>
    <col min="266" max="266" width="31.85546875" customWidth="1"/>
    <col min="267" max="267" width="54.42578125" customWidth="1"/>
    <col min="513" max="513" width="39.85546875" customWidth="1"/>
    <col min="514" max="514" width="20.140625" customWidth="1"/>
    <col min="515" max="515" width="12.7109375" customWidth="1"/>
    <col min="516" max="516" width="15.85546875" customWidth="1"/>
    <col min="517" max="517" width="12.5703125" customWidth="1"/>
    <col min="518" max="518" width="19" customWidth="1"/>
    <col min="519" max="519" width="20.140625" customWidth="1"/>
    <col min="520" max="520" width="37.140625" customWidth="1"/>
    <col min="521" max="521" width="13.28515625" customWidth="1"/>
    <col min="522" max="522" width="31.85546875" customWidth="1"/>
    <col min="523" max="523" width="54.42578125" customWidth="1"/>
    <col min="769" max="769" width="39.85546875" customWidth="1"/>
    <col min="770" max="770" width="20.140625" customWidth="1"/>
    <col min="771" max="771" width="12.7109375" customWidth="1"/>
    <col min="772" max="772" width="15.85546875" customWidth="1"/>
    <col min="773" max="773" width="12.5703125" customWidth="1"/>
    <col min="774" max="774" width="19" customWidth="1"/>
    <col min="775" max="775" width="20.140625" customWidth="1"/>
    <col min="776" max="776" width="37.140625" customWidth="1"/>
    <col min="777" max="777" width="13.28515625" customWidth="1"/>
    <col min="778" max="778" width="31.85546875" customWidth="1"/>
    <col min="779" max="779" width="54.42578125" customWidth="1"/>
    <col min="1025" max="1025" width="39.85546875" customWidth="1"/>
    <col min="1026" max="1026" width="20.140625" customWidth="1"/>
    <col min="1027" max="1027" width="12.7109375" customWidth="1"/>
    <col min="1028" max="1028" width="15.85546875" customWidth="1"/>
    <col min="1029" max="1029" width="12.5703125" customWidth="1"/>
    <col min="1030" max="1030" width="19" customWidth="1"/>
    <col min="1031" max="1031" width="20.140625" customWidth="1"/>
    <col min="1032" max="1032" width="37.140625" customWidth="1"/>
    <col min="1033" max="1033" width="13.28515625" customWidth="1"/>
    <col min="1034" max="1034" width="31.85546875" customWidth="1"/>
    <col min="1035" max="1035" width="54.42578125" customWidth="1"/>
    <col min="1281" max="1281" width="39.85546875" customWidth="1"/>
    <col min="1282" max="1282" width="20.140625" customWidth="1"/>
    <col min="1283" max="1283" width="12.7109375" customWidth="1"/>
    <col min="1284" max="1284" width="15.85546875" customWidth="1"/>
    <col min="1285" max="1285" width="12.5703125" customWidth="1"/>
    <col min="1286" max="1286" width="19" customWidth="1"/>
    <col min="1287" max="1287" width="20.140625" customWidth="1"/>
    <col min="1288" max="1288" width="37.140625" customWidth="1"/>
    <col min="1289" max="1289" width="13.28515625" customWidth="1"/>
    <col min="1290" max="1290" width="31.85546875" customWidth="1"/>
    <col min="1291" max="1291" width="54.42578125" customWidth="1"/>
    <col min="1537" max="1537" width="39.85546875" customWidth="1"/>
    <col min="1538" max="1538" width="20.140625" customWidth="1"/>
    <col min="1539" max="1539" width="12.7109375" customWidth="1"/>
    <col min="1540" max="1540" width="15.85546875" customWidth="1"/>
    <col min="1541" max="1541" width="12.5703125" customWidth="1"/>
    <col min="1542" max="1542" width="19" customWidth="1"/>
    <col min="1543" max="1543" width="20.140625" customWidth="1"/>
    <col min="1544" max="1544" width="37.140625" customWidth="1"/>
    <col min="1545" max="1545" width="13.28515625" customWidth="1"/>
    <col min="1546" max="1546" width="31.85546875" customWidth="1"/>
    <col min="1547" max="1547" width="54.42578125" customWidth="1"/>
    <col min="1793" max="1793" width="39.85546875" customWidth="1"/>
    <col min="1794" max="1794" width="20.140625" customWidth="1"/>
    <col min="1795" max="1795" width="12.7109375" customWidth="1"/>
    <col min="1796" max="1796" width="15.85546875" customWidth="1"/>
    <col min="1797" max="1797" width="12.5703125" customWidth="1"/>
    <col min="1798" max="1798" width="19" customWidth="1"/>
    <col min="1799" max="1799" width="20.140625" customWidth="1"/>
    <col min="1800" max="1800" width="37.140625" customWidth="1"/>
    <col min="1801" max="1801" width="13.28515625" customWidth="1"/>
    <col min="1802" max="1802" width="31.85546875" customWidth="1"/>
    <col min="1803" max="1803" width="54.42578125" customWidth="1"/>
    <col min="2049" max="2049" width="39.85546875" customWidth="1"/>
    <col min="2050" max="2050" width="20.140625" customWidth="1"/>
    <col min="2051" max="2051" width="12.7109375" customWidth="1"/>
    <col min="2052" max="2052" width="15.85546875" customWidth="1"/>
    <col min="2053" max="2053" width="12.5703125" customWidth="1"/>
    <col min="2054" max="2054" width="19" customWidth="1"/>
    <col min="2055" max="2055" width="20.140625" customWidth="1"/>
    <col min="2056" max="2056" width="37.140625" customWidth="1"/>
    <col min="2057" max="2057" width="13.28515625" customWidth="1"/>
    <col min="2058" max="2058" width="31.85546875" customWidth="1"/>
    <col min="2059" max="2059" width="54.42578125" customWidth="1"/>
    <col min="2305" max="2305" width="39.85546875" customWidth="1"/>
    <col min="2306" max="2306" width="20.140625" customWidth="1"/>
    <col min="2307" max="2307" width="12.7109375" customWidth="1"/>
    <col min="2308" max="2308" width="15.85546875" customWidth="1"/>
    <col min="2309" max="2309" width="12.5703125" customWidth="1"/>
    <col min="2310" max="2310" width="19" customWidth="1"/>
    <col min="2311" max="2311" width="20.140625" customWidth="1"/>
    <col min="2312" max="2312" width="37.140625" customWidth="1"/>
    <col min="2313" max="2313" width="13.28515625" customWidth="1"/>
    <col min="2314" max="2314" width="31.85546875" customWidth="1"/>
    <col min="2315" max="2315" width="54.42578125" customWidth="1"/>
    <col min="2561" max="2561" width="39.85546875" customWidth="1"/>
    <col min="2562" max="2562" width="20.140625" customWidth="1"/>
    <col min="2563" max="2563" width="12.7109375" customWidth="1"/>
    <col min="2564" max="2564" width="15.85546875" customWidth="1"/>
    <col min="2565" max="2565" width="12.5703125" customWidth="1"/>
    <col min="2566" max="2566" width="19" customWidth="1"/>
    <col min="2567" max="2567" width="20.140625" customWidth="1"/>
    <col min="2568" max="2568" width="37.140625" customWidth="1"/>
    <col min="2569" max="2569" width="13.28515625" customWidth="1"/>
    <col min="2570" max="2570" width="31.85546875" customWidth="1"/>
    <col min="2571" max="2571" width="54.42578125" customWidth="1"/>
    <col min="2817" max="2817" width="39.85546875" customWidth="1"/>
    <col min="2818" max="2818" width="20.140625" customWidth="1"/>
    <col min="2819" max="2819" width="12.7109375" customWidth="1"/>
    <col min="2820" max="2820" width="15.85546875" customWidth="1"/>
    <col min="2821" max="2821" width="12.5703125" customWidth="1"/>
    <col min="2822" max="2822" width="19" customWidth="1"/>
    <col min="2823" max="2823" width="20.140625" customWidth="1"/>
    <col min="2824" max="2824" width="37.140625" customWidth="1"/>
    <col min="2825" max="2825" width="13.28515625" customWidth="1"/>
    <col min="2826" max="2826" width="31.85546875" customWidth="1"/>
    <col min="2827" max="2827" width="54.42578125" customWidth="1"/>
    <col min="3073" max="3073" width="39.85546875" customWidth="1"/>
    <col min="3074" max="3074" width="20.140625" customWidth="1"/>
    <col min="3075" max="3075" width="12.7109375" customWidth="1"/>
    <col min="3076" max="3076" width="15.85546875" customWidth="1"/>
    <col min="3077" max="3077" width="12.5703125" customWidth="1"/>
    <col min="3078" max="3078" width="19" customWidth="1"/>
    <col min="3079" max="3079" width="20.140625" customWidth="1"/>
    <col min="3080" max="3080" width="37.140625" customWidth="1"/>
    <col min="3081" max="3081" width="13.28515625" customWidth="1"/>
    <col min="3082" max="3082" width="31.85546875" customWidth="1"/>
    <col min="3083" max="3083" width="54.42578125" customWidth="1"/>
    <col min="3329" max="3329" width="39.85546875" customWidth="1"/>
    <col min="3330" max="3330" width="20.140625" customWidth="1"/>
    <col min="3331" max="3331" width="12.7109375" customWidth="1"/>
    <col min="3332" max="3332" width="15.85546875" customWidth="1"/>
    <col min="3333" max="3333" width="12.5703125" customWidth="1"/>
    <col min="3334" max="3334" width="19" customWidth="1"/>
    <col min="3335" max="3335" width="20.140625" customWidth="1"/>
    <col min="3336" max="3336" width="37.140625" customWidth="1"/>
    <col min="3337" max="3337" width="13.28515625" customWidth="1"/>
    <col min="3338" max="3338" width="31.85546875" customWidth="1"/>
    <col min="3339" max="3339" width="54.42578125" customWidth="1"/>
    <col min="3585" max="3585" width="39.85546875" customWidth="1"/>
    <col min="3586" max="3586" width="20.140625" customWidth="1"/>
    <col min="3587" max="3587" width="12.7109375" customWidth="1"/>
    <col min="3588" max="3588" width="15.85546875" customWidth="1"/>
    <col min="3589" max="3589" width="12.5703125" customWidth="1"/>
    <col min="3590" max="3590" width="19" customWidth="1"/>
    <col min="3591" max="3591" width="20.140625" customWidth="1"/>
    <col min="3592" max="3592" width="37.140625" customWidth="1"/>
    <col min="3593" max="3593" width="13.28515625" customWidth="1"/>
    <col min="3594" max="3594" width="31.85546875" customWidth="1"/>
    <col min="3595" max="3595" width="54.42578125" customWidth="1"/>
    <col min="3841" max="3841" width="39.85546875" customWidth="1"/>
    <col min="3842" max="3842" width="20.140625" customWidth="1"/>
    <col min="3843" max="3843" width="12.7109375" customWidth="1"/>
    <col min="3844" max="3844" width="15.85546875" customWidth="1"/>
    <col min="3845" max="3845" width="12.5703125" customWidth="1"/>
    <col min="3846" max="3846" width="19" customWidth="1"/>
    <col min="3847" max="3847" width="20.140625" customWidth="1"/>
    <col min="3848" max="3848" width="37.140625" customWidth="1"/>
    <col min="3849" max="3849" width="13.28515625" customWidth="1"/>
    <col min="3850" max="3850" width="31.85546875" customWidth="1"/>
    <col min="3851" max="3851" width="54.42578125" customWidth="1"/>
    <col min="4097" max="4097" width="39.85546875" customWidth="1"/>
    <col min="4098" max="4098" width="20.140625" customWidth="1"/>
    <col min="4099" max="4099" width="12.7109375" customWidth="1"/>
    <col min="4100" max="4100" width="15.85546875" customWidth="1"/>
    <col min="4101" max="4101" width="12.5703125" customWidth="1"/>
    <col min="4102" max="4102" width="19" customWidth="1"/>
    <col min="4103" max="4103" width="20.140625" customWidth="1"/>
    <col min="4104" max="4104" width="37.140625" customWidth="1"/>
    <col min="4105" max="4105" width="13.28515625" customWidth="1"/>
    <col min="4106" max="4106" width="31.85546875" customWidth="1"/>
    <col min="4107" max="4107" width="54.42578125" customWidth="1"/>
    <col min="4353" max="4353" width="39.85546875" customWidth="1"/>
    <col min="4354" max="4354" width="20.140625" customWidth="1"/>
    <col min="4355" max="4355" width="12.7109375" customWidth="1"/>
    <col min="4356" max="4356" width="15.85546875" customWidth="1"/>
    <col min="4357" max="4357" width="12.5703125" customWidth="1"/>
    <col min="4358" max="4358" width="19" customWidth="1"/>
    <col min="4359" max="4359" width="20.140625" customWidth="1"/>
    <col min="4360" max="4360" width="37.140625" customWidth="1"/>
    <col min="4361" max="4361" width="13.28515625" customWidth="1"/>
    <col min="4362" max="4362" width="31.85546875" customWidth="1"/>
    <col min="4363" max="4363" width="54.42578125" customWidth="1"/>
    <col min="4609" max="4609" width="39.85546875" customWidth="1"/>
    <col min="4610" max="4610" width="20.140625" customWidth="1"/>
    <col min="4611" max="4611" width="12.7109375" customWidth="1"/>
    <col min="4612" max="4612" width="15.85546875" customWidth="1"/>
    <col min="4613" max="4613" width="12.5703125" customWidth="1"/>
    <col min="4614" max="4614" width="19" customWidth="1"/>
    <col min="4615" max="4615" width="20.140625" customWidth="1"/>
    <col min="4616" max="4616" width="37.140625" customWidth="1"/>
    <col min="4617" max="4617" width="13.28515625" customWidth="1"/>
    <col min="4618" max="4618" width="31.85546875" customWidth="1"/>
    <col min="4619" max="4619" width="54.42578125" customWidth="1"/>
    <col min="4865" max="4865" width="39.85546875" customWidth="1"/>
    <col min="4866" max="4866" width="20.140625" customWidth="1"/>
    <col min="4867" max="4867" width="12.7109375" customWidth="1"/>
    <col min="4868" max="4868" width="15.85546875" customWidth="1"/>
    <col min="4869" max="4869" width="12.5703125" customWidth="1"/>
    <col min="4870" max="4870" width="19" customWidth="1"/>
    <col min="4871" max="4871" width="20.140625" customWidth="1"/>
    <col min="4872" max="4872" width="37.140625" customWidth="1"/>
    <col min="4873" max="4873" width="13.28515625" customWidth="1"/>
    <col min="4874" max="4874" width="31.85546875" customWidth="1"/>
    <col min="4875" max="4875" width="54.42578125" customWidth="1"/>
    <col min="5121" max="5121" width="39.85546875" customWidth="1"/>
    <col min="5122" max="5122" width="20.140625" customWidth="1"/>
    <col min="5123" max="5123" width="12.7109375" customWidth="1"/>
    <col min="5124" max="5124" width="15.85546875" customWidth="1"/>
    <col min="5125" max="5125" width="12.5703125" customWidth="1"/>
    <col min="5126" max="5126" width="19" customWidth="1"/>
    <col min="5127" max="5127" width="20.140625" customWidth="1"/>
    <col min="5128" max="5128" width="37.140625" customWidth="1"/>
    <col min="5129" max="5129" width="13.28515625" customWidth="1"/>
    <col min="5130" max="5130" width="31.85546875" customWidth="1"/>
    <col min="5131" max="5131" width="54.42578125" customWidth="1"/>
    <col min="5377" max="5377" width="39.85546875" customWidth="1"/>
    <col min="5378" max="5378" width="20.140625" customWidth="1"/>
    <col min="5379" max="5379" width="12.7109375" customWidth="1"/>
    <col min="5380" max="5380" width="15.85546875" customWidth="1"/>
    <col min="5381" max="5381" width="12.5703125" customWidth="1"/>
    <col min="5382" max="5382" width="19" customWidth="1"/>
    <col min="5383" max="5383" width="20.140625" customWidth="1"/>
    <col min="5384" max="5384" width="37.140625" customWidth="1"/>
    <col min="5385" max="5385" width="13.28515625" customWidth="1"/>
    <col min="5386" max="5386" width="31.85546875" customWidth="1"/>
    <col min="5387" max="5387" width="54.42578125" customWidth="1"/>
    <col min="5633" max="5633" width="39.85546875" customWidth="1"/>
    <col min="5634" max="5634" width="20.140625" customWidth="1"/>
    <col min="5635" max="5635" width="12.7109375" customWidth="1"/>
    <col min="5636" max="5636" width="15.85546875" customWidth="1"/>
    <col min="5637" max="5637" width="12.5703125" customWidth="1"/>
    <col min="5638" max="5638" width="19" customWidth="1"/>
    <col min="5639" max="5639" width="20.140625" customWidth="1"/>
    <col min="5640" max="5640" width="37.140625" customWidth="1"/>
    <col min="5641" max="5641" width="13.28515625" customWidth="1"/>
    <col min="5642" max="5642" width="31.85546875" customWidth="1"/>
    <col min="5643" max="5643" width="54.42578125" customWidth="1"/>
    <col min="5889" max="5889" width="39.85546875" customWidth="1"/>
    <col min="5890" max="5890" width="20.140625" customWidth="1"/>
    <col min="5891" max="5891" width="12.7109375" customWidth="1"/>
    <col min="5892" max="5892" width="15.85546875" customWidth="1"/>
    <col min="5893" max="5893" width="12.5703125" customWidth="1"/>
    <col min="5894" max="5894" width="19" customWidth="1"/>
    <col min="5895" max="5895" width="20.140625" customWidth="1"/>
    <col min="5896" max="5896" width="37.140625" customWidth="1"/>
    <col min="5897" max="5897" width="13.28515625" customWidth="1"/>
    <col min="5898" max="5898" width="31.85546875" customWidth="1"/>
    <col min="5899" max="5899" width="54.42578125" customWidth="1"/>
    <col min="6145" max="6145" width="39.85546875" customWidth="1"/>
    <col min="6146" max="6146" width="20.140625" customWidth="1"/>
    <col min="6147" max="6147" width="12.7109375" customWidth="1"/>
    <col min="6148" max="6148" width="15.85546875" customWidth="1"/>
    <col min="6149" max="6149" width="12.5703125" customWidth="1"/>
    <col min="6150" max="6150" width="19" customWidth="1"/>
    <col min="6151" max="6151" width="20.140625" customWidth="1"/>
    <col min="6152" max="6152" width="37.140625" customWidth="1"/>
    <col min="6153" max="6153" width="13.28515625" customWidth="1"/>
    <col min="6154" max="6154" width="31.85546875" customWidth="1"/>
    <col min="6155" max="6155" width="54.42578125" customWidth="1"/>
    <col min="6401" max="6401" width="39.85546875" customWidth="1"/>
    <col min="6402" max="6402" width="20.140625" customWidth="1"/>
    <col min="6403" max="6403" width="12.7109375" customWidth="1"/>
    <col min="6404" max="6404" width="15.85546875" customWidth="1"/>
    <col min="6405" max="6405" width="12.5703125" customWidth="1"/>
    <col min="6406" max="6406" width="19" customWidth="1"/>
    <col min="6407" max="6407" width="20.140625" customWidth="1"/>
    <col min="6408" max="6408" width="37.140625" customWidth="1"/>
    <col min="6409" max="6409" width="13.28515625" customWidth="1"/>
    <col min="6410" max="6410" width="31.85546875" customWidth="1"/>
    <col min="6411" max="6411" width="54.42578125" customWidth="1"/>
    <col min="6657" max="6657" width="39.85546875" customWidth="1"/>
    <col min="6658" max="6658" width="20.140625" customWidth="1"/>
    <col min="6659" max="6659" width="12.7109375" customWidth="1"/>
    <col min="6660" max="6660" width="15.85546875" customWidth="1"/>
    <col min="6661" max="6661" width="12.5703125" customWidth="1"/>
    <col min="6662" max="6662" width="19" customWidth="1"/>
    <col min="6663" max="6663" width="20.140625" customWidth="1"/>
    <col min="6664" max="6664" width="37.140625" customWidth="1"/>
    <col min="6665" max="6665" width="13.28515625" customWidth="1"/>
    <col min="6666" max="6666" width="31.85546875" customWidth="1"/>
    <col min="6667" max="6667" width="54.42578125" customWidth="1"/>
    <col min="6913" max="6913" width="39.85546875" customWidth="1"/>
    <col min="6914" max="6914" width="20.140625" customWidth="1"/>
    <col min="6915" max="6915" width="12.7109375" customWidth="1"/>
    <col min="6916" max="6916" width="15.85546875" customWidth="1"/>
    <col min="6917" max="6917" width="12.5703125" customWidth="1"/>
    <col min="6918" max="6918" width="19" customWidth="1"/>
    <col min="6919" max="6919" width="20.140625" customWidth="1"/>
    <col min="6920" max="6920" width="37.140625" customWidth="1"/>
    <col min="6921" max="6921" width="13.28515625" customWidth="1"/>
    <col min="6922" max="6922" width="31.85546875" customWidth="1"/>
    <col min="6923" max="6923" width="54.42578125" customWidth="1"/>
    <col min="7169" max="7169" width="39.85546875" customWidth="1"/>
    <col min="7170" max="7170" width="20.140625" customWidth="1"/>
    <col min="7171" max="7171" width="12.7109375" customWidth="1"/>
    <col min="7172" max="7172" width="15.85546875" customWidth="1"/>
    <col min="7173" max="7173" width="12.5703125" customWidth="1"/>
    <col min="7174" max="7174" width="19" customWidth="1"/>
    <col min="7175" max="7175" width="20.140625" customWidth="1"/>
    <col min="7176" max="7176" width="37.140625" customWidth="1"/>
    <col min="7177" max="7177" width="13.28515625" customWidth="1"/>
    <col min="7178" max="7178" width="31.85546875" customWidth="1"/>
    <col min="7179" max="7179" width="54.42578125" customWidth="1"/>
    <col min="7425" max="7425" width="39.85546875" customWidth="1"/>
    <col min="7426" max="7426" width="20.140625" customWidth="1"/>
    <col min="7427" max="7427" width="12.7109375" customWidth="1"/>
    <col min="7428" max="7428" width="15.85546875" customWidth="1"/>
    <col min="7429" max="7429" width="12.5703125" customWidth="1"/>
    <col min="7430" max="7430" width="19" customWidth="1"/>
    <col min="7431" max="7431" width="20.140625" customWidth="1"/>
    <col min="7432" max="7432" width="37.140625" customWidth="1"/>
    <col min="7433" max="7433" width="13.28515625" customWidth="1"/>
    <col min="7434" max="7434" width="31.85546875" customWidth="1"/>
    <col min="7435" max="7435" width="54.42578125" customWidth="1"/>
    <col min="7681" max="7681" width="39.85546875" customWidth="1"/>
    <col min="7682" max="7682" width="20.140625" customWidth="1"/>
    <col min="7683" max="7683" width="12.7109375" customWidth="1"/>
    <col min="7684" max="7684" width="15.85546875" customWidth="1"/>
    <col min="7685" max="7685" width="12.5703125" customWidth="1"/>
    <col min="7686" max="7686" width="19" customWidth="1"/>
    <col min="7687" max="7687" width="20.140625" customWidth="1"/>
    <col min="7688" max="7688" width="37.140625" customWidth="1"/>
    <col min="7689" max="7689" width="13.28515625" customWidth="1"/>
    <col min="7690" max="7690" width="31.85546875" customWidth="1"/>
    <col min="7691" max="7691" width="54.42578125" customWidth="1"/>
    <col min="7937" max="7937" width="39.85546875" customWidth="1"/>
    <col min="7938" max="7938" width="20.140625" customWidth="1"/>
    <col min="7939" max="7939" width="12.7109375" customWidth="1"/>
    <col min="7940" max="7940" width="15.85546875" customWidth="1"/>
    <col min="7941" max="7941" width="12.5703125" customWidth="1"/>
    <col min="7942" max="7942" width="19" customWidth="1"/>
    <col min="7943" max="7943" width="20.140625" customWidth="1"/>
    <col min="7944" max="7944" width="37.140625" customWidth="1"/>
    <col min="7945" max="7945" width="13.28515625" customWidth="1"/>
    <col min="7946" max="7946" width="31.85546875" customWidth="1"/>
    <col min="7947" max="7947" width="54.42578125" customWidth="1"/>
    <col min="8193" max="8193" width="39.85546875" customWidth="1"/>
    <col min="8194" max="8194" width="20.140625" customWidth="1"/>
    <col min="8195" max="8195" width="12.7109375" customWidth="1"/>
    <col min="8196" max="8196" width="15.85546875" customWidth="1"/>
    <col min="8197" max="8197" width="12.5703125" customWidth="1"/>
    <col min="8198" max="8198" width="19" customWidth="1"/>
    <col min="8199" max="8199" width="20.140625" customWidth="1"/>
    <col min="8200" max="8200" width="37.140625" customWidth="1"/>
    <col min="8201" max="8201" width="13.28515625" customWidth="1"/>
    <col min="8202" max="8202" width="31.85546875" customWidth="1"/>
    <col min="8203" max="8203" width="54.42578125" customWidth="1"/>
    <col min="8449" max="8449" width="39.85546875" customWidth="1"/>
    <col min="8450" max="8450" width="20.140625" customWidth="1"/>
    <col min="8451" max="8451" width="12.7109375" customWidth="1"/>
    <col min="8452" max="8452" width="15.85546875" customWidth="1"/>
    <col min="8453" max="8453" width="12.5703125" customWidth="1"/>
    <col min="8454" max="8454" width="19" customWidth="1"/>
    <col min="8455" max="8455" width="20.140625" customWidth="1"/>
    <col min="8456" max="8456" width="37.140625" customWidth="1"/>
    <col min="8457" max="8457" width="13.28515625" customWidth="1"/>
    <col min="8458" max="8458" width="31.85546875" customWidth="1"/>
    <col min="8459" max="8459" width="54.42578125" customWidth="1"/>
    <col min="8705" max="8705" width="39.85546875" customWidth="1"/>
    <col min="8706" max="8706" width="20.140625" customWidth="1"/>
    <col min="8707" max="8707" width="12.7109375" customWidth="1"/>
    <col min="8708" max="8708" width="15.85546875" customWidth="1"/>
    <col min="8709" max="8709" width="12.5703125" customWidth="1"/>
    <col min="8710" max="8710" width="19" customWidth="1"/>
    <col min="8711" max="8711" width="20.140625" customWidth="1"/>
    <col min="8712" max="8712" width="37.140625" customWidth="1"/>
    <col min="8713" max="8713" width="13.28515625" customWidth="1"/>
    <col min="8714" max="8714" width="31.85546875" customWidth="1"/>
    <col min="8715" max="8715" width="54.42578125" customWidth="1"/>
    <col min="8961" max="8961" width="39.85546875" customWidth="1"/>
    <col min="8962" max="8962" width="20.140625" customWidth="1"/>
    <col min="8963" max="8963" width="12.7109375" customWidth="1"/>
    <col min="8964" max="8964" width="15.85546875" customWidth="1"/>
    <col min="8965" max="8965" width="12.5703125" customWidth="1"/>
    <col min="8966" max="8966" width="19" customWidth="1"/>
    <col min="8967" max="8967" width="20.140625" customWidth="1"/>
    <col min="8968" max="8968" width="37.140625" customWidth="1"/>
    <col min="8969" max="8969" width="13.28515625" customWidth="1"/>
    <col min="8970" max="8970" width="31.85546875" customWidth="1"/>
    <col min="8971" max="8971" width="54.42578125" customWidth="1"/>
    <col min="9217" max="9217" width="39.85546875" customWidth="1"/>
    <col min="9218" max="9218" width="20.140625" customWidth="1"/>
    <col min="9219" max="9219" width="12.7109375" customWidth="1"/>
    <col min="9220" max="9220" width="15.85546875" customWidth="1"/>
    <col min="9221" max="9221" width="12.5703125" customWidth="1"/>
    <col min="9222" max="9222" width="19" customWidth="1"/>
    <col min="9223" max="9223" width="20.140625" customWidth="1"/>
    <col min="9224" max="9224" width="37.140625" customWidth="1"/>
    <col min="9225" max="9225" width="13.28515625" customWidth="1"/>
    <col min="9226" max="9226" width="31.85546875" customWidth="1"/>
    <col min="9227" max="9227" width="54.42578125" customWidth="1"/>
    <col min="9473" max="9473" width="39.85546875" customWidth="1"/>
    <col min="9474" max="9474" width="20.140625" customWidth="1"/>
    <col min="9475" max="9475" width="12.7109375" customWidth="1"/>
    <col min="9476" max="9476" width="15.85546875" customWidth="1"/>
    <col min="9477" max="9477" width="12.5703125" customWidth="1"/>
    <col min="9478" max="9478" width="19" customWidth="1"/>
    <col min="9479" max="9479" width="20.140625" customWidth="1"/>
    <col min="9480" max="9480" width="37.140625" customWidth="1"/>
    <col min="9481" max="9481" width="13.28515625" customWidth="1"/>
    <col min="9482" max="9482" width="31.85546875" customWidth="1"/>
    <col min="9483" max="9483" width="54.42578125" customWidth="1"/>
    <col min="9729" max="9729" width="39.85546875" customWidth="1"/>
    <col min="9730" max="9730" width="20.140625" customWidth="1"/>
    <col min="9731" max="9731" width="12.7109375" customWidth="1"/>
    <col min="9732" max="9732" width="15.85546875" customWidth="1"/>
    <col min="9733" max="9733" width="12.5703125" customWidth="1"/>
    <col min="9734" max="9734" width="19" customWidth="1"/>
    <col min="9735" max="9735" width="20.140625" customWidth="1"/>
    <col min="9736" max="9736" width="37.140625" customWidth="1"/>
    <col min="9737" max="9737" width="13.28515625" customWidth="1"/>
    <col min="9738" max="9738" width="31.85546875" customWidth="1"/>
    <col min="9739" max="9739" width="54.42578125" customWidth="1"/>
    <col min="9985" max="9985" width="39.85546875" customWidth="1"/>
    <col min="9986" max="9986" width="20.140625" customWidth="1"/>
    <col min="9987" max="9987" width="12.7109375" customWidth="1"/>
    <col min="9988" max="9988" width="15.85546875" customWidth="1"/>
    <col min="9989" max="9989" width="12.5703125" customWidth="1"/>
    <col min="9990" max="9990" width="19" customWidth="1"/>
    <col min="9991" max="9991" width="20.140625" customWidth="1"/>
    <col min="9992" max="9992" width="37.140625" customWidth="1"/>
    <col min="9993" max="9993" width="13.28515625" customWidth="1"/>
    <col min="9994" max="9994" width="31.85546875" customWidth="1"/>
    <col min="9995" max="9995" width="54.42578125" customWidth="1"/>
    <col min="10241" max="10241" width="39.85546875" customWidth="1"/>
    <col min="10242" max="10242" width="20.140625" customWidth="1"/>
    <col min="10243" max="10243" width="12.7109375" customWidth="1"/>
    <col min="10244" max="10244" width="15.85546875" customWidth="1"/>
    <col min="10245" max="10245" width="12.5703125" customWidth="1"/>
    <col min="10246" max="10246" width="19" customWidth="1"/>
    <col min="10247" max="10247" width="20.140625" customWidth="1"/>
    <col min="10248" max="10248" width="37.140625" customWidth="1"/>
    <col min="10249" max="10249" width="13.28515625" customWidth="1"/>
    <col min="10250" max="10250" width="31.85546875" customWidth="1"/>
    <col min="10251" max="10251" width="54.42578125" customWidth="1"/>
    <col min="10497" max="10497" width="39.85546875" customWidth="1"/>
    <col min="10498" max="10498" width="20.140625" customWidth="1"/>
    <col min="10499" max="10499" width="12.7109375" customWidth="1"/>
    <col min="10500" max="10500" width="15.85546875" customWidth="1"/>
    <col min="10501" max="10501" width="12.5703125" customWidth="1"/>
    <col min="10502" max="10502" width="19" customWidth="1"/>
    <col min="10503" max="10503" width="20.140625" customWidth="1"/>
    <col min="10504" max="10504" width="37.140625" customWidth="1"/>
    <col min="10505" max="10505" width="13.28515625" customWidth="1"/>
    <col min="10506" max="10506" width="31.85546875" customWidth="1"/>
    <col min="10507" max="10507" width="54.42578125" customWidth="1"/>
    <col min="10753" max="10753" width="39.85546875" customWidth="1"/>
    <col min="10754" max="10754" width="20.140625" customWidth="1"/>
    <col min="10755" max="10755" width="12.7109375" customWidth="1"/>
    <col min="10756" max="10756" width="15.85546875" customWidth="1"/>
    <col min="10757" max="10757" width="12.5703125" customWidth="1"/>
    <col min="10758" max="10758" width="19" customWidth="1"/>
    <col min="10759" max="10759" width="20.140625" customWidth="1"/>
    <col min="10760" max="10760" width="37.140625" customWidth="1"/>
    <col min="10761" max="10761" width="13.28515625" customWidth="1"/>
    <col min="10762" max="10762" width="31.85546875" customWidth="1"/>
    <col min="10763" max="10763" width="54.42578125" customWidth="1"/>
    <col min="11009" max="11009" width="39.85546875" customWidth="1"/>
    <col min="11010" max="11010" width="20.140625" customWidth="1"/>
    <col min="11011" max="11011" width="12.7109375" customWidth="1"/>
    <col min="11012" max="11012" width="15.85546875" customWidth="1"/>
    <col min="11013" max="11013" width="12.5703125" customWidth="1"/>
    <col min="11014" max="11014" width="19" customWidth="1"/>
    <col min="11015" max="11015" width="20.140625" customWidth="1"/>
    <col min="11016" max="11016" width="37.140625" customWidth="1"/>
    <col min="11017" max="11017" width="13.28515625" customWidth="1"/>
    <col min="11018" max="11018" width="31.85546875" customWidth="1"/>
    <col min="11019" max="11019" width="54.42578125" customWidth="1"/>
    <col min="11265" max="11265" width="39.85546875" customWidth="1"/>
    <col min="11266" max="11266" width="20.140625" customWidth="1"/>
    <col min="11267" max="11267" width="12.7109375" customWidth="1"/>
    <col min="11268" max="11268" width="15.85546875" customWidth="1"/>
    <col min="11269" max="11269" width="12.5703125" customWidth="1"/>
    <col min="11270" max="11270" width="19" customWidth="1"/>
    <col min="11271" max="11271" width="20.140625" customWidth="1"/>
    <col min="11272" max="11272" width="37.140625" customWidth="1"/>
    <col min="11273" max="11273" width="13.28515625" customWidth="1"/>
    <col min="11274" max="11274" width="31.85546875" customWidth="1"/>
    <col min="11275" max="11275" width="54.42578125" customWidth="1"/>
    <col min="11521" max="11521" width="39.85546875" customWidth="1"/>
    <col min="11522" max="11522" width="20.140625" customWidth="1"/>
    <col min="11523" max="11523" width="12.7109375" customWidth="1"/>
    <col min="11524" max="11524" width="15.85546875" customWidth="1"/>
    <col min="11525" max="11525" width="12.5703125" customWidth="1"/>
    <col min="11526" max="11526" width="19" customWidth="1"/>
    <col min="11527" max="11527" width="20.140625" customWidth="1"/>
    <col min="11528" max="11528" width="37.140625" customWidth="1"/>
    <col min="11529" max="11529" width="13.28515625" customWidth="1"/>
    <col min="11530" max="11530" width="31.85546875" customWidth="1"/>
    <col min="11531" max="11531" width="54.42578125" customWidth="1"/>
    <col min="11777" max="11777" width="39.85546875" customWidth="1"/>
    <col min="11778" max="11778" width="20.140625" customWidth="1"/>
    <col min="11779" max="11779" width="12.7109375" customWidth="1"/>
    <col min="11780" max="11780" width="15.85546875" customWidth="1"/>
    <col min="11781" max="11781" width="12.5703125" customWidth="1"/>
    <col min="11782" max="11782" width="19" customWidth="1"/>
    <col min="11783" max="11783" width="20.140625" customWidth="1"/>
    <col min="11784" max="11784" width="37.140625" customWidth="1"/>
    <col min="11785" max="11785" width="13.28515625" customWidth="1"/>
    <col min="11786" max="11786" width="31.85546875" customWidth="1"/>
    <col min="11787" max="11787" width="54.42578125" customWidth="1"/>
    <col min="12033" max="12033" width="39.85546875" customWidth="1"/>
    <col min="12034" max="12034" width="20.140625" customWidth="1"/>
    <col min="12035" max="12035" width="12.7109375" customWidth="1"/>
    <col min="12036" max="12036" width="15.85546875" customWidth="1"/>
    <col min="12037" max="12037" width="12.5703125" customWidth="1"/>
    <col min="12038" max="12038" width="19" customWidth="1"/>
    <col min="12039" max="12039" width="20.140625" customWidth="1"/>
    <col min="12040" max="12040" width="37.140625" customWidth="1"/>
    <col min="12041" max="12041" width="13.28515625" customWidth="1"/>
    <col min="12042" max="12042" width="31.85546875" customWidth="1"/>
    <col min="12043" max="12043" width="54.42578125" customWidth="1"/>
    <col min="12289" max="12289" width="39.85546875" customWidth="1"/>
    <col min="12290" max="12290" width="20.140625" customWidth="1"/>
    <col min="12291" max="12291" width="12.7109375" customWidth="1"/>
    <col min="12292" max="12292" width="15.85546875" customWidth="1"/>
    <col min="12293" max="12293" width="12.5703125" customWidth="1"/>
    <col min="12294" max="12294" width="19" customWidth="1"/>
    <col min="12295" max="12295" width="20.140625" customWidth="1"/>
    <col min="12296" max="12296" width="37.140625" customWidth="1"/>
    <col min="12297" max="12297" width="13.28515625" customWidth="1"/>
    <col min="12298" max="12298" width="31.85546875" customWidth="1"/>
    <col min="12299" max="12299" width="54.42578125" customWidth="1"/>
    <col min="12545" max="12545" width="39.85546875" customWidth="1"/>
    <col min="12546" max="12546" width="20.140625" customWidth="1"/>
    <col min="12547" max="12547" width="12.7109375" customWidth="1"/>
    <col min="12548" max="12548" width="15.85546875" customWidth="1"/>
    <col min="12549" max="12549" width="12.5703125" customWidth="1"/>
    <col min="12550" max="12550" width="19" customWidth="1"/>
    <col min="12551" max="12551" width="20.140625" customWidth="1"/>
    <col min="12552" max="12552" width="37.140625" customWidth="1"/>
    <col min="12553" max="12553" width="13.28515625" customWidth="1"/>
    <col min="12554" max="12554" width="31.85546875" customWidth="1"/>
    <col min="12555" max="12555" width="54.42578125" customWidth="1"/>
    <col min="12801" max="12801" width="39.85546875" customWidth="1"/>
    <col min="12802" max="12802" width="20.140625" customWidth="1"/>
    <col min="12803" max="12803" width="12.7109375" customWidth="1"/>
    <col min="12804" max="12804" width="15.85546875" customWidth="1"/>
    <col min="12805" max="12805" width="12.5703125" customWidth="1"/>
    <col min="12806" max="12806" width="19" customWidth="1"/>
    <col min="12807" max="12807" width="20.140625" customWidth="1"/>
    <col min="12808" max="12808" width="37.140625" customWidth="1"/>
    <col min="12809" max="12809" width="13.28515625" customWidth="1"/>
    <col min="12810" max="12810" width="31.85546875" customWidth="1"/>
    <col min="12811" max="12811" width="54.42578125" customWidth="1"/>
    <col min="13057" max="13057" width="39.85546875" customWidth="1"/>
    <col min="13058" max="13058" width="20.140625" customWidth="1"/>
    <col min="13059" max="13059" width="12.7109375" customWidth="1"/>
    <col min="13060" max="13060" width="15.85546875" customWidth="1"/>
    <col min="13061" max="13061" width="12.5703125" customWidth="1"/>
    <col min="13062" max="13062" width="19" customWidth="1"/>
    <col min="13063" max="13063" width="20.140625" customWidth="1"/>
    <col min="13064" max="13064" width="37.140625" customWidth="1"/>
    <col min="13065" max="13065" width="13.28515625" customWidth="1"/>
    <col min="13066" max="13066" width="31.85546875" customWidth="1"/>
    <col min="13067" max="13067" width="54.42578125" customWidth="1"/>
    <col min="13313" max="13313" width="39.85546875" customWidth="1"/>
    <col min="13314" max="13314" width="20.140625" customWidth="1"/>
    <col min="13315" max="13315" width="12.7109375" customWidth="1"/>
    <col min="13316" max="13316" width="15.85546875" customWidth="1"/>
    <col min="13317" max="13317" width="12.5703125" customWidth="1"/>
    <col min="13318" max="13318" width="19" customWidth="1"/>
    <col min="13319" max="13319" width="20.140625" customWidth="1"/>
    <col min="13320" max="13320" width="37.140625" customWidth="1"/>
    <col min="13321" max="13321" width="13.28515625" customWidth="1"/>
    <col min="13322" max="13322" width="31.85546875" customWidth="1"/>
    <col min="13323" max="13323" width="54.42578125" customWidth="1"/>
    <col min="13569" max="13569" width="39.85546875" customWidth="1"/>
    <col min="13570" max="13570" width="20.140625" customWidth="1"/>
    <col min="13571" max="13571" width="12.7109375" customWidth="1"/>
    <col min="13572" max="13572" width="15.85546875" customWidth="1"/>
    <col min="13573" max="13573" width="12.5703125" customWidth="1"/>
    <col min="13574" max="13574" width="19" customWidth="1"/>
    <col min="13575" max="13575" width="20.140625" customWidth="1"/>
    <col min="13576" max="13576" width="37.140625" customWidth="1"/>
    <col min="13577" max="13577" width="13.28515625" customWidth="1"/>
    <col min="13578" max="13578" width="31.85546875" customWidth="1"/>
    <col min="13579" max="13579" width="54.42578125" customWidth="1"/>
    <col min="13825" max="13825" width="39.85546875" customWidth="1"/>
    <col min="13826" max="13826" width="20.140625" customWidth="1"/>
    <col min="13827" max="13827" width="12.7109375" customWidth="1"/>
    <col min="13828" max="13828" width="15.85546875" customWidth="1"/>
    <col min="13829" max="13829" width="12.5703125" customWidth="1"/>
    <col min="13830" max="13830" width="19" customWidth="1"/>
    <col min="13831" max="13831" width="20.140625" customWidth="1"/>
    <col min="13832" max="13832" width="37.140625" customWidth="1"/>
    <col min="13833" max="13833" width="13.28515625" customWidth="1"/>
    <col min="13834" max="13834" width="31.85546875" customWidth="1"/>
    <col min="13835" max="13835" width="54.42578125" customWidth="1"/>
    <col min="14081" max="14081" width="39.85546875" customWidth="1"/>
    <col min="14082" max="14082" width="20.140625" customWidth="1"/>
    <col min="14083" max="14083" width="12.7109375" customWidth="1"/>
    <col min="14084" max="14084" width="15.85546875" customWidth="1"/>
    <col min="14085" max="14085" width="12.5703125" customWidth="1"/>
    <col min="14086" max="14086" width="19" customWidth="1"/>
    <col min="14087" max="14087" width="20.140625" customWidth="1"/>
    <col min="14088" max="14088" width="37.140625" customWidth="1"/>
    <col min="14089" max="14089" width="13.28515625" customWidth="1"/>
    <col min="14090" max="14090" width="31.85546875" customWidth="1"/>
    <col min="14091" max="14091" width="54.42578125" customWidth="1"/>
    <col min="14337" max="14337" width="39.85546875" customWidth="1"/>
    <col min="14338" max="14338" width="20.140625" customWidth="1"/>
    <col min="14339" max="14339" width="12.7109375" customWidth="1"/>
    <col min="14340" max="14340" width="15.85546875" customWidth="1"/>
    <col min="14341" max="14341" width="12.5703125" customWidth="1"/>
    <col min="14342" max="14342" width="19" customWidth="1"/>
    <col min="14343" max="14343" width="20.140625" customWidth="1"/>
    <col min="14344" max="14344" width="37.140625" customWidth="1"/>
    <col min="14345" max="14345" width="13.28515625" customWidth="1"/>
    <col min="14346" max="14346" width="31.85546875" customWidth="1"/>
    <col min="14347" max="14347" width="54.42578125" customWidth="1"/>
    <col min="14593" max="14593" width="39.85546875" customWidth="1"/>
    <col min="14594" max="14594" width="20.140625" customWidth="1"/>
    <col min="14595" max="14595" width="12.7109375" customWidth="1"/>
    <col min="14596" max="14596" width="15.85546875" customWidth="1"/>
    <col min="14597" max="14597" width="12.5703125" customWidth="1"/>
    <col min="14598" max="14598" width="19" customWidth="1"/>
    <col min="14599" max="14599" width="20.140625" customWidth="1"/>
    <col min="14600" max="14600" width="37.140625" customWidth="1"/>
    <col min="14601" max="14601" width="13.28515625" customWidth="1"/>
    <col min="14602" max="14602" width="31.85546875" customWidth="1"/>
    <col min="14603" max="14603" width="54.42578125" customWidth="1"/>
    <col min="14849" max="14849" width="39.85546875" customWidth="1"/>
    <col min="14850" max="14850" width="20.140625" customWidth="1"/>
    <col min="14851" max="14851" width="12.7109375" customWidth="1"/>
    <col min="14852" max="14852" width="15.85546875" customWidth="1"/>
    <col min="14853" max="14853" width="12.5703125" customWidth="1"/>
    <col min="14854" max="14854" width="19" customWidth="1"/>
    <col min="14855" max="14855" width="20.140625" customWidth="1"/>
    <col min="14856" max="14856" width="37.140625" customWidth="1"/>
    <col min="14857" max="14857" width="13.28515625" customWidth="1"/>
    <col min="14858" max="14858" width="31.85546875" customWidth="1"/>
    <col min="14859" max="14859" width="54.42578125" customWidth="1"/>
    <col min="15105" max="15105" width="39.85546875" customWidth="1"/>
    <col min="15106" max="15106" width="20.140625" customWidth="1"/>
    <col min="15107" max="15107" width="12.7109375" customWidth="1"/>
    <col min="15108" max="15108" width="15.85546875" customWidth="1"/>
    <col min="15109" max="15109" width="12.5703125" customWidth="1"/>
    <col min="15110" max="15110" width="19" customWidth="1"/>
    <col min="15111" max="15111" width="20.140625" customWidth="1"/>
    <col min="15112" max="15112" width="37.140625" customWidth="1"/>
    <col min="15113" max="15113" width="13.28515625" customWidth="1"/>
    <col min="15114" max="15114" width="31.85546875" customWidth="1"/>
    <col min="15115" max="15115" width="54.42578125" customWidth="1"/>
    <col min="15361" max="15361" width="39.85546875" customWidth="1"/>
    <col min="15362" max="15362" width="20.140625" customWidth="1"/>
    <col min="15363" max="15363" width="12.7109375" customWidth="1"/>
    <col min="15364" max="15364" width="15.85546875" customWidth="1"/>
    <col min="15365" max="15365" width="12.5703125" customWidth="1"/>
    <col min="15366" max="15366" width="19" customWidth="1"/>
    <col min="15367" max="15367" width="20.140625" customWidth="1"/>
    <col min="15368" max="15368" width="37.140625" customWidth="1"/>
    <col min="15369" max="15369" width="13.28515625" customWidth="1"/>
    <col min="15370" max="15370" width="31.85546875" customWidth="1"/>
    <col min="15371" max="15371" width="54.42578125" customWidth="1"/>
    <col min="15617" max="15617" width="39.85546875" customWidth="1"/>
    <col min="15618" max="15618" width="20.140625" customWidth="1"/>
    <col min="15619" max="15619" width="12.7109375" customWidth="1"/>
    <col min="15620" max="15620" width="15.85546875" customWidth="1"/>
    <col min="15621" max="15621" width="12.5703125" customWidth="1"/>
    <col min="15622" max="15622" width="19" customWidth="1"/>
    <col min="15623" max="15623" width="20.140625" customWidth="1"/>
    <col min="15624" max="15624" width="37.140625" customWidth="1"/>
    <col min="15625" max="15625" width="13.28515625" customWidth="1"/>
    <col min="15626" max="15626" width="31.85546875" customWidth="1"/>
    <col min="15627" max="15627" width="54.42578125" customWidth="1"/>
    <col min="15873" max="15873" width="39.85546875" customWidth="1"/>
    <col min="15874" max="15874" width="20.140625" customWidth="1"/>
    <col min="15875" max="15875" width="12.7109375" customWidth="1"/>
    <col min="15876" max="15876" width="15.85546875" customWidth="1"/>
    <col min="15877" max="15877" width="12.5703125" customWidth="1"/>
    <col min="15878" max="15878" width="19" customWidth="1"/>
    <col min="15879" max="15879" width="20.140625" customWidth="1"/>
    <col min="15880" max="15880" width="37.140625" customWidth="1"/>
    <col min="15881" max="15881" width="13.28515625" customWidth="1"/>
    <col min="15882" max="15882" width="31.85546875" customWidth="1"/>
    <col min="15883" max="15883" width="54.42578125" customWidth="1"/>
    <col min="16129" max="16129" width="39.85546875" customWidth="1"/>
    <col min="16130" max="16130" width="20.140625" customWidth="1"/>
    <col min="16131" max="16131" width="12.7109375" customWidth="1"/>
    <col min="16132" max="16132" width="15.85546875" customWidth="1"/>
    <col min="16133" max="16133" width="12.5703125" customWidth="1"/>
    <col min="16134" max="16134" width="19" customWidth="1"/>
    <col min="16135" max="16135" width="20.140625" customWidth="1"/>
    <col min="16136" max="16136" width="37.140625" customWidth="1"/>
    <col min="16137" max="16137" width="13.28515625" customWidth="1"/>
    <col min="16138" max="16138" width="31.85546875" customWidth="1"/>
    <col min="16139" max="16139" width="54.42578125" customWidth="1"/>
  </cols>
  <sheetData>
    <row r="1" spans="1:16" ht="15.95" customHeight="1" x14ac:dyDescent="0.25">
      <c r="A1" s="91" t="s">
        <v>190</v>
      </c>
      <c r="B1" s="124">
        <v>45296</v>
      </c>
      <c r="C1" s="125"/>
      <c r="D1" s="125"/>
      <c r="E1" s="125"/>
      <c r="F1" s="125"/>
      <c r="G1" s="126"/>
      <c r="H1" s="146" t="s">
        <v>191</v>
      </c>
    </row>
    <row r="2" spans="1:16" ht="15.75" x14ac:dyDescent="0.25">
      <c r="A2" s="92" t="s">
        <v>192</v>
      </c>
      <c r="B2" s="130" t="s">
        <v>193</v>
      </c>
      <c r="C2" s="131"/>
      <c r="D2" s="131"/>
      <c r="E2" s="131"/>
      <c r="F2" s="131"/>
      <c r="G2" s="132"/>
      <c r="H2" s="147"/>
    </row>
    <row r="3" spans="1:16" ht="15.75" x14ac:dyDescent="0.25">
      <c r="A3" s="92" t="s">
        <v>194</v>
      </c>
      <c r="B3" s="133" t="s">
        <v>195</v>
      </c>
      <c r="C3" s="134"/>
      <c r="D3" s="134"/>
      <c r="E3" s="135"/>
      <c r="F3" s="133" t="s">
        <v>312</v>
      </c>
      <c r="G3" s="136"/>
      <c r="H3" s="147"/>
      <c r="I3" s="93"/>
      <c r="J3" s="93"/>
    </row>
    <row r="4" spans="1:16" ht="15.75" x14ac:dyDescent="0.25">
      <c r="A4" s="92" t="s">
        <v>197</v>
      </c>
      <c r="B4" s="137" t="s">
        <v>198</v>
      </c>
      <c r="C4" s="138"/>
      <c r="D4" s="138"/>
      <c r="E4" s="138"/>
      <c r="F4" s="138"/>
      <c r="G4" s="139"/>
      <c r="H4" s="147"/>
    </row>
    <row r="5" spans="1:16" ht="15.75" x14ac:dyDescent="0.25">
      <c r="A5" s="92" t="s">
        <v>199</v>
      </c>
      <c r="B5" s="140" t="s">
        <v>341</v>
      </c>
      <c r="C5" s="141"/>
      <c r="D5" s="141"/>
      <c r="E5" s="141"/>
      <c r="F5" s="141"/>
      <c r="G5" s="142"/>
      <c r="H5" s="147"/>
    </row>
    <row r="6" spans="1:16" s="94" customFormat="1" ht="15.75" x14ac:dyDescent="0.25">
      <c r="A6" s="92" t="s">
        <v>200</v>
      </c>
      <c r="B6" s="130" t="s">
        <v>342</v>
      </c>
      <c r="C6" s="131"/>
      <c r="D6" s="131"/>
      <c r="E6" s="131"/>
      <c r="F6" s="131"/>
      <c r="G6" s="132"/>
      <c r="H6" s="147"/>
    </row>
    <row r="7" spans="1:16" ht="15.75" x14ac:dyDescent="0.25">
      <c r="A7" s="95" t="s">
        <v>201</v>
      </c>
      <c r="B7" s="149" t="s">
        <v>343</v>
      </c>
      <c r="C7" s="144"/>
      <c r="D7" s="144"/>
      <c r="E7" s="144"/>
      <c r="F7" s="144"/>
      <c r="G7" s="145"/>
      <c r="H7" s="148"/>
    </row>
    <row r="8" spans="1:16" ht="16.5" thickBot="1" x14ac:dyDescent="0.3">
      <c r="A8" t="s">
        <v>202</v>
      </c>
      <c r="B8" s="96"/>
      <c r="C8" s="97"/>
      <c r="D8" s="96"/>
      <c r="E8" s="96"/>
      <c r="F8" s="98" t="s">
        <v>203</v>
      </c>
      <c r="G8" s="96"/>
      <c r="H8" s="96"/>
      <c r="K8" s="59"/>
    </row>
    <row r="9" spans="1:16" ht="16.5" thickBot="1" x14ac:dyDescent="0.3">
      <c r="A9" t="s">
        <v>204</v>
      </c>
      <c r="B9" s="96"/>
      <c r="C9" s="97"/>
      <c r="D9" s="96"/>
      <c r="E9" s="96"/>
      <c r="F9" s="99">
        <v>0.24709999999999999</v>
      </c>
      <c r="G9" s="96"/>
      <c r="H9" s="96"/>
      <c r="K9" s="59"/>
      <c r="L9" s="121" t="s">
        <v>344</v>
      </c>
      <c r="M9" s="122"/>
      <c r="N9" s="122"/>
      <c r="O9" s="122"/>
      <c r="P9" s="123"/>
    </row>
    <row r="10" spans="1:16" ht="26.25" x14ac:dyDescent="0.25">
      <c r="A10" s="100" t="s">
        <v>205</v>
      </c>
      <c r="B10" s="101" t="s">
        <v>206</v>
      </c>
      <c r="C10" s="102" t="s">
        <v>207</v>
      </c>
      <c r="D10" s="101" t="s">
        <v>208</v>
      </c>
      <c r="E10" s="101" t="s">
        <v>209</v>
      </c>
      <c r="F10" s="103" t="s">
        <v>210</v>
      </c>
      <c r="G10" s="101" t="s">
        <v>211</v>
      </c>
      <c r="H10" s="103" t="s">
        <v>212</v>
      </c>
      <c r="I10" s="101" t="s">
        <v>213</v>
      </c>
      <c r="J10" s="103" t="s">
        <v>214</v>
      </c>
      <c r="K10" s="104" t="s">
        <v>215</v>
      </c>
      <c r="L10" s="103" t="s">
        <v>313</v>
      </c>
      <c r="M10" s="103" t="s">
        <v>345</v>
      </c>
      <c r="N10" s="103" t="s">
        <v>346</v>
      </c>
      <c r="O10" s="103">
        <v>2022</v>
      </c>
      <c r="P10" s="105" t="s">
        <v>347</v>
      </c>
    </row>
    <row r="11" spans="1:16" ht="15.75" hidden="1" customHeight="1" x14ac:dyDescent="0.25">
      <c r="A11" s="106" t="s">
        <v>216</v>
      </c>
      <c r="B11" s="107">
        <v>154</v>
      </c>
      <c r="C11" s="108">
        <v>1.6134431636228455</v>
      </c>
      <c r="D11" s="109">
        <v>8.8967208873519096E-2</v>
      </c>
      <c r="E11" s="109">
        <v>0.11420443103387916</v>
      </c>
      <c r="F11" s="108">
        <f>IF($F$8="Effective",C11/(1+(1-E11)*D11),C11/(1+(1-$F$9)*D11))</f>
        <v>1.5121539342983468</v>
      </c>
      <c r="G11" s="109">
        <v>0.1107648844403276</v>
      </c>
      <c r="H11" s="108">
        <f>F11/(1-G11)</f>
        <v>1.7005108186113611</v>
      </c>
      <c r="I11" s="110">
        <v>0.44121601427312651</v>
      </c>
      <c r="J11" s="111">
        <v>0.41561040150307615</v>
      </c>
      <c r="K11" s="112">
        <v>0.23835512779052431</v>
      </c>
      <c r="L11" s="113">
        <v>0.68</v>
      </c>
      <c r="M11" s="114">
        <v>0.73</v>
      </c>
      <c r="N11" s="97">
        <v>0.83</v>
      </c>
      <c r="O11" s="97">
        <v>0.90361402776565003</v>
      </c>
      <c r="P11" s="115">
        <f>AVERAGE(H11,L11:O11)</f>
        <v>0.96882496927540218</v>
      </c>
    </row>
    <row r="12" spans="1:16" ht="15" hidden="1" customHeight="1" x14ac:dyDescent="0.25">
      <c r="A12" s="106" t="s">
        <v>217</v>
      </c>
      <c r="B12" s="107">
        <v>131</v>
      </c>
      <c r="C12" s="108">
        <v>0.94498400918610037</v>
      </c>
      <c r="D12" s="109">
        <v>0.11382229994071515</v>
      </c>
      <c r="E12" s="109">
        <v>0.1011257591857833</v>
      </c>
      <c r="F12" s="108">
        <f t="shared" ref="F12:F75" si="0">IF($F$8="Effective",C12/(1+(1-E12)*D12),C12/(1+(1-$F$9)*D12))</f>
        <v>0.87039401866915389</v>
      </c>
      <c r="G12" s="109">
        <v>0.11245142847339155</v>
      </c>
      <c r="H12" s="108">
        <f t="shared" ref="H12:H75" si="1">F12/(1-G12)</f>
        <v>0.98067198415073975</v>
      </c>
      <c r="I12" s="110">
        <v>0.29302548372910003</v>
      </c>
      <c r="J12" s="111">
        <v>0.30648514524161513</v>
      </c>
      <c r="K12" s="112">
        <v>0.26287653840220482</v>
      </c>
      <c r="L12" s="113">
        <v>1.2</v>
      </c>
      <c r="M12" s="114">
        <v>1.07</v>
      </c>
      <c r="N12" s="97">
        <v>1.1399999999999999</v>
      </c>
      <c r="O12" s="97">
        <v>0.90335741471182285</v>
      </c>
      <c r="P12" s="115">
        <f t="shared" ref="P12:P75" si="2">AVERAGE(H12,L12:O12)</f>
        <v>1.0588058797725126</v>
      </c>
    </row>
    <row r="13" spans="1:16" ht="15" customHeight="1" x14ac:dyDescent="0.25">
      <c r="A13" s="106" t="s">
        <v>218</v>
      </c>
      <c r="B13" s="107">
        <v>78</v>
      </c>
      <c r="C13" s="108">
        <v>1.3341046904993525</v>
      </c>
      <c r="D13" s="109">
        <v>0.92539150235536904</v>
      </c>
      <c r="E13" s="109">
        <v>0.11403899893424821</v>
      </c>
      <c r="F13" s="108">
        <f t="shared" si="0"/>
        <v>0.78628116626699129</v>
      </c>
      <c r="G13" s="109">
        <v>8.9088570211728141E-2</v>
      </c>
      <c r="H13" s="108">
        <f t="shared" si="1"/>
        <v>0.8631807007293244</v>
      </c>
      <c r="I13" s="110">
        <v>0.28343040557610949</v>
      </c>
      <c r="J13" s="111">
        <v>0.26887715416935398</v>
      </c>
      <c r="K13" s="112">
        <v>3.6604292237145275</v>
      </c>
      <c r="L13" s="113">
        <v>0.67</v>
      </c>
      <c r="M13" s="114">
        <v>0.96</v>
      </c>
      <c r="N13" s="97">
        <v>1</v>
      </c>
      <c r="O13" s="97">
        <v>0.78495585937538492</v>
      </c>
      <c r="P13" s="115">
        <f t="shared" si="2"/>
        <v>0.85562731202094189</v>
      </c>
    </row>
    <row r="14" spans="1:16" ht="15" hidden="1" customHeight="1" x14ac:dyDescent="0.25">
      <c r="A14" s="106" t="s">
        <v>219</v>
      </c>
      <c r="B14" s="107">
        <v>936</v>
      </c>
      <c r="C14" s="108">
        <v>0.80431436517348842</v>
      </c>
      <c r="D14" s="109">
        <v>0.23506388090300745</v>
      </c>
      <c r="E14" s="109">
        <v>0.13186283571146751</v>
      </c>
      <c r="F14" s="108">
        <f t="shared" si="0"/>
        <v>0.68337154522774213</v>
      </c>
      <c r="G14" s="109">
        <v>9.7729185861245835E-2</v>
      </c>
      <c r="H14" s="108">
        <f t="shared" si="1"/>
        <v>0.75739072406995867</v>
      </c>
      <c r="I14" s="110">
        <v>0.3190343096108435</v>
      </c>
      <c r="J14" s="111">
        <v>0.33877834985786048</v>
      </c>
      <c r="K14" s="112">
        <v>0.2566778805403726</v>
      </c>
      <c r="L14" s="113">
        <v>0.92</v>
      </c>
      <c r="M14" s="114">
        <v>1.04</v>
      </c>
      <c r="N14" s="97">
        <v>1.07</v>
      </c>
      <c r="O14" s="97">
        <v>1.0336800505581054</v>
      </c>
      <c r="P14" s="115">
        <f t="shared" si="2"/>
        <v>0.96421415492561291</v>
      </c>
    </row>
    <row r="15" spans="1:16" ht="15" hidden="1" customHeight="1" x14ac:dyDescent="0.25">
      <c r="A15" s="106" t="s">
        <v>220</v>
      </c>
      <c r="B15" s="107">
        <v>86</v>
      </c>
      <c r="C15" s="108">
        <v>1.2932820518883044</v>
      </c>
      <c r="D15" s="109">
        <v>0.39523920452639882</v>
      </c>
      <c r="E15" s="109">
        <v>0.11648821694220116</v>
      </c>
      <c r="F15" s="108">
        <f t="shared" si="0"/>
        <v>0.9966911020758582</v>
      </c>
      <c r="G15" s="109">
        <v>0.17220278507901793</v>
      </c>
      <c r="H15" s="108">
        <f t="shared" si="1"/>
        <v>1.2040280930046352</v>
      </c>
      <c r="I15" s="110">
        <v>0.34995142318533856</v>
      </c>
      <c r="J15" s="111">
        <v>0.31234168668946355</v>
      </c>
      <c r="K15" s="112">
        <v>0.2237224962457933</v>
      </c>
      <c r="L15" s="113">
        <v>0.8</v>
      </c>
      <c r="M15" s="114">
        <v>0.69</v>
      </c>
      <c r="N15" s="97">
        <v>0.74</v>
      </c>
      <c r="O15" s="97">
        <v>0.86042100019181711</v>
      </c>
      <c r="P15" s="115">
        <f t="shared" si="2"/>
        <v>0.85888981863929037</v>
      </c>
    </row>
    <row r="16" spans="1:16" ht="15" hidden="1" customHeight="1" x14ac:dyDescent="0.25">
      <c r="A16" s="106" t="s">
        <v>221</v>
      </c>
      <c r="B16" s="107">
        <v>545</v>
      </c>
      <c r="C16" s="108">
        <v>1.3227085420235596</v>
      </c>
      <c r="D16" s="109">
        <v>0.19751921084510551</v>
      </c>
      <c r="E16" s="109">
        <v>0.13681930761855995</v>
      </c>
      <c r="F16" s="108">
        <f t="shared" si="0"/>
        <v>1.1514707740382006</v>
      </c>
      <c r="G16" s="109">
        <v>0.10746511109569115</v>
      </c>
      <c r="H16" s="108">
        <f t="shared" si="1"/>
        <v>1.2901129001822729</v>
      </c>
      <c r="I16" s="110">
        <v>0.31813539381545464</v>
      </c>
      <c r="J16" s="111">
        <v>0.3198145166431276</v>
      </c>
      <c r="K16" s="112">
        <v>8.1337035789986939E-2</v>
      </c>
      <c r="L16" s="113">
        <v>1.3</v>
      </c>
      <c r="M16" s="114">
        <v>1.17</v>
      </c>
      <c r="N16" s="97">
        <v>1.29</v>
      </c>
      <c r="O16" s="97">
        <v>1.1829793538383109</v>
      </c>
      <c r="P16" s="115">
        <f t="shared" si="2"/>
        <v>1.2466184508041169</v>
      </c>
    </row>
    <row r="17" spans="1:16" ht="15" hidden="1" customHeight="1" x14ac:dyDescent="0.25">
      <c r="A17" s="106" t="s">
        <v>222</v>
      </c>
      <c r="B17" s="107">
        <v>459</v>
      </c>
      <c r="C17" s="108">
        <v>0.78136097867529275</v>
      </c>
      <c r="D17" s="109">
        <v>1.9818719637493769</v>
      </c>
      <c r="E17" s="109">
        <v>0.21200701826707616</v>
      </c>
      <c r="F17" s="108">
        <f t="shared" si="0"/>
        <v>0.31352869580990728</v>
      </c>
      <c r="G17" s="109">
        <v>0.22717760107229978</v>
      </c>
      <c r="H17" s="108">
        <f t="shared" si="1"/>
        <v>0.40569307546589212</v>
      </c>
      <c r="I17" s="110">
        <v>0.20278449200052728</v>
      </c>
      <c r="J17" s="111">
        <v>0.20238684746635949</v>
      </c>
      <c r="K17" s="112">
        <v>0.43946008552430343</v>
      </c>
      <c r="L17" s="113">
        <v>0.32</v>
      </c>
      <c r="M17" s="114">
        <v>0.28000000000000003</v>
      </c>
      <c r="N17" s="97">
        <v>0.42</v>
      </c>
      <c r="O17" s="97">
        <v>0.3686115410275469</v>
      </c>
      <c r="P17" s="115">
        <f t="shared" si="2"/>
        <v>0.3588609232986878</v>
      </c>
    </row>
    <row r="18" spans="1:16" ht="15" hidden="1" customHeight="1" x14ac:dyDescent="0.25">
      <c r="A18" s="106" t="s">
        <v>224</v>
      </c>
      <c r="B18" s="107">
        <v>100</v>
      </c>
      <c r="C18" s="108">
        <v>0.78357262265109018</v>
      </c>
      <c r="D18" s="109">
        <v>5.8321400350192185</v>
      </c>
      <c r="E18" s="109">
        <v>0.15511094430580427</v>
      </c>
      <c r="F18" s="108">
        <f t="shared" si="0"/>
        <v>0.14534779681262583</v>
      </c>
      <c r="G18" s="109">
        <v>0.11597141562999511</v>
      </c>
      <c r="H18" s="108">
        <f t="shared" si="1"/>
        <v>0.16441526821919072</v>
      </c>
      <c r="I18" s="110">
        <v>0.21811943026159214</v>
      </c>
      <c r="J18" s="111">
        <v>0.21158234445196528</v>
      </c>
      <c r="K18" s="112">
        <v>0.74848161257144119</v>
      </c>
      <c r="L18" s="113">
        <v>0.2</v>
      </c>
      <c r="M18" s="114">
        <v>0.23</v>
      </c>
      <c r="N18" s="97">
        <v>0.28999999999999998</v>
      </c>
      <c r="O18" s="97">
        <v>0.24305769551689896</v>
      </c>
      <c r="P18" s="115">
        <f t="shared" si="2"/>
        <v>0.22549459274721798</v>
      </c>
    </row>
    <row r="19" spans="1:16" ht="15" hidden="1" customHeight="1" x14ac:dyDescent="0.25">
      <c r="A19" s="106" t="s">
        <v>225</v>
      </c>
      <c r="B19" s="107">
        <v>126</v>
      </c>
      <c r="C19" s="108">
        <v>0.79757291657373663</v>
      </c>
      <c r="D19" s="109">
        <v>2.8925919372765785E-2</v>
      </c>
      <c r="E19" s="109">
        <v>0.16271512394045362</v>
      </c>
      <c r="F19" s="108">
        <f t="shared" si="0"/>
        <v>0.78057333699187814</v>
      </c>
      <c r="G19" s="109">
        <v>6.9233140850903208E-2</v>
      </c>
      <c r="H19" s="108">
        <f t="shared" si="1"/>
        <v>0.83863464767694362</v>
      </c>
      <c r="I19" s="110">
        <v>0.26631046810632336</v>
      </c>
      <c r="J19" s="111">
        <v>0.25688609295849962</v>
      </c>
      <c r="K19" s="112">
        <v>0.3046792275617945</v>
      </c>
      <c r="L19" s="113">
        <v>0.45</v>
      </c>
      <c r="M19" s="114">
        <v>0.47</v>
      </c>
      <c r="N19" s="97">
        <v>0.52</v>
      </c>
      <c r="O19" s="97">
        <v>0.5066604785684935</v>
      </c>
      <c r="P19" s="115">
        <f t="shared" si="2"/>
        <v>0.55705902524908735</v>
      </c>
    </row>
    <row r="20" spans="1:16" ht="15" hidden="1" customHeight="1" x14ac:dyDescent="0.25">
      <c r="A20" s="106" t="s">
        <v>226</v>
      </c>
      <c r="B20" s="107">
        <v>40</v>
      </c>
      <c r="C20" s="108">
        <v>0.44007083605136998</v>
      </c>
      <c r="D20" s="109">
        <v>5.2856655267632592E-2</v>
      </c>
      <c r="E20" s="109">
        <v>0.12840582952307383</v>
      </c>
      <c r="F20" s="108">
        <f t="shared" si="0"/>
        <v>0.42322814375113749</v>
      </c>
      <c r="G20" s="109">
        <v>5.3191295206670659E-2</v>
      </c>
      <c r="H20" s="108">
        <f t="shared" si="1"/>
        <v>0.44700491409563065</v>
      </c>
      <c r="I20" s="110">
        <v>0.26081482363884012</v>
      </c>
      <c r="J20" s="111">
        <v>0.24354815765831578</v>
      </c>
      <c r="K20" s="112">
        <v>0.45448634696968426</v>
      </c>
      <c r="L20" s="113">
        <v>0.52</v>
      </c>
      <c r="M20" s="114">
        <v>0.65</v>
      </c>
      <c r="N20" s="97">
        <v>0.68</v>
      </c>
      <c r="O20" s="97">
        <v>0.71486423274055211</v>
      </c>
      <c r="P20" s="115">
        <f t="shared" si="2"/>
        <v>0.6023738293672366</v>
      </c>
    </row>
    <row r="21" spans="1:16" ht="15" hidden="1" customHeight="1" x14ac:dyDescent="0.25">
      <c r="A21" s="106" t="s">
        <v>227</v>
      </c>
      <c r="B21" s="107">
        <v>63</v>
      </c>
      <c r="C21" s="108">
        <v>1.0414715261653431</v>
      </c>
      <c r="D21" s="109">
        <v>0.299384601643778</v>
      </c>
      <c r="E21" s="109">
        <v>0.13039305690216269</v>
      </c>
      <c r="F21" s="108">
        <f t="shared" si="0"/>
        <v>0.84989869450770661</v>
      </c>
      <c r="G21" s="109">
        <v>0.15176567739755389</v>
      </c>
      <c r="H21" s="108">
        <f t="shared" si="1"/>
        <v>1.0019621605267681</v>
      </c>
      <c r="I21" s="110">
        <v>0.35438078150390867</v>
      </c>
      <c r="J21" s="111">
        <v>0.34435988675470985</v>
      </c>
      <c r="K21" s="112">
        <v>0.22032867132074233</v>
      </c>
      <c r="L21" s="113">
        <v>1.03</v>
      </c>
      <c r="M21" s="114">
        <v>0.75</v>
      </c>
      <c r="N21" s="97">
        <v>0.82</v>
      </c>
      <c r="O21" s="97">
        <v>0.80052850582035484</v>
      </c>
      <c r="P21" s="115">
        <f t="shared" si="2"/>
        <v>0.8804981332694245</v>
      </c>
    </row>
    <row r="22" spans="1:16" ht="15" hidden="1" customHeight="1" x14ac:dyDescent="0.25">
      <c r="A22" s="106" t="s">
        <v>228</v>
      </c>
      <c r="B22" s="107">
        <v>431</v>
      </c>
      <c r="C22" s="108">
        <v>0.91505368660130193</v>
      </c>
      <c r="D22" s="109">
        <v>2.2569760758245829</v>
      </c>
      <c r="E22" s="109">
        <v>0.11972010101816692</v>
      </c>
      <c r="F22" s="108">
        <f t="shared" si="0"/>
        <v>0.33899951325591943</v>
      </c>
      <c r="G22" s="109">
        <v>0.11082449160206828</v>
      </c>
      <c r="H22" s="108">
        <f t="shared" si="1"/>
        <v>0.38125151902430421</v>
      </c>
      <c r="I22" s="110">
        <v>0.34718646961270705</v>
      </c>
      <c r="J22" s="111">
        <v>0.33678472266193499</v>
      </c>
      <c r="K22" s="112">
        <v>0.73081884896267713</v>
      </c>
      <c r="L22" s="113">
        <v>0.95</v>
      </c>
      <c r="M22" s="114">
        <v>0.73</v>
      </c>
      <c r="N22" s="97">
        <v>0.9</v>
      </c>
      <c r="O22" s="97">
        <v>0.69593196035122029</v>
      </c>
      <c r="P22" s="115">
        <f t="shared" si="2"/>
        <v>0.73143669587510485</v>
      </c>
    </row>
    <row r="23" spans="1:16" ht="15" hidden="1" customHeight="1" x14ac:dyDescent="0.25">
      <c r="A23" s="106" t="s">
        <v>229</v>
      </c>
      <c r="B23" s="107">
        <v>255</v>
      </c>
      <c r="C23" s="108">
        <v>1.0316138656624652</v>
      </c>
      <c r="D23" s="109">
        <v>0.26837317635603597</v>
      </c>
      <c r="E23" s="109">
        <v>0.13113031867505456</v>
      </c>
      <c r="F23" s="108">
        <f t="shared" si="0"/>
        <v>0.85820627998484134</v>
      </c>
      <c r="G23" s="109">
        <v>8.8473554734490784E-2</v>
      </c>
      <c r="H23" s="108">
        <f t="shared" si="1"/>
        <v>0.94150453280032176</v>
      </c>
      <c r="I23" s="110">
        <v>0.286086614271513</v>
      </c>
      <c r="J23" s="111">
        <v>0.2983906430133178</v>
      </c>
      <c r="K23" s="112">
        <v>0.32622820231489658</v>
      </c>
      <c r="L23" s="113">
        <v>0.87</v>
      </c>
      <c r="M23" s="114">
        <v>0.83</v>
      </c>
      <c r="N23" s="97">
        <v>0.94</v>
      </c>
      <c r="O23" s="97">
        <v>1.0371856315464538</v>
      </c>
      <c r="P23" s="115">
        <f t="shared" si="2"/>
        <v>0.92373803286935507</v>
      </c>
    </row>
    <row r="24" spans="1:16" ht="15" hidden="1" customHeight="1" x14ac:dyDescent="0.25">
      <c r="A24" s="106" t="s">
        <v>230</v>
      </c>
      <c r="B24" s="107">
        <v>338</v>
      </c>
      <c r="C24" s="108">
        <v>0.95806454232114135</v>
      </c>
      <c r="D24" s="109">
        <v>0.15407042487600434</v>
      </c>
      <c r="E24" s="109">
        <v>0.12947424546926425</v>
      </c>
      <c r="F24" s="108">
        <f t="shared" si="0"/>
        <v>0.85848106278106628</v>
      </c>
      <c r="G24" s="109">
        <v>0.11063079084459838</v>
      </c>
      <c r="H24" s="108">
        <f t="shared" si="1"/>
        <v>0.9652696022570102</v>
      </c>
      <c r="I24" s="110">
        <v>0.35138543594977151</v>
      </c>
      <c r="J24" s="111">
        <v>0.35521018240825381</v>
      </c>
      <c r="K24" s="112">
        <v>0.1844727120098226</v>
      </c>
      <c r="L24" s="113">
        <v>0.87</v>
      </c>
      <c r="M24" s="114">
        <v>0.85</v>
      </c>
      <c r="N24" s="97">
        <v>0.97</v>
      </c>
      <c r="O24" s="97">
        <v>0.91207821859447347</v>
      </c>
      <c r="P24" s="115">
        <f t="shared" si="2"/>
        <v>0.91346956417029668</v>
      </c>
    </row>
    <row r="25" spans="1:16" ht="15" hidden="1" customHeight="1" x14ac:dyDescent="0.25">
      <c r="A25" s="106" t="s">
        <v>231</v>
      </c>
      <c r="B25" s="107">
        <v>32</v>
      </c>
      <c r="C25" s="108">
        <v>1.0132354806560642</v>
      </c>
      <c r="D25" s="109">
        <v>0.34801170043048563</v>
      </c>
      <c r="E25" s="109">
        <v>8.8651721479107853E-2</v>
      </c>
      <c r="F25" s="108">
        <f t="shared" si="0"/>
        <v>0.80286927224985816</v>
      </c>
      <c r="G25" s="109">
        <v>0.12232930475166305</v>
      </c>
      <c r="H25" s="108">
        <f t="shared" si="1"/>
        <v>0.9147727918871511</v>
      </c>
      <c r="I25" s="110">
        <v>0.31301462682960862</v>
      </c>
      <c r="J25" s="111">
        <v>0.31933711848895735</v>
      </c>
      <c r="K25" s="112">
        <v>0.39526831845494476</v>
      </c>
      <c r="L25" s="113">
        <v>0.51</v>
      </c>
      <c r="M25" s="114">
        <v>0.54</v>
      </c>
      <c r="N25" s="97">
        <v>0.41</v>
      </c>
      <c r="O25" s="97">
        <v>0.333771033882859</v>
      </c>
      <c r="P25" s="115">
        <f t="shared" si="2"/>
        <v>0.54170876515400201</v>
      </c>
    </row>
    <row r="26" spans="1:16" ht="15" hidden="1" customHeight="1" x14ac:dyDescent="0.25">
      <c r="A26" s="106" t="s">
        <v>232</v>
      </c>
      <c r="B26" s="107">
        <v>707</v>
      </c>
      <c r="C26" s="108">
        <v>1.0856722590038821</v>
      </c>
      <c r="D26" s="109">
        <v>0.41299942835083109</v>
      </c>
      <c r="E26" s="109">
        <v>0.13607067271022347</v>
      </c>
      <c r="F26" s="108">
        <f t="shared" si="0"/>
        <v>0.8281586026955321</v>
      </c>
      <c r="G26" s="109">
        <v>0.10142178491741821</v>
      </c>
      <c r="H26" s="108">
        <f t="shared" si="1"/>
        <v>0.92163218381543111</v>
      </c>
      <c r="I26" s="110">
        <v>0.28011781858048079</v>
      </c>
      <c r="J26" s="111">
        <v>0.28810638348220141</v>
      </c>
      <c r="K26" s="112">
        <v>0.4302748883627508</v>
      </c>
      <c r="L26" s="113">
        <v>0.7</v>
      </c>
      <c r="M26" s="114">
        <v>0.75</v>
      </c>
      <c r="N26" s="97">
        <v>0.87</v>
      </c>
      <c r="O26" s="97">
        <v>0.90082767452827228</v>
      </c>
      <c r="P26" s="115">
        <f t="shared" si="2"/>
        <v>0.82849197166874067</v>
      </c>
    </row>
    <row r="27" spans="1:16" ht="15" hidden="1" customHeight="1" x14ac:dyDescent="0.25">
      <c r="A27" s="106" t="s">
        <v>233</v>
      </c>
      <c r="B27" s="107">
        <v>30</v>
      </c>
      <c r="C27" s="108">
        <v>1.0611761692284847</v>
      </c>
      <c r="D27" s="109">
        <v>0.29462732633319388</v>
      </c>
      <c r="E27" s="109">
        <v>0.22553661717989909</v>
      </c>
      <c r="F27" s="108">
        <f t="shared" si="0"/>
        <v>0.86851737681273988</v>
      </c>
      <c r="G27" s="109">
        <v>8.873860678935247E-2</v>
      </c>
      <c r="H27" s="108">
        <f t="shared" si="1"/>
        <v>0.95309357258370442</v>
      </c>
      <c r="I27" s="110">
        <v>0.25073446296571339</v>
      </c>
      <c r="J27" s="111">
        <v>0.24369551941776241</v>
      </c>
      <c r="K27" s="112">
        <v>0.35269371075000838</v>
      </c>
      <c r="L27" s="113">
        <v>1.44</v>
      </c>
      <c r="M27" s="114">
        <v>1.08</v>
      </c>
      <c r="N27" s="97">
        <v>1.03</v>
      </c>
      <c r="O27" s="97">
        <v>0.78359122867591202</v>
      </c>
      <c r="P27" s="115">
        <f t="shared" si="2"/>
        <v>1.0573369602519234</v>
      </c>
    </row>
    <row r="28" spans="1:16" ht="15" hidden="1" customHeight="1" x14ac:dyDescent="0.25">
      <c r="A28" s="106" t="s">
        <v>234</v>
      </c>
      <c r="B28" s="107">
        <v>656</v>
      </c>
      <c r="C28" s="108">
        <v>1.0025606302667978</v>
      </c>
      <c r="D28" s="109">
        <v>0.2154444473344522</v>
      </c>
      <c r="E28" s="109">
        <v>0.14491587705888143</v>
      </c>
      <c r="F28" s="108">
        <f t="shared" si="0"/>
        <v>0.86263433305976034</v>
      </c>
      <c r="G28" s="109">
        <v>9.5105792213783874E-2</v>
      </c>
      <c r="H28" s="108">
        <f t="shared" si="1"/>
        <v>0.95329854654518931</v>
      </c>
      <c r="I28" s="110">
        <v>0.29152622216903162</v>
      </c>
      <c r="J28" s="111">
        <v>0.30118786369239431</v>
      </c>
      <c r="K28" s="112">
        <v>0.65691402249172604</v>
      </c>
      <c r="L28" s="113">
        <v>1.07</v>
      </c>
      <c r="M28" s="114">
        <v>0.89</v>
      </c>
      <c r="N28" s="97">
        <v>0.91</v>
      </c>
      <c r="O28" s="97">
        <v>1.0252780342177283</v>
      </c>
      <c r="P28" s="115">
        <f t="shared" si="2"/>
        <v>0.96971531615258366</v>
      </c>
    </row>
    <row r="29" spans="1:16" ht="15" hidden="1" customHeight="1" x14ac:dyDescent="0.25">
      <c r="A29" s="106" t="s">
        <v>235</v>
      </c>
      <c r="B29" s="107">
        <v>95</v>
      </c>
      <c r="C29" s="108">
        <v>0.75442771771198014</v>
      </c>
      <c r="D29" s="109">
        <v>0.21798913329162614</v>
      </c>
      <c r="E29" s="109">
        <v>0.19908743269282869</v>
      </c>
      <c r="F29" s="108">
        <f t="shared" si="0"/>
        <v>0.64806473000451292</v>
      </c>
      <c r="G29" s="109">
        <v>0.19416290001528896</v>
      </c>
      <c r="H29" s="108">
        <f t="shared" si="1"/>
        <v>0.8042130723651324</v>
      </c>
      <c r="I29" s="110">
        <v>0.33062087534020668</v>
      </c>
      <c r="J29" s="111">
        <v>0.35912047728468011</v>
      </c>
      <c r="K29" s="112">
        <v>0.68172245343751281</v>
      </c>
      <c r="L29" s="113">
        <v>1.1000000000000001</v>
      </c>
      <c r="M29" s="114">
        <v>1.19</v>
      </c>
      <c r="N29" s="97">
        <v>1.95</v>
      </c>
      <c r="O29" s="97">
        <v>1.4007450881176893</v>
      </c>
      <c r="P29" s="115">
        <f t="shared" si="2"/>
        <v>1.2889916320965642</v>
      </c>
    </row>
    <row r="30" spans="1:16" ht="15" hidden="1" customHeight="1" x14ac:dyDescent="0.25">
      <c r="A30" s="106" t="s">
        <v>236</v>
      </c>
      <c r="B30" s="107">
        <v>603</v>
      </c>
      <c r="C30" s="108">
        <v>1.0088955409935285</v>
      </c>
      <c r="D30" s="109">
        <v>7.2898589481120074E-2</v>
      </c>
      <c r="E30" s="109">
        <v>0.12813747117289112</v>
      </c>
      <c r="F30" s="108">
        <f t="shared" si="0"/>
        <v>0.95640302795643706</v>
      </c>
      <c r="G30" s="109">
        <v>4.9349292685892776E-2</v>
      </c>
      <c r="H30" s="108">
        <f t="shared" si="1"/>
        <v>1.006050929745355</v>
      </c>
      <c r="I30" s="110">
        <v>0.36155397832419939</v>
      </c>
      <c r="J30" s="111">
        <v>0.35432062363774491</v>
      </c>
      <c r="K30" s="112">
        <v>0.2530461486384436</v>
      </c>
      <c r="L30" s="113">
        <v>0.99</v>
      </c>
      <c r="M30" s="114">
        <v>0.91</v>
      </c>
      <c r="N30" s="97">
        <v>0.97</v>
      </c>
      <c r="O30" s="97">
        <v>0.99749625697703814</v>
      </c>
      <c r="P30" s="115">
        <f t="shared" si="2"/>
        <v>0.97470943734447846</v>
      </c>
    </row>
    <row r="31" spans="1:16" ht="15" hidden="1" customHeight="1" x14ac:dyDescent="0.25">
      <c r="A31" s="106" t="s">
        <v>237</v>
      </c>
      <c r="B31" s="107">
        <v>228</v>
      </c>
      <c r="C31" s="108">
        <v>1.3227633212491969</v>
      </c>
      <c r="D31" s="109">
        <v>0.11493328053417549</v>
      </c>
      <c r="E31" s="109">
        <v>0.12672988249975239</v>
      </c>
      <c r="F31" s="108">
        <f t="shared" si="0"/>
        <v>1.2174163106905356</v>
      </c>
      <c r="G31" s="109">
        <v>0.14763800435857163</v>
      </c>
      <c r="H31" s="108">
        <f t="shared" si="1"/>
        <v>1.428285537032177</v>
      </c>
      <c r="I31" s="110">
        <v>0.35954573142017682</v>
      </c>
      <c r="J31" s="111">
        <v>0.32104627236106148</v>
      </c>
      <c r="K31" s="112">
        <v>0.30176448483492213</v>
      </c>
      <c r="L31" s="113">
        <v>1.38</v>
      </c>
      <c r="M31" s="114">
        <v>0.93</v>
      </c>
      <c r="N31" s="97">
        <v>0.99</v>
      </c>
      <c r="O31" s="97">
        <v>1.0170632240169539</v>
      </c>
      <c r="P31" s="115">
        <f t="shared" si="2"/>
        <v>1.1490697522098261</v>
      </c>
    </row>
    <row r="32" spans="1:16" ht="15" hidden="1" customHeight="1" x14ac:dyDescent="0.25">
      <c r="A32" s="106" t="s">
        <v>238</v>
      </c>
      <c r="B32" s="107">
        <v>552</v>
      </c>
      <c r="C32" s="108">
        <v>1.0030582416054341</v>
      </c>
      <c r="D32" s="109">
        <v>0.4224433837917308</v>
      </c>
      <c r="E32" s="109">
        <v>0.14809310638667658</v>
      </c>
      <c r="F32" s="108">
        <f t="shared" si="0"/>
        <v>0.76101243496666571</v>
      </c>
      <c r="G32" s="109">
        <v>0.15008829324497044</v>
      </c>
      <c r="H32" s="108">
        <f t="shared" si="1"/>
        <v>0.89540175634504193</v>
      </c>
      <c r="I32" s="110">
        <v>0.28464204327684905</v>
      </c>
      <c r="J32" s="111">
        <v>0.27799625591652655</v>
      </c>
      <c r="K32" s="112">
        <v>0.37166416356104898</v>
      </c>
      <c r="L32" s="113">
        <v>0.94</v>
      </c>
      <c r="M32" s="114">
        <v>0.92</v>
      </c>
      <c r="N32" s="97">
        <v>0.95</v>
      </c>
      <c r="O32" s="97">
        <v>0.92157379844793241</v>
      </c>
      <c r="P32" s="115">
        <f t="shared" si="2"/>
        <v>0.92539511095859484</v>
      </c>
    </row>
    <row r="33" spans="1:16" ht="15" hidden="1" customHeight="1" x14ac:dyDescent="0.25">
      <c r="A33" s="106" t="s">
        <v>239</v>
      </c>
      <c r="B33" s="107">
        <v>212</v>
      </c>
      <c r="C33" s="108">
        <v>0.88859165844209431</v>
      </c>
      <c r="D33" s="109">
        <v>1.1183840997014851</v>
      </c>
      <c r="E33" s="109">
        <v>0.14707994448803524</v>
      </c>
      <c r="F33" s="108">
        <f t="shared" si="0"/>
        <v>0.48239767460530381</v>
      </c>
      <c r="G33" s="109">
        <v>0.10026470408258158</v>
      </c>
      <c r="H33" s="108">
        <f t="shared" si="1"/>
        <v>0.5361551078347162</v>
      </c>
      <c r="I33" s="110">
        <v>0.2386006987014406</v>
      </c>
      <c r="J33" s="111">
        <v>0.25911296892233099</v>
      </c>
      <c r="K33" s="112">
        <v>0.20528029509726731</v>
      </c>
      <c r="L33" s="113">
        <v>1</v>
      </c>
      <c r="M33" s="114">
        <v>0.82</v>
      </c>
      <c r="N33" s="97">
        <v>0.97</v>
      </c>
      <c r="O33" s="97">
        <v>1.0170289011045945</v>
      </c>
      <c r="P33" s="115">
        <f t="shared" si="2"/>
        <v>0.86863680178786207</v>
      </c>
    </row>
    <row r="34" spans="1:16" ht="15" hidden="1" customHeight="1" x14ac:dyDescent="0.25">
      <c r="A34" s="106" t="s">
        <v>240</v>
      </c>
      <c r="B34" s="107">
        <v>332</v>
      </c>
      <c r="C34" s="108">
        <v>1.3571101997349371</v>
      </c>
      <c r="D34" s="109">
        <v>5.8969458615248618E-2</v>
      </c>
      <c r="E34" s="109">
        <v>4.6532466195468442E-2</v>
      </c>
      <c r="F34" s="108">
        <f t="shared" si="0"/>
        <v>1.2994184810650513</v>
      </c>
      <c r="G34" s="109">
        <v>7.9701157087149352E-2</v>
      </c>
      <c r="H34" s="108">
        <f t="shared" si="1"/>
        <v>1.4119527489051749</v>
      </c>
      <c r="I34" s="110">
        <v>0.38952702509439896</v>
      </c>
      <c r="J34" s="111">
        <v>0.3893550934004017</v>
      </c>
      <c r="K34" s="112">
        <v>0.75619075701741512</v>
      </c>
      <c r="L34" s="113">
        <v>1.51</v>
      </c>
      <c r="M34" s="114">
        <v>1.03</v>
      </c>
      <c r="N34" s="97">
        <v>1.0900000000000001</v>
      </c>
      <c r="O34" s="97">
        <v>1.2401788982614341</v>
      </c>
      <c r="P34" s="115">
        <f t="shared" si="2"/>
        <v>1.2564263294333218</v>
      </c>
    </row>
    <row r="35" spans="1:16" ht="15" hidden="1" customHeight="1" x14ac:dyDescent="0.25">
      <c r="A35" s="106" t="s">
        <v>241</v>
      </c>
      <c r="B35" s="107">
        <v>717</v>
      </c>
      <c r="C35" s="108">
        <v>0.88481496644504798</v>
      </c>
      <c r="D35" s="109">
        <v>0.10400956060873681</v>
      </c>
      <c r="E35" s="109">
        <v>0.13587157057550103</v>
      </c>
      <c r="F35" s="108">
        <f t="shared" si="0"/>
        <v>0.82055805158648587</v>
      </c>
      <c r="G35" s="109">
        <v>8.6620961935389609E-2</v>
      </c>
      <c r="H35" s="108">
        <f t="shared" si="1"/>
        <v>0.89837626811010896</v>
      </c>
      <c r="I35" s="110">
        <v>0.29549160694185989</v>
      </c>
      <c r="J35" s="111">
        <v>0.3006607098453748</v>
      </c>
      <c r="K35" s="112">
        <v>0.15855983129877413</v>
      </c>
      <c r="L35" s="113">
        <v>1.02</v>
      </c>
      <c r="M35" s="114">
        <v>0.83</v>
      </c>
      <c r="N35" s="97">
        <v>0.88</v>
      </c>
      <c r="O35" s="97">
        <v>0.92855178096889224</v>
      </c>
      <c r="P35" s="115">
        <f t="shared" si="2"/>
        <v>0.9113856098158003</v>
      </c>
    </row>
    <row r="36" spans="1:16" ht="15" hidden="1" customHeight="1" x14ac:dyDescent="0.25">
      <c r="A36" s="106" t="s">
        <v>242</v>
      </c>
      <c r="B36" s="107">
        <v>155</v>
      </c>
      <c r="C36" s="108">
        <v>0.79383589042170566</v>
      </c>
      <c r="D36" s="109">
        <v>0.37204042123957748</v>
      </c>
      <c r="E36" s="109">
        <v>0.10428933141527268</v>
      </c>
      <c r="F36" s="108">
        <f t="shared" si="0"/>
        <v>0.62013136837354066</v>
      </c>
      <c r="G36" s="109">
        <v>0.12349018119036305</v>
      </c>
      <c r="H36" s="108">
        <f t="shared" si="1"/>
        <v>0.70750076618163094</v>
      </c>
      <c r="I36" s="110">
        <v>0.39072539538599343</v>
      </c>
      <c r="J36" s="111">
        <v>0.36315468021171116</v>
      </c>
      <c r="K36" s="112">
        <v>0.33040523885684159</v>
      </c>
      <c r="L36" s="113">
        <v>0.57999999999999996</v>
      </c>
      <c r="M36" s="114">
        <v>0.61</v>
      </c>
      <c r="N36" s="97">
        <v>0.6</v>
      </c>
      <c r="O36" s="97">
        <v>0.63742145517762061</v>
      </c>
      <c r="P36" s="115">
        <f t="shared" si="2"/>
        <v>0.62698444427185041</v>
      </c>
    </row>
    <row r="37" spans="1:16" ht="15" hidden="1" customHeight="1" x14ac:dyDescent="0.25">
      <c r="A37" s="106" t="s">
        <v>243</v>
      </c>
      <c r="B37" s="107">
        <v>726</v>
      </c>
      <c r="C37" s="108">
        <v>1.0799955932140095</v>
      </c>
      <c r="D37" s="109">
        <v>0.17417491105061234</v>
      </c>
      <c r="E37" s="109">
        <v>0.1250192669972813</v>
      </c>
      <c r="F37" s="108">
        <f t="shared" si="0"/>
        <v>0.9547882092156782</v>
      </c>
      <c r="G37" s="109">
        <v>0.12094987695172728</v>
      </c>
      <c r="H37" s="108">
        <f t="shared" si="1"/>
        <v>1.0861590075259524</v>
      </c>
      <c r="I37" s="110">
        <v>0.33304700152503713</v>
      </c>
      <c r="J37" s="111">
        <v>0.32192011526050346</v>
      </c>
      <c r="K37" s="112">
        <v>0.47913907160423402</v>
      </c>
      <c r="L37" s="113">
        <v>1.19</v>
      </c>
      <c r="M37" s="114">
        <v>1.1599999999999999</v>
      </c>
      <c r="N37" s="97">
        <v>1.24</v>
      </c>
      <c r="O37" s="97">
        <v>1.2592648553636729</v>
      </c>
      <c r="P37" s="115">
        <f t="shared" si="2"/>
        <v>1.1870847725779252</v>
      </c>
    </row>
    <row r="38" spans="1:16" ht="15" hidden="1" customHeight="1" x14ac:dyDescent="0.25">
      <c r="A38" s="106" t="s">
        <v>244</v>
      </c>
      <c r="B38" s="107">
        <v>77</v>
      </c>
      <c r="C38" s="108">
        <v>1.2646303008425706</v>
      </c>
      <c r="D38" s="109">
        <v>0.38993813498758034</v>
      </c>
      <c r="E38" s="109">
        <v>0.12226329429827258</v>
      </c>
      <c r="F38" s="108">
        <f t="shared" si="0"/>
        <v>0.97761713847127973</v>
      </c>
      <c r="G38" s="109">
        <v>0.20881891846445103</v>
      </c>
      <c r="H38" s="108">
        <f t="shared" si="1"/>
        <v>1.2356427135162154</v>
      </c>
      <c r="I38" s="110">
        <v>0.32847616302612664</v>
      </c>
      <c r="J38" s="111">
        <v>0.32113814235469829</v>
      </c>
      <c r="K38" s="112">
        <v>0.31880571378885264</v>
      </c>
      <c r="L38" s="113">
        <v>1.38</v>
      </c>
      <c r="M38" s="114">
        <v>1.23</v>
      </c>
      <c r="N38" s="97">
        <v>1.27</v>
      </c>
      <c r="O38" s="97">
        <v>1.0800643820744182</v>
      </c>
      <c r="P38" s="115">
        <f t="shared" si="2"/>
        <v>1.2391414191181267</v>
      </c>
    </row>
    <row r="39" spans="1:16" ht="15" hidden="1" customHeight="1" x14ac:dyDescent="0.25">
      <c r="A39" s="106" t="s">
        <v>245</v>
      </c>
      <c r="B39" s="107">
        <v>1024</v>
      </c>
      <c r="C39" s="108">
        <v>1.3468947056245748</v>
      </c>
      <c r="D39" s="109">
        <v>0.2236110369259986</v>
      </c>
      <c r="E39" s="109">
        <v>0.10391056417161576</v>
      </c>
      <c r="F39" s="108">
        <f t="shared" si="0"/>
        <v>1.1528111648848622</v>
      </c>
      <c r="G39" s="109">
        <v>0.14770024047888869</v>
      </c>
      <c r="H39" s="108">
        <f t="shared" si="1"/>
        <v>1.352588865603578</v>
      </c>
      <c r="I39" s="110">
        <v>0.31654002287868049</v>
      </c>
      <c r="J39" s="111">
        <v>0.31242497405614467</v>
      </c>
      <c r="K39" s="112">
        <v>0.38054600836916225</v>
      </c>
      <c r="L39" s="113">
        <v>1.2</v>
      </c>
      <c r="M39" s="114">
        <v>0.95</v>
      </c>
      <c r="N39" s="97">
        <v>1.01</v>
      </c>
      <c r="O39" s="97">
        <v>1.1394180405083687</v>
      </c>
      <c r="P39" s="115">
        <f t="shared" si="2"/>
        <v>1.1304013812223892</v>
      </c>
    </row>
    <row r="40" spans="1:16" ht="15" hidden="1" customHeight="1" x14ac:dyDescent="0.25">
      <c r="A40" s="106" t="s">
        <v>246</v>
      </c>
      <c r="B40" s="107">
        <v>890</v>
      </c>
      <c r="C40" s="108">
        <v>1.0387750053124469</v>
      </c>
      <c r="D40" s="109">
        <v>1.5125088927411421</v>
      </c>
      <c r="E40" s="109">
        <v>0.13156851449445189</v>
      </c>
      <c r="F40" s="108">
        <f t="shared" si="0"/>
        <v>0.4856885047175975</v>
      </c>
      <c r="G40" s="109">
        <v>0.23221989444479035</v>
      </c>
      <c r="H40" s="108">
        <f t="shared" si="1"/>
        <v>0.63258803035327227</v>
      </c>
      <c r="I40" s="110">
        <v>0.34520482641491657</v>
      </c>
      <c r="J40" s="111">
        <v>0.3383084642912485</v>
      </c>
      <c r="K40" s="112">
        <v>0.3042785495675569</v>
      </c>
      <c r="L40" s="113">
        <v>0.81</v>
      </c>
      <c r="M40" s="114">
        <v>0.74</v>
      </c>
      <c r="N40" s="97">
        <v>0.84</v>
      </c>
      <c r="O40" s="97">
        <v>0.76935136088491241</v>
      </c>
      <c r="P40" s="115">
        <f t="shared" si="2"/>
        <v>0.75838787824763698</v>
      </c>
    </row>
    <row r="41" spans="1:16" ht="15" hidden="1" customHeight="1" x14ac:dyDescent="0.25">
      <c r="A41" s="106" t="s">
        <v>247</v>
      </c>
      <c r="B41" s="107">
        <v>335</v>
      </c>
      <c r="C41" s="108">
        <v>1.3002865512502566</v>
      </c>
      <c r="D41" s="109">
        <v>0.15579506749376212</v>
      </c>
      <c r="E41" s="109">
        <v>8.9764097227439971E-2</v>
      </c>
      <c r="F41" s="108">
        <f t="shared" si="0"/>
        <v>1.1637776381252012</v>
      </c>
      <c r="G41" s="109">
        <v>0.11746686241105767</v>
      </c>
      <c r="H41" s="108">
        <f t="shared" si="1"/>
        <v>1.3186786858843753</v>
      </c>
      <c r="I41" s="110">
        <v>0.40664921479096722</v>
      </c>
      <c r="J41" s="111">
        <v>0.39459547825049268</v>
      </c>
      <c r="K41" s="112">
        <v>0.31053839375312775</v>
      </c>
      <c r="L41" s="113">
        <v>1.04</v>
      </c>
      <c r="M41" s="114">
        <v>0.86</v>
      </c>
      <c r="N41" s="97">
        <v>0.93</v>
      </c>
      <c r="O41" s="97">
        <v>0.89632459318456492</v>
      </c>
      <c r="P41" s="115">
        <f t="shared" si="2"/>
        <v>1.0090006558137881</v>
      </c>
    </row>
    <row r="42" spans="1:16" ht="15" hidden="1" customHeight="1" x14ac:dyDescent="0.25">
      <c r="A42" s="106" t="s">
        <v>248</v>
      </c>
      <c r="B42" s="107">
        <v>203</v>
      </c>
      <c r="C42" s="108">
        <v>1.035162830639863</v>
      </c>
      <c r="D42" s="109">
        <v>0.69443441391880045</v>
      </c>
      <c r="E42" s="109">
        <v>0.12377198152610325</v>
      </c>
      <c r="F42" s="108">
        <f t="shared" si="0"/>
        <v>0.6797582508978669</v>
      </c>
      <c r="G42" s="109">
        <v>8.3564295263035798E-2</v>
      </c>
      <c r="H42" s="108">
        <f t="shared" si="1"/>
        <v>0.74174134353808419</v>
      </c>
      <c r="I42" s="110">
        <v>0.33358296457292552</v>
      </c>
      <c r="J42" s="111">
        <v>0.30164983720797184</v>
      </c>
      <c r="K42" s="112">
        <v>0.43011525726576244</v>
      </c>
      <c r="L42" s="113">
        <v>0.8</v>
      </c>
      <c r="M42" s="114">
        <v>0.82</v>
      </c>
      <c r="N42" s="97">
        <v>0.94</v>
      </c>
      <c r="O42" s="97">
        <v>1.0393064645303247</v>
      </c>
      <c r="P42" s="115">
        <f t="shared" si="2"/>
        <v>0.86820956161368168</v>
      </c>
    </row>
    <row r="43" spans="1:16" ht="15" hidden="1" customHeight="1" x14ac:dyDescent="0.25">
      <c r="A43" s="106" t="s">
        <v>249</v>
      </c>
      <c r="B43" s="107">
        <v>297</v>
      </c>
      <c r="C43" s="108">
        <v>0.75100852878352031</v>
      </c>
      <c r="D43" s="109">
        <v>0.66971577865523513</v>
      </c>
      <c r="E43" s="109">
        <v>0.14574225446701028</v>
      </c>
      <c r="F43" s="108">
        <f t="shared" si="0"/>
        <v>0.49926475550991595</v>
      </c>
      <c r="G43" s="109">
        <v>8.4890977227945447E-2</v>
      </c>
      <c r="H43" s="108">
        <f t="shared" si="1"/>
        <v>0.54557953542796433</v>
      </c>
      <c r="I43" s="110">
        <v>0.29913395509266627</v>
      </c>
      <c r="J43" s="111">
        <v>0.31105660985386469</v>
      </c>
      <c r="K43" s="112">
        <v>0.29645607876348606</v>
      </c>
      <c r="L43" s="113">
        <v>0.45</v>
      </c>
      <c r="M43" s="114">
        <v>0.43</v>
      </c>
      <c r="N43" s="97">
        <v>0.55000000000000004</v>
      </c>
      <c r="O43" s="97">
        <v>0.59226577894297883</v>
      </c>
      <c r="P43" s="115">
        <f t="shared" si="2"/>
        <v>0.51356906287418869</v>
      </c>
    </row>
    <row r="44" spans="1:16" ht="15" hidden="1" customHeight="1" x14ac:dyDescent="0.25">
      <c r="A44" s="106" t="s">
        <v>250</v>
      </c>
      <c r="B44" s="107">
        <v>672</v>
      </c>
      <c r="C44" s="108">
        <v>0.80353950207484048</v>
      </c>
      <c r="D44" s="109">
        <v>1.454911631146008</v>
      </c>
      <c r="E44" s="109">
        <v>0.15540358008717184</v>
      </c>
      <c r="F44" s="108">
        <f t="shared" si="0"/>
        <v>0.38347731424224563</v>
      </c>
      <c r="G44" s="109">
        <v>7.9747474305679272E-2</v>
      </c>
      <c r="H44" s="108">
        <f t="shared" si="1"/>
        <v>0.41670878757210267</v>
      </c>
      <c r="I44" s="110">
        <v>0.34636457581206304</v>
      </c>
      <c r="J44" s="111">
        <v>0.34618436666643426</v>
      </c>
      <c r="K44" s="112">
        <v>0.26881689140168225</v>
      </c>
      <c r="L44" s="113">
        <v>0.26</v>
      </c>
      <c r="M44" s="114">
        <v>0.27</v>
      </c>
      <c r="N44" s="97">
        <v>0.33</v>
      </c>
      <c r="O44" s="97">
        <v>0.24917297994741519</v>
      </c>
      <c r="P44" s="115">
        <f t="shared" si="2"/>
        <v>0.3051763535039036</v>
      </c>
    </row>
    <row r="45" spans="1:16" ht="15" hidden="1" customHeight="1" x14ac:dyDescent="0.25">
      <c r="A45" s="106" t="s">
        <v>251</v>
      </c>
      <c r="B45" s="107">
        <v>957</v>
      </c>
      <c r="C45" s="108">
        <v>0.78925095977573956</v>
      </c>
      <c r="D45" s="109">
        <v>0.37865612394853915</v>
      </c>
      <c r="E45" s="109">
        <v>0.1550736383074173</v>
      </c>
      <c r="F45" s="108">
        <f t="shared" si="0"/>
        <v>0.61415997289825963</v>
      </c>
      <c r="G45" s="109">
        <v>9.151296782763256E-2</v>
      </c>
      <c r="H45" s="108">
        <f t="shared" si="1"/>
        <v>0.67602502969105116</v>
      </c>
      <c r="I45" s="110">
        <v>0.29355633394288638</v>
      </c>
      <c r="J45" s="111">
        <v>0.2951380294659029</v>
      </c>
      <c r="K45" s="112">
        <v>0.28892452354105502</v>
      </c>
      <c r="L45" s="113">
        <v>0.63</v>
      </c>
      <c r="M45" s="114">
        <v>0.6</v>
      </c>
      <c r="N45" s="97">
        <v>0.64</v>
      </c>
      <c r="O45" s="97">
        <v>0.67591846496995189</v>
      </c>
      <c r="P45" s="115">
        <f t="shared" si="2"/>
        <v>0.64438869893220063</v>
      </c>
    </row>
    <row r="46" spans="1:16" ht="15" hidden="1" customHeight="1" x14ac:dyDescent="0.25">
      <c r="A46" s="106" t="s">
        <v>252</v>
      </c>
      <c r="B46" s="107">
        <v>103</v>
      </c>
      <c r="C46" s="108">
        <v>0.69000760428651065</v>
      </c>
      <c r="D46" s="109">
        <v>0.65921423218452868</v>
      </c>
      <c r="E46" s="109">
        <v>0.14557833526427852</v>
      </c>
      <c r="F46" s="108">
        <f t="shared" si="0"/>
        <v>0.46113565258551548</v>
      </c>
      <c r="G46" s="109">
        <v>9.1780397267931912E-2</v>
      </c>
      <c r="H46" s="108">
        <f t="shared" si="1"/>
        <v>0.50773585066689442</v>
      </c>
      <c r="I46" s="110">
        <v>0.36127253832259015</v>
      </c>
      <c r="J46" s="111">
        <v>0.36788571260395597</v>
      </c>
      <c r="K46" s="112">
        <v>0.37023870579754709</v>
      </c>
      <c r="L46" s="113">
        <v>0.17</v>
      </c>
      <c r="M46" s="114">
        <v>0.18</v>
      </c>
      <c r="N46" s="97">
        <v>0.24</v>
      </c>
      <c r="O46" s="97">
        <v>0.21929594189928503</v>
      </c>
      <c r="P46" s="115">
        <f t="shared" si="2"/>
        <v>0.26340635851323591</v>
      </c>
    </row>
    <row r="47" spans="1:16" ht="15" hidden="1" customHeight="1" x14ac:dyDescent="0.25">
      <c r="A47" s="106" t="s">
        <v>253</v>
      </c>
      <c r="B47" s="107">
        <v>275</v>
      </c>
      <c r="C47" s="108">
        <v>0.95197802018333699</v>
      </c>
      <c r="D47" s="109">
        <v>0.20463668858401909</v>
      </c>
      <c r="E47" s="109">
        <v>0.1315675944282261</v>
      </c>
      <c r="F47" s="108">
        <f t="shared" si="0"/>
        <v>0.82488690110082885</v>
      </c>
      <c r="G47" s="109">
        <v>0.18950876420314475</v>
      </c>
      <c r="H47" s="108">
        <f t="shared" si="1"/>
        <v>1.0177616544981145</v>
      </c>
      <c r="I47" s="110">
        <v>0.27437254781123938</v>
      </c>
      <c r="J47" s="111">
        <v>0.27788289439332303</v>
      </c>
      <c r="K47" s="112">
        <v>0.33798323674952668</v>
      </c>
      <c r="L47" s="113">
        <v>0.93</v>
      </c>
      <c r="M47" s="114">
        <v>0.96</v>
      </c>
      <c r="N47" s="97">
        <v>0.95</v>
      </c>
      <c r="O47" s="97">
        <v>0.82053587100805225</v>
      </c>
      <c r="P47" s="115">
        <f t="shared" si="2"/>
        <v>0.9356595051012333</v>
      </c>
    </row>
    <row r="48" spans="1:16" ht="15" hidden="1" customHeight="1" x14ac:dyDescent="0.25">
      <c r="A48" s="106" t="s">
        <v>254</v>
      </c>
      <c r="B48" s="107">
        <v>137</v>
      </c>
      <c r="C48" s="108">
        <v>0.81501365925336977</v>
      </c>
      <c r="D48" s="109">
        <v>0.56201815137072009</v>
      </c>
      <c r="E48" s="109">
        <v>0.12386254009475527</v>
      </c>
      <c r="F48" s="108">
        <f t="shared" si="0"/>
        <v>0.57268552231663938</v>
      </c>
      <c r="G48" s="109">
        <v>3.3487828413422273E-2</v>
      </c>
      <c r="H48" s="108">
        <f t="shared" si="1"/>
        <v>0.59252799825225966</v>
      </c>
      <c r="I48" s="110">
        <v>0.31710215027826111</v>
      </c>
      <c r="J48" s="111">
        <v>0.29193639853951209</v>
      </c>
      <c r="K48" s="112">
        <v>0.35069464186183102</v>
      </c>
      <c r="L48" s="113">
        <v>0.6</v>
      </c>
      <c r="M48" s="114">
        <v>0.72</v>
      </c>
      <c r="N48" s="97">
        <v>0.68</v>
      </c>
      <c r="O48" s="97">
        <v>0.68213388226836202</v>
      </c>
      <c r="P48" s="115">
        <f t="shared" si="2"/>
        <v>0.65493237610412436</v>
      </c>
    </row>
    <row r="49" spans="1:16" ht="15" hidden="1" customHeight="1" x14ac:dyDescent="0.25">
      <c r="A49" s="106" t="s">
        <v>255</v>
      </c>
      <c r="B49" s="107">
        <v>343</v>
      </c>
      <c r="C49" s="108">
        <v>1.1045922069367287</v>
      </c>
      <c r="D49" s="109">
        <v>4.9212313474284321E-2</v>
      </c>
      <c r="E49" s="109">
        <v>9.6654238018056865E-2</v>
      </c>
      <c r="F49" s="108">
        <f t="shared" si="0"/>
        <v>1.0651271675144867</v>
      </c>
      <c r="G49" s="109">
        <v>9.7715783591707406E-2</v>
      </c>
      <c r="H49" s="108">
        <f t="shared" si="1"/>
        <v>1.1804785544785659</v>
      </c>
      <c r="I49" s="110">
        <v>0.34495834287404553</v>
      </c>
      <c r="J49" s="111">
        <v>0.35070281709708051</v>
      </c>
      <c r="K49" s="112">
        <v>0.96591546502016479</v>
      </c>
      <c r="L49" s="113">
        <v>1.1399999999999999</v>
      </c>
      <c r="M49" s="114">
        <v>0.89</v>
      </c>
      <c r="N49" s="97">
        <v>0.89</v>
      </c>
      <c r="O49" s="97">
        <v>1.0564128005709996</v>
      </c>
      <c r="P49" s="115">
        <f t="shared" si="2"/>
        <v>1.0313782710099131</v>
      </c>
    </row>
    <row r="50" spans="1:16" ht="15" hidden="1" customHeight="1" x14ac:dyDescent="0.25">
      <c r="A50" s="106" t="s">
        <v>256</v>
      </c>
      <c r="B50" s="107">
        <v>217</v>
      </c>
      <c r="C50" s="108">
        <v>0.8689471421120708</v>
      </c>
      <c r="D50" s="109">
        <v>0.42801577970220173</v>
      </c>
      <c r="E50" s="109">
        <v>0.15177841736227299</v>
      </c>
      <c r="F50" s="108">
        <f t="shared" si="0"/>
        <v>0.65717157698634521</v>
      </c>
      <c r="G50" s="109">
        <v>0.16054936182826668</v>
      </c>
      <c r="H50" s="108">
        <f t="shared" si="1"/>
        <v>0.78285910701982486</v>
      </c>
      <c r="I50" s="110">
        <v>0.34644879127466982</v>
      </c>
      <c r="J50" s="111">
        <v>0.33561682640619056</v>
      </c>
      <c r="K50" s="112">
        <v>0.38478818016984401</v>
      </c>
      <c r="L50" s="113">
        <v>0.63</v>
      </c>
      <c r="M50" s="114">
        <v>0.52</v>
      </c>
      <c r="N50" s="97">
        <v>0.56000000000000005</v>
      </c>
      <c r="O50" s="97">
        <v>0.53789388756653767</v>
      </c>
      <c r="P50" s="115">
        <f t="shared" si="2"/>
        <v>0.60615059891727252</v>
      </c>
    </row>
    <row r="51" spans="1:16" ht="15" hidden="1" customHeight="1" x14ac:dyDescent="0.25">
      <c r="A51" s="106" t="s">
        <v>257</v>
      </c>
      <c r="B51" s="107">
        <v>129</v>
      </c>
      <c r="C51" s="108">
        <v>1.3946994900950576</v>
      </c>
      <c r="D51" s="109">
        <v>5.2794878816153648E-2</v>
      </c>
      <c r="E51" s="109">
        <v>5.5647311790187948E-2</v>
      </c>
      <c r="F51" s="108">
        <f t="shared" si="0"/>
        <v>1.3413805982221727</v>
      </c>
      <c r="G51" s="109">
        <v>5.8149433718956298E-2</v>
      </c>
      <c r="H51" s="108">
        <f t="shared" si="1"/>
        <v>1.4241968378473229</v>
      </c>
      <c r="I51" s="110">
        <v>0.38063115340882314</v>
      </c>
      <c r="J51" s="111">
        <v>0.38532130626243416</v>
      </c>
      <c r="K51" s="112">
        <v>0.98948795740582696</v>
      </c>
      <c r="L51" s="113">
        <v>1.03</v>
      </c>
      <c r="M51" s="114">
        <v>0.82</v>
      </c>
      <c r="N51" s="97">
        <v>0.85</v>
      </c>
      <c r="O51" s="97">
        <v>1.1429011757965009</v>
      </c>
      <c r="P51" s="115">
        <f t="shared" si="2"/>
        <v>1.0534196027287648</v>
      </c>
    </row>
    <row r="52" spans="1:16" ht="15" hidden="1" customHeight="1" x14ac:dyDescent="0.25">
      <c r="A52" s="106" t="s">
        <v>258</v>
      </c>
      <c r="B52" s="107">
        <v>43</v>
      </c>
      <c r="C52" s="108">
        <v>1.1443100601030378</v>
      </c>
      <c r="D52" s="109">
        <v>0.74661917929755439</v>
      </c>
      <c r="E52" s="109">
        <v>0.11393248226484234</v>
      </c>
      <c r="F52" s="108">
        <f t="shared" si="0"/>
        <v>0.73253209892793791</v>
      </c>
      <c r="G52" s="109">
        <v>8.1655864999223768E-2</v>
      </c>
      <c r="H52" s="108">
        <f t="shared" si="1"/>
        <v>0.79766622446749624</v>
      </c>
      <c r="I52" s="110">
        <v>0.35941507219309449</v>
      </c>
      <c r="J52" s="111">
        <v>0.40517957023115486</v>
      </c>
      <c r="K52" s="112">
        <v>0.89103713162857068</v>
      </c>
      <c r="L52" s="113">
        <v>1.08</v>
      </c>
      <c r="M52" s="114">
        <v>1.1200000000000001</v>
      </c>
      <c r="N52" s="97">
        <v>1.32</v>
      </c>
      <c r="O52" s="97">
        <v>1.2130427998566085</v>
      </c>
      <c r="P52" s="115">
        <f t="shared" si="2"/>
        <v>1.1061418048648208</v>
      </c>
    </row>
    <row r="53" spans="1:16" ht="15" hidden="1" customHeight="1" x14ac:dyDescent="0.25">
      <c r="A53" s="106" t="s">
        <v>259</v>
      </c>
      <c r="B53" s="107">
        <v>147</v>
      </c>
      <c r="C53" s="108">
        <v>0.75211641405721996</v>
      </c>
      <c r="D53" s="109">
        <v>0.12867187658529611</v>
      </c>
      <c r="E53" s="109">
        <v>0.18762324229866928</v>
      </c>
      <c r="F53" s="108">
        <f t="shared" si="0"/>
        <v>0.68568889286601076</v>
      </c>
      <c r="G53" s="109">
        <v>3.4141173183645561E-2</v>
      </c>
      <c r="H53" s="108">
        <f t="shared" si="1"/>
        <v>0.70992662056645017</v>
      </c>
      <c r="I53" s="110">
        <v>0.27211725419846289</v>
      </c>
      <c r="J53" s="111">
        <v>0.27625042732452115</v>
      </c>
      <c r="K53" s="112">
        <v>0.36292817091648472</v>
      </c>
      <c r="L53" s="113">
        <v>0.37</v>
      </c>
      <c r="M53" s="114">
        <v>0.35</v>
      </c>
      <c r="N53" s="97">
        <v>0.37</v>
      </c>
      <c r="O53" s="97">
        <v>0.24649235904482145</v>
      </c>
      <c r="P53" s="115">
        <f t="shared" si="2"/>
        <v>0.40928379592225433</v>
      </c>
    </row>
    <row r="54" spans="1:16" hidden="1" x14ac:dyDescent="0.25">
      <c r="A54" s="106" t="s">
        <v>260</v>
      </c>
      <c r="B54" s="107">
        <v>412</v>
      </c>
      <c r="C54" s="108">
        <v>0.85037209876032449</v>
      </c>
      <c r="D54" s="109">
        <v>0.54298947041858869</v>
      </c>
      <c r="E54" s="109">
        <v>0.12803450497998481</v>
      </c>
      <c r="F54" s="108">
        <f t="shared" si="0"/>
        <v>0.60360730756009751</v>
      </c>
      <c r="G54" s="109">
        <v>9.933563953907705E-2</v>
      </c>
      <c r="H54" s="108">
        <f t="shared" si="1"/>
        <v>0.67018007379707589</v>
      </c>
      <c r="I54" s="110">
        <v>0.31189556879595759</v>
      </c>
      <c r="J54" s="111">
        <v>0.32003420174618935</v>
      </c>
      <c r="K54" s="112">
        <v>1.1494298807105006</v>
      </c>
      <c r="L54" s="113">
        <v>0.69</v>
      </c>
      <c r="M54" s="114">
        <v>0.93</v>
      </c>
      <c r="N54" s="97">
        <v>1.1000000000000001</v>
      </c>
      <c r="O54" s="97">
        <v>1.0156726914212217</v>
      </c>
      <c r="P54" s="115">
        <f t="shared" si="2"/>
        <v>0.88117055304365954</v>
      </c>
    </row>
    <row r="55" spans="1:16" ht="15.75" hidden="1" customHeight="1" x14ac:dyDescent="0.25">
      <c r="A55" s="106" t="s">
        <v>261</v>
      </c>
      <c r="B55" s="107">
        <v>309</v>
      </c>
      <c r="C55" s="108">
        <v>0.92855284749129829</v>
      </c>
      <c r="D55" s="109">
        <v>7.0390455441771013E-2</v>
      </c>
      <c r="E55" s="109">
        <v>0.14808634828362296</v>
      </c>
      <c r="F55" s="108">
        <f t="shared" si="0"/>
        <v>0.8818191034778986</v>
      </c>
      <c r="G55" s="109">
        <v>7.1463509397706224E-2</v>
      </c>
      <c r="H55" s="108">
        <f t="shared" si="1"/>
        <v>0.94968707466295477</v>
      </c>
      <c r="I55" s="110">
        <v>0.31158555168611796</v>
      </c>
      <c r="J55" s="111">
        <v>0.30541413055085687</v>
      </c>
      <c r="K55" s="112">
        <v>0.18658572169199014</v>
      </c>
      <c r="L55" s="113">
        <v>0.78</v>
      </c>
      <c r="M55" s="114">
        <v>0.73</v>
      </c>
      <c r="N55" s="97">
        <v>0.79</v>
      </c>
      <c r="O55" s="97">
        <v>0.79033899554877474</v>
      </c>
      <c r="P55" s="115">
        <f t="shared" si="2"/>
        <v>0.80800521404234582</v>
      </c>
    </row>
    <row r="56" spans="1:16" ht="15" hidden="1" customHeight="1" x14ac:dyDescent="0.25">
      <c r="A56" s="106" t="s">
        <v>262</v>
      </c>
      <c r="B56" s="107">
        <v>39</v>
      </c>
      <c r="C56" s="108">
        <v>1.1612365362330443</v>
      </c>
      <c r="D56" s="109">
        <v>0.16540908909002369</v>
      </c>
      <c r="E56" s="109">
        <v>0.17242833554799239</v>
      </c>
      <c r="F56" s="108">
        <f t="shared" si="0"/>
        <v>1.0326356974215762</v>
      </c>
      <c r="G56" s="109">
        <v>5.6570409681112856E-2</v>
      </c>
      <c r="H56" s="108">
        <f t="shared" si="1"/>
        <v>1.0945551295169114</v>
      </c>
      <c r="I56" s="110">
        <v>0.39111529708881615</v>
      </c>
      <c r="J56" s="111">
        <v>0.36264997999703869</v>
      </c>
      <c r="K56" s="112">
        <v>0.25224494258151187</v>
      </c>
      <c r="L56" s="113">
        <v>1.02</v>
      </c>
      <c r="M56" s="114">
        <v>1.04</v>
      </c>
      <c r="N56" s="97">
        <v>1.06</v>
      </c>
      <c r="O56" s="97">
        <v>1.1607183037793078</v>
      </c>
      <c r="P56" s="115">
        <f t="shared" si="2"/>
        <v>1.0750546866592439</v>
      </c>
    </row>
    <row r="57" spans="1:16" ht="15" hidden="1" customHeight="1" x14ac:dyDescent="0.25">
      <c r="A57" s="106" t="s">
        <v>263</v>
      </c>
      <c r="B57" s="107">
        <v>135</v>
      </c>
      <c r="C57" s="108">
        <v>0.56741164625417639</v>
      </c>
      <c r="D57" s="109">
        <v>0.35137457084810059</v>
      </c>
      <c r="E57" s="109">
        <v>0.14739924765223208</v>
      </c>
      <c r="F57" s="108">
        <f t="shared" si="0"/>
        <v>0.44870640517752802</v>
      </c>
      <c r="G57" s="109">
        <v>0.1926691539455454</v>
      </c>
      <c r="H57" s="108">
        <f t="shared" si="1"/>
        <v>0.55578999287643061</v>
      </c>
      <c r="I57" s="110">
        <v>0.23864175610429397</v>
      </c>
      <c r="J57" s="111">
        <v>0.23135886943107931</v>
      </c>
      <c r="K57" s="112">
        <v>0.15927500486834292</v>
      </c>
      <c r="L57" s="113">
        <v>0.79</v>
      </c>
      <c r="M57" s="114">
        <v>0.92</v>
      </c>
      <c r="N57" s="97">
        <v>0.96</v>
      </c>
      <c r="O57" s="97">
        <v>0.83924990773739672</v>
      </c>
      <c r="P57" s="115">
        <f t="shared" si="2"/>
        <v>0.81300798012276554</v>
      </c>
    </row>
    <row r="58" spans="1:16" ht="15" hidden="1" customHeight="1" x14ac:dyDescent="0.25">
      <c r="A58" s="106" t="s">
        <v>264</v>
      </c>
      <c r="B58" s="107">
        <v>82</v>
      </c>
      <c r="C58" s="108">
        <v>0.88220641520250387</v>
      </c>
      <c r="D58" s="109">
        <v>0.82440896075513415</v>
      </c>
      <c r="E58" s="109">
        <v>0.12376470423761161</v>
      </c>
      <c r="F58" s="108">
        <f t="shared" si="0"/>
        <v>0.54433749150332511</v>
      </c>
      <c r="G58" s="109">
        <v>0.16183048185862078</v>
      </c>
      <c r="H58" s="108">
        <f t="shared" si="1"/>
        <v>0.64943603855981358</v>
      </c>
      <c r="I58" s="110">
        <v>0.24120790260739047</v>
      </c>
      <c r="J58" s="111">
        <v>0.26220374181476147</v>
      </c>
      <c r="K58" s="112">
        <v>0.4335516951918274</v>
      </c>
      <c r="L58" s="113">
        <v>0.8</v>
      </c>
      <c r="M58" s="114">
        <v>0.85</v>
      </c>
      <c r="N58" s="97">
        <v>0.69</v>
      </c>
      <c r="O58" s="97">
        <v>0.59168791753325667</v>
      </c>
      <c r="P58" s="115">
        <f t="shared" si="2"/>
        <v>0.71622479121861404</v>
      </c>
    </row>
    <row r="59" spans="1:16" ht="15" hidden="1" customHeight="1" x14ac:dyDescent="0.25">
      <c r="A59" s="106" t="s">
        <v>265</v>
      </c>
      <c r="B59" s="107">
        <v>144</v>
      </c>
      <c r="C59" s="108">
        <v>0.68837168153812511</v>
      </c>
      <c r="D59" s="109">
        <v>0.25119759903138972</v>
      </c>
      <c r="E59" s="109">
        <v>0.18470213420482118</v>
      </c>
      <c r="F59" s="108">
        <f t="shared" si="0"/>
        <v>0.57888843768046039</v>
      </c>
      <c r="G59" s="109">
        <v>7.1322228794460568E-2</v>
      </c>
      <c r="H59" s="108">
        <f t="shared" si="1"/>
        <v>0.62334693004333586</v>
      </c>
      <c r="I59" s="110">
        <v>0.26995497954780928</v>
      </c>
      <c r="J59" s="111">
        <v>0.28540042127265985</v>
      </c>
      <c r="K59" s="112">
        <v>0.12000575949901988</v>
      </c>
      <c r="L59" s="113">
        <v>0.68</v>
      </c>
      <c r="M59" s="114">
        <v>0.66</v>
      </c>
      <c r="N59" s="97">
        <v>0.76</v>
      </c>
      <c r="O59" s="97">
        <v>0.78979690726403884</v>
      </c>
      <c r="P59" s="115">
        <f t="shared" si="2"/>
        <v>0.70262876746147496</v>
      </c>
    </row>
    <row r="60" spans="1:16" ht="15" hidden="1" customHeight="1" x14ac:dyDescent="0.25">
      <c r="A60" s="106" t="s">
        <v>266</v>
      </c>
      <c r="B60" s="107">
        <v>481</v>
      </c>
      <c r="C60" s="108">
        <v>0.80373764333914655</v>
      </c>
      <c r="D60" s="109">
        <v>2.4986965271898138</v>
      </c>
      <c r="E60" s="109">
        <v>8.4588823819449224E-2</v>
      </c>
      <c r="F60" s="108">
        <f t="shared" si="0"/>
        <v>0.27895269433236924</v>
      </c>
      <c r="G60" s="109">
        <v>2.1446801032299137E-2</v>
      </c>
      <c r="H60" s="108">
        <f t="shared" si="1"/>
        <v>0.28506645793672036</v>
      </c>
      <c r="I60" s="110">
        <v>0.29590711059788843</v>
      </c>
      <c r="J60" s="111">
        <v>0.32175728360115241</v>
      </c>
      <c r="K60" s="112">
        <v>0.53548871152063138</v>
      </c>
      <c r="L60" s="113">
        <v>0.91</v>
      </c>
      <c r="M60" s="114">
        <v>0.83</v>
      </c>
      <c r="N60" s="97">
        <v>0.91</v>
      </c>
      <c r="O60" s="97">
        <v>1.1552853553427129</v>
      </c>
      <c r="P60" s="115">
        <f t="shared" si="2"/>
        <v>0.81807036265588662</v>
      </c>
    </row>
    <row r="61" spans="1:16" ht="15" hidden="1" customHeight="1" x14ac:dyDescent="0.25">
      <c r="A61" s="106" t="s">
        <v>267</v>
      </c>
      <c r="B61" s="107">
        <v>911</v>
      </c>
      <c r="C61" s="108">
        <v>1.055715166255772</v>
      </c>
      <c r="D61" s="109">
        <v>0.13323452415109269</v>
      </c>
      <c r="E61" s="109">
        <v>0.12269901710780939</v>
      </c>
      <c r="F61" s="108">
        <f t="shared" si="0"/>
        <v>0.95946868169839328</v>
      </c>
      <c r="G61" s="109">
        <v>9.9875360675048777E-2</v>
      </c>
      <c r="H61" s="108">
        <f t="shared" si="1"/>
        <v>1.0659286945171806</v>
      </c>
      <c r="I61" s="110">
        <v>0.30681417256921839</v>
      </c>
      <c r="J61" s="111">
        <v>0.31511194669894649</v>
      </c>
      <c r="K61" s="112">
        <v>0.39952722955999787</v>
      </c>
      <c r="L61" s="113">
        <v>1.23</v>
      </c>
      <c r="M61" s="114">
        <v>1.01</v>
      </c>
      <c r="N61" s="97">
        <v>1.0900000000000001</v>
      </c>
      <c r="O61" s="97">
        <v>1.1959330694665142</v>
      </c>
      <c r="P61" s="115">
        <f t="shared" si="2"/>
        <v>1.1183723527967389</v>
      </c>
    </row>
    <row r="62" spans="1:16" ht="15" hidden="1" customHeight="1" x14ac:dyDescent="0.25">
      <c r="A62" s="106" t="s">
        <v>268</v>
      </c>
      <c r="B62" s="107">
        <v>331</v>
      </c>
      <c r="C62" s="108">
        <v>1.2662659442107218</v>
      </c>
      <c r="D62" s="109">
        <v>0.35002263469223621</v>
      </c>
      <c r="E62" s="109">
        <v>0.12492819380201486</v>
      </c>
      <c r="F62" s="108">
        <f t="shared" si="0"/>
        <v>1.00216369863272</v>
      </c>
      <c r="G62" s="109">
        <v>0.10941407447686755</v>
      </c>
      <c r="H62" s="108">
        <f t="shared" si="1"/>
        <v>1.1252858033255426</v>
      </c>
      <c r="I62" s="110">
        <v>0.31902227159364666</v>
      </c>
      <c r="J62" s="111">
        <v>0.3331053026240699</v>
      </c>
      <c r="K62" s="112">
        <v>0.60737427794307763</v>
      </c>
      <c r="L62" s="113">
        <v>1.05</v>
      </c>
      <c r="M62" s="114">
        <v>0.98</v>
      </c>
      <c r="N62" s="97">
        <v>1.1599999999999999</v>
      </c>
      <c r="O62" s="97">
        <v>1.1402385105334458</v>
      </c>
      <c r="P62" s="115">
        <f t="shared" si="2"/>
        <v>1.0911048627717976</v>
      </c>
    </row>
    <row r="63" spans="1:16" ht="15" hidden="1" customHeight="1" x14ac:dyDescent="0.25">
      <c r="A63" s="106" t="s">
        <v>269</v>
      </c>
      <c r="B63" s="107">
        <v>71</v>
      </c>
      <c r="C63" s="108">
        <v>0.8541754394749238</v>
      </c>
      <c r="D63" s="109">
        <v>0.15647893012313657</v>
      </c>
      <c r="E63" s="109">
        <v>0.17334381314501263</v>
      </c>
      <c r="F63" s="108">
        <f t="shared" si="0"/>
        <v>0.7641487885708933</v>
      </c>
      <c r="G63" s="109">
        <v>0.12740603105387843</v>
      </c>
      <c r="H63" s="108">
        <f t="shared" si="1"/>
        <v>0.87572091461255086</v>
      </c>
      <c r="I63" s="110">
        <v>0.31901274931926971</v>
      </c>
      <c r="J63" s="111">
        <v>0.32642737069963917</v>
      </c>
      <c r="K63" s="112">
        <v>0.32307905709773821</v>
      </c>
      <c r="L63" s="113">
        <v>0.92</v>
      </c>
      <c r="M63" s="114">
        <v>0.9</v>
      </c>
      <c r="N63" s="97">
        <v>0.96</v>
      </c>
      <c r="O63" s="97">
        <v>0.73085720385756126</v>
      </c>
      <c r="P63" s="115">
        <f t="shared" si="2"/>
        <v>0.87731562369402238</v>
      </c>
    </row>
    <row r="64" spans="1:16" ht="15" hidden="1" customHeight="1" x14ac:dyDescent="0.25">
      <c r="A64" s="106" t="s">
        <v>270</v>
      </c>
      <c r="B64" s="107">
        <v>16</v>
      </c>
      <c r="C64" s="108">
        <v>0.98271852494364753</v>
      </c>
      <c r="D64" s="109">
        <v>0.11625626880142803</v>
      </c>
      <c r="E64" s="109">
        <v>0.26216902661791641</v>
      </c>
      <c r="F64" s="108">
        <f t="shared" si="0"/>
        <v>0.90362483519183312</v>
      </c>
      <c r="G64" s="109">
        <v>4.5131426854113768E-2</v>
      </c>
      <c r="H64" s="108">
        <f t="shared" si="1"/>
        <v>0.9463342501835339</v>
      </c>
      <c r="I64" s="110">
        <v>0.24138281821934077</v>
      </c>
      <c r="J64" s="111">
        <v>0.2564365280409755</v>
      </c>
      <c r="K64" s="112">
        <v>0.66835938696382802</v>
      </c>
      <c r="L64" s="113">
        <v>0.97</v>
      </c>
      <c r="M64" s="114">
        <v>0.89</v>
      </c>
      <c r="N64" s="97">
        <v>1.03</v>
      </c>
      <c r="O64" s="97">
        <v>0.83472928861059381</v>
      </c>
      <c r="P64" s="115">
        <f t="shared" si="2"/>
        <v>0.93421270775882559</v>
      </c>
    </row>
    <row r="65" spans="1:16" ht="15" hidden="1" customHeight="1" x14ac:dyDescent="0.25">
      <c r="A65" s="106" t="s">
        <v>271</v>
      </c>
      <c r="B65" s="107">
        <v>103</v>
      </c>
      <c r="C65" s="108">
        <v>1.3901920231800964</v>
      </c>
      <c r="D65" s="109">
        <v>0.33885397532115097</v>
      </c>
      <c r="E65" s="109">
        <v>0.17472957091818384</v>
      </c>
      <c r="F65" s="108">
        <f t="shared" si="0"/>
        <v>1.1076140331710185</v>
      </c>
      <c r="G65" s="109">
        <v>0.12979242121655457</v>
      </c>
      <c r="H65" s="108">
        <f t="shared" si="1"/>
        <v>1.2728158891921724</v>
      </c>
      <c r="I65" s="110">
        <v>0.35082552713535176</v>
      </c>
      <c r="J65" s="111">
        <v>0.34717611280367339</v>
      </c>
      <c r="K65" s="112">
        <v>0.62873691764135786</v>
      </c>
      <c r="L65" s="113">
        <v>0.91</v>
      </c>
      <c r="M65" s="114">
        <v>0.76</v>
      </c>
      <c r="N65" s="97">
        <v>1.1100000000000001</v>
      </c>
      <c r="O65" s="97">
        <v>0.71143928316434868</v>
      </c>
      <c r="P65" s="115">
        <f t="shared" si="2"/>
        <v>0.95285103447130426</v>
      </c>
    </row>
    <row r="66" spans="1:16" ht="15" hidden="1" customHeight="1" x14ac:dyDescent="0.25">
      <c r="A66" s="106" t="s">
        <v>272</v>
      </c>
      <c r="B66" s="107">
        <v>111</v>
      </c>
      <c r="C66" s="108">
        <v>0.87412858820382344</v>
      </c>
      <c r="D66" s="109">
        <v>0.56663466714701372</v>
      </c>
      <c r="E66" s="109">
        <v>0.13509239812055318</v>
      </c>
      <c r="F66" s="108">
        <f t="shared" si="0"/>
        <v>0.6127273228527611</v>
      </c>
      <c r="G66" s="109">
        <v>0.1169073958678651</v>
      </c>
      <c r="H66" s="108">
        <f t="shared" si="1"/>
        <v>0.69384266155747387</v>
      </c>
      <c r="I66" s="110">
        <v>0.27955996642043418</v>
      </c>
      <c r="J66" s="111">
        <v>0.2842744322131599</v>
      </c>
      <c r="K66" s="112">
        <v>0.26395673301181283</v>
      </c>
      <c r="L66" s="113">
        <v>0.74</v>
      </c>
      <c r="M66" s="114">
        <v>0.55000000000000004</v>
      </c>
      <c r="N66" s="97">
        <v>0.51</v>
      </c>
      <c r="O66" s="97">
        <v>0.58631204948091098</v>
      </c>
      <c r="P66" s="115">
        <f t="shared" si="2"/>
        <v>0.61603094220767696</v>
      </c>
    </row>
    <row r="67" spans="1:16" ht="15" hidden="1" customHeight="1" x14ac:dyDescent="0.25">
      <c r="A67" s="106" t="s">
        <v>273</v>
      </c>
      <c r="B67" s="107">
        <v>225</v>
      </c>
      <c r="C67" s="108">
        <v>0.9090593357581237</v>
      </c>
      <c r="D67" s="109">
        <v>0.44218504859844043</v>
      </c>
      <c r="E67" s="109">
        <v>0.14379424797453036</v>
      </c>
      <c r="F67" s="108">
        <f t="shared" si="0"/>
        <v>0.68200534901186571</v>
      </c>
      <c r="G67" s="109">
        <v>8.6765028259748855E-2</v>
      </c>
      <c r="H67" s="108">
        <f t="shared" si="1"/>
        <v>0.7468016119797114</v>
      </c>
      <c r="I67" s="110">
        <v>0.32268279598912197</v>
      </c>
      <c r="J67" s="111">
        <v>0.31325109772795695</v>
      </c>
      <c r="K67" s="112">
        <v>0.56426850558000563</v>
      </c>
      <c r="L67" s="113">
        <v>1.24</v>
      </c>
      <c r="M67" s="114">
        <v>1.05</v>
      </c>
      <c r="N67" s="97">
        <v>1.1599999999999999</v>
      </c>
      <c r="O67" s="97">
        <v>1.0547254159691497</v>
      </c>
      <c r="P67" s="115">
        <f t="shared" si="2"/>
        <v>1.050305405589772</v>
      </c>
    </row>
    <row r="68" spans="1:16" ht="15" hidden="1" customHeight="1" x14ac:dyDescent="0.25">
      <c r="A68" s="106" t="s">
        <v>274</v>
      </c>
      <c r="B68" s="107">
        <v>320</v>
      </c>
      <c r="C68" s="108">
        <v>0.81464037709925086</v>
      </c>
      <c r="D68" s="109">
        <v>0.29386007733841446</v>
      </c>
      <c r="E68" s="109">
        <v>0.14664411611405287</v>
      </c>
      <c r="F68" s="108">
        <f t="shared" si="0"/>
        <v>0.66705605733236117</v>
      </c>
      <c r="G68" s="109">
        <v>9.6525496673758315E-2</v>
      </c>
      <c r="H68" s="108">
        <f t="shared" si="1"/>
        <v>0.73832305712725732</v>
      </c>
      <c r="I68" s="110">
        <v>0.30169844078248864</v>
      </c>
      <c r="J68" s="111">
        <v>0.28927255440553223</v>
      </c>
      <c r="K68" s="112">
        <v>0.21105040760970686</v>
      </c>
      <c r="L68" s="113">
        <v>0.82</v>
      </c>
      <c r="M68" s="114">
        <v>0.68</v>
      </c>
      <c r="N68" s="97">
        <v>0.75</v>
      </c>
      <c r="O68" s="97">
        <v>0.694473971926442</v>
      </c>
      <c r="P68" s="115">
        <f t="shared" si="2"/>
        <v>0.73655940581073986</v>
      </c>
    </row>
    <row r="69" spans="1:16" ht="15" hidden="1" customHeight="1" x14ac:dyDescent="0.25">
      <c r="A69" s="106" t="s">
        <v>275</v>
      </c>
      <c r="B69" s="107">
        <v>188</v>
      </c>
      <c r="C69" s="108">
        <v>0.92064617311462327</v>
      </c>
      <c r="D69" s="109">
        <v>0.9147129777256402</v>
      </c>
      <c r="E69" s="109">
        <v>0.11391151252617925</v>
      </c>
      <c r="F69" s="108">
        <f t="shared" si="0"/>
        <v>0.54518448625115634</v>
      </c>
      <c r="G69" s="109">
        <v>9.3970163130835227E-2</v>
      </c>
      <c r="H69" s="108">
        <f t="shared" si="1"/>
        <v>0.60172906461344677</v>
      </c>
      <c r="I69" s="110">
        <v>0.30006721903684919</v>
      </c>
      <c r="J69" s="111">
        <v>0.30024497800094557</v>
      </c>
      <c r="K69" s="112">
        <v>0.40092493887145081</v>
      </c>
      <c r="L69" s="113">
        <v>0.91</v>
      </c>
      <c r="M69" s="114">
        <v>0.74</v>
      </c>
      <c r="N69" s="97">
        <v>0.77</v>
      </c>
      <c r="O69" s="97">
        <v>0.81110096957361122</v>
      </c>
      <c r="P69" s="115">
        <f t="shared" si="2"/>
        <v>0.76656600683741172</v>
      </c>
    </row>
    <row r="70" spans="1:16" ht="15" hidden="1" customHeight="1" x14ac:dyDescent="0.25">
      <c r="A70" s="106" t="s">
        <v>276</v>
      </c>
      <c r="B70" s="107">
        <v>321</v>
      </c>
      <c r="C70" s="108">
        <v>0.77097128658278347</v>
      </c>
      <c r="D70" s="109">
        <v>1.099343729977291</v>
      </c>
      <c r="E70" s="109">
        <v>0.15859792177938567</v>
      </c>
      <c r="F70" s="108">
        <f t="shared" si="0"/>
        <v>0.42182689636018655</v>
      </c>
      <c r="G70" s="109">
        <v>6.3531942606026418E-2</v>
      </c>
      <c r="H70" s="108">
        <f t="shared" si="1"/>
        <v>0.45044451119246592</v>
      </c>
      <c r="I70" s="110">
        <v>0.26341670424839564</v>
      </c>
      <c r="J70" s="111">
        <v>0.25379323334492165</v>
      </c>
      <c r="K70" s="112">
        <v>0.13765679005322182</v>
      </c>
      <c r="L70" s="113">
        <v>0.56999999999999995</v>
      </c>
      <c r="M70" s="114">
        <v>0.57999999999999996</v>
      </c>
      <c r="N70" s="97">
        <v>0.59</v>
      </c>
      <c r="O70" s="97">
        <v>0.53665167492098775</v>
      </c>
      <c r="P70" s="115">
        <f t="shared" si="2"/>
        <v>0.54541923722269059</v>
      </c>
    </row>
    <row r="71" spans="1:16" ht="15" hidden="1" customHeight="1" x14ac:dyDescent="0.25">
      <c r="A71" s="106" t="s">
        <v>277</v>
      </c>
      <c r="B71" s="107">
        <v>62</v>
      </c>
      <c r="C71" s="108">
        <v>1.5221589161707436</v>
      </c>
      <c r="D71" s="109">
        <v>0.31262946381380352</v>
      </c>
      <c r="E71" s="109">
        <v>0.14320697446679903</v>
      </c>
      <c r="F71" s="108">
        <f t="shared" si="0"/>
        <v>1.23213949492186</v>
      </c>
      <c r="G71" s="109">
        <v>8.4482200974653435E-2</v>
      </c>
      <c r="H71" s="108">
        <f t="shared" si="1"/>
        <v>1.345838929875079</v>
      </c>
      <c r="I71" s="110">
        <v>0.38609676214979366</v>
      </c>
      <c r="J71" s="111">
        <v>0.36294233860905628</v>
      </c>
      <c r="K71" s="112">
        <v>0.82424497729551427</v>
      </c>
      <c r="L71" s="113">
        <v>0.99</v>
      </c>
      <c r="M71" s="114">
        <v>0.87</v>
      </c>
      <c r="N71" s="97">
        <v>1.05</v>
      </c>
      <c r="O71" s="97">
        <v>1.1005716661082103</v>
      </c>
      <c r="P71" s="115">
        <f t="shared" si="2"/>
        <v>1.0712821191966579</v>
      </c>
    </row>
    <row r="72" spans="1:16" ht="15" hidden="1" customHeight="1" x14ac:dyDescent="0.25">
      <c r="A72" s="106" t="s">
        <v>278</v>
      </c>
      <c r="B72" s="107">
        <v>170</v>
      </c>
      <c r="C72" s="108">
        <v>0.99419752142788409</v>
      </c>
      <c r="D72" s="109">
        <v>7.2686383717069231E-2</v>
      </c>
      <c r="E72" s="109">
        <v>0.10630169495276241</v>
      </c>
      <c r="F72" s="108">
        <f t="shared" si="0"/>
        <v>0.94261250687574805</v>
      </c>
      <c r="G72" s="109">
        <v>0.18800501587314966</v>
      </c>
      <c r="H72" s="108">
        <f t="shared" si="1"/>
        <v>1.1608600118255072</v>
      </c>
      <c r="I72" s="110">
        <v>0.34524509444066837</v>
      </c>
      <c r="J72" s="111">
        <v>0.33432495145127827</v>
      </c>
      <c r="K72" s="112">
        <v>0.10262195040420763</v>
      </c>
      <c r="L72" s="113">
        <v>0.62</v>
      </c>
      <c r="M72" s="114">
        <v>0.73</v>
      </c>
      <c r="N72" s="97">
        <v>0.79</v>
      </c>
      <c r="O72" s="97">
        <v>0.63182369108311665</v>
      </c>
      <c r="P72" s="115">
        <f t="shared" si="2"/>
        <v>0.78653674058172485</v>
      </c>
    </row>
    <row r="73" spans="1:16" ht="15" hidden="1" customHeight="1" x14ac:dyDescent="0.25">
      <c r="A73" s="106" t="s">
        <v>279</v>
      </c>
      <c r="B73" s="107">
        <v>213</v>
      </c>
      <c r="C73" s="108">
        <v>0.66722526586990394</v>
      </c>
      <c r="D73" s="109">
        <v>0.7114559662292631</v>
      </c>
      <c r="E73" s="109">
        <v>3.3768681392285997E-2</v>
      </c>
      <c r="F73" s="108">
        <f t="shared" si="0"/>
        <v>0.43448898371500472</v>
      </c>
      <c r="G73" s="109">
        <v>2.9678092445469484E-2</v>
      </c>
      <c r="H73" s="108">
        <f t="shared" si="1"/>
        <v>0.44777818611766956</v>
      </c>
      <c r="I73" s="110">
        <v>0.1782995055960469</v>
      </c>
      <c r="J73" s="111">
        <v>0.15315651499082827</v>
      </c>
      <c r="K73" s="112">
        <v>0.27471280504529211</v>
      </c>
      <c r="L73" s="113">
        <v>0.37</v>
      </c>
      <c r="M73" s="114">
        <v>0.52</v>
      </c>
      <c r="N73" s="97">
        <v>0.54</v>
      </c>
      <c r="O73" s="97">
        <v>0.42587723144357803</v>
      </c>
      <c r="P73" s="115">
        <f t="shared" si="2"/>
        <v>0.46073108351224956</v>
      </c>
    </row>
    <row r="74" spans="1:16" ht="15" hidden="1" customHeight="1" x14ac:dyDescent="0.25">
      <c r="A74" s="106" t="s">
        <v>280</v>
      </c>
      <c r="B74" s="107">
        <v>773</v>
      </c>
      <c r="C74" s="108">
        <v>1.0115246391177968</v>
      </c>
      <c r="D74" s="109">
        <v>2.5924476011068518</v>
      </c>
      <c r="E74" s="109">
        <v>0.1470767305767661</v>
      </c>
      <c r="F74" s="108">
        <f t="shared" si="0"/>
        <v>0.34267436940944412</v>
      </c>
      <c r="G74" s="109">
        <v>0.17307551318756484</v>
      </c>
      <c r="H74" s="108">
        <f t="shared" si="1"/>
        <v>0.41439620530570925</v>
      </c>
      <c r="I74" s="110">
        <v>0.33968281833967762</v>
      </c>
      <c r="J74" s="111">
        <v>0.32675662047770554</v>
      </c>
      <c r="K74" s="112">
        <v>0.49045459944335512</v>
      </c>
      <c r="L74" s="113">
        <v>0.54</v>
      </c>
      <c r="M74" s="114">
        <v>0.56000000000000005</v>
      </c>
      <c r="N74" s="97">
        <v>0.56999999999999995</v>
      </c>
      <c r="O74" s="97">
        <v>0.5883162692025512</v>
      </c>
      <c r="P74" s="115">
        <f t="shared" si="2"/>
        <v>0.53454249490165207</v>
      </c>
    </row>
    <row r="75" spans="1:16" ht="15" hidden="1" customHeight="1" x14ac:dyDescent="0.25">
      <c r="A75" s="106" t="s">
        <v>281</v>
      </c>
      <c r="B75" s="107">
        <v>218</v>
      </c>
      <c r="C75" s="108">
        <v>0.9802722928350287</v>
      </c>
      <c r="D75" s="109">
        <v>1.0565978666399254</v>
      </c>
      <c r="E75" s="109">
        <v>0.1332102065120937</v>
      </c>
      <c r="F75" s="108">
        <f t="shared" si="0"/>
        <v>0.54595680864677976</v>
      </c>
      <c r="G75" s="109">
        <v>9.579618485626043E-2</v>
      </c>
      <c r="H75" s="108">
        <f t="shared" si="1"/>
        <v>0.60379839091918674</v>
      </c>
      <c r="I75" s="110">
        <v>0.27319930510403306</v>
      </c>
      <c r="J75" s="111">
        <v>0.2613369901157388</v>
      </c>
      <c r="K75" s="112">
        <v>1.4043844922414728</v>
      </c>
      <c r="L75" s="113">
        <v>0.44</v>
      </c>
      <c r="M75" s="114">
        <v>0.48</v>
      </c>
      <c r="N75" s="97">
        <v>0.49</v>
      </c>
      <c r="O75" s="97">
        <v>0.40846259646487881</v>
      </c>
      <c r="P75" s="115">
        <f t="shared" si="2"/>
        <v>0.48445219747681312</v>
      </c>
    </row>
    <row r="76" spans="1:16" ht="15" hidden="1" customHeight="1" x14ac:dyDescent="0.25">
      <c r="A76" s="106" t="s">
        <v>282</v>
      </c>
      <c r="B76" s="107">
        <v>374</v>
      </c>
      <c r="C76" s="108">
        <v>0.86033405777335814</v>
      </c>
      <c r="D76" s="109">
        <v>0.75963297357982773</v>
      </c>
      <c r="E76" s="109">
        <v>0.13301103126027555</v>
      </c>
      <c r="F76" s="108">
        <f t="shared" ref="F76:F106" si="3">IF($F$8="Effective",C76/(1+(1-E76)*D76),C76/(1+(1-$F$9)*D76))</f>
        <v>0.54731148034791566</v>
      </c>
      <c r="G76" s="109">
        <v>8.7191782091392403E-2</v>
      </c>
      <c r="H76" s="108">
        <f t="shared" ref="H76:H106" si="4">F76/(1-G76)</f>
        <v>0.5995908774812474</v>
      </c>
      <c r="I76" s="110">
        <v>0.31019368528651448</v>
      </c>
      <c r="J76" s="111">
        <v>0.2974539106540201</v>
      </c>
      <c r="K76" s="112">
        <v>0.15404043901076936</v>
      </c>
      <c r="L76" s="113">
        <v>0.32</v>
      </c>
      <c r="M76" s="114">
        <v>0.36</v>
      </c>
      <c r="N76" s="97">
        <v>0.41</v>
      </c>
      <c r="O76" s="97">
        <v>0.39609858161262129</v>
      </c>
      <c r="P76" s="115">
        <f t="shared" ref="P76:P106" si="5">AVERAGE(H76,L76:O76)</f>
        <v>0.4171378918187737</v>
      </c>
    </row>
    <row r="77" spans="1:16" ht="15" hidden="1" customHeight="1" x14ac:dyDescent="0.25">
      <c r="A77" s="106" t="s">
        <v>283</v>
      </c>
      <c r="B77" s="107">
        <v>143</v>
      </c>
      <c r="C77" s="108">
        <v>0.93191998369816631</v>
      </c>
      <c r="D77" s="109">
        <v>0.21892493532676327</v>
      </c>
      <c r="E77" s="109">
        <v>0.11524634447753014</v>
      </c>
      <c r="F77" s="108">
        <f t="shared" si="3"/>
        <v>0.80004903438406672</v>
      </c>
      <c r="G77" s="109">
        <v>0.12052433430728364</v>
      </c>
      <c r="H77" s="108">
        <f t="shared" si="4"/>
        <v>0.90968865381159858</v>
      </c>
      <c r="I77" s="110">
        <v>0.31452483697903683</v>
      </c>
      <c r="J77" s="111">
        <v>0.29951284815021356</v>
      </c>
      <c r="K77" s="112">
        <v>0.19789740088108293</v>
      </c>
      <c r="L77" s="113">
        <v>0.67</v>
      </c>
      <c r="M77" s="114">
        <v>0.82</v>
      </c>
      <c r="N77" s="97">
        <v>0.98</v>
      </c>
      <c r="O77" s="97">
        <v>0.88794229335542929</v>
      </c>
      <c r="P77" s="115">
        <f t="shared" si="5"/>
        <v>0.85352618943340564</v>
      </c>
    </row>
    <row r="78" spans="1:16" ht="15" hidden="1" customHeight="1" x14ac:dyDescent="0.25">
      <c r="A78" s="106" t="s">
        <v>284</v>
      </c>
      <c r="B78" s="107">
        <v>29</v>
      </c>
      <c r="C78" s="108">
        <v>1.1648143892038665</v>
      </c>
      <c r="D78" s="109">
        <v>0.41234316713376123</v>
      </c>
      <c r="E78" s="109">
        <v>0.11045255064892912</v>
      </c>
      <c r="F78" s="108">
        <f t="shared" si="3"/>
        <v>0.88886380329662329</v>
      </c>
      <c r="G78" s="109">
        <v>0.18159861086706644</v>
      </c>
      <c r="H78" s="108">
        <f t="shared" si="4"/>
        <v>1.0860976228771337</v>
      </c>
      <c r="I78" s="110">
        <v>0.28211757260791392</v>
      </c>
      <c r="J78" s="111">
        <v>0.24518224553347287</v>
      </c>
      <c r="K78" s="112">
        <v>0.48894672629438285</v>
      </c>
      <c r="L78" s="113">
        <v>0.94</v>
      </c>
      <c r="M78" s="114">
        <v>1.42</v>
      </c>
      <c r="N78" s="97">
        <v>1.45</v>
      </c>
      <c r="O78" s="97">
        <v>1.041956862068099</v>
      </c>
      <c r="P78" s="115">
        <f t="shared" si="5"/>
        <v>1.1876108969890466</v>
      </c>
    </row>
    <row r="79" spans="1:16" ht="15" hidden="1" customHeight="1" x14ac:dyDescent="0.25">
      <c r="A79" s="106" t="s">
        <v>285</v>
      </c>
      <c r="B79" s="107">
        <v>158</v>
      </c>
      <c r="C79" s="108">
        <v>1.0228930805061585</v>
      </c>
      <c r="D79" s="109">
        <v>0.17460801702576209</v>
      </c>
      <c r="E79" s="109">
        <v>0.12495402987363129</v>
      </c>
      <c r="F79" s="108">
        <f t="shared" si="3"/>
        <v>0.90404515623881077</v>
      </c>
      <c r="G79" s="109">
        <v>5.4224295968518299E-2</v>
      </c>
      <c r="H79" s="108">
        <f t="shared" si="4"/>
        <v>0.95587690864251484</v>
      </c>
      <c r="I79" s="110">
        <v>0.34625986112114809</v>
      </c>
      <c r="J79" s="111">
        <v>0.3543725820745301</v>
      </c>
      <c r="K79" s="112">
        <v>1.3940856986533576</v>
      </c>
      <c r="L79" s="113">
        <v>0.66</v>
      </c>
      <c r="M79" s="114">
        <v>0.99</v>
      </c>
      <c r="N79" s="97">
        <v>1.19</v>
      </c>
      <c r="O79" s="97">
        <v>0.95523930120291511</v>
      </c>
      <c r="P79" s="115">
        <f t="shared" si="5"/>
        <v>0.95022324196908592</v>
      </c>
    </row>
    <row r="80" spans="1:16" ht="15" hidden="1" customHeight="1" x14ac:dyDescent="0.25">
      <c r="A80" s="106" t="s">
        <v>286</v>
      </c>
      <c r="B80" s="107">
        <v>107</v>
      </c>
      <c r="C80" s="108">
        <v>0.86100606345684294</v>
      </c>
      <c r="D80" s="109">
        <v>0.78826504592958935</v>
      </c>
      <c r="E80" s="109">
        <v>0.16211115083065308</v>
      </c>
      <c r="F80" s="108">
        <f t="shared" si="3"/>
        <v>0.54032902529655202</v>
      </c>
      <c r="G80" s="109">
        <v>0.10589997882462623</v>
      </c>
      <c r="H80" s="108">
        <f t="shared" si="4"/>
        <v>0.60432727043920831</v>
      </c>
      <c r="I80" s="110">
        <v>0.33141889423184684</v>
      </c>
      <c r="J80" s="111">
        <v>0.31089787871166086</v>
      </c>
      <c r="K80" s="112">
        <v>0.31442374702565273</v>
      </c>
      <c r="L80" s="113">
        <v>0.43</v>
      </c>
      <c r="M80" s="114">
        <v>0.79</v>
      </c>
      <c r="N80" s="97">
        <v>1.06</v>
      </c>
      <c r="O80" s="97">
        <v>0.91956287452106988</v>
      </c>
      <c r="P80" s="115">
        <f t="shared" si="5"/>
        <v>0.76077802899205571</v>
      </c>
    </row>
    <row r="81" spans="1:16" ht="15" hidden="1" customHeight="1" x14ac:dyDescent="0.25">
      <c r="A81" s="106" t="s">
        <v>287</v>
      </c>
      <c r="B81" s="107">
        <v>46</v>
      </c>
      <c r="C81" s="108">
        <v>0.84310295309612071</v>
      </c>
      <c r="D81" s="109">
        <v>0.34027947541835762</v>
      </c>
      <c r="E81" s="109">
        <v>0.14518259787492593</v>
      </c>
      <c r="F81" s="108">
        <f t="shared" si="3"/>
        <v>0.6711553556895784</v>
      </c>
      <c r="G81" s="109">
        <v>4.2311820153988849E-2</v>
      </c>
      <c r="H81" s="108">
        <f t="shared" si="4"/>
        <v>0.70080780969594403</v>
      </c>
      <c r="I81" s="110">
        <v>0.32793965976618294</v>
      </c>
      <c r="J81" s="111">
        <v>0.29711541568403338</v>
      </c>
      <c r="K81" s="112">
        <v>0.17834289216653068</v>
      </c>
      <c r="L81" s="113">
        <v>0.54</v>
      </c>
      <c r="M81" s="114">
        <v>0.82</v>
      </c>
      <c r="N81" s="97">
        <v>0.87</v>
      </c>
      <c r="O81" s="97">
        <v>0.85771106548866083</v>
      </c>
      <c r="P81" s="115">
        <f t="shared" si="5"/>
        <v>0.75770377503692099</v>
      </c>
    </row>
    <row r="82" spans="1:16" ht="15" hidden="1" customHeight="1" x14ac:dyDescent="0.25">
      <c r="A82" s="106" t="s">
        <v>288</v>
      </c>
      <c r="B82" s="107">
        <v>673</v>
      </c>
      <c r="C82" s="108">
        <v>0.74207112276760889</v>
      </c>
      <c r="D82" s="109">
        <v>1.0094802285231772</v>
      </c>
      <c r="E82" s="109">
        <v>0.13633272981623379</v>
      </c>
      <c r="F82" s="108">
        <f t="shared" si="3"/>
        <v>0.42162229702396725</v>
      </c>
      <c r="G82" s="109">
        <v>0.15218085048548369</v>
      </c>
      <c r="H82" s="108">
        <f t="shared" si="4"/>
        <v>0.49730216316227266</v>
      </c>
      <c r="I82" s="110">
        <v>0.36673251852417388</v>
      </c>
      <c r="J82" s="111">
        <v>0.35165817537320104</v>
      </c>
      <c r="K82" s="112">
        <v>0.4312829036779397</v>
      </c>
      <c r="L82" s="113">
        <v>0.61</v>
      </c>
      <c r="M82" s="114">
        <v>0.7</v>
      </c>
      <c r="N82" s="97">
        <v>0.79</v>
      </c>
      <c r="O82" s="97">
        <v>0.76089858547992129</v>
      </c>
      <c r="P82" s="115">
        <f t="shared" si="5"/>
        <v>0.67164014972843877</v>
      </c>
    </row>
    <row r="83" spans="1:16" ht="15" hidden="1" customHeight="1" x14ac:dyDescent="0.25">
      <c r="A83" s="106" t="s">
        <v>289</v>
      </c>
      <c r="B83" s="107">
        <v>146</v>
      </c>
      <c r="C83" s="108">
        <v>1.0931672396192433</v>
      </c>
      <c r="D83" s="109">
        <v>0.42283690535411</v>
      </c>
      <c r="E83" s="109">
        <v>0.15362153963593564</v>
      </c>
      <c r="F83" s="108">
        <f t="shared" si="3"/>
        <v>0.82919103482760559</v>
      </c>
      <c r="G83" s="109">
        <v>7.7561001621925557E-2</v>
      </c>
      <c r="H83" s="108">
        <f t="shared" si="4"/>
        <v>0.89891151207350639</v>
      </c>
      <c r="I83" s="110">
        <v>0.26868870766864761</v>
      </c>
      <c r="J83" s="111">
        <v>0.29104382656150518</v>
      </c>
      <c r="K83" s="112">
        <v>0.12668974942655822</v>
      </c>
      <c r="L83" s="113">
        <v>0.38</v>
      </c>
      <c r="M83" s="114">
        <v>0.35</v>
      </c>
      <c r="N83" s="97">
        <v>0.4</v>
      </c>
      <c r="O83" s="97">
        <v>0.39281019353544178</v>
      </c>
      <c r="P83" s="115">
        <f t="shared" si="5"/>
        <v>0.48434434112178959</v>
      </c>
    </row>
    <row r="84" spans="1:16" ht="15" hidden="1" customHeight="1" x14ac:dyDescent="0.25">
      <c r="A84" s="106" t="s">
        <v>290</v>
      </c>
      <c r="B84" s="107">
        <v>86</v>
      </c>
      <c r="C84" s="108">
        <v>0.73151244494475198</v>
      </c>
      <c r="D84" s="109">
        <v>0.3926476227815735</v>
      </c>
      <c r="E84" s="109">
        <v>0.16281794991091011</v>
      </c>
      <c r="F84" s="108">
        <f t="shared" si="3"/>
        <v>0.56460224711669549</v>
      </c>
      <c r="G84" s="109">
        <v>8.6126219612780455E-2</v>
      </c>
      <c r="H84" s="108">
        <f t="shared" si="4"/>
        <v>0.6178120646786327</v>
      </c>
      <c r="I84" s="110">
        <v>0.29551002809216914</v>
      </c>
      <c r="J84" s="111">
        <v>0.283696512276218</v>
      </c>
      <c r="K84" s="112">
        <v>0.12090286527580367</v>
      </c>
      <c r="L84" s="113">
        <v>0.44</v>
      </c>
      <c r="M84" s="114">
        <v>0.39</v>
      </c>
      <c r="N84" s="97">
        <v>0.42</v>
      </c>
      <c r="O84" s="97">
        <v>0.5531785871425986</v>
      </c>
      <c r="P84" s="115">
        <f t="shared" si="5"/>
        <v>0.48419813036424619</v>
      </c>
    </row>
    <row r="85" spans="1:16" ht="15" hidden="1" customHeight="1" x14ac:dyDescent="0.25">
      <c r="A85" s="106" t="s">
        <v>348</v>
      </c>
      <c r="B85" s="107">
        <v>40</v>
      </c>
      <c r="C85" s="108">
        <v>0.81153027590153015</v>
      </c>
      <c r="D85" s="109">
        <v>0.6875201866307874</v>
      </c>
      <c r="E85" s="109">
        <v>5.6449336008852692E-2</v>
      </c>
      <c r="F85" s="108">
        <f t="shared" si="3"/>
        <v>0.53473387090211943</v>
      </c>
      <c r="G85" s="109">
        <v>2.0856375861884699E-2</v>
      </c>
      <c r="H85" s="108">
        <f t="shared" si="4"/>
        <v>0.5461240391294131</v>
      </c>
      <c r="I85" s="110">
        <v>0.19858049127120356</v>
      </c>
      <c r="J85" s="111">
        <v>0.13507120055484029</v>
      </c>
      <c r="K85" s="112">
        <v>0.19000507223623339</v>
      </c>
      <c r="L85" s="113">
        <v>1.23</v>
      </c>
      <c r="M85" s="114">
        <v>1.1200000000000001</v>
      </c>
      <c r="N85" s="97">
        <v>1.25</v>
      </c>
      <c r="O85" s="97">
        <v>1.4672850705706748</v>
      </c>
      <c r="P85" s="115">
        <f t="shared" si="5"/>
        <v>1.1226818219400176</v>
      </c>
    </row>
    <row r="86" spans="1:16" ht="15" hidden="1" customHeight="1" x14ac:dyDescent="0.25">
      <c r="A86" s="106" t="s">
        <v>291</v>
      </c>
      <c r="B86" s="107">
        <v>251</v>
      </c>
      <c r="C86" s="108">
        <v>1.0426086782874373</v>
      </c>
      <c r="D86" s="109">
        <v>0.25419396952923845</v>
      </c>
      <c r="E86" s="109">
        <v>0.14877791642278834</v>
      </c>
      <c r="F86" s="108">
        <f t="shared" si="3"/>
        <v>0.87512495446990635</v>
      </c>
      <c r="G86" s="109">
        <v>9.2801922287642918E-2</v>
      </c>
      <c r="H86" s="108">
        <f t="shared" si="4"/>
        <v>0.96464595325937186</v>
      </c>
      <c r="I86" s="110">
        <v>0.33188760753330326</v>
      </c>
      <c r="J86" s="111">
        <v>0.32878226281087863</v>
      </c>
      <c r="K86" s="112">
        <v>0.1962029266392453</v>
      </c>
      <c r="L86" s="113">
        <v>0.9</v>
      </c>
      <c r="M86" s="114">
        <v>1.06</v>
      </c>
      <c r="N86" s="97">
        <v>1.24</v>
      </c>
      <c r="O86" s="97">
        <v>1.1652952867668969</v>
      </c>
      <c r="P86" s="115">
        <f t="shared" si="5"/>
        <v>1.0659882480052538</v>
      </c>
    </row>
    <row r="87" spans="1:16" ht="15" hidden="1" customHeight="1" x14ac:dyDescent="0.25">
      <c r="A87" s="106" t="s">
        <v>292</v>
      </c>
      <c r="B87" s="107">
        <v>72</v>
      </c>
      <c r="C87" s="108">
        <v>1.0543620124238302</v>
      </c>
      <c r="D87" s="109">
        <v>0.3549270295171722</v>
      </c>
      <c r="E87" s="109">
        <v>0.1737009796783372</v>
      </c>
      <c r="F87" s="108">
        <f t="shared" si="3"/>
        <v>0.83202460342804818</v>
      </c>
      <c r="G87" s="109">
        <v>0.10471428264040279</v>
      </c>
      <c r="H87" s="108">
        <f t="shared" si="4"/>
        <v>0.92933974852394552</v>
      </c>
      <c r="I87" s="110">
        <v>0.25864011119508884</v>
      </c>
      <c r="J87" s="111">
        <v>0.26798297076613797</v>
      </c>
      <c r="K87" s="112">
        <v>0.20033605149385403</v>
      </c>
      <c r="L87" s="113">
        <v>0.93</v>
      </c>
      <c r="M87" s="114">
        <v>0.87</v>
      </c>
      <c r="N87" s="97">
        <v>0.9</v>
      </c>
      <c r="O87" s="97">
        <v>0.88325793251214191</v>
      </c>
      <c r="P87" s="115">
        <f t="shared" si="5"/>
        <v>0.90251953620721748</v>
      </c>
    </row>
    <row r="88" spans="1:16" ht="15" hidden="1" customHeight="1" x14ac:dyDescent="0.25">
      <c r="A88" s="106" t="s">
        <v>293</v>
      </c>
      <c r="B88" s="107">
        <v>513</v>
      </c>
      <c r="C88" s="108">
        <v>1.7199180587679659</v>
      </c>
      <c r="D88" s="109">
        <v>0.1093412940828033</v>
      </c>
      <c r="E88" s="109">
        <v>7.6431108110393386E-2</v>
      </c>
      <c r="F88" s="108">
        <f t="shared" si="3"/>
        <v>1.5890985989594375</v>
      </c>
      <c r="G88" s="109">
        <v>0.10117619291495994</v>
      </c>
      <c r="H88" s="108">
        <f t="shared" si="4"/>
        <v>1.767975643761613</v>
      </c>
      <c r="I88" s="110">
        <v>0.321649377093567</v>
      </c>
      <c r="J88" s="111">
        <v>0.32380271915068704</v>
      </c>
      <c r="K88" s="112">
        <v>0.5795728017629479</v>
      </c>
      <c r="L88" s="113">
        <v>1.81</v>
      </c>
      <c r="M88" s="114">
        <v>1.1599999999999999</v>
      </c>
      <c r="N88" s="97">
        <v>1.27</v>
      </c>
      <c r="O88" s="97">
        <v>1.4469208038395083</v>
      </c>
      <c r="P88" s="115">
        <f t="shared" si="5"/>
        <v>1.4909792895202243</v>
      </c>
    </row>
    <row r="89" spans="1:16" ht="15" hidden="1" customHeight="1" x14ac:dyDescent="0.25">
      <c r="A89" s="106" t="s">
        <v>294</v>
      </c>
      <c r="B89" s="107">
        <v>277</v>
      </c>
      <c r="C89" s="108">
        <v>1.9823021073090825</v>
      </c>
      <c r="D89" s="109">
        <v>0.11319626472132446</v>
      </c>
      <c r="E89" s="109">
        <v>0.11221952997572358</v>
      </c>
      <c r="F89" s="108">
        <f t="shared" si="3"/>
        <v>1.8266269695038211</v>
      </c>
      <c r="G89" s="109">
        <v>8.8293758303375131E-2</v>
      </c>
      <c r="H89" s="108">
        <f t="shared" si="4"/>
        <v>2.0035257914924323</v>
      </c>
      <c r="I89" s="110">
        <v>0.3411262473645979</v>
      </c>
      <c r="J89" s="111">
        <v>0.33201055407825636</v>
      </c>
      <c r="K89" s="112">
        <v>0.78201815025018717</v>
      </c>
      <c r="L89" s="113">
        <v>2.08</v>
      </c>
      <c r="M89" s="114">
        <v>1.37</v>
      </c>
      <c r="N89" s="97">
        <v>1.5</v>
      </c>
      <c r="O89" s="97">
        <v>1.8277145326771278</v>
      </c>
      <c r="P89" s="115">
        <f t="shared" si="5"/>
        <v>1.7562480648339123</v>
      </c>
    </row>
    <row r="90" spans="1:16" ht="15" hidden="1" customHeight="1" x14ac:dyDescent="0.25">
      <c r="A90" s="106" t="s">
        <v>295</v>
      </c>
      <c r="B90" s="107">
        <v>240</v>
      </c>
      <c r="C90" s="108">
        <v>0.9681414387319659</v>
      </c>
      <c r="D90" s="109">
        <v>0.47955010587674707</v>
      </c>
      <c r="E90" s="109">
        <v>0.13500319338052152</v>
      </c>
      <c r="F90" s="108">
        <f t="shared" si="3"/>
        <v>0.7113178129893365</v>
      </c>
      <c r="G90" s="109">
        <v>0.22167500073581384</v>
      </c>
      <c r="H90" s="108">
        <f t="shared" si="4"/>
        <v>0.91390847481682203</v>
      </c>
      <c r="I90" s="110">
        <v>0.28728251445231212</v>
      </c>
      <c r="J90" s="111">
        <v>0.29919076904362635</v>
      </c>
      <c r="K90" s="112">
        <v>1.2841514740398938</v>
      </c>
      <c r="L90" s="113">
        <v>0.9</v>
      </c>
      <c r="M90" s="114">
        <v>0.83</v>
      </c>
      <c r="N90" s="97">
        <v>0.93</v>
      </c>
      <c r="O90" s="97">
        <v>0.97486013382672887</v>
      </c>
      <c r="P90" s="115">
        <f t="shared" si="5"/>
        <v>0.90975372172871016</v>
      </c>
    </row>
    <row r="91" spans="1:16" ht="15" hidden="1" customHeight="1" x14ac:dyDescent="0.25">
      <c r="A91" s="106" t="s">
        <v>296</v>
      </c>
      <c r="B91" s="107">
        <v>58</v>
      </c>
      <c r="C91" s="108">
        <v>0.74581929494397858</v>
      </c>
      <c r="D91" s="109">
        <v>0.2110089028068598</v>
      </c>
      <c r="E91" s="109">
        <v>0.14164375255576367</v>
      </c>
      <c r="F91" s="108">
        <f t="shared" si="3"/>
        <v>0.64357537434582712</v>
      </c>
      <c r="G91" s="109">
        <v>0.10175770688810325</v>
      </c>
      <c r="H91" s="108">
        <f t="shared" si="4"/>
        <v>0.7164830461458298</v>
      </c>
      <c r="I91" s="110">
        <v>0.30976888130150199</v>
      </c>
      <c r="J91" s="111">
        <v>0.31336218587704195</v>
      </c>
      <c r="K91" s="112">
        <v>0.24683977074615737</v>
      </c>
      <c r="L91" s="113">
        <v>1.67</v>
      </c>
      <c r="M91" s="114">
        <v>1.01</v>
      </c>
      <c r="N91" s="97">
        <v>1.1100000000000001</v>
      </c>
      <c r="O91" s="97">
        <v>0.96883590228436867</v>
      </c>
      <c r="P91" s="115">
        <f t="shared" si="5"/>
        <v>1.0950637896860396</v>
      </c>
    </row>
    <row r="92" spans="1:16" ht="15" hidden="1" customHeight="1" x14ac:dyDescent="0.25">
      <c r="A92" s="106" t="s">
        <v>297</v>
      </c>
      <c r="B92" s="107">
        <v>66</v>
      </c>
      <c r="C92" s="108">
        <v>1.7986075575311349</v>
      </c>
      <c r="D92" s="109">
        <v>0.13365735671642398</v>
      </c>
      <c r="E92" s="109">
        <v>0.10759826348255594</v>
      </c>
      <c r="F92" s="108">
        <f t="shared" si="3"/>
        <v>1.6341609242199693</v>
      </c>
      <c r="G92" s="109">
        <v>5.9809253833916894E-2</v>
      </c>
      <c r="H92" s="108">
        <f t="shared" si="4"/>
        <v>1.7381163672199105</v>
      </c>
      <c r="I92" s="110">
        <v>0.45680620093683527</v>
      </c>
      <c r="J92" s="111">
        <v>0.40823950776045359</v>
      </c>
      <c r="K92" s="112">
        <v>0.46640316297298068</v>
      </c>
      <c r="L92" s="113">
        <v>1.28</v>
      </c>
      <c r="M92" s="114">
        <v>1.05</v>
      </c>
      <c r="N92" s="97">
        <v>1.01</v>
      </c>
      <c r="O92" s="97">
        <v>1.2643925029484495</v>
      </c>
      <c r="P92" s="115">
        <f t="shared" si="5"/>
        <v>1.2685017740336719</v>
      </c>
    </row>
    <row r="93" spans="1:16" ht="15" hidden="1" customHeight="1" x14ac:dyDescent="0.25">
      <c r="A93" s="106" t="s">
        <v>298</v>
      </c>
      <c r="B93" s="107">
        <v>42</v>
      </c>
      <c r="C93" s="108">
        <v>1.1344876359438159</v>
      </c>
      <c r="D93" s="109">
        <v>0.17728769910505532</v>
      </c>
      <c r="E93" s="109">
        <v>9.5555236674516722E-2</v>
      </c>
      <c r="F93" s="108">
        <f t="shared" si="3"/>
        <v>1.0008890561534649</v>
      </c>
      <c r="G93" s="109">
        <v>7.4406900297791179E-2</v>
      </c>
      <c r="H93" s="108">
        <f t="shared" si="4"/>
        <v>1.0813488740089798</v>
      </c>
      <c r="I93" s="110">
        <v>0.38711492189644325</v>
      </c>
      <c r="J93" s="111">
        <v>0.37147731667538714</v>
      </c>
      <c r="K93" s="112">
        <v>0.48477583683565489</v>
      </c>
      <c r="L93" s="113">
        <v>0.95</v>
      </c>
      <c r="M93" s="114">
        <v>0.7</v>
      </c>
      <c r="N93" s="97">
        <v>0.85</v>
      </c>
      <c r="O93" s="97">
        <v>1.0384541483190144</v>
      </c>
      <c r="P93" s="115">
        <f t="shared" si="5"/>
        <v>0.9239606044655988</v>
      </c>
    </row>
    <row r="94" spans="1:16" ht="15" hidden="1" customHeight="1" x14ac:dyDescent="0.25">
      <c r="A94" s="106" t="s">
        <v>299</v>
      </c>
      <c r="B94" s="107">
        <v>521</v>
      </c>
      <c r="C94" s="108">
        <v>1.438936588940694</v>
      </c>
      <c r="D94" s="109">
        <v>4.2678158518435136E-2</v>
      </c>
      <c r="E94" s="109">
        <v>8.4322827834185238E-2</v>
      </c>
      <c r="F94" s="108">
        <f t="shared" si="3"/>
        <v>1.3941395591186365</v>
      </c>
      <c r="G94" s="109">
        <v>8.3052170992150579E-2</v>
      </c>
      <c r="H94" s="108">
        <f t="shared" si="4"/>
        <v>1.5204131740266131</v>
      </c>
      <c r="I94" s="110">
        <v>0.40998396463557257</v>
      </c>
      <c r="J94" s="111">
        <v>0.38892970241383346</v>
      </c>
      <c r="K94" s="112">
        <v>0.36190837943891113</v>
      </c>
      <c r="L94" s="113">
        <v>1.1100000000000001</v>
      </c>
      <c r="M94" s="114">
        <v>0.86</v>
      </c>
      <c r="N94" s="97">
        <v>0.98</v>
      </c>
      <c r="O94" s="97">
        <v>1.1213890742291763</v>
      </c>
      <c r="P94" s="115">
        <f t="shared" si="5"/>
        <v>1.1183604496511579</v>
      </c>
    </row>
    <row r="95" spans="1:16" ht="15" hidden="1" customHeight="1" x14ac:dyDescent="0.25">
      <c r="A95" s="106" t="s">
        <v>300</v>
      </c>
      <c r="B95" s="107">
        <v>536</v>
      </c>
      <c r="C95" s="108">
        <v>1.2239092706119494</v>
      </c>
      <c r="D95" s="109">
        <v>0.46841391754323358</v>
      </c>
      <c r="E95" s="109">
        <v>0.13638758645448729</v>
      </c>
      <c r="F95" s="108">
        <f t="shared" si="3"/>
        <v>0.90481072363033588</v>
      </c>
      <c r="G95" s="109">
        <v>0.10626799504449641</v>
      </c>
      <c r="H95" s="108">
        <f t="shared" si="4"/>
        <v>1.012396018732018</v>
      </c>
      <c r="I95" s="110">
        <v>0.31671769295336977</v>
      </c>
      <c r="J95" s="111">
        <v>0.3208591156394216</v>
      </c>
      <c r="K95" s="112" t="s">
        <v>223</v>
      </c>
      <c r="L95" s="113">
        <v>1</v>
      </c>
      <c r="M95" s="114">
        <v>1.04</v>
      </c>
      <c r="N95" s="97">
        <v>1.1200000000000001</v>
      </c>
      <c r="O95" s="97">
        <v>1.079716890597993</v>
      </c>
      <c r="P95" s="115">
        <f t="shared" si="5"/>
        <v>1.0504225818660022</v>
      </c>
    </row>
    <row r="96" spans="1:16" ht="15" hidden="1" customHeight="1" x14ac:dyDescent="0.25">
      <c r="A96" s="106" t="s">
        <v>301</v>
      </c>
      <c r="B96" s="107">
        <v>63</v>
      </c>
      <c r="C96" s="108">
        <v>0.89443548858570887</v>
      </c>
      <c r="D96" s="109">
        <v>0.39747972911877349</v>
      </c>
      <c r="E96" s="109">
        <v>0.19046385160172005</v>
      </c>
      <c r="F96" s="108">
        <f t="shared" si="3"/>
        <v>0.68841784998018163</v>
      </c>
      <c r="G96" s="109">
        <v>7.7990865442248231E-2</v>
      </c>
      <c r="H96" s="108">
        <f t="shared" si="4"/>
        <v>0.74664970679535203</v>
      </c>
      <c r="I96" s="110">
        <v>0.21920428683366308</v>
      </c>
      <c r="J96" s="111">
        <v>0.25038701177270106</v>
      </c>
      <c r="K96" s="112">
        <v>0.13876231971525077</v>
      </c>
      <c r="L96" s="113">
        <v>0.47</v>
      </c>
      <c r="M96" s="114">
        <v>0.43</v>
      </c>
      <c r="N96" s="97">
        <v>0.48</v>
      </c>
      <c r="O96" s="97">
        <v>0.30315370523542129</v>
      </c>
      <c r="P96" s="115">
        <f t="shared" si="5"/>
        <v>0.48596068240615453</v>
      </c>
    </row>
    <row r="97" spans="1:16" ht="15" hidden="1" customHeight="1" x14ac:dyDescent="0.25">
      <c r="A97" s="106" t="s">
        <v>302</v>
      </c>
      <c r="B97" s="107">
        <v>299</v>
      </c>
      <c r="C97" s="108">
        <v>1.2900211353117848</v>
      </c>
      <c r="D97" s="109">
        <v>0.13157484563360974</v>
      </c>
      <c r="E97" s="109">
        <v>7.8717096858754623E-2</v>
      </c>
      <c r="F97" s="108">
        <f t="shared" si="3"/>
        <v>1.1737466241118646</v>
      </c>
      <c r="G97" s="109">
        <v>0.12064631144995978</v>
      </c>
      <c r="H97" s="108">
        <f t="shared" si="4"/>
        <v>1.3347833066433674</v>
      </c>
      <c r="I97" s="110">
        <v>0.34900105283788785</v>
      </c>
      <c r="J97" s="111">
        <v>0.34660451993488611</v>
      </c>
      <c r="K97" s="112">
        <v>0.25636605153554115</v>
      </c>
      <c r="L97" s="113">
        <v>1.3</v>
      </c>
      <c r="M97" s="114">
        <v>0.98</v>
      </c>
      <c r="N97" s="97">
        <v>1.06</v>
      </c>
      <c r="O97" s="97">
        <v>0.9611502591339679</v>
      </c>
      <c r="P97" s="115">
        <f t="shared" si="5"/>
        <v>1.1271867131554669</v>
      </c>
    </row>
    <row r="98" spans="1:16" ht="15" hidden="1" customHeight="1" x14ac:dyDescent="0.25">
      <c r="A98" s="106" t="s">
        <v>303</v>
      </c>
      <c r="B98" s="107">
        <v>140</v>
      </c>
      <c r="C98" s="108">
        <v>0.81686696391182789</v>
      </c>
      <c r="D98" s="109">
        <v>0.4355448382338854</v>
      </c>
      <c r="E98" s="109">
        <v>0.14132667574749358</v>
      </c>
      <c r="F98" s="108">
        <f t="shared" si="3"/>
        <v>0.61514693114524666</v>
      </c>
      <c r="G98" s="109">
        <v>6.7061789663536181E-2</v>
      </c>
      <c r="H98" s="108">
        <f t="shared" si="4"/>
        <v>0.65936513729392021</v>
      </c>
      <c r="I98" s="110">
        <v>0.2829608152932156</v>
      </c>
      <c r="J98" s="111">
        <v>0.26326849022810117</v>
      </c>
      <c r="K98" s="112">
        <v>5.1298225311927348E-2</v>
      </c>
      <c r="L98" s="113">
        <v>0.42</v>
      </c>
      <c r="M98" s="114">
        <v>0.37</v>
      </c>
      <c r="N98" s="97">
        <v>0.39</v>
      </c>
      <c r="O98" s="97">
        <v>0.44422768381409694</v>
      </c>
      <c r="P98" s="115">
        <f t="shared" si="5"/>
        <v>0.45671856422160345</v>
      </c>
    </row>
    <row r="99" spans="1:16" ht="15" hidden="1" customHeight="1" x14ac:dyDescent="0.25">
      <c r="A99" s="106" t="s">
        <v>304</v>
      </c>
      <c r="B99" s="107">
        <v>31</v>
      </c>
      <c r="C99" s="108">
        <v>0.4416217042427219</v>
      </c>
      <c r="D99" s="109">
        <v>1.3245132879858131E-2</v>
      </c>
      <c r="E99" s="109">
        <v>0.22089551575229194</v>
      </c>
      <c r="F99" s="108">
        <f t="shared" si="3"/>
        <v>0.43726122141642515</v>
      </c>
      <c r="G99" s="109">
        <v>2.4814044061802105E-2</v>
      </c>
      <c r="H99" s="108">
        <f t="shared" si="4"/>
        <v>0.44838752932588011</v>
      </c>
      <c r="I99" s="110">
        <v>0.26690744065625266</v>
      </c>
      <c r="J99" s="111">
        <v>0.25062970194532397</v>
      </c>
      <c r="K99" s="112">
        <v>0.27366083760772819</v>
      </c>
      <c r="L99" s="113">
        <v>0.4</v>
      </c>
      <c r="M99" s="114">
        <v>0.33</v>
      </c>
      <c r="N99" s="97">
        <v>0.37</v>
      </c>
      <c r="O99" s="97">
        <v>0.29390936570842574</v>
      </c>
      <c r="P99" s="115">
        <f t="shared" si="5"/>
        <v>0.36845937900686115</v>
      </c>
    </row>
    <row r="100" spans="1:16" ht="15" hidden="1" customHeight="1" x14ac:dyDescent="0.25">
      <c r="A100" s="106" t="s">
        <v>305</v>
      </c>
      <c r="B100" s="107">
        <v>296</v>
      </c>
      <c r="C100" s="108">
        <v>0.94468660965822571</v>
      </c>
      <c r="D100" s="109">
        <v>0.61817060021386594</v>
      </c>
      <c r="E100" s="109">
        <v>0.15192108516968927</v>
      </c>
      <c r="F100" s="108">
        <f t="shared" si="3"/>
        <v>0.64465217747907022</v>
      </c>
      <c r="G100" s="109">
        <v>0.1118903178049316</v>
      </c>
      <c r="H100" s="108">
        <f t="shared" si="4"/>
        <v>0.72587000277458513</v>
      </c>
      <c r="I100" s="110">
        <v>0.29405884892478462</v>
      </c>
      <c r="J100" s="111">
        <v>0.29033156450863157</v>
      </c>
      <c r="K100" s="112">
        <v>0.17770528229845156</v>
      </c>
      <c r="L100" s="113">
        <v>0.62</v>
      </c>
      <c r="M100" s="114">
        <v>0.61</v>
      </c>
      <c r="N100" s="97">
        <v>0.73</v>
      </c>
      <c r="O100" s="97">
        <v>0.85061104406934174</v>
      </c>
      <c r="P100" s="115">
        <f t="shared" si="5"/>
        <v>0.70729620936878534</v>
      </c>
    </row>
    <row r="101" spans="1:16" ht="15" hidden="1" customHeight="1" x14ac:dyDescent="0.25">
      <c r="A101" s="106" t="s">
        <v>306</v>
      </c>
      <c r="B101" s="107">
        <v>15</v>
      </c>
      <c r="C101" s="108">
        <v>0.92631340803807727</v>
      </c>
      <c r="D101" s="109">
        <v>0.3093683174993343</v>
      </c>
      <c r="E101" s="109">
        <v>0.24221198488969312</v>
      </c>
      <c r="F101" s="108">
        <f t="shared" si="3"/>
        <v>0.75131464237431977</v>
      </c>
      <c r="G101" s="109">
        <v>0.12044340291427588</v>
      </c>
      <c r="H101" s="108">
        <f t="shared" si="4"/>
        <v>0.8541970407176589</v>
      </c>
      <c r="I101" s="110">
        <v>0.23096709985812583</v>
      </c>
      <c r="J101" s="111">
        <v>0.24330392331949519</v>
      </c>
      <c r="K101" s="112">
        <v>0.24519053305272906</v>
      </c>
      <c r="L101" s="113">
        <v>0.5</v>
      </c>
      <c r="M101" s="114">
        <v>0.54</v>
      </c>
      <c r="N101" s="97">
        <v>1.01</v>
      </c>
      <c r="O101" s="97">
        <v>0.81048455548839593</v>
      </c>
      <c r="P101" s="115">
        <f t="shared" si="5"/>
        <v>0.74293631924121095</v>
      </c>
    </row>
    <row r="102" spans="1:16" ht="15" hidden="1" customHeight="1" x14ac:dyDescent="0.25">
      <c r="A102" s="106" t="s">
        <v>307</v>
      </c>
      <c r="B102" s="107">
        <v>55</v>
      </c>
      <c r="C102" s="108">
        <v>1.07385005334996</v>
      </c>
      <c r="D102" s="109">
        <v>1.2659805442004379</v>
      </c>
      <c r="E102" s="109">
        <v>0.13966132296066688</v>
      </c>
      <c r="F102" s="108">
        <f t="shared" si="3"/>
        <v>0.54980228924259222</v>
      </c>
      <c r="G102" s="109">
        <v>4.9201236702362788E-2</v>
      </c>
      <c r="H102" s="108">
        <f t="shared" si="4"/>
        <v>0.57825305465872023</v>
      </c>
      <c r="I102" s="110">
        <v>0.38634783901200298</v>
      </c>
      <c r="J102" s="111">
        <v>0.38434835647702925</v>
      </c>
      <c r="K102" s="112">
        <v>0.50006104362118864</v>
      </c>
      <c r="L102" s="113">
        <v>0.43</v>
      </c>
      <c r="M102" s="114">
        <v>0.39</v>
      </c>
      <c r="N102" s="97">
        <v>0.55000000000000004</v>
      </c>
      <c r="O102" s="97">
        <v>0.44200070610271597</v>
      </c>
      <c r="P102" s="115">
        <f t="shared" si="5"/>
        <v>0.47805075215228721</v>
      </c>
    </row>
    <row r="103" spans="1:16" ht="15" hidden="1" customHeight="1" x14ac:dyDescent="0.25">
      <c r="A103" s="106" t="s">
        <v>308</v>
      </c>
      <c r="B103" s="107">
        <v>14</v>
      </c>
      <c r="C103" s="108">
        <v>0.63598485499149582</v>
      </c>
      <c r="D103" s="109">
        <v>0.33494507873061408</v>
      </c>
      <c r="E103" s="109">
        <v>0.14484214827745148</v>
      </c>
      <c r="F103" s="108">
        <f t="shared" si="3"/>
        <v>0.50790204197465028</v>
      </c>
      <c r="G103" s="109">
        <v>3.6071373353547251E-2</v>
      </c>
      <c r="H103" s="108">
        <f t="shared" si="4"/>
        <v>0.52690834978276591</v>
      </c>
      <c r="I103" s="110">
        <v>0.34879019358945584</v>
      </c>
      <c r="J103" s="111">
        <v>0.22898566289089733</v>
      </c>
      <c r="K103" s="112">
        <v>0.27214422276009598</v>
      </c>
      <c r="L103" s="113">
        <v>0.41</v>
      </c>
      <c r="M103" s="114">
        <v>0.43</v>
      </c>
      <c r="N103" s="97">
        <v>0.49</v>
      </c>
      <c r="O103" s="97">
        <v>0.46906876122718533</v>
      </c>
      <c r="P103" s="115">
        <f t="shared" si="5"/>
        <v>0.46519542220199028</v>
      </c>
    </row>
    <row r="104" spans="1:16" ht="15" hidden="1" customHeight="1" x14ac:dyDescent="0.25">
      <c r="A104" s="106" t="s">
        <v>309</v>
      </c>
      <c r="B104" s="107">
        <v>71</v>
      </c>
      <c r="C104" s="108">
        <v>0.65682069436307011</v>
      </c>
      <c r="D104" s="109">
        <v>1.040720039963748</v>
      </c>
      <c r="E104" s="109">
        <v>0.16148337600125892</v>
      </c>
      <c r="F104" s="108">
        <f t="shared" si="3"/>
        <v>0.36826425093841708</v>
      </c>
      <c r="G104" s="109">
        <v>7.9570467402687584E-2</v>
      </c>
      <c r="H104" s="108">
        <f t="shared" si="4"/>
        <v>0.40010042908904853</v>
      </c>
      <c r="I104" s="110">
        <v>0.23950278174287223</v>
      </c>
      <c r="J104" s="111">
        <v>0.31499736561469277</v>
      </c>
      <c r="K104" s="112">
        <v>0.22596150535288378</v>
      </c>
      <c r="L104" s="113">
        <v>0.28999999999999998</v>
      </c>
      <c r="M104" s="114">
        <v>0.26</v>
      </c>
      <c r="N104" s="97">
        <v>0.28000000000000003</v>
      </c>
      <c r="O104" s="97">
        <v>0.34666020080297077</v>
      </c>
      <c r="P104" s="115">
        <f t="shared" si="5"/>
        <v>0.31535212597840384</v>
      </c>
    </row>
    <row r="105" spans="1:16" s="94" customFormat="1" ht="15.75" hidden="1" customHeight="1" x14ac:dyDescent="0.25">
      <c r="A105" s="106" t="s">
        <v>310</v>
      </c>
      <c r="B105" s="107">
        <v>25637</v>
      </c>
      <c r="C105" s="108">
        <v>1.0206470969363863</v>
      </c>
      <c r="D105" s="109">
        <v>0.64523938293467453</v>
      </c>
      <c r="E105" s="109">
        <v>0.13020907935475973</v>
      </c>
      <c r="F105" s="108">
        <f t="shared" si="3"/>
        <v>0.68693403856839375</v>
      </c>
      <c r="G105" s="109">
        <v>0.12879927584874284</v>
      </c>
      <c r="H105" s="108">
        <f t="shared" si="4"/>
        <v>0.78849112440490676</v>
      </c>
      <c r="I105" s="110">
        <v>0.31746030397935443</v>
      </c>
      <c r="J105" s="116">
        <v>0.31499736561469277</v>
      </c>
      <c r="K105" s="117">
        <v>0.28104007456037255</v>
      </c>
      <c r="L105" s="113">
        <v>0.7</v>
      </c>
      <c r="M105" s="114">
        <v>0.67</v>
      </c>
      <c r="N105" s="97">
        <v>0.79</v>
      </c>
      <c r="O105" s="97">
        <v>0.77718840617023111</v>
      </c>
      <c r="P105" s="115">
        <f t="shared" si="5"/>
        <v>0.74513590611502756</v>
      </c>
    </row>
    <row r="106" spans="1:16" s="94" customFormat="1" ht="15.75" hidden="1" customHeight="1" x14ac:dyDescent="0.25">
      <c r="A106" s="106" t="s">
        <v>311</v>
      </c>
      <c r="B106" s="107">
        <v>23133</v>
      </c>
      <c r="C106" s="108">
        <v>1.0444082549381002</v>
      </c>
      <c r="D106" s="109">
        <v>0.37967803215704249</v>
      </c>
      <c r="E106" s="109">
        <v>0.12847384024909062</v>
      </c>
      <c r="F106" s="108">
        <f t="shared" si="3"/>
        <v>0.81222573811830046</v>
      </c>
      <c r="G106" s="109">
        <v>0.10397897523122408</v>
      </c>
      <c r="H106" s="108">
        <f t="shared" si="4"/>
        <v>0.90648066916499048</v>
      </c>
      <c r="I106" s="110">
        <v>0.32024574860913718</v>
      </c>
      <c r="J106" s="118">
        <v>0.31708582919150402</v>
      </c>
      <c r="K106" s="119">
        <v>0.29141068683116284</v>
      </c>
      <c r="L106" s="113">
        <v>0.85</v>
      </c>
      <c r="M106" s="114">
        <v>0.78</v>
      </c>
      <c r="N106" s="97">
        <v>0.87</v>
      </c>
      <c r="O106" s="97">
        <v>0.88171156578350574</v>
      </c>
      <c r="P106" s="115">
        <f t="shared" si="5"/>
        <v>0.85763844698969915</v>
      </c>
    </row>
  </sheetData>
  <mergeCells count="10">
    <mergeCell ref="L9:P9"/>
    <mergeCell ref="B1:G1"/>
    <mergeCell ref="H1:H7"/>
    <mergeCell ref="B2:G2"/>
    <mergeCell ref="B3:E3"/>
    <mergeCell ref="F3:G3"/>
    <mergeCell ref="B4:G4"/>
    <mergeCell ref="B5:G5"/>
    <mergeCell ref="B6:G6"/>
    <mergeCell ref="B7:G7"/>
  </mergeCells>
  <hyperlinks>
    <hyperlink ref="B2" r:id="rId1" xr:uid="{0405A61E-4A94-447C-A770-466FC756C1B1}"/>
    <hyperlink ref="B4" r:id="rId2" xr:uid="{FD5032BC-191C-497D-9E63-E346BF47DF38}"/>
    <hyperlink ref="B5" r:id="rId3" display="http://www.stern.nyu.edu/~adamodar/New_Home_Page/data.html" xr:uid="{B48E143C-B172-43BA-BD93-00B15AB3ADD6}"/>
    <hyperlink ref="B6" r:id="rId4" display="http://www.stern.nyu.edu/~adamodar/pc/datasets/indname.xls" xr:uid="{09AE23E1-209A-4A3D-BC8B-A39C4801230A}"/>
    <hyperlink ref="B7" r:id="rId5" xr:uid="{9A359677-A960-42ED-8433-741AD722863B}"/>
    <hyperlink ref="H1:H7" r:id="rId6" display="YouTube Video explaining estimation choices and process." xr:uid="{545AFBF6-CF77-45A4-98D8-071AE79C5EE2}"/>
  </hyperlinks>
  <pageMargins left="0.75" right="0.75" top="1" bottom="1" header="0.5" footer="0.5"/>
  <pageSetup scale="60" orientation="landscape" horizontalDpi="4294967292" verticalDpi="4294967292"/>
  <headerFooter alignWithMargins="0"/>
  <tableParts count="1">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3898-D1E7-458B-AAD9-6F5BCE703038}">
  <dimension ref="A1:C68"/>
  <sheetViews>
    <sheetView workbookViewId="0">
      <selection activeCell="B2" sqref="B2"/>
    </sheetView>
  </sheetViews>
  <sheetFormatPr defaultColWidth="11.42578125" defaultRowHeight="15" x14ac:dyDescent="0.25"/>
  <cols>
    <col min="1" max="1" width="65.5703125" bestFit="1" customWidth="1"/>
    <col min="2" max="2" width="14.42578125" bestFit="1" customWidth="1"/>
  </cols>
  <sheetData>
    <row r="1" spans="1:2" ht="15.75" thickBot="1" x14ac:dyDescent="0.3">
      <c r="A1" s="23" t="s">
        <v>0</v>
      </c>
      <c r="B1" s="23">
        <v>2023</v>
      </c>
    </row>
    <row r="2" spans="1:2" ht="15.75" thickBot="1" x14ac:dyDescent="0.3">
      <c r="A2" s="18"/>
      <c r="B2" s="24"/>
    </row>
    <row r="3" spans="1:2" ht="15.75" thickBot="1" x14ac:dyDescent="0.3">
      <c r="A3" s="19" t="s">
        <v>1</v>
      </c>
      <c r="B3" s="25">
        <v>16378314.4</v>
      </c>
    </row>
    <row r="4" spans="1:2" x14ac:dyDescent="0.25">
      <c r="A4" s="20" t="s">
        <v>2</v>
      </c>
      <c r="B4" s="26"/>
    </row>
    <row r="5" spans="1:2" x14ac:dyDescent="0.25">
      <c r="A5" s="20" t="s">
        <v>3</v>
      </c>
      <c r="B5" s="27">
        <v>57302</v>
      </c>
    </row>
    <row r="6" spans="1:2" x14ac:dyDescent="0.25">
      <c r="A6" s="20" t="s">
        <v>4</v>
      </c>
      <c r="B6" s="28">
        <v>15239487.4</v>
      </c>
    </row>
    <row r="7" spans="1:2" x14ac:dyDescent="0.25">
      <c r="A7" s="20" t="s">
        <v>5</v>
      </c>
      <c r="B7" s="27">
        <v>1080000</v>
      </c>
    </row>
    <row r="8" spans="1:2" x14ac:dyDescent="0.25">
      <c r="A8" s="20" t="s">
        <v>6</v>
      </c>
      <c r="B8" s="27">
        <v>1525</v>
      </c>
    </row>
    <row r="9" spans="1:2" ht="15.75" thickBot="1" x14ac:dyDescent="0.3">
      <c r="A9" s="20" t="s">
        <v>7</v>
      </c>
      <c r="B9" s="29"/>
    </row>
    <row r="10" spans="1:2" ht="15.75" thickBot="1" x14ac:dyDescent="0.3">
      <c r="A10" s="19" t="s">
        <v>8</v>
      </c>
      <c r="B10" s="30">
        <v>4742369.6430521067</v>
      </c>
    </row>
    <row r="11" spans="1:2" x14ac:dyDescent="0.25">
      <c r="A11" s="20" t="s">
        <v>9</v>
      </c>
      <c r="B11" s="28"/>
    </row>
    <row r="12" spans="1:2" x14ac:dyDescent="0.25">
      <c r="A12" s="20" t="s">
        <v>10</v>
      </c>
      <c r="B12" s="37">
        <v>2343862</v>
      </c>
    </row>
    <row r="13" spans="1:2" x14ac:dyDescent="0.25">
      <c r="A13" s="20" t="s">
        <v>11</v>
      </c>
      <c r="B13" s="37">
        <v>72015.720000000016</v>
      </c>
    </row>
    <row r="14" spans="1:2" x14ac:dyDescent="0.25">
      <c r="A14" s="20" t="s">
        <v>12</v>
      </c>
      <c r="B14" s="37"/>
    </row>
    <row r="15" spans="1:2" x14ac:dyDescent="0.25">
      <c r="A15" s="20" t="s">
        <v>13</v>
      </c>
      <c r="B15" s="37">
        <v>26090</v>
      </c>
    </row>
    <row r="16" spans="1:2" x14ac:dyDescent="0.25">
      <c r="A16" s="20" t="s">
        <v>14</v>
      </c>
      <c r="B16" s="37"/>
    </row>
    <row r="17" spans="1:2" ht="15.75" thickBot="1" x14ac:dyDescent="0.3">
      <c r="A17" s="20" t="s">
        <v>15</v>
      </c>
      <c r="B17" s="40">
        <v>2300401.9230521061</v>
      </c>
    </row>
    <row r="18" spans="1:2" ht="15.75" thickBot="1" x14ac:dyDescent="0.3">
      <c r="A18" s="19" t="s">
        <v>16</v>
      </c>
      <c r="B18" s="33">
        <v>21120684.043052107</v>
      </c>
    </row>
    <row r="19" spans="1:2" ht="15.75" thickBot="1" x14ac:dyDescent="0.3">
      <c r="A19" s="18"/>
      <c r="B19" s="31"/>
    </row>
    <row r="20" spans="1:2" ht="15.75" thickBot="1" x14ac:dyDescent="0.3">
      <c r="A20" s="23" t="s">
        <v>17</v>
      </c>
      <c r="B20" s="23">
        <v>2023</v>
      </c>
    </row>
    <row r="21" spans="1:2" ht="15.75" thickBot="1" x14ac:dyDescent="0.3">
      <c r="A21" s="18"/>
      <c r="B21" s="32"/>
    </row>
    <row r="22" spans="1:2" ht="15.75" thickBot="1" x14ac:dyDescent="0.3">
      <c r="A22" s="19" t="s">
        <v>18</v>
      </c>
      <c r="B22" s="25">
        <v>19520735.416087553</v>
      </c>
    </row>
    <row r="23" spans="1:2" x14ac:dyDescent="0.25">
      <c r="A23" s="20" t="s">
        <v>19</v>
      </c>
      <c r="B23" s="41">
        <v>17570406.416087553</v>
      </c>
    </row>
    <row r="24" spans="1:2" x14ac:dyDescent="0.25">
      <c r="A24" s="20" t="s">
        <v>20</v>
      </c>
      <c r="B24" s="37">
        <v>85185</v>
      </c>
    </row>
    <row r="25" spans="1:2" x14ac:dyDescent="0.25">
      <c r="A25" s="20" t="s">
        <v>21</v>
      </c>
      <c r="B25" s="37">
        <v>234227</v>
      </c>
    </row>
    <row r="26" spans="1:2" x14ac:dyDescent="0.25">
      <c r="A26" s="20" t="s">
        <v>22</v>
      </c>
      <c r="B26" s="37">
        <v>17186274</v>
      </c>
    </row>
    <row r="27" spans="1:2" x14ac:dyDescent="0.25">
      <c r="A27" s="20" t="s">
        <v>141</v>
      </c>
      <c r="B27" s="37">
        <v>-266659</v>
      </c>
    </row>
    <row r="28" spans="1:2" x14ac:dyDescent="0.25">
      <c r="A28" s="20" t="s">
        <v>142</v>
      </c>
      <c r="B28" s="37">
        <v>331379.41608755436</v>
      </c>
    </row>
    <row r="29" spans="1:2" x14ac:dyDescent="0.25">
      <c r="A29" s="20" t="s">
        <v>143</v>
      </c>
      <c r="B29" s="37"/>
    </row>
    <row r="30" spans="1:2" ht="15.75" thickBot="1" x14ac:dyDescent="0.3">
      <c r="A30" s="20" t="s">
        <v>144</v>
      </c>
      <c r="B30" s="37">
        <v>1950329</v>
      </c>
    </row>
    <row r="31" spans="1:2" ht="15.75" thickBot="1" x14ac:dyDescent="0.3">
      <c r="A31" s="19" t="s">
        <v>23</v>
      </c>
      <c r="B31" s="33">
        <v>1208802</v>
      </c>
    </row>
    <row r="32" spans="1:2" x14ac:dyDescent="0.25">
      <c r="A32" s="20" t="s">
        <v>145</v>
      </c>
      <c r="B32" s="41"/>
    </row>
    <row r="33" spans="1:2" x14ac:dyDescent="0.25">
      <c r="A33" s="20" t="s">
        <v>166</v>
      </c>
      <c r="B33" s="37">
        <v>553069</v>
      </c>
    </row>
    <row r="34" spans="1:2" x14ac:dyDescent="0.25">
      <c r="A34" s="20" t="s">
        <v>146</v>
      </c>
      <c r="B34" s="37"/>
    </row>
    <row r="35" spans="1:2" ht="15.75" thickBot="1" x14ac:dyDescent="0.3">
      <c r="A35" s="20" t="s">
        <v>24</v>
      </c>
      <c r="B35" s="34">
        <v>655733</v>
      </c>
    </row>
    <row r="36" spans="1:2" ht="15.75" thickBot="1" x14ac:dyDescent="0.3">
      <c r="A36" s="19" t="s">
        <v>25</v>
      </c>
      <c r="B36" s="25">
        <v>395444.47428955248</v>
      </c>
    </row>
    <row r="37" spans="1:2" x14ac:dyDescent="0.25">
      <c r="A37" s="20" t="s">
        <v>147</v>
      </c>
      <c r="B37" s="34"/>
    </row>
    <row r="38" spans="1:2" x14ac:dyDescent="0.25">
      <c r="A38" s="20" t="s">
        <v>26</v>
      </c>
      <c r="B38" s="34"/>
    </row>
    <row r="39" spans="1:2" x14ac:dyDescent="0.25">
      <c r="A39" s="20" t="s">
        <v>167</v>
      </c>
      <c r="B39" s="34">
        <v>216179</v>
      </c>
    </row>
    <row r="40" spans="1:2" x14ac:dyDescent="0.25">
      <c r="A40" s="20" t="s">
        <v>27</v>
      </c>
      <c r="B40" s="34"/>
    </row>
    <row r="41" spans="1:2" x14ac:dyDescent="0.25">
      <c r="A41" s="20" t="s">
        <v>28</v>
      </c>
      <c r="B41" s="34">
        <v>179265.47428955248</v>
      </c>
    </row>
    <row r="42" spans="1:2" x14ac:dyDescent="0.25">
      <c r="A42" s="20" t="s">
        <v>14</v>
      </c>
      <c r="B42" s="34"/>
    </row>
    <row r="43" spans="1:2" ht="15.75" thickBot="1" x14ac:dyDescent="0.3">
      <c r="A43" s="20" t="s">
        <v>29</v>
      </c>
      <c r="B43" s="42"/>
    </row>
    <row r="44" spans="1:2" ht="15.75" thickBot="1" x14ac:dyDescent="0.3">
      <c r="A44" s="22" t="s">
        <v>30</v>
      </c>
      <c r="B44" s="33">
        <v>21124981.890377104</v>
      </c>
    </row>
    <row r="45" spans="1:2" ht="15.75" thickBot="1" x14ac:dyDescent="0.3">
      <c r="A45" s="52"/>
      <c r="B45" s="35"/>
    </row>
    <row r="46" spans="1:2" ht="15.75" thickBot="1" x14ac:dyDescent="0.3">
      <c r="A46" s="22" t="s">
        <v>31</v>
      </c>
      <c r="B46" s="23">
        <v>2023</v>
      </c>
    </row>
    <row r="47" spans="1:2" x14ac:dyDescent="0.25">
      <c r="A47" s="21" t="s">
        <v>148</v>
      </c>
      <c r="B47" s="36">
        <v>943046.06180000002</v>
      </c>
    </row>
    <row r="48" spans="1:2" x14ac:dyDescent="0.25">
      <c r="A48" s="21" t="s">
        <v>149</v>
      </c>
      <c r="B48" s="36">
        <v>1099456.6800000002</v>
      </c>
    </row>
    <row r="49" spans="1:3" x14ac:dyDescent="0.25">
      <c r="A49" s="21" t="s">
        <v>150</v>
      </c>
      <c r="B49" s="36">
        <v>-855293</v>
      </c>
    </row>
    <row r="50" spans="1:3" x14ac:dyDescent="0.25">
      <c r="A50" s="21" t="s">
        <v>151</v>
      </c>
      <c r="B50" s="36"/>
    </row>
    <row r="51" spans="1:3" x14ac:dyDescent="0.25">
      <c r="A51" s="21" t="s">
        <v>152</v>
      </c>
      <c r="B51" s="37"/>
    </row>
    <row r="52" spans="1:3" x14ac:dyDescent="0.25">
      <c r="A52" s="21" t="s">
        <v>153</v>
      </c>
      <c r="B52" s="34"/>
    </row>
    <row r="53" spans="1:3" x14ac:dyDescent="0.25">
      <c r="A53" s="21" t="s">
        <v>154</v>
      </c>
      <c r="B53" s="28">
        <v>-160746.76800000001</v>
      </c>
    </row>
    <row r="54" spans="1:3" x14ac:dyDescent="0.25">
      <c r="A54" s="21" t="s">
        <v>155</v>
      </c>
      <c r="B54" s="28">
        <v>-282551.47200000001</v>
      </c>
    </row>
    <row r="55" spans="1:3" x14ac:dyDescent="0.25">
      <c r="A55" s="21" t="s">
        <v>156</v>
      </c>
      <c r="B55" s="38">
        <v>-348736</v>
      </c>
    </row>
    <row r="56" spans="1:3" x14ac:dyDescent="0.25">
      <c r="A56" s="21" t="s">
        <v>157</v>
      </c>
      <c r="B56" s="38">
        <v>67478</v>
      </c>
    </row>
    <row r="57" spans="1:3" ht="15.75" thickBot="1" x14ac:dyDescent="0.3">
      <c r="A57" s="21" t="s">
        <v>158</v>
      </c>
      <c r="B57" s="38">
        <v>0</v>
      </c>
    </row>
    <row r="58" spans="1:3" ht="15.75" thickBot="1" x14ac:dyDescent="0.3">
      <c r="A58" s="22" t="s">
        <v>32</v>
      </c>
      <c r="B58" s="53">
        <v>462653.5018000002</v>
      </c>
      <c r="C58" s="54">
        <f>+B58/(B47+B48)</f>
        <v>0.22651303830920524</v>
      </c>
    </row>
    <row r="59" spans="1:3" x14ac:dyDescent="0.25">
      <c r="A59" s="21" t="s">
        <v>159</v>
      </c>
      <c r="B59" s="34">
        <v>6</v>
      </c>
    </row>
    <row r="60" spans="1:3" x14ac:dyDescent="0.25">
      <c r="A60" s="21" t="s">
        <v>160</v>
      </c>
      <c r="B60" s="34">
        <v>-20820.280349927751</v>
      </c>
    </row>
    <row r="61" spans="1:3" x14ac:dyDescent="0.25">
      <c r="A61" s="21" t="s">
        <v>161</v>
      </c>
      <c r="B61" s="37"/>
    </row>
    <row r="62" spans="1:3" x14ac:dyDescent="0.25">
      <c r="A62" s="21" t="s">
        <v>162</v>
      </c>
      <c r="B62" s="37"/>
    </row>
    <row r="63" spans="1:3" x14ac:dyDescent="0.25">
      <c r="A63" s="21" t="s">
        <v>163</v>
      </c>
      <c r="B63" s="37"/>
    </row>
    <row r="64" spans="1:3" ht="15.75" thickBot="1" x14ac:dyDescent="0.3">
      <c r="A64" s="21" t="s">
        <v>164</v>
      </c>
      <c r="B64" s="37"/>
    </row>
    <row r="65" spans="1:2" ht="15.75" thickBot="1" x14ac:dyDescent="0.3">
      <c r="A65" s="22" t="s">
        <v>33</v>
      </c>
      <c r="B65" s="25">
        <v>-20814.280349927751</v>
      </c>
    </row>
    <row r="66" spans="1:2" ht="15.75" thickBot="1" x14ac:dyDescent="0.3">
      <c r="A66" s="22" t="s">
        <v>34</v>
      </c>
      <c r="B66" s="39">
        <v>441839.22145007248</v>
      </c>
    </row>
    <row r="67" spans="1:2" ht="15.75" thickBot="1" x14ac:dyDescent="0.3">
      <c r="A67" s="21" t="s">
        <v>165</v>
      </c>
      <c r="B67" s="34">
        <v>-110459.80536251812</v>
      </c>
    </row>
    <row r="68" spans="1:2" ht="15.75" thickBot="1" x14ac:dyDescent="0.3">
      <c r="A68" s="22" t="s">
        <v>35</v>
      </c>
      <c r="B68" s="25">
        <v>331379.41608755436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944B0-A762-4D43-B0FE-446235F75718}">
  <dimension ref="A1:K8"/>
  <sheetViews>
    <sheetView workbookViewId="0">
      <selection activeCell="H2" sqref="H2"/>
    </sheetView>
  </sheetViews>
  <sheetFormatPr defaultColWidth="11.42578125" defaultRowHeight="15" x14ac:dyDescent="0.25"/>
  <cols>
    <col min="2" max="2" width="78.42578125" bestFit="1" customWidth="1"/>
    <col min="4" max="4" width="39.85546875" bestFit="1" customWidth="1"/>
    <col min="5" max="5" width="8.85546875" customWidth="1"/>
    <col min="6" max="6" width="21.85546875" customWidth="1"/>
    <col min="7" max="7" width="30.5703125" bestFit="1" customWidth="1"/>
    <col min="8" max="8" width="19.28515625" bestFit="1" customWidth="1"/>
    <col min="9" max="9" width="19.7109375" style="56" bestFit="1" customWidth="1"/>
    <col min="10" max="10" width="18.5703125" bestFit="1" customWidth="1"/>
  </cols>
  <sheetData>
    <row r="1" spans="1:11" x14ac:dyDescent="0.25">
      <c r="A1" t="s">
        <v>169</v>
      </c>
      <c r="B1" t="s">
        <v>170</v>
      </c>
      <c r="C1" t="s">
        <v>172</v>
      </c>
      <c r="D1" t="s">
        <v>171</v>
      </c>
      <c r="E1" t="s">
        <v>331</v>
      </c>
      <c r="F1" t="s">
        <v>349</v>
      </c>
      <c r="G1" t="s">
        <v>350</v>
      </c>
      <c r="H1" t="s">
        <v>351</v>
      </c>
      <c r="I1" s="56" t="s">
        <v>187</v>
      </c>
      <c r="J1" t="s">
        <v>188</v>
      </c>
    </row>
    <row r="2" spans="1:11" x14ac:dyDescent="0.25">
      <c r="A2" t="s">
        <v>173</v>
      </c>
      <c r="B2" t="s">
        <v>174</v>
      </c>
      <c r="C2" t="s">
        <v>176</v>
      </c>
      <c r="D2" t="s">
        <v>175</v>
      </c>
      <c r="E2" t="s">
        <v>332</v>
      </c>
      <c r="F2" s="55">
        <v>1.0925</v>
      </c>
      <c r="G2" s="55">
        <v>0.26279999999999998</v>
      </c>
      <c r="H2" s="55">
        <v>0.2205</v>
      </c>
      <c r="I2" s="56">
        <v>0.37</v>
      </c>
      <c r="J2">
        <f>+I2/(1+F2*(1-G2))</f>
        <v>0.20494175499933254</v>
      </c>
    </row>
    <row r="3" spans="1:11" x14ac:dyDescent="0.25">
      <c r="A3" t="s">
        <v>177</v>
      </c>
      <c r="B3" t="s">
        <v>178</v>
      </c>
      <c r="C3" t="s">
        <v>176</v>
      </c>
      <c r="D3" t="s">
        <v>175</v>
      </c>
      <c r="E3" t="s">
        <v>333</v>
      </c>
      <c r="F3" s="55">
        <v>1.3509</v>
      </c>
      <c r="G3" s="55">
        <v>0.1113</v>
      </c>
      <c r="H3" s="55">
        <v>0.22750000000000001</v>
      </c>
      <c r="I3" s="56">
        <v>0.39</v>
      </c>
      <c r="J3">
        <f>+I3/(1+F3*(1-G3))</f>
        <v>0.17722883655135532</v>
      </c>
    </row>
    <row r="4" spans="1:11" x14ac:dyDescent="0.25">
      <c r="A4" t="s">
        <v>179</v>
      </c>
      <c r="B4" t="s">
        <v>180</v>
      </c>
      <c r="C4" t="s">
        <v>176</v>
      </c>
      <c r="D4" t="s">
        <v>175</v>
      </c>
      <c r="E4" t="s">
        <v>334</v>
      </c>
      <c r="F4" s="55">
        <v>0.2843</v>
      </c>
      <c r="G4" s="55">
        <v>0.192</v>
      </c>
      <c r="H4" s="55">
        <v>0.22689999999999999</v>
      </c>
      <c r="I4" s="56">
        <v>0.37</v>
      </c>
      <c r="J4">
        <f t="shared" ref="J4:J7" si="0">+I4/(1+F4*(1-G4))</f>
        <v>0.30088287166516064</v>
      </c>
    </row>
    <row r="5" spans="1:11" x14ac:dyDescent="0.25">
      <c r="A5" t="s">
        <v>181</v>
      </c>
      <c r="B5" t="s">
        <v>182</v>
      </c>
      <c r="C5" t="s">
        <v>176</v>
      </c>
      <c r="D5" t="s">
        <v>175</v>
      </c>
      <c r="E5" t="s">
        <v>335</v>
      </c>
      <c r="F5" s="55">
        <v>1.3121</v>
      </c>
      <c r="G5" s="55">
        <v>-0.74209999999999998</v>
      </c>
      <c r="H5" s="55">
        <v>0.22059999999999999</v>
      </c>
      <c r="J5">
        <f t="shared" si="0"/>
        <v>0</v>
      </c>
      <c r="K5" t="s">
        <v>338</v>
      </c>
    </row>
    <row r="6" spans="1:11" x14ac:dyDescent="0.25">
      <c r="A6" t="s">
        <v>183</v>
      </c>
      <c r="B6" t="s">
        <v>184</v>
      </c>
      <c r="C6" t="s">
        <v>176</v>
      </c>
      <c r="D6" t="s">
        <v>175</v>
      </c>
      <c r="E6" t="s">
        <v>336</v>
      </c>
      <c r="F6" s="55">
        <v>0.3644</v>
      </c>
      <c r="G6" s="55">
        <v>-4.5999999999999999E-3</v>
      </c>
      <c r="H6" s="55">
        <v>0.2261</v>
      </c>
      <c r="I6" s="56">
        <v>-0.11</v>
      </c>
      <c r="J6">
        <f t="shared" si="0"/>
        <v>-8.0522592209055624E-2</v>
      </c>
      <c r="K6" t="s">
        <v>339</v>
      </c>
    </row>
    <row r="7" spans="1:11" ht="15.75" thickBot="1" x14ac:dyDescent="0.3">
      <c r="A7" t="s">
        <v>185</v>
      </c>
      <c r="B7" t="s">
        <v>186</v>
      </c>
      <c r="C7" t="s">
        <v>176</v>
      </c>
      <c r="D7" t="s">
        <v>175</v>
      </c>
      <c r="E7" t="s">
        <v>337</v>
      </c>
      <c r="F7" s="55">
        <v>0.95069999999999988</v>
      </c>
      <c r="G7" s="55">
        <v>0.5363</v>
      </c>
      <c r="H7" s="55">
        <v>0.2288</v>
      </c>
      <c r="I7" s="56">
        <v>3.44</v>
      </c>
      <c r="J7">
        <f t="shared" si="0"/>
        <v>2.3874968621593746</v>
      </c>
      <c r="K7" t="s">
        <v>340</v>
      </c>
    </row>
    <row r="8" spans="1:11" ht="15.75" thickBot="1" x14ac:dyDescent="0.3">
      <c r="I8" s="57" t="s">
        <v>189</v>
      </c>
      <c r="J8" s="58">
        <f>+MEDIAN(J2:J4)</f>
        <v>0.20494175499933254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8</vt:i4>
      </vt:variant>
      <vt:variant>
        <vt:lpstr>Intervals amb nom</vt:lpstr>
      </vt:variant>
      <vt:variant>
        <vt:i4>2</vt:i4>
      </vt:variant>
    </vt:vector>
  </HeadingPairs>
  <TitlesOfParts>
    <vt:vector size="10" baseType="lpstr">
      <vt:lpstr>SOLUCIÓN WACC</vt:lpstr>
      <vt:lpstr>Datos</vt:lpstr>
      <vt:lpstr>BODEGAS</vt:lpstr>
      <vt:lpstr>Beta Bodega</vt:lpstr>
      <vt:lpstr>HOTEL</vt:lpstr>
      <vt:lpstr>Beta Hotel</vt:lpstr>
      <vt:lpstr>Promotora inmobiliaria y alquil</vt:lpstr>
      <vt:lpstr>Beta Promotora</vt:lpstr>
      <vt:lpstr>'Beta Bodega'!Títols_per_imprimir</vt:lpstr>
      <vt:lpstr>'Beta Hotel'!Títols_per_imprimir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Domingo</dc:creator>
  <cp:lastModifiedBy>oriol Calblay</cp:lastModifiedBy>
  <dcterms:created xsi:type="dcterms:W3CDTF">2015-06-05T18:19:34Z</dcterms:created>
  <dcterms:modified xsi:type="dcterms:W3CDTF">2024-05-26T14:51:59Z</dcterms:modified>
</cp:coreProperties>
</file>