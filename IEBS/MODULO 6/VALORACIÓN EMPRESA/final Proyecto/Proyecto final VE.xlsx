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blayrest-my.sharepoint.com/personal/oriol_calblay_com/Documents/Escritorio/notes/IEBS/MODULO 6/VALORACIÓN EMPRESA/final Proyecto/"/>
    </mc:Choice>
  </mc:AlternateContent>
  <xr:revisionPtr revIDLastSave="241" documentId="8_{93B56CD3-18C8-466B-8762-0E0632FC7726}" xr6:coauthVersionLast="47" xr6:coauthVersionMax="47" xr10:uidLastSave="{BFDC3EF4-124C-42D3-B80C-09B7D6062494}"/>
  <bookViews>
    <workbookView xWindow="-108" yWindow="-108" windowWidth="41496" windowHeight="16776" activeTab="1" xr2:uid="{459B15B9-00B9-4138-A28D-D8E337ACC365}"/>
  </bookViews>
  <sheets>
    <sheet name="Hipotésis" sheetId="7" r:id="rId1"/>
    <sheet name="PROYECCION BALANCE" sheetId="5" r:id="rId2"/>
    <sheet name="Proyeccion PYG" sheetId="6" r:id="rId3"/>
    <sheet name="Flujos de Caja" sheetId="8" r:id="rId4"/>
    <sheet name="Balances" sheetId="1" r:id="rId5"/>
    <sheet name="Cuentas PyG" sheetId="2" r:id="rId6"/>
    <sheet name="PyG ALAER" sheetId="3" r:id="rId7"/>
    <sheet name="Balance ALAER" sheetId="4" r:id="rId8"/>
  </sheets>
  <externalReferences>
    <externalReference r:id="rId9"/>
    <externalReference r:id="rId10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8" l="1"/>
  <c r="C11" i="8"/>
  <c r="D11" i="8"/>
  <c r="E11" i="8"/>
  <c r="F11" i="8"/>
  <c r="B12" i="8"/>
  <c r="B5" i="8"/>
  <c r="B10" i="8" s="1"/>
  <c r="G13" i="5"/>
  <c r="G28" i="5"/>
  <c r="F29" i="7"/>
  <c r="G29" i="7"/>
  <c r="H29" i="7"/>
  <c r="I29" i="7"/>
  <c r="E29" i="7"/>
  <c r="F28" i="7"/>
  <c r="G28" i="7"/>
  <c r="H28" i="7"/>
  <c r="I28" i="7"/>
  <c r="E28" i="7"/>
  <c r="F27" i="7"/>
  <c r="G27" i="7"/>
  <c r="H27" i="7"/>
  <c r="I27" i="7"/>
  <c r="E27" i="7"/>
  <c r="E12" i="5"/>
  <c r="E52" i="5" s="1"/>
  <c r="G39" i="5"/>
  <c r="D26" i="7" s="1"/>
  <c r="G29" i="5"/>
  <c r="B11" i="8"/>
  <c r="F63" i="5"/>
  <c r="E63" i="5"/>
  <c r="F61" i="5"/>
  <c r="E61" i="5"/>
  <c r="F60" i="5"/>
  <c r="E60" i="5"/>
  <c r="E53" i="5"/>
  <c r="F53" i="5"/>
  <c r="D53" i="5"/>
  <c r="D52" i="5"/>
  <c r="I26" i="7" l="1"/>
  <c r="H26" i="7"/>
  <c r="E26" i="7"/>
  <c r="G26" i="7"/>
  <c r="F26" i="7"/>
  <c r="H39" i="5"/>
  <c r="I39" i="5" s="1"/>
  <c r="J39" i="5" s="1"/>
  <c r="K39" i="5" s="1"/>
  <c r="F62" i="5" l="1"/>
  <c r="E62" i="5"/>
  <c r="E64" i="5" s="1"/>
  <c r="E54" i="5"/>
  <c r="D54" i="5"/>
  <c r="D44" i="7"/>
  <c r="E48" i="7"/>
  <c r="D48" i="7"/>
  <c r="E47" i="7"/>
  <c r="D47" i="7"/>
  <c r="B48" i="7"/>
  <c r="C48" i="7"/>
  <c r="B47" i="7"/>
  <c r="C47" i="7"/>
  <c r="B29" i="7"/>
  <c r="C29" i="7"/>
  <c r="D29" i="7"/>
  <c r="B28" i="7"/>
  <c r="C28" i="7"/>
  <c r="D28" i="7"/>
  <c r="B27" i="7"/>
  <c r="C27" i="7"/>
  <c r="D27" i="7"/>
  <c r="B26" i="7"/>
  <c r="C26" i="7"/>
  <c r="F69" i="5"/>
  <c r="B21" i="7"/>
  <c r="C21" i="7"/>
  <c r="D21" i="7"/>
  <c r="B16" i="7"/>
  <c r="C16" i="7"/>
  <c r="D16" i="7"/>
  <c r="B15" i="7"/>
  <c r="C15" i="7"/>
  <c r="D15" i="7"/>
  <c r="B14" i="7"/>
  <c r="C14" i="7"/>
  <c r="B36" i="7" s="1"/>
  <c r="D14" i="7"/>
  <c r="F8" i="7"/>
  <c r="G8" i="7"/>
  <c r="H8" i="7"/>
  <c r="I8" i="7"/>
  <c r="E8" i="7"/>
  <c r="B8" i="7"/>
  <c r="C8" i="7"/>
  <c r="D8" i="7"/>
  <c r="B7" i="7"/>
  <c r="C7" i="7"/>
  <c r="D7" i="7"/>
  <c r="B34" i="7"/>
  <c r="B6" i="7"/>
  <c r="C6" i="7"/>
  <c r="D6" i="7"/>
  <c r="B5" i="7"/>
  <c r="C5" i="7"/>
  <c r="D5" i="7"/>
  <c r="E5" i="7" s="1"/>
  <c r="F5" i="7" s="1"/>
  <c r="G5" i="7" s="1"/>
  <c r="H5" i="7" s="1"/>
  <c r="I5" i="7" s="1"/>
  <c r="B4" i="7"/>
  <c r="C4" i="7"/>
  <c r="D4" i="7"/>
  <c r="E4" i="7" s="1"/>
  <c r="F4" i="7" s="1"/>
  <c r="G4" i="7" s="1"/>
  <c r="H4" i="7" s="1"/>
  <c r="I4" i="7" s="1"/>
  <c r="F20" i="6"/>
  <c r="F22" i="6" s="1"/>
  <c r="E20" i="6"/>
  <c r="E22" i="6" s="1"/>
  <c r="D20" i="6"/>
  <c r="D22" i="6" s="1"/>
  <c r="F15" i="6"/>
  <c r="E15" i="6"/>
  <c r="D15" i="6"/>
  <c r="C15" i="6"/>
  <c r="C20" i="6" s="1"/>
  <c r="C22" i="6" s="1"/>
  <c r="B15" i="6"/>
  <c r="B20" i="6" s="1"/>
  <c r="B22" i="6" s="1"/>
  <c r="F38" i="5"/>
  <c r="F32" i="5"/>
  <c r="F25" i="5"/>
  <c r="F24" i="5" s="1"/>
  <c r="F17" i="5"/>
  <c r="F4" i="5"/>
  <c r="E38" i="5"/>
  <c r="D38" i="5"/>
  <c r="C38" i="5"/>
  <c r="B38" i="5"/>
  <c r="E32" i="5"/>
  <c r="D32" i="5"/>
  <c r="C32" i="5"/>
  <c r="B32" i="5"/>
  <c r="E30" i="5"/>
  <c r="E25" i="5" s="1"/>
  <c r="E24" i="5" s="1"/>
  <c r="E44" i="5" s="1"/>
  <c r="D30" i="5"/>
  <c r="D25" i="5" s="1"/>
  <c r="D24" i="5" s="1"/>
  <c r="D44" i="5" s="1"/>
  <c r="C30" i="5"/>
  <c r="C25" i="5" s="1"/>
  <c r="C24" i="5" s="1"/>
  <c r="C44" i="5" s="1"/>
  <c r="B30" i="5"/>
  <c r="B25" i="5" s="1"/>
  <c r="B24" i="5" s="1"/>
  <c r="B44" i="5" s="1"/>
  <c r="E17" i="5"/>
  <c r="E11" i="5" s="1"/>
  <c r="D17" i="5"/>
  <c r="D11" i="5" s="1"/>
  <c r="C17" i="5"/>
  <c r="C11" i="5" s="1"/>
  <c r="B17" i="5"/>
  <c r="B11" i="5" s="1"/>
  <c r="E4" i="5"/>
  <c r="D4" i="5"/>
  <c r="C4" i="5"/>
  <c r="B4" i="5"/>
  <c r="L11" i="1"/>
  <c r="Z72" i="1"/>
  <c r="H15" i="7" l="1"/>
  <c r="F15" i="7"/>
  <c r="I15" i="7"/>
  <c r="E15" i="7"/>
  <c r="G15" i="7"/>
  <c r="F44" i="5"/>
  <c r="F14" i="7"/>
  <c r="G14" i="7"/>
  <c r="H14" i="7"/>
  <c r="I14" i="7"/>
  <c r="E14" i="7"/>
  <c r="F64" i="5"/>
  <c r="E55" i="5"/>
  <c r="G4" i="6"/>
  <c r="E6" i="7"/>
  <c r="B19" i="5"/>
  <c r="C19" i="5"/>
  <c r="D19" i="5"/>
  <c r="E19" i="5"/>
  <c r="G6" i="5" l="1"/>
  <c r="G61" i="5" s="1"/>
  <c r="G5" i="5"/>
  <c r="G6" i="6"/>
  <c r="G9" i="6"/>
  <c r="F6" i="7"/>
  <c r="G8" i="6"/>
  <c r="H4" i="6"/>
  <c r="H13" i="5" s="1"/>
  <c r="F47" i="7"/>
  <c r="P9" i="1"/>
  <c r="H6" i="6" l="1"/>
  <c r="H9" i="6"/>
  <c r="H6" i="5"/>
  <c r="H61" i="5" s="1"/>
  <c r="G60" i="5"/>
  <c r="G62" i="5" s="1"/>
  <c r="F48" i="7"/>
  <c r="H5" i="5" s="1"/>
  <c r="E21" i="7"/>
  <c r="E7" i="7"/>
  <c r="G10" i="6" s="1"/>
  <c r="G63" i="5" s="1"/>
  <c r="G4" i="5"/>
  <c r="G6" i="7"/>
  <c r="H8" i="6"/>
  <c r="I4" i="6"/>
  <c r="I13" i="5" s="1"/>
  <c r="G47" i="7" l="1"/>
  <c r="I6" i="5" s="1"/>
  <c r="I61" i="5" s="1"/>
  <c r="G64" i="5"/>
  <c r="I6" i="6"/>
  <c r="I9" i="6"/>
  <c r="H60" i="5"/>
  <c r="H62" i="5" s="1"/>
  <c r="G48" i="7"/>
  <c r="I5" i="5" s="1"/>
  <c r="F21" i="7"/>
  <c r="H4" i="5"/>
  <c r="G15" i="6"/>
  <c r="B4" i="8" s="1"/>
  <c r="B7" i="8" s="1"/>
  <c r="B8" i="8" s="1"/>
  <c r="B9" i="8" s="1"/>
  <c r="H47" i="7"/>
  <c r="H6" i="7"/>
  <c r="I8" i="6"/>
  <c r="J4" i="6"/>
  <c r="J13" i="5" s="1"/>
  <c r="J6" i="5" l="1"/>
  <c r="J61" i="5" s="1"/>
  <c r="I60" i="5"/>
  <c r="I62" i="5" s="1"/>
  <c r="G21" i="7"/>
  <c r="H48" i="7"/>
  <c r="J5" i="5" s="1"/>
  <c r="I4" i="5"/>
  <c r="J6" i="6"/>
  <c r="J9" i="6"/>
  <c r="I6" i="7"/>
  <c r="J8" i="6"/>
  <c r="K4" i="6"/>
  <c r="K13" i="5" s="1"/>
  <c r="I47" i="7" l="1"/>
  <c r="K6" i="5" s="1"/>
  <c r="K61" i="5" s="1"/>
  <c r="J4" i="5"/>
  <c r="H21" i="7"/>
  <c r="K8" i="6"/>
  <c r="J60" i="5"/>
  <c r="J62" i="5" s="1"/>
  <c r="I48" i="7"/>
  <c r="K5" i="5" s="1"/>
  <c r="K9" i="6"/>
  <c r="K6" i="6"/>
  <c r="K60" i="5" l="1"/>
  <c r="K62" i="5" s="1"/>
  <c r="K4" i="5"/>
  <c r="I21" i="7"/>
  <c r="G8" i="1"/>
  <c r="F19" i="4"/>
  <c r="E19" i="4"/>
  <c r="D19" i="4"/>
  <c r="C19" i="4"/>
  <c r="B19" i="4"/>
  <c r="F13" i="4"/>
  <c r="E13" i="4"/>
  <c r="D13" i="4"/>
  <c r="C13" i="4"/>
  <c r="B13" i="4"/>
  <c r="F11" i="4"/>
  <c r="F6" i="4" s="1"/>
  <c r="F5" i="4" s="1"/>
  <c r="F25" i="4" s="1"/>
  <c r="E11" i="4"/>
  <c r="E6" i="4" s="1"/>
  <c r="E5" i="4" s="1"/>
  <c r="E25" i="4" s="1"/>
  <c r="D11" i="4"/>
  <c r="D6" i="4" s="1"/>
  <c r="D5" i="4" s="1"/>
  <c r="D25" i="4" s="1"/>
  <c r="C11" i="4"/>
  <c r="C6" i="4" s="1"/>
  <c r="C5" i="4" s="1"/>
  <c r="C25" i="4" s="1"/>
  <c r="B11" i="4"/>
  <c r="B6" i="4" s="1"/>
  <c r="B5" i="4" s="1"/>
  <c r="B25" i="4" s="1"/>
  <c r="G38" i="1"/>
  <c r="G32" i="1"/>
  <c r="N48" i="3"/>
  <c r="B32" i="3"/>
  <c r="B31" i="3"/>
  <c r="B28" i="3"/>
  <c r="B27" i="3"/>
  <c r="B29" i="3" s="1"/>
  <c r="F20" i="3"/>
  <c r="F22" i="3" s="1"/>
  <c r="E20" i="3"/>
  <c r="E22" i="3" s="1"/>
  <c r="D20" i="3"/>
  <c r="D22" i="3" s="1"/>
  <c r="F15" i="3"/>
  <c r="E15" i="3"/>
  <c r="D15" i="3"/>
  <c r="C15" i="3"/>
  <c r="C20" i="3" s="1"/>
  <c r="C22" i="3" s="1"/>
  <c r="B15" i="3"/>
  <c r="B20" i="3" s="1"/>
  <c r="B22" i="3" s="1"/>
  <c r="H9" i="3"/>
  <c r="G9" i="3"/>
  <c r="H8" i="3"/>
  <c r="G8" i="3"/>
  <c r="H4" i="3"/>
  <c r="G5" i="1"/>
  <c r="G17" i="1"/>
  <c r="G11" i="1" s="1"/>
  <c r="B33" i="3" l="1"/>
  <c r="B34" i="3" s="1"/>
  <c r="B36" i="3" s="1"/>
  <c r="G26" i="1" s="1"/>
  <c r="G25" i="1"/>
  <c r="G24" i="1" s="1"/>
  <c r="G4" i="1"/>
  <c r="G19" i="1" s="1"/>
  <c r="G44" i="1" l="1"/>
  <c r="T8" i="1"/>
  <c r="T9" i="1" s="1"/>
  <c r="L12" i="1" s="1"/>
  <c r="L16" i="1" s="1"/>
  <c r="T11" i="1" s="1"/>
  <c r="H44" i="1"/>
  <c r="G9" i="2" l="1"/>
  <c r="H9" i="2"/>
  <c r="I9" i="2"/>
  <c r="G6" i="2"/>
  <c r="H6" i="2"/>
  <c r="I6" i="2"/>
  <c r="F15" i="2"/>
  <c r="F20" i="2" s="1"/>
  <c r="F22" i="2" s="1"/>
  <c r="F38" i="1"/>
  <c r="F32" i="1"/>
  <c r="F25" i="1"/>
  <c r="F24" i="1" s="1"/>
  <c r="F17" i="1"/>
  <c r="F11" i="1" s="1"/>
  <c r="F4" i="1"/>
  <c r="F44" i="1" l="1"/>
  <c r="F19" i="1"/>
  <c r="B38" i="1" l="1"/>
  <c r="B32" i="1"/>
  <c r="B17" i="1"/>
  <c r="B11" i="1" s="1"/>
  <c r="B4" i="1"/>
  <c r="C4" i="1"/>
  <c r="D4" i="1"/>
  <c r="E4" i="1"/>
  <c r="C38" i="1"/>
  <c r="D32" i="1"/>
  <c r="C32" i="1"/>
  <c r="E17" i="1"/>
  <c r="D17" i="1"/>
  <c r="C17" i="1"/>
  <c r="B19" i="1" l="1"/>
  <c r="E15" i="2"/>
  <c r="D15" i="2"/>
  <c r="C11" i="1"/>
  <c r="C19" i="1" s="1"/>
  <c r="E38" i="1"/>
  <c r="B15" i="2"/>
  <c r="C15" i="2"/>
  <c r="E11" i="1"/>
  <c r="D11" i="1"/>
  <c r="D19" i="1" s="1"/>
  <c r="D38" i="1"/>
  <c r="E32" i="1"/>
  <c r="C20" i="2" l="1"/>
  <c r="C22" i="2" s="1"/>
  <c r="B20" i="2"/>
  <c r="B22" i="2" s="1"/>
  <c r="D20" i="2"/>
  <c r="D22" i="2" s="1"/>
  <c r="E20" i="2"/>
  <c r="E22" i="2" s="1"/>
  <c r="E19" i="1"/>
  <c r="E30" i="1" l="1"/>
  <c r="E25" i="1" s="1"/>
  <c r="E24" i="1" s="1"/>
  <c r="E44" i="1" s="1"/>
  <c r="D30" i="1"/>
  <c r="D25" i="1" s="1"/>
  <c r="D24" i="1" s="1"/>
  <c r="D44" i="1" s="1"/>
  <c r="C30" i="1"/>
  <c r="C25" i="1" s="1"/>
  <c r="C24" i="1" s="1"/>
  <c r="C44" i="1" s="1"/>
  <c r="B30" i="1"/>
  <c r="B25" i="1" s="1"/>
  <c r="B24" i="1" l="1"/>
  <c r="B44" i="1" s="1"/>
  <c r="G69" i="5"/>
  <c r="H69" i="5"/>
  <c r="I69" i="5"/>
  <c r="J69" i="5"/>
  <c r="K69" i="5"/>
  <c r="C4" i="8" l="1"/>
  <c r="D4" i="8"/>
  <c r="E4" i="8"/>
  <c r="F4" i="8"/>
  <c r="C5" i="8"/>
  <c r="D5" i="8"/>
  <c r="E5" i="8"/>
  <c r="F5" i="8"/>
  <c r="C7" i="8"/>
  <c r="D7" i="8"/>
  <c r="E7" i="8"/>
  <c r="F7" i="8"/>
  <c r="C8" i="8"/>
  <c r="D8" i="8"/>
  <c r="E8" i="8"/>
  <c r="F8" i="8"/>
  <c r="C9" i="8"/>
  <c r="D9" i="8"/>
  <c r="E9" i="8"/>
  <c r="F9" i="8"/>
  <c r="C10" i="8"/>
  <c r="D10" i="8"/>
  <c r="E10" i="8"/>
  <c r="F10" i="8"/>
  <c r="C12" i="8"/>
  <c r="D12" i="8"/>
  <c r="E12" i="8"/>
  <c r="F12" i="8"/>
  <c r="B13" i="8"/>
  <c r="C13" i="8"/>
  <c r="D13" i="8"/>
  <c r="E13" i="8"/>
  <c r="F13" i="8"/>
  <c r="B14" i="8"/>
  <c r="C14" i="8"/>
  <c r="D14" i="8"/>
  <c r="E14" i="8"/>
  <c r="F14" i="8"/>
  <c r="B19" i="8"/>
  <c r="C19" i="8"/>
  <c r="D19" i="8"/>
  <c r="E19" i="8"/>
  <c r="F19" i="8"/>
  <c r="B20" i="8"/>
  <c r="C20" i="8"/>
  <c r="D20" i="8"/>
  <c r="E20" i="8"/>
  <c r="F20" i="8"/>
  <c r="B21" i="8"/>
  <c r="C21" i="8"/>
  <c r="D21" i="8"/>
  <c r="E21" i="8"/>
  <c r="F21" i="8"/>
  <c r="B22" i="8"/>
  <c r="C22" i="8"/>
  <c r="D22" i="8"/>
  <c r="E22" i="8"/>
  <c r="F22" i="8"/>
  <c r="B23" i="8"/>
  <c r="C23" i="8"/>
  <c r="D23" i="8"/>
  <c r="E23" i="8"/>
  <c r="F23" i="8"/>
  <c r="C28" i="8"/>
  <c r="D28" i="8"/>
  <c r="E28" i="8"/>
  <c r="F28" i="8"/>
  <c r="B29" i="8"/>
  <c r="C29" i="8"/>
  <c r="D29" i="8"/>
  <c r="E29" i="8"/>
  <c r="F29" i="8"/>
  <c r="B32" i="8"/>
  <c r="C32" i="8"/>
  <c r="D32" i="8"/>
  <c r="E32" i="8"/>
  <c r="F32" i="8"/>
  <c r="F7" i="7"/>
  <c r="G7" i="7"/>
  <c r="H7" i="7"/>
  <c r="I7" i="7"/>
  <c r="D13" i="7"/>
  <c r="E13" i="7"/>
  <c r="F13" i="7"/>
  <c r="G13" i="7"/>
  <c r="H13" i="7"/>
  <c r="I13" i="7"/>
  <c r="E16" i="7"/>
  <c r="F16" i="7"/>
  <c r="G16" i="7"/>
  <c r="H16" i="7"/>
  <c r="I16" i="7"/>
  <c r="E44" i="7"/>
  <c r="F44" i="7"/>
  <c r="G44" i="7"/>
  <c r="H44" i="7"/>
  <c r="I44" i="7"/>
  <c r="F11" i="5"/>
  <c r="G11" i="5"/>
  <c r="H11" i="5"/>
  <c r="I11" i="5"/>
  <c r="J11" i="5"/>
  <c r="K11" i="5"/>
  <c r="F12" i="5"/>
  <c r="G12" i="5"/>
  <c r="H12" i="5"/>
  <c r="I12" i="5"/>
  <c r="J12" i="5"/>
  <c r="K12" i="5"/>
  <c r="G17" i="5"/>
  <c r="H17" i="5"/>
  <c r="I17" i="5"/>
  <c r="J17" i="5"/>
  <c r="K17" i="5"/>
  <c r="G18" i="5"/>
  <c r="H18" i="5"/>
  <c r="I18" i="5"/>
  <c r="J18" i="5"/>
  <c r="K18" i="5"/>
  <c r="F19" i="5"/>
  <c r="G19" i="5"/>
  <c r="H19" i="5"/>
  <c r="I19" i="5"/>
  <c r="J19" i="5"/>
  <c r="K19" i="5"/>
  <c r="G24" i="5"/>
  <c r="H24" i="5"/>
  <c r="I24" i="5"/>
  <c r="J24" i="5"/>
  <c r="K24" i="5"/>
  <c r="G25" i="5"/>
  <c r="H25" i="5"/>
  <c r="I25" i="5"/>
  <c r="J25" i="5"/>
  <c r="K25" i="5"/>
  <c r="H28" i="5"/>
  <c r="I28" i="5"/>
  <c r="J28" i="5"/>
  <c r="K28" i="5"/>
  <c r="H29" i="5"/>
  <c r="I29" i="5"/>
  <c r="J29" i="5"/>
  <c r="K29" i="5"/>
  <c r="G30" i="5"/>
  <c r="H30" i="5"/>
  <c r="I30" i="5"/>
  <c r="J30" i="5"/>
  <c r="K30" i="5"/>
  <c r="G32" i="5"/>
  <c r="H32" i="5"/>
  <c r="I32" i="5"/>
  <c r="J32" i="5"/>
  <c r="K32" i="5"/>
  <c r="G34" i="5"/>
  <c r="H34" i="5"/>
  <c r="I34" i="5"/>
  <c r="J34" i="5"/>
  <c r="K34" i="5"/>
  <c r="G38" i="5"/>
  <c r="H38" i="5"/>
  <c r="I38" i="5"/>
  <c r="J38" i="5"/>
  <c r="K38" i="5"/>
  <c r="G42" i="5"/>
  <c r="H42" i="5"/>
  <c r="I42" i="5"/>
  <c r="J42" i="5"/>
  <c r="K42" i="5"/>
  <c r="G44" i="5"/>
  <c r="H44" i="5"/>
  <c r="I44" i="5"/>
  <c r="J44" i="5"/>
  <c r="K44" i="5"/>
  <c r="F52" i="5"/>
  <c r="G52" i="5"/>
  <c r="H52" i="5"/>
  <c r="I52" i="5"/>
  <c r="J52" i="5"/>
  <c r="K52" i="5"/>
  <c r="G53" i="5"/>
  <c r="H53" i="5"/>
  <c r="I53" i="5"/>
  <c r="J53" i="5"/>
  <c r="K53" i="5"/>
  <c r="F54" i="5"/>
  <c r="G54" i="5"/>
  <c r="H54" i="5"/>
  <c r="I54" i="5"/>
  <c r="J54" i="5"/>
  <c r="K54" i="5"/>
  <c r="F55" i="5"/>
  <c r="G55" i="5"/>
  <c r="H55" i="5"/>
  <c r="I55" i="5"/>
  <c r="J55" i="5"/>
  <c r="K55" i="5"/>
  <c r="H63" i="5"/>
  <c r="I63" i="5"/>
  <c r="J63" i="5"/>
  <c r="K63" i="5"/>
  <c r="H64" i="5"/>
  <c r="I64" i="5"/>
  <c r="J64" i="5"/>
  <c r="K64" i="5"/>
  <c r="G70" i="5"/>
  <c r="H70" i="5"/>
  <c r="I70" i="5"/>
  <c r="J70" i="5"/>
  <c r="K70" i="5"/>
  <c r="G71" i="5"/>
  <c r="H71" i="5"/>
  <c r="I71" i="5"/>
  <c r="J71" i="5"/>
  <c r="K71" i="5"/>
  <c r="H10" i="6"/>
  <c r="I10" i="6"/>
  <c r="J10" i="6"/>
  <c r="K10" i="6"/>
  <c r="H15" i="6"/>
  <c r="I15" i="6"/>
  <c r="J15" i="6"/>
  <c r="K15" i="6"/>
  <c r="G17" i="6"/>
  <c r="H17" i="6"/>
  <c r="I17" i="6"/>
  <c r="J17" i="6"/>
  <c r="K17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</calcChain>
</file>

<file path=xl/sharedStrings.xml><?xml version="1.0" encoding="utf-8"?>
<sst xmlns="http://schemas.openxmlformats.org/spreadsheetml/2006/main" count="523" uniqueCount="269">
  <si>
    <t>ESTRUCTURA DEL ACTIVO SOCIETARIO</t>
  </si>
  <si>
    <t>CONCEPTO</t>
  </si>
  <si>
    <t>A) ACTIVO NO CORRIENTE</t>
  </si>
  <si>
    <t>I Inmovilizado intangible</t>
  </si>
  <si>
    <t>II Inmovilizado material</t>
  </si>
  <si>
    <t>III Inv. Inmobiliarias</t>
  </si>
  <si>
    <t>IV Inv. en empr. del grupo y asociadas a l.p.</t>
  </si>
  <si>
    <t>V Inversiones financieras a largo plazo</t>
  </si>
  <si>
    <t>VI Activos por impuesto diferido</t>
  </si>
  <si>
    <t>B) ACTIVO CORRIENTE</t>
  </si>
  <si>
    <t>II Existencias</t>
  </si>
  <si>
    <t>III Deudores comerc. y otras cuentas a cobr.</t>
  </si>
  <si>
    <t>IV Inv. en empr. del grupo y asociadas a c.p.</t>
  </si>
  <si>
    <t>V Inversiones financieras a corto plazo</t>
  </si>
  <si>
    <t>VI Periodificaciones a corto plazo</t>
  </si>
  <si>
    <t>VII Efectivo y otros activos líquidos equiv.</t>
  </si>
  <si>
    <t>1. Tesorería</t>
  </si>
  <si>
    <t>TOTAL ACTIVO</t>
  </si>
  <si>
    <t>ESTRUCTURA DEL PASIVO SOCIETARIO</t>
  </si>
  <si>
    <t>A) PATRIMONIO NETO</t>
  </si>
  <si>
    <t>A-1) Fondos propios</t>
  </si>
  <si>
    <t>I Capital</t>
  </si>
  <si>
    <t>II Prima de emisión</t>
  </si>
  <si>
    <t>III Reservas</t>
  </si>
  <si>
    <t>V Resultados de ejercicios anteriores</t>
  </si>
  <si>
    <t>VII Resultado del ejercicio</t>
  </si>
  <si>
    <t>B) PASIVO NO CORRIENTE</t>
  </si>
  <si>
    <t>I Provisiones a largo plazo</t>
  </si>
  <si>
    <t>II Deudas a largo plazo</t>
  </si>
  <si>
    <t>III Deudas con empr. del grupo y asoc. a l.p.</t>
  </si>
  <si>
    <t>IV Pasivos por impuesto diferido</t>
  </si>
  <si>
    <t>V Periodificaciones a largo plazo</t>
  </si>
  <si>
    <t>C) PASIVO CORRIENTE</t>
  </si>
  <si>
    <t>II Provisiones a corto plazo</t>
  </si>
  <si>
    <t>III Deudas a corto plazo</t>
  </si>
  <si>
    <t>IV Deudas empr. del grupo y asoc. a c.p.</t>
  </si>
  <si>
    <t>V Acreed. comerc.y otras cuentas a pagar</t>
  </si>
  <si>
    <t>TOTAL PATRIMONIO NETO Y PASIVO</t>
  </si>
  <si>
    <t>ESTUCTURA DE LA CUENTA DE RESULTADOS</t>
  </si>
  <si>
    <t>1. Importe neto de la cifra de negocios</t>
  </si>
  <si>
    <t>3. Trabajos realiz. por la empr para su activo</t>
  </si>
  <si>
    <t>4. Aprovisionamientos</t>
  </si>
  <si>
    <t>5. Otros ingresos de explotación</t>
  </si>
  <si>
    <t>6. Gastos de personal</t>
  </si>
  <si>
    <t>7. Otros gastos de explotación</t>
  </si>
  <si>
    <t>8. Amortización del inmovilizado</t>
  </si>
  <si>
    <t>9. Imputación de subv. de inmov. no financ.</t>
  </si>
  <si>
    <t>10. Exceso de provisiones</t>
  </si>
  <si>
    <t>11. Deterioro y result. por enaj. del inmovilizado</t>
  </si>
  <si>
    <t>13. Otros resultados</t>
  </si>
  <si>
    <t>A1) RESULTADO DE EXPLOTACIÓN</t>
  </si>
  <si>
    <t>14. Ingresos financieros</t>
  </si>
  <si>
    <t>15. Gastos financieros</t>
  </si>
  <si>
    <t>17. Diferencias de cambio</t>
  </si>
  <si>
    <t>18. Deterioro y result. por enaj. de instr. financ.</t>
  </si>
  <si>
    <t>A3) RESULTADO ANTES DE IMPUESTOS</t>
  </si>
  <si>
    <t>19. Impuestos sobre beneficios</t>
  </si>
  <si>
    <t>A5) Resultado del ejercicio</t>
  </si>
  <si>
    <t>A-2) Subvenciones, donac. y legados recib.</t>
  </si>
  <si>
    <t xml:space="preserve"> y otros </t>
  </si>
  <si>
    <t>Ajuste</t>
  </si>
  <si>
    <t>EBITDA</t>
  </si>
  <si>
    <t>Ticker</t>
  </si>
  <si>
    <t>Company Name</t>
  </si>
  <si>
    <t>Global Region</t>
  </si>
  <si>
    <t>Country</t>
  </si>
  <si>
    <t>Industry</t>
  </si>
  <si>
    <t>Trailing TEV/EBITDA (2022)</t>
  </si>
  <si>
    <t>EV/EBITDA</t>
  </si>
  <si>
    <t>ALA</t>
  </si>
  <si>
    <t>A.L.A. società per azioni</t>
  </si>
  <si>
    <t>Europe</t>
  </si>
  <si>
    <t>ITA</t>
  </si>
  <si>
    <t>Air Freight and Logistics</t>
  </si>
  <si>
    <t>EV BODEGA</t>
  </si>
  <si>
    <t>ALCLA</t>
  </si>
  <si>
    <t>Clasquin SA</t>
  </si>
  <si>
    <t>FRA</t>
  </si>
  <si>
    <t>DEUDA FINANCIERA</t>
  </si>
  <si>
    <t>AQ</t>
  </si>
  <si>
    <t>Aquila Part Prod Com S.A.</t>
  </si>
  <si>
    <t>ROU</t>
  </si>
  <si>
    <t>TESORERIA</t>
  </si>
  <si>
    <t>BPOST</t>
  </si>
  <si>
    <t>bpost NV/SA</t>
  </si>
  <si>
    <t>BEL</t>
  </si>
  <si>
    <t>ACTIVOS NO OPERATIVOS</t>
  </si>
  <si>
    <t>CTT</t>
  </si>
  <si>
    <t>CTT - Correios De Portugal, S.A.</t>
  </si>
  <si>
    <t>PRT</t>
  </si>
  <si>
    <t>EQUITY VALUE BODEGA</t>
  </si>
  <si>
    <t>DE1</t>
  </si>
  <si>
    <t>Deufol SE</t>
  </si>
  <si>
    <t>DEU</t>
  </si>
  <si>
    <t>Participación 100% HOLDING</t>
  </si>
  <si>
    <t>DPW</t>
  </si>
  <si>
    <t>Deutsche Post AG</t>
  </si>
  <si>
    <t>Valor contable</t>
  </si>
  <si>
    <t>IDS</t>
  </si>
  <si>
    <t>International Distributions Services plc</t>
  </si>
  <si>
    <t>GBR</t>
  </si>
  <si>
    <t>Plusvalía participación</t>
  </si>
  <si>
    <t>Inversion en empresas</t>
  </si>
  <si>
    <t>IEKG</t>
  </si>
  <si>
    <t>Intereuropa, d. d.</t>
  </si>
  <si>
    <t>SVN</t>
  </si>
  <si>
    <t>JETPAK</t>
  </si>
  <si>
    <t>Jetpak Top Holding AB (publ)</t>
  </si>
  <si>
    <t>SWE</t>
  </si>
  <si>
    <t>LOG</t>
  </si>
  <si>
    <t>Compañía de Distribución Integral Logista Holdings, S.A.</t>
  </si>
  <si>
    <t>ESP</t>
  </si>
  <si>
    <t>MTP</t>
  </si>
  <si>
    <t>MaltaPost p.l.c.</t>
  </si>
  <si>
    <t>MLT</t>
  </si>
  <si>
    <t>NLG1V</t>
  </si>
  <si>
    <t>Nurminen Logistics Oyj</t>
  </si>
  <si>
    <t>FIN</t>
  </si>
  <si>
    <t>PNL</t>
  </si>
  <si>
    <t>PostNL N.V.</t>
  </si>
  <si>
    <t>NLD</t>
  </si>
  <si>
    <t>POST</t>
  </si>
  <si>
    <t>Österreichische Post AG</t>
  </si>
  <si>
    <t>AUT</t>
  </si>
  <si>
    <t>SPDY</t>
  </si>
  <si>
    <t>Speedy AD</t>
  </si>
  <si>
    <t>BGR</t>
  </si>
  <si>
    <t>TGHN</t>
  </si>
  <si>
    <t>Logwin AG</t>
  </si>
  <si>
    <t>WIN</t>
  </si>
  <si>
    <t>Wincanton plc</t>
  </si>
  <si>
    <t>XBS</t>
  </si>
  <si>
    <t>XBS PRO-LOG S.A.</t>
  </si>
  <si>
    <t>POL</t>
  </si>
  <si>
    <t>MEDIANA</t>
  </si>
  <si>
    <t>ESTIMACIÓN DEL COSTE DEL CAPITAL MEDIO PONDERADO</t>
  </si>
  <si>
    <t>COSTE DE LA DEUDA FINANCIERA</t>
  </si>
  <si>
    <t>COSTE DEL CAPITAL MEDIO PONDERADO</t>
  </si>
  <si>
    <t>Tipo sin riesgo</t>
  </si>
  <si>
    <t>kd</t>
  </si>
  <si>
    <t>DF/(DF+E)</t>
  </si>
  <si>
    <t>Prima de mercado</t>
  </si>
  <si>
    <t>kd desp. impuestos</t>
  </si>
  <si>
    <t>DF/E</t>
  </si>
  <si>
    <t>Beta desapalancada</t>
  </si>
  <si>
    <t>WACC</t>
  </si>
  <si>
    <t>Beta reapalancada</t>
  </si>
  <si>
    <t>Tipo impositivo</t>
  </si>
  <si>
    <t>Prima de liquidez</t>
  </si>
  <si>
    <t>ke</t>
  </si>
  <si>
    <t>COSTE DE LOS FONDOS PROPIOS CAESA</t>
  </si>
  <si>
    <t>Date updated:</t>
  </si>
  <si>
    <t>YouTube Video explaining estimation choices and process.</t>
  </si>
  <si>
    <t>Created by:</t>
  </si>
  <si>
    <t>Aswath Damodaran, adamodar@stern.nyu.edu</t>
  </si>
  <si>
    <t>What is this data?</t>
  </si>
  <si>
    <t>Beta, Unlevered beta and other risk measures</t>
  </si>
  <si>
    <t>Emerging Markets</t>
  </si>
  <si>
    <t>Home Page:</t>
  </si>
  <si>
    <t>http://www.damodaran.com</t>
  </si>
  <si>
    <t>Data website:</t>
  </si>
  <si>
    <t>https://pages.stern.nyu.edu/~adamodar/New_Home_Page/data.html</t>
  </si>
  <si>
    <t>Companies in each industry:</t>
  </si>
  <si>
    <t>https://pages.stern.nyu.edu/~adamodar/pc/datasets/indname.xls</t>
  </si>
  <si>
    <t>Variable definitions:</t>
  </si>
  <si>
    <t>https://pages.stern.nyu.edu/~adamodar/New_Home_Page/datafile/variable.htm</t>
  </si>
  <si>
    <t>Do you want to use marginal or effective tax rates in unlevering betas?</t>
  </si>
  <si>
    <t>Marginal</t>
  </si>
  <si>
    <t>If marginal tax rate, enter the marginal tax rate to use</t>
  </si>
  <si>
    <t>Beta over time</t>
  </si>
  <si>
    <t>Industry Name</t>
  </si>
  <si>
    <t>Number of firms</t>
  </si>
  <si>
    <t xml:space="preserve">Beta </t>
  </si>
  <si>
    <t>D/E Ratio</t>
  </si>
  <si>
    <t>Effective Tax rate</t>
  </si>
  <si>
    <t>Unlevered beta</t>
  </si>
  <si>
    <t>Cash/Firm value</t>
  </si>
  <si>
    <t>Unlevered beta corrected for cash</t>
  </si>
  <si>
    <t>HiLo Risk</t>
  </si>
  <si>
    <t>Standard deviation of equity</t>
  </si>
  <si>
    <t>Standard deviation in operating income (last 10 years)</t>
  </si>
  <si>
    <t>2020</t>
  </si>
  <si>
    <t>2021</t>
  </si>
  <si>
    <t>2022</t>
  </si>
  <si>
    <t>Average: 2020-24</t>
  </si>
  <si>
    <t>Air Transport</t>
  </si>
  <si>
    <t>Kd</t>
  </si>
  <si>
    <t>considermaos que todo se fiancia con fondos propios, deuda es minima.</t>
  </si>
  <si>
    <t>X+1</t>
  </si>
  <si>
    <t>X+2</t>
  </si>
  <si>
    <t>X+3</t>
  </si>
  <si>
    <t>X+4</t>
  </si>
  <si>
    <t>X+5</t>
  </si>
  <si>
    <t>CUENTAS DE RESULTADOS</t>
  </si>
  <si>
    <t>HIPÓTESIS DE CUENTA RESULTADOS</t>
  </si>
  <si>
    <t>X-2</t>
  </si>
  <si>
    <t>X-1</t>
  </si>
  <si>
    <t>X</t>
  </si>
  <si>
    <t>Crec. Imp. neto de la cifra de negocios</t>
  </si>
  <si>
    <t>Gastos de personal/Imp. neto cifra de neg.</t>
  </si>
  <si>
    <t>Dotación amort./Inmovilizado Neto</t>
  </si>
  <si>
    <t>Impuesto sobre beneficios/Result. antes imp.</t>
  </si>
  <si>
    <t>HIPÓTESIS DE CAPITAL CIRCULANTE</t>
  </si>
  <si>
    <t>Periodo medio de cobro</t>
  </si>
  <si>
    <t>Periodo medio de pago</t>
  </si>
  <si>
    <t>HIPÓTESIS DE INMOVILIZADO</t>
  </si>
  <si>
    <t>Inmovilizado int./Inmovilizado int. y mat.</t>
  </si>
  <si>
    <t>HIPÓTESIS DE ESTRUCTURA FINANCIERA</t>
  </si>
  <si>
    <t>Deuda fin./(Deuda fin.+Patr. neto objetivo)</t>
  </si>
  <si>
    <t>Deuda fin. l.p./Deuda fin. total</t>
  </si>
  <si>
    <t>Deudas fin. a c.p./Deuda fin. total</t>
  </si>
  <si>
    <t>Gastos financieros/Deuda financiera</t>
  </si>
  <si>
    <t>Crecimiento ventas en X+5</t>
  </si>
  <si>
    <t xml:space="preserve">Impuesto sobre sociedades </t>
  </si>
  <si>
    <t>Coste efectvo de  la deuda</t>
  </si>
  <si>
    <t>Activo fijo material/Imp. neto cifra neg.</t>
  </si>
  <si>
    <t>Activo fijo intangible/Imp. neto cifra neg.</t>
  </si>
  <si>
    <t>Aprovisionamientos</t>
  </si>
  <si>
    <t>Aprovionamiento</t>
  </si>
  <si>
    <t>Gasto personal en x+5 vba ser el mismo x-2</t>
  </si>
  <si>
    <t>Otros Gastos de expl. van mantenerse según las ventas</t>
  </si>
  <si>
    <t>Mantener la inversion a corto plazo</t>
  </si>
  <si>
    <t>Deudas Acreed. comerc.y otras cuentas a pagar</t>
  </si>
  <si>
    <t>RESUMEN DE MAGNITUDES</t>
  </si>
  <si>
    <t>a) Capital circulante</t>
  </si>
  <si>
    <t>Activo circulante</t>
  </si>
  <si>
    <t>Pasivo circulante</t>
  </si>
  <si>
    <t>Fondo de maniobra necesario</t>
  </si>
  <si>
    <t>Variación fondo de maniobra necesario</t>
  </si>
  <si>
    <t>b) Activo fijo</t>
  </si>
  <si>
    <t>Variación inmovilizado intangible neto</t>
  </si>
  <si>
    <t>Variación inmovilizado material neto</t>
  </si>
  <si>
    <t>Variación inmovilizado neto total</t>
  </si>
  <si>
    <t>Amortización del inmovilizado</t>
  </si>
  <si>
    <t>CAPEX</t>
  </si>
  <si>
    <t>c) Estructura financiera</t>
  </si>
  <si>
    <t>Deuda fin./Patrimonio neto objetivo</t>
  </si>
  <si>
    <t>Variación de patrimonio neto</t>
  </si>
  <si>
    <t>Variación de deuda financiera</t>
  </si>
  <si>
    <t>X-4</t>
  </si>
  <si>
    <t>X-3</t>
  </si>
  <si>
    <t>Promedio medio de cobro volver x-1</t>
  </si>
  <si>
    <t>Promedio medio de pago igualar al a x-1 al x+5</t>
  </si>
  <si>
    <t>DESGLOSE DEL FLUJO DE CAJA LIBRE</t>
  </si>
  <si>
    <t>Dotación a la amortización</t>
  </si>
  <si>
    <t>Imputación de subvención por inmovilizado</t>
  </si>
  <si>
    <t>EBIT</t>
  </si>
  <si>
    <t>Impuestos ajustados</t>
  </si>
  <si>
    <t>NOPLAT</t>
  </si>
  <si>
    <t>Var. Fondo de maniobra necesario</t>
  </si>
  <si>
    <t>FLUJO DE CAJA LIBRE</t>
  </si>
  <si>
    <t>DESGLOSE DEL FLUJO DE CAJA LIBRE PARA EL ACCIONISTA</t>
  </si>
  <si>
    <t>Gastos financieros</t>
  </si>
  <si>
    <t>Escudo fiscal</t>
  </si>
  <si>
    <t>Incremento/amortización de Deuda</t>
  </si>
  <si>
    <t>FLUJO PARA LOS ACCIONISTAS</t>
  </si>
  <si>
    <t>SALDO CONTABLE DE CAJA</t>
  </si>
  <si>
    <t>Saldo de caja del ejercicio anterior</t>
  </si>
  <si>
    <t>Flujo de caja libre para los accionistas</t>
  </si>
  <si>
    <t>Aportaciones accionistas</t>
  </si>
  <si>
    <t>Dividendos repartidos</t>
  </si>
  <si>
    <t>SALDO DE CAJA DEL EJERCICIO</t>
  </si>
  <si>
    <t>Periodo medio de inventario</t>
  </si>
  <si>
    <t>E$xistencias</t>
  </si>
  <si>
    <t xml:space="preserve">deuda largo plazo </t>
  </si>
  <si>
    <t>Provisiones corto plzo</t>
  </si>
  <si>
    <t>deudas corto plazo</t>
  </si>
  <si>
    <t>deuda largo plazo+provis cp+deuda cp+</t>
  </si>
  <si>
    <t>Patrimonio neto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</si>
</sst>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0.0000"/>
    <numFmt numFmtId="166" formatCode="General&quot;E&quot;"/>
    <numFmt numFmtId="167" formatCode="#,##0.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name val="Verdana"/>
      <family val="2"/>
    </font>
    <font>
      <sz val="10"/>
      <name val="Verdana"/>
      <family val="2"/>
    </font>
    <font>
      <b/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2">
    <xf numFmtId="0" fontId="0" fillId="0" borderId="0" xfId="0"/>
    <xf numFmtId="0" fontId="3" fillId="2" borderId="0" xfId="2" applyFont="1" applyFill="1"/>
    <xf numFmtId="0" fontId="2" fillId="0" borderId="0" xfId="2"/>
    <xf numFmtId="0" fontId="4" fillId="0" borderId="1" xfId="2" applyFont="1" applyBorder="1"/>
    <xf numFmtId="3" fontId="4" fillId="0" borderId="1" xfId="2" applyNumberFormat="1" applyFont="1" applyBorder="1" applyAlignment="1">
      <alignment horizontal="right"/>
    </xf>
    <xf numFmtId="0" fontId="4" fillId="0" borderId="2" xfId="2" applyFont="1" applyBorder="1"/>
    <xf numFmtId="3" fontId="4" fillId="0" borderId="2" xfId="2" applyNumberFormat="1" applyFont="1" applyBorder="1" applyAlignment="1">
      <alignment horizontal="right"/>
    </xf>
    <xf numFmtId="3" fontId="2" fillId="0" borderId="0" xfId="2" applyNumberFormat="1"/>
    <xf numFmtId="0" fontId="2" fillId="0" borderId="2" xfId="2" applyBorder="1" applyAlignment="1">
      <alignment horizontal="left" indent="1"/>
    </xf>
    <xf numFmtId="3" fontId="2" fillId="0" borderId="2" xfId="2" applyNumberFormat="1" applyBorder="1" applyAlignment="1">
      <alignment horizontal="right"/>
    </xf>
    <xf numFmtId="0" fontId="4" fillId="0" borderId="0" xfId="2" applyFont="1"/>
    <xf numFmtId="3" fontId="3" fillId="2" borderId="0" xfId="2" applyNumberFormat="1" applyFont="1" applyFill="1"/>
    <xf numFmtId="9" fontId="2" fillId="0" borderId="0" xfId="1" applyFont="1"/>
    <xf numFmtId="0" fontId="2" fillId="0" borderId="2" xfId="2" applyBorder="1"/>
    <xf numFmtId="0" fontId="2" fillId="0" borderId="0" xfId="2" applyAlignment="1">
      <alignment horizontal="center"/>
    </xf>
    <xf numFmtId="10" fontId="2" fillId="0" borderId="0" xfId="1" applyNumberFormat="1" applyFont="1"/>
    <xf numFmtId="3" fontId="0" fillId="0" borderId="0" xfId="0" applyNumberFormat="1"/>
    <xf numFmtId="0" fontId="5" fillId="0" borderId="3" xfId="0" applyFont="1" applyBorder="1"/>
    <xf numFmtId="4" fontId="5" fillId="0" borderId="4" xfId="0" applyNumberFormat="1" applyFont="1" applyBorder="1"/>
    <xf numFmtId="4" fontId="0" fillId="0" borderId="0" xfId="0" applyNumberFormat="1"/>
    <xf numFmtId="0" fontId="0" fillId="0" borderId="3" xfId="0" applyBorder="1"/>
    <xf numFmtId="4" fontId="0" fillId="0" borderId="4" xfId="0" applyNumberFormat="1" applyBorder="1"/>
    <xf numFmtId="0" fontId="4" fillId="0" borderId="1" xfId="2" applyFont="1" applyBorder="1" applyAlignment="1">
      <alignment horizontal="center"/>
    </xf>
    <xf numFmtId="3" fontId="4" fillId="3" borderId="1" xfId="2" applyNumberFormat="1" applyFont="1" applyFill="1" applyBorder="1" applyAlignment="1">
      <alignment horizontal="right"/>
    </xf>
    <xf numFmtId="0" fontId="3" fillId="2" borderId="5" xfId="2" applyFont="1" applyFill="1" applyBorder="1"/>
    <xf numFmtId="0" fontId="3" fillId="2" borderId="6" xfId="2" applyFont="1" applyFill="1" applyBorder="1"/>
    <xf numFmtId="0" fontId="2" fillId="0" borderId="6" xfId="2" applyBorder="1"/>
    <xf numFmtId="0" fontId="3" fillId="2" borderId="7" xfId="2" applyFont="1" applyFill="1" applyBorder="1"/>
    <xf numFmtId="0" fontId="2" fillId="0" borderId="8" xfId="2" applyBorder="1"/>
    <xf numFmtId="0" fontId="2" fillId="0" borderId="9" xfId="2" applyBorder="1"/>
    <xf numFmtId="0" fontId="2" fillId="0" borderId="10" xfId="2" applyBorder="1"/>
    <xf numFmtId="10" fontId="2" fillId="0" borderId="11" xfId="2" applyNumberFormat="1" applyBorder="1"/>
    <xf numFmtId="0" fontId="2" fillId="0" borderId="12" xfId="2" applyBorder="1"/>
    <xf numFmtId="0" fontId="2" fillId="0" borderId="11" xfId="2" applyBorder="1"/>
    <xf numFmtId="164" fontId="2" fillId="0" borderId="1" xfId="2" applyNumberFormat="1" applyBorder="1"/>
    <xf numFmtId="164" fontId="2" fillId="0" borderId="1" xfId="4" applyNumberFormat="1" applyFont="1" applyBorder="1"/>
    <xf numFmtId="0" fontId="2" fillId="0" borderId="14" xfId="2" applyBorder="1"/>
    <xf numFmtId="0" fontId="2" fillId="0" borderId="15" xfId="2" applyBorder="1"/>
    <xf numFmtId="165" fontId="2" fillId="0" borderId="11" xfId="2" applyNumberFormat="1" applyBorder="1"/>
    <xf numFmtId="0" fontId="4" fillId="0" borderId="3" xfId="2" applyFont="1" applyBorder="1"/>
    <xf numFmtId="0" fontId="4" fillId="0" borderId="17" xfId="2" applyFont="1" applyBorder="1"/>
    <xf numFmtId="10" fontId="4" fillId="0" borderId="4" xfId="4" applyNumberFormat="1" applyFont="1" applyFill="1" applyBorder="1"/>
    <xf numFmtId="0" fontId="2" fillId="0" borderId="18" xfId="2" applyBorder="1"/>
    <xf numFmtId="165" fontId="2" fillId="0" borderId="15" xfId="2" applyNumberFormat="1" applyBorder="1"/>
    <xf numFmtId="9" fontId="2" fillId="0" borderId="1" xfId="4" applyFont="1" applyBorder="1"/>
    <xf numFmtId="0" fontId="2" fillId="0" borderId="19" xfId="2" applyBorder="1"/>
    <xf numFmtId="10" fontId="2" fillId="0" borderId="20" xfId="2" applyNumberFormat="1" applyBorder="1"/>
    <xf numFmtId="0" fontId="2" fillId="0" borderId="21" xfId="2" applyBorder="1"/>
    <xf numFmtId="0" fontId="2" fillId="0" borderId="22" xfId="2" applyBorder="1"/>
    <xf numFmtId="0" fontId="7" fillId="4" borderId="23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11" fillId="0" borderId="0" xfId="0" applyFont="1"/>
    <xf numFmtId="0" fontId="12" fillId="0" borderId="0" xfId="0" applyFont="1"/>
    <xf numFmtId="0" fontId="7" fillId="4" borderId="31" xfId="0" applyFont="1" applyFill="1" applyBorder="1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0" fontId="13" fillId="0" borderId="0" xfId="6" applyNumberFormat="1" applyFont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0" fontId="14" fillId="0" borderId="37" xfId="0" applyFont="1" applyBorder="1" applyAlignment="1">
      <alignment horizontal="center" wrapText="1"/>
    </xf>
    <xf numFmtId="10" fontId="0" fillId="0" borderId="14" xfId="0" applyNumberFormat="1" applyBorder="1" applyAlignment="1">
      <alignment horizontal="center"/>
    </xf>
    <xf numFmtId="2" fontId="14" fillId="0" borderId="37" xfId="0" applyNumberFormat="1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0" fillId="0" borderId="1" xfId="0" applyNumberFormat="1" applyBorder="1"/>
    <xf numFmtId="164" fontId="2" fillId="0" borderId="16" xfId="2" applyNumberFormat="1" applyBorder="1"/>
    <xf numFmtId="164" fontId="2" fillId="0" borderId="13" xfId="2" applyNumberFormat="1" applyBorder="1"/>
    <xf numFmtId="166" fontId="4" fillId="0" borderId="1" xfId="2" applyNumberFormat="1" applyFont="1" applyBorder="1" applyAlignment="1">
      <alignment horizontal="center"/>
    </xf>
    <xf numFmtId="0" fontId="2" fillId="0" borderId="38" xfId="2" applyBorder="1"/>
    <xf numFmtId="10" fontId="0" fillId="0" borderId="38" xfId="4" applyNumberFormat="1" applyFont="1" applyBorder="1"/>
    <xf numFmtId="10" fontId="0" fillId="0" borderId="2" xfId="4" applyNumberFormat="1" applyFont="1" applyBorder="1"/>
    <xf numFmtId="0" fontId="2" fillId="0" borderId="37" xfId="2" applyBorder="1"/>
    <xf numFmtId="10" fontId="0" fillId="0" borderId="37" xfId="4" applyNumberFormat="1" applyFont="1" applyBorder="1"/>
    <xf numFmtId="2" fontId="2" fillId="0" borderId="2" xfId="2" applyNumberFormat="1" applyBorder="1"/>
    <xf numFmtId="2" fontId="2" fillId="0" borderId="37" xfId="2" applyNumberFormat="1" applyBorder="1"/>
    <xf numFmtId="0" fontId="2" fillId="0" borderId="1" xfId="2" applyBorder="1"/>
    <xf numFmtId="10" fontId="0" fillId="0" borderId="0" xfId="4" applyNumberFormat="1" applyFont="1"/>
    <xf numFmtId="10" fontId="2" fillId="0" borderId="1" xfId="2" applyNumberFormat="1" applyBorder="1"/>
    <xf numFmtId="0" fontId="16" fillId="0" borderId="1" xfId="0" applyFont="1" applyBorder="1"/>
    <xf numFmtId="0" fontId="4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0" fillId="0" borderId="2" xfId="0" applyBorder="1"/>
    <xf numFmtId="10" fontId="0" fillId="0" borderId="38" xfId="1" applyNumberFormat="1" applyFont="1" applyBorder="1"/>
    <xf numFmtId="0" fontId="0" fillId="0" borderId="38" xfId="0" applyBorder="1"/>
    <xf numFmtId="10" fontId="0" fillId="7" borderId="38" xfId="4" applyNumberFormat="1" applyFont="1" applyFill="1" applyBorder="1"/>
    <xf numFmtId="10" fontId="2" fillId="7" borderId="37" xfId="2" applyNumberFormat="1" applyFill="1" applyBorder="1"/>
    <xf numFmtId="2" fontId="2" fillId="7" borderId="2" xfId="2" applyNumberFormat="1" applyFill="1" applyBorder="1"/>
    <xf numFmtId="10" fontId="0" fillId="7" borderId="2" xfId="4" applyNumberFormat="1" applyFont="1" applyFill="1" applyBorder="1"/>
    <xf numFmtId="10" fontId="0" fillId="7" borderId="37" xfId="4" applyNumberFormat="1" applyFont="1" applyFill="1" applyBorder="1"/>
    <xf numFmtId="3" fontId="2" fillId="0" borderId="2" xfId="2" applyNumberFormat="1" applyBorder="1"/>
    <xf numFmtId="3" fontId="2" fillId="0" borderId="1" xfId="2" applyNumberFormat="1" applyBorder="1"/>
    <xf numFmtId="0" fontId="4" fillId="0" borderId="37" xfId="2" applyFont="1" applyBorder="1"/>
    <xf numFmtId="3" fontId="4" fillId="0" borderId="37" xfId="2" applyNumberFormat="1" applyFont="1" applyBorder="1"/>
    <xf numFmtId="3" fontId="2" fillId="0" borderId="38" xfId="2" applyNumberFormat="1" applyBorder="1"/>
    <xf numFmtId="3" fontId="2" fillId="0" borderId="37" xfId="2" applyNumberFormat="1" applyBorder="1"/>
    <xf numFmtId="3" fontId="4" fillId="0" borderId="2" xfId="2" applyNumberFormat="1" applyFont="1" applyBorder="1"/>
    <xf numFmtId="10" fontId="2" fillId="0" borderId="2" xfId="2" applyNumberFormat="1" applyBorder="1"/>
    <xf numFmtId="3" fontId="4" fillId="0" borderId="1" xfId="2" applyNumberFormat="1" applyFont="1" applyBorder="1"/>
    <xf numFmtId="2" fontId="0" fillId="0" borderId="0" xfId="0" applyNumberFormat="1"/>
    <xf numFmtId="49" fontId="4" fillId="0" borderId="1" xfId="2" applyNumberFormat="1" applyFont="1" applyBorder="1" applyAlignment="1">
      <alignment horizontal="left"/>
    </xf>
    <xf numFmtId="0" fontId="2" fillId="8" borderId="0" xfId="2" applyFill="1"/>
    <xf numFmtId="3" fontId="2" fillId="8" borderId="0" xfId="2" applyNumberFormat="1" applyFill="1"/>
    <xf numFmtId="167" fontId="2" fillId="0" borderId="0" xfId="2" applyNumberFormat="1"/>
    <xf numFmtId="43" fontId="0" fillId="0" borderId="0" xfId="7" applyFont="1"/>
    <xf numFmtId="0" fontId="4" fillId="0" borderId="2" xfId="2" applyFont="1" applyBorder="1" applyAlignment="1">
      <alignment horizontal="center"/>
    </xf>
    <xf numFmtId="43" fontId="4" fillId="0" borderId="2" xfId="7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 applyAlignment="1">
      <alignment horizontal="center"/>
    </xf>
    <xf numFmtId="15" fontId="9" fillId="4" borderId="12" xfId="5" applyNumberFormat="1" applyFill="1" applyBorder="1" applyAlignment="1">
      <alignment horizontal="left"/>
    </xf>
    <xf numFmtId="15" fontId="9" fillId="4" borderId="28" xfId="5" applyNumberFormat="1" applyFill="1" applyBorder="1" applyAlignment="1">
      <alignment horizontal="left"/>
    </xf>
    <xf numFmtId="15" fontId="9" fillId="4" borderId="29" xfId="5" applyNumberFormat="1" applyFill="1" applyBorder="1" applyAlignment="1">
      <alignment horizontal="left"/>
    </xf>
    <xf numFmtId="0" fontId="9" fillId="4" borderId="12" xfId="5" applyFill="1" applyBorder="1"/>
    <xf numFmtId="0" fontId="9" fillId="4" borderId="28" xfId="5" applyFill="1" applyBorder="1"/>
    <xf numFmtId="0" fontId="9" fillId="4" borderId="29" xfId="5" applyFill="1" applyBorder="1"/>
    <xf numFmtId="0" fontId="6" fillId="4" borderId="32" xfId="3" applyFill="1" applyBorder="1" applyAlignment="1">
      <alignment horizontal="left"/>
    </xf>
    <xf numFmtId="0" fontId="9" fillId="4" borderId="33" xfId="5" applyFill="1" applyBorder="1" applyAlignment="1">
      <alignment horizontal="left"/>
    </xf>
    <xf numFmtId="0" fontId="9" fillId="4" borderId="34" xfId="5" applyFill="1" applyBorder="1" applyAlignment="1">
      <alignment horizontal="left"/>
    </xf>
    <xf numFmtId="15" fontId="8" fillId="4" borderId="24" xfId="0" applyNumberFormat="1" applyFont="1" applyFill="1" applyBorder="1" applyAlignment="1">
      <alignment horizontal="left"/>
    </xf>
    <xf numFmtId="15" fontId="8" fillId="4" borderId="25" xfId="0" applyNumberFormat="1" applyFont="1" applyFill="1" applyBorder="1" applyAlignment="1">
      <alignment horizontal="left"/>
    </xf>
    <xf numFmtId="15" fontId="8" fillId="4" borderId="26" xfId="0" applyNumberFormat="1" applyFont="1" applyFill="1" applyBorder="1" applyAlignment="1">
      <alignment horizontal="left"/>
    </xf>
    <xf numFmtId="0" fontId="9" fillId="5" borderId="27" xfId="5" applyFill="1" applyBorder="1" applyAlignment="1">
      <alignment horizontal="left" vertical="top" wrapText="1"/>
    </xf>
    <xf numFmtId="0" fontId="9" fillId="5" borderId="30" xfId="5" applyFill="1" applyBorder="1" applyAlignment="1">
      <alignment horizontal="left" vertical="top" wrapText="1"/>
    </xf>
    <xf numFmtId="0" fontId="9" fillId="5" borderId="35" xfId="5" applyFill="1" applyBorder="1" applyAlignment="1">
      <alignment horizontal="left" vertical="top" wrapText="1"/>
    </xf>
    <xf numFmtId="0" fontId="9" fillId="4" borderId="12" xfId="5" applyFill="1" applyBorder="1" applyAlignment="1">
      <alignment horizontal="left"/>
    </xf>
    <xf numFmtId="0" fontId="9" fillId="4" borderId="28" xfId="5" applyFill="1" applyBorder="1" applyAlignment="1">
      <alignment horizontal="left"/>
    </xf>
    <xf numFmtId="0" fontId="9" fillId="4" borderId="29" xfId="5" applyFill="1" applyBorder="1" applyAlignment="1">
      <alignment horizontal="left"/>
    </xf>
    <xf numFmtId="0" fontId="10" fillId="4" borderId="12" xfId="0" applyFont="1" applyFill="1" applyBorder="1" applyAlignment="1">
      <alignment horizontal="left"/>
    </xf>
    <xf numFmtId="0" fontId="10" fillId="4" borderId="28" xfId="0" applyFont="1" applyFill="1" applyBorder="1" applyAlignment="1">
      <alignment horizontal="left"/>
    </xf>
    <xf numFmtId="0" fontId="10" fillId="4" borderId="11" xfId="0" applyFont="1" applyFill="1" applyBorder="1" applyAlignment="1">
      <alignment horizontal="left"/>
    </xf>
    <xf numFmtId="0" fontId="10" fillId="4" borderId="29" xfId="0" applyFont="1" applyFill="1" applyBorder="1" applyAlignment="1">
      <alignment horizontal="left"/>
    </xf>
  </cellXfs>
  <cellStyles count="8">
    <cellStyle name="Hipervínculo" xfId="3" builtinId="8"/>
    <cellStyle name="Hipervínculo 2" xfId="5" xr:uid="{F3116A1F-659C-4660-8AFB-B677FE429A7E}"/>
    <cellStyle name="Millares" xfId="7" builtinId="3"/>
    <cellStyle name="Normal" xfId="0" builtinId="0"/>
    <cellStyle name="Normal 2" xfId="2" xr:uid="{2A7FC763-CC89-4A0C-9C49-9F085622B914}"/>
    <cellStyle name="Porcentaje" xfId="1" builtinId="5"/>
    <cellStyle name="Porcentaje 2" xfId="4" xr:uid="{2F2A89B5-47A1-4A1B-8A82-FAE8D2C83754}"/>
    <cellStyle name="Porcentaje 3" xfId="6" xr:uid="{47DD8827-6307-4FB4-A567-D2A440D280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23</xdr:row>
      <xdr:rowOff>0</xdr:rowOff>
    </xdr:from>
    <xdr:to>
      <xdr:col>15</xdr:col>
      <xdr:colOff>523876</xdr:colOff>
      <xdr:row>60</xdr:row>
      <xdr:rowOff>48468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6D96AC12-A98C-CF3E-F13A-792BC1E5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1" y="3762375"/>
          <a:ext cx="6648450" cy="6039693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22</xdr:col>
      <xdr:colOff>380346</xdr:colOff>
      <xdr:row>57</xdr:row>
      <xdr:rowOff>77405</xdr:rowOff>
    </xdr:to>
    <xdr:pic>
      <xdr:nvPicPr>
        <xdr:cNvPr id="3" name="Imagen 8">
          <a:extLst>
            <a:ext uri="{FF2B5EF4-FFF2-40B4-BE49-F238E27FC236}">
              <a16:creationId xmlns:a16="http://schemas.microsoft.com/office/drawing/2014/main" id="{0B5E9411-0B49-4777-A3EC-0BD9556421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826"/>
        <a:stretch/>
      </xdr:blipFill>
      <xdr:spPr>
        <a:xfrm>
          <a:off x="17002125" y="3762375"/>
          <a:ext cx="5028546" cy="55828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e6c7bcb4eb356115/Escritorio/IEBS/MODULO%206/VALORACI&#211;N%20EMPRESA/Clase%203/SPRINT%203%20soluci&#243;n%20propuesta.xlsx" TargetMode="External"/><Relationship Id="rId2" Type="http://schemas.openxmlformats.org/officeDocument/2006/relationships/externalLinkPath" Target="https://d.docs.live.net/e6c7bcb4eb356115/Escritorio/IEBS/MODULO%206/VALORACI&#211;N%20EMPRESA/Clase%203/SPRINT%203%20soluci&#243;n%20propuesta.xlsx" TargetMode="External"/><Relationship Id="rId1" Type="http://schemas.openxmlformats.org/officeDocument/2006/relationships/externalLinkPath" Target="/e6c7bcb4eb356115/Escritorio/IEBS/MODULO%206/VALORACI&#211;N%20EMPRESA/Clase%203/SPRINT%203%20soluci&#243;n%20propues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lblayrest-my.sharepoint.com/personal/oriol_calblay_com/Documents/Escritorio/notes/IEBS/MODULO%206/VALORACI&#211;N%20EMPRESA/final%20Proyecto/AUXILIAR%20LOGISTA%20(ALAER)_Datos%20(1).xlsx" TargetMode="External"/><Relationship Id="rId1" Type="http://schemas.openxmlformats.org/officeDocument/2006/relationships/externalLinkPath" Target="AUXILIAR%20LOGISTA%20(ALAER)_Dat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os"/>
      <sheetName val="Hipótesis"/>
      <sheetName val="Balances"/>
      <sheetName val="Cuentas PyG"/>
      <sheetName val="Flujos de caja"/>
    </sheetNames>
    <sheetDataSet>
      <sheetData sheetId="0" refreshError="1"/>
      <sheetData sheetId="1">
        <row r="13">
          <cell r="E13">
            <v>0.25</v>
          </cell>
          <cell r="F13">
            <v>0.25</v>
          </cell>
          <cell r="G13">
            <v>0.25</v>
          </cell>
          <cell r="H13">
            <v>0.25</v>
          </cell>
          <cell r="I13">
            <v>0.25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s"/>
      <sheetName val="Cuentas PyG"/>
    </sheetNames>
    <sheetDataSet>
      <sheetData sheetId="0">
        <row r="30">
          <cell r="F30">
            <v>261243</v>
          </cell>
        </row>
      </sheetData>
      <sheetData sheetId="1">
        <row r="3">
          <cell r="B3">
            <v>2018</v>
          </cell>
          <cell r="C3">
            <v>2019</v>
          </cell>
          <cell r="D3">
            <v>2020</v>
          </cell>
          <cell r="E3">
            <v>2021</v>
          </cell>
          <cell r="F3">
            <v>2022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stern.nyu.edu/~adamodar/New_Home_Page/data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damodaran.com/" TargetMode="External"/><Relationship Id="rId1" Type="http://schemas.openxmlformats.org/officeDocument/2006/relationships/hyperlink" Target="mailto:adamodar@stern.nyu.edu?subject=Data%20on%20website" TargetMode="External"/><Relationship Id="rId6" Type="http://schemas.openxmlformats.org/officeDocument/2006/relationships/hyperlink" Target="https://youtu.be/rxmttgceSjg" TargetMode="External"/><Relationship Id="rId5" Type="http://schemas.openxmlformats.org/officeDocument/2006/relationships/hyperlink" Target="https://pages.stern.nyu.edu/~adamodar/New_Home_Page/datafile/variable.htm" TargetMode="External"/><Relationship Id="rId4" Type="http://schemas.openxmlformats.org/officeDocument/2006/relationships/hyperlink" Target="http://www.stern.nyu.edu/~adamodar/pc/datasets/indname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FE8A9-D016-4AE2-9841-AE7BD64FBCB3}">
  <dimension ref="A1:V51"/>
  <sheetViews>
    <sheetView topLeftCell="A4" workbookViewId="0">
      <selection activeCell="E14" sqref="E14"/>
    </sheetView>
  </sheetViews>
  <sheetFormatPr baseColWidth="10" defaultColWidth="8.88671875" defaultRowHeight="14.4" x14ac:dyDescent="0.3"/>
  <cols>
    <col min="1" max="1" width="50.109375" customWidth="1"/>
    <col min="4" max="4" width="15.33203125" bestFit="1" customWidth="1"/>
    <col min="5" max="5" width="15.44140625" customWidth="1"/>
    <col min="9" max="9" width="9.109375" customWidth="1"/>
  </cols>
  <sheetData>
    <row r="1" spans="1:12" x14ac:dyDescent="0.3">
      <c r="A1" s="1" t="s">
        <v>194</v>
      </c>
      <c r="B1" s="1"/>
      <c r="C1" s="1"/>
      <c r="D1" s="1"/>
      <c r="E1" s="1"/>
      <c r="F1" s="1"/>
      <c r="G1" s="1"/>
      <c r="H1" s="1"/>
      <c r="I1" s="1"/>
    </row>
    <row r="2" spans="1:12" x14ac:dyDescent="0.3">
      <c r="A2" s="2"/>
      <c r="B2" s="2"/>
      <c r="C2" s="2"/>
      <c r="D2" s="2"/>
      <c r="E2" s="14">
        <v>1</v>
      </c>
      <c r="F2" s="14">
        <v>2</v>
      </c>
      <c r="G2" s="14">
        <v>3</v>
      </c>
      <c r="H2" s="14">
        <v>4</v>
      </c>
      <c r="I2" s="14">
        <v>5</v>
      </c>
    </row>
    <row r="3" spans="1:12" x14ac:dyDescent="0.3">
      <c r="A3" s="3" t="s">
        <v>1</v>
      </c>
      <c r="B3" s="22" t="s">
        <v>195</v>
      </c>
      <c r="C3" s="22" t="s">
        <v>196</v>
      </c>
      <c r="D3" s="22" t="s">
        <v>197</v>
      </c>
      <c r="E3" s="77" t="s">
        <v>188</v>
      </c>
      <c r="F3" s="77" t="s">
        <v>189</v>
      </c>
      <c r="G3" s="77" t="s">
        <v>190</v>
      </c>
      <c r="H3" s="77" t="s">
        <v>191</v>
      </c>
      <c r="I3" s="77" t="s">
        <v>192</v>
      </c>
    </row>
    <row r="4" spans="1:12" x14ac:dyDescent="0.3">
      <c r="A4" s="78" t="s">
        <v>198</v>
      </c>
      <c r="B4" s="79">
        <f>('Proyeccion PYG'!D4-'Proyeccion PYG'!C4)/'Proyeccion PYG'!C4</f>
        <v>0.73494188069638688</v>
      </c>
      <c r="C4" s="79">
        <f>('Proyeccion PYG'!E4-'Proyeccion PYG'!D4)/'Proyeccion PYG'!D4</f>
        <v>-9.5255109625513298E-2</v>
      </c>
      <c r="D4" s="79">
        <f>('Proyeccion PYG'!F4-'Proyeccion PYG'!E4)/'Proyeccion PYG'!E4</f>
        <v>-0.1143694777650836</v>
      </c>
      <c r="E4" s="95">
        <f>+D4-(($D$4-$B$31)/5)</f>
        <v>-7.149558221206688E-2</v>
      </c>
      <c r="F4" s="95">
        <f>+E4-(($D$4-$B$31)/5)</f>
        <v>-2.8621686659050155E-2</v>
      </c>
      <c r="G4" s="95">
        <f>+F4-(($D$4-$B$31)/5)</f>
        <v>1.425220889396657E-2</v>
      </c>
      <c r="H4" s="95">
        <f>+G4-(($D$4-$B$31)/5)</f>
        <v>5.7126104446983295E-2</v>
      </c>
      <c r="I4" s="95">
        <f>+H4-(($D$4-$B$31)/5)</f>
        <v>0.10000000000000002</v>
      </c>
    </row>
    <row r="5" spans="1:12" ht="14.25" customHeight="1" x14ac:dyDescent="0.3">
      <c r="A5" s="13" t="s">
        <v>217</v>
      </c>
      <c r="B5" s="80">
        <f>'Proyeccion PYG'!D6/'Proyeccion PYG'!D4</f>
        <v>-0.81997552670246754</v>
      </c>
      <c r="C5" s="80">
        <f>'Proyeccion PYG'!E6/'Proyeccion PYG'!E4</f>
        <v>-0.63823939968599908</v>
      </c>
      <c r="D5" s="80">
        <f>'Proyeccion PYG'!F6/'Proyeccion PYG'!F4</f>
        <v>-0.58864069140717323</v>
      </c>
      <c r="E5" s="95">
        <f>+D5-(($D$5-$B$32)/5)</f>
        <v>-0.58091255312573864</v>
      </c>
      <c r="F5" s="95">
        <f>+E5-(($D$5-$B$32)/5)</f>
        <v>-0.57318441484430405</v>
      </c>
      <c r="G5" s="95">
        <f>+F5-(($D$5-$B$32)/5)</f>
        <v>-0.56545627656286945</v>
      </c>
      <c r="H5" s="95">
        <f>+G5-(($D$5-$B$32)/5)</f>
        <v>-0.55772813828143486</v>
      </c>
      <c r="I5" s="95">
        <f>+H5-(($D$5-$B$32)/5)</f>
        <v>-0.55000000000000027</v>
      </c>
    </row>
    <row r="6" spans="1:12" x14ac:dyDescent="0.3">
      <c r="A6" s="78" t="s">
        <v>199</v>
      </c>
      <c r="B6" s="79">
        <f>-'Proyeccion PYG'!D8/'Proyeccion PYG'!D4</f>
        <v>7.3137619620026406E-2</v>
      </c>
      <c r="C6" s="79">
        <f>-'Proyeccion PYG'!E8/'Proyeccion PYG'!E4</f>
        <v>0.13328201435738271</v>
      </c>
      <c r="D6" s="79">
        <f>-'Proyeccion PYG'!F8/'Proyeccion PYG'!F4</f>
        <v>0.16101540689004157</v>
      </c>
      <c r="E6" s="95">
        <f>+D6-(($D$6-$B$33)/5)</f>
        <v>0.15481232551203325</v>
      </c>
      <c r="F6" s="95">
        <f>+E6-(($D$6-$B$33)/5)</f>
        <v>0.14860924413402493</v>
      </c>
      <c r="G6" s="95">
        <f>+F6-(($D$6-$B$33)/5)</f>
        <v>0.14240616275601661</v>
      </c>
      <c r="H6" s="95">
        <f>+G6-(($D$6-$B$33)/5)</f>
        <v>0.13620308137800829</v>
      </c>
      <c r="I6" s="95">
        <f>+H6-(($D$6-$B$33)/5)</f>
        <v>0.12999999999999998</v>
      </c>
    </row>
    <row r="7" spans="1:12" x14ac:dyDescent="0.3">
      <c r="A7" s="78" t="s">
        <v>200</v>
      </c>
      <c r="B7" s="79">
        <f>'Proyeccion PYG'!D10/('PROYECCION BALANCE'!D6+'PROYECCION BALANCE'!D5)</f>
        <v>-0.113087432643838</v>
      </c>
      <c r="C7" s="79">
        <f>'Proyeccion PYG'!E10/('PROYECCION BALANCE'!E6+'PROYECCION BALANCE'!E5)</f>
        <v>-0.1165455666174795</v>
      </c>
      <c r="D7" s="79">
        <f>'Proyeccion PYG'!F10/('PROYECCION BALANCE'!F6+'PROYECCION BALANCE'!F5)</f>
        <v>-0.18377235726154578</v>
      </c>
      <c r="E7" s="95">
        <f>'Proyeccion PYG'!F10/('PROYECCION BALANCE'!G6+'PROYECCION BALANCE'!G5)</f>
        <v>-0.19792297563792388</v>
      </c>
      <c r="F7" s="95">
        <f ca="1">'Proyeccion PYG'!H10/('PROYECCION BALANCE'!H6+'PROYECCION BALANCE'!H5)</f>
        <v>-0.20375478113896675</v>
      </c>
      <c r="G7" s="95">
        <f ca="1">'Proyeccion PYG'!I10/('PROYECCION BALANCE'!I6+'PROYECCION BALANCE'!I5)</f>
        <v>-0.20089163163978671</v>
      </c>
      <c r="H7" s="95">
        <f ca="1">'Proyeccion PYG'!J10/('PROYECCION BALANCE'!J6+'PROYECCION BALANCE'!J5)</f>
        <v>-0.19003563604635376</v>
      </c>
      <c r="I7" s="95">
        <f ca="1">'Proyeccion PYG'!K10/('PROYECCION BALANCE'!K6+'PROYECCION BALANCE'!K5)</f>
        <v>-0.17275966913304888</v>
      </c>
    </row>
    <row r="8" spans="1:12" x14ac:dyDescent="0.3">
      <c r="A8" s="81" t="s">
        <v>201</v>
      </c>
      <c r="B8" s="82">
        <f>-'Proyeccion PYG'!D21/'Proyeccion PYG'!D20</f>
        <v>0.2509605706524245</v>
      </c>
      <c r="C8" s="82">
        <f>-'Proyeccion PYG'!E21/'Proyeccion PYG'!E20</f>
        <v>0.21979768267587374</v>
      </c>
      <c r="D8" s="82">
        <f>-'Proyeccion PYG'!F21/'Proyeccion PYG'!F20</f>
        <v>0.26505711746820387</v>
      </c>
      <c r="E8" s="96">
        <f>$B$35</f>
        <v>0.25</v>
      </c>
      <c r="F8" s="96">
        <f>$B$35</f>
        <v>0.25</v>
      </c>
      <c r="G8" s="96">
        <f>$B$35</f>
        <v>0.25</v>
      </c>
      <c r="H8" s="96">
        <f>$B$35</f>
        <v>0.25</v>
      </c>
      <c r="I8" s="96">
        <f>$B$35</f>
        <v>0.25</v>
      </c>
    </row>
    <row r="9" spans="1:12" x14ac:dyDescent="0.3">
      <c r="A9" s="2"/>
      <c r="B9" s="2"/>
      <c r="C9" s="2"/>
      <c r="D9" s="2"/>
      <c r="E9" s="2"/>
      <c r="F9" s="2"/>
      <c r="G9" s="2"/>
      <c r="H9" s="2"/>
      <c r="I9" s="2"/>
    </row>
    <row r="10" spans="1:12" x14ac:dyDescent="0.3">
      <c r="A10" s="1" t="s">
        <v>202</v>
      </c>
      <c r="B10" s="1"/>
      <c r="C10" s="1"/>
      <c r="D10" s="1"/>
      <c r="E10" s="1"/>
      <c r="F10" s="1"/>
      <c r="G10" s="1"/>
      <c r="H10" s="1"/>
      <c r="I10" s="1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12" x14ac:dyDescent="0.3">
      <c r="A12" s="3" t="s">
        <v>1</v>
      </c>
      <c r="B12" s="22" t="s">
        <v>195</v>
      </c>
      <c r="C12" s="22" t="s">
        <v>196</v>
      </c>
      <c r="D12" s="22" t="s">
        <v>197</v>
      </c>
      <c r="E12" s="77" t="s">
        <v>188</v>
      </c>
      <c r="F12" s="77" t="s">
        <v>189</v>
      </c>
      <c r="G12" s="77" t="s">
        <v>190</v>
      </c>
      <c r="H12" s="77" t="s">
        <v>191</v>
      </c>
      <c r="I12" s="77" t="s">
        <v>192</v>
      </c>
    </row>
    <row r="13" spans="1:12" x14ac:dyDescent="0.3">
      <c r="A13" s="78" t="s">
        <v>262</v>
      </c>
      <c r="B13" s="115"/>
      <c r="C13" s="116">
        <v>120</v>
      </c>
      <c r="D13" s="116">
        <f ca="1">-'PROYECCION BALANCE'!F12/('Proyeccion PYG'!F6)*365</f>
        <v>100.00000000000001</v>
      </c>
      <c r="E13" s="116">
        <f ca="1">$D$13</f>
        <v>100.00000000000001</v>
      </c>
      <c r="F13" s="116">
        <f t="shared" ref="F13:I13" ca="1" si="0">$D$13</f>
        <v>100.00000000000001</v>
      </c>
      <c r="G13" s="116">
        <f t="shared" ca="1" si="0"/>
        <v>100.00000000000001</v>
      </c>
      <c r="H13" s="116">
        <f t="shared" ca="1" si="0"/>
        <v>100.00000000000001</v>
      </c>
      <c r="I13" s="116">
        <f t="shared" ca="1" si="0"/>
        <v>100.00000000000001</v>
      </c>
      <c r="L13" t="s">
        <v>263</v>
      </c>
    </row>
    <row r="14" spans="1:12" x14ac:dyDescent="0.3">
      <c r="A14" s="13" t="s">
        <v>203</v>
      </c>
      <c r="B14" s="83">
        <f>(-'PROYECCION BALANCE'!D13/'Proyeccion PYG'!D6)*365</f>
        <v>107.03008933372264</v>
      </c>
      <c r="C14" s="83">
        <f>(-'PROYECCION BALANCE'!E13/'Proyeccion PYG'!E6)*365</f>
        <v>139.64945385794047</v>
      </c>
      <c r="D14" s="83">
        <f>(-'PROYECCION BALANCE'!F13/'Proyeccion PYG'!F6)*365</f>
        <v>144.23270215148423</v>
      </c>
      <c r="E14" s="97">
        <f>$D$14+($C$14-$D$14)*(E2)/($I$2)</f>
        <v>143.31605249277547</v>
      </c>
      <c r="F14" s="97">
        <f t="shared" ref="F14:I14" si="1">$D$14+($C$14-$D$14)*(F2)/($I$2)</f>
        <v>142.39940283406673</v>
      </c>
      <c r="G14" s="97">
        <f t="shared" si="1"/>
        <v>141.48275317535797</v>
      </c>
      <c r="H14" s="97">
        <f t="shared" si="1"/>
        <v>140.56610351664924</v>
      </c>
      <c r="I14" s="97">
        <f t="shared" si="1"/>
        <v>139.64945385794047</v>
      </c>
    </row>
    <row r="15" spans="1:12" x14ac:dyDescent="0.3">
      <c r="A15" s="81" t="s">
        <v>204</v>
      </c>
      <c r="B15" s="84">
        <f>'PROYECCION BALANCE'!D42/(-'Cuentas PyG'!D6-'Cuentas PyG'!C6)*365</f>
        <v>61.39662526946298</v>
      </c>
      <c r="C15" s="84">
        <f>'PROYECCION BALANCE'!E42/(-'Cuentas PyG'!E6-'Cuentas PyG'!D6)*365</f>
        <v>53.332139891772272</v>
      </c>
      <c r="D15" s="84">
        <f>'PROYECCION BALANCE'!F42/(-'Cuentas PyG'!F6-'Cuentas PyG'!E6)*365</f>
        <v>77.712405238202763</v>
      </c>
      <c r="E15" s="97">
        <f>$D$15+($C$15-$D$15)*(E2)/($I$2)</f>
        <v>72.836352168916662</v>
      </c>
      <c r="F15" s="97">
        <f t="shared" ref="F15:I15" si="2">$D$15+($C$15-$D$15)*(F2)/($I$2)</f>
        <v>67.960299099630561</v>
      </c>
      <c r="G15" s="97">
        <f t="shared" si="2"/>
        <v>63.084246030344467</v>
      </c>
      <c r="H15" s="97">
        <f t="shared" si="2"/>
        <v>58.208192961058373</v>
      </c>
      <c r="I15" s="97">
        <f t="shared" si="2"/>
        <v>53.332139891772272</v>
      </c>
    </row>
    <row r="16" spans="1:12" x14ac:dyDescent="0.3">
      <c r="A16" s="5" t="s">
        <v>222</v>
      </c>
      <c r="B16" s="80">
        <f>'PROYECCION BALANCE'!D42/'Proyeccion PYG'!D4</f>
        <v>0.21251650021803264</v>
      </c>
      <c r="C16" s="80">
        <f>'PROYECCION BALANCE'!E42/'Proyeccion PYG'!E4</f>
        <v>0.22568191719648339</v>
      </c>
      <c r="D16" s="80">
        <f>'PROYECCION BALANCE'!F42/'Proyeccion PYG'!F4</f>
        <v>0.27876434395487126</v>
      </c>
      <c r="E16" s="98">
        <f ca="1">'PROYECCION BALANCE'!G42/'Proyeccion PYG'!G4</f>
        <v>0.202452198173279</v>
      </c>
      <c r="F16" s="98">
        <f ca="1">'PROYECCION BALANCE'!H42/'Proyeccion PYG'!H4</f>
        <v>0.10799006841804977</v>
      </c>
      <c r="G16" s="98">
        <f ca="1">'PROYECCION BALANCE'!I42/'Proyeccion PYG'!I4</f>
        <v>9.7714369335733978E-2</v>
      </c>
      <c r="H16" s="98">
        <f ca="1">'PROYECCION BALANCE'!J42/'Proyeccion PYG'!J4</f>
        <v>8.7945998095215028E-2</v>
      </c>
      <c r="I16" s="98">
        <f ca="1">'PROYECCION BALANCE'!K42/'Proyeccion PYG'!K4</f>
        <v>7.8643162369803066E-2</v>
      </c>
      <c r="J16">
        <v>42</v>
      </c>
    </row>
    <row r="17" spans="1:22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22" x14ac:dyDescent="0.3">
      <c r="A18" s="1" t="s">
        <v>205</v>
      </c>
      <c r="B18" s="1"/>
      <c r="C18" s="1"/>
      <c r="D18" s="1"/>
      <c r="E18" s="1"/>
      <c r="F18" s="1"/>
      <c r="G18" s="1"/>
      <c r="H18" s="1"/>
      <c r="I18" s="1"/>
    </row>
    <row r="19" spans="1:22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22" x14ac:dyDescent="0.3">
      <c r="A20" s="3" t="s">
        <v>1</v>
      </c>
      <c r="B20" s="22" t="s">
        <v>195</v>
      </c>
      <c r="C20" s="22" t="s">
        <v>196</v>
      </c>
      <c r="D20" s="22" t="s">
        <v>197</v>
      </c>
      <c r="E20" s="77" t="s">
        <v>188</v>
      </c>
      <c r="F20" s="77" t="s">
        <v>189</v>
      </c>
      <c r="G20" s="77" t="s">
        <v>190</v>
      </c>
      <c r="H20" s="77" t="s">
        <v>191</v>
      </c>
      <c r="I20" s="77" t="s">
        <v>192</v>
      </c>
    </row>
    <row r="21" spans="1:22" x14ac:dyDescent="0.3">
      <c r="A21" s="81" t="s">
        <v>206</v>
      </c>
      <c r="B21" s="82">
        <f>'PROYECCION BALANCE'!D5/('PROYECCION BALANCE'!D5+'PROYECCION BALANCE'!D6)</f>
        <v>3.5281766035112114E-2</v>
      </c>
      <c r="C21" s="82">
        <f>'PROYECCION BALANCE'!E5/('PROYECCION BALANCE'!E5+'PROYECCION BALANCE'!E6)</f>
        <v>6.0722660793639742E-2</v>
      </c>
      <c r="D21" s="82">
        <f>'PROYECCION BALANCE'!F5/('PROYECCION BALANCE'!F5+'PROYECCION BALANCE'!F6)</f>
        <v>0.10842590152313861</v>
      </c>
      <c r="E21" s="99">
        <f>'PROYECCION BALANCE'!G5/('PROYECCION BALANCE'!G5+'PROYECCION BALANCE'!G6)</f>
        <v>0.10842590152313862</v>
      </c>
      <c r="F21" s="99">
        <f>'PROYECCION BALANCE'!H5/('PROYECCION BALANCE'!H5+'PROYECCION BALANCE'!H6)</f>
        <v>0.10842590152313861</v>
      </c>
      <c r="G21" s="99">
        <f>'PROYECCION BALANCE'!I5/('PROYECCION BALANCE'!I5+'PROYECCION BALANCE'!I6)</f>
        <v>0.10842590152313861</v>
      </c>
      <c r="H21" s="99">
        <f>'PROYECCION BALANCE'!J5/('PROYECCION BALANCE'!J5+'PROYECCION BALANCE'!J6)</f>
        <v>0.10842590152313859</v>
      </c>
      <c r="I21" s="99">
        <f>'PROYECCION BALANCE'!K5/('PROYECCION BALANCE'!K5+'PROYECCION BALANCE'!K6)</f>
        <v>0.10842590152313862</v>
      </c>
    </row>
    <row r="22" spans="1:22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22" x14ac:dyDescent="0.3">
      <c r="A23" s="1" t="s">
        <v>207</v>
      </c>
      <c r="B23" s="1"/>
      <c r="C23" s="1"/>
      <c r="D23" s="1"/>
      <c r="E23" s="1"/>
      <c r="F23" s="1"/>
      <c r="G23" s="1"/>
      <c r="H23" s="1"/>
      <c r="I23" s="1"/>
    </row>
    <row r="24" spans="1:22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22" x14ac:dyDescent="0.3">
      <c r="A25" s="3" t="s">
        <v>1</v>
      </c>
      <c r="B25" s="22" t="s">
        <v>195</v>
      </c>
      <c r="C25" s="22" t="s">
        <v>196</v>
      </c>
      <c r="D25" s="22" t="s">
        <v>197</v>
      </c>
      <c r="E25" s="77" t="s">
        <v>188</v>
      </c>
      <c r="F25" s="77" t="s">
        <v>189</v>
      </c>
      <c r="G25" s="77" t="s">
        <v>190</v>
      </c>
      <c r="H25" s="77" t="s">
        <v>191</v>
      </c>
      <c r="I25" s="77" t="s">
        <v>192</v>
      </c>
    </row>
    <row r="26" spans="1:22" x14ac:dyDescent="0.3">
      <c r="A26" s="13" t="s">
        <v>208</v>
      </c>
      <c r="B26" s="80">
        <f>('PROYECCION BALANCE'!D34+'PROYECCION BALANCE'!D39+'PROYECCION BALANCE'!D40)/('PROYECCION BALANCE'!D34+'PROYECCION BALANCE'!D39+'PROYECCION BALANCE'!D40+'PROYECCION BALANCE'!D25)</f>
        <v>2.1049230784153057E-2</v>
      </c>
      <c r="C26" s="80">
        <f>('PROYECCION BALANCE'!E34+'PROYECCION BALANCE'!E39+'PROYECCION BALANCE'!E40)/('PROYECCION BALANCE'!E34+'PROYECCION BALANCE'!E39+'PROYECCION BALANCE'!E40+'PROYECCION BALANCE'!E25)</f>
        <v>6.0134841396116377E-2</v>
      </c>
      <c r="D26" s="80">
        <f>('PROYECCION BALANCE'!F33+'PROYECCION BALANCE'!F39+'PROYECCION BALANCE'!F40)/('PROYECCION BALANCE'!G33+'PROYECCION BALANCE'!G39+'PROYECCION BALANCE'!F24)</f>
        <v>1.7815194682883562E-2</v>
      </c>
      <c r="E26" s="80">
        <f>$D$26</f>
        <v>1.7815194682883562E-2</v>
      </c>
      <c r="F26" s="80">
        <f t="shared" ref="F26:I26" si="3">$D$26</f>
        <v>1.7815194682883562E-2</v>
      </c>
      <c r="G26" s="80">
        <f t="shared" si="3"/>
        <v>1.7815194682883562E-2</v>
      </c>
      <c r="H26" s="80">
        <f t="shared" si="3"/>
        <v>1.7815194682883562E-2</v>
      </c>
      <c r="I26" s="80">
        <f t="shared" si="3"/>
        <v>1.7815194682883562E-2</v>
      </c>
      <c r="K26" t="s">
        <v>264</v>
      </c>
      <c r="M26" t="s">
        <v>265</v>
      </c>
      <c r="O26" t="s">
        <v>266</v>
      </c>
      <c r="R26" t="s">
        <v>267</v>
      </c>
      <c r="V26" t="s">
        <v>268</v>
      </c>
    </row>
    <row r="27" spans="1:22" x14ac:dyDescent="0.3">
      <c r="A27" s="13" t="s">
        <v>209</v>
      </c>
      <c r="B27" s="80">
        <f>'PROYECCION BALANCE'!D34/('PROYECCION BALANCE'!D39+'PROYECCION BALANCE'!D40+'PROYECCION BALANCE'!D34)</f>
        <v>0.75466805233512912</v>
      </c>
      <c r="C27" s="80">
        <f>'PROYECCION BALANCE'!E34/('PROYECCION BALANCE'!E39+'PROYECCION BALANCE'!E40+'PROYECCION BALANCE'!E34)</f>
        <v>0.27447424556313049</v>
      </c>
      <c r="D27" s="80">
        <f>'PROYECCION BALANCE'!F34/('PROYECCION BALANCE'!F39+'PROYECCION BALANCE'!F40+'PROYECCION BALANCE'!F34)</f>
        <v>0.56097382530653439</v>
      </c>
      <c r="E27" s="98">
        <f>$D$27</f>
        <v>0.56097382530653439</v>
      </c>
      <c r="F27" s="98">
        <f t="shared" ref="F27:I27" si="4">$D$27</f>
        <v>0.56097382530653439</v>
      </c>
      <c r="G27" s="98">
        <f t="shared" si="4"/>
        <v>0.56097382530653439</v>
      </c>
      <c r="H27" s="98">
        <f t="shared" si="4"/>
        <v>0.56097382530653439</v>
      </c>
      <c r="I27" s="98">
        <f t="shared" si="4"/>
        <v>0.56097382530653439</v>
      </c>
    </row>
    <row r="28" spans="1:22" x14ac:dyDescent="0.3">
      <c r="A28" s="13" t="s">
        <v>210</v>
      </c>
      <c r="B28" s="80">
        <f>'PROYECCION BALANCE'!D39/('PROYECCION BALANCE'!D39+'PROYECCION BALANCE'!D40+'PROYECCION BALANCE'!D34)</f>
        <v>0.24533194766487085</v>
      </c>
      <c r="C28" s="80">
        <f>'PROYECCION BALANCE'!E39/('PROYECCION BALANCE'!E39+'PROYECCION BALANCE'!E40+'PROYECCION BALANCE'!E34)</f>
        <v>0.10255054680920385</v>
      </c>
      <c r="D28" s="80">
        <f>'PROYECCION BALANCE'!F39/('PROYECCION BALANCE'!F39+'PROYECCION BALANCE'!F40+'PROYECCION BALANCE'!F34)</f>
        <v>0.43902617469346567</v>
      </c>
      <c r="E28" s="98">
        <f>$D$28</f>
        <v>0.43902617469346567</v>
      </c>
      <c r="F28" s="98">
        <f t="shared" ref="F28:I28" si="5">$D$28</f>
        <v>0.43902617469346567</v>
      </c>
      <c r="G28" s="98">
        <f t="shared" si="5"/>
        <v>0.43902617469346567</v>
      </c>
      <c r="H28" s="98">
        <f t="shared" si="5"/>
        <v>0.43902617469346567</v>
      </c>
      <c r="I28" s="98">
        <f t="shared" si="5"/>
        <v>0.43902617469346567</v>
      </c>
    </row>
    <row r="29" spans="1:22" x14ac:dyDescent="0.3">
      <c r="A29" s="81" t="s">
        <v>211</v>
      </c>
      <c r="B29" s="82">
        <f>-'Proyeccion PYG'!D17/('PROYECCION BALANCE'!C33+'PROYECCION BALANCE'!C39+'PROYECCION BALANCE'!D33+'PROYECCION BALANCE'!D39)/2</f>
        <v>0.12600389950349714</v>
      </c>
      <c r="C29" s="82">
        <f>-'Proyeccion PYG'!E17/('PROYECCION BALANCE'!D33+'PROYECCION BALANCE'!D39+'PROYECCION BALANCE'!E33+'PROYECCION BALANCE'!E39)/2</f>
        <v>4.4750453366612715E-2</v>
      </c>
      <c r="D29" s="82">
        <f>-'Proyeccion PYG'!F17/('PROYECCION BALANCE'!E33+'PROYECCION BALANCE'!E39+'PROYECCION BALANCE'!F33+'PROYECCION BALANCE'!F39)/2</f>
        <v>0.24014210187201188</v>
      </c>
      <c r="E29" s="99">
        <f>$D$29</f>
        <v>0.24014210187201188</v>
      </c>
      <c r="F29" s="99">
        <f t="shared" ref="F29:I29" si="6">$D$29</f>
        <v>0.24014210187201188</v>
      </c>
      <c r="G29" s="99">
        <f t="shared" si="6"/>
        <v>0.24014210187201188</v>
      </c>
      <c r="H29" s="99">
        <f t="shared" si="6"/>
        <v>0.24014210187201188</v>
      </c>
      <c r="I29" s="99">
        <f t="shared" si="6"/>
        <v>0.24014210187201188</v>
      </c>
    </row>
    <row r="30" spans="1:22" x14ac:dyDescent="0.3">
      <c r="A30" s="2"/>
      <c r="B30" s="2"/>
      <c r="C30" s="2"/>
      <c r="D30" s="86"/>
      <c r="E30" s="86"/>
      <c r="F30" s="86"/>
      <c r="G30" s="86"/>
      <c r="H30" s="86"/>
      <c r="I30" s="86"/>
    </row>
    <row r="31" spans="1:22" x14ac:dyDescent="0.3">
      <c r="A31" s="85" t="s">
        <v>212</v>
      </c>
      <c r="B31" s="87">
        <v>0.1</v>
      </c>
      <c r="C31" s="85"/>
      <c r="D31" s="2"/>
      <c r="E31" s="2"/>
      <c r="F31" s="2"/>
      <c r="G31" s="2"/>
      <c r="H31" s="2"/>
      <c r="I31" s="2"/>
    </row>
    <row r="32" spans="1:22" x14ac:dyDescent="0.3">
      <c r="A32" s="85" t="s">
        <v>218</v>
      </c>
      <c r="B32" s="87">
        <v>-0.55000000000000004</v>
      </c>
      <c r="C32" s="85"/>
      <c r="D32" s="2"/>
      <c r="E32" s="2"/>
      <c r="F32" s="2"/>
      <c r="G32" s="2"/>
      <c r="H32" s="2"/>
      <c r="I32" s="2"/>
    </row>
    <row r="33" spans="1:9" x14ac:dyDescent="0.3">
      <c r="A33" s="85" t="s">
        <v>219</v>
      </c>
      <c r="B33" s="79">
        <v>0.13</v>
      </c>
      <c r="C33" s="85"/>
      <c r="D33" s="2"/>
      <c r="E33" s="2"/>
      <c r="F33" s="2"/>
      <c r="G33" s="2"/>
      <c r="H33" s="2"/>
      <c r="I33" s="2"/>
    </row>
    <row r="34" spans="1:9" x14ac:dyDescent="0.3">
      <c r="A34" s="85" t="s">
        <v>220</v>
      </c>
      <c r="B34" s="79">
        <f>-'Proyeccion PYG'!F9/'Proyeccion PYG'!F4</f>
        <v>0.14859324066270663</v>
      </c>
      <c r="C34" s="85"/>
      <c r="D34" s="2"/>
      <c r="E34" s="2"/>
      <c r="F34" s="2"/>
      <c r="G34" s="2"/>
      <c r="H34" s="2"/>
      <c r="I34" s="2"/>
    </row>
    <row r="35" spans="1:9" x14ac:dyDescent="0.3">
      <c r="A35" s="85" t="s">
        <v>213</v>
      </c>
      <c r="B35" s="79">
        <v>0.25</v>
      </c>
      <c r="C35" s="85"/>
      <c r="D35" s="2"/>
      <c r="E35" s="2"/>
      <c r="F35" s="2"/>
      <c r="G35" s="2"/>
      <c r="H35" s="2"/>
      <c r="I35" s="2"/>
    </row>
    <row r="36" spans="1:9" x14ac:dyDescent="0.3">
      <c r="A36" s="13" t="s">
        <v>241</v>
      </c>
      <c r="B36" s="109">
        <f>C14</f>
        <v>139.64945385794047</v>
      </c>
    </row>
    <row r="37" spans="1:9" x14ac:dyDescent="0.3">
      <c r="A37" s="2" t="s">
        <v>242</v>
      </c>
      <c r="B37" s="2">
        <v>53.33</v>
      </c>
      <c r="C37" s="2"/>
      <c r="D37" s="7"/>
      <c r="E37" s="7"/>
      <c r="F37" s="7"/>
      <c r="G37" s="7"/>
      <c r="H37" s="7"/>
      <c r="I37" s="7"/>
    </row>
    <row r="44" spans="1:9" x14ac:dyDescent="0.3">
      <c r="A44" s="2" t="s">
        <v>214</v>
      </c>
      <c r="B44" s="2"/>
      <c r="C44" s="2"/>
      <c r="D44" s="12">
        <f>-'Proyeccion PYG'!F17/('PROYECCION BALANCE'!E33+'PROYECCION BALANCE'!E40+'PROYECCION BALANCE'!F33+'PROYECCION BALANCE'!F40)/2</f>
        <v>0.16040846150371918</v>
      </c>
      <c r="E44" s="12">
        <f ca="1">-'Proyeccion PYG'!G17/('PROYECCION BALANCE'!F33+'PROYECCION BALANCE'!F40+'PROYECCION BALANCE'!G33+'PROYECCION BALANCE'!G40)/2</f>
        <v>3.6063413037307333E-2</v>
      </c>
      <c r="F44" s="12">
        <f ca="1">-'Proyeccion PYG'!H17/('PROYECCION BALANCE'!G33+'PROYECCION BALANCE'!G40+'PROYECCION BALANCE'!H33+'PROYECCION BALANCE'!H40)/2</f>
        <v>8.5714873935255637E-3</v>
      </c>
      <c r="G44" s="12">
        <f ca="1">-'Proyeccion PYG'!I17/('PROYECCION BALANCE'!H33+'PROYECCION BALANCE'!H40+'PROYECCION BALANCE'!I33+'PROYECCION BALANCE'!I40)/2</f>
        <v>2.1414406547041378E-3</v>
      </c>
      <c r="H44" s="12">
        <f ca="1">-'Proyeccion PYG'!J17/('PROYECCION BALANCE'!I33+'PROYECCION BALANCE'!I40+'PROYECCION BALANCE'!J33+'PROYECCION BALANCE'!J40)/2</f>
        <v>5.8424469523758618E-4</v>
      </c>
      <c r="I44" s="12">
        <f ca="1">-'Proyeccion PYG'!K17/('PROYECCION BALANCE'!J33+'PROYECCION BALANCE'!J40+'PROYECCION BALANCE'!K33+'PROYECCION BALANCE'!K40)/2</f>
        <v>1.8166211799720676E-4</v>
      </c>
    </row>
    <row r="46" spans="1:9" x14ac:dyDescent="0.3">
      <c r="A46" s="88" t="s">
        <v>1</v>
      </c>
      <c r="B46" s="89" t="s">
        <v>195</v>
      </c>
      <c r="C46" s="89" t="s">
        <v>196</v>
      </c>
      <c r="D46" s="90" t="s">
        <v>197</v>
      </c>
      <c r="E46" s="91" t="s">
        <v>188</v>
      </c>
      <c r="F46" s="91" t="s">
        <v>189</v>
      </c>
      <c r="G46" s="91" t="s">
        <v>190</v>
      </c>
      <c r="H46" s="91" t="s">
        <v>191</v>
      </c>
      <c r="I46" s="91" t="s">
        <v>192</v>
      </c>
    </row>
    <row r="47" spans="1:9" x14ac:dyDescent="0.3">
      <c r="A47" s="92" t="s">
        <v>215</v>
      </c>
      <c r="B47" s="93">
        <f>'PROYECCION BALANCE'!D6/'Proyeccion PYG'!D4</f>
        <v>1.1023232472238418E-2</v>
      </c>
      <c r="C47" s="93">
        <f>'PROYECCION BALANCE'!E6/'Proyeccion PYG'!E4</f>
        <v>1.9428913298614462E-2</v>
      </c>
      <c r="D47" s="93">
        <f>'PROYECCION BALANCE'!E6/'Proyeccion PYG'!E4</f>
        <v>1.9428913298614462E-2</v>
      </c>
      <c r="E47" s="93">
        <f>'PROYECCION BALANCE'!F6/'Proyeccion PYG'!F4</f>
        <v>2.234974043620104E-2</v>
      </c>
      <c r="F47" s="93">
        <f>'PROYECCION BALANCE'!G6/'Proyeccion PYG'!G4</f>
        <v>2.234974043620104E-2</v>
      </c>
      <c r="G47" s="93">
        <f>'PROYECCION BALANCE'!H6/'Proyeccion PYG'!H4</f>
        <v>2.234974043620104E-2</v>
      </c>
      <c r="H47" s="93">
        <f>'PROYECCION BALANCE'!I6/'Proyeccion PYG'!I4</f>
        <v>2.234974043620104E-2</v>
      </c>
      <c r="I47" s="93">
        <f>'PROYECCION BALANCE'!J6/'Proyeccion PYG'!J4</f>
        <v>2.234974043620104E-2</v>
      </c>
    </row>
    <row r="48" spans="1:9" x14ac:dyDescent="0.3">
      <c r="A48" s="94" t="s">
        <v>216</v>
      </c>
      <c r="B48" s="15">
        <f>'PROYECCION BALANCE'!D5/'Proyeccion PYG'!D4</f>
        <v>4.0314269529015818E-4</v>
      </c>
      <c r="C48" s="15">
        <f>'PROYECCION BALANCE'!E5/'Proyeccion PYG'!E4</f>
        <v>1.2560457519582555E-3</v>
      </c>
      <c r="D48" s="15">
        <f>'PROYECCION BALANCE'!E5/'Proyeccion PYG'!E4</f>
        <v>1.2560457519582555E-3</v>
      </c>
      <c r="E48" s="15">
        <f>'PROYECCION BALANCE'!F5/'Proyeccion PYG'!F4</f>
        <v>2.717991426335871E-3</v>
      </c>
      <c r="F48" s="15">
        <f>'PROYECCION BALANCE'!G5/'Proyeccion PYG'!G4</f>
        <v>2.717991426335871E-3</v>
      </c>
      <c r="G48" s="15">
        <f>'PROYECCION BALANCE'!H5/'Proyeccion PYG'!H4</f>
        <v>2.717991426335871E-3</v>
      </c>
      <c r="H48" s="15">
        <f>'PROYECCION BALANCE'!I5/'Proyeccion PYG'!I4</f>
        <v>2.717991426335871E-3</v>
      </c>
      <c r="I48" s="15">
        <f>'PROYECCION BALANCE'!J5/'Proyeccion PYG'!J4</f>
        <v>2.7179914263358715E-3</v>
      </c>
    </row>
    <row r="51" spans="1:1" x14ac:dyDescent="0.3">
      <c r="A51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7972-ABAB-4583-A2B1-3D42187B3D6C}">
  <dimension ref="A1:M71"/>
  <sheetViews>
    <sheetView tabSelected="1" topLeftCell="A22" zoomScaleNormal="100" workbookViewId="0">
      <selection activeCell="M43" sqref="M43"/>
    </sheetView>
  </sheetViews>
  <sheetFormatPr baseColWidth="10" defaultColWidth="8.88671875" defaultRowHeight="14.4" x14ac:dyDescent="0.3"/>
  <cols>
    <col min="1" max="1" width="43.5546875" customWidth="1"/>
    <col min="2" max="2" width="13" customWidth="1"/>
    <col min="3" max="3" width="12.6640625" customWidth="1"/>
    <col min="4" max="4" width="14.5546875" customWidth="1"/>
    <col min="5" max="5" width="13.109375" customWidth="1"/>
    <col min="6" max="6" width="15.88671875" customWidth="1"/>
    <col min="7" max="7" width="14.33203125" bestFit="1" customWidth="1"/>
    <col min="8" max="8" width="15" customWidth="1"/>
    <col min="9" max="9" width="13.88671875" customWidth="1"/>
    <col min="10" max="10" width="13.44140625" customWidth="1"/>
    <col min="11" max="11" width="14.10937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/>
      <c r="B2" s="2"/>
      <c r="C2" s="2"/>
      <c r="D2" s="2"/>
      <c r="E2" s="2"/>
    </row>
    <row r="3" spans="1:11" x14ac:dyDescent="0.3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  <c r="G3" s="77" t="s">
        <v>188</v>
      </c>
      <c r="H3" s="77" t="s">
        <v>189</v>
      </c>
      <c r="I3" s="77" t="s">
        <v>190</v>
      </c>
      <c r="J3" s="77" t="s">
        <v>191</v>
      </c>
      <c r="K3" s="77" t="s">
        <v>192</v>
      </c>
    </row>
    <row r="4" spans="1:11" x14ac:dyDescent="0.3">
      <c r="A4" s="3" t="s">
        <v>2</v>
      </c>
      <c r="B4" s="4">
        <f t="shared" ref="B4:K4" si="0">B5+B6+B7+B8+B9+B10</f>
        <v>859099</v>
      </c>
      <c r="C4" s="4">
        <f t="shared" si="0"/>
        <v>1556623</v>
      </c>
      <c r="D4" s="4">
        <f t="shared" si="0"/>
        <v>1403778</v>
      </c>
      <c r="E4" s="4">
        <f t="shared" si="0"/>
        <v>2730187</v>
      </c>
      <c r="F4" s="4">
        <f t="shared" si="0"/>
        <v>2700262.5300000003</v>
      </c>
      <c r="G4" s="4">
        <f t="shared" si="0"/>
        <v>2609883.2514915764</v>
      </c>
      <c r="H4" s="4">
        <f t="shared" si="0"/>
        <v>2576288.6990001979</v>
      </c>
      <c r="I4" s="4">
        <f t="shared" si="0"/>
        <v>2592538.3568091919</v>
      </c>
      <c r="J4" s="4">
        <f t="shared" si="0"/>
        <v>2658598.971812923</v>
      </c>
      <c r="K4" s="4">
        <f t="shared" si="0"/>
        <v>2780845.0119942152</v>
      </c>
    </row>
    <row r="5" spans="1:11" x14ac:dyDescent="0.3">
      <c r="A5" s="5" t="s">
        <v>3</v>
      </c>
      <c r="B5" s="6">
        <v>55358</v>
      </c>
      <c r="C5" s="6">
        <v>38181</v>
      </c>
      <c r="D5" s="6">
        <v>25372</v>
      </c>
      <c r="E5" s="6">
        <v>71520</v>
      </c>
      <c r="F5" s="6">
        <v>137063.78</v>
      </c>
      <c r="G5" s="4">
        <f>'Proyeccion PYG'!G4*Hipotésis!E48</f>
        <v>127264.32524871336</v>
      </c>
      <c r="H5" s="4">
        <f>'Proyeccion PYG'!H4*Hipotésis!F48</f>
        <v>123621.80560856924</v>
      </c>
      <c r="I5" s="4">
        <f>'Proyeccion PYG'!I4*Hipotésis!G48</f>
        <v>125383.68940595188</v>
      </c>
      <c r="J5" s="4">
        <f>'Proyeccion PYG'!J4*Hipotésis!H48</f>
        <v>132546.37114290442</v>
      </c>
      <c r="K5" s="4">
        <f>'Proyeccion PYG'!K4*Hipotésis!I48</f>
        <v>145801.00825719489</v>
      </c>
    </row>
    <row r="6" spans="1:11" x14ac:dyDescent="0.3">
      <c r="A6" s="5" t="s">
        <v>4</v>
      </c>
      <c r="B6" s="6">
        <v>306410</v>
      </c>
      <c r="C6" s="6">
        <v>353563</v>
      </c>
      <c r="D6" s="6">
        <v>693753</v>
      </c>
      <c r="E6" s="6">
        <v>1106294</v>
      </c>
      <c r="F6" s="6">
        <v>1127060.18</v>
      </c>
      <c r="G6" s="4">
        <f>'Proyeccion PYG'!G4*Hipotésis!E47</f>
        <v>1046480.3562428631</v>
      </c>
      <c r="H6" s="4">
        <f>'Proyeccion PYG'!H4*Hipotésis!F47</f>
        <v>1016528.3233916287</v>
      </c>
      <c r="I6" s="4">
        <f>'Proyeccion PYG'!I4*Hipotésis!G47</f>
        <v>1031016.0974032397</v>
      </c>
      <c r="J6" s="4">
        <f>'Proyeccion PYG'!J4*Hipotésis!H47</f>
        <v>1089914.0306700184</v>
      </c>
      <c r="K6" s="4">
        <f>'Proyeccion PYG'!K4*Hipotésis!I47</f>
        <v>1198905.4337370202</v>
      </c>
    </row>
    <row r="7" spans="1:11" x14ac:dyDescent="0.3">
      <c r="A7" s="5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</row>
    <row r="8" spans="1:11" x14ac:dyDescent="0.3">
      <c r="A8" s="5" t="s">
        <v>6</v>
      </c>
      <c r="B8" s="6">
        <v>180000</v>
      </c>
      <c r="C8" s="6">
        <v>180000</v>
      </c>
      <c r="D8" s="6">
        <v>180000</v>
      </c>
      <c r="E8" s="6">
        <v>180000</v>
      </c>
      <c r="F8" s="6">
        <v>180000</v>
      </c>
      <c r="G8" s="6">
        <v>180000</v>
      </c>
      <c r="H8" s="6">
        <v>180000</v>
      </c>
      <c r="I8" s="6">
        <v>180000</v>
      </c>
      <c r="J8" s="6">
        <v>180000</v>
      </c>
      <c r="K8" s="6">
        <v>180000</v>
      </c>
    </row>
    <row r="9" spans="1:11" x14ac:dyDescent="0.3">
      <c r="A9" s="5" t="s">
        <v>7</v>
      </c>
      <c r="B9" s="6">
        <v>130945</v>
      </c>
      <c r="C9" s="6">
        <v>658072</v>
      </c>
      <c r="D9" s="6">
        <v>236958</v>
      </c>
      <c r="E9" s="6">
        <v>1073260</v>
      </c>
      <c r="F9" s="6">
        <v>967272.43</v>
      </c>
      <c r="G9" s="6">
        <v>967272.43</v>
      </c>
      <c r="H9" s="6">
        <v>967272.43</v>
      </c>
      <c r="I9" s="6">
        <v>967272.43</v>
      </c>
      <c r="J9" s="6">
        <v>967272.43</v>
      </c>
      <c r="K9" s="6">
        <v>967272.43</v>
      </c>
    </row>
    <row r="10" spans="1:11" x14ac:dyDescent="0.3">
      <c r="A10" s="5" t="s">
        <v>8</v>
      </c>
      <c r="B10" s="6">
        <v>186386</v>
      </c>
      <c r="C10" s="6">
        <v>326807</v>
      </c>
      <c r="D10" s="6">
        <v>267695</v>
      </c>
      <c r="E10" s="6">
        <v>299113</v>
      </c>
      <c r="F10" s="6">
        <v>288866.14</v>
      </c>
      <c r="G10" s="6">
        <v>288866.14</v>
      </c>
      <c r="H10" s="6">
        <v>288866.14</v>
      </c>
      <c r="I10" s="6">
        <v>288866.14</v>
      </c>
      <c r="J10" s="6">
        <v>288866.14</v>
      </c>
      <c r="K10" s="6">
        <v>288866.14</v>
      </c>
    </row>
    <row r="11" spans="1:11" x14ac:dyDescent="0.3">
      <c r="A11" s="3" t="s">
        <v>9</v>
      </c>
      <c r="B11" s="4">
        <f>B12+B13+B14+B15+B16+B17</f>
        <v>15752844</v>
      </c>
      <c r="C11" s="4">
        <f>C12+C13+C14+C15+C16+C17</f>
        <v>15603138</v>
      </c>
      <c r="D11" s="4">
        <f>D12+D13+D14+D15+D16+D17</f>
        <v>23948930</v>
      </c>
      <c r="E11" s="4">
        <f>E12+E13+E14+E15+E16+E17</f>
        <v>30338642.671232875</v>
      </c>
      <c r="F11" s="4">
        <f ca="1">F12+F13+F14+F15+F16+F17</f>
        <v>31075471.230821922</v>
      </c>
      <c r="G11" s="4">
        <f t="shared" ref="G11:K11" ca="1" si="1">G12+G13+G14+G15+G16+G17</f>
        <v>30852724.711137239</v>
      </c>
      <c r="H11" s="4">
        <f t="shared" ca="1" si="1"/>
        <v>30915574.791823551</v>
      </c>
      <c r="I11" s="4">
        <f t="shared" ca="1" si="1"/>
        <v>35639282.880641378</v>
      </c>
      <c r="J11" s="4">
        <f t="shared" ca="1" si="1"/>
        <v>41307625.916333027</v>
      </c>
      <c r="K11" s="4">
        <f t="shared" ca="1" si="1"/>
        <v>48226481.133444972</v>
      </c>
    </row>
    <row r="12" spans="1:11" x14ac:dyDescent="0.3">
      <c r="A12" s="5" t="s">
        <v>10</v>
      </c>
      <c r="B12" s="6"/>
      <c r="C12" s="6"/>
      <c r="D12" s="6"/>
      <c r="E12" s="6">
        <f>-'Proyeccion PYG'!E6/365*Hipotésis!C13</f>
        <v>11947967.671232875</v>
      </c>
      <c r="F12" s="6">
        <f ca="1">-'Proyeccion PYG'!F6/365*Hipotésis!D13</f>
        <v>8132649.1808219198</v>
      </c>
      <c r="G12" s="6">
        <f ca="1">-'Proyeccion PYG'!G6/365*Hipotésis!E13</f>
        <v>7452062.5869104648</v>
      </c>
      <c r="H12" s="6">
        <f ca="1">-'Proyeccion PYG'!H6/365*Hipotésis!F13</f>
        <v>7142471.3805824211</v>
      </c>
      <c r="I12" s="6">
        <f ca="1">-'Proyeccion PYG'!I6/365*Hipotésis!G13</f>
        <v>7146594.2723624408</v>
      </c>
      <c r="J12" s="6">
        <f ca="1">-'Proyeccion PYG'!J6/365*Hipotésis!H13</f>
        <v>7451598.5770036066</v>
      </c>
      <c r="K12" s="6">
        <f ca="1">-'Proyeccion PYG'!K6/365*Hipotésis!I13</f>
        <v>8083180.3698817426</v>
      </c>
    </row>
    <row r="13" spans="1:11" x14ac:dyDescent="0.3">
      <c r="A13" s="5" t="s">
        <v>11</v>
      </c>
      <c r="B13" s="6">
        <v>7499543</v>
      </c>
      <c r="C13" s="6">
        <v>9085867</v>
      </c>
      <c r="D13" s="6">
        <v>15132470</v>
      </c>
      <c r="E13" s="6">
        <v>13904393</v>
      </c>
      <c r="F13" s="6">
        <v>11729939.67</v>
      </c>
      <c r="G13" s="6">
        <f>('Proyeccion PYG'!G4/365)*Hipotésis!E14</f>
        <v>18384870.272444248</v>
      </c>
      <c r="H13" s="6">
        <f>'Proyeccion PYG'!H4/365*Hipotésis!E14</f>
        <v>17858664.276239064</v>
      </c>
      <c r="I13" s="6">
        <f>'Proyeccion PYG'!I4/365*Hipotésis!F14</f>
        <v>17997337.70518373</v>
      </c>
      <c r="J13" s="6">
        <f>'Proyeccion PYG'!J4/365*Hipotésis!G14</f>
        <v>18902985.341221102</v>
      </c>
      <c r="K13" s="6">
        <f>'Proyeccion PYG'!K4/365*Hipotésis!H14</f>
        <v>20658566.70211897</v>
      </c>
    </row>
    <row r="14" spans="1:11" x14ac:dyDescent="0.3">
      <c r="A14" s="5" t="s">
        <v>12</v>
      </c>
      <c r="B14" s="6"/>
      <c r="C14" s="6"/>
      <c r="D14" s="6"/>
      <c r="E14" s="6"/>
      <c r="F14" s="6">
        <v>3913618.69</v>
      </c>
      <c r="G14" s="6">
        <v>3913618.69</v>
      </c>
      <c r="H14" s="6">
        <v>3913618.69</v>
      </c>
      <c r="I14" s="6">
        <v>3913618.69</v>
      </c>
      <c r="J14" s="6">
        <v>3913618.69</v>
      </c>
      <c r="K14" s="6">
        <v>3913618.69</v>
      </c>
    </row>
    <row r="15" spans="1:11" x14ac:dyDescent="0.3">
      <c r="A15" s="5" t="s">
        <v>13</v>
      </c>
      <c r="B15" s="6">
        <v>778610</v>
      </c>
      <c r="C15" s="6">
        <v>494474</v>
      </c>
      <c r="D15" s="6">
        <v>2859350</v>
      </c>
      <c r="E15" s="6">
        <v>250703</v>
      </c>
      <c r="F15" s="6">
        <v>335009.77</v>
      </c>
      <c r="G15" s="6">
        <v>335009.77</v>
      </c>
      <c r="H15" s="6">
        <v>335009.77</v>
      </c>
      <c r="I15" s="6">
        <v>335009.77</v>
      </c>
      <c r="J15" s="6">
        <v>335009.77</v>
      </c>
      <c r="K15" s="6">
        <v>335009.77</v>
      </c>
    </row>
    <row r="16" spans="1:11" x14ac:dyDescent="0.3">
      <c r="A16" s="5" t="s">
        <v>14</v>
      </c>
      <c r="B16" s="6"/>
      <c r="C16" s="6"/>
      <c r="D16" s="6"/>
      <c r="E16" s="6"/>
      <c r="F16" s="6"/>
    </row>
    <row r="17" spans="1:11" x14ac:dyDescent="0.3">
      <c r="A17" s="5" t="s">
        <v>15</v>
      </c>
      <c r="B17" s="6">
        <f>SUM(B18:B18)</f>
        <v>7474691</v>
      </c>
      <c r="C17" s="6">
        <f>SUM(C18:C18)</f>
        <v>6022797</v>
      </c>
      <c r="D17" s="6">
        <f>SUM(D18:D18)</f>
        <v>5957110</v>
      </c>
      <c r="E17" s="6">
        <f>SUM(E18:E18)</f>
        <v>4235579</v>
      </c>
      <c r="F17" s="6">
        <f>SUM(F18:F18)</f>
        <v>6964253.9199999999</v>
      </c>
      <c r="G17" s="6">
        <f t="shared" ref="G17:K17" ca="1" si="2">SUM(G18:G18)</f>
        <v>767163.39178252593</v>
      </c>
      <c r="H17" s="6">
        <f t="shared" ca="1" si="2"/>
        <v>1665810.6750020636</v>
      </c>
      <c r="I17" s="6">
        <f t="shared" ca="1" si="2"/>
        <v>6246722.4430952091</v>
      </c>
      <c r="J17" s="6">
        <f t="shared" ca="1" si="2"/>
        <v>10704413.538108321</v>
      </c>
      <c r="K17" s="6">
        <f t="shared" ca="1" si="2"/>
        <v>15236105.601444257</v>
      </c>
    </row>
    <row r="18" spans="1:11" x14ac:dyDescent="0.3">
      <c r="A18" s="8" t="s">
        <v>16</v>
      </c>
      <c r="B18" s="9">
        <v>7474691</v>
      </c>
      <c r="C18" s="9">
        <v>6022797</v>
      </c>
      <c r="D18" s="9">
        <v>5957110</v>
      </c>
      <c r="E18" s="9">
        <v>4235579</v>
      </c>
      <c r="F18" s="9">
        <v>6964253.9199999999</v>
      </c>
      <c r="G18" s="16">
        <f ca="1">'Flujos de Caja'!B32</f>
        <v>767163.39178252593</v>
      </c>
      <c r="H18" s="16">
        <f ca="1">'Flujos de Caja'!C32</f>
        <v>1665810.6750020636</v>
      </c>
      <c r="I18" s="16">
        <f ca="1">'Flujos de Caja'!D32</f>
        <v>6246722.4430952091</v>
      </c>
      <c r="J18" s="16">
        <f ca="1">'Flujos de Caja'!E32</f>
        <v>10704413.538108321</v>
      </c>
      <c r="K18" s="16">
        <f ca="1">'Flujos de Caja'!F32</f>
        <v>15236105.601444257</v>
      </c>
    </row>
    <row r="19" spans="1:11" x14ac:dyDescent="0.3">
      <c r="A19" s="3" t="s">
        <v>17</v>
      </c>
      <c r="B19" s="4">
        <f>B4+B11</f>
        <v>16611943</v>
      </c>
      <c r="C19" s="4">
        <f>C4+C11</f>
        <v>17159761</v>
      </c>
      <c r="D19" s="4">
        <f>D4+D11</f>
        <v>25352708</v>
      </c>
      <c r="E19" s="4">
        <f>E4+E11</f>
        <v>33068829.671232875</v>
      </c>
      <c r="F19" s="4">
        <f ca="1">F4+F11</f>
        <v>33775733.760821924</v>
      </c>
      <c r="G19" s="4">
        <f t="shared" ref="G19:K19" ca="1" si="3">G4+G11</f>
        <v>33462607.962628815</v>
      </c>
      <c r="H19" s="4">
        <f t="shared" ca="1" si="3"/>
        <v>33491863.490823749</v>
      </c>
      <c r="I19" s="4">
        <f t="shared" ca="1" si="3"/>
        <v>38231821.23745057</v>
      </c>
      <c r="J19" s="4">
        <f t="shared" ca="1" si="3"/>
        <v>43966224.888145953</v>
      </c>
      <c r="K19" s="4">
        <f t="shared" ca="1" si="3"/>
        <v>51007326.145439185</v>
      </c>
    </row>
    <row r="20" spans="1:11" x14ac:dyDescent="0.3">
      <c r="A20" s="2"/>
      <c r="B20" s="2"/>
      <c r="C20" s="2"/>
      <c r="D20" s="2"/>
      <c r="E20" s="2"/>
      <c r="F20" s="2"/>
    </row>
    <row r="21" spans="1:11" x14ac:dyDescent="0.3">
      <c r="A21" s="1" t="s">
        <v>18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x14ac:dyDescent="0.3">
      <c r="A22" s="2"/>
      <c r="B22" s="2"/>
      <c r="C22" s="2"/>
      <c r="D22" s="2"/>
      <c r="E22" s="2"/>
      <c r="F22" s="2"/>
    </row>
    <row r="23" spans="1:11" x14ac:dyDescent="0.3">
      <c r="A23" s="3" t="s">
        <v>1</v>
      </c>
      <c r="B23" s="3">
        <v>2018</v>
      </c>
      <c r="C23" s="3">
        <v>2019</v>
      </c>
      <c r="D23" s="3">
        <v>2020</v>
      </c>
      <c r="E23" s="3">
        <v>2021</v>
      </c>
      <c r="F23" s="3">
        <v>2022</v>
      </c>
      <c r="G23" s="77" t="s">
        <v>188</v>
      </c>
      <c r="H23" s="77" t="s">
        <v>189</v>
      </c>
      <c r="I23" s="77" t="s">
        <v>190</v>
      </c>
      <c r="J23" s="77" t="s">
        <v>191</v>
      </c>
      <c r="K23" s="77" t="s">
        <v>192</v>
      </c>
    </row>
    <row r="24" spans="1:11" x14ac:dyDescent="0.3">
      <c r="A24" s="3" t="s">
        <v>19</v>
      </c>
      <c r="B24" s="4">
        <f t="shared" ref="B24:K24" si="4">+B25+B31</f>
        <v>4745015</v>
      </c>
      <c r="C24" s="4">
        <f t="shared" si="4"/>
        <v>5994774</v>
      </c>
      <c r="D24" s="4">
        <f t="shared" si="4"/>
        <v>9487240</v>
      </c>
      <c r="E24" s="4">
        <f t="shared" si="4"/>
        <v>7627299</v>
      </c>
      <c r="F24" s="4">
        <f t="shared" si="4"/>
        <v>11316384.609999999</v>
      </c>
      <c r="G24" s="4">
        <f t="shared" ca="1" si="4"/>
        <v>15407943.67179754</v>
      </c>
      <c r="H24" s="4">
        <f t="shared" ca="1" si="4"/>
        <v>17302036.91506071</v>
      </c>
      <c r="I24" s="4">
        <f t="shared" ca="1" si="4"/>
        <v>19141521.340126112</v>
      </c>
      <c r="J24" s="4">
        <f t="shared" ca="1" si="4"/>
        <v>21825455.302279823</v>
      </c>
      <c r="K24" s="4">
        <f t="shared" ca="1" si="4"/>
        <v>25686651.946091287</v>
      </c>
    </row>
    <row r="25" spans="1:11" x14ac:dyDescent="0.3">
      <c r="A25" s="5" t="s">
        <v>20</v>
      </c>
      <c r="B25" s="6">
        <f t="shared" ref="B25:G25" si="5">B26+B27+B28+B29+B30</f>
        <v>4745015</v>
      </c>
      <c r="C25" s="6">
        <f t="shared" si="5"/>
        <v>5994774</v>
      </c>
      <c r="D25" s="6">
        <f t="shared" si="5"/>
        <v>9487240</v>
      </c>
      <c r="E25" s="6">
        <f t="shared" si="5"/>
        <v>7627299</v>
      </c>
      <c r="F25" s="6">
        <f t="shared" si="5"/>
        <v>11316384.609999999</v>
      </c>
      <c r="G25" s="6">
        <f t="shared" ca="1" si="5"/>
        <v>15407943.67179754</v>
      </c>
      <c r="H25" s="6">
        <f t="shared" ref="H25:K25" ca="1" si="6">H26+H27+H28+H29+H30</f>
        <v>17302036.91506071</v>
      </c>
      <c r="I25" s="6">
        <f t="shared" ca="1" si="6"/>
        <v>19141521.340126112</v>
      </c>
      <c r="J25" s="6">
        <f t="shared" ca="1" si="6"/>
        <v>21825455.302279823</v>
      </c>
      <c r="K25" s="6">
        <f t="shared" ca="1" si="6"/>
        <v>25686651.946091287</v>
      </c>
    </row>
    <row r="26" spans="1:11" x14ac:dyDescent="0.3">
      <c r="A26" s="8" t="s">
        <v>21</v>
      </c>
      <c r="B26" s="9">
        <v>192320</v>
      </c>
      <c r="C26" s="9">
        <v>192320</v>
      </c>
      <c r="D26" s="9">
        <v>192320</v>
      </c>
      <c r="E26" s="9">
        <v>192320</v>
      </c>
      <c r="F26" s="9">
        <v>192320</v>
      </c>
      <c r="G26" s="9">
        <v>192320</v>
      </c>
      <c r="H26" s="9">
        <v>192320</v>
      </c>
      <c r="I26" s="9">
        <v>192320</v>
      </c>
      <c r="J26" s="9">
        <v>192320</v>
      </c>
      <c r="K26" s="9">
        <v>192320</v>
      </c>
    </row>
    <row r="27" spans="1:11" x14ac:dyDescent="0.3">
      <c r="A27" s="8" t="s">
        <v>22</v>
      </c>
      <c r="B27" s="9"/>
      <c r="C27" s="9"/>
      <c r="D27" s="9"/>
      <c r="E27" s="9"/>
      <c r="F27" s="9"/>
    </row>
    <row r="28" spans="1:11" x14ac:dyDescent="0.3">
      <c r="A28" s="8" t="s">
        <v>23</v>
      </c>
      <c r="B28" s="9">
        <v>4074938</v>
      </c>
      <c r="C28" s="9">
        <v>4074937</v>
      </c>
      <c r="D28" s="9">
        <v>5802454</v>
      </c>
      <c r="E28" s="9">
        <v>2194921</v>
      </c>
      <c r="F28" s="9">
        <v>7434979.3300000001</v>
      </c>
      <c r="G28" s="16">
        <f>F28</f>
        <v>7434979.3300000001</v>
      </c>
      <c r="H28" s="16">
        <f t="shared" ref="H28:K28" ca="1" si="7">H29+H30</f>
        <v>8554858.4575303551</v>
      </c>
      <c r="I28" s="16">
        <f t="shared" ca="1" si="7"/>
        <v>9474600.6700630561</v>
      </c>
      <c r="J28" s="16">
        <f t="shared" ca="1" si="7"/>
        <v>10816567.651139911</v>
      </c>
      <c r="K28" s="16">
        <f t="shared" ca="1" si="7"/>
        <v>12747165.973045643</v>
      </c>
    </row>
    <row r="29" spans="1:11" x14ac:dyDescent="0.3">
      <c r="A29" s="8" t="s">
        <v>24</v>
      </c>
      <c r="B29" s="9">
        <v>0</v>
      </c>
      <c r="C29" s="9"/>
      <c r="D29" s="9"/>
      <c r="E29" s="9"/>
      <c r="F29" s="9"/>
      <c r="G29" s="16">
        <f>F30</f>
        <v>3689085.28</v>
      </c>
      <c r="H29" s="16">
        <f t="shared" ref="H29:K29" ca="1" si="8">G30</f>
        <v>4091559.0617975406</v>
      </c>
      <c r="I29" s="16">
        <f t="shared" ca="1" si="8"/>
        <v>4463299.3957328144</v>
      </c>
      <c r="J29" s="16">
        <f t="shared" ca="1" si="8"/>
        <v>5011301.2743302416</v>
      </c>
      <c r="K29" s="16">
        <f t="shared" ca="1" si="8"/>
        <v>5805266.3768096687</v>
      </c>
    </row>
    <row r="30" spans="1:11" x14ac:dyDescent="0.3">
      <c r="A30" s="8" t="s">
        <v>25</v>
      </c>
      <c r="B30" s="9">
        <f>+'Cuentas PyG'!B22</f>
        <v>477757</v>
      </c>
      <c r="C30" s="9">
        <f>+'Cuentas PyG'!C22</f>
        <v>1727517</v>
      </c>
      <c r="D30" s="9">
        <f>+'Cuentas PyG'!D22</f>
        <v>3492466</v>
      </c>
      <c r="E30" s="9">
        <f>+'Cuentas PyG'!E22</f>
        <v>5240058</v>
      </c>
      <c r="F30" s="9">
        <v>3689085.28</v>
      </c>
      <c r="G30" s="16">
        <f ca="1">'Proyeccion PYG'!G22</f>
        <v>4091559.0617975406</v>
      </c>
      <c r="H30" s="16">
        <f ca="1">'Proyeccion PYG'!H22</f>
        <v>4463299.3957328144</v>
      </c>
      <c r="I30" s="16">
        <f ca="1">'Proyeccion PYG'!I22</f>
        <v>5011301.2743302416</v>
      </c>
      <c r="J30" s="16">
        <f ca="1">'Proyeccion PYG'!J22</f>
        <v>5805266.3768096687</v>
      </c>
      <c r="K30" s="16">
        <f ca="1">'Proyeccion PYG'!K22</f>
        <v>6941899.5962359747</v>
      </c>
    </row>
    <row r="31" spans="1:11" x14ac:dyDescent="0.3">
      <c r="A31" s="5" t="s">
        <v>58</v>
      </c>
      <c r="B31" s="6"/>
      <c r="C31" s="6"/>
      <c r="D31" s="6"/>
      <c r="E31" s="6"/>
      <c r="F31" s="6"/>
    </row>
    <row r="32" spans="1:11" x14ac:dyDescent="0.3">
      <c r="A32" s="3" t="s">
        <v>26</v>
      </c>
      <c r="B32" s="4">
        <f>B33+B34+B35+B36+B37</f>
        <v>479567</v>
      </c>
      <c r="C32" s="4">
        <f>C33+C34+C35+C36+C37</f>
        <v>477567</v>
      </c>
      <c r="D32" s="4">
        <f>D33+D34+D35+D36+D37</f>
        <v>309033</v>
      </c>
      <c r="E32" s="4">
        <f>E33+E34+E35+E36+E37</f>
        <v>289033</v>
      </c>
      <c r="F32" s="4">
        <f>F33+F34+F35+F36+F37</f>
        <v>219032.59000000003</v>
      </c>
      <c r="G32" s="4">
        <f t="shared" ref="G32:K32" ca="1" si="9">G33+G34+G35+G36+G37</f>
        <v>251614.50449906749</v>
      </c>
      <c r="H32" s="4">
        <f t="shared" ca="1" si="9"/>
        <v>266697.5530810791</v>
      </c>
      <c r="I32" s="4">
        <f t="shared" ca="1" si="9"/>
        <v>281345.7405701573</v>
      </c>
      <c r="J32" s="4">
        <f t="shared" ca="1" si="9"/>
        <v>302718.4509612954</v>
      </c>
      <c r="K32" s="4">
        <f t="shared" ca="1" si="9"/>
        <v>333465.94281284447</v>
      </c>
    </row>
    <row r="33" spans="1:13" x14ac:dyDescent="0.3">
      <c r="A33" s="5" t="s">
        <v>27</v>
      </c>
      <c r="B33" s="6">
        <v>373620</v>
      </c>
      <c r="C33" s="6">
        <v>373620</v>
      </c>
      <c r="D33" s="6">
        <v>155086</v>
      </c>
      <c r="E33" s="6">
        <v>155086</v>
      </c>
      <c r="F33" s="6">
        <v>155085.54</v>
      </c>
      <c r="G33" s="6">
        <v>155085.54</v>
      </c>
      <c r="H33" s="6">
        <v>155085.54</v>
      </c>
      <c r="I33" s="6">
        <v>155085.54</v>
      </c>
      <c r="J33" s="6">
        <v>155085.54</v>
      </c>
      <c r="K33" s="6">
        <v>155085.54</v>
      </c>
    </row>
    <row r="34" spans="1:13" x14ac:dyDescent="0.3">
      <c r="A34" s="5" t="s">
        <v>28</v>
      </c>
      <c r="B34" s="6">
        <v>105947</v>
      </c>
      <c r="C34" s="6">
        <v>103947</v>
      </c>
      <c r="D34" s="6">
        <v>153947</v>
      </c>
      <c r="E34" s="6">
        <v>133947</v>
      </c>
      <c r="F34" s="6">
        <v>63947.05</v>
      </c>
      <c r="G34" s="6">
        <f ca="1">F34+G71*Hipotésis!E28</f>
        <v>96528.964499067471</v>
      </c>
      <c r="H34" s="6">
        <f ca="1">G34+H71*Hipotésis!F28</f>
        <v>111612.0130810791</v>
      </c>
      <c r="I34" s="6">
        <f ca="1">H34+I71*Hipotésis!G28</f>
        <v>126260.20057015726</v>
      </c>
      <c r="J34" s="6">
        <f ca="1">I34+J71*Hipotésis!H28</f>
        <v>147632.91096129536</v>
      </c>
      <c r="K34" s="6">
        <f ca="1">J34+K71*Hipotésis!I28</f>
        <v>178380.40281284446</v>
      </c>
      <c r="M34" s="13"/>
    </row>
    <row r="35" spans="1:13" x14ac:dyDescent="0.3">
      <c r="A35" s="5" t="s">
        <v>29</v>
      </c>
      <c r="B35" s="6"/>
      <c r="C35" s="6"/>
      <c r="D35" s="6"/>
      <c r="E35" s="6"/>
      <c r="F35" s="6"/>
    </row>
    <row r="36" spans="1:13" x14ac:dyDescent="0.3">
      <c r="A36" s="5" t="s">
        <v>30</v>
      </c>
      <c r="B36" s="6"/>
      <c r="C36" s="6"/>
      <c r="D36" s="6"/>
      <c r="E36" s="6"/>
      <c r="F36" s="6"/>
    </row>
    <row r="37" spans="1:13" x14ac:dyDescent="0.3">
      <c r="A37" s="5" t="s">
        <v>31</v>
      </c>
      <c r="B37" s="6"/>
      <c r="C37" s="6"/>
      <c r="D37" s="6"/>
      <c r="E37" s="6"/>
      <c r="F37" s="6"/>
    </row>
    <row r="38" spans="1:13" x14ac:dyDescent="0.3">
      <c r="A38" s="3" t="s">
        <v>32</v>
      </c>
      <c r="B38" s="4">
        <f>B39+B40+B41+B42+B43</f>
        <v>11387361</v>
      </c>
      <c r="C38" s="4">
        <f>C39+C40+C41+C42+C43</f>
        <v>10687420</v>
      </c>
      <c r="D38" s="4">
        <f>D39+D40+D41+D42+D43</f>
        <v>15556435</v>
      </c>
      <c r="E38" s="4">
        <f>E39+E40+E41+E42+E43</f>
        <v>13204530</v>
      </c>
      <c r="F38" s="4">
        <f>F39+F40+F41+F42+F43</f>
        <v>14107667.380000001</v>
      </c>
      <c r="G38" s="4">
        <f t="shared" ref="G38:K38" ca="1" si="10">G39+G40+G41+G42+G43</f>
        <v>9522343.1633548699</v>
      </c>
      <c r="H38" s="4">
        <f t="shared" ca="1" si="10"/>
        <v>4947518.3050771849</v>
      </c>
      <c r="I38" s="4">
        <f t="shared" ca="1" si="10"/>
        <v>4536384.2995418534</v>
      </c>
      <c r="J38" s="4">
        <f t="shared" ca="1" si="10"/>
        <v>4310414.1890199678</v>
      </c>
      <c r="K38" s="4">
        <f t="shared" ca="1" si="10"/>
        <v>4233154.8835809128</v>
      </c>
    </row>
    <row r="39" spans="1:13" x14ac:dyDescent="0.3">
      <c r="A39" s="5" t="s">
        <v>33</v>
      </c>
      <c r="B39" s="6">
        <v>50046</v>
      </c>
      <c r="C39" s="6">
        <v>50046</v>
      </c>
      <c r="D39" s="6">
        <v>50046</v>
      </c>
      <c r="E39" s="6">
        <v>50046</v>
      </c>
      <c r="F39" s="6">
        <v>50045.88</v>
      </c>
      <c r="G39" s="6">
        <f>F39-('Proyeccion PYG'!G13)</f>
        <v>42937.84</v>
      </c>
      <c r="H39" s="6">
        <f>G39-('Proyeccion PYG'!H13)</f>
        <v>35829.799999999996</v>
      </c>
      <c r="I39" s="6">
        <f>H39-('Proyeccion PYG'!I13)</f>
        <v>28721.759999999995</v>
      </c>
      <c r="J39" s="6">
        <f>I39-('Proyeccion PYG'!J13)</f>
        <v>21613.719999999994</v>
      </c>
      <c r="K39" s="6">
        <f>J39-('Proyeccion PYG'!K13)</f>
        <v>14505.679999999993</v>
      </c>
    </row>
    <row r="40" spans="1:13" x14ac:dyDescent="0.3">
      <c r="A40" s="5" t="s">
        <v>34</v>
      </c>
      <c r="B40" s="6"/>
      <c r="C40" s="6"/>
      <c r="D40" s="6"/>
      <c r="E40" s="6">
        <v>304020</v>
      </c>
      <c r="F40" s="6"/>
    </row>
    <row r="41" spans="1:13" x14ac:dyDescent="0.3">
      <c r="A41" s="5" t="s">
        <v>35</v>
      </c>
      <c r="B41" s="6">
        <v>422750</v>
      </c>
      <c r="C41" s="6">
        <v>1150016</v>
      </c>
      <c r="D41" s="6">
        <v>2131550</v>
      </c>
      <c r="E41" s="6">
        <v>0</v>
      </c>
      <c r="F41" s="6"/>
    </row>
    <row r="42" spans="1:13" x14ac:dyDescent="0.3">
      <c r="A42" s="5" t="s">
        <v>36</v>
      </c>
      <c r="B42" s="6">
        <v>10914565</v>
      </c>
      <c r="C42" s="6">
        <v>9487358</v>
      </c>
      <c r="D42" s="6">
        <v>13374839</v>
      </c>
      <c r="E42" s="6">
        <v>12850464</v>
      </c>
      <c r="F42" s="6">
        <v>14057621.5</v>
      </c>
      <c r="G42" s="114">
        <f ca="1">('Proyeccion PYG'!G4+'PROYECCION BALANCE'!F12-G12)/365*Hipotésis!E15</f>
        <v>9479405.3233548701</v>
      </c>
      <c r="H42" s="114">
        <f ca="1">(-'Proyeccion PYG'!H6+'PROYECCION BALANCE'!G12-H12)/365*Hipotésis!F15</f>
        <v>4911688.5050771851</v>
      </c>
      <c r="I42" s="114">
        <f ca="1">(-'Proyeccion PYG'!I6+'PROYECCION BALANCE'!H12-I12)/365*Hipotésis!G15</f>
        <v>4507662.5395418536</v>
      </c>
      <c r="J42" s="114">
        <f ca="1">(-'Proyeccion PYG'!J6+'PROYECCION BALANCE'!I12-J12)/365*Hipotésis!H15</f>
        <v>4288800.4690199681</v>
      </c>
      <c r="K42" s="114">
        <f ca="1">(-'Proyeccion PYG'!K6+'PROYECCION BALANCE'!J12-K12)/365*Hipotésis!I15</f>
        <v>4218649.2035809131</v>
      </c>
    </row>
    <row r="43" spans="1:13" x14ac:dyDescent="0.3">
      <c r="A43" s="5" t="s">
        <v>14</v>
      </c>
      <c r="B43" s="6"/>
      <c r="C43" s="6"/>
      <c r="D43" s="6"/>
      <c r="E43" s="6"/>
      <c r="F43" s="6"/>
    </row>
    <row r="44" spans="1:13" x14ac:dyDescent="0.3">
      <c r="A44" s="3" t="s">
        <v>37</v>
      </c>
      <c r="B44" s="4">
        <f>B24+B32+B38</f>
        <v>16611943</v>
      </c>
      <c r="C44" s="4">
        <f>C24+C32+C38</f>
        <v>17159761</v>
      </c>
      <c r="D44" s="4">
        <f>D24+D32+D38</f>
        <v>25352708</v>
      </c>
      <c r="E44" s="4">
        <f>E24+E32+E38</f>
        <v>21120862</v>
      </c>
      <c r="F44" s="4">
        <f>F24+F32+F38</f>
        <v>25643084.579999998</v>
      </c>
      <c r="G44" s="4">
        <f t="shared" ref="G44:K44" ca="1" si="11">G24+G32+G38</f>
        <v>25181901.339651477</v>
      </c>
      <c r="H44" s="4">
        <f t="shared" ca="1" si="11"/>
        <v>22516252.773218974</v>
      </c>
      <c r="I44" s="4">
        <f t="shared" ca="1" si="11"/>
        <v>23959251.380238123</v>
      </c>
      <c r="J44" s="4">
        <f t="shared" ca="1" si="11"/>
        <v>26438587.942261085</v>
      </c>
      <c r="K44" s="4">
        <f t="shared" ca="1" si="11"/>
        <v>30253272.772485044</v>
      </c>
    </row>
    <row r="47" spans="1:13" x14ac:dyDescent="0.3">
      <c r="A47" s="1" t="s">
        <v>223</v>
      </c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3" x14ac:dyDescent="0.3">
      <c r="A48" s="2"/>
      <c r="B48" s="2"/>
      <c r="C48" s="2"/>
      <c r="D48" s="2"/>
      <c r="E48" s="2"/>
      <c r="F48" s="7"/>
      <c r="G48" s="7"/>
      <c r="H48" s="7"/>
      <c r="I48" s="7"/>
    </row>
    <row r="49" spans="1:11" x14ac:dyDescent="0.3">
      <c r="A49" s="10" t="s">
        <v>224</v>
      </c>
      <c r="B49" s="2"/>
      <c r="C49" s="2"/>
      <c r="D49" s="2"/>
      <c r="E49" s="2"/>
      <c r="F49" s="2"/>
      <c r="G49" s="2"/>
      <c r="H49" s="2"/>
      <c r="I49" s="2"/>
    </row>
    <row r="50" spans="1:11" x14ac:dyDescent="0.3">
      <c r="A50" s="2"/>
      <c r="B50" s="2"/>
      <c r="C50" s="2"/>
      <c r="D50" s="2"/>
      <c r="E50" s="2"/>
      <c r="F50" s="2"/>
      <c r="G50" s="2"/>
      <c r="H50" s="2"/>
      <c r="I50" s="2"/>
    </row>
    <row r="51" spans="1:11" x14ac:dyDescent="0.3">
      <c r="A51" s="3" t="s">
        <v>1</v>
      </c>
      <c r="B51" s="22" t="s">
        <v>239</v>
      </c>
      <c r="C51" s="22" t="s">
        <v>240</v>
      </c>
      <c r="D51" s="22" t="s">
        <v>195</v>
      </c>
      <c r="E51" s="22" t="s">
        <v>196</v>
      </c>
      <c r="F51" s="22" t="s">
        <v>197</v>
      </c>
      <c r="G51" s="77" t="s">
        <v>188</v>
      </c>
      <c r="H51" s="77" t="s">
        <v>189</v>
      </c>
      <c r="I51" s="77" t="s">
        <v>190</v>
      </c>
      <c r="J51" s="77" t="s">
        <v>191</v>
      </c>
      <c r="K51" s="77" t="s">
        <v>192</v>
      </c>
    </row>
    <row r="52" spans="1:11" x14ac:dyDescent="0.3">
      <c r="A52" s="13" t="s">
        <v>225</v>
      </c>
      <c r="B52" s="100"/>
      <c r="C52" s="100"/>
      <c r="D52" s="100">
        <f>D12+D13</f>
        <v>15132470</v>
      </c>
      <c r="E52" s="100">
        <f t="shared" ref="E52:K52" si="12">E12+E13</f>
        <v>25852360.671232875</v>
      </c>
      <c r="F52" s="100">
        <f t="shared" ca="1" si="12"/>
        <v>19862588.85082192</v>
      </c>
      <c r="G52" s="100">
        <f t="shared" ca="1" si="12"/>
        <v>25836932.859354712</v>
      </c>
      <c r="H52" s="100">
        <f t="shared" ca="1" si="12"/>
        <v>25001135.656821486</v>
      </c>
      <c r="I52" s="100">
        <f t="shared" ca="1" si="12"/>
        <v>25143931.97754617</v>
      </c>
      <c r="J52" s="100">
        <f t="shared" ca="1" si="12"/>
        <v>26354583.918224707</v>
      </c>
      <c r="K52" s="100">
        <f t="shared" ca="1" si="12"/>
        <v>28741747.072000712</v>
      </c>
    </row>
    <row r="53" spans="1:11" x14ac:dyDescent="0.3">
      <c r="A53" s="13" t="s">
        <v>226</v>
      </c>
      <c r="B53" s="100"/>
      <c r="C53" s="100"/>
      <c r="D53" s="100">
        <f>-D42</f>
        <v>-13374839</v>
      </c>
      <c r="E53" s="100">
        <f t="shared" ref="E53:K53" si="13">-E42</f>
        <v>-12850464</v>
      </c>
      <c r="F53" s="100">
        <f t="shared" si="13"/>
        <v>-14057621.5</v>
      </c>
      <c r="G53" s="100">
        <f t="shared" ca="1" si="13"/>
        <v>-9479405.3233548701</v>
      </c>
      <c r="H53" s="100">
        <f t="shared" ca="1" si="13"/>
        <v>-4911688.5050771851</v>
      </c>
      <c r="I53" s="100">
        <f t="shared" ca="1" si="13"/>
        <v>-4507662.5395418536</v>
      </c>
      <c r="J53" s="100">
        <f t="shared" ca="1" si="13"/>
        <v>-4288800.4690199681</v>
      </c>
      <c r="K53" s="100">
        <f t="shared" ca="1" si="13"/>
        <v>-4218649.2035809131</v>
      </c>
    </row>
    <row r="54" spans="1:11" x14ac:dyDescent="0.3">
      <c r="A54" s="85" t="s">
        <v>227</v>
      </c>
      <c r="B54" s="101"/>
      <c r="C54" s="101"/>
      <c r="D54" s="101">
        <f>SUM(D52:D53)</f>
        <v>1757631</v>
      </c>
      <c r="E54" s="101">
        <f t="shared" ref="E54:K54" si="14">SUM(E52:E53)</f>
        <v>13001896.671232875</v>
      </c>
      <c r="F54" s="101">
        <f t="shared" ca="1" si="14"/>
        <v>5804967.3508219197</v>
      </c>
      <c r="G54" s="101">
        <f t="shared" ca="1" si="14"/>
        <v>16357527.535999842</v>
      </c>
      <c r="H54" s="101">
        <f t="shared" ca="1" si="14"/>
        <v>20089447.151744299</v>
      </c>
      <c r="I54" s="101">
        <f t="shared" ca="1" si="14"/>
        <v>20636269.438004315</v>
      </c>
      <c r="J54" s="101">
        <f t="shared" ca="1" si="14"/>
        <v>22065783.449204739</v>
      </c>
      <c r="K54" s="101">
        <f t="shared" ca="1" si="14"/>
        <v>24523097.8684198</v>
      </c>
    </row>
    <row r="55" spans="1:11" x14ac:dyDescent="0.3">
      <c r="A55" s="102" t="s">
        <v>228</v>
      </c>
      <c r="B55" s="102"/>
      <c r="C55" s="103"/>
      <c r="D55" s="102"/>
      <c r="E55" s="103">
        <f>E54-D54</f>
        <v>11244265.671232875</v>
      </c>
      <c r="F55" s="103">
        <f t="shared" ref="F55:G55" ca="1" si="15">F54-E54</f>
        <v>-7196929.3204109557</v>
      </c>
      <c r="G55" s="103">
        <f t="shared" ca="1" si="15"/>
        <v>10552560.185177922</v>
      </c>
      <c r="H55" s="103">
        <f ca="1">H54-G54</f>
        <v>3731919.6157444566</v>
      </c>
      <c r="I55" s="103">
        <f t="shared" ref="I55:K55" ca="1" si="16">I54-H54</f>
        <v>546822.28626001626</v>
      </c>
      <c r="J55" s="103">
        <f t="shared" ca="1" si="16"/>
        <v>1429514.0112004243</v>
      </c>
      <c r="K55" s="103">
        <f t="shared" ca="1" si="16"/>
        <v>2457314.4192150608</v>
      </c>
    </row>
    <row r="56" spans="1:11" x14ac:dyDescent="0.3">
      <c r="A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10" t="s">
        <v>229</v>
      </c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2"/>
      <c r="D58" s="2"/>
      <c r="E58" s="2"/>
      <c r="F58" s="2"/>
      <c r="G58" s="2"/>
      <c r="H58" s="2"/>
      <c r="I58" s="2"/>
      <c r="J58" s="2"/>
      <c r="K58" s="2"/>
    </row>
    <row r="59" spans="1:11" x14ac:dyDescent="0.3">
      <c r="A59" s="3" t="s">
        <v>1</v>
      </c>
      <c r="B59" s="22" t="s">
        <v>239</v>
      </c>
      <c r="C59" s="22" t="s">
        <v>240</v>
      </c>
      <c r="D59" s="22" t="s">
        <v>195</v>
      </c>
      <c r="E59" s="22" t="s">
        <v>196</v>
      </c>
      <c r="F59" s="22" t="s">
        <v>197</v>
      </c>
      <c r="G59" s="77" t="s">
        <v>188</v>
      </c>
      <c r="H59" s="77" t="s">
        <v>189</v>
      </c>
      <c r="I59" s="77" t="s">
        <v>190</v>
      </c>
      <c r="J59" s="77" t="s">
        <v>191</v>
      </c>
      <c r="K59" s="77" t="s">
        <v>192</v>
      </c>
    </row>
    <row r="60" spans="1:11" x14ac:dyDescent="0.3">
      <c r="A60" s="78" t="s">
        <v>230</v>
      </c>
      <c r="B60" s="100"/>
      <c r="C60" s="100"/>
      <c r="D60" s="78"/>
      <c r="E60" s="104">
        <f>E5-D5</f>
        <v>46148</v>
      </c>
      <c r="F60" s="104">
        <f t="shared" ref="F60:K60" si="17">F5-E5</f>
        <v>65543.78</v>
      </c>
      <c r="G60" s="104">
        <f t="shared" si="17"/>
        <v>-9799.4547512866411</v>
      </c>
      <c r="H60" s="104">
        <f t="shared" si="17"/>
        <v>-3642.5196401441208</v>
      </c>
      <c r="I60" s="104">
        <f t="shared" si="17"/>
        <v>1761.8837973826448</v>
      </c>
      <c r="J60" s="104">
        <f t="shared" si="17"/>
        <v>7162.6817369525379</v>
      </c>
      <c r="K60" s="104">
        <f t="shared" si="17"/>
        <v>13254.637114290468</v>
      </c>
    </row>
    <row r="61" spans="1:11" x14ac:dyDescent="0.3">
      <c r="A61" s="81" t="s">
        <v>231</v>
      </c>
      <c r="B61" s="100"/>
      <c r="C61" s="100"/>
      <c r="D61" s="81"/>
      <c r="E61" s="105">
        <f>E6-D6</f>
        <v>412541</v>
      </c>
      <c r="F61" s="105">
        <f t="shared" ref="F61:K61" si="18">F6-E6</f>
        <v>20766.179999999935</v>
      </c>
      <c r="G61" s="105">
        <f t="shared" si="18"/>
        <v>-80579.823757136823</v>
      </c>
      <c r="H61" s="105">
        <f t="shared" si="18"/>
        <v>-29952.032851234428</v>
      </c>
      <c r="I61" s="105">
        <f t="shared" si="18"/>
        <v>14487.774011611007</v>
      </c>
      <c r="J61" s="105">
        <f t="shared" si="18"/>
        <v>58897.933266778709</v>
      </c>
      <c r="K61" s="105">
        <f t="shared" si="18"/>
        <v>108991.40306700184</v>
      </c>
    </row>
    <row r="62" spans="1:11" x14ac:dyDescent="0.3">
      <c r="A62" s="5" t="s">
        <v>232</v>
      </c>
      <c r="B62" s="101"/>
      <c r="C62" s="101"/>
      <c r="D62" s="5"/>
      <c r="E62" s="106">
        <f>E60+E61</f>
        <v>458689</v>
      </c>
      <c r="F62" s="106">
        <f>F60+F61</f>
        <v>86309.959999999934</v>
      </c>
      <c r="G62" s="106">
        <f t="shared" ref="G62:K62" si="19">G60+G61</f>
        <v>-90379.278508423464</v>
      </c>
      <c r="H62" s="106">
        <f t="shared" si="19"/>
        <v>-33594.552491378548</v>
      </c>
      <c r="I62" s="106">
        <f t="shared" si="19"/>
        <v>16249.657808993652</v>
      </c>
      <c r="J62" s="106">
        <f t="shared" si="19"/>
        <v>66060.615003731247</v>
      </c>
      <c r="K62" s="106">
        <f t="shared" si="19"/>
        <v>122246.04018129231</v>
      </c>
    </row>
    <row r="63" spans="1:11" x14ac:dyDescent="0.3">
      <c r="A63" s="85" t="s">
        <v>233</v>
      </c>
      <c r="B63" s="101"/>
      <c r="C63" s="101"/>
      <c r="D63" s="85"/>
      <c r="E63" s="101">
        <f>-'Proyeccion PYG'!E10</f>
        <v>137269</v>
      </c>
      <c r="F63" s="101">
        <f>-'Proyeccion PYG'!F10</f>
        <v>232311.04000000001</v>
      </c>
      <c r="G63" s="101">
        <f>-'Proyeccion PYG'!G10</f>
        <v>232311.04000000001</v>
      </c>
      <c r="H63" s="101">
        <f ca="1">-'Proyeccion PYG'!H10</f>
        <v>232311.04000000004</v>
      </c>
      <c r="I63" s="101">
        <f ca="1">-'Proyeccion PYG'!I10</f>
        <v>232311.04000000001</v>
      </c>
      <c r="J63" s="101">
        <f ca="1">-'Proyeccion PYG'!J10</f>
        <v>232311.04000000001</v>
      </c>
      <c r="K63" s="101">
        <f ca="1">-'Proyeccion PYG'!K10</f>
        <v>232311.04000000001</v>
      </c>
    </row>
    <row r="64" spans="1:11" x14ac:dyDescent="0.3">
      <c r="A64" s="102" t="s">
        <v>234</v>
      </c>
      <c r="B64" s="102"/>
      <c r="C64" s="103"/>
      <c r="D64" s="102"/>
      <c r="E64" s="103">
        <f>E62+E63</f>
        <v>595958</v>
      </c>
      <c r="F64" s="103">
        <f t="shared" ref="F64:K64" si="20">F62+F63</f>
        <v>318620.99999999994</v>
      </c>
      <c r="G64" s="103">
        <f t="shared" si="20"/>
        <v>141931.76149157656</v>
      </c>
      <c r="H64" s="103">
        <f ca="1">H62+H63</f>
        <v>198716.48750862147</v>
      </c>
      <c r="I64" s="103">
        <f t="shared" ca="1" si="20"/>
        <v>248560.69780899366</v>
      </c>
      <c r="J64" s="103">
        <f t="shared" ca="1" si="20"/>
        <v>298371.65500373126</v>
      </c>
      <c r="K64" s="103">
        <f t="shared" ca="1" si="20"/>
        <v>354557.08018129232</v>
      </c>
    </row>
    <row r="65" spans="1:11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11" x14ac:dyDescent="0.3">
      <c r="A66" s="10" t="s">
        <v>235</v>
      </c>
      <c r="B66" s="2"/>
      <c r="C66" s="2"/>
      <c r="D66" s="2"/>
      <c r="E66" s="2"/>
      <c r="F66" s="2"/>
      <c r="G66" s="2"/>
      <c r="H66" s="2"/>
      <c r="I66" s="2"/>
    </row>
    <row r="67" spans="1:11" x14ac:dyDescent="0.3">
      <c r="A67" s="2"/>
      <c r="B67" s="2"/>
      <c r="C67" s="2"/>
      <c r="D67" s="2"/>
      <c r="E67" s="2"/>
      <c r="F67" s="2"/>
      <c r="G67" s="2"/>
      <c r="H67" s="2"/>
      <c r="I67" s="2"/>
    </row>
    <row r="68" spans="1:11" x14ac:dyDescent="0.3">
      <c r="A68" s="3" t="s">
        <v>1</v>
      </c>
      <c r="B68" s="22" t="s">
        <v>239</v>
      </c>
      <c r="C68" s="22" t="s">
        <v>240</v>
      </c>
      <c r="D68" s="22" t="s">
        <v>195</v>
      </c>
      <c r="E68" s="22" t="s">
        <v>196</v>
      </c>
      <c r="F68" s="22" t="s">
        <v>197</v>
      </c>
      <c r="G68" s="77" t="s">
        <v>188</v>
      </c>
      <c r="H68" s="77" t="s">
        <v>189</v>
      </c>
      <c r="I68" s="77" t="s">
        <v>190</v>
      </c>
      <c r="J68" s="77" t="s">
        <v>191</v>
      </c>
      <c r="K68" s="77" t="s">
        <v>192</v>
      </c>
    </row>
    <row r="69" spans="1:11" x14ac:dyDescent="0.3">
      <c r="A69" s="13" t="s">
        <v>236</v>
      </c>
      <c r="B69" s="100"/>
      <c r="C69" s="100"/>
      <c r="D69" s="107"/>
      <c r="E69" s="107"/>
      <c r="F69" s="107">
        <f>Hipotésis!D26</f>
        <v>1.7815194682883562E-2</v>
      </c>
      <c r="G69" s="107">
        <f>Hipotésis!E26</f>
        <v>1.7815194682883562E-2</v>
      </c>
      <c r="H69" s="107">
        <f>Hipotésis!F26</f>
        <v>1.7815194682883562E-2</v>
      </c>
      <c r="I69" s="107">
        <f>Hipotésis!G26</f>
        <v>1.7815194682883562E-2</v>
      </c>
      <c r="J69" s="107">
        <f>Hipotésis!H26</f>
        <v>1.7815194682883562E-2</v>
      </c>
      <c r="K69" s="107">
        <f>Hipotésis!I26</f>
        <v>1.7815194682883562E-2</v>
      </c>
    </row>
    <row r="70" spans="1:11" x14ac:dyDescent="0.3">
      <c r="A70" s="13" t="s">
        <v>237</v>
      </c>
      <c r="B70" s="100"/>
      <c r="C70" s="100"/>
      <c r="D70" s="13"/>
      <c r="E70" s="100"/>
      <c r="F70" s="100"/>
      <c r="G70" s="100">
        <f ca="1">G24-F24</f>
        <v>4091559.0617975406</v>
      </c>
      <c r="H70" s="100">
        <f t="shared" ref="H70:K70" ca="1" si="21">H24-G24</f>
        <v>1894093.2432631701</v>
      </c>
      <c r="I70" s="100">
        <f t="shared" ca="1" si="21"/>
        <v>1839484.4250654019</v>
      </c>
      <c r="J70" s="100">
        <f t="shared" ca="1" si="21"/>
        <v>2683933.9621537104</v>
      </c>
      <c r="K70" s="100">
        <f t="shared" ca="1" si="21"/>
        <v>3861196.6438114643</v>
      </c>
    </row>
    <row r="71" spans="1:11" x14ac:dyDescent="0.3">
      <c r="A71" s="3" t="s">
        <v>238</v>
      </c>
      <c r="B71" s="3"/>
      <c r="C71" s="3"/>
      <c r="D71" s="3"/>
      <c r="E71" s="3"/>
      <c r="F71" s="3"/>
      <c r="G71" s="108">
        <f ca="1">G70/(1-G69)-G70</f>
        <v>74214.05915448349</v>
      </c>
      <c r="H71" s="108">
        <f t="shared" ref="H71:K71" ca="1" si="22">H70/(1-H69)-H70</f>
        <v>34355.693239800166</v>
      </c>
      <c r="I71" s="108">
        <f t="shared" ca="1" si="22"/>
        <v>33365.180331914686</v>
      </c>
      <c r="J71" s="108">
        <f t="shared" ca="1" si="22"/>
        <v>48682.086907599121</v>
      </c>
      <c r="K71" s="108">
        <f t="shared" ca="1" si="22"/>
        <v>70035.668996313121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CD4C3-B6A4-4F28-AA19-46FEC82D3D66}">
  <dimension ref="A1:K22"/>
  <sheetViews>
    <sheetView workbookViewId="0">
      <selection activeCell="H25" sqref="H25"/>
    </sheetView>
  </sheetViews>
  <sheetFormatPr baseColWidth="10" defaultColWidth="8.88671875" defaultRowHeight="14.4" x14ac:dyDescent="0.3"/>
  <cols>
    <col min="1" max="1" width="45.109375" customWidth="1"/>
    <col min="2" max="6" width="13.44140625" customWidth="1"/>
    <col min="7" max="7" width="21.33203125" customWidth="1"/>
    <col min="8" max="8" width="12.109375" customWidth="1"/>
    <col min="9" max="9" width="11.33203125" customWidth="1"/>
    <col min="10" max="10" width="11.6640625" customWidth="1"/>
    <col min="11" max="11" width="11.44140625" customWidth="1"/>
  </cols>
  <sheetData>
    <row r="1" spans="1:11" x14ac:dyDescent="0.3">
      <c r="A1" s="1" t="s">
        <v>193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3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  <c r="G3" s="77" t="s">
        <v>188</v>
      </c>
      <c r="H3" s="77" t="s">
        <v>189</v>
      </c>
      <c r="I3" s="77" t="s">
        <v>190</v>
      </c>
      <c r="J3" s="77" t="s">
        <v>191</v>
      </c>
      <c r="K3" s="77" t="s">
        <v>192</v>
      </c>
    </row>
    <row r="4" spans="1:11" x14ac:dyDescent="0.3">
      <c r="A4" s="5" t="s">
        <v>39</v>
      </c>
      <c r="B4" s="6">
        <v>30591119</v>
      </c>
      <c r="C4" s="6">
        <v>36275297</v>
      </c>
      <c r="D4" s="6">
        <v>62935532</v>
      </c>
      <c r="E4" s="6">
        <v>56940601</v>
      </c>
      <c r="F4" s="6">
        <v>50428334.200000003</v>
      </c>
      <c r="G4" s="6">
        <f>F4*(1+Hipotésis!E4)</f>
        <v>46822931.086386323</v>
      </c>
      <c r="H4" s="6">
        <f>G4*(1+Hipotésis!F4)</f>
        <v>45482779.824373476</v>
      </c>
      <c r="I4" s="6">
        <f>H4*(1+Hipotésis!G4)</f>
        <v>46131009.90350873</v>
      </c>
      <c r="J4" s="6">
        <f>I4*(1+Hipotésis!H4)</f>
        <v>48766294.793501392</v>
      </c>
      <c r="K4" s="6">
        <f>J4*(1+Hipotésis!I4)</f>
        <v>53642924.272851534</v>
      </c>
    </row>
    <row r="5" spans="1:11" x14ac:dyDescent="0.3">
      <c r="A5" s="5" t="s">
        <v>40</v>
      </c>
      <c r="B5" s="6"/>
      <c r="C5" s="6"/>
      <c r="D5" s="6"/>
      <c r="E5" s="6"/>
      <c r="F5" s="6"/>
    </row>
    <row r="6" spans="1:11" x14ac:dyDescent="0.3">
      <c r="A6" s="5" t="s">
        <v>41</v>
      </c>
      <c r="B6" s="6">
        <v>-24505756</v>
      </c>
      <c r="C6" s="6">
        <v>-27907182</v>
      </c>
      <c r="D6" s="6">
        <v>-51605596</v>
      </c>
      <c r="E6" s="6">
        <v>-36341735</v>
      </c>
      <c r="F6" s="6">
        <v>-29684169.510000002</v>
      </c>
      <c r="G6" s="6">
        <f>G4*Hipotésis!E5</f>
        <v>-27200028.442223195</v>
      </c>
      <c r="H6" s="6">
        <f>H4*Hipotésis!F5</f>
        <v>-26070020.53912583</v>
      </c>
      <c r="I6" s="6">
        <f>I4*Hipotésis!G5</f>
        <v>-26085069.094122902</v>
      </c>
      <c r="J6" s="6">
        <f>J4*Hipotésis!H5</f>
        <v>-27198334.80606316</v>
      </c>
      <c r="K6" s="6">
        <f>K4*Hipotésis!I5</f>
        <v>-29503608.350068357</v>
      </c>
    </row>
    <row r="7" spans="1:11" x14ac:dyDescent="0.3">
      <c r="A7" s="5" t="s">
        <v>42</v>
      </c>
      <c r="B7" s="6">
        <v>698523</v>
      </c>
      <c r="C7" s="6">
        <v>649332</v>
      </c>
      <c r="D7" s="6">
        <v>494498</v>
      </c>
      <c r="E7" s="6">
        <v>375024</v>
      </c>
      <c r="F7" s="6">
        <v>425953.06</v>
      </c>
      <c r="G7" s="6">
        <v>425953.06</v>
      </c>
      <c r="H7" s="6">
        <v>425953.06</v>
      </c>
      <c r="I7" s="6">
        <v>425953.06</v>
      </c>
      <c r="J7" s="6">
        <v>425953.06</v>
      </c>
      <c r="K7" s="6">
        <v>425953.06</v>
      </c>
    </row>
    <row r="8" spans="1:11" x14ac:dyDescent="0.3">
      <c r="A8" s="5" t="s">
        <v>43</v>
      </c>
      <c r="B8" s="6">
        <v>-4285464</v>
      </c>
      <c r="C8" s="6">
        <v>-4848498</v>
      </c>
      <c r="D8" s="6">
        <v>-4602955</v>
      </c>
      <c r="E8" s="6">
        <v>-7589158</v>
      </c>
      <c r="F8" s="6">
        <v>-8119738.75</v>
      </c>
      <c r="G8" s="6">
        <f>-G4*Hipotésis!E6</f>
        <v>-7248766.8487731405</v>
      </c>
      <c r="H8" s="6">
        <f>-H4*Hipotésis!F6</f>
        <v>-6759161.5308144214</v>
      </c>
      <c r="I8" s="6">
        <f>-I4*Hipotésis!G6</f>
        <v>-6569340.1044184789</v>
      </c>
      <c r="J8" s="6">
        <f>-J4*Hipotésis!H6</f>
        <v>-6642119.618263212</v>
      </c>
      <c r="K8" s="6">
        <f>-K4*Hipotésis!I6</f>
        <v>-6973580.1554706981</v>
      </c>
    </row>
    <row r="9" spans="1:11" x14ac:dyDescent="0.3">
      <c r="A9" s="5" t="s">
        <v>44</v>
      </c>
      <c r="B9" s="6">
        <v>-1804614</v>
      </c>
      <c r="C9" s="6">
        <v>-1911955</v>
      </c>
      <c r="D9" s="6">
        <v>-3014003</v>
      </c>
      <c r="E9" s="6">
        <v>-7510299</v>
      </c>
      <c r="F9" s="6">
        <v>-7493309.5999999996</v>
      </c>
      <c r="G9" s="6">
        <f>-G4*Hipotésis!$B$34</f>
        <v>-6957571.0674527306</v>
      </c>
      <c r="H9" s="6">
        <f>-H4*Hipotésis!$B$34</f>
        <v>-6758433.6484520258</v>
      </c>
      <c r="I9" s="6">
        <f>-I4*Hipotésis!$B$34</f>
        <v>-6854756.256605776</v>
      </c>
      <c r="J9" s="6">
        <f>-J4*Hipotésis!$B$34</f>
        <v>-7246341.7784792492</v>
      </c>
      <c r="K9" s="6">
        <f>-K4*Hipotésis!$B$34</f>
        <v>-7970975.9563271748</v>
      </c>
    </row>
    <row r="10" spans="1:11" x14ac:dyDescent="0.3">
      <c r="A10" s="5" t="s">
        <v>45</v>
      </c>
      <c r="B10" s="6">
        <v>-120233</v>
      </c>
      <c r="C10" s="6">
        <v>-85764</v>
      </c>
      <c r="D10" s="6">
        <v>-81324</v>
      </c>
      <c r="E10" s="6">
        <v>-137269</v>
      </c>
      <c r="F10" s="6">
        <v>-232311.04000000001</v>
      </c>
      <c r="G10" s="6">
        <f>-('PROYECCION BALANCE'!G5+'PROYECCION BALANCE'!G6)*-Hipotésis!E7</f>
        <v>-232311.04000000001</v>
      </c>
      <c r="H10" s="6">
        <f ca="1">-('PROYECCION BALANCE'!H5+'PROYECCION BALANCE'!H6)*-Hipotésis!F7</f>
        <v>-232311.04000000004</v>
      </c>
      <c r="I10" s="6">
        <f ca="1">-('PROYECCION BALANCE'!I5+'PROYECCION BALANCE'!I6)*-Hipotésis!G7</f>
        <v>-232311.04000000001</v>
      </c>
      <c r="J10" s="6">
        <f ca="1">-('PROYECCION BALANCE'!J5+'PROYECCION BALANCE'!J6)*-Hipotésis!H7</f>
        <v>-232311.04000000001</v>
      </c>
      <c r="K10" s="6">
        <f ca="1">-('PROYECCION BALANCE'!K5+'PROYECCION BALANCE'!K6)*-Hipotésis!I7</f>
        <v>-232311.04000000001</v>
      </c>
    </row>
    <row r="11" spans="1:11" x14ac:dyDescent="0.3">
      <c r="A11" s="5" t="s">
        <v>46</v>
      </c>
      <c r="B11" s="6"/>
      <c r="C11" s="6"/>
      <c r="D11" s="6"/>
      <c r="E11" s="6"/>
      <c r="F11" s="6"/>
    </row>
    <row r="12" spans="1:11" x14ac:dyDescent="0.3">
      <c r="A12" s="5" t="s">
        <v>47</v>
      </c>
      <c r="B12" s="6"/>
      <c r="C12" s="6"/>
      <c r="D12" s="6">
        <v>498315</v>
      </c>
      <c r="E12" s="6"/>
      <c r="F12" s="6"/>
    </row>
    <row r="13" spans="1:11" x14ac:dyDescent="0.3">
      <c r="A13" s="5" t="s">
        <v>48</v>
      </c>
      <c r="B13" s="6">
        <v>3495</v>
      </c>
      <c r="C13" s="6">
        <v>6400</v>
      </c>
      <c r="D13" s="6">
        <v>5100</v>
      </c>
      <c r="E13" s="6">
        <v>17327</v>
      </c>
      <c r="F13" s="6">
        <v>7108.04</v>
      </c>
      <c r="G13" s="6">
        <v>7108.04</v>
      </c>
      <c r="H13" s="6">
        <v>7108.04</v>
      </c>
      <c r="I13" s="6">
        <v>7108.04</v>
      </c>
      <c r="J13" s="6">
        <v>7108.04</v>
      </c>
      <c r="K13" s="6">
        <v>7108.04</v>
      </c>
    </row>
    <row r="14" spans="1:11" x14ac:dyDescent="0.3">
      <c r="A14" s="5" t="s">
        <v>49</v>
      </c>
      <c r="B14" s="6"/>
      <c r="C14" s="6"/>
      <c r="D14" s="6"/>
      <c r="E14" s="6"/>
      <c r="F14" s="6"/>
    </row>
    <row r="15" spans="1:11" x14ac:dyDescent="0.3">
      <c r="A15" s="3" t="s">
        <v>50</v>
      </c>
      <c r="B15" s="4">
        <f>B4+B5+B6+B7+B8+B9+B10+B11+B12+B13+B14</f>
        <v>577070</v>
      </c>
      <c r="C15" s="4">
        <f>C4+C5+C6+C7+C8+C9+C10+C11+C12+C13+C14</f>
        <v>2177630</v>
      </c>
      <c r="D15" s="4">
        <f>D4+D5+D6+D7+D8+D9+D10+D11+D12+D13+D14</f>
        <v>4629567</v>
      </c>
      <c r="E15" s="4">
        <f>E4+E5+E6+E7+E8+E9+E10+E11+E12+E13+E14</f>
        <v>5754491</v>
      </c>
      <c r="F15" s="4">
        <f>F4+F5+F6+F7+F8+F9+F10+F11+F12+F13+F14</f>
        <v>5331866.4000000004</v>
      </c>
      <c r="G15" s="4">
        <f t="shared" ref="G15:K15" si="0">G4+G5+G6+G7+G8+G9+G10+G11+G12+G13+G14</f>
        <v>5617314.7879372556</v>
      </c>
      <c r="H15" s="4">
        <f t="shared" ca="1" si="0"/>
        <v>6095914.1659811987</v>
      </c>
      <c r="I15" s="4">
        <f t="shared" ca="1" si="0"/>
        <v>6822594.5083615724</v>
      </c>
      <c r="J15" s="4">
        <f t="shared" ca="1" si="0"/>
        <v>7880248.65069577</v>
      </c>
      <c r="K15" s="4">
        <f t="shared" ca="1" si="0"/>
        <v>9395509.8709853031</v>
      </c>
    </row>
    <row r="16" spans="1:11" x14ac:dyDescent="0.3">
      <c r="A16" s="5" t="s">
        <v>51</v>
      </c>
      <c r="B16" s="6">
        <v>153234</v>
      </c>
      <c r="C16" s="6">
        <v>149305</v>
      </c>
      <c r="D16" s="6">
        <v>180876</v>
      </c>
      <c r="E16" s="6">
        <v>1047640</v>
      </c>
      <c r="F16" s="6">
        <v>24261.41</v>
      </c>
    </row>
    <row r="17" spans="1:11" x14ac:dyDescent="0.3">
      <c r="A17" s="5" t="s">
        <v>52</v>
      </c>
      <c r="B17" s="6">
        <v>-184081</v>
      </c>
      <c r="C17" s="6">
        <v>-19413</v>
      </c>
      <c r="D17" s="6">
        <v>-158462</v>
      </c>
      <c r="E17" s="6">
        <v>-36719</v>
      </c>
      <c r="F17" s="6">
        <v>-197043.04</v>
      </c>
      <c r="G17" s="6">
        <f ca="1">-('PROYECCION BALANCE'!G34+'PROYECCION BALANCE'!G39)*Hipotésis!D44</f>
        <v>-22371.655540535394</v>
      </c>
      <c r="H17" s="6">
        <f ca="1">-('PROYECCION BALANCE'!H34+'PROYECCION BALANCE'!H39)*Hipotésis!E44</f>
        <v>-5317.2550041124186</v>
      </c>
      <c r="I17" s="6">
        <f ca="1">-('PROYECCION BALANCE'!I34+'PROYECCION BALANCE'!I39)*Hipotésis!F44</f>
        <v>-1328.4259212509789</v>
      </c>
      <c r="J17" s="6">
        <f ca="1">-('PROYECCION BALANCE'!J34+'PROYECCION BALANCE'!J39)*Hipotésis!G44</f>
        <v>-362.43161621222595</v>
      </c>
      <c r="K17" s="6">
        <f ca="1">-('PROYECCION BALANCE'!K34+'PROYECCION BALANCE'!K39)*Hipotésis!H44</f>
        <v>-112.69267066856212</v>
      </c>
    </row>
    <row r="18" spans="1:11" x14ac:dyDescent="0.3">
      <c r="A18" s="5" t="s">
        <v>53</v>
      </c>
      <c r="B18" s="6">
        <v>52992</v>
      </c>
      <c r="C18" s="6">
        <v>9423</v>
      </c>
      <c r="D18" s="6">
        <v>10612</v>
      </c>
      <c r="E18" s="6">
        <v>-49131</v>
      </c>
      <c r="F18" s="6">
        <v>-139531.04999999999</v>
      </c>
      <c r="G18" s="6">
        <v>-139531.04999999999</v>
      </c>
      <c r="H18" s="6">
        <v>-139531.04999999999</v>
      </c>
      <c r="I18" s="6">
        <v>-139531.04999999999</v>
      </c>
      <c r="J18" s="6">
        <v>-139531.04999999999</v>
      </c>
      <c r="K18" s="6">
        <v>-139531.04999999999</v>
      </c>
    </row>
    <row r="19" spans="1:11" x14ac:dyDescent="0.3">
      <c r="A19" s="5" t="s">
        <v>54</v>
      </c>
      <c r="B19" s="6"/>
      <c r="C19" s="6"/>
      <c r="D19" s="6"/>
      <c r="E19" s="6"/>
      <c r="F19" s="6"/>
    </row>
    <row r="20" spans="1:11" x14ac:dyDescent="0.3">
      <c r="A20" s="3" t="s">
        <v>55</v>
      </c>
      <c r="B20" s="4">
        <f t="shared" ref="B20:K20" si="1">B15+B16+B17+B18+B19</f>
        <v>599215</v>
      </c>
      <c r="C20" s="4">
        <f t="shared" si="1"/>
        <v>2316945</v>
      </c>
      <c r="D20" s="4">
        <f t="shared" si="1"/>
        <v>4662593</v>
      </c>
      <c r="E20" s="4">
        <f t="shared" si="1"/>
        <v>6716281</v>
      </c>
      <c r="F20" s="4">
        <f t="shared" si="1"/>
        <v>5019553.7200000007</v>
      </c>
      <c r="G20" s="4">
        <f t="shared" ca="1" si="1"/>
        <v>5455412.0823967205</v>
      </c>
      <c r="H20" s="4">
        <f t="shared" ca="1" si="1"/>
        <v>5951065.8609770862</v>
      </c>
      <c r="I20" s="4">
        <f t="shared" ca="1" si="1"/>
        <v>6681735.0324403215</v>
      </c>
      <c r="J20" s="4">
        <f t="shared" ca="1" si="1"/>
        <v>7740355.169079558</v>
      </c>
      <c r="K20" s="4">
        <f t="shared" ca="1" si="1"/>
        <v>9255866.1283146329</v>
      </c>
    </row>
    <row r="21" spans="1:11" x14ac:dyDescent="0.3">
      <c r="A21" s="13" t="s">
        <v>56</v>
      </c>
      <c r="B21" s="9">
        <v>-121458</v>
      </c>
      <c r="C21" s="9">
        <v>-589428</v>
      </c>
      <c r="D21" s="9">
        <v>-1170127</v>
      </c>
      <c r="E21" s="9">
        <v>-1476223</v>
      </c>
      <c r="F21" s="9">
        <v>-1330468.44</v>
      </c>
      <c r="G21" s="9">
        <f ca="1">-MAX(0,G20)*Hipotésis!E8</f>
        <v>-1363853.0205991801</v>
      </c>
      <c r="H21" s="9">
        <f ca="1">-MAX(0,H20)*Hipotésis!F8</f>
        <v>-1487766.4652442716</v>
      </c>
      <c r="I21" s="9">
        <f ca="1">-MAX(0,I20)*Hipotésis!G8</f>
        <v>-1670433.7581100804</v>
      </c>
      <c r="J21" s="9">
        <f ca="1">-MAX(0,J20)*Hipotésis!H8</f>
        <v>-1935088.7922698895</v>
      </c>
      <c r="K21" s="9">
        <f ca="1">-MAX(0,K20)*Hipotésis!I8</f>
        <v>-2313966.5320786582</v>
      </c>
    </row>
    <row r="22" spans="1:11" x14ac:dyDescent="0.3">
      <c r="A22" s="3" t="s">
        <v>57</v>
      </c>
      <c r="B22" s="4">
        <f t="shared" ref="B22:K22" si="2">B20+B21</f>
        <v>477757</v>
      </c>
      <c r="C22" s="4">
        <f t="shared" si="2"/>
        <v>1727517</v>
      </c>
      <c r="D22" s="4">
        <f t="shared" si="2"/>
        <v>3492466</v>
      </c>
      <c r="E22" s="4">
        <f t="shared" si="2"/>
        <v>5240058</v>
      </c>
      <c r="F22" s="4">
        <f t="shared" si="2"/>
        <v>3689085.2800000007</v>
      </c>
      <c r="G22" s="4">
        <f t="shared" ca="1" si="2"/>
        <v>4091559.0617975406</v>
      </c>
      <c r="H22" s="4">
        <f t="shared" ca="1" si="2"/>
        <v>4463299.3957328144</v>
      </c>
      <c r="I22" s="4">
        <f t="shared" ca="1" si="2"/>
        <v>5011301.2743302416</v>
      </c>
      <c r="J22" s="4">
        <f t="shared" ca="1" si="2"/>
        <v>5805266.3768096687</v>
      </c>
      <c r="K22" s="4">
        <f t="shared" ca="1" si="2"/>
        <v>6941899.5962359747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7F1C-99D4-4C19-9861-D1EA7FF67AAB}">
  <dimension ref="A1:G32"/>
  <sheetViews>
    <sheetView workbookViewId="0">
      <selection activeCell="C13" sqref="C13"/>
    </sheetView>
  </sheetViews>
  <sheetFormatPr baseColWidth="10" defaultColWidth="11.44140625" defaultRowHeight="13.2" x14ac:dyDescent="0.25"/>
  <cols>
    <col min="1" max="1" width="58.109375" style="2" bestFit="1" customWidth="1"/>
    <col min="2" max="2" width="11.6640625" style="2" bestFit="1" customWidth="1"/>
    <col min="3" max="3" width="13.44140625" style="2" customWidth="1"/>
    <col min="4" max="4" width="10.6640625" style="2" bestFit="1" customWidth="1"/>
    <col min="5" max="5" width="16.5546875" style="2" customWidth="1"/>
    <col min="6" max="6" width="10.6640625" style="2" bestFit="1" customWidth="1"/>
    <col min="7" max="255" width="11.44140625" style="2"/>
    <col min="256" max="256" width="38.88671875" style="2" customWidth="1"/>
    <col min="257" max="262" width="11.6640625" style="2" customWidth="1"/>
    <col min="263" max="511" width="11.44140625" style="2"/>
    <col min="512" max="512" width="38.88671875" style="2" customWidth="1"/>
    <col min="513" max="518" width="11.6640625" style="2" customWidth="1"/>
    <col min="519" max="767" width="11.44140625" style="2"/>
    <col min="768" max="768" width="38.88671875" style="2" customWidth="1"/>
    <col min="769" max="774" width="11.6640625" style="2" customWidth="1"/>
    <col min="775" max="1023" width="11.44140625" style="2"/>
    <col min="1024" max="1024" width="38.88671875" style="2" customWidth="1"/>
    <col min="1025" max="1030" width="11.6640625" style="2" customWidth="1"/>
    <col min="1031" max="1279" width="11.44140625" style="2"/>
    <col min="1280" max="1280" width="38.88671875" style="2" customWidth="1"/>
    <col min="1281" max="1286" width="11.6640625" style="2" customWidth="1"/>
    <col min="1287" max="1535" width="11.44140625" style="2"/>
    <col min="1536" max="1536" width="38.88671875" style="2" customWidth="1"/>
    <col min="1537" max="1542" width="11.6640625" style="2" customWidth="1"/>
    <col min="1543" max="1791" width="11.44140625" style="2"/>
    <col min="1792" max="1792" width="38.88671875" style="2" customWidth="1"/>
    <col min="1793" max="1798" width="11.6640625" style="2" customWidth="1"/>
    <col min="1799" max="2047" width="11.44140625" style="2"/>
    <col min="2048" max="2048" width="38.88671875" style="2" customWidth="1"/>
    <col min="2049" max="2054" width="11.6640625" style="2" customWidth="1"/>
    <col min="2055" max="2303" width="11.44140625" style="2"/>
    <col min="2304" max="2304" width="38.88671875" style="2" customWidth="1"/>
    <col min="2305" max="2310" width="11.6640625" style="2" customWidth="1"/>
    <col min="2311" max="2559" width="11.44140625" style="2"/>
    <col min="2560" max="2560" width="38.88671875" style="2" customWidth="1"/>
    <col min="2561" max="2566" width="11.6640625" style="2" customWidth="1"/>
    <col min="2567" max="2815" width="11.44140625" style="2"/>
    <col min="2816" max="2816" width="38.88671875" style="2" customWidth="1"/>
    <col min="2817" max="2822" width="11.6640625" style="2" customWidth="1"/>
    <col min="2823" max="3071" width="11.44140625" style="2"/>
    <col min="3072" max="3072" width="38.88671875" style="2" customWidth="1"/>
    <col min="3073" max="3078" width="11.6640625" style="2" customWidth="1"/>
    <col min="3079" max="3327" width="11.44140625" style="2"/>
    <col min="3328" max="3328" width="38.88671875" style="2" customWidth="1"/>
    <col min="3329" max="3334" width="11.6640625" style="2" customWidth="1"/>
    <col min="3335" max="3583" width="11.44140625" style="2"/>
    <col min="3584" max="3584" width="38.88671875" style="2" customWidth="1"/>
    <col min="3585" max="3590" width="11.6640625" style="2" customWidth="1"/>
    <col min="3591" max="3839" width="11.44140625" style="2"/>
    <col min="3840" max="3840" width="38.88671875" style="2" customWidth="1"/>
    <col min="3841" max="3846" width="11.6640625" style="2" customWidth="1"/>
    <col min="3847" max="4095" width="11.44140625" style="2"/>
    <col min="4096" max="4096" width="38.88671875" style="2" customWidth="1"/>
    <col min="4097" max="4102" width="11.6640625" style="2" customWidth="1"/>
    <col min="4103" max="4351" width="11.44140625" style="2"/>
    <col min="4352" max="4352" width="38.88671875" style="2" customWidth="1"/>
    <col min="4353" max="4358" width="11.6640625" style="2" customWidth="1"/>
    <col min="4359" max="4607" width="11.44140625" style="2"/>
    <col min="4608" max="4608" width="38.88671875" style="2" customWidth="1"/>
    <col min="4609" max="4614" width="11.6640625" style="2" customWidth="1"/>
    <col min="4615" max="4863" width="11.44140625" style="2"/>
    <col min="4864" max="4864" width="38.88671875" style="2" customWidth="1"/>
    <col min="4865" max="4870" width="11.6640625" style="2" customWidth="1"/>
    <col min="4871" max="5119" width="11.44140625" style="2"/>
    <col min="5120" max="5120" width="38.88671875" style="2" customWidth="1"/>
    <col min="5121" max="5126" width="11.6640625" style="2" customWidth="1"/>
    <col min="5127" max="5375" width="11.44140625" style="2"/>
    <col min="5376" max="5376" width="38.88671875" style="2" customWidth="1"/>
    <col min="5377" max="5382" width="11.6640625" style="2" customWidth="1"/>
    <col min="5383" max="5631" width="11.44140625" style="2"/>
    <col min="5632" max="5632" width="38.88671875" style="2" customWidth="1"/>
    <col min="5633" max="5638" width="11.6640625" style="2" customWidth="1"/>
    <col min="5639" max="5887" width="11.44140625" style="2"/>
    <col min="5888" max="5888" width="38.88671875" style="2" customWidth="1"/>
    <col min="5889" max="5894" width="11.6640625" style="2" customWidth="1"/>
    <col min="5895" max="6143" width="11.44140625" style="2"/>
    <col min="6144" max="6144" width="38.88671875" style="2" customWidth="1"/>
    <col min="6145" max="6150" width="11.6640625" style="2" customWidth="1"/>
    <col min="6151" max="6399" width="11.44140625" style="2"/>
    <col min="6400" max="6400" width="38.88671875" style="2" customWidth="1"/>
    <col min="6401" max="6406" width="11.6640625" style="2" customWidth="1"/>
    <col min="6407" max="6655" width="11.44140625" style="2"/>
    <col min="6656" max="6656" width="38.88671875" style="2" customWidth="1"/>
    <col min="6657" max="6662" width="11.6640625" style="2" customWidth="1"/>
    <col min="6663" max="6911" width="11.44140625" style="2"/>
    <col min="6912" max="6912" width="38.88671875" style="2" customWidth="1"/>
    <col min="6913" max="6918" width="11.6640625" style="2" customWidth="1"/>
    <col min="6919" max="7167" width="11.44140625" style="2"/>
    <col min="7168" max="7168" width="38.88671875" style="2" customWidth="1"/>
    <col min="7169" max="7174" width="11.6640625" style="2" customWidth="1"/>
    <col min="7175" max="7423" width="11.44140625" style="2"/>
    <col min="7424" max="7424" width="38.88671875" style="2" customWidth="1"/>
    <col min="7425" max="7430" width="11.6640625" style="2" customWidth="1"/>
    <col min="7431" max="7679" width="11.44140625" style="2"/>
    <col min="7680" max="7680" width="38.88671875" style="2" customWidth="1"/>
    <col min="7681" max="7686" width="11.6640625" style="2" customWidth="1"/>
    <col min="7687" max="7935" width="11.44140625" style="2"/>
    <col min="7936" max="7936" width="38.88671875" style="2" customWidth="1"/>
    <col min="7937" max="7942" width="11.6640625" style="2" customWidth="1"/>
    <col min="7943" max="8191" width="11.44140625" style="2"/>
    <col min="8192" max="8192" width="38.88671875" style="2" customWidth="1"/>
    <col min="8193" max="8198" width="11.6640625" style="2" customWidth="1"/>
    <col min="8199" max="8447" width="11.44140625" style="2"/>
    <col min="8448" max="8448" width="38.88671875" style="2" customWidth="1"/>
    <col min="8449" max="8454" width="11.6640625" style="2" customWidth="1"/>
    <col min="8455" max="8703" width="11.44140625" style="2"/>
    <col min="8704" max="8704" width="38.88671875" style="2" customWidth="1"/>
    <col min="8705" max="8710" width="11.6640625" style="2" customWidth="1"/>
    <col min="8711" max="8959" width="11.44140625" style="2"/>
    <col min="8960" max="8960" width="38.88671875" style="2" customWidth="1"/>
    <col min="8961" max="8966" width="11.6640625" style="2" customWidth="1"/>
    <col min="8967" max="9215" width="11.44140625" style="2"/>
    <col min="9216" max="9216" width="38.88671875" style="2" customWidth="1"/>
    <col min="9217" max="9222" width="11.6640625" style="2" customWidth="1"/>
    <col min="9223" max="9471" width="11.44140625" style="2"/>
    <col min="9472" max="9472" width="38.88671875" style="2" customWidth="1"/>
    <col min="9473" max="9478" width="11.6640625" style="2" customWidth="1"/>
    <col min="9479" max="9727" width="11.44140625" style="2"/>
    <col min="9728" max="9728" width="38.88671875" style="2" customWidth="1"/>
    <col min="9729" max="9734" width="11.6640625" style="2" customWidth="1"/>
    <col min="9735" max="9983" width="11.44140625" style="2"/>
    <col min="9984" max="9984" width="38.88671875" style="2" customWidth="1"/>
    <col min="9985" max="9990" width="11.6640625" style="2" customWidth="1"/>
    <col min="9991" max="10239" width="11.44140625" style="2"/>
    <col min="10240" max="10240" width="38.88671875" style="2" customWidth="1"/>
    <col min="10241" max="10246" width="11.6640625" style="2" customWidth="1"/>
    <col min="10247" max="10495" width="11.44140625" style="2"/>
    <col min="10496" max="10496" width="38.88671875" style="2" customWidth="1"/>
    <col min="10497" max="10502" width="11.6640625" style="2" customWidth="1"/>
    <col min="10503" max="10751" width="11.44140625" style="2"/>
    <col min="10752" max="10752" width="38.88671875" style="2" customWidth="1"/>
    <col min="10753" max="10758" width="11.6640625" style="2" customWidth="1"/>
    <col min="10759" max="11007" width="11.44140625" style="2"/>
    <col min="11008" max="11008" width="38.88671875" style="2" customWidth="1"/>
    <col min="11009" max="11014" width="11.6640625" style="2" customWidth="1"/>
    <col min="11015" max="11263" width="11.44140625" style="2"/>
    <col min="11264" max="11264" width="38.88671875" style="2" customWidth="1"/>
    <col min="11265" max="11270" width="11.6640625" style="2" customWidth="1"/>
    <col min="11271" max="11519" width="11.44140625" style="2"/>
    <col min="11520" max="11520" width="38.88671875" style="2" customWidth="1"/>
    <col min="11521" max="11526" width="11.6640625" style="2" customWidth="1"/>
    <col min="11527" max="11775" width="11.44140625" style="2"/>
    <col min="11776" max="11776" width="38.88671875" style="2" customWidth="1"/>
    <col min="11777" max="11782" width="11.6640625" style="2" customWidth="1"/>
    <col min="11783" max="12031" width="11.44140625" style="2"/>
    <col min="12032" max="12032" width="38.88671875" style="2" customWidth="1"/>
    <col min="12033" max="12038" width="11.6640625" style="2" customWidth="1"/>
    <col min="12039" max="12287" width="11.44140625" style="2"/>
    <col min="12288" max="12288" width="38.88671875" style="2" customWidth="1"/>
    <col min="12289" max="12294" width="11.6640625" style="2" customWidth="1"/>
    <col min="12295" max="12543" width="11.44140625" style="2"/>
    <col min="12544" max="12544" width="38.88671875" style="2" customWidth="1"/>
    <col min="12545" max="12550" width="11.6640625" style="2" customWidth="1"/>
    <col min="12551" max="12799" width="11.44140625" style="2"/>
    <col min="12800" max="12800" width="38.88671875" style="2" customWidth="1"/>
    <col min="12801" max="12806" width="11.6640625" style="2" customWidth="1"/>
    <col min="12807" max="13055" width="11.44140625" style="2"/>
    <col min="13056" max="13056" width="38.88671875" style="2" customWidth="1"/>
    <col min="13057" max="13062" width="11.6640625" style="2" customWidth="1"/>
    <col min="13063" max="13311" width="11.44140625" style="2"/>
    <col min="13312" max="13312" width="38.88671875" style="2" customWidth="1"/>
    <col min="13313" max="13318" width="11.6640625" style="2" customWidth="1"/>
    <col min="13319" max="13567" width="11.44140625" style="2"/>
    <col min="13568" max="13568" width="38.88671875" style="2" customWidth="1"/>
    <col min="13569" max="13574" width="11.6640625" style="2" customWidth="1"/>
    <col min="13575" max="13823" width="11.44140625" style="2"/>
    <col min="13824" max="13824" width="38.88671875" style="2" customWidth="1"/>
    <col min="13825" max="13830" width="11.6640625" style="2" customWidth="1"/>
    <col min="13831" max="14079" width="11.44140625" style="2"/>
    <col min="14080" max="14080" width="38.88671875" style="2" customWidth="1"/>
    <col min="14081" max="14086" width="11.6640625" style="2" customWidth="1"/>
    <col min="14087" max="14335" width="11.44140625" style="2"/>
    <col min="14336" max="14336" width="38.88671875" style="2" customWidth="1"/>
    <col min="14337" max="14342" width="11.6640625" style="2" customWidth="1"/>
    <col min="14343" max="14591" width="11.44140625" style="2"/>
    <col min="14592" max="14592" width="38.88671875" style="2" customWidth="1"/>
    <col min="14593" max="14598" width="11.6640625" style="2" customWidth="1"/>
    <col min="14599" max="14847" width="11.44140625" style="2"/>
    <col min="14848" max="14848" width="38.88671875" style="2" customWidth="1"/>
    <col min="14849" max="14854" width="11.6640625" style="2" customWidth="1"/>
    <col min="14855" max="15103" width="11.44140625" style="2"/>
    <col min="15104" max="15104" width="38.88671875" style="2" customWidth="1"/>
    <col min="15105" max="15110" width="11.6640625" style="2" customWidth="1"/>
    <col min="15111" max="15359" width="11.44140625" style="2"/>
    <col min="15360" max="15360" width="38.88671875" style="2" customWidth="1"/>
    <col min="15361" max="15366" width="11.6640625" style="2" customWidth="1"/>
    <col min="15367" max="15615" width="11.44140625" style="2"/>
    <col min="15616" max="15616" width="38.88671875" style="2" customWidth="1"/>
    <col min="15617" max="15622" width="11.6640625" style="2" customWidth="1"/>
    <col min="15623" max="15871" width="11.44140625" style="2"/>
    <col min="15872" max="15872" width="38.88671875" style="2" customWidth="1"/>
    <col min="15873" max="15878" width="11.6640625" style="2" customWidth="1"/>
    <col min="15879" max="16127" width="11.44140625" style="2"/>
    <col min="16128" max="16128" width="38.88671875" style="2" customWidth="1"/>
    <col min="16129" max="16134" width="11.6640625" style="2" customWidth="1"/>
    <col min="16135" max="16384" width="11.44140625" style="2"/>
  </cols>
  <sheetData>
    <row r="1" spans="1:7" x14ac:dyDescent="0.25">
      <c r="A1" s="1" t="s">
        <v>243</v>
      </c>
      <c r="B1" s="1"/>
      <c r="C1" s="1"/>
      <c r="D1" s="1"/>
      <c r="E1" s="1"/>
      <c r="F1" s="1"/>
    </row>
    <row r="2" spans="1:7" ht="14.4" x14ac:dyDescent="0.3">
      <c r="C2" s="86"/>
      <c r="D2" s="86"/>
      <c r="E2" s="86"/>
      <c r="F2" s="86"/>
    </row>
    <row r="3" spans="1:7" x14ac:dyDescent="0.25">
      <c r="A3" s="110" t="s">
        <v>1</v>
      </c>
      <c r="B3" s="77" t="s">
        <v>188</v>
      </c>
      <c r="C3" s="77" t="s">
        <v>189</v>
      </c>
      <c r="D3" s="77" t="s">
        <v>190</v>
      </c>
      <c r="E3" s="77" t="s">
        <v>191</v>
      </c>
      <c r="F3" s="77" t="s">
        <v>192</v>
      </c>
    </row>
    <row r="4" spans="1:7" x14ac:dyDescent="0.25">
      <c r="A4" s="3" t="s">
        <v>61</v>
      </c>
      <c r="B4" s="108">
        <f>'Proyeccion PYG'!G15-'Proyeccion PYG'!G13-'Proyeccion PYG'!G10</f>
        <v>5842517.7879372556</v>
      </c>
      <c r="C4" s="108">
        <f ca="1">'Proyeccion PYG'!H15-'Proyeccion PYG'!H13-'Proyeccion PYG'!H10</f>
        <v>6321117.1659811987</v>
      </c>
      <c r="D4" s="108">
        <f ca="1">'Proyeccion PYG'!I15-'Proyeccion PYG'!I13-'Proyeccion PYG'!I10</f>
        <v>7047797.5083615724</v>
      </c>
      <c r="E4" s="108">
        <f ca="1">'Proyeccion PYG'!J15-'Proyeccion PYG'!J13-'Proyeccion PYG'!J10</f>
        <v>8105451.65069577</v>
      </c>
      <c r="F4" s="108">
        <f ca="1">'Proyeccion PYG'!K15-'Proyeccion PYG'!K13-'Proyeccion PYG'!K10</f>
        <v>9620712.8709853031</v>
      </c>
    </row>
    <row r="5" spans="1:7" x14ac:dyDescent="0.25">
      <c r="A5" s="13" t="s">
        <v>244</v>
      </c>
      <c r="B5" s="100">
        <f>'Proyeccion PYG'!G10</f>
        <v>-232311.04000000001</v>
      </c>
      <c r="C5" s="100">
        <f ca="1">'Proyeccion PYG'!H10</f>
        <v>-232311.04000000004</v>
      </c>
      <c r="D5" s="100">
        <f ca="1">'Proyeccion PYG'!I10</f>
        <v>-232311.04000000001</v>
      </c>
      <c r="E5" s="100">
        <f ca="1">'Proyeccion PYG'!J10</f>
        <v>-232311.04000000001</v>
      </c>
      <c r="F5" s="100">
        <f ca="1">'Proyeccion PYG'!K10</f>
        <v>-232311.04000000001</v>
      </c>
    </row>
    <row r="6" spans="1:7" x14ac:dyDescent="0.25">
      <c r="A6" s="13" t="s">
        <v>245</v>
      </c>
      <c r="B6" s="100"/>
      <c r="C6" s="100"/>
      <c r="D6" s="100"/>
      <c r="E6" s="100"/>
      <c r="F6" s="100"/>
    </row>
    <row r="7" spans="1:7" x14ac:dyDescent="0.25">
      <c r="A7" s="3" t="s">
        <v>246</v>
      </c>
      <c r="B7" s="108">
        <f t="shared" ref="B7" si="0">SUM(B4:B6)</f>
        <v>5610206.7479372555</v>
      </c>
      <c r="C7" s="108">
        <f t="shared" ref="C7:F7" ca="1" si="1">SUM(C4:C6)</f>
        <v>6088806.1259811986</v>
      </c>
      <c r="D7" s="108">
        <f t="shared" ca="1" si="1"/>
        <v>6815486.4683615724</v>
      </c>
      <c r="E7" s="108">
        <f t="shared" ca="1" si="1"/>
        <v>7873140.61069577</v>
      </c>
      <c r="F7" s="108">
        <f t="shared" ca="1" si="1"/>
        <v>9388401.830985304</v>
      </c>
    </row>
    <row r="8" spans="1:7" x14ac:dyDescent="0.25">
      <c r="A8" s="13" t="s">
        <v>247</v>
      </c>
      <c r="B8" s="100">
        <f>-MAX(0,B7)*Hipotésis!E8</f>
        <v>-1402551.6869843139</v>
      </c>
      <c r="C8" s="100">
        <f ca="1">-MAX(0,C7)*Hipotésis!F8</f>
        <v>-1522201.5314952997</v>
      </c>
      <c r="D8" s="100">
        <f ca="1">-MAX(0,D7)*Hipotésis!G8</f>
        <v>-1703871.6170903931</v>
      </c>
      <c r="E8" s="100">
        <f ca="1">-MAX(0,E7)*Hipotésis!H8</f>
        <v>-1968285.1526739425</v>
      </c>
      <c r="F8" s="100">
        <f ca="1">-MAX(0,F7)*Hipotésis!I8</f>
        <v>-2347100.457746326</v>
      </c>
    </row>
    <row r="9" spans="1:7" x14ac:dyDescent="0.25">
      <c r="A9" s="3" t="s">
        <v>248</v>
      </c>
      <c r="B9" s="108">
        <f t="shared" ref="B9" si="2">SUM(B7:B8)</f>
        <v>4207655.0609529419</v>
      </c>
      <c r="C9" s="108">
        <f t="shared" ref="C9:F9" ca="1" si="3">SUM(C7:C8)</f>
        <v>4566604.5944858994</v>
      </c>
      <c r="D9" s="108">
        <f t="shared" ca="1" si="3"/>
        <v>5111614.8512711795</v>
      </c>
      <c r="E9" s="108">
        <f t="shared" ca="1" si="3"/>
        <v>5904855.458021827</v>
      </c>
      <c r="F9" s="108">
        <f t="shared" ca="1" si="3"/>
        <v>7041301.373238978</v>
      </c>
    </row>
    <row r="10" spans="1:7" x14ac:dyDescent="0.25">
      <c r="A10" s="13" t="s">
        <v>244</v>
      </c>
      <c r="B10" s="100">
        <f t="shared" ref="B10:B11" si="4">-B5</f>
        <v>232311.04000000001</v>
      </c>
      <c r="C10" s="100">
        <f t="shared" ref="C10:F10" ca="1" si="5">-C5</f>
        <v>232311.04000000004</v>
      </c>
      <c r="D10" s="100">
        <f t="shared" ca="1" si="5"/>
        <v>232311.04000000001</v>
      </c>
      <c r="E10" s="100">
        <f t="shared" ca="1" si="5"/>
        <v>232311.04000000001</v>
      </c>
      <c r="F10" s="100">
        <f t="shared" ca="1" si="5"/>
        <v>232311.04000000001</v>
      </c>
    </row>
    <row r="11" spans="1:7" x14ac:dyDescent="0.25">
      <c r="A11" s="13" t="s">
        <v>245</v>
      </c>
      <c r="B11" s="100">
        <f t="shared" si="4"/>
        <v>0</v>
      </c>
      <c r="C11" s="100">
        <f t="shared" ref="C11:F11" si="6">-C6</f>
        <v>0</v>
      </c>
      <c r="D11" s="100">
        <f t="shared" si="6"/>
        <v>0</v>
      </c>
      <c r="E11" s="100">
        <f t="shared" si="6"/>
        <v>0</v>
      </c>
      <c r="F11" s="100">
        <f t="shared" si="6"/>
        <v>0</v>
      </c>
    </row>
    <row r="12" spans="1:7" x14ac:dyDescent="0.25">
      <c r="A12" s="13" t="s">
        <v>234</v>
      </c>
      <c r="B12" s="100">
        <f>-'PROYECCION BALANCE'!G64</f>
        <v>-141931.76149157656</v>
      </c>
      <c r="C12" s="100">
        <f ca="1">-'PROYECCION BALANCE'!H64</f>
        <v>-198716.48750862147</v>
      </c>
      <c r="D12" s="100">
        <f ca="1">-'PROYECCION BALANCE'!I64</f>
        <v>-248560.69780899366</v>
      </c>
      <c r="E12" s="100">
        <f ca="1">-'PROYECCION BALANCE'!J64</f>
        <v>-298371.65500373126</v>
      </c>
      <c r="F12" s="100">
        <f ca="1">-'PROYECCION BALANCE'!K64</f>
        <v>-354557.08018129232</v>
      </c>
      <c r="G12" s="7"/>
    </row>
    <row r="13" spans="1:7" x14ac:dyDescent="0.25">
      <c r="A13" s="13" t="s">
        <v>249</v>
      </c>
      <c r="B13" s="100">
        <f ca="1">-'PROYECCION BALANCE'!G55</f>
        <v>-10552560.185177922</v>
      </c>
      <c r="C13" s="100">
        <f ca="1">-'PROYECCION BALANCE'!H55</f>
        <v>-3731919.6157444566</v>
      </c>
      <c r="D13" s="100">
        <f ca="1">-'PROYECCION BALANCE'!I55</f>
        <v>-546822.28626001626</v>
      </c>
      <c r="E13" s="100">
        <f ca="1">-'PROYECCION BALANCE'!J55</f>
        <v>-1429514.0112004243</v>
      </c>
      <c r="F13" s="100">
        <f ca="1">-'PROYECCION BALANCE'!K55</f>
        <v>-2457314.4192150608</v>
      </c>
    </row>
    <row r="14" spans="1:7" x14ac:dyDescent="0.25">
      <c r="A14" s="3" t="s">
        <v>250</v>
      </c>
      <c r="B14" s="108">
        <f t="shared" ref="B14" ca="1" si="7">SUM(B9:B13)</f>
        <v>-6254525.8457165565</v>
      </c>
      <c r="C14" s="108">
        <f t="shared" ref="C14:F14" ca="1" si="8">SUM(C9:C13)</f>
        <v>868279.53123282176</v>
      </c>
      <c r="D14" s="108">
        <f t="shared" ca="1" si="8"/>
        <v>4548542.9072021693</v>
      </c>
      <c r="E14" s="108">
        <f t="shared" ca="1" si="8"/>
        <v>4409280.8318176717</v>
      </c>
      <c r="F14" s="108">
        <f t="shared" ca="1" si="8"/>
        <v>4461740.913842625</v>
      </c>
    </row>
    <row r="15" spans="1:7" x14ac:dyDescent="0.25">
      <c r="A15" s="111"/>
      <c r="B15" s="112"/>
      <c r="C15" s="111"/>
      <c r="D15" s="111"/>
      <c r="E15" s="111"/>
      <c r="F15" s="111"/>
      <c r="G15" s="113"/>
    </row>
    <row r="16" spans="1:7" x14ac:dyDescent="0.25">
      <c r="A16" s="1" t="s">
        <v>251</v>
      </c>
      <c r="B16" s="1"/>
      <c r="C16" s="1"/>
      <c r="D16" s="1"/>
      <c r="E16" s="1"/>
      <c r="F16" s="1"/>
    </row>
    <row r="17" spans="1:7" x14ac:dyDescent="0.25">
      <c r="A17" s="111"/>
      <c r="B17" s="112"/>
      <c r="C17" s="111"/>
      <c r="D17" s="111"/>
      <c r="E17" s="111"/>
      <c r="F17" s="111"/>
      <c r="G17" s="7"/>
    </row>
    <row r="18" spans="1:7" x14ac:dyDescent="0.25">
      <c r="A18" s="110" t="s">
        <v>1</v>
      </c>
      <c r="B18" s="77" t="s">
        <v>188</v>
      </c>
      <c r="C18" s="77" t="s">
        <v>189</v>
      </c>
      <c r="D18" s="77" t="s">
        <v>190</v>
      </c>
      <c r="E18" s="77" t="s">
        <v>191</v>
      </c>
      <c r="F18" s="77" t="s">
        <v>192</v>
      </c>
      <c r="G18" s="7"/>
    </row>
    <row r="19" spans="1:7" x14ac:dyDescent="0.25">
      <c r="A19" s="3" t="s">
        <v>250</v>
      </c>
      <c r="B19" s="108">
        <f t="shared" ref="B19" ca="1" si="9">B14</f>
        <v>-6254525.8457165565</v>
      </c>
      <c r="C19" s="108">
        <f t="shared" ref="C19:F19" ca="1" si="10">C14</f>
        <v>868279.53123282176</v>
      </c>
      <c r="D19" s="108">
        <f t="shared" ca="1" si="10"/>
        <v>4548542.9072021693</v>
      </c>
      <c r="E19" s="108">
        <f t="shared" ca="1" si="10"/>
        <v>4409280.8318176717</v>
      </c>
      <c r="F19" s="108">
        <f t="shared" ca="1" si="10"/>
        <v>4461740.913842625</v>
      </c>
      <c r="G19" s="7"/>
    </row>
    <row r="20" spans="1:7" x14ac:dyDescent="0.25">
      <c r="A20" s="78" t="s">
        <v>252</v>
      </c>
      <c r="B20" s="104">
        <f ca="1">'Proyeccion PYG'!G17</f>
        <v>-22371.655540535394</v>
      </c>
      <c r="C20" s="104">
        <f ca="1">'Proyeccion PYG'!H17</f>
        <v>-5317.2550041124186</v>
      </c>
      <c r="D20" s="104">
        <f ca="1">'Proyeccion PYG'!I17</f>
        <v>-1328.4259212509789</v>
      </c>
      <c r="E20" s="104">
        <f ca="1">'Proyeccion PYG'!J17</f>
        <v>-362.43161621222595</v>
      </c>
      <c r="F20" s="104">
        <f ca="1">'Proyeccion PYG'!K17</f>
        <v>-112.69267066856212</v>
      </c>
      <c r="G20" s="7"/>
    </row>
    <row r="21" spans="1:7" x14ac:dyDescent="0.25">
      <c r="A21" s="13" t="s">
        <v>253</v>
      </c>
      <c r="B21" s="100">
        <f ca="1">MAX(0,MIN(-B20,B7))*[1]Hipótesis!E13</f>
        <v>5592.9138851338485</v>
      </c>
      <c r="C21" s="100">
        <f ca="1">MAX(0,MIN(-C20,C7))*[1]Hipótesis!F13</f>
        <v>1329.3137510281047</v>
      </c>
      <c r="D21" s="100">
        <f ca="1">MAX(0,MIN(-D20,D7))*[1]Hipótesis!G13</f>
        <v>332.10648031274474</v>
      </c>
      <c r="E21" s="100">
        <f ca="1">MAX(0,MIN(-E20,E7))*[1]Hipótesis!H13</f>
        <v>90.607904053056487</v>
      </c>
      <c r="F21" s="100">
        <f ca="1">MAX(0,MIN(-F20,F7))*[1]Hipótesis!I13</f>
        <v>28.173167667140529</v>
      </c>
    </row>
    <row r="22" spans="1:7" x14ac:dyDescent="0.25">
      <c r="A22" s="85" t="s">
        <v>254</v>
      </c>
      <c r="B22" s="101">
        <f ca="1">'PROYECCION BALANCE'!G71</f>
        <v>74214.05915448349</v>
      </c>
      <c r="C22" s="101">
        <f ca="1">'PROYECCION BALANCE'!H71</f>
        <v>34355.693239800166</v>
      </c>
      <c r="D22" s="101">
        <f ca="1">'PROYECCION BALANCE'!I71</f>
        <v>33365.180331914686</v>
      </c>
      <c r="E22" s="101">
        <f ca="1">'PROYECCION BALANCE'!J71</f>
        <v>48682.086907599121</v>
      </c>
      <c r="F22" s="101">
        <f ca="1">'PROYECCION BALANCE'!K71</f>
        <v>70035.668996313121</v>
      </c>
    </row>
    <row r="23" spans="1:7" x14ac:dyDescent="0.25">
      <c r="A23" s="3" t="s">
        <v>255</v>
      </c>
      <c r="B23" s="108">
        <f t="shared" ref="B23" ca="1" si="11">SUM(B19:B22)</f>
        <v>-6197090.528217474</v>
      </c>
      <c r="C23" s="108">
        <f t="shared" ref="C23:F23" ca="1" si="12">SUM(C19:C22)</f>
        <v>898647.2832195377</v>
      </c>
      <c r="D23" s="108">
        <f t="shared" ca="1" si="12"/>
        <v>4580911.7680931455</v>
      </c>
      <c r="E23" s="108">
        <f t="shared" ca="1" si="12"/>
        <v>4457691.0950131118</v>
      </c>
      <c r="F23" s="108">
        <f t="shared" ca="1" si="12"/>
        <v>4531692.0633359365</v>
      </c>
    </row>
    <row r="24" spans="1:7" x14ac:dyDescent="0.25">
      <c r="A24" s="111"/>
      <c r="B24" s="111"/>
      <c r="C24" s="111"/>
      <c r="D24" s="111"/>
      <c r="E24" s="111"/>
      <c r="F24" s="111"/>
    </row>
    <row r="25" spans="1:7" x14ac:dyDescent="0.25">
      <c r="A25" s="1" t="s">
        <v>256</v>
      </c>
      <c r="B25" s="1"/>
      <c r="C25" s="1"/>
      <c r="D25" s="1"/>
      <c r="E25" s="1"/>
      <c r="F25" s="1"/>
    </row>
    <row r="27" spans="1:7" x14ac:dyDescent="0.25">
      <c r="A27" s="110" t="s">
        <v>1</v>
      </c>
      <c r="B27" s="77" t="s">
        <v>188</v>
      </c>
      <c r="C27" s="77" t="s">
        <v>189</v>
      </c>
      <c r="D27" s="77" t="s">
        <v>190</v>
      </c>
      <c r="E27" s="77" t="s">
        <v>191</v>
      </c>
      <c r="F27" s="77" t="s">
        <v>192</v>
      </c>
    </row>
    <row r="28" spans="1:7" x14ac:dyDescent="0.25">
      <c r="A28" s="104" t="s">
        <v>257</v>
      </c>
      <c r="B28" s="104">
        <f>'PROYECCION BALANCE'!F17</f>
        <v>6964253.9199999999</v>
      </c>
      <c r="C28" s="104">
        <f ca="1">'PROYECCION BALANCE'!G17</f>
        <v>767163.39178252593</v>
      </c>
      <c r="D28" s="104">
        <f ca="1">'PROYECCION BALANCE'!H17</f>
        <v>1665810.6750020636</v>
      </c>
      <c r="E28" s="104">
        <f ca="1">'PROYECCION BALANCE'!I17</f>
        <v>6246722.4430952091</v>
      </c>
      <c r="F28" s="104">
        <f ca="1">'PROYECCION BALANCE'!J17</f>
        <v>10704413.538108321</v>
      </c>
    </row>
    <row r="29" spans="1:7" x14ac:dyDescent="0.25">
      <c r="A29" s="100" t="s">
        <v>258</v>
      </c>
      <c r="B29" s="100">
        <f ca="1">B23</f>
        <v>-6197090.528217474</v>
      </c>
      <c r="C29" s="100">
        <f t="shared" ref="C29:F29" ca="1" si="13">C23</f>
        <v>898647.2832195377</v>
      </c>
      <c r="D29" s="100">
        <f t="shared" ca="1" si="13"/>
        <v>4580911.7680931455</v>
      </c>
      <c r="E29" s="100">
        <f t="shared" ca="1" si="13"/>
        <v>4457691.0950131118</v>
      </c>
      <c r="F29" s="100">
        <f t="shared" ca="1" si="13"/>
        <v>4531692.0633359365</v>
      </c>
    </row>
    <row r="30" spans="1:7" x14ac:dyDescent="0.25">
      <c r="A30" s="104" t="s">
        <v>259</v>
      </c>
      <c r="B30" s="104"/>
      <c r="C30" s="104"/>
      <c r="D30" s="104"/>
      <c r="E30" s="104"/>
      <c r="F30" s="104"/>
    </row>
    <row r="31" spans="1:7" x14ac:dyDescent="0.25">
      <c r="A31" s="105" t="s">
        <v>260</v>
      </c>
      <c r="B31" s="105"/>
      <c r="C31" s="105"/>
      <c r="D31" s="105"/>
      <c r="E31" s="105"/>
      <c r="F31" s="105"/>
    </row>
    <row r="32" spans="1:7" x14ac:dyDescent="0.25">
      <c r="A32" s="103" t="s">
        <v>261</v>
      </c>
      <c r="B32" s="103">
        <f t="shared" ref="B32:F32" ca="1" si="14">SUM(B28:B31)</f>
        <v>767163.39178252593</v>
      </c>
      <c r="C32" s="103">
        <f t="shared" ca="1" si="14"/>
        <v>1665810.6750020636</v>
      </c>
      <c r="D32" s="103">
        <f t="shared" ca="1" si="14"/>
        <v>6246722.4430952091</v>
      </c>
      <c r="E32" s="103">
        <f t="shared" ca="1" si="14"/>
        <v>10704413.538108321</v>
      </c>
      <c r="F32" s="103">
        <f t="shared" ca="1" si="14"/>
        <v>15236105.601444257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C054-328E-4716-8B5B-D2654719599C}">
  <dimension ref="A1:Z72"/>
  <sheetViews>
    <sheetView workbookViewId="0">
      <selection activeCell="D12" sqref="D12"/>
    </sheetView>
  </sheetViews>
  <sheetFormatPr baseColWidth="10" defaultColWidth="11.6640625" defaultRowHeight="13.2" x14ac:dyDescent="0.25"/>
  <cols>
    <col min="1" max="1" width="42.33203125" style="2" bestFit="1" customWidth="1"/>
    <col min="2" max="6" width="12.5546875" style="2" customWidth="1"/>
    <col min="7" max="10" width="11.6640625" style="2"/>
    <col min="11" max="11" width="24" style="2" customWidth="1"/>
    <col min="12" max="12" width="32.6640625" style="2" customWidth="1"/>
    <col min="13" max="19" width="11.6640625" style="2"/>
    <col min="20" max="20" width="22.88671875" style="2" customWidth="1"/>
    <col min="21" max="250" width="11.6640625" style="2"/>
    <col min="251" max="251" width="39.44140625" style="2" customWidth="1"/>
    <col min="252" max="506" width="11.6640625" style="2"/>
    <col min="507" max="507" width="39.44140625" style="2" customWidth="1"/>
    <col min="508" max="762" width="11.6640625" style="2"/>
    <col min="763" max="763" width="39.44140625" style="2" customWidth="1"/>
    <col min="764" max="1018" width="11.6640625" style="2"/>
    <col min="1019" max="1019" width="39.44140625" style="2" customWidth="1"/>
    <col min="1020" max="1274" width="11.6640625" style="2"/>
    <col min="1275" max="1275" width="39.44140625" style="2" customWidth="1"/>
    <col min="1276" max="1530" width="11.6640625" style="2"/>
    <col min="1531" max="1531" width="39.44140625" style="2" customWidth="1"/>
    <col min="1532" max="1786" width="11.6640625" style="2"/>
    <col min="1787" max="1787" width="39.44140625" style="2" customWidth="1"/>
    <col min="1788" max="2042" width="11.6640625" style="2"/>
    <col min="2043" max="2043" width="39.44140625" style="2" customWidth="1"/>
    <col min="2044" max="2298" width="11.6640625" style="2"/>
    <col min="2299" max="2299" width="39.44140625" style="2" customWidth="1"/>
    <col min="2300" max="2554" width="11.6640625" style="2"/>
    <col min="2555" max="2555" width="39.44140625" style="2" customWidth="1"/>
    <col min="2556" max="2810" width="11.6640625" style="2"/>
    <col min="2811" max="2811" width="39.44140625" style="2" customWidth="1"/>
    <col min="2812" max="3066" width="11.6640625" style="2"/>
    <col min="3067" max="3067" width="39.44140625" style="2" customWidth="1"/>
    <col min="3068" max="3322" width="11.6640625" style="2"/>
    <col min="3323" max="3323" width="39.44140625" style="2" customWidth="1"/>
    <col min="3324" max="3578" width="11.6640625" style="2"/>
    <col min="3579" max="3579" width="39.44140625" style="2" customWidth="1"/>
    <col min="3580" max="3834" width="11.6640625" style="2"/>
    <col min="3835" max="3835" width="39.44140625" style="2" customWidth="1"/>
    <col min="3836" max="4090" width="11.6640625" style="2"/>
    <col min="4091" max="4091" width="39.44140625" style="2" customWidth="1"/>
    <col min="4092" max="4346" width="11.6640625" style="2"/>
    <col min="4347" max="4347" width="39.44140625" style="2" customWidth="1"/>
    <col min="4348" max="4602" width="11.6640625" style="2"/>
    <col min="4603" max="4603" width="39.44140625" style="2" customWidth="1"/>
    <col min="4604" max="4858" width="11.6640625" style="2"/>
    <col min="4859" max="4859" width="39.44140625" style="2" customWidth="1"/>
    <col min="4860" max="5114" width="11.6640625" style="2"/>
    <col min="5115" max="5115" width="39.44140625" style="2" customWidth="1"/>
    <col min="5116" max="5370" width="11.6640625" style="2"/>
    <col min="5371" max="5371" width="39.44140625" style="2" customWidth="1"/>
    <col min="5372" max="5626" width="11.6640625" style="2"/>
    <col min="5627" max="5627" width="39.44140625" style="2" customWidth="1"/>
    <col min="5628" max="5882" width="11.6640625" style="2"/>
    <col min="5883" max="5883" width="39.44140625" style="2" customWidth="1"/>
    <col min="5884" max="6138" width="11.6640625" style="2"/>
    <col min="6139" max="6139" width="39.44140625" style="2" customWidth="1"/>
    <col min="6140" max="6394" width="11.6640625" style="2"/>
    <col min="6395" max="6395" width="39.44140625" style="2" customWidth="1"/>
    <col min="6396" max="6650" width="11.6640625" style="2"/>
    <col min="6651" max="6651" width="39.44140625" style="2" customWidth="1"/>
    <col min="6652" max="6906" width="11.6640625" style="2"/>
    <col min="6907" max="6907" width="39.44140625" style="2" customWidth="1"/>
    <col min="6908" max="7162" width="11.6640625" style="2"/>
    <col min="7163" max="7163" width="39.44140625" style="2" customWidth="1"/>
    <col min="7164" max="7418" width="11.6640625" style="2"/>
    <col min="7419" max="7419" width="39.44140625" style="2" customWidth="1"/>
    <col min="7420" max="7674" width="11.6640625" style="2"/>
    <col min="7675" max="7675" width="39.44140625" style="2" customWidth="1"/>
    <col min="7676" max="7930" width="11.6640625" style="2"/>
    <col min="7931" max="7931" width="39.44140625" style="2" customWidth="1"/>
    <col min="7932" max="8186" width="11.6640625" style="2"/>
    <col min="8187" max="8187" width="39.44140625" style="2" customWidth="1"/>
    <col min="8188" max="8442" width="11.6640625" style="2"/>
    <col min="8443" max="8443" width="39.44140625" style="2" customWidth="1"/>
    <col min="8444" max="8698" width="11.6640625" style="2"/>
    <col min="8699" max="8699" width="39.44140625" style="2" customWidth="1"/>
    <col min="8700" max="8954" width="11.6640625" style="2"/>
    <col min="8955" max="8955" width="39.44140625" style="2" customWidth="1"/>
    <col min="8956" max="9210" width="11.6640625" style="2"/>
    <col min="9211" max="9211" width="39.44140625" style="2" customWidth="1"/>
    <col min="9212" max="9466" width="11.6640625" style="2"/>
    <col min="9467" max="9467" width="39.44140625" style="2" customWidth="1"/>
    <col min="9468" max="9722" width="11.6640625" style="2"/>
    <col min="9723" max="9723" width="39.44140625" style="2" customWidth="1"/>
    <col min="9724" max="9978" width="11.6640625" style="2"/>
    <col min="9979" max="9979" width="39.44140625" style="2" customWidth="1"/>
    <col min="9980" max="10234" width="11.6640625" style="2"/>
    <col min="10235" max="10235" width="39.44140625" style="2" customWidth="1"/>
    <col min="10236" max="10490" width="11.6640625" style="2"/>
    <col min="10491" max="10491" width="39.44140625" style="2" customWidth="1"/>
    <col min="10492" max="10746" width="11.6640625" style="2"/>
    <col min="10747" max="10747" width="39.44140625" style="2" customWidth="1"/>
    <col min="10748" max="11002" width="11.6640625" style="2"/>
    <col min="11003" max="11003" width="39.44140625" style="2" customWidth="1"/>
    <col min="11004" max="11258" width="11.6640625" style="2"/>
    <col min="11259" max="11259" width="39.44140625" style="2" customWidth="1"/>
    <col min="11260" max="11514" width="11.6640625" style="2"/>
    <col min="11515" max="11515" width="39.44140625" style="2" customWidth="1"/>
    <col min="11516" max="11770" width="11.6640625" style="2"/>
    <col min="11771" max="11771" width="39.44140625" style="2" customWidth="1"/>
    <col min="11772" max="12026" width="11.6640625" style="2"/>
    <col min="12027" max="12027" width="39.44140625" style="2" customWidth="1"/>
    <col min="12028" max="12282" width="11.6640625" style="2"/>
    <col min="12283" max="12283" width="39.44140625" style="2" customWidth="1"/>
    <col min="12284" max="12538" width="11.6640625" style="2"/>
    <col min="12539" max="12539" width="39.44140625" style="2" customWidth="1"/>
    <col min="12540" max="12794" width="11.6640625" style="2"/>
    <col min="12795" max="12795" width="39.44140625" style="2" customWidth="1"/>
    <col min="12796" max="13050" width="11.6640625" style="2"/>
    <col min="13051" max="13051" width="39.44140625" style="2" customWidth="1"/>
    <col min="13052" max="13306" width="11.6640625" style="2"/>
    <col min="13307" max="13307" width="39.44140625" style="2" customWidth="1"/>
    <col min="13308" max="13562" width="11.6640625" style="2"/>
    <col min="13563" max="13563" width="39.44140625" style="2" customWidth="1"/>
    <col min="13564" max="13818" width="11.6640625" style="2"/>
    <col min="13819" max="13819" width="39.44140625" style="2" customWidth="1"/>
    <col min="13820" max="14074" width="11.6640625" style="2"/>
    <col min="14075" max="14075" width="39.44140625" style="2" customWidth="1"/>
    <col min="14076" max="14330" width="11.6640625" style="2"/>
    <col min="14331" max="14331" width="39.44140625" style="2" customWidth="1"/>
    <col min="14332" max="14586" width="11.6640625" style="2"/>
    <col min="14587" max="14587" width="39.44140625" style="2" customWidth="1"/>
    <col min="14588" max="14842" width="11.6640625" style="2"/>
    <col min="14843" max="14843" width="39.44140625" style="2" customWidth="1"/>
    <col min="14844" max="15098" width="11.6640625" style="2"/>
    <col min="15099" max="15099" width="39.44140625" style="2" customWidth="1"/>
    <col min="15100" max="15354" width="11.6640625" style="2"/>
    <col min="15355" max="15355" width="39.44140625" style="2" customWidth="1"/>
    <col min="15356" max="15610" width="11.6640625" style="2"/>
    <col min="15611" max="15611" width="39.44140625" style="2" customWidth="1"/>
    <col min="15612" max="15866" width="11.6640625" style="2"/>
    <col min="15867" max="15867" width="39.44140625" style="2" customWidth="1"/>
    <col min="15868" max="16122" width="11.6640625" style="2"/>
    <col min="16123" max="16123" width="39.44140625" style="2" customWidth="1"/>
    <col min="16124" max="16384" width="11.6640625" style="2"/>
  </cols>
  <sheetData>
    <row r="1" spans="1:20" x14ac:dyDescent="0.25">
      <c r="A1" s="1" t="s">
        <v>0</v>
      </c>
      <c r="B1" s="1"/>
      <c r="C1" s="1"/>
      <c r="D1" s="1"/>
      <c r="E1" s="1"/>
      <c r="F1" s="1"/>
    </row>
    <row r="2" spans="1:20" x14ac:dyDescent="0.25">
      <c r="G2" s="14" t="s">
        <v>60</v>
      </c>
    </row>
    <row r="3" spans="1:20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20" x14ac:dyDescent="0.25">
      <c r="A4" s="3" t="s">
        <v>2</v>
      </c>
      <c r="B4" s="4">
        <f t="shared" ref="B4" si="0">B5+B6+B7+B8+B9+B10</f>
        <v>859099</v>
      </c>
      <c r="C4" s="4">
        <f t="shared" ref="C4:E4" si="1">C5+C6+C7+C8+C9+C10</f>
        <v>1556623</v>
      </c>
      <c r="D4" s="4">
        <f t="shared" si="1"/>
        <v>1403778</v>
      </c>
      <c r="E4" s="4">
        <f t="shared" si="1"/>
        <v>2730187</v>
      </c>
      <c r="F4" s="4">
        <f t="shared" ref="F4:G4" si="2">F5+F6+F7+F8+F9+F10</f>
        <v>2700262.5300000003</v>
      </c>
      <c r="G4" s="4">
        <f t="shared" si="2"/>
        <v>6014559.9099999992</v>
      </c>
      <c r="K4" s="1" t="s">
        <v>135</v>
      </c>
      <c r="L4" s="1"/>
      <c r="M4" s="1"/>
      <c r="N4" s="1"/>
      <c r="O4" s="1"/>
      <c r="P4" s="1"/>
      <c r="Q4" s="1"/>
      <c r="R4" s="1"/>
      <c r="S4" s="1"/>
      <c r="T4" s="1"/>
    </row>
    <row r="5" spans="1:20" ht="13.8" thickBot="1" x14ac:dyDescent="0.3">
      <c r="A5" s="5" t="s">
        <v>3</v>
      </c>
      <c r="B5" s="6">
        <v>55358</v>
      </c>
      <c r="C5" s="6">
        <v>38181</v>
      </c>
      <c r="D5" s="6">
        <v>25372</v>
      </c>
      <c r="E5" s="6">
        <v>71520</v>
      </c>
      <c r="F5" s="6">
        <v>137063.78</v>
      </c>
      <c r="G5" s="6">
        <f>137063.78+823</f>
        <v>137886.78</v>
      </c>
    </row>
    <row r="6" spans="1:20" x14ac:dyDescent="0.25">
      <c r="A6" s="5" t="s">
        <v>4</v>
      </c>
      <c r="B6" s="6">
        <v>306410</v>
      </c>
      <c r="C6" s="6">
        <v>353563</v>
      </c>
      <c r="D6" s="6">
        <v>693753</v>
      </c>
      <c r="E6" s="6">
        <v>1106294</v>
      </c>
      <c r="F6" s="6">
        <v>1127060.18</v>
      </c>
      <c r="G6" s="6">
        <v>1127060.18</v>
      </c>
      <c r="K6" s="24" t="s">
        <v>150</v>
      </c>
      <c r="L6" s="25"/>
      <c r="M6" s="26"/>
      <c r="N6" s="25" t="s">
        <v>136</v>
      </c>
      <c r="O6" s="25"/>
      <c r="P6" s="25"/>
      <c r="Q6" s="26"/>
      <c r="R6" s="25" t="s">
        <v>137</v>
      </c>
      <c r="S6" s="25"/>
      <c r="T6" s="27"/>
    </row>
    <row r="7" spans="1:20" s="10" customFormat="1" x14ac:dyDescent="0.25">
      <c r="A7" s="5" t="s">
        <v>5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K7" s="28"/>
      <c r="L7" s="2"/>
      <c r="M7" s="2"/>
      <c r="N7" s="2"/>
      <c r="O7" s="2"/>
      <c r="P7" s="2"/>
      <c r="Q7" s="2"/>
      <c r="R7" s="2"/>
      <c r="S7" s="2"/>
      <c r="T7" s="29"/>
    </row>
    <row r="8" spans="1:20" x14ac:dyDescent="0.25">
      <c r="A8" s="5" t="s">
        <v>6</v>
      </c>
      <c r="B8" s="6">
        <v>180000</v>
      </c>
      <c r="C8" s="6">
        <v>180000</v>
      </c>
      <c r="D8" s="6">
        <v>180000</v>
      </c>
      <c r="E8" s="6">
        <v>180000</v>
      </c>
      <c r="F8" s="6">
        <v>180000</v>
      </c>
      <c r="G8" s="6">
        <f>3313474.38+F8</f>
        <v>3493474.38</v>
      </c>
      <c r="K8" s="30" t="s">
        <v>138</v>
      </c>
      <c r="L8" s="31">
        <v>3.5000000000000003E-2</v>
      </c>
      <c r="N8" s="32" t="s">
        <v>139</v>
      </c>
      <c r="O8" s="33"/>
      <c r="P8" s="34">
        <v>0</v>
      </c>
      <c r="R8" s="32" t="s">
        <v>140</v>
      </c>
      <c r="S8" s="33"/>
      <c r="T8" s="76">
        <f>G34/(G34+G24)</f>
        <v>4.3519731937335417E-3</v>
      </c>
    </row>
    <row r="9" spans="1:20" x14ac:dyDescent="0.25">
      <c r="A9" s="5" t="s">
        <v>7</v>
      </c>
      <c r="B9" s="6">
        <v>130945</v>
      </c>
      <c r="C9" s="6">
        <v>658072</v>
      </c>
      <c r="D9" s="6">
        <v>236958</v>
      </c>
      <c r="E9" s="6">
        <v>1073260</v>
      </c>
      <c r="F9" s="6">
        <v>967272.43</v>
      </c>
      <c r="G9" s="6">
        <v>967272.43</v>
      </c>
      <c r="K9" s="30" t="s">
        <v>141</v>
      </c>
      <c r="L9" s="31">
        <v>6.6000000000000003E-2</v>
      </c>
      <c r="N9" s="32" t="s">
        <v>142</v>
      </c>
      <c r="O9" s="33"/>
      <c r="P9" s="35">
        <f>P8*(1-P12)</f>
        <v>0</v>
      </c>
      <c r="R9" s="36" t="s">
        <v>143</v>
      </c>
      <c r="S9" s="37"/>
      <c r="T9" s="75">
        <f>T8/(1-T8)</f>
        <v>4.3709956496306608E-3</v>
      </c>
    </row>
    <row r="10" spans="1:20" ht="13.8" thickBot="1" x14ac:dyDescent="0.3">
      <c r="A10" s="5" t="s">
        <v>8</v>
      </c>
      <c r="B10" s="6">
        <v>186386</v>
      </c>
      <c r="C10" s="6">
        <v>326807</v>
      </c>
      <c r="D10" s="6">
        <v>267695</v>
      </c>
      <c r="E10" s="6">
        <v>299113</v>
      </c>
      <c r="F10" s="6">
        <v>288866.14</v>
      </c>
      <c r="G10" s="6">
        <v>288866.14</v>
      </c>
      <c r="K10" s="28"/>
      <c r="T10" s="29"/>
    </row>
    <row r="11" spans="1:20" ht="13.8" thickBot="1" x14ac:dyDescent="0.3">
      <c r="A11" s="3" t="s">
        <v>9</v>
      </c>
      <c r="B11" s="4">
        <f t="shared" ref="B11:G11" si="3">B12+B13+B14+B15+B16+B17</f>
        <v>15752844</v>
      </c>
      <c r="C11" s="4">
        <f t="shared" si="3"/>
        <v>15603138</v>
      </c>
      <c r="D11" s="4">
        <f t="shared" si="3"/>
        <v>23948930</v>
      </c>
      <c r="E11" s="4">
        <f t="shared" si="3"/>
        <v>18390675</v>
      </c>
      <c r="F11" s="4">
        <f t="shared" si="3"/>
        <v>22942822.049999997</v>
      </c>
      <c r="G11" s="4">
        <f t="shared" si="3"/>
        <v>22942822.049999997</v>
      </c>
      <c r="K11" s="30" t="s">
        <v>144</v>
      </c>
      <c r="L11" s="38">
        <f>P72</f>
        <v>0.79</v>
      </c>
      <c r="R11" s="39" t="s">
        <v>145</v>
      </c>
      <c r="S11" s="40"/>
      <c r="T11" s="41">
        <f>L16*(1-T8)+P9*T8</f>
        <v>0.10684391350376433</v>
      </c>
    </row>
    <row r="12" spans="1:20" x14ac:dyDescent="0.25">
      <c r="A12" s="5" t="s">
        <v>10</v>
      </c>
      <c r="B12" s="6"/>
      <c r="C12" s="6"/>
      <c r="D12" s="6"/>
      <c r="E12" s="6"/>
      <c r="F12" s="6"/>
      <c r="G12" s="6"/>
      <c r="K12" s="42" t="s">
        <v>146</v>
      </c>
      <c r="L12" s="43">
        <f>L11*(1+T9*(1-P12))</f>
        <v>0.79258981492240621</v>
      </c>
      <c r="N12" s="32" t="s">
        <v>147</v>
      </c>
      <c r="O12" s="33"/>
      <c r="P12" s="44">
        <v>0.25</v>
      </c>
      <c r="T12" s="29"/>
    </row>
    <row r="13" spans="1:20" x14ac:dyDescent="0.25">
      <c r="A13" s="5" t="s">
        <v>11</v>
      </c>
      <c r="B13" s="6">
        <v>7499543</v>
      </c>
      <c r="C13" s="6">
        <v>9085867</v>
      </c>
      <c r="D13" s="6">
        <v>15132470</v>
      </c>
      <c r="E13" s="6">
        <v>13904393</v>
      </c>
      <c r="F13" s="6">
        <v>11729939.67</v>
      </c>
      <c r="G13" s="6">
        <v>11729939.67</v>
      </c>
      <c r="K13" s="28"/>
      <c r="T13" s="29"/>
    </row>
    <row r="14" spans="1:20" x14ac:dyDescent="0.25">
      <c r="A14" s="5" t="s">
        <v>12</v>
      </c>
      <c r="B14" s="6"/>
      <c r="C14" s="6"/>
      <c r="D14" s="6"/>
      <c r="E14" s="6"/>
      <c r="F14" s="6">
        <v>3913618.69</v>
      </c>
      <c r="G14" s="6">
        <v>3913618.69</v>
      </c>
      <c r="K14" s="30" t="s">
        <v>148</v>
      </c>
      <c r="L14" s="31">
        <v>0.02</v>
      </c>
      <c r="T14" s="29"/>
    </row>
    <row r="15" spans="1:20" x14ac:dyDescent="0.25">
      <c r="A15" s="5" t="s">
        <v>13</v>
      </c>
      <c r="B15" s="6">
        <v>778610</v>
      </c>
      <c r="C15" s="6">
        <v>494474</v>
      </c>
      <c r="D15" s="6">
        <v>2859350</v>
      </c>
      <c r="E15" s="6">
        <v>250703</v>
      </c>
      <c r="F15" s="6">
        <v>335009.77</v>
      </c>
      <c r="G15" s="6">
        <v>335009.77</v>
      </c>
      <c r="K15" s="28"/>
      <c r="T15" s="29"/>
    </row>
    <row r="16" spans="1:20" ht="13.8" thickBot="1" x14ac:dyDescent="0.3">
      <c r="A16" s="5" t="s">
        <v>14</v>
      </c>
      <c r="B16" s="6"/>
      <c r="C16" s="6"/>
      <c r="D16" s="6"/>
      <c r="E16" s="6"/>
      <c r="F16" s="6"/>
      <c r="G16" s="6"/>
      <c r="K16" s="45" t="s">
        <v>149</v>
      </c>
      <c r="L16" s="46">
        <f>L8+L9*L12+L14</f>
        <v>0.10731092778487882</v>
      </c>
      <c r="M16" s="47"/>
      <c r="N16" s="47"/>
      <c r="O16" s="47"/>
      <c r="P16" s="47"/>
      <c r="Q16" s="47"/>
      <c r="R16" s="47"/>
      <c r="S16" s="47"/>
      <c r="T16" s="48"/>
    </row>
    <row r="17" spans="1:12" x14ac:dyDescent="0.25">
      <c r="A17" s="5" t="s">
        <v>15</v>
      </c>
      <c r="B17" s="6">
        <f t="shared" ref="B17:G17" si="4">SUM(B18:B18)</f>
        <v>7474691</v>
      </c>
      <c r="C17" s="6">
        <f t="shared" si="4"/>
        <v>6022797</v>
      </c>
      <c r="D17" s="6">
        <f t="shared" si="4"/>
        <v>5957110</v>
      </c>
      <c r="E17" s="6">
        <f t="shared" si="4"/>
        <v>4235579</v>
      </c>
      <c r="F17" s="6">
        <f t="shared" si="4"/>
        <v>6964253.9199999999</v>
      </c>
      <c r="G17" s="6">
        <f t="shared" si="4"/>
        <v>6964253.9199999999</v>
      </c>
    </row>
    <row r="18" spans="1:12" x14ac:dyDescent="0.25">
      <c r="A18" s="8" t="s">
        <v>16</v>
      </c>
      <c r="B18" s="9">
        <v>7474691</v>
      </c>
      <c r="C18" s="9">
        <v>6022797</v>
      </c>
      <c r="D18" s="9">
        <v>5957110</v>
      </c>
      <c r="E18" s="9">
        <v>4235579</v>
      </c>
      <c r="F18" s="9">
        <v>6964253.9199999999</v>
      </c>
      <c r="G18" s="9">
        <v>6964253.9199999999</v>
      </c>
      <c r="K18" s="2" t="s">
        <v>186</v>
      </c>
      <c r="L18" s="2" t="s">
        <v>187</v>
      </c>
    </row>
    <row r="19" spans="1:12" x14ac:dyDescent="0.25">
      <c r="A19" s="3" t="s">
        <v>17</v>
      </c>
      <c r="B19" s="4">
        <f t="shared" ref="B19:G19" si="5">B4+B11</f>
        <v>16611943</v>
      </c>
      <c r="C19" s="4">
        <f t="shared" si="5"/>
        <v>17159761</v>
      </c>
      <c r="D19" s="4">
        <f t="shared" si="5"/>
        <v>25352708</v>
      </c>
      <c r="E19" s="4">
        <f t="shared" si="5"/>
        <v>21120862</v>
      </c>
      <c r="F19" s="4">
        <f t="shared" si="5"/>
        <v>25643084.579999998</v>
      </c>
      <c r="G19" s="4">
        <f t="shared" si="5"/>
        <v>28957381.959999997</v>
      </c>
    </row>
    <row r="21" spans="1:12" x14ac:dyDescent="0.25">
      <c r="A21" s="1" t="s">
        <v>18</v>
      </c>
      <c r="B21" s="11"/>
      <c r="C21" s="11"/>
      <c r="D21" s="11"/>
      <c r="E21" s="11"/>
      <c r="F21" s="11"/>
    </row>
    <row r="23" spans="1:12" x14ac:dyDescent="0.25">
      <c r="A23" s="3" t="s">
        <v>1</v>
      </c>
      <c r="B23" s="3">
        <v>2018</v>
      </c>
      <c r="C23" s="3">
        <v>2019</v>
      </c>
      <c r="D23" s="3">
        <v>2020</v>
      </c>
      <c r="E23" s="3">
        <v>2021</v>
      </c>
      <c r="F23" s="3">
        <v>2022</v>
      </c>
      <c r="G23" s="22" t="s">
        <v>60</v>
      </c>
    </row>
    <row r="24" spans="1:12" x14ac:dyDescent="0.25">
      <c r="A24" s="3" t="s">
        <v>19</v>
      </c>
      <c r="B24" s="4">
        <f t="shared" ref="B24:E24" si="6">+B25+B31</f>
        <v>4745015</v>
      </c>
      <c r="C24" s="4">
        <f t="shared" si="6"/>
        <v>5994774</v>
      </c>
      <c r="D24" s="4">
        <f t="shared" si="6"/>
        <v>9487240</v>
      </c>
      <c r="E24" s="4">
        <f t="shared" si="6"/>
        <v>7627299</v>
      </c>
      <c r="F24" s="4">
        <f t="shared" ref="F24:G24" si="7">+F25+F31</f>
        <v>11316384.609999999</v>
      </c>
      <c r="G24" s="23">
        <f t="shared" si="7"/>
        <v>14629858.99</v>
      </c>
    </row>
    <row r="25" spans="1:12" x14ac:dyDescent="0.25">
      <c r="A25" s="5" t="s">
        <v>20</v>
      </c>
      <c r="B25" s="6">
        <f t="shared" ref="B25:G25" si="8">B26+B27+B28+B29+B30</f>
        <v>4745015</v>
      </c>
      <c r="C25" s="6">
        <f t="shared" si="8"/>
        <v>5994774</v>
      </c>
      <c r="D25" s="6">
        <f t="shared" si="8"/>
        <v>9487240</v>
      </c>
      <c r="E25" s="6">
        <f t="shared" si="8"/>
        <v>7627299</v>
      </c>
      <c r="F25" s="6">
        <f t="shared" si="8"/>
        <v>11316384.609999999</v>
      </c>
      <c r="G25" s="6">
        <f t="shared" si="8"/>
        <v>14629858.99</v>
      </c>
    </row>
    <row r="26" spans="1:12" x14ac:dyDescent="0.25">
      <c r="A26" s="8" t="s">
        <v>21</v>
      </c>
      <c r="B26" s="9">
        <v>192320</v>
      </c>
      <c r="C26" s="9">
        <v>192320</v>
      </c>
      <c r="D26" s="9">
        <v>192320</v>
      </c>
      <c r="E26" s="9">
        <v>192320</v>
      </c>
      <c r="F26" s="9">
        <v>192320</v>
      </c>
      <c r="G26" s="6">
        <f>'PyG ALAER'!B36+F26</f>
        <v>3505794.3800000004</v>
      </c>
    </row>
    <row r="27" spans="1:12" x14ac:dyDescent="0.25">
      <c r="A27" s="8" t="s">
        <v>22</v>
      </c>
      <c r="B27" s="9"/>
      <c r="C27" s="9"/>
      <c r="D27" s="9"/>
      <c r="E27" s="9"/>
      <c r="F27" s="9"/>
      <c r="G27" s="9"/>
    </row>
    <row r="28" spans="1:12" x14ac:dyDescent="0.25">
      <c r="A28" s="8" t="s">
        <v>23</v>
      </c>
      <c r="B28" s="9">
        <v>4074938</v>
      </c>
      <c r="C28" s="9">
        <v>4074937</v>
      </c>
      <c r="D28" s="9">
        <v>5802454</v>
      </c>
      <c r="E28" s="9">
        <v>2194921</v>
      </c>
      <c r="F28" s="9">
        <v>7434979.3300000001</v>
      </c>
      <c r="G28" s="9">
        <v>7434979.3300000001</v>
      </c>
    </row>
    <row r="29" spans="1:12" x14ac:dyDescent="0.25">
      <c r="A29" s="8" t="s">
        <v>24</v>
      </c>
      <c r="B29" s="9">
        <v>0</v>
      </c>
      <c r="C29" s="9"/>
      <c r="D29" s="9"/>
      <c r="E29" s="9"/>
      <c r="F29" s="9"/>
      <c r="G29" s="9"/>
    </row>
    <row r="30" spans="1:12" x14ac:dyDescent="0.25">
      <c r="A30" s="8" t="s">
        <v>25</v>
      </c>
      <c r="B30" s="9">
        <f>+'Cuentas PyG'!B22</f>
        <v>477757</v>
      </c>
      <c r="C30" s="9">
        <f>+'Cuentas PyG'!C22</f>
        <v>1727517</v>
      </c>
      <c r="D30" s="9">
        <f>+'Cuentas PyG'!D22</f>
        <v>3492466</v>
      </c>
      <c r="E30" s="9">
        <f>+'Cuentas PyG'!E22</f>
        <v>5240058</v>
      </c>
      <c r="F30" s="9">
        <v>3689085.28</v>
      </c>
      <c r="G30" s="9">
        <v>3689085.28</v>
      </c>
    </row>
    <row r="31" spans="1:12" x14ac:dyDescent="0.25">
      <c r="A31" s="5" t="s">
        <v>58</v>
      </c>
      <c r="B31" s="6"/>
      <c r="C31" s="6"/>
      <c r="D31" s="6"/>
      <c r="E31" s="6"/>
      <c r="F31" s="6"/>
      <c r="G31" s="6"/>
    </row>
    <row r="32" spans="1:12" x14ac:dyDescent="0.25">
      <c r="A32" s="3" t="s">
        <v>26</v>
      </c>
      <c r="B32" s="4">
        <f t="shared" ref="B32:G32" si="9">B33+B34+B35+B36+B37</f>
        <v>479567</v>
      </c>
      <c r="C32" s="4">
        <f t="shared" si="9"/>
        <v>477567</v>
      </c>
      <c r="D32" s="4">
        <f t="shared" si="9"/>
        <v>309033</v>
      </c>
      <c r="E32" s="4">
        <f t="shared" si="9"/>
        <v>289033</v>
      </c>
      <c r="F32" s="4">
        <f t="shared" si="9"/>
        <v>219032.59000000003</v>
      </c>
      <c r="G32" s="4">
        <f t="shared" si="9"/>
        <v>219032.59000000003</v>
      </c>
    </row>
    <row r="33" spans="1:11" x14ac:dyDescent="0.25">
      <c r="A33" s="5" t="s">
        <v>27</v>
      </c>
      <c r="B33" s="6">
        <v>373620</v>
      </c>
      <c r="C33" s="6">
        <v>373620</v>
      </c>
      <c r="D33" s="6">
        <v>155086</v>
      </c>
      <c r="E33" s="6">
        <v>155086</v>
      </c>
      <c r="F33" s="6">
        <v>155085.54</v>
      </c>
      <c r="G33" s="6">
        <v>155085.54</v>
      </c>
    </row>
    <row r="34" spans="1:11" x14ac:dyDescent="0.25">
      <c r="A34" s="5" t="s">
        <v>28</v>
      </c>
      <c r="B34" s="6">
        <v>105947</v>
      </c>
      <c r="C34" s="6">
        <v>103947</v>
      </c>
      <c r="D34" s="6">
        <v>153947</v>
      </c>
      <c r="E34" s="6">
        <v>133947</v>
      </c>
      <c r="F34" s="6">
        <v>63947.05</v>
      </c>
      <c r="G34" s="6">
        <v>63947.05</v>
      </c>
    </row>
    <row r="35" spans="1:11" x14ac:dyDescent="0.25">
      <c r="A35" s="5" t="s">
        <v>29</v>
      </c>
      <c r="B35" s="6"/>
      <c r="C35" s="6"/>
      <c r="D35" s="6"/>
      <c r="E35" s="6"/>
      <c r="F35" s="6"/>
      <c r="G35" s="6"/>
    </row>
    <row r="36" spans="1:11" x14ac:dyDescent="0.25">
      <c r="A36" s="5" t="s">
        <v>30</v>
      </c>
      <c r="B36" s="6"/>
      <c r="C36" s="6"/>
      <c r="D36" s="6"/>
      <c r="E36" s="6"/>
      <c r="F36" s="6"/>
      <c r="G36" s="6"/>
    </row>
    <row r="37" spans="1:11" x14ac:dyDescent="0.25">
      <c r="A37" s="5" t="s">
        <v>31</v>
      </c>
      <c r="B37" s="6"/>
      <c r="C37" s="6"/>
      <c r="D37" s="6"/>
      <c r="E37" s="6"/>
      <c r="F37" s="6"/>
      <c r="G37" s="6"/>
    </row>
    <row r="38" spans="1:11" x14ac:dyDescent="0.25">
      <c r="A38" s="3" t="s">
        <v>32</v>
      </c>
      <c r="B38" s="4">
        <f t="shared" ref="B38:G38" si="10">B39+B40+B41+B42+B43</f>
        <v>11387361</v>
      </c>
      <c r="C38" s="4">
        <f t="shared" si="10"/>
        <v>10687420</v>
      </c>
      <c r="D38" s="4">
        <f t="shared" si="10"/>
        <v>15556435</v>
      </c>
      <c r="E38" s="4">
        <f t="shared" si="10"/>
        <v>13204530</v>
      </c>
      <c r="F38" s="4">
        <f t="shared" si="10"/>
        <v>14107667.380000001</v>
      </c>
      <c r="G38" s="4">
        <f t="shared" si="10"/>
        <v>14107667.380000001</v>
      </c>
    </row>
    <row r="39" spans="1:11" x14ac:dyDescent="0.25">
      <c r="A39" s="5" t="s">
        <v>33</v>
      </c>
      <c r="B39" s="6">
        <v>50046</v>
      </c>
      <c r="C39" s="6">
        <v>50046</v>
      </c>
      <c r="D39" s="6">
        <v>50046</v>
      </c>
      <c r="E39" s="6">
        <v>50046</v>
      </c>
      <c r="F39" s="6">
        <v>50045.88</v>
      </c>
      <c r="G39" s="6">
        <v>50045.88</v>
      </c>
    </row>
    <row r="40" spans="1:11" x14ac:dyDescent="0.25">
      <c r="A40" s="5" t="s">
        <v>34</v>
      </c>
      <c r="B40" s="6"/>
      <c r="C40" s="6"/>
      <c r="D40" s="6"/>
      <c r="E40" s="6">
        <v>304020</v>
      </c>
      <c r="F40" s="6"/>
      <c r="G40" s="6"/>
      <c r="H40" s="12"/>
      <c r="I40" s="12"/>
      <c r="J40" s="12"/>
      <c r="K40" s="12"/>
    </row>
    <row r="41" spans="1:11" x14ac:dyDescent="0.25">
      <c r="A41" s="5" t="s">
        <v>35</v>
      </c>
      <c r="B41" s="6">
        <v>422750</v>
      </c>
      <c r="C41" s="6">
        <v>1150016</v>
      </c>
      <c r="D41" s="6">
        <v>2131550</v>
      </c>
      <c r="E41" s="6">
        <v>0</v>
      </c>
      <c r="F41" s="6"/>
      <c r="G41" s="6"/>
    </row>
    <row r="42" spans="1:11" x14ac:dyDescent="0.25">
      <c r="A42" s="5" t="s">
        <v>36</v>
      </c>
      <c r="B42" s="6">
        <v>10914565</v>
      </c>
      <c r="C42" s="6">
        <v>9487358</v>
      </c>
      <c r="D42" s="6">
        <v>13374839</v>
      </c>
      <c r="E42" s="6">
        <v>12850464</v>
      </c>
      <c r="F42" s="6">
        <v>14057621.5</v>
      </c>
      <c r="G42" s="6">
        <v>14057621.5</v>
      </c>
    </row>
    <row r="43" spans="1:11" x14ac:dyDescent="0.25">
      <c r="A43" s="5" t="s">
        <v>14</v>
      </c>
      <c r="B43" s="6"/>
      <c r="C43" s="6"/>
      <c r="D43" s="6"/>
      <c r="E43" s="6"/>
      <c r="F43" s="6"/>
      <c r="G43" s="6"/>
    </row>
    <row r="44" spans="1:11" x14ac:dyDescent="0.25">
      <c r="A44" s="3" t="s">
        <v>37</v>
      </c>
      <c r="B44" s="4">
        <f t="shared" ref="B44:G44" si="11">B24+B32+B38</f>
        <v>16611943</v>
      </c>
      <c r="C44" s="4">
        <f t="shared" si="11"/>
        <v>17159761</v>
      </c>
      <c r="D44" s="4">
        <f t="shared" si="11"/>
        <v>25352708</v>
      </c>
      <c r="E44" s="4">
        <f t="shared" si="11"/>
        <v>21120862</v>
      </c>
      <c r="F44" s="4">
        <f t="shared" si="11"/>
        <v>25643084.579999998</v>
      </c>
      <c r="G44" s="4">
        <f t="shared" si="11"/>
        <v>28956558.960000001</v>
      </c>
      <c r="H44" s="7">
        <f>G19-G44</f>
        <v>822.99999999627471</v>
      </c>
    </row>
    <row r="45" spans="1:11" x14ac:dyDescent="0.25">
      <c r="B45" s="7"/>
      <c r="C45" s="7"/>
      <c r="D45" s="7"/>
      <c r="E45" s="7"/>
      <c r="F45" s="7"/>
    </row>
    <row r="61" spans="11:26" ht="13.8" thickBot="1" x14ac:dyDescent="0.3"/>
    <row r="62" spans="11:26" ht="15.75" customHeight="1" x14ac:dyDescent="0.3">
      <c r="K62" s="49" t="s">
        <v>151</v>
      </c>
      <c r="L62" s="129">
        <v>45296</v>
      </c>
      <c r="M62" s="130"/>
      <c r="N62" s="130"/>
      <c r="O62" s="130"/>
      <c r="P62" s="130"/>
      <c r="Q62" s="131"/>
      <c r="R62" s="132" t="s">
        <v>152</v>
      </c>
      <c r="S62"/>
      <c r="T62"/>
      <c r="U62"/>
      <c r="V62"/>
      <c r="W62"/>
      <c r="X62"/>
      <c r="Y62"/>
      <c r="Z62"/>
    </row>
    <row r="63" spans="11:26" ht="15.6" x14ac:dyDescent="0.3">
      <c r="K63" s="50" t="s">
        <v>153</v>
      </c>
      <c r="L63" s="135" t="s">
        <v>154</v>
      </c>
      <c r="M63" s="136"/>
      <c r="N63" s="136"/>
      <c r="O63" s="136"/>
      <c r="P63" s="136"/>
      <c r="Q63" s="137"/>
      <c r="R63" s="133"/>
      <c r="S63"/>
      <c r="T63"/>
      <c r="U63"/>
      <c r="V63"/>
      <c r="W63"/>
      <c r="X63"/>
      <c r="Y63"/>
      <c r="Z63"/>
    </row>
    <row r="64" spans="11:26" ht="15.6" x14ac:dyDescent="0.3">
      <c r="K64" s="50" t="s">
        <v>155</v>
      </c>
      <c r="L64" s="138" t="s">
        <v>156</v>
      </c>
      <c r="M64" s="139"/>
      <c r="N64" s="139"/>
      <c r="O64" s="140"/>
      <c r="P64" s="138" t="s">
        <v>157</v>
      </c>
      <c r="Q64" s="141"/>
      <c r="R64" s="133"/>
      <c r="S64" s="51"/>
      <c r="T64" s="51"/>
      <c r="U64"/>
      <c r="V64"/>
      <c r="W64"/>
      <c r="X64"/>
      <c r="Y64"/>
      <c r="Z64"/>
    </row>
    <row r="65" spans="11:26" ht="15.6" x14ac:dyDescent="0.3">
      <c r="K65" s="50" t="s">
        <v>158</v>
      </c>
      <c r="L65" s="120" t="s">
        <v>159</v>
      </c>
      <c r="M65" s="121"/>
      <c r="N65" s="121"/>
      <c r="O65" s="121"/>
      <c r="P65" s="121"/>
      <c r="Q65" s="122"/>
      <c r="R65" s="133"/>
      <c r="S65"/>
      <c r="T65"/>
      <c r="U65"/>
      <c r="V65"/>
      <c r="W65"/>
      <c r="X65"/>
      <c r="Y65"/>
      <c r="Z65"/>
    </row>
    <row r="66" spans="11:26" ht="15.6" x14ac:dyDescent="0.3">
      <c r="K66" s="50" t="s">
        <v>160</v>
      </c>
      <c r="L66" s="123" t="s">
        <v>161</v>
      </c>
      <c r="M66" s="124"/>
      <c r="N66" s="124"/>
      <c r="O66" s="124"/>
      <c r="P66" s="124"/>
      <c r="Q66" s="125"/>
      <c r="R66" s="133"/>
      <c r="S66"/>
      <c r="T66"/>
      <c r="U66"/>
      <c r="V66"/>
      <c r="W66"/>
      <c r="X66"/>
      <c r="Y66"/>
      <c r="Z66"/>
    </row>
    <row r="67" spans="11:26" ht="15.6" x14ac:dyDescent="0.3">
      <c r="K67" s="50" t="s">
        <v>162</v>
      </c>
      <c r="L67" s="135" t="s">
        <v>163</v>
      </c>
      <c r="M67" s="136"/>
      <c r="N67" s="136"/>
      <c r="O67" s="136"/>
      <c r="P67" s="136"/>
      <c r="Q67" s="137"/>
      <c r="R67" s="133"/>
      <c r="S67" s="52"/>
      <c r="T67" s="52"/>
      <c r="U67" s="52"/>
      <c r="V67" s="52"/>
      <c r="W67" s="52"/>
      <c r="X67" s="52"/>
      <c r="Y67" s="52"/>
      <c r="Z67" s="52"/>
    </row>
    <row r="68" spans="11:26" ht="15.6" x14ac:dyDescent="0.3">
      <c r="K68" s="53" t="s">
        <v>164</v>
      </c>
      <c r="L68" s="126" t="s">
        <v>165</v>
      </c>
      <c r="M68" s="127"/>
      <c r="N68" s="127"/>
      <c r="O68" s="127"/>
      <c r="P68" s="127"/>
      <c r="Q68" s="128"/>
      <c r="R68" s="134"/>
      <c r="S68"/>
      <c r="T68"/>
      <c r="U68"/>
      <c r="V68"/>
      <c r="W68"/>
      <c r="X68"/>
      <c r="Y68"/>
      <c r="Z68"/>
    </row>
    <row r="69" spans="11:26" ht="16.2" thickBot="1" x14ac:dyDescent="0.35">
      <c r="K69" t="s">
        <v>166</v>
      </c>
      <c r="L69" s="54"/>
      <c r="M69" s="55"/>
      <c r="N69" s="54"/>
      <c r="O69" s="54"/>
      <c r="P69" s="56" t="s">
        <v>167</v>
      </c>
      <c r="Q69" s="54"/>
      <c r="R69" s="54"/>
      <c r="S69"/>
      <c r="T69"/>
      <c r="U69" s="57"/>
      <c r="V69"/>
      <c r="W69"/>
      <c r="X69"/>
      <c r="Y69"/>
      <c r="Z69"/>
    </row>
    <row r="70" spans="11:26" ht="16.2" thickBot="1" x14ac:dyDescent="0.35">
      <c r="K70" t="s">
        <v>168</v>
      </c>
      <c r="L70" s="54"/>
      <c r="M70" s="55"/>
      <c r="N70" s="54"/>
      <c r="O70" s="54"/>
      <c r="P70" s="58">
        <v>0.24709999999999999</v>
      </c>
      <c r="Q70" s="54"/>
      <c r="R70" s="54"/>
      <c r="S70"/>
      <c r="T70"/>
      <c r="U70" s="57"/>
      <c r="V70" s="117" t="s">
        <v>169</v>
      </c>
      <c r="W70" s="118"/>
      <c r="X70" s="118"/>
      <c r="Y70" s="118"/>
      <c r="Z70" s="119"/>
    </row>
    <row r="71" spans="11:26" ht="51.6" x14ac:dyDescent="0.3">
      <c r="K71" s="59" t="s">
        <v>170</v>
      </c>
      <c r="L71" s="60" t="s">
        <v>171</v>
      </c>
      <c r="M71" s="61" t="s">
        <v>172</v>
      </c>
      <c r="N71" s="60" t="s">
        <v>173</v>
      </c>
      <c r="O71" s="60" t="s">
        <v>174</v>
      </c>
      <c r="P71" s="62" t="s">
        <v>175</v>
      </c>
      <c r="Q71" s="60" t="s">
        <v>176</v>
      </c>
      <c r="R71" s="62" t="s">
        <v>177</v>
      </c>
      <c r="S71" s="60" t="s">
        <v>178</v>
      </c>
      <c r="T71" s="62" t="s">
        <v>179</v>
      </c>
      <c r="U71" s="63" t="s">
        <v>180</v>
      </c>
      <c r="V71" s="62" t="s">
        <v>181</v>
      </c>
      <c r="W71" s="62" t="s">
        <v>182</v>
      </c>
      <c r="X71" s="62" t="s">
        <v>183</v>
      </c>
      <c r="Y71" s="62">
        <v>2022</v>
      </c>
      <c r="Z71" s="64" t="s">
        <v>184</v>
      </c>
    </row>
    <row r="72" spans="11:26" ht="14.4" x14ac:dyDescent="0.3">
      <c r="K72" s="65" t="s">
        <v>185</v>
      </c>
      <c r="L72" s="66">
        <v>78</v>
      </c>
      <c r="M72" s="67">
        <v>1.3341046904993525</v>
      </c>
      <c r="N72" s="68">
        <v>0.92539150235536904</v>
      </c>
      <c r="O72" s="68">
        <v>0.11403899893424821</v>
      </c>
      <c r="P72" s="67">
        <v>0.79</v>
      </c>
      <c r="Q72" s="68">
        <v>8.9088570211728141E-2</v>
      </c>
      <c r="R72" s="67">
        <v>0.86</v>
      </c>
      <c r="S72" s="69">
        <v>0.28343040557610949</v>
      </c>
      <c r="T72" s="70">
        <v>0.26887715416935398</v>
      </c>
      <c r="U72" s="71">
        <v>3.6604292237145275</v>
      </c>
      <c r="V72" s="72">
        <v>0.67</v>
      </c>
      <c r="W72" s="73">
        <v>0.96</v>
      </c>
      <c r="X72" s="55">
        <v>1</v>
      </c>
      <c r="Y72" s="55">
        <v>0.78495585937538492</v>
      </c>
      <c r="Z72" s="74">
        <f t="shared" ref="Z72" si="12">AVERAGE(R72,V72:Y72)</f>
        <v>0.85499117187507712</v>
      </c>
    </row>
  </sheetData>
  <mergeCells count="10">
    <mergeCell ref="V70:Z70"/>
    <mergeCell ref="L65:Q65"/>
    <mergeCell ref="L66:Q66"/>
    <mergeCell ref="L68:Q68"/>
    <mergeCell ref="L62:Q62"/>
    <mergeCell ref="R62:R68"/>
    <mergeCell ref="L63:Q63"/>
    <mergeCell ref="L64:O64"/>
    <mergeCell ref="P64:Q64"/>
    <mergeCell ref="L67:Q67"/>
  </mergeCells>
  <hyperlinks>
    <hyperlink ref="L63" r:id="rId1" xr:uid="{43931594-7F5D-40D8-9C40-28C06BE67BC5}"/>
    <hyperlink ref="L65" r:id="rId2" xr:uid="{21BA6172-833D-4EFE-BBDD-64AB9A15C97A}"/>
    <hyperlink ref="L66" r:id="rId3" display="http://www.stern.nyu.edu/~adamodar/New_Home_Page/data.html" xr:uid="{0AEEE3A5-ACD6-4BF7-AB63-C253D75E36A6}"/>
    <hyperlink ref="L67" r:id="rId4" display="http://www.stern.nyu.edu/~adamodar/pc/datasets/indname.xls" xr:uid="{40E8F6F3-D529-48E8-B4AE-4D807BE7DF69}"/>
    <hyperlink ref="L68" r:id="rId5" xr:uid="{99FE9044-94A2-43D8-9CBE-A9B462373B52}"/>
    <hyperlink ref="R62:R68" r:id="rId6" display="YouTube Video explaining estimation choices and process." xr:uid="{E58A4586-D40F-40B8-A230-62FCFF2C6161}"/>
  </hyperlinks>
  <pageMargins left="0.75" right="0.75" top="1" bottom="1" header="0" footer="0"/>
  <pageSetup paperSize="9" orientation="portrait" horizontalDpi="1200" verticalDpi="1200" r:id="rId7"/>
  <headerFooter alignWithMargins="0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EC13-9B89-4CFB-8A7F-7252D28371CE}">
  <dimension ref="A1:I23"/>
  <sheetViews>
    <sheetView workbookViewId="0">
      <selection activeCell="F10" sqref="F10"/>
    </sheetView>
  </sheetViews>
  <sheetFormatPr baseColWidth="10" defaultColWidth="11.6640625" defaultRowHeight="13.2" x14ac:dyDescent="0.25"/>
  <cols>
    <col min="1" max="1" width="45.5546875" style="2" bestFit="1" customWidth="1"/>
    <col min="2" max="6" width="11.5546875" style="2" customWidth="1"/>
    <col min="7" max="8" width="11.6640625" style="2"/>
    <col min="9" max="9" width="12.5546875" style="2" bestFit="1" customWidth="1"/>
    <col min="10" max="249" width="11.6640625" style="2"/>
    <col min="250" max="250" width="45.5546875" style="2" bestFit="1" customWidth="1"/>
    <col min="251" max="505" width="11.6640625" style="2"/>
    <col min="506" max="506" width="45.5546875" style="2" bestFit="1" customWidth="1"/>
    <col min="507" max="761" width="11.6640625" style="2"/>
    <col min="762" max="762" width="45.5546875" style="2" bestFit="1" customWidth="1"/>
    <col min="763" max="1017" width="11.6640625" style="2"/>
    <col min="1018" max="1018" width="45.5546875" style="2" bestFit="1" customWidth="1"/>
    <col min="1019" max="1273" width="11.6640625" style="2"/>
    <col min="1274" max="1274" width="45.5546875" style="2" bestFit="1" customWidth="1"/>
    <col min="1275" max="1529" width="11.6640625" style="2"/>
    <col min="1530" max="1530" width="45.5546875" style="2" bestFit="1" customWidth="1"/>
    <col min="1531" max="1785" width="11.6640625" style="2"/>
    <col min="1786" max="1786" width="45.5546875" style="2" bestFit="1" customWidth="1"/>
    <col min="1787" max="2041" width="11.6640625" style="2"/>
    <col min="2042" max="2042" width="45.5546875" style="2" bestFit="1" customWidth="1"/>
    <col min="2043" max="2297" width="11.6640625" style="2"/>
    <col min="2298" max="2298" width="45.5546875" style="2" bestFit="1" customWidth="1"/>
    <col min="2299" max="2553" width="11.6640625" style="2"/>
    <col min="2554" max="2554" width="45.5546875" style="2" bestFit="1" customWidth="1"/>
    <col min="2555" max="2809" width="11.6640625" style="2"/>
    <col min="2810" max="2810" width="45.5546875" style="2" bestFit="1" customWidth="1"/>
    <col min="2811" max="3065" width="11.6640625" style="2"/>
    <col min="3066" max="3066" width="45.5546875" style="2" bestFit="1" customWidth="1"/>
    <col min="3067" max="3321" width="11.6640625" style="2"/>
    <col min="3322" max="3322" width="45.5546875" style="2" bestFit="1" customWidth="1"/>
    <col min="3323" max="3577" width="11.6640625" style="2"/>
    <col min="3578" max="3578" width="45.5546875" style="2" bestFit="1" customWidth="1"/>
    <col min="3579" max="3833" width="11.6640625" style="2"/>
    <col min="3834" max="3834" width="45.5546875" style="2" bestFit="1" customWidth="1"/>
    <col min="3835" max="4089" width="11.6640625" style="2"/>
    <col min="4090" max="4090" width="45.5546875" style="2" bestFit="1" customWidth="1"/>
    <col min="4091" max="4345" width="11.6640625" style="2"/>
    <col min="4346" max="4346" width="45.5546875" style="2" bestFit="1" customWidth="1"/>
    <col min="4347" max="4601" width="11.6640625" style="2"/>
    <col min="4602" max="4602" width="45.5546875" style="2" bestFit="1" customWidth="1"/>
    <col min="4603" max="4857" width="11.6640625" style="2"/>
    <col min="4858" max="4858" width="45.5546875" style="2" bestFit="1" customWidth="1"/>
    <col min="4859" max="5113" width="11.6640625" style="2"/>
    <col min="5114" max="5114" width="45.5546875" style="2" bestFit="1" customWidth="1"/>
    <col min="5115" max="5369" width="11.6640625" style="2"/>
    <col min="5370" max="5370" width="45.5546875" style="2" bestFit="1" customWidth="1"/>
    <col min="5371" max="5625" width="11.6640625" style="2"/>
    <col min="5626" max="5626" width="45.5546875" style="2" bestFit="1" customWidth="1"/>
    <col min="5627" max="5881" width="11.6640625" style="2"/>
    <col min="5882" max="5882" width="45.5546875" style="2" bestFit="1" customWidth="1"/>
    <col min="5883" max="6137" width="11.6640625" style="2"/>
    <col min="6138" max="6138" width="45.5546875" style="2" bestFit="1" customWidth="1"/>
    <col min="6139" max="6393" width="11.6640625" style="2"/>
    <col min="6394" max="6394" width="45.5546875" style="2" bestFit="1" customWidth="1"/>
    <col min="6395" max="6649" width="11.6640625" style="2"/>
    <col min="6650" max="6650" width="45.5546875" style="2" bestFit="1" customWidth="1"/>
    <col min="6651" max="6905" width="11.6640625" style="2"/>
    <col min="6906" max="6906" width="45.5546875" style="2" bestFit="1" customWidth="1"/>
    <col min="6907" max="7161" width="11.6640625" style="2"/>
    <col min="7162" max="7162" width="45.5546875" style="2" bestFit="1" customWidth="1"/>
    <col min="7163" max="7417" width="11.6640625" style="2"/>
    <col min="7418" max="7418" width="45.5546875" style="2" bestFit="1" customWidth="1"/>
    <col min="7419" max="7673" width="11.6640625" style="2"/>
    <col min="7674" max="7674" width="45.5546875" style="2" bestFit="1" customWidth="1"/>
    <col min="7675" max="7929" width="11.6640625" style="2"/>
    <col min="7930" max="7930" width="45.5546875" style="2" bestFit="1" customWidth="1"/>
    <col min="7931" max="8185" width="11.6640625" style="2"/>
    <col min="8186" max="8186" width="45.5546875" style="2" bestFit="1" customWidth="1"/>
    <col min="8187" max="8441" width="11.6640625" style="2"/>
    <col min="8442" max="8442" width="45.5546875" style="2" bestFit="1" customWidth="1"/>
    <col min="8443" max="8697" width="11.6640625" style="2"/>
    <col min="8698" max="8698" width="45.5546875" style="2" bestFit="1" customWidth="1"/>
    <col min="8699" max="8953" width="11.6640625" style="2"/>
    <col min="8954" max="8954" width="45.5546875" style="2" bestFit="1" customWidth="1"/>
    <col min="8955" max="9209" width="11.6640625" style="2"/>
    <col min="9210" max="9210" width="45.5546875" style="2" bestFit="1" customWidth="1"/>
    <col min="9211" max="9465" width="11.6640625" style="2"/>
    <col min="9466" max="9466" width="45.5546875" style="2" bestFit="1" customWidth="1"/>
    <col min="9467" max="9721" width="11.6640625" style="2"/>
    <col min="9722" max="9722" width="45.5546875" style="2" bestFit="1" customWidth="1"/>
    <col min="9723" max="9977" width="11.6640625" style="2"/>
    <col min="9978" max="9978" width="45.5546875" style="2" bestFit="1" customWidth="1"/>
    <col min="9979" max="10233" width="11.6640625" style="2"/>
    <col min="10234" max="10234" width="45.5546875" style="2" bestFit="1" customWidth="1"/>
    <col min="10235" max="10489" width="11.6640625" style="2"/>
    <col min="10490" max="10490" width="45.5546875" style="2" bestFit="1" customWidth="1"/>
    <col min="10491" max="10745" width="11.6640625" style="2"/>
    <col min="10746" max="10746" width="45.5546875" style="2" bestFit="1" customWidth="1"/>
    <col min="10747" max="11001" width="11.6640625" style="2"/>
    <col min="11002" max="11002" width="45.5546875" style="2" bestFit="1" customWidth="1"/>
    <col min="11003" max="11257" width="11.6640625" style="2"/>
    <col min="11258" max="11258" width="45.5546875" style="2" bestFit="1" customWidth="1"/>
    <col min="11259" max="11513" width="11.6640625" style="2"/>
    <col min="11514" max="11514" width="45.5546875" style="2" bestFit="1" customWidth="1"/>
    <col min="11515" max="11769" width="11.6640625" style="2"/>
    <col min="11770" max="11770" width="45.5546875" style="2" bestFit="1" customWidth="1"/>
    <col min="11771" max="12025" width="11.6640625" style="2"/>
    <col min="12026" max="12026" width="45.5546875" style="2" bestFit="1" customWidth="1"/>
    <col min="12027" max="12281" width="11.6640625" style="2"/>
    <col min="12282" max="12282" width="45.5546875" style="2" bestFit="1" customWidth="1"/>
    <col min="12283" max="12537" width="11.6640625" style="2"/>
    <col min="12538" max="12538" width="45.5546875" style="2" bestFit="1" customWidth="1"/>
    <col min="12539" max="12793" width="11.6640625" style="2"/>
    <col min="12794" max="12794" width="45.5546875" style="2" bestFit="1" customWidth="1"/>
    <col min="12795" max="13049" width="11.6640625" style="2"/>
    <col min="13050" max="13050" width="45.5546875" style="2" bestFit="1" customWidth="1"/>
    <col min="13051" max="13305" width="11.6640625" style="2"/>
    <col min="13306" max="13306" width="45.5546875" style="2" bestFit="1" customWidth="1"/>
    <col min="13307" max="13561" width="11.6640625" style="2"/>
    <col min="13562" max="13562" width="45.5546875" style="2" bestFit="1" customWidth="1"/>
    <col min="13563" max="13817" width="11.6640625" style="2"/>
    <col min="13818" max="13818" width="45.5546875" style="2" bestFit="1" customWidth="1"/>
    <col min="13819" max="14073" width="11.6640625" style="2"/>
    <col min="14074" max="14074" width="45.5546875" style="2" bestFit="1" customWidth="1"/>
    <col min="14075" max="14329" width="11.6640625" style="2"/>
    <col min="14330" max="14330" width="45.5546875" style="2" bestFit="1" customWidth="1"/>
    <col min="14331" max="14585" width="11.6640625" style="2"/>
    <col min="14586" max="14586" width="45.5546875" style="2" bestFit="1" customWidth="1"/>
    <col min="14587" max="14841" width="11.6640625" style="2"/>
    <col min="14842" max="14842" width="45.5546875" style="2" bestFit="1" customWidth="1"/>
    <col min="14843" max="15097" width="11.6640625" style="2"/>
    <col min="15098" max="15098" width="45.5546875" style="2" bestFit="1" customWidth="1"/>
    <col min="15099" max="15353" width="11.6640625" style="2"/>
    <col min="15354" max="15354" width="45.5546875" style="2" bestFit="1" customWidth="1"/>
    <col min="15355" max="15609" width="11.6640625" style="2"/>
    <col min="15610" max="15610" width="45.5546875" style="2" bestFit="1" customWidth="1"/>
    <col min="15611" max="15865" width="11.6640625" style="2"/>
    <col min="15866" max="15866" width="45.5546875" style="2" bestFit="1" customWidth="1"/>
    <col min="15867" max="16121" width="11.6640625" style="2"/>
    <col min="16122" max="16122" width="45.5546875" style="2" bestFit="1" customWidth="1"/>
    <col min="16123" max="16384" width="11.6640625" style="2"/>
  </cols>
  <sheetData>
    <row r="1" spans="1:9" x14ac:dyDescent="0.25">
      <c r="A1" s="1" t="s">
        <v>38</v>
      </c>
      <c r="B1" s="1"/>
      <c r="C1" s="1"/>
      <c r="D1" s="1"/>
      <c r="E1" s="1"/>
      <c r="F1" s="1"/>
    </row>
    <row r="3" spans="1:9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9" x14ac:dyDescent="0.25">
      <c r="A4" s="5" t="s">
        <v>39</v>
      </c>
      <c r="B4" s="6">
        <v>30591119</v>
      </c>
      <c r="C4" s="6">
        <v>36275297</v>
      </c>
      <c r="D4" s="6">
        <v>62935532</v>
      </c>
      <c r="E4" s="6">
        <v>56940601</v>
      </c>
      <c r="F4" s="6">
        <v>50428334.200000003</v>
      </c>
    </row>
    <row r="5" spans="1:9" x14ac:dyDescent="0.25">
      <c r="A5" s="5" t="s">
        <v>40</v>
      </c>
      <c r="B5" s="6"/>
      <c r="C5" s="6"/>
      <c r="D5" s="6"/>
      <c r="E5" s="6"/>
      <c r="F5" s="6"/>
    </row>
    <row r="6" spans="1:9" x14ac:dyDescent="0.25">
      <c r="A6" s="5" t="s">
        <v>41</v>
      </c>
      <c r="B6" s="6">
        <v>-24505756</v>
      </c>
      <c r="C6" s="6">
        <v>-27907182</v>
      </c>
      <c r="D6" s="6">
        <v>-51605596</v>
      </c>
      <c r="E6" s="6">
        <v>-36341735</v>
      </c>
      <c r="F6" s="6">
        <v>-29684169.510000002</v>
      </c>
      <c r="G6" s="12">
        <f t="shared" ref="G6:H6" si="0">D6/D4</f>
        <v>-0.81997552670246754</v>
      </c>
      <c r="H6" s="12">
        <f t="shared" si="0"/>
        <v>-0.63823939968599908</v>
      </c>
      <c r="I6" s="12">
        <f>F6/F4</f>
        <v>-0.58864069140717323</v>
      </c>
    </row>
    <row r="7" spans="1:9" x14ac:dyDescent="0.25">
      <c r="A7" s="5" t="s">
        <v>42</v>
      </c>
      <c r="B7" s="6">
        <v>698523</v>
      </c>
      <c r="C7" s="6">
        <v>649332</v>
      </c>
      <c r="D7" s="6">
        <v>494498</v>
      </c>
      <c r="E7" s="6">
        <v>375024</v>
      </c>
      <c r="F7" s="6">
        <v>425953.06</v>
      </c>
    </row>
    <row r="8" spans="1:9" x14ac:dyDescent="0.25">
      <c r="A8" s="5" t="s">
        <v>43</v>
      </c>
      <c r="B8" s="6">
        <v>-4285464</v>
      </c>
      <c r="C8" s="6">
        <v>-4848498</v>
      </c>
      <c r="D8" s="6">
        <v>-4602955</v>
      </c>
      <c r="E8" s="6">
        <v>-7589158</v>
      </c>
      <c r="F8" s="6">
        <v>-8119738.75</v>
      </c>
    </row>
    <row r="9" spans="1:9" x14ac:dyDescent="0.25">
      <c r="A9" s="5" t="s">
        <v>44</v>
      </c>
      <c r="B9" s="6">
        <v>-1804614</v>
      </c>
      <c r="C9" s="6">
        <v>-1911955</v>
      </c>
      <c r="D9" s="6">
        <v>-3014003</v>
      </c>
      <c r="E9" s="6">
        <v>-7510299</v>
      </c>
      <c r="F9" s="6">
        <v>-7493309.5999999996</v>
      </c>
      <c r="G9" s="12">
        <f t="shared" ref="G9:H9" si="1">D9/D4</f>
        <v>-4.7890323704580746E-2</v>
      </c>
      <c r="H9" s="12">
        <f t="shared" si="1"/>
        <v>-0.13189707990612884</v>
      </c>
      <c r="I9" s="12">
        <f>F9/F4</f>
        <v>-0.14859324066270663</v>
      </c>
    </row>
    <row r="10" spans="1:9" x14ac:dyDescent="0.25">
      <c r="A10" s="5" t="s">
        <v>45</v>
      </c>
      <c r="B10" s="6">
        <v>-120233</v>
      </c>
      <c r="C10" s="6">
        <v>-85764</v>
      </c>
      <c r="D10" s="6">
        <v>-81324</v>
      </c>
      <c r="E10" s="6">
        <v>-137269</v>
      </c>
      <c r="F10" s="6">
        <v>-232311.04000000001</v>
      </c>
    </row>
    <row r="11" spans="1:9" x14ac:dyDescent="0.25">
      <c r="A11" s="5" t="s">
        <v>46</v>
      </c>
      <c r="B11" s="6"/>
      <c r="C11" s="6"/>
      <c r="D11" s="6"/>
      <c r="E11" s="6"/>
      <c r="F11" s="6"/>
    </row>
    <row r="12" spans="1:9" x14ac:dyDescent="0.25">
      <c r="A12" s="5" t="s">
        <v>47</v>
      </c>
      <c r="B12" s="6"/>
      <c r="C12" s="6"/>
      <c r="D12" s="6">
        <v>498315</v>
      </c>
      <c r="E12" s="6"/>
      <c r="F12" s="6"/>
      <c r="H12" s="2" t="s">
        <v>59</v>
      </c>
    </row>
    <row r="13" spans="1:9" x14ac:dyDescent="0.25">
      <c r="A13" s="5" t="s">
        <v>48</v>
      </c>
      <c r="B13" s="6">
        <v>3495</v>
      </c>
      <c r="C13" s="6">
        <v>6400</v>
      </c>
      <c r="D13" s="6">
        <v>5100</v>
      </c>
      <c r="E13" s="6">
        <v>17327</v>
      </c>
      <c r="F13" s="6">
        <v>7108.04</v>
      </c>
    </row>
    <row r="14" spans="1:9" x14ac:dyDescent="0.25">
      <c r="A14" s="5" t="s">
        <v>49</v>
      </c>
      <c r="B14" s="6"/>
      <c r="C14" s="6"/>
      <c r="D14" s="6"/>
      <c r="E14" s="6"/>
      <c r="F14" s="6"/>
    </row>
    <row r="15" spans="1:9" x14ac:dyDescent="0.25">
      <c r="A15" s="3" t="s">
        <v>50</v>
      </c>
      <c r="B15" s="4">
        <f>B4+B5+B6+B7+B8+B9+B10+B11+B12+B13+B14</f>
        <v>577070</v>
      </c>
      <c r="C15" s="4">
        <f>C4+C5+C6+C7+C8+C9+C10+C11+C12+C13+C14</f>
        <v>2177630</v>
      </c>
      <c r="D15" s="4">
        <f>D4+D5+D6+D7+D8+D9+D10+D11+D12+D13+D14</f>
        <v>4629567</v>
      </c>
      <c r="E15" s="4">
        <f>E4+E5+E6+E7+E8+E9+E10+E11+E12+E13+E14</f>
        <v>5754491</v>
      </c>
      <c r="F15" s="4">
        <f>F4+F5+F6+F7+F8+F9+F10+F11+F12+F13+F14</f>
        <v>5331866.4000000004</v>
      </c>
    </row>
    <row r="16" spans="1:9" x14ac:dyDescent="0.25">
      <c r="A16" s="5" t="s">
        <v>51</v>
      </c>
      <c r="B16" s="6">
        <v>153234</v>
      </c>
      <c r="C16" s="6">
        <v>149305</v>
      </c>
      <c r="D16" s="6">
        <v>180876</v>
      </c>
      <c r="E16" s="6">
        <v>1047640</v>
      </c>
      <c r="F16" s="6">
        <v>24261.41</v>
      </c>
    </row>
    <row r="17" spans="1:6" x14ac:dyDescent="0.25">
      <c r="A17" s="5" t="s">
        <v>52</v>
      </c>
      <c r="B17" s="6">
        <v>-184081</v>
      </c>
      <c r="C17" s="6">
        <v>-19413</v>
      </c>
      <c r="D17" s="6">
        <v>-158462</v>
      </c>
      <c r="E17" s="6">
        <v>-36719</v>
      </c>
      <c r="F17" s="6">
        <v>-197043.04</v>
      </c>
    </row>
    <row r="18" spans="1:6" x14ac:dyDescent="0.25">
      <c r="A18" s="5" t="s">
        <v>53</v>
      </c>
      <c r="B18" s="6">
        <v>52992</v>
      </c>
      <c r="C18" s="6">
        <v>9423</v>
      </c>
      <c r="D18" s="6">
        <v>10612</v>
      </c>
      <c r="E18" s="6">
        <v>-49131</v>
      </c>
      <c r="F18" s="6">
        <v>-139531.04999999999</v>
      </c>
    </row>
    <row r="19" spans="1:6" x14ac:dyDescent="0.25">
      <c r="A19" s="5" t="s">
        <v>54</v>
      </c>
      <c r="B19" s="6"/>
      <c r="C19" s="6"/>
      <c r="D19" s="6"/>
      <c r="E19" s="6"/>
      <c r="F19" s="6"/>
    </row>
    <row r="20" spans="1:6" x14ac:dyDescent="0.25">
      <c r="A20" s="3" t="s">
        <v>55</v>
      </c>
      <c r="B20" s="4">
        <f t="shared" ref="B20:E20" si="2">B15+B16+B17+B18+B19</f>
        <v>599215</v>
      </c>
      <c r="C20" s="4">
        <f t="shared" si="2"/>
        <v>2316945</v>
      </c>
      <c r="D20" s="4">
        <f t="shared" si="2"/>
        <v>4662593</v>
      </c>
      <c r="E20" s="4">
        <f t="shared" si="2"/>
        <v>6716281</v>
      </c>
      <c r="F20" s="4">
        <f t="shared" ref="F20" si="3">F15+F16+F17+F18+F19</f>
        <v>5019553.7200000007</v>
      </c>
    </row>
    <row r="21" spans="1:6" x14ac:dyDescent="0.25">
      <c r="A21" s="13" t="s">
        <v>56</v>
      </c>
      <c r="B21" s="9">
        <v>-121458</v>
      </c>
      <c r="C21" s="9">
        <v>-589428</v>
      </c>
      <c r="D21" s="9">
        <v>-1170127</v>
      </c>
      <c r="E21" s="9">
        <v>-1476223</v>
      </c>
      <c r="F21" s="9">
        <v>-1330468.44</v>
      </c>
    </row>
    <row r="22" spans="1:6" x14ac:dyDescent="0.25">
      <c r="A22" s="3" t="s">
        <v>57</v>
      </c>
      <c r="B22" s="4">
        <f t="shared" ref="B22:E22" si="4">B20+B21</f>
        <v>477757</v>
      </c>
      <c r="C22" s="4">
        <f t="shared" si="4"/>
        <v>1727517</v>
      </c>
      <c r="D22" s="4">
        <f t="shared" si="4"/>
        <v>3492466</v>
      </c>
      <c r="E22" s="4">
        <f t="shared" si="4"/>
        <v>5240058</v>
      </c>
      <c r="F22" s="4">
        <f t="shared" ref="F22" si="5">F20+F21</f>
        <v>3689085.2800000007</v>
      </c>
    </row>
    <row r="23" spans="1:6" x14ac:dyDescent="0.25">
      <c r="B23" s="7"/>
      <c r="C23" s="7"/>
      <c r="D23" s="7"/>
      <c r="E23" s="7"/>
      <c r="F23" s="7"/>
    </row>
  </sheetData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CE40-E548-4D4D-B5C3-1F497315C80D}">
  <dimension ref="A1:N48"/>
  <sheetViews>
    <sheetView workbookViewId="0">
      <selection activeCell="D33" sqref="D33"/>
    </sheetView>
  </sheetViews>
  <sheetFormatPr baseColWidth="10" defaultColWidth="11.6640625" defaultRowHeight="13.2" x14ac:dyDescent="0.25"/>
  <cols>
    <col min="1" max="1" width="45.5546875" style="2" bestFit="1" customWidth="1"/>
    <col min="2" max="6" width="11.5546875" style="2" customWidth="1"/>
    <col min="7" max="8" width="12.5546875" style="2" bestFit="1" customWidth="1"/>
    <col min="9" max="13" width="11.6640625" style="2"/>
    <col min="14" max="14" width="29.109375" style="2" customWidth="1"/>
    <col min="15" max="249" width="11.6640625" style="2"/>
    <col min="250" max="250" width="45.5546875" style="2" bestFit="1" customWidth="1"/>
    <col min="251" max="505" width="11.6640625" style="2"/>
    <col min="506" max="506" width="45.5546875" style="2" bestFit="1" customWidth="1"/>
    <col min="507" max="761" width="11.6640625" style="2"/>
    <col min="762" max="762" width="45.5546875" style="2" bestFit="1" customWidth="1"/>
    <col min="763" max="1017" width="11.6640625" style="2"/>
    <col min="1018" max="1018" width="45.5546875" style="2" bestFit="1" customWidth="1"/>
    <col min="1019" max="1273" width="11.6640625" style="2"/>
    <col min="1274" max="1274" width="45.5546875" style="2" bestFit="1" customWidth="1"/>
    <col min="1275" max="1529" width="11.6640625" style="2"/>
    <col min="1530" max="1530" width="45.5546875" style="2" bestFit="1" customWidth="1"/>
    <col min="1531" max="1785" width="11.6640625" style="2"/>
    <col min="1786" max="1786" width="45.5546875" style="2" bestFit="1" customWidth="1"/>
    <col min="1787" max="2041" width="11.6640625" style="2"/>
    <col min="2042" max="2042" width="45.5546875" style="2" bestFit="1" customWidth="1"/>
    <col min="2043" max="2297" width="11.6640625" style="2"/>
    <col min="2298" max="2298" width="45.5546875" style="2" bestFit="1" customWidth="1"/>
    <col min="2299" max="2553" width="11.6640625" style="2"/>
    <col min="2554" max="2554" width="45.5546875" style="2" bestFit="1" customWidth="1"/>
    <col min="2555" max="2809" width="11.6640625" style="2"/>
    <col min="2810" max="2810" width="45.5546875" style="2" bestFit="1" customWidth="1"/>
    <col min="2811" max="3065" width="11.6640625" style="2"/>
    <col min="3066" max="3066" width="45.5546875" style="2" bestFit="1" customWidth="1"/>
    <col min="3067" max="3321" width="11.6640625" style="2"/>
    <col min="3322" max="3322" width="45.5546875" style="2" bestFit="1" customWidth="1"/>
    <col min="3323" max="3577" width="11.6640625" style="2"/>
    <col min="3578" max="3578" width="45.5546875" style="2" bestFit="1" customWidth="1"/>
    <col min="3579" max="3833" width="11.6640625" style="2"/>
    <col min="3834" max="3834" width="45.5546875" style="2" bestFit="1" customWidth="1"/>
    <col min="3835" max="4089" width="11.6640625" style="2"/>
    <col min="4090" max="4090" width="45.5546875" style="2" bestFit="1" customWidth="1"/>
    <col min="4091" max="4345" width="11.6640625" style="2"/>
    <col min="4346" max="4346" width="45.5546875" style="2" bestFit="1" customWidth="1"/>
    <col min="4347" max="4601" width="11.6640625" style="2"/>
    <col min="4602" max="4602" width="45.5546875" style="2" bestFit="1" customWidth="1"/>
    <col min="4603" max="4857" width="11.6640625" style="2"/>
    <col min="4858" max="4858" width="45.5546875" style="2" bestFit="1" customWidth="1"/>
    <col min="4859" max="5113" width="11.6640625" style="2"/>
    <col min="5114" max="5114" width="45.5546875" style="2" bestFit="1" customWidth="1"/>
    <col min="5115" max="5369" width="11.6640625" style="2"/>
    <col min="5370" max="5370" width="45.5546875" style="2" bestFit="1" customWidth="1"/>
    <col min="5371" max="5625" width="11.6640625" style="2"/>
    <col min="5626" max="5626" width="45.5546875" style="2" bestFit="1" customWidth="1"/>
    <col min="5627" max="5881" width="11.6640625" style="2"/>
    <col min="5882" max="5882" width="45.5546875" style="2" bestFit="1" customWidth="1"/>
    <col min="5883" max="6137" width="11.6640625" style="2"/>
    <col min="6138" max="6138" width="45.5546875" style="2" bestFit="1" customWidth="1"/>
    <col min="6139" max="6393" width="11.6640625" style="2"/>
    <col min="6394" max="6394" width="45.5546875" style="2" bestFit="1" customWidth="1"/>
    <col min="6395" max="6649" width="11.6640625" style="2"/>
    <col min="6650" max="6650" width="45.5546875" style="2" bestFit="1" customWidth="1"/>
    <col min="6651" max="6905" width="11.6640625" style="2"/>
    <col min="6906" max="6906" width="45.5546875" style="2" bestFit="1" customWidth="1"/>
    <col min="6907" max="7161" width="11.6640625" style="2"/>
    <col min="7162" max="7162" width="45.5546875" style="2" bestFit="1" customWidth="1"/>
    <col min="7163" max="7417" width="11.6640625" style="2"/>
    <col min="7418" max="7418" width="45.5546875" style="2" bestFit="1" customWidth="1"/>
    <col min="7419" max="7673" width="11.6640625" style="2"/>
    <col min="7674" max="7674" width="45.5546875" style="2" bestFit="1" customWidth="1"/>
    <col min="7675" max="7929" width="11.6640625" style="2"/>
    <col min="7930" max="7930" width="45.5546875" style="2" bestFit="1" customWidth="1"/>
    <col min="7931" max="8185" width="11.6640625" style="2"/>
    <col min="8186" max="8186" width="45.5546875" style="2" bestFit="1" customWidth="1"/>
    <col min="8187" max="8441" width="11.6640625" style="2"/>
    <col min="8442" max="8442" width="45.5546875" style="2" bestFit="1" customWidth="1"/>
    <col min="8443" max="8697" width="11.6640625" style="2"/>
    <col min="8698" max="8698" width="45.5546875" style="2" bestFit="1" customWidth="1"/>
    <col min="8699" max="8953" width="11.6640625" style="2"/>
    <col min="8954" max="8954" width="45.5546875" style="2" bestFit="1" customWidth="1"/>
    <col min="8955" max="9209" width="11.6640625" style="2"/>
    <col min="9210" max="9210" width="45.5546875" style="2" bestFit="1" customWidth="1"/>
    <col min="9211" max="9465" width="11.6640625" style="2"/>
    <col min="9466" max="9466" width="45.5546875" style="2" bestFit="1" customWidth="1"/>
    <col min="9467" max="9721" width="11.6640625" style="2"/>
    <col min="9722" max="9722" width="45.5546875" style="2" bestFit="1" customWidth="1"/>
    <col min="9723" max="9977" width="11.6640625" style="2"/>
    <col min="9978" max="9978" width="45.5546875" style="2" bestFit="1" customWidth="1"/>
    <col min="9979" max="10233" width="11.6640625" style="2"/>
    <col min="10234" max="10234" width="45.5546875" style="2" bestFit="1" customWidth="1"/>
    <col min="10235" max="10489" width="11.6640625" style="2"/>
    <col min="10490" max="10490" width="45.5546875" style="2" bestFit="1" customWidth="1"/>
    <col min="10491" max="10745" width="11.6640625" style="2"/>
    <col min="10746" max="10746" width="45.5546875" style="2" bestFit="1" customWidth="1"/>
    <col min="10747" max="11001" width="11.6640625" style="2"/>
    <col min="11002" max="11002" width="45.5546875" style="2" bestFit="1" customWidth="1"/>
    <col min="11003" max="11257" width="11.6640625" style="2"/>
    <col min="11258" max="11258" width="45.5546875" style="2" bestFit="1" customWidth="1"/>
    <col min="11259" max="11513" width="11.6640625" style="2"/>
    <col min="11514" max="11514" width="45.5546875" style="2" bestFit="1" customWidth="1"/>
    <col min="11515" max="11769" width="11.6640625" style="2"/>
    <col min="11770" max="11770" width="45.5546875" style="2" bestFit="1" customWidth="1"/>
    <col min="11771" max="12025" width="11.6640625" style="2"/>
    <col min="12026" max="12026" width="45.5546875" style="2" bestFit="1" customWidth="1"/>
    <col min="12027" max="12281" width="11.6640625" style="2"/>
    <col min="12282" max="12282" width="45.5546875" style="2" bestFit="1" customWidth="1"/>
    <col min="12283" max="12537" width="11.6640625" style="2"/>
    <col min="12538" max="12538" width="45.5546875" style="2" bestFit="1" customWidth="1"/>
    <col min="12539" max="12793" width="11.6640625" style="2"/>
    <col min="12794" max="12794" width="45.5546875" style="2" bestFit="1" customWidth="1"/>
    <col min="12795" max="13049" width="11.6640625" style="2"/>
    <col min="13050" max="13050" width="45.5546875" style="2" bestFit="1" customWidth="1"/>
    <col min="13051" max="13305" width="11.6640625" style="2"/>
    <col min="13306" max="13306" width="45.5546875" style="2" bestFit="1" customWidth="1"/>
    <col min="13307" max="13561" width="11.6640625" style="2"/>
    <col min="13562" max="13562" width="45.5546875" style="2" bestFit="1" customWidth="1"/>
    <col min="13563" max="13817" width="11.6640625" style="2"/>
    <col min="13818" max="13818" width="45.5546875" style="2" bestFit="1" customWidth="1"/>
    <col min="13819" max="14073" width="11.6640625" style="2"/>
    <col min="14074" max="14074" width="45.5546875" style="2" bestFit="1" customWidth="1"/>
    <col min="14075" max="14329" width="11.6640625" style="2"/>
    <col min="14330" max="14330" width="45.5546875" style="2" bestFit="1" customWidth="1"/>
    <col min="14331" max="14585" width="11.6640625" style="2"/>
    <col min="14586" max="14586" width="45.5546875" style="2" bestFit="1" customWidth="1"/>
    <col min="14587" max="14841" width="11.6640625" style="2"/>
    <col min="14842" max="14842" width="45.5546875" style="2" bestFit="1" customWidth="1"/>
    <col min="14843" max="15097" width="11.6640625" style="2"/>
    <col min="15098" max="15098" width="45.5546875" style="2" bestFit="1" customWidth="1"/>
    <col min="15099" max="15353" width="11.6640625" style="2"/>
    <col min="15354" max="15354" width="45.5546875" style="2" bestFit="1" customWidth="1"/>
    <col min="15355" max="15609" width="11.6640625" style="2"/>
    <col min="15610" max="15610" width="45.5546875" style="2" bestFit="1" customWidth="1"/>
    <col min="15611" max="15865" width="11.6640625" style="2"/>
    <col min="15866" max="15866" width="45.5546875" style="2" bestFit="1" customWidth="1"/>
    <col min="15867" max="16121" width="11.6640625" style="2"/>
    <col min="16122" max="16122" width="45.5546875" style="2" bestFit="1" customWidth="1"/>
    <col min="16123" max="16384" width="11.6640625" style="2"/>
  </cols>
  <sheetData>
    <row r="1" spans="1:8" x14ac:dyDescent="0.25">
      <c r="A1" s="1" t="s">
        <v>38</v>
      </c>
      <c r="B1" s="1"/>
      <c r="C1" s="1"/>
      <c r="D1" s="1"/>
      <c r="E1" s="1"/>
      <c r="F1" s="1"/>
    </row>
    <row r="3" spans="1:8" x14ac:dyDescent="0.25">
      <c r="A3" s="3" t="s">
        <v>1</v>
      </c>
      <c r="B3" s="3">
        <v>2018</v>
      </c>
      <c r="C3" s="3">
        <v>2019</v>
      </c>
      <c r="D3" s="3">
        <v>2020</v>
      </c>
      <c r="E3" s="3">
        <v>2021</v>
      </c>
      <c r="F3" s="3">
        <v>2022</v>
      </c>
    </row>
    <row r="4" spans="1:8" x14ac:dyDescent="0.25">
      <c r="A4" s="5" t="s">
        <v>39</v>
      </c>
      <c r="B4" s="6">
        <v>14175032</v>
      </c>
      <c r="C4" s="6">
        <v>15084250</v>
      </c>
      <c r="D4" s="6">
        <v>10507821</v>
      </c>
      <c r="E4" s="6">
        <v>9339767</v>
      </c>
      <c r="F4" s="6">
        <v>7225733</v>
      </c>
      <c r="H4" s="15">
        <f>(F4-E4)/E4</f>
        <v>-0.22634761659471805</v>
      </c>
    </row>
    <row r="5" spans="1:8" x14ac:dyDescent="0.25">
      <c r="A5" s="5" t="s">
        <v>40</v>
      </c>
      <c r="B5" s="6"/>
      <c r="C5" s="6"/>
      <c r="D5" s="6"/>
      <c r="E5" s="6"/>
      <c r="F5" s="6"/>
    </row>
    <row r="6" spans="1:8" x14ac:dyDescent="0.25">
      <c r="A6" s="5" t="s">
        <v>41</v>
      </c>
      <c r="B6" s="6">
        <v>-3078853</v>
      </c>
      <c r="C6" s="6">
        <v>-2774939</v>
      </c>
      <c r="D6" s="6">
        <v>-907800</v>
      </c>
      <c r="E6" s="6">
        <v>-1244850</v>
      </c>
      <c r="F6" s="6">
        <v>-2212833</v>
      </c>
    </row>
    <row r="7" spans="1:8" x14ac:dyDescent="0.25">
      <c r="A7" s="5" t="s">
        <v>42</v>
      </c>
      <c r="B7" s="6"/>
      <c r="C7" s="6"/>
      <c r="D7" s="6">
        <v>520147</v>
      </c>
      <c r="E7" s="6"/>
      <c r="F7" s="6"/>
    </row>
    <row r="8" spans="1:8" x14ac:dyDescent="0.25">
      <c r="A8" s="5" t="s">
        <v>43</v>
      </c>
      <c r="B8" s="6">
        <v>-6498849</v>
      </c>
      <c r="C8" s="6">
        <v>-7549155</v>
      </c>
      <c r="D8" s="6">
        <v>-6752584</v>
      </c>
      <c r="E8" s="6">
        <v>-4186778</v>
      </c>
      <c r="F8" s="6">
        <v>-2784096</v>
      </c>
      <c r="G8" s="12">
        <f>E8/$E$4</f>
        <v>-0.44827435202612659</v>
      </c>
      <c r="H8" s="12">
        <f>F8/$F$4</f>
        <v>-0.38530291667295208</v>
      </c>
    </row>
    <row r="9" spans="1:8" x14ac:dyDescent="0.25">
      <c r="A9" s="5" t="s">
        <v>44</v>
      </c>
      <c r="B9" s="6">
        <v>-4197927</v>
      </c>
      <c r="C9" s="6">
        <v>-4422426</v>
      </c>
      <c r="D9" s="6">
        <v>-3308146</v>
      </c>
      <c r="E9" s="6">
        <v>-3521544</v>
      </c>
      <c r="F9" s="6">
        <v>-1855704</v>
      </c>
      <c r="G9" s="12">
        <f>E9/$E$4</f>
        <v>-0.3770483781875929</v>
      </c>
      <c r="H9" s="12">
        <f>F9/$F$4</f>
        <v>-0.25681878918028106</v>
      </c>
    </row>
    <row r="10" spans="1:8" x14ac:dyDescent="0.25">
      <c r="A10" s="5" t="s">
        <v>45</v>
      </c>
      <c r="B10" s="6">
        <v>-39922</v>
      </c>
      <c r="C10" s="6">
        <v>-35544</v>
      </c>
      <c r="D10" s="6">
        <v>-34474</v>
      </c>
      <c r="E10" s="6">
        <v>-35202</v>
      </c>
      <c r="F10" s="6">
        <v>-16687</v>
      </c>
    </row>
    <row r="11" spans="1:8" x14ac:dyDescent="0.25">
      <c r="A11" s="5" t="s">
        <v>46</v>
      </c>
      <c r="B11" s="6">
        <v>1333</v>
      </c>
      <c r="C11" s="6">
        <v>1600</v>
      </c>
      <c r="D11" s="6">
        <v>1600</v>
      </c>
      <c r="E11" s="6">
        <v>1600</v>
      </c>
      <c r="F11" s="6">
        <v>1867</v>
      </c>
    </row>
    <row r="12" spans="1:8" x14ac:dyDescent="0.25">
      <c r="A12" s="5" t="s">
        <v>47</v>
      </c>
      <c r="B12" s="6"/>
      <c r="C12" s="6"/>
      <c r="D12" s="6"/>
      <c r="E12" s="6">
        <v>773114</v>
      </c>
      <c r="F12" s="6"/>
    </row>
    <row r="13" spans="1:8" x14ac:dyDescent="0.25">
      <c r="A13" s="5" t="s">
        <v>48</v>
      </c>
      <c r="B13" s="6">
        <v>2956</v>
      </c>
      <c r="C13" s="6"/>
      <c r="D13" s="6"/>
      <c r="E13" s="6"/>
      <c r="F13" s="6"/>
    </row>
    <row r="14" spans="1:8" x14ac:dyDescent="0.25">
      <c r="A14" s="5" t="s">
        <v>49</v>
      </c>
      <c r="B14" s="6"/>
      <c r="C14" s="6"/>
      <c r="D14" s="6"/>
      <c r="E14" s="6"/>
      <c r="F14" s="6"/>
    </row>
    <row r="15" spans="1:8" x14ac:dyDescent="0.25">
      <c r="A15" s="3" t="s">
        <v>50</v>
      </c>
      <c r="B15" s="4">
        <f>B4+B5+B6+B7+B8+B9+B10+B11+B12+B13+B14</f>
        <v>363770</v>
      </c>
      <c r="C15" s="4">
        <f>C4+C5+C6+C7+C8+C9+C10+C11+C12+C13+C14</f>
        <v>303786</v>
      </c>
      <c r="D15" s="4">
        <f>D4+D5+D6+D7+D8+D9+D10+D11+D12+D13+D14</f>
        <v>26564</v>
      </c>
      <c r="E15" s="4">
        <f>E4+E5+E6+E7+E8+E9+E10+E11+E12+E13+E14</f>
        <v>1126107</v>
      </c>
      <c r="F15" s="4">
        <f>F4+F5+F6+F7+F8+F9+F10+F11+F12+F13+F14</f>
        <v>358280</v>
      </c>
    </row>
    <row r="16" spans="1:8" x14ac:dyDescent="0.25">
      <c r="A16" s="5" t="s">
        <v>51</v>
      </c>
      <c r="B16" s="6">
        <v>2411</v>
      </c>
      <c r="C16" s="6">
        <v>21462</v>
      </c>
      <c r="D16" s="6">
        <v>33506</v>
      </c>
      <c r="E16" s="6">
        <v>19412</v>
      </c>
      <c r="F16" s="6">
        <v>82</v>
      </c>
    </row>
    <row r="17" spans="1:14" x14ac:dyDescent="0.25">
      <c r="A17" s="5" t="s">
        <v>52</v>
      </c>
      <c r="B17" s="6">
        <v>-18275</v>
      </c>
      <c r="C17" s="6">
        <v>-730</v>
      </c>
      <c r="D17" s="6">
        <v>-25448</v>
      </c>
      <c r="E17" s="6">
        <v>-20034</v>
      </c>
      <c r="F17" s="6">
        <v>-4866</v>
      </c>
    </row>
    <row r="18" spans="1:14" x14ac:dyDescent="0.25">
      <c r="A18" s="5" t="s">
        <v>53</v>
      </c>
      <c r="B18" s="6"/>
      <c r="C18" s="6"/>
      <c r="D18" s="6">
        <v>-4856</v>
      </c>
      <c r="E18" s="6"/>
      <c r="F18" s="6">
        <v>-4</v>
      </c>
    </row>
    <row r="19" spans="1:14" x14ac:dyDescent="0.25">
      <c r="A19" s="5" t="s">
        <v>54</v>
      </c>
      <c r="B19" s="6"/>
      <c r="C19" s="6"/>
      <c r="D19" s="6"/>
      <c r="E19" s="6"/>
      <c r="F19" s="6"/>
    </row>
    <row r="20" spans="1:14" x14ac:dyDescent="0.25">
      <c r="A20" s="3" t="s">
        <v>55</v>
      </c>
      <c r="B20" s="4">
        <f t="shared" ref="B20:F20" si="0">B15+B16+B17+B18+B19</f>
        <v>347906</v>
      </c>
      <c r="C20" s="4">
        <f t="shared" si="0"/>
        <v>324518</v>
      </c>
      <c r="D20" s="4">
        <f t="shared" si="0"/>
        <v>29766</v>
      </c>
      <c r="E20" s="4">
        <f t="shared" si="0"/>
        <v>1125485</v>
      </c>
      <c r="F20" s="4">
        <f t="shared" si="0"/>
        <v>353492</v>
      </c>
    </row>
    <row r="21" spans="1:14" x14ac:dyDescent="0.25">
      <c r="A21" s="13" t="s">
        <v>56</v>
      </c>
      <c r="B21" s="9">
        <v>-87655</v>
      </c>
      <c r="C21" s="9">
        <v>-81506</v>
      </c>
      <c r="D21" s="9">
        <v>-7546</v>
      </c>
      <c r="E21" s="9">
        <v>-278149</v>
      </c>
      <c r="F21" s="9">
        <v>-92249</v>
      </c>
    </row>
    <row r="22" spans="1:14" x14ac:dyDescent="0.25">
      <c r="A22" s="3" t="s">
        <v>57</v>
      </c>
      <c r="B22" s="4">
        <f t="shared" ref="B22:F22" si="1">B20+B21</f>
        <v>260251</v>
      </c>
      <c r="C22" s="4">
        <f t="shared" si="1"/>
        <v>243012</v>
      </c>
      <c r="D22" s="4">
        <f t="shared" si="1"/>
        <v>22220</v>
      </c>
      <c r="E22" s="4">
        <f t="shared" si="1"/>
        <v>847336</v>
      </c>
      <c r="F22" s="4">
        <f t="shared" si="1"/>
        <v>261243</v>
      </c>
    </row>
    <row r="23" spans="1:14" x14ac:dyDescent="0.25">
      <c r="B23" s="7"/>
      <c r="C23" s="7"/>
      <c r="D23" s="7"/>
      <c r="E23" s="7"/>
      <c r="F23" s="7"/>
    </row>
    <row r="27" spans="1:14" ht="14.4" x14ac:dyDescent="0.3">
      <c r="A27" t="s">
        <v>61</v>
      </c>
      <c r="B27" s="16">
        <f>F15-F10</f>
        <v>374967</v>
      </c>
      <c r="I27" t="s">
        <v>62</v>
      </c>
      <c r="J27" t="s">
        <v>63</v>
      </c>
      <c r="K27" t="s">
        <v>64</v>
      </c>
      <c r="L27" t="s">
        <v>65</v>
      </c>
      <c r="M27" t="s">
        <v>66</v>
      </c>
      <c r="N27" t="s">
        <v>67</v>
      </c>
    </row>
    <row r="28" spans="1:14" ht="15" thickBot="1" x14ac:dyDescent="0.35">
      <c r="A28" t="s">
        <v>68</v>
      </c>
      <c r="B28">
        <f>N48</f>
        <v>8.14</v>
      </c>
      <c r="I28" t="s">
        <v>69</v>
      </c>
      <c r="J28" t="s">
        <v>70</v>
      </c>
      <c r="K28" t="s">
        <v>71</v>
      </c>
      <c r="L28" t="s">
        <v>72</v>
      </c>
      <c r="M28" t="s">
        <v>73</v>
      </c>
      <c r="N28">
        <v>10.7</v>
      </c>
    </row>
    <row r="29" spans="1:14" ht="15" thickBot="1" x14ac:dyDescent="0.35">
      <c r="A29" s="17" t="s">
        <v>74</v>
      </c>
      <c r="B29" s="18">
        <f>+B27*B28</f>
        <v>3052231.3800000004</v>
      </c>
      <c r="I29" t="s">
        <v>75</v>
      </c>
      <c r="J29" t="s">
        <v>76</v>
      </c>
      <c r="K29" t="s">
        <v>71</v>
      </c>
      <c r="L29" t="s">
        <v>77</v>
      </c>
      <c r="M29" t="s">
        <v>73</v>
      </c>
      <c r="N29">
        <v>5.82</v>
      </c>
    </row>
    <row r="30" spans="1:14" ht="14.4" x14ac:dyDescent="0.3">
      <c r="A30" t="s">
        <v>78</v>
      </c>
      <c r="B30" s="16">
        <v>0</v>
      </c>
      <c r="I30" t="s">
        <v>79</v>
      </c>
      <c r="J30" t="s">
        <v>80</v>
      </c>
      <c r="K30" t="s">
        <v>71</v>
      </c>
      <c r="L30" t="s">
        <v>81</v>
      </c>
      <c r="M30" t="s">
        <v>73</v>
      </c>
      <c r="N30">
        <v>8.08</v>
      </c>
    </row>
    <row r="31" spans="1:14" ht="14.4" x14ac:dyDescent="0.3">
      <c r="A31" t="s">
        <v>82</v>
      </c>
      <c r="B31" s="16">
        <f>[2]Balances!F30</f>
        <v>261243</v>
      </c>
      <c r="I31" t="s">
        <v>83</v>
      </c>
      <c r="J31" t="s">
        <v>84</v>
      </c>
      <c r="K31" t="s">
        <v>71</v>
      </c>
      <c r="L31" t="s">
        <v>85</v>
      </c>
      <c r="M31" t="s">
        <v>73</v>
      </c>
      <c r="N31">
        <v>3.26</v>
      </c>
    </row>
    <row r="32" spans="1:14" ht="15" thickBot="1" x14ac:dyDescent="0.35">
      <c r="A32" t="s">
        <v>86</v>
      </c>
      <c r="B32" s="16">
        <f>+[2]Balances!B7</f>
        <v>0</v>
      </c>
      <c r="I32" t="s">
        <v>87</v>
      </c>
      <c r="J32" t="s">
        <v>88</v>
      </c>
      <c r="K32" t="s">
        <v>71</v>
      </c>
      <c r="L32" t="s">
        <v>89</v>
      </c>
      <c r="M32" t="s">
        <v>73</v>
      </c>
      <c r="N32">
        <v>1.69</v>
      </c>
    </row>
    <row r="33" spans="1:14" ht="15" thickBot="1" x14ac:dyDescent="0.35">
      <c r="A33" s="17" t="s">
        <v>90</v>
      </c>
      <c r="B33" s="18">
        <f>SUM(B29:B32)</f>
        <v>3313474.3800000004</v>
      </c>
      <c r="I33" t="s">
        <v>91</v>
      </c>
      <c r="J33" t="s">
        <v>92</v>
      </c>
      <c r="K33" t="s">
        <v>71</v>
      </c>
      <c r="L33" t="s">
        <v>93</v>
      </c>
      <c r="M33" t="s">
        <v>73</v>
      </c>
      <c r="N33">
        <v>9.08</v>
      </c>
    </row>
    <row r="34" spans="1:14" ht="14.4" x14ac:dyDescent="0.3">
      <c r="A34" t="s">
        <v>94</v>
      </c>
      <c r="B34" s="19">
        <f>+B33</f>
        <v>3313474.3800000004</v>
      </c>
      <c r="I34" t="s">
        <v>95</v>
      </c>
      <c r="J34" t="s">
        <v>96</v>
      </c>
      <c r="K34" t="s">
        <v>71</v>
      </c>
      <c r="L34" t="s">
        <v>93</v>
      </c>
      <c r="M34" t="s">
        <v>73</v>
      </c>
      <c r="N34">
        <v>6.98</v>
      </c>
    </row>
    <row r="35" spans="1:14" ht="15" thickBot="1" x14ac:dyDescent="0.35">
      <c r="A35" t="s">
        <v>97</v>
      </c>
      <c r="B35" s="19">
        <v>0</v>
      </c>
      <c r="I35" t="s">
        <v>98</v>
      </c>
      <c r="J35" t="s">
        <v>99</v>
      </c>
      <c r="K35" t="s">
        <v>71</v>
      </c>
      <c r="L35" t="s">
        <v>100</v>
      </c>
      <c r="M35" t="s">
        <v>73</v>
      </c>
      <c r="N35">
        <v>2.97</v>
      </c>
    </row>
    <row r="36" spans="1:14" ht="15" thickBot="1" x14ac:dyDescent="0.35">
      <c r="A36" s="20" t="s">
        <v>101</v>
      </c>
      <c r="B36" s="21">
        <f>+B34-B35</f>
        <v>3313474.3800000004</v>
      </c>
      <c r="C36" s="2" t="s">
        <v>102</v>
      </c>
      <c r="I36" t="s">
        <v>103</v>
      </c>
      <c r="J36" t="s">
        <v>104</v>
      </c>
      <c r="K36" t="s">
        <v>71</v>
      </c>
      <c r="L36" t="s">
        <v>105</v>
      </c>
      <c r="M36" t="s">
        <v>73</v>
      </c>
      <c r="N36">
        <v>6.15</v>
      </c>
    </row>
    <row r="37" spans="1:14" ht="14.4" x14ac:dyDescent="0.3">
      <c r="I37" t="s">
        <v>106</v>
      </c>
      <c r="J37" t="s">
        <v>107</v>
      </c>
      <c r="K37" t="s">
        <v>71</v>
      </c>
      <c r="L37" t="s">
        <v>108</v>
      </c>
      <c r="M37" t="s">
        <v>73</v>
      </c>
      <c r="N37">
        <v>10.4</v>
      </c>
    </row>
    <row r="38" spans="1:14" ht="14.4" x14ac:dyDescent="0.3">
      <c r="I38" t="s">
        <v>109</v>
      </c>
      <c r="J38" t="s">
        <v>110</v>
      </c>
      <c r="K38" t="s">
        <v>71</v>
      </c>
      <c r="L38" t="s">
        <v>111</v>
      </c>
      <c r="M38" t="s">
        <v>73</v>
      </c>
      <c r="N38">
        <v>4.5199999999999996</v>
      </c>
    </row>
    <row r="39" spans="1:14" ht="14.4" x14ac:dyDescent="0.3">
      <c r="I39" t="s">
        <v>112</v>
      </c>
      <c r="J39" t="s">
        <v>113</v>
      </c>
      <c r="K39" t="s">
        <v>71</v>
      </c>
      <c r="L39" t="s">
        <v>114</v>
      </c>
      <c r="M39" t="s">
        <v>73</v>
      </c>
      <c r="N39">
        <v>8.1999999999999993</v>
      </c>
    </row>
    <row r="40" spans="1:14" ht="14.4" x14ac:dyDescent="0.3">
      <c r="I40" t="s">
        <v>115</v>
      </c>
      <c r="J40" t="s">
        <v>116</v>
      </c>
      <c r="K40" t="s">
        <v>71</v>
      </c>
      <c r="L40" t="s">
        <v>117</v>
      </c>
      <c r="M40" t="s">
        <v>73</v>
      </c>
      <c r="N40">
        <v>8.73</v>
      </c>
    </row>
    <row r="41" spans="1:14" ht="14.4" x14ac:dyDescent="0.3">
      <c r="I41" t="s">
        <v>118</v>
      </c>
      <c r="J41" t="s">
        <v>119</v>
      </c>
      <c r="K41" t="s">
        <v>71</v>
      </c>
      <c r="L41" t="s">
        <v>120</v>
      </c>
      <c r="M41" t="s">
        <v>73</v>
      </c>
      <c r="N41">
        <v>3.52</v>
      </c>
    </row>
    <row r="42" spans="1:14" ht="14.4" x14ac:dyDescent="0.3">
      <c r="I42" t="s">
        <v>121</v>
      </c>
      <c r="J42" t="s">
        <v>122</v>
      </c>
      <c r="K42" t="s">
        <v>71</v>
      </c>
      <c r="L42" t="s">
        <v>123</v>
      </c>
      <c r="M42" t="s">
        <v>73</v>
      </c>
      <c r="N42">
        <v>10.32</v>
      </c>
    </row>
    <row r="43" spans="1:14" ht="14.4" x14ac:dyDescent="0.3">
      <c r="I43" t="s">
        <v>124</v>
      </c>
      <c r="J43" t="s">
        <v>125</v>
      </c>
      <c r="K43" t="s">
        <v>71</v>
      </c>
      <c r="L43" t="s">
        <v>126</v>
      </c>
      <c r="M43" t="s">
        <v>73</v>
      </c>
      <c r="N43">
        <v>9.19</v>
      </c>
    </row>
    <row r="44" spans="1:14" ht="14.4" x14ac:dyDescent="0.3">
      <c r="I44" t="s">
        <v>127</v>
      </c>
      <c r="J44" t="s">
        <v>128</v>
      </c>
      <c r="K44" t="s">
        <v>71</v>
      </c>
      <c r="L44" t="s">
        <v>93</v>
      </c>
      <c r="M44" t="s">
        <v>73</v>
      </c>
      <c r="N44">
        <v>4.58</v>
      </c>
    </row>
    <row r="45" spans="1:14" ht="14.4" x14ac:dyDescent="0.3">
      <c r="I45" t="s">
        <v>129</v>
      </c>
      <c r="J45" t="s">
        <v>130</v>
      </c>
      <c r="K45" t="s">
        <v>71</v>
      </c>
      <c r="L45" t="s">
        <v>100</v>
      </c>
      <c r="M45" t="s">
        <v>73</v>
      </c>
      <c r="N45">
        <v>8.2799999999999994</v>
      </c>
    </row>
    <row r="46" spans="1:14" ht="14.4" x14ac:dyDescent="0.3">
      <c r="I46" t="s">
        <v>131</v>
      </c>
      <c r="J46" t="s">
        <v>132</v>
      </c>
      <c r="K46" t="s">
        <v>71</v>
      </c>
      <c r="L46" t="s">
        <v>133</v>
      </c>
      <c r="M46" t="s">
        <v>73</v>
      </c>
      <c r="N46">
        <v>10.97</v>
      </c>
    </row>
    <row r="47" spans="1:14" ht="14.4" x14ac:dyDescent="0.3">
      <c r="I47"/>
      <c r="J47"/>
      <c r="K47"/>
      <c r="L47"/>
      <c r="M47"/>
      <c r="N47">
        <v>10.57</v>
      </c>
    </row>
    <row r="48" spans="1:14" ht="14.4" x14ac:dyDescent="0.3">
      <c r="I48"/>
      <c r="J48"/>
      <c r="K48"/>
      <c r="L48"/>
      <c r="M48" t="s">
        <v>134</v>
      </c>
      <c r="N48">
        <f>MEDIAN(N28:N47)</f>
        <v>8.14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9D66-15DB-448E-8CCB-7363212A31AE}">
  <dimension ref="A2:F26"/>
  <sheetViews>
    <sheetView workbookViewId="0">
      <selection activeCell="J31" sqref="J31"/>
    </sheetView>
  </sheetViews>
  <sheetFormatPr baseColWidth="10" defaultColWidth="8.88671875" defaultRowHeight="14.4" x14ac:dyDescent="0.3"/>
  <cols>
    <col min="1" max="1" width="41.88671875" customWidth="1"/>
  </cols>
  <sheetData>
    <row r="2" spans="1:6" x14ac:dyDescent="0.3">
      <c r="A2" s="1" t="s">
        <v>18</v>
      </c>
      <c r="B2" s="11"/>
      <c r="C2" s="11"/>
      <c r="D2" s="11"/>
      <c r="E2" s="11"/>
      <c r="F2" s="11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3" t="s">
        <v>1</v>
      </c>
      <c r="B4" s="3">
        <v>2018</v>
      </c>
      <c r="C4" s="3">
        <v>2019</v>
      </c>
      <c r="D4" s="3">
        <v>2020</v>
      </c>
      <c r="E4" s="3">
        <v>2021</v>
      </c>
      <c r="F4" s="3">
        <v>2022</v>
      </c>
    </row>
    <row r="5" spans="1:6" x14ac:dyDescent="0.3">
      <c r="A5" s="3" t="s">
        <v>19</v>
      </c>
      <c r="B5" s="4">
        <f t="shared" ref="B5:F5" si="0">+B6+B12</f>
        <v>692369</v>
      </c>
      <c r="C5" s="4">
        <f t="shared" si="0"/>
        <v>951021</v>
      </c>
      <c r="D5" s="4">
        <f t="shared" si="0"/>
        <v>1192434</v>
      </c>
      <c r="E5" s="4">
        <f t="shared" si="0"/>
        <v>242109</v>
      </c>
      <c r="F5" s="4">
        <f t="shared" si="0"/>
        <v>1087579</v>
      </c>
    </row>
    <row r="6" spans="1:6" x14ac:dyDescent="0.3">
      <c r="A6" s="5" t="s">
        <v>20</v>
      </c>
      <c r="B6" s="6">
        <f>B7+B8+B9+B10+B11</f>
        <v>685702</v>
      </c>
      <c r="C6" s="6">
        <f>C7+C8+C9+C10+C11</f>
        <v>945954</v>
      </c>
      <c r="D6" s="6">
        <f>D7+D8+D9+D10+D11</f>
        <v>1188967</v>
      </c>
      <c r="E6" s="6">
        <f>E7+E8+E9+E10+E11</f>
        <v>240242</v>
      </c>
      <c r="F6" s="6">
        <f>F7+F8+F9+F10+F11</f>
        <v>1087579</v>
      </c>
    </row>
    <row r="7" spans="1:6" x14ac:dyDescent="0.3">
      <c r="A7" s="8" t="s">
        <v>21</v>
      </c>
      <c r="B7" s="9">
        <v>180000</v>
      </c>
      <c r="C7" s="9">
        <v>180000</v>
      </c>
      <c r="D7" s="9">
        <v>180000</v>
      </c>
      <c r="E7" s="9">
        <v>180000</v>
      </c>
      <c r="F7" s="9">
        <v>180000</v>
      </c>
    </row>
    <row r="8" spans="1:6" x14ac:dyDescent="0.3">
      <c r="A8" s="8" t="s">
        <v>22</v>
      </c>
      <c r="B8" s="9"/>
      <c r="C8" s="9"/>
      <c r="D8" s="9"/>
      <c r="E8" s="9"/>
      <c r="F8" s="9"/>
    </row>
    <row r="9" spans="1:6" x14ac:dyDescent="0.3">
      <c r="A9" s="8" t="s">
        <v>23</v>
      </c>
      <c r="B9" s="9">
        <v>503684</v>
      </c>
      <c r="C9" s="9">
        <v>503684</v>
      </c>
      <c r="D9" s="9">
        <v>746696</v>
      </c>
      <c r="E9" s="9">
        <v>58221</v>
      </c>
      <c r="F9" s="9">
        <v>905557</v>
      </c>
    </row>
    <row r="10" spans="1:6" x14ac:dyDescent="0.3">
      <c r="A10" s="8" t="s">
        <v>24</v>
      </c>
      <c r="B10" s="9"/>
      <c r="C10" s="9">
        <v>260251</v>
      </c>
      <c r="D10" s="9">
        <v>260251</v>
      </c>
      <c r="E10" s="9"/>
      <c r="F10" s="9"/>
    </row>
    <row r="11" spans="1:6" x14ac:dyDescent="0.3">
      <c r="A11" s="8" t="s">
        <v>25</v>
      </c>
      <c r="B11" s="9">
        <f>+'[2]Cuentas PyG'!B3</f>
        <v>2018</v>
      </c>
      <c r="C11" s="9">
        <f>+'[2]Cuentas PyG'!C3</f>
        <v>2019</v>
      </c>
      <c r="D11" s="9">
        <f>+'[2]Cuentas PyG'!D3</f>
        <v>2020</v>
      </c>
      <c r="E11" s="9">
        <f>+'[2]Cuentas PyG'!E3</f>
        <v>2021</v>
      </c>
      <c r="F11" s="9">
        <f>+'[2]Cuentas PyG'!F3</f>
        <v>2022</v>
      </c>
    </row>
    <row r="12" spans="1:6" x14ac:dyDescent="0.3">
      <c r="A12" s="5" t="s">
        <v>58</v>
      </c>
      <c r="B12" s="6">
        <v>6667</v>
      </c>
      <c r="C12" s="6">
        <v>5067</v>
      </c>
      <c r="D12" s="6">
        <v>3467</v>
      </c>
      <c r="E12" s="6">
        <v>1867</v>
      </c>
      <c r="F12" s="6"/>
    </row>
    <row r="13" spans="1:6" x14ac:dyDescent="0.3">
      <c r="A13" s="3" t="s">
        <v>26</v>
      </c>
      <c r="B13" s="4">
        <f>B14+B15+B16+B17+B18</f>
        <v>0</v>
      </c>
      <c r="C13" s="4">
        <f>C14+C15+C16+C17+C18</f>
        <v>0</v>
      </c>
      <c r="D13" s="4">
        <f>D14+D15+D16+D17+D18</f>
        <v>0</v>
      </c>
      <c r="E13" s="4">
        <f>E14+E15+E16+E17+E18</f>
        <v>0</v>
      </c>
      <c r="F13" s="4">
        <f>F14+F15+F16+F17+F18</f>
        <v>0</v>
      </c>
    </row>
    <row r="14" spans="1:6" x14ac:dyDescent="0.3">
      <c r="A14" s="5" t="s">
        <v>27</v>
      </c>
      <c r="B14" s="6"/>
      <c r="C14" s="6"/>
      <c r="D14" s="6"/>
      <c r="E14" s="6"/>
      <c r="F14" s="6"/>
    </row>
    <row r="15" spans="1:6" x14ac:dyDescent="0.3">
      <c r="A15" s="5" t="s">
        <v>28</v>
      </c>
      <c r="B15" s="6"/>
      <c r="C15" s="6"/>
      <c r="D15" s="6"/>
      <c r="E15" s="6"/>
      <c r="F15" s="6"/>
    </row>
    <row r="16" spans="1:6" x14ac:dyDescent="0.3">
      <c r="A16" s="5" t="s">
        <v>29</v>
      </c>
      <c r="B16" s="6"/>
      <c r="C16" s="6"/>
      <c r="D16" s="6"/>
      <c r="E16" s="6"/>
      <c r="F16" s="6"/>
    </row>
    <row r="17" spans="1:6" x14ac:dyDescent="0.3">
      <c r="A17" s="5" t="s">
        <v>30</v>
      </c>
      <c r="B17" s="6"/>
      <c r="C17" s="6"/>
      <c r="D17" s="6"/>
      <c r="E17" s="6"/>
      <c r="F17" s="6"/>
    </row>
    <row r="18" spans="1:6" x14ac:dyDescent="0.3">
      <c r="A18" s="5" t="s">
        <v>31</v>
      </c>
      <c r="B18" s="6"/>
      <c r="C18" s="6"/>
      <c r="D18" s="6"/>
      <c r="E18" s="6"/>
      <c r="F18" s="6"/>
    </row>
    <row r="19" spans="1:6" x14ac:dyDescent="0.3">
      <c r="A19" s="3" t="s">
        <v>32</v>
      </c>
      <c r="B19" s="4">
        <f>B20+B21+B22+B23+B24</f>
        <v>5720697</v>
      </c>
      <c r="C19" s="4">
        <f>C20+C21+C22+C23+C24</f>
        <v>5608494</v>
      </c>
      <c r="D19" s="4">
        <f>D20+D21+D22+D23+D24</f>
        <v>4053448</v>
      </c>
      <c r="E19" s="4">
        <f>E20+E21+E22+E23+E24</f>
        <v>2147988</v>
      </c>
      <c r="F19" s="4">
        <f>F20+F21+F22+F23+F24</f>
        <v>2590981</v>
      </c>
    </row>
    <row r="20" spans="1:6" x14ac:dyDescent="0.3">
      <c r="A20" s="5" t="s">
        <v>33</v>
      </c>
      <c r="B20" s="6"/>
      <c r="C20" s="6"/>
      <c r="D20" s="6"/>
      <c r="E20" s="6"/>
      <c r="F20" s="6"/>
    </row>
    <row r="21" spans="1:6" x14ac:dyDescent="0.3">
      <c r="A21" s="5" t="s">
        <v>34</v>
      </c>
      <c r="B21" s="6"/>
      <c r="C21" s="6"/>
      <c r="D21" s="6"/>
      <c r="E21" s="6"/>
      <c r="F21" s="6"/>
    </row>
    <row r="22" spans="1:6" x14ac:dyDescent="0.3">
      <c r="A22" s="5" t="s">
        <v>35</v>
      </c>
      <c r="B22" s="6">
        <v>918747</v>
      </c>
      <c r="C22" s="6">
        <v>1032055</v>
      </c>
      <c r="D22" s="6">
        <v>1069071</v>
      </c>
      <c r="E22" s="6"/>
      <c r="F22" s="6"/>
    </row>
    <row r="23" spans="1:6" x14ac:dyDescent="0.3">
      <c r="A23" s="5" t="s">
        <v>36</v>
      </c>
      <c r="B23" s="6">
        <v>4801950</v>
      </c>
      <c r="C23" s="6">
        <v>4576439</v>
      </c>
      <c r="D23" s="6">
        <v>2984377</v>
      </c>
      <c r="E23" s="6">
        <v>2147988</v>
      </c>
      <c r="F23" s="6">
        <v>2590981</v>
      </c>
    </row>
    <row r="24" spans="1:6" x14ac:dyDescent="0.3">
      <c r="A24" s="5" t="s">
        <v>14</v>
      </c>
      <c r="B24" s="6"/>
      <c r="C24" s="6"/>
      <c r="D24" s="6"/>
      <c r="E24" s="6"/>
      <c r="F24" s="6"/>
    </row>
    <row r="25" spans="1:6" x14ac:dyDescent="0.3">
      <c r="A25" s="3" t="s">
        <v>37</v>
      </c>
      <c r="B25" s="4">
        <f>B5+B13+B19</f>
        <v>6413066</v>
      </c>
      <c r="C25" s="4">
        <f>C5+C13+C19</f>
        <v>6559515</v>
      </c>
      <c r="D25" s="4">
        <f>D5+D13+D19</f>
        <v>5245882</v>
      </c>
      <c r="E25" s="4">
        <f>E5+E13+E19</f>
        <v>2390097</v>
      </c>
      <c r="F25" s="4">
        <f>F5+F13+F19</f>
        <v>3678560</v>
      </c>
    </row>
    <row r="26" spans="1:6" x14ac:dyDescent="0.3">
      <c r="A26" s="2"/>
      <c r="B26" s="7"/>
      <c r="C26" s="7"/>
      <c r="D26" s="7"/>
      <c r="E26" s="7"/>
      <c r="F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Hipotésis</vt:lpstr>
      <vt:lpstr>PROYECCION BALANCE</vt:lpstr>
      <vt:lpstr>Proyeccion PYG</vt:lpstr>
      <vt:lpstr>Flujos de Caja</vt:lpstr>
      <vt:lpstr>Balances</vt:lpstr>
      <vt:lpstr>Cuentas PyG</vt:lpstr>
      <vt:lpstr>PyG ALAER</vt:lpstr>
      <vt:lpstr>Balance ALAER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Domingo</dc:creator>
  <cp:lastModifiedBy>Oriol Puig - CAL BLAY</cp:lastModifiedBy>
  <dcterms:created xsi:type="dcterms:W3CDTF">2022-05-02T22:09:37Z</dcterms:created>
  <dcterms:modified xsi:type="dcterms:W3CDTF">2026-06-29T21:06:05Z</dcterms:modified>
</cp:coreProperties>
</file>