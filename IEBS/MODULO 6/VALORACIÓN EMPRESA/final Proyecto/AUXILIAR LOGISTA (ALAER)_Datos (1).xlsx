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VALORACIÓN EMPRESA/final Proyecto/"/>
    </mc:Choice>
  </mc:AlternateContent>
  <xr:revisionPtr revIDLastSave="23" documentId="8_{39DC5E24-B586-4FDC-9A8A-D29ED08F41B2}" xr6:coauthVersionLast="47" xr6:coauthVersionMax="47" xr10:uidLastSave="{54E3B623-DEFF-4FED-917B-7CB28F2F6D80}"/>
  <bookViews>
    <workbookView xWindow="-120" yWindow="-120" windowWidth="29040" windowHeight="15720" activeTab="1" xr2:uid="{459B15B9-00B9-4138-A28D-D8E337ACC365}"/>
  </bookViews>
  <sheets>
    <sheet name="Balances" sheetId="1" r:id="rId1"/>
    <sheet name="Cuentas PyG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2" l="1"/>
  <c r="B28" i="2"/>
  <c r="N48" i="2"/>
  <c r="B27" i="2"/>
  <c r="B32" i="2"/>
  <c r="B29" i="2"/>
  <c r="H9" i="2" l="1"/>
  <c r="G9" i="2"/>
  <c r="H8" i="2"/>
  <c r="G8" i="2"/>
  <c r="H4" i="2"/>
  <c r="F15" i="2" l="1"/>
  <c r="F20" i="2" s="1"/>
  <c r="F22" i="2" s="1"/>
  <c r="F30" i="1" s="1"/>
  <c r="F25" i="1" s="1"/>
  <c r="F24" i="1" s="1"/>
  <c r="F38" i="1"/>
  <c r="F32" i="1"/>
  <c r="F17" i="1"/>
  <c r="F11" i="1" s="1"/>
  <c r="F4" i="1"/>
  <c r="B17" i="1"/>
  <c r="C17" i="1"/>
  <c r="D17" i="1"/>
  <c r="E17" i="1"/>
  <c r="B38" i="1"/>
  <c r="B32" i="1"/>
  <c r="B11" i="1"/>
  <c r="B4" i="1"/>
  <c r="C4" i="1"/>
  <c r="D4" i="1"/>
  <c r="E4" i="1"/>
  <c r="C38" i="1"/>
  <c r="D32" i="1"/>
  <c r="C32" i="1"/>
  <c r="F44" i="1" l="1"/>
  <c r="F19" i="1"/>
  <c r="B19" i="1"/>
  <c r="E15" i="2"/>
  <c r="D15" i="2"/>
  <c r="C11" i="1"/>
  <c r="C19" i="1" s="1"/>
  <c r="E38" i="1"/>
  <c r="B15" i="2"/>
  <c r="C15" i="2"/>
  <c r="E11" i="1"/>
  <c r="D11" i="1"/>
  <c r="D19" i="1" s="1"/>
  <c r="D38" i="1"/>
  <c r="E32" i="1"/>
  <c r="C20" i="2" l="1"/>
  <c r="C22" i="2" s="1"/>
  <c r="B20" i="2"/>
  <c r="B22" i="2" s="1"/>
  <c r="D20" i="2"/>
  <c r="D22" i="2" s="1"/>
  <c r="E20" i="2"/>
  <c r="E22" i="2" s="1"/>
  <c r="E19" i="1"/>
  <c r="E30" i="1" l="1"/>
  <c r="E25" i="1" s="1"/>
  <c r="E24" i="1" s="1"/>
  <c r="E44" i="1" s="1"/>
  <c r="D30" i="1"/>
  <c r="D25" i="1" s="1"/>
  <c r="D24" i="1" s="1"/>
  <c r="D44" i="1" s="1"/>
  <c r="C30" i="1"/>
  <c r="C25" i="1" s="1"/>
  <c r="C24" i="1" s="1"/>
  <c r="C44" i="1" s="1"/>
  <c r="B30" i="1"/>
  <c r="B25" i="1" s="1"/>
  <c r="B33" i="2" s="1"/>
  <c r="B34" i="2" s="1"/>
  <c r="B36" i="2" s="1"/>
  <c r="B24" i="1" l="1"/>
  <c r="B44" i="1" s="1"/>
</calcChain>
</file>

<file path=xl/sharedStrings.xml><?xml version="1.0" encoding="utf-8"?>
<sst xmlns="http://schemas.openxmlformats.org/spreadsheetml/2006/main" count="190" uniqueCount="148">
  <si>
    <t>ESTRUCTURA DEL ACTIVO SOCIETARIO</t>
  </si>
  <si>
    <t>CONCEPTO</t>
  </si>
  <si>
    <t>A) ACTIVO NO CORRIENTE</t>
  </si>
  <si>
    <t>I Inmovilizado intangible</t>
  </si>
  <si>
    <t>II Inmovilizado material</t>
  </si>
  <si>
    <t>III Inv. Inmobiliarias</t>
  </si>
  <si>
    <t>IV Inv. en empr. del grupo y asociadas a l.p.</t>
  </si>
  <si>
    <t>V Inversiones financieras a largo plazo</t>
  </si>
  <si>
    <t>VI Activos por impuesto diferido</t>
  </si>
  <si>
    <t>B) ACTIVO CORRIENTE</t>
  </si>
  <si>
    <t>II Existencias</t>
  </si>
  <si>
    <t>III Deudores comerc. y otras cuentas a cobr.</t>
  </si>
  <si>
    <t>IV Inv. en empr. del grupo y asociadas a c.p.</t>
  </si>
  <si>
    <t>V Inversiones financieras a corto plazo</t>
  </si>
  <si>
    <t>VI Periodificaciones a corto plazo</t>
  </si>
  <si>
    <t>VII Efectivo y otros activos líquidos equiv.</t>
  </si>
  <si>
    <t>1. Tesorería</t>
  </si>
  <si>
    <t>TOTAL ACTIVO</t>
  </si>
  <si>
    <t>ESTRUCTURA DEL PASIVO SOCIETARIO</t>
  </si>
  <si>
    <t>A) PATRIMONIO NETO</t>
  </si>
  <si>
    <t>A-1) Fondos propios</t>
  </si>
  <si>
    <t>I Capital</t>
  </si>
  <si>
    <t>II Prima de emisión</t>
  </si>
  <si>
    <t>III Reservas</t>
  </si>
  <si>
    <t>V Resultados de ejercicios anteriores</t>
  </si>
  <si>
    <t>VII Resultado del ejercicio</t>
  </si>
  <si>
    <t>B) PASIVO NO CORRIENTE</t>
  </si>
  <si>
    <t>I Provisiones a largo plazo</t>
  </si>
  <si>
    <t>II Deudas a largo plazo</t>
  </si>
  <si>
    <t>III Deudas con empr. del grupo y asoc. a l.p.</t>
  </si>
  <si>
    <t>IV Pasivos por impuesto diferido</t>
  </si>
  <si>
    <t>V Periodificaciones a largo plazo</t>
  </si>
  <si>
    <t>C) PASIVO CORRIENTE</t>
  </si>
  <si>
    <t>II Provisiones a corto plazo</t>
  </si>
  <si>
    <t>III Deudas a corto plazo</t>
  </si>
  <si>
    <t>IV Deudas empr. del grupo y asoc. a c.p.</t>
  </si>
  <si>
    <t>V Acreed. comerc.y otras cuentas a pagar</t>
  </si>
  <si>
    <t>TOTAL PATRIMONIO NETO Y PASIVO</t>
  </si>
  <si>
    <t>ESTUCTURA DE LA CUENTA DE RESULTADOS</t>
  </si>
  <si>
    <t>1. Importe neto de la cifra de negocios</t>
  </si>
  <si>
    <t>3. Trabajos realiz. por la empr para su activo</t>
  </si>
  <si>
    <t>4. Aprovisionamientos</t>
  </si>
  <si>
    <t>5. Otros ingresos de explotación</t>
  </si>
  <si>
    <t>6. Gastos de personal</t>
  </si>
  <si>
    <t>7. Otros gastos de explotación</t>
  </si>
  <si>
    <t>8. Amortización del inmovilizado</t>
  </si>
  <si>
    <t>9. Imputación de subv. de inmov. no financ.</t>
  </si>
  <si>
    <t>10. Exceso de provisiones</t>
  </si>
  <si>
    <t>11. Deterioro y result. por enaj. del inmovilizado</t>
  </si>
  <si>
    <t>13. Otros resultados</t>
  </si>
  <si>
    <t>A1) RESULTADO DE EXPLOTACIÓN</t>
  </si>
  <si>
    <t>14. Ingresos financieros</t>
  </si>
  <si>
    <t>15. Gastos financieros</t>
  </si>
  <si>
    <t>17. Diferencias de cambio</t>
  </si>
  <si>
    <t>18. Deterioro y result. por enaj. de instr. financ.</t>
  </si>
  <si>
    <t>A3) RESULTADO ANTES DE IMPUESTOS</t>
  </si>
  <si>
    <t>19. Impuestos sobre beneficios</t>
  </si>
  <si>
    <t>A5) Resultado del ejercicio</t>
  </si>
  <si>
    <t>A-2) Subvenciones, donac. y legados recib.</t>
  </si>
  <si>
    <t xml:space="preserve">Activo no operativo que sumaria en CAESA, estimar </t>
  </si>
  <si>
    <t>Informe de gestion para proyeccion de ventas, estimacion de crecimineto o descecimiento, junto con el margen marque  descuento flujo de caja</t>
  </si>
  <si>
    <t xml:space="preserve">Multiplos Sprint 1, EBITA </t>
  </si>
  <si>
    <t>Coste de la deuda considerar toto negocio se financia con fondos propios</t>
  </si>
  <si>
    <t>Centrarse en Perdidas y Ganancias</t>
  </si>
  <si>
    <t>Mantener un margen similar</t>
  </si>
  <si>
    <t>Reducir la primera parte, importante hacer la proyeccion, descuento de flujo de cajas, todo lo que estamos proyectando y descontando sea coherente, saldo cliente, saldo proveedores, …...</t>
  </si>
  <si>
    <t xml:space="preserve">Gasto0s financieros, P y Ganancias no reflejan la realidad, habria que etimalarlos con Demoraran Interest and </t>
  </si>
  <si>
    <t>funcion de ratio de interese, mirar la tabla sumarle la proima sin riesgo el euribor.</t>
  </si>
  <si>
    <t>Waac sectorial, sino suponer que no hay deuda WACC = Ksue    Kd= 0</t>
  </si>
  <si>
    <t>üna vez calclualdao, su equity subir a la valoracion de Equety va</t>
  </si>
  <si>
    <t xml:space="preserve">Entrepaise a Equety tienens que sumar todos los activos no oeprativos, seria valor </t>
  </si>
  <si>
    <t>mucho mayor a 180mil</t>
  </si>
  <si>
    <t>Participaciones empresa del grupo</t>
  </si>
  <si>
    <t>Hay que hacer por flujos de caja.</t>
  </si>
  <si>
    <t>EBITDA</t>
  </si>
  <si>
    <t>EV/EBITDA</t>
  </si>
  <si>
    <t>EV BODEGA</t>
  </si>
  <si>
    <t>DEUDA FINANCIERA</t>
  </si>
  <si>
    <t>TESORERIA</t>
  </si>
  <si>
    <t>ACTIVOS NO OPERATIVOS</t>
  </si>
  <si>
    <t>EQUITY VALUE BODEGA</t>
  </si>
  <si>
    <t>Participación 100% HOLDING</t>
  </si>
  <si>
    <t>Valor contable</t>
  </si>
  <si>
    <t>Plusvalía participación</t>
  </si>
  <si>
    <t>Ticker</t>
  </si>
  <si>
    <t>Company Name</t>
  </si>
  <si>
    <t>Global Region</t>
  </si>
  <si>
    <t>Country</t>
  </si>
  <si>
    <t>Industry</t>
  </si>
  <si>
    <t>Trailing TEV/EBITDA (2022)</t>
  </si>
  <si>
    <t>ALA</t>
  </si>
  <si>
    <t>A.L.A. società per azioni</t>
  </si>
  <si>
    <t>Europe</t>
  </si>
  <si>
    <t>ITA</t>
  </si>
  <si>
    <t>Air Freight and Logistics</t>
  </si>
  <si>
    <t>ALCLA</t>
  </si>
  <si>
    <t>Clasquin SA</t>
  </si>
  <si>
    <t>FRA</t>
  </si>
  <si>
    <t>AQ</t>
  </si>
  <si>
    <t>Aquila Part Prod Com S.A.</t>
  </si>
  <si>
    <t>ROU</t>
  </si>
  <si>
    <t>BPOST</t>
  </si>
  <si>
    <t>bpost NV/SA</t>
  </si>
  <si>
    <t>BEL</t>
  </si>
  <si>
    <t>CTT</t>
  </si>
  <si>
    <t>CTT - Correios De Portugal, S.A.</t>
  </si>
  <si>
    <t>PRT</t>
  </si>
  <si>
    <t>DE1</t>
  </si>
  <si>
    <t>Deufol SE</t>
  </si>
  <si>
    <t>DEU</t>
  </si>
  <si>
    <t>DPW</t>
  </si>
  <si>
    <t>Deutsche Post AG</t>
  </si>
  <si>
    <t>IDS</t>
  </si>
  <si>
    <t>International Distributions Services plc</t>
  </si>
  <si>
    <t>GBR</t>
  </si>
  <si>
    <t>IEKG</t>
  </si>
  <si>
    <t>Intereuropa, d. d.</t>
  </si>
  <si>
    <t>SVN</t>
  </si>
  <si>
    <t>JETPAK</t>
  </si>
  <si>
    <t>Jetpak Top Holding AB (publ)</t>
  </si>
  <si>
    <t>SWE</t>
  </si>
  <si>
    <t>LOG</t>
  </si>
  <si>
    <t>Compañía de Distribución Integral Logista Holdings, S.A.</t>
  </si>
  <si>
    <t>ESP</t>
  </si>
  <si>
    <t>MTP</t>
  </si>
  <si>
    <t>MaltaPost p.l.c.</t>
  </si>
  <si>
    <t>MLT</t>
  </si>
  <si>
    <t>NLG1V</t>
  </si>
  <si>
    <t>Nurminen Logistics Oyj</t>
  </si>
  <si>
    <t>FIN</t>
  </si>
  <si>
    <t>PNL</t>
  </si>
  <si>
    <t>PostNL N.V.</t>
  </si>
  <si>
    <t>NLD</t>
  </si>
  <si>
    <t>POST</t>
  </si>
  <si>
    <t>Österreichische Post AG</t>
  </si>
  <si>
    <t>AUT</t>
  </si>
  <si>
    <t>SPDY</t>
  </si>
  <si>
    <t>Speedy AD</t>
  </si>
  <si>
    <t>BGR</t>
  </si>
  <si>
    <t>TGHN</t>
  </si>
  <si>
    <t>Logwin AG</t>
  </si>
  <si>
    <t>WIN</t>
  </si>
  <si>
    <t>Wincanton plc</t>
  </si>
  <si>
    <t>XBS</t>
  </si>
  <si>
    <t>XBS PRO-LOG S.A.</t>
  </si>
  <si>
    <t>POL</t>
  </si>
  <si>
    <t>MEDIANA</t>
  </si>
  <si>
    <t>Inversion en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</si>
</sst>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3" fillId="2" borderId="0" xfId="2" applyFont="1" applyFill="1"/>
    <xf numFmtId="0" fontId="2" fillId="0" borderId="0" xfId="2"/>
    <xf numFmtId="0" fontId="4" fillId="0" borderId="1" xfId="2" applyFont="1" applyBorder="1"/>
    <xf numFmtId="3" fontId="4" fillId="0" borderId="1" xfId="2" applyNumberFormat="1" applyFont="1" applyBorder="1" applyAlignment="1">
      <alignment horizontal="right"/>
    </xf>
    <xf numFmtId="0" fontId="4" fillId="0" borderId="2" xfId="2" applyFont="1" applyBorder="1"/>
    <xf numFmtId="3" fontId="4" fillId="0" borderId="2" xfId="2" applyNumberFormat="1" applyFont="1" applyBorder="1" applyAlignment="1">
      <alignment horizontal="right"/>
    </xf>
    <xf numFmtId="3" fontId="2" fillId="0" borderId="0" xfId="2" applyNumberFormat="1"/>
    <xf numFmtId="0" fontId="2" fillId="0" borderId="2" xfId="2" applyBorder="1" applyAlignment="1">
      <alignment horizontal="left" indent="1"/>
    </xf>
    <xf numFmtId="3" fontId="2" fillId="0" borderId="2" xfId="2" applyNumberFormat="1" applyBorder="1" applyAlignment="1">
      <alignment horizontal="right"/>
    </xf>
    <xf numFmtId="0" fontId="4" fillId="0" borderId="0" xfId="2" applyFont="1"/>
    <xf numFmtId="3" fontId="3" fillId="2" borderId="0" xfId="2" applyNumberFormat="1" applyFont="1" applyFill="1"/>
    <xf numFmtId="9" fontId="2" fillId="0" borderId="0" xfId="1" applyFont="1"/>
    <xf numFmtId="0" fontId="2" fillId="0" borderId="2" xfId="2" applyBorder="1"/>
    <xf numFmtId="10" fontId="2" fillId="0" borderId="0" xfId="1" applyNumberFormat="1" applyFont="1"/>
    <xf numFmtId="3" fontId="0" fillId="0" borderId="0" xfId="0" applyNumberFormat="1"/>
    <xf numFmtId="0" fontId="5" fillId="0" borderId="3" xfId="0" applyFont="1" applyBorder="1"/>
    <xf numFmtId="4" fontId="5" fillId="0" borderId="4" xfId="0" applyNumberFormat="1" applyFont="1" applyBorder="1"/>
    <xf numFmtId="4" fontId="0" fillId="0" borderId="0" xfId="0" applyNumberFormat="1"/>
    <xf numFmtId="0" fontId="0" fillId="0" borderId="3" xfId="0" applyBorder="1"/>
    <xf numFmtId="4" fontId="0" fillId="0" borderId="4" xfId="0" applyNumberFormat="1" applyBorder="1"/>
  </cellXfs>
  <cellStyles count="3">
    <cellStyle name="Normal" xfId="0" builtinId="0"/>
    <cellStyle name="Normal 2" xfId="2" xr:uid="{2A7FC763-CC89-4A0C-9C49-9F085622B914}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C054-328E-4716-8B5B-D2654719599C}">
  <dimension ref="A1:L45"/>
  <sheetViews>
    <sheetView topLeftCell="A20" workbookViewId="0">
      <selection activeCell="F52" sqref="F52"/>
    </sheetView>
  </sheetViews>
  <sheetFormatPr defaultColWidth="11.7109375" defaultRowHeight="12.75" x14ac:dyDescent="0.2"/>
  <cols>
    <col min="1" max="1" width="42.28515625" style="2" bestFit="1" customWidth="1"/>
    <col min="2" max="6" width="12.5703125" style="2" customWidth="1"/>
    <col min="7" max="250" width="11.7109375" style="2"/>
    <col min="251" max="251" width="39.42578125" style="2" customWidth="1"/>
    <col min="252" max="506" width="11.7109375" style="2"/>
    <col min="507" max="507" width="39.42578125" style="2" customWidth="1"/>
    <col min="508" max="762" width="11.7109375" style="2"/>
    <col min="763" max="763" width="39.42578125" style="2" customWidth="1"/>
    <col min="764" max="1018" width="11.7109375" style="2"/>
    <col min="1019" max="1019" width="39.42578125" style="2" customWidth="1"/>
    <col min="1020" max="1274" width="11.7109375" style="2"/>
    <col min="1275" max="1275" width="39.42578125" style="2" customWidth="1"/>
    <col min="1276" max="1530" width="11.7109375" style="2"/>
    <col min="1531" max="1531" width="39.42578125" style="2" customWidth="1"/>
    <col min="1532" max="1786" width="11.7109375" style="2"/>
    <col min="1787" max="1787" width="39.42578125" style="2" customWidth="1"/>
    <col min="1788" max="2042" width="11.7109375" style="2"/>
    <col min="2043" max="2043" width="39.42578125" style="2" customWidth="1"/>
    <col min="2044" max="2298" width="11.7109375" style="2"/>
    <col min="2299" max="2299" width="39.42578125" style="2" customWidth="1"/>
    <col min="2300" max="2554" width="11.7109375" style="2"/>
    <col min="2555" max="2555" width="39.42578125" style="2" customWidth="1"/>
    <col min="2556" max="2810" width="11.7109375" style="2"/>
    <col min="2811" max="2811" width="39.42578125" style="2" customWidth="1"/>
    <col min="2812" max="3066" width="11.7109375" style="2"/>
    <col min="3067" max="3067" width="39.42578125" style="2" customWidth="1"/>
    <col min="3068" max="3322" width="11.7109375" style="2"/>
    <col min="3323" max="3323" width="39.42578125" style="2" customWidth="1"/>
    <col min="3324" max="3578" width="11.7109375" style="2"/>
    <col min="3579" max="3579" width="39.42578125" style="2" customWidth="1"/>
    <col min="3580" max="3834" width="11.7109375" style="2"/>
    <col min="3835" max="3835" width="39.42578125" style="2" customWidth="1"/>
    <col min="3836" max="4090" width="11.7109375" style="2"/>
    <col min="4091" max="4091" width="39.42578125" style="2" customWidth="1"/>
    <col min="4092" max="4346" width="11.7109375" style="2"/>
    <col min="4347" max="4347" width="39.42578125" style="2" customWidth="1"/>
    <col min="4348" max="4602" width="11.7109375" style="2"/>
    <col min="4603" max="4603" width="39.42578125" style="2" customWidth="1"/>
    <col min="4604" max="4858" width="11.7109375" style="2"/>
    <col min="4859" max="4859" width="39.42578125" style="2" customWidth="1"/>
    <col min="4860" max="5114" width="11.7109375" style="2"/>
    <col min="5115" max="5115" width="39.42578125" style="2" customWidth="1"/>
    <col min="5116" max="5370" width="11.7109375" style="2"/>
    <col min="5371" max="5371" width="39.42578125" style="2" customWidth="1"/>
    <col min="5372" max="5626" width="11.7109375" style="2"/>
    <col min="5627" max="5627" width="39.42578125" style="2" customWidth="1"/>
    <col min="5628" max="5882" width="11.7109375" style="2"/>
    <col min="5883" max="5883" width="39.42578125" style="2" customWidth="1"/>
    <col min="5884" max="6138" width="11.7109375" style="2"/>
    <col min="6139" max="6139" width="39.42578125" style="2" customWidth="1"/>
    <col min="6140" max="6394" width="11.7109375" style="2"/>
    <col min="6395" max="6395" width="39.42578125" style="2" customWidth="1"/>
    <col min="6396" max="6650" width="11.7109375" style="2"/>
    <col min="6651" max="6651" width="39.42578125" style="2" customWidth="1"/>
    <col min="6652" max="6906" width="11.7109375" style="2"/>
    <col min="6907" max="6907" width="39.42578125" style="2" customWidth="1"/>
    <col min="6908" max="7162" width="11.7109375" style="2"/>
    <col min="7163" max="7163" width="39.42578125" style="2" customWidth="1"/>
    <col min="7164" max="7418" width="11.7109375" style="2"/>
    <col min="7419" max="7419" width="39.42578125" style="2" customWidth="1"/>
    <col min="7420" max="7674" width="11.7109375" style="2"/>
    <col min="7675" max="7675" width="39.42578125" style="2" customWidth="1"/>
    <col min="7676" max="7930" width="11.7109375" style="2"/>
    <col min="7931" max="7931" width="39.42578125" style="2" customWidth="1"/>
    <col min="7932" max="8186" width="11.7109375" style="2"/>
    <col min="8187" max="8187" width="39.42578125" style="2" customWidth="1"/>
    <col min="8188" max="8442" width="11.7109375" style="2"/>
    <col min="8443" max="8443" width="39.42578125" style="2" customWidth="1"/>
    <col min="8444" max="8698" width="11.7109375" style="2"/>
    <col min="8699" max="8699" width="39.42578125" style="2" customWidth="1"/>
    <col min="8700" max="8954" width="11.7109375" style="2"/>
    <col min="8955" max="8955" width="39.42578125" style="2" customWidth="1"/>
    <col min="8956" max="9210" width="11.7109375" style="2"/>
    <col min="9211" max="9211" width="39.42578125" style="2" customWidth="1"/>
    <col min="9212" max="9466" width="11.7109375" style="2"/>
    <col min="9467" max="9467" width="39.42578125" style="2" customWidth="1"/>
    <col min="9468" max="9722" width="11.7109375" style="2"/>
    <col min="9723" max="9723" width="39.42578125" style="2" customWidth="1"/>
    <col min="9724" max="9978" width="11.7109375" style="2"/>
    <col min="9979" max="9979" width="39.42578125" style="2" customWidth="1"/>
    <col min="9980" max="10234" width="11.7109375" style="2"/>
    <col min="10235" max="10235" width="39.42578125" style="2" customWidth="1"/>
    <col min="10236" max="10490" width="11.7109375" style="2"/>
    <col min="10491" max="10491" width="39.42578125" style="2" customWidth="1"/>
    <col min="10492" max="10746" width="11.7109375" style="2"/>
    <col min="10747" max="10747" width="39.42578125" style="2" customWidth="1"/>
    <col min="10748" max="11002" width="11.7109375" style="2"/>
    <col min="11003" max="11003" width="39.42578125" style="2" customWidth="1"/>
    <col min="11004" max="11258" width="11.7109375" style="2"/>
    <col min="11259" max="11259" width="39.42578125" style="2" customWidth="1"/>
    <col min="11260" max="11514" width="11.7109375" style="2"/>
    <col min="11515" max="11515" width="39.42578125" style="2" customWidth="1"/>
    <col min="11516" max="11770" width="11.7109375" style="2"/>
    <col min="11771" max="11771" width="39.42578125" style="2" customWidth="1"/>
    <col min="11772" max="12026" width="11.7109375" style="2"/>
    <col min="12027" max="12027" width="39.42578125" style="2" customWidth="1"/>
    <col min="12028" max="12282" width="11.7109375" style="2"/>
    <col min="12283" max="12283" width="39.42578125" style="2" customWidth="1"/>
    <col min="12284" max="12538" width="11.7109375" style="2"/>
    <col min="12539" max="12539" width="39.42578125" style="2" customWidth="1"/>
    <col min="12540" max="12794" width="11.7109375" style="2"/>
    <col min="12795" max="12795" width="39.42578125" style="2" customWidth="1"/>
    <col min="12796" max="13050" width="11.7109375" style="2"/>
    <col min="13051" max="13051" width="39.42578125" style="2" customWidth="1"/>
    <col min="13052" max="13306" width="11.7109375" style="2"/>
    <col min="13307" max="13307" width="39.42578125" style="2" customWidth="1"/>
    <col min="13308" max="13562" width="11.7109375" style="2"/>
    <col min="13563" max="13563" width="39.42578125" style="2" customWidth="1"/>
    <col min="13564" max="13818" width="11.7109375" style="2"/>
    <col min="13819" max="13819" width="39.42578125" style="2" customWidth="1"/>
    <col min="13820" max="14074" width="11.7109375" style="2"/>
    <col min="14075" max="14075" width="39.42578125" style="2" customWidth="1"/>
    <col min="14076" max="14330" width="11.7109375" style="2"/>
    <col min="14331" max="14331" width="39.42578125" style="2" customWidth="1"/>
    <col min="14332" max="14586" width="11.7109375" style="2"/>
    <col min="14587" max="14587" width="39.42578125" style="2" customWidth="1"/>
    <col min="14588" max="14842" width="11.7109375" style="2"/>
    <col min="14843" max="14843" width="39.42578125" style="2" customWidth="1"/>
    <col min="14844" max="15098" width="11.7109375" style="2"/>
    <col min="15099" max="15099" width="39.42578125" style="2" customWidth="1"/>
    <col min="15100" max="15354" width="11.7109375" style="2"/>
    <col min="15355" max="15355" width="39.42578125" style="2" customWidth="1"/>
    <col min="15356" max="15610" width="11.7109375" style="2"/>
    <col min="15611" max="15611" width="39.42578125" style="2" customWidth="1"/>
    <col min="15612" max="15866" width="11.7109375" style="2"/>
    <col min="15867" max="15867" width="39.42578125" style="2" customWidth="1"/>
    <col min="15868" max="16122" width="11.7109375" style="2"/>
    <col min="16123" max="16123" width="39.42578125" style="2" customWidth="1"/>
    <col min="16124" max="16384" width="11.7109375" style="2"/>
  </cols>
  <sheetData>
    <row r="1" spans="1:10" x14ac:dyDescent="0.2">
      <c r="A1" s="1" t="s">
        <v>0</v>
      </c>
      <c r="B1" s="1"/>
      <c r="C1" s="1"/>
      <c r="D1" s="1"/>
      <c r="E1" s="1"/>
      <c r="F1" s="1"/>
    </row>
    <row r="3" spans="1:10" x14ac:dyDescent="0.2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10" x14ac:dyDescent="0.2">
      <c r="A4" s="3" t="s">
        <v>2</v>
      </c>
      <c r="B4" s="4">
        <f t="shared" ref="B4" si="0">B5+B6+B7+B8+B9+B10</f>
        <v>356716</v>
      </c>
      <c r="C4" s="4">
        <f t="shared" ref="C4:E4" si="1">C5+C6+C7+C8+C9+C10</f>
        <v>355524</v>
      </c>
      <c r="D4" s="4">
        <f t="shared" si="1"/>
        <v>365722</v>
      </c>
      <c r="E4" s="4">
        <f t="shared" si="1"/>
        <v>161719</v>
      </c>
      <c r="F4" s="4">
        <f t="shared" ref="F4" si="2">F5+F6+F7+F8+F9+F10</f>
        <v>71342</v>
      </c>
    </row>
    <row r="5" spans="1:10" x14ac:dyDescent="0.2">
      <c r="A5" s="5" t="s">
        <v>3</v>
      </c>
      <c r="B5" s="6">
        <v>2550</v>
      </c>
      <c r="C5" s="6">
        <v>2736</v>
      </c>
      <c r="D5" s="6">
        <v>1726</v>
      </c>
      <c r="E5" s="6">
        <v>823</v>
      </c>
      <c r="F5" s="6">
        <v>54</v>
      </c>
    </row>
    <row r="6" spans="1:10" x14ac:dyDescent="0.2">
      <c r="A6" s="5" t="s">
        <v>4</v>
      </c>
      <c r="B6" s="6">
        <v>126615</v>
      </c>
      <c r="C6" s="6">
        <v>91906</v>
      </c>
      <c r="D6" s="6">
        <v>73644</v>
      </c>
      <c r="E6" s="6">
        <v>43963</v>
      </c>
      <c r="F6" s="6">
        <v>30324</v>
      </c>
    </row>
    <row r="7" spans="1:10" s="10" customFormat="1" x14ac:dyDescent="0.2">
      <c r="A7" s="5" t="s">
        <v>5</v>
      </c>
      <c r="B7" s="6"/>
      <c r="C7" s="6"/>
      <c r="D7" s="6"/>
      <c r="E7" s="6"/>
      <c r="F7" s="6"/>
      <c r="J7" s="10" t="s">
        <v>59</v>
      </c>
    </row>
    <row r="8" spans="1:10" x14ac:dyDescent="0.2">
      <c r="A8" s="5" t="s">
        <v>6</v>
      </c>
      <c r="B8" s="6"/>
      <c r="C8" s="6"/>
      <c r="D8" s="6"/>
      <c r="E8" s="6"/>
      <c r="F8" s="6"/>
    </row>
    <row r="9" spans="1:10" x14ac:dyDescent="0.2">
      <c r="A9" s="5" t="s">
        <v>7</v>
      </c>
      <c r="B9" s="6">
        <v>26584</v>
      </c>
      <c r="C9" s="6">
        <v>27466</v>
      </c>
      <c r="D9" s="6">
        <v>27466</v>
      </c>
      <c r="E9" s="6">
        <v>27466</v>
      </c>
      <c r="F9" s="6">
        <v>20584</v>
      </c>
    </row>
    <row r="10" spans="1:10" x14ac:dyDescent="0.2">
      <c r="A10" s="5" t="s">
        <v>8</v>
      </c>
      <c r="B10" s="6">
        <v>200967</v>
      </c>
      <c r="C10" s="6">
        <v>233416</v>
      </c>
      <c r="D10" s="6">
        <v>262886</v>
      </c>
      <c r="E10" s="6">
        <v>89467</v>
      </c>
      <c r="F10" s="6">
        <v>20380</v>
      </c>
      <c r="J10" s="2" t="s">
        <v>60</v>
      </c>
    </row>
    <row r="11" spans="1:10" x14ac:dyDescent="0.2">
      <c r="A11" s="3" t="s">
        <v>9</v>
      </c>
      <c r="B11" s="4">
        <f>B12+B13+B14+B15+B16+B17</f>
        <v>6314583</v>
      </c>
      <c r="C11" s="4">
        <f>C12+C13+C14+C15+C16+C17</f>
        <v>6444984</v>
      </c>
      <c r="D11" s="4">
        <f>D12+D13+D14+D15+D16+D17</f>
        <v>4900360</v>
      </c>
      <c r="E11" s="4">
        <f>E12+E13+E14+E15+E16+E17</f>
        <v>3073693</v>
      </c>
      <c r="F11" s="4">
        <f>F12+F13+F14+F15+F16+F17</f>
        <v>3866439</v>
      </c>
    </row>
    <row r="12" spans="1:10" x14ac:dyDescent="0.2">
      <c r="A12" s="5" t="s">
        <v>10</v>
      </c>
      <c r="B12" s="6"/>
      <c r="C12" s="6"/>
      <c r="D12" s="6"/>
      <c r="E12" s="6"/>
      <c r="F12" s="6"/>
    </row>
    <row r="13" spans="1:10" x14ac:dyDescent="0.2">
      <c r="A13" s="5" t="s">
        <v>11</v>
      </c>
      <c r="B13" s="6">
        <v>4633105</v>
      </c>
      <c r="C13" s="6">
        <v>3910982</v>
      </c>
      <c r="D13" s="6">
        <v>1803038</v>
      </c>
      <c r="E13" s="6">
        <v>2625957</v>
      </c>
      <c r="F13" s="6">
        <v>3627776</v>
      </c>
      <c r="J13" s="2" t="s">
        <v>61</v>
      </c>
    </row>
    <row r="14" spans="1:10" x14ac:dyDescent="0.2">
      <c r="A14" s="5" t="s">
        <v>12</v>
      </c>
      <c r="B14" s="6"/>
      <c r="C14" s="6"/>
      <c r="D14" s="6"/>
      <c r="E14" s="6"/>
      <c r="F14" s="6"/>
    </row>
    <row r="15" spans="1:10" x14ac:dyDescent="0.2">
      <c r="A15" s="5" t="s">
        <v>13</v>
      </c>
      <c r="B15" s="6"/>
      <c r="C15" s="6"/>
      <c r="D15" s="6"/>
      <c r="E15" s="6"/>
      <c r="F15" s="6"/>
    </row>
    <row r="16" spans="1:10" x14ac:dyDescent="0.2">
      <c r="A16" s="5" t="s">
        <v>14</v>
      </c>
      <c r="B16" s="6"/>
      <c r="C16" s="6"/>
      <c r="D16" s="6"/>
      <c r="E16" s="6"/>
      <c r="F16" s="6"/>
      <c r="J16" s="2" t="s">
        <v>62</v>
      </c>
    </row>
    <row r="17" spans="1:10" x14ac:dyDescent="0.2">
      <c r="A17" s="5" t="s">
        <v>15</v>
      </c>
      <c r="B17" s="6">
        <f t="shared" ref="B17:F17" si="3">+B18</f>
        <v>1681478</v>
      </c>
      <c r="C17" s="6">
        <f t="shared" si="3"/>
        <v>2534002</v>
      </c>
      <c r="D17" s="6">
        <f t="shared" si="3"/>
        <v>3097322</v>
      </c>
      <c r="E17" s="6">
        <f t="shared" si="3"/>
        <v>447736</v>
      </c>
      <c r="F17" s="6">
        <f t="shared" si="3"/>
        <v>238663</v>
      </c>
    </row>
    <row r="18" spans="1:10" x14ac:dyDescent="0.2">
      <c r="A18" s="8" t="s">
        <v>16</v>
      </c>
      <c r="B18" s="9">
        <v>1681478</v>
      </c>
      <c r="C18" s="9">
        <v>2534002</v>
      </c>
      <c r="D18" s="9">
        <v>3097322</v>
      </c>
      <c r="E18" s="9">
        <v>447736</v>
      </c>
      <c r="F18" s="9">
        <v>238663</v>
      </c>
    </row>
    <row r="19" spans="1:10" x14ac:dyDescent="0.2">
      <c r="A19" s="3" t="s">
        <v>17</v>
      </c>
      <c r="B19" s="4">
        <f>B4+B11</f>
        <v>6671299</v>
      </c>
      <c r="C19" s="4">
        <f>C4+C11</f>
        <v>6800508</v>
      </c>
      <c r="D19" s="4">
        <f>D4+D11</f>
        <v>5266082</v>
      </c>
      <c r="E19" s="4">
        <f>E4+E11</f>
        <v>3235412</v>
      </c>
      <c r="F19" s="4">
        <f>F4+F11</f>
        <v>3937781</v>
      </c>
      <c r="J19" s="2" t="s">
        <v>63</v>
      </c>
    </row>
    <row r="21" spans="1:10" x14ac:dyDescent="0.2">
      <c r="A21" s="1" t="s">
        <v>18</v>
      </c>
      <c r="B21" s="11"/>
      <c r="C21" s="11"/>
      <c r="D21" s="11"/>
      <c r="E21" s="11"/>
      <c r="F21" s="11"/>
      <c r="J21" s="2" t="s">
        <v>64</v>
      </c>
    </row>
    <row r="23" spans="1:10" x14ac:dyDescent="0.2">
      <c r="A23" s="3" t="s">
        <v>1</v>
      </c>
      <c r="B23" s="3">
        <v>2018</v>
      </c>
      <c r="C23" s="3">
        <v>2019</v>
      </c>
      <c r="D23" s="3">
        <v>2020</v>
      </c>
      <c r="E23" s="3">
        <v>2021</v>
      </c>
      <c r="F23" s="3">
        <v>2022</v>
      </c>
      <c r="J23" s="2" t="s">
        <v>65</v>
      </c>
    </row>
    <row r="24" spans="1:10" x14ac:dyDescent="0.2">
      <c r="A24" s="3" t="s">
        <v>19</v>
      </c>
      <c r="B24" s="4">
        <f t="shared" ref="B24:E24" si="4">+B25+B31</f>
        <v>950602</v>
      </c>
      <c r="C24" s="4">
        <f t="shared" si="4"/>
        <v>1192014</v>
      </c>
      <c r="D24" s="4">
        <f t="shared" si="4"/>
        <v>1212634</v>
      </c>
      <c r="E24" s="4">
        <f t="shared" si="4"/>
        <v>1087424</v>
      </c>
      <c r="F24" s="4">
        <f t="shared" ref="F24" si="5">+F25+F31</f>
        <v>1346800</v>
      </c>
    </row>
    <row r="25" spans="1:10" x14ac:dyDescent="0.2">
      <c r="A25" s="5" t="s">
        <v>20</v>
      </c>
      <c r="B25" s="6">
        <f>B26+B27+B28+B29+B30</f>
        <v>943935</v>
      </c>
      <c r="C25" s="6">
        <f>C26+C27+C28+C29+C30</f>
        <v>1186947</v>
      </c>
      <c r="D25" s="6">
        <f>D26+D27+D28+D29+D30</f>
        <v>1209167</v>
      </c>
      <c r="E25" s="6">
        <f>E26+E27+E28+E29+E30</f>
        <v>1085557</v>
      </c>
      <c r="F25" s="6">
        <f>F26+F27+F28+F29+F30</f>
        <v>1346800</v>
      </c>
    </row>
    <row r="26" spans="1:10" x14ac:dyDescent="0.2">
      <c r="A26" s="8" t="s">
        <v>21</v>
      </c>
      <c r="B26" s="9">
        <v>180000</v>
      </c>
      <c r="C26" s="9">
        <v>180000</v>
      </c>
      <c r="D26" s="9">
        <v>180000</v>
      </c>
      <c r="E26" s="9">
        <v>180000</v>
      </c>
      <c r="F26" s="9">
        <v>180000</v>
      </c>
      <c r="J26" s="2" t="s">
        <v>66</v>
      </c>
    </row>
    <row r="27" spans="1:10" x14ac:dyDescent="0.2">
      <c r="A27" s="8" t="s">
        <v>22</v>
      </c>
      <c r="B27" s="9"/>
      <c r="C27" s="9"/>
      <c r="D27" s="9"/>
      <c r="E27" s="9"/>
      <c r="F27" s="9"/>
      <c r="J27" s="2" t="s">
        <v>67</v>
      </c>
    </row>
    <row r="28" spans="1:10" x14ac:dyDescent="0.2">
      <c r="A28" s="8" t="s">
        <v>23</v>
      </c>
      <c r="B28" s="9">
        <v>503684</v>
      </c>
      <c r="C28" s="9">
        <v>503684</v>
      </c>
      <c r="D28" s="9">
        <v>746696</v>
      </c>
      <c r="E28" s="9">
        <v>58221</v>
      </c>
      <c r="F28" s="9">
        <v>905557</v>
      </c>
    </row>
    <row r="29" spans="1:10" x14ac:dyDescent="0.2">
      <c r="A29" s="8" t="s">
        <v>24</v>
      </c>
      <c r="B29" s="9"/>
      <c r="C29" s="9">
        <v>260251</v>
      </c>
      <c r="D29" s="9">
        <v>260251</v>
      </c>
      <c r="E29" s="9"/>
      <c r="F29" s="9"/>
      <c r="J29" s="2" t="s">
        <v>68</v>
      </c>
    </row>
    <row r="30" spans="1:10" x14ac:dyDescent="0.2">
      <c r="A30" s="8" t="s">
        <v>25</v>
      </c>
      <c r="B30" s="9">
        <f>+'Cuentas PyG'!B22</f>
        <v>260251</v>
      </c>
      <c r="C30" s="9">
        <f>+'Cuentas PyG'!C22</f>
        <v>243012</v>
      </c>
      <c r="D30" s="9">
        <f>+'Cuentas PyG'!D22</f>
        <v>22220</v>
      </c>
      <c r="E30" s="9">
        <f>+'Cuentas PyG'!E22</f>
        <v>847336</v>
      </c>
      <c r="F30" s="9">
        <f>+'Cuentas PyG'!F22</f>
        <v>261243</v>
      </c>
    </row>
    <row r="31" spans="1:10" x14ac:dyDescent="0.2">
      <c r="A31" s="5" t="s">
        <v>58</v>
      </c>
      <c r="B31" s="6">
        <v>6667</v>
      </c>
      <c r="C31" s="6">
        <v>5067</v>
      </c>
      <c r="D31" s="6">
        <v>3467</v>
      </c>
      <c r="E31" s="6">
        <v>1867</v>
      </c>
      <c r="F31" s="6"/>
      <c r="J31" s="2" t="s">
        <v>69</v>
      </c>
    </row>
    <row r="32" spans="1:10" x14ac:dyDescent="0.2">
      <c r="A32" s="3" t="s">
        <v>26</v>
      </c>
      <c r="B32" s="4">
        <f>B33+B34+B35+B36+B37</f>
        <v>0</v>
      </c>
      <c r="C32" s="4">
        <f>C33+C34+C35+C36+C37</f>
        <v>0</v>
      </c>
      <c r="D32" s="4">
        <f>D33+D34+D35+D36+D37</f>
        <v>0</v>
      </c>
      <c r="E32" s="4">
        <f>E33+E34+E35+E36+E37</f>
        <v>0</v>
      </c>
      <c r="F32" s="4">
        <f>F33+F34+F35+F36+F37</f>
        <v>0</v>
      </c>
    </row>
    <row r="33" spans="1:12" x14ac:dyDescent="0.2">
      <c r="A33" s="5" t="s">
        <v>27</v>
      </c>
      <c r="B33" s="6"/>
      <c r="C33" s="6"/>
      <c r="D33" s="6"/>
      <c r="E33" s="6"/>
      <c r="F33" s="6"/>
    </row>
    <row r="34" spans="1:12" x14ac:dyDescent="0.2">
      <c r="A34" s="5" t="s">
        <v>28</v>
      </c>
      <c r="B34" s="6"/>
      <c r="C34" s="6"/>
      <c r="D34" s="6"/>
      <c r="E34" s="6"/>
      <c r="F34" s="6"/>
      <c r="L34" s="2" t="s">
        <v>70</v>
      </c>
    </row>
    <row r="35" spans="1:12" x14ac:dyDescent="0.2">
      <c r="A35" s="5" t="s">
        <v>29</v>
      </c>
      <c r="B35" s="6"/>
      <c r="C35" s="6"/>
      <c r="D35" s="6"/>
      <c r="E35" s="6"/>
      <c r="F35" s="6"/>
    </row>
    <row r="36" spans="1:12" x14ac:dyDescent="0.2">
      <c r="A36" s="5" t="s">
        <v>30</v>
      </c>
      <c r="B36" s="6"/>
      <c r="C36" s="6"/>
      <c r="D36" s="6"/>
      <c r="E36" s="6"/>
      <c r="F36" s="6"/>
      <c r="K36" s="2" t="s">
        <v>71</v>
      </c>
    </row>
    <row r="37" spans="1:12" x14ac:dyDescent="0.2">
      <c r="A37" s="5" t="s">
        <v>31</v>
      </c>
      <c r="B37" s="6"/>
      <c r="C37" s="6"/>
      <c r="D37" s="6"/>
      <c r="E37" s="6"/>
      <c r="F37" s="6"/>
    </row>
    <row r="38" spans="1:12" x14ac:dyDescent="0.2">
      <c r="A38" s="3" t="s">
        <v>32</v>
      </c>
      <c r="B38" s="4">
        <f>B39+B40+B41+B42+B43</f>
        <v>5720697</v>
      </c>
      <c r="C38" s="4">
        <f>C39+C40+C41+C42+C43</f>
        <v>5608494</v>
      </c>
      <c r="D38" s="4">
        <f>D39+D40+D41+D42+D43</f>
        <v>4053448</v>
      </c>
      <c r="E38" s="4">
        <f>E39+E40+E41+E42+E43</f>
        <v>2147988</v>
      </c>
      <c r="F38" s="4">
        <f>F39+F40+F41+F42+F43</f>
        <v>2590981</v>
      </c>
      <c r="K38" s="2" t="s">
        <v>72</v>
      </c>
    </row>
    <row r="39" spans="1:12" x14ac:dyDescent="0.2">
      <c r="A39" s="5" t="s">
        <v>33</v>
      </c>
      <c r="B39" s="6"/>
      <c r="C39" s="6"/>
      <c r="D39" s="6"/>
      <c r="E39" s="6"/>
      <c r="F39" s="6"/>
    </row>
    <row r="40" spans="1:12" x14ac:dyDescent="0.2">
      <c r="A40" s="5" t="s">
        <v>34</v>
      </c>
      <c r="B40" s="6"/>
      <c r="C40" s="6"/>
      <c r="D40" s="6"/>
      <c r="E40" s="6"/>
      <c r="F40" s="6"/>
      <c r="G40" s="12"/>
      <c r="H40" s="12"/>
      <c r="I40" s="12"/>
      <c r="J40" s="12"/>
      <c r="K40" s="12"/>
    </row>
    <row r="41" spans="1:12" x14ac:dyDescent="0.2">
      <c r="A41" s="5" t="s">
        <v>35</v>
      </c>
      <c r="B41" s="6">
        <v>918747</v>
      </c>
      <c r="C41" s="6">
        <v>1032055</v>
      </c>
      <c r="D41" s="6">
        <v>1069071</v>
      </c>
      <c r="E41" s="6"/>
      <c r="F41" s="6"/>
      <c r="J41" s="2" t="s">
        <v>73</v>
      </c>
    </row>
    <row r="42" spans="1:12" x14ac:dyDescent="0.2">
      <c r="A42" s="5" t="s">
        <v>36</v>
      </c>
      <c r="B42" s="6">
        <v>4801950</v>
      </c>
      <c r="C42" s="6">
        <v>4576439</v>
      </c>
      <c r="D42" s="6">
        <v>2984377</v>
      </c>
      <c r="E42" s="6">
        <v>2147988</v>
      </c>
      <c r="F42" s="6">
        <v>2590981</v>
      </c>
    </row>
    <row r="43" spans="1:12" x14ac:dyDescent="0.2">
      <c r="A43" s="5" t="s">
        <v>14</v>
      </c>
      <c r="B43" s="6"/>
      <c r="C43" s="6"/>
      <c r="D43" s="6"/>
      <c r="E43" s="6"/>
      <c r="F43" s="6"/>
    </row>
    <row r="44" spans="1:12" x14ac:dyDescent="0.2">
      <c r="A44" s="3" t="s">
        <v>37</v>
      </c>
      <c r="B44" s="4">
        <f>B24+B32+B38</f>
        <v>6671299</v>
      </c>
      <c r="C44" s="4">
        <f>C24+C32+C38</f>
        <v>6800508</v>
      </c>
      <c r="D44" s="4">
        <f>D24+D32+D38</f>
        <v>5266082</v>
      </c>
      <c r="E44" s="4">
        <f>E24+E32+E38</f>
        <v>3235412</v>
      </c>
      <c r="F44" s="4">
        <f>F24+F32+F38</f>
        <v>3937781</v>
      </c>
    </row>
    <row r="45" spans="1:12" x14ac:dyDescent="0.2">
      <c r="B45" s="7"/>
      <c r="C45" s="7"/>
      <c r="D45" s="7"/>
      <c r="E45" s="7"/>
      <c r="F45" s="7"/>
    </row>
  </sheetData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EC13-9B89-4CFB-8A7F-7252D28371CE}">
  <dimension ref="A1:N48"/>
  <sheetViews>
    <sheetView tabSelected="1" topLeftCell="A28" workbookViewId="0">
      <selection activeCell="A28" sqref="A1:XFD1048576"/>
    </sheetView>
  </sheetViews>
  <sheetFormatPr defaultColWidth="11.7109375" defaultRowHeight="12.75" x14ac:dyDescent="0.2"/>
  <cols>
    <col min="1" max="1" width="45.5703125" style="2" bestFit="1" customWidth="1"/>
    <col min="2" max="6" width="11.5703125" style="2" customWidth="1"/>
    <col min="7" max="8" width="12.5703125" style="2" bestFit="1" customWidth="1"/>
    <col min="9" max="13" width="11.7109375" style="2"/>
    <col min="14" max="14" width="29.140625" style="2" customWidth="1"/>
    <col min="15" max="249" width="11.7109375" style="2"/>
    <col min="250" max="250" width="45.5703125" style="2" bestFit="1" customWidth="1"/>
    <col min="251" max="505" width="11.7109375" style="2"/>
    <col min="506" max="506" width="45.5703125" style="2" bestFit="1" customWidth="1"/>
    <col min="507" max="761" width="11.7109375" style="2"/>
    <col min="762" max="762" width="45.5703125" style="2" bestFit="1" customWidth="1"/>
    <col min="763" max="1017" width="11.7109375" style="2"/>
    <col min="1018" max="1018" width="45.5703125" style="2" bestFit="1" customWidth="1"/>
    <col min="1019" max="1273" width="11.7109375" style="2"/>
    <col min="1274" max="1274" width="45.5703125" style="2" bestFit="1" customWidth="1"/>
    <col min="1275" max="1529" width="11.7109375" style="2"/>
    <col min="1530" max="1530" width="45.5703125" style="2" bestFit="1" customWidth="1"/>
    <col min="1531" max="1785" width="11.7109375" style="2"/>
    <col min="1786" max="1786" width="45.5703125" style="2" bestFit="1" customWidth="1"/>
    <col min="1787" max="2041" width="11.7109375" style="2"/>
    <col min="2042" max="2042" width="45.5703125" style="2" bestFit="1" customWidth="1"/>
    <col min="2043" max="2297" width="11.7109375" style="2"/>
    <col min="2298" max="2298" width="45.5703125" style="2" bestFit="1" customWidth="1"/>
    <col min="2299" max="2553" width="11.7109375" style="2"/>
    <col min="2554" max="2554" width="45.5703125" style="2" bestFit="1" customWidth="1"/>
    <col min="2555" max="2809" width="11.7109375" style="2"/>
    <col min="2810" max="2810" width="45.5703125" style="2" bestFit="1" customWidth="1"/>
    <col min="2811" max="3065" width="11.7109375" style="2"/>
    <col min="3066" max="3066" width="45.5703125" style="2" bestFit="1" customWidth="1"/>
    <col min="3067" max="3321" width="11.7109375" style="2"/>
    <col min="3322" max="3322" width="45.5703125" style="2" bestFit="1" customWidth="1"/>
    <col min="3323" max="3577" width="11.7109375" style="2"/>
    <col min="3578" max="3578" width="45.5703125" style="2" bestFit="1" customWidth="1"/>
    <col min="3579" max="3833" width="11.7109375" style="2"/>
    <col min="3834" max="3834" width="45.5703125" style="2" bestFit="1" customWidth="1"/>
    <col min="3835" max="4089" width="11.7109375" style="2"/>
    <col min="4090" max="4090" width="45.5703125" style="2" bestFit="1" customWidth="1"/>
    <col min="4091" max="4345" width="11.7109375" style="2"/>
    <col min="4346" max="4346" width="45.5703125" style="2" bestFit="1" customWidth="1"/>
    <col min="4347" max="4601" width="11.7109375" style="2"/>
    <col min="4602" max="4602" width="45.5703125" style="2" bestFit="1" customWidth="1"/>
    <col min="4603" max="4857" width="11.7109375" style="2"/>
    <col min="4858" max="4858" width="45.5703125" style="2" bestFit="1" customWidth="1"/>
    <col min="4859" max="5113" width="11.7109375" style="2"/>
    <col min="5114" max="5114" width="45.5703125" style="2" bestFit="1" customWidth="1"/>
    <col min="5115" max="5369" width="11.7109375" style="2"/>
    <col min="5370" max="5370" width="45.5703125" style="2" bestFit="1" customWidth="1"/>
    <col min="5371" max="5625" width="11.7109375" style="2"/>
    <col min="5626" max="5626" width="45.5703125" style="2" bestFit="1" customWidth="1"/>
    <col min="5627" max="5881" width="11.7109375" style="2"/>
    <col min="5882" max="5882" width="45.5703125" style="2" bestFit="1" customWidth="1"/>
    <col min="5883" max="6137" width="11.7109375" style="2"/>
    <col min="6138" max="6138" width="45.5703125" style="2" bestFit="1" customWidth="1"/>
    <col min="6139" max="6393" width="11.7109375" style="2"/>
    <col min="6394" max="6394" width="45.5703125" style="2" bestFit="1" customWidth="1"/>
    <col min="6395" max="6649" width="11.7109375" style="2"/>
    <col min="6650" max="6650" width="45.5703125" style="2" bestFit="1" customWidth="1"/>
    <col min="6651" max="6905" width="11.7109375" style="2"/>
    <col min="6906" max="6906" width="45.5703125" style="2" bestFit="1" customWidth="1"/>
    <col min="6907" max="7161" width="11.7109375" style="2"/>
    <col min="7162" max="7162" width="45.5703125" style="2" bestFit="1" customWidth="1"/>
    <col min="7163" max="7417" width="11.7109375" style="2"/>
    <col min="7418" max="7418" width="45.5703125" style="2" bestFit="1" customWidth="1"/>
    <col min="7419" max="7673" width="11.7109375" style="2"/>
    <col min="7674" max="7674" width="45.5703125" style="2" bestFit="1" customWidth="1"/>
    <col min="7675" max="7929" width="11.7109375" style="2"/>
    <col min="7930" max="7930" width="45.5703125" style="2" bestFit="1" customWidth="1"/>
    <col min="7931" max="8185" width="11.7109375" style="2"/>
    <col min="8186" max="8186" width="45.5703125" style="2" bestFit="1" customWidth="1"/>
    <col min="8187" max="8441" width="11.7109375" style="2"/>
    <col min="8442" max="8442" width="45.5703125" style="2" bestFit="1" customWidth="1"/>
    <col min="8443" max="8697" width="11.7109375" style="2"/>
    <col min="8698" max="8698" width="45.5703125" style="2" bestFit="1" customWidth="1"/>
    <col min="8699" max="8953" width="11.7109375" style="2"/>
    <col min="8954" max="8954" width="45.5703125" style="2" bestFit="1" customWidth="1"/>
    <col min="8955" max="9209" width="11.7109375" style="2"/>
    <col min="9210" max="9210" width="45.5703125" style="2" bestFit="1" customWidth="1"/>
    <col min="9211" max="9465" width="11.7109375" style="2"/>
    <col min="9466" max="9466" width="45.5703125" style="2" bestFit="1" customWidth="1"/>
    <col min="9467" max="9721" width="11.7109375" style="2"/>
    <col min="9722" max="9722" width="45.5703125" style="2" bestFit="1" customWidth="1"/>
    <col min="9723" max="9977" width="11.7109375" style="2"/>
    <col min="9978" max="9978" width="45.5703125" style="2" bestFit="1" customWidth="1"/>
    <col min="9979" max="10233" width="11.7109375" style="2"/>
    <col min="10234" max="10234" width="45.5703125" style="2" bestFit="1" customWidth="1"/>
    <col min="10235" max="10489" width="11.7109375" style="2"/>
    <col min="10490" max="10490" width="45.5703125" style="2" bestFit="1" customWidth="1"/>
    <col min="10491" max="10745" width="11.7109375" style="2"/>
    <col min="10746" max="10746" width="45.5703125" style="2" bestFit="1" customWidth="1"/>
    <col min="10747" max="11001" width="11.7109375" style="2"/>
    <col min="11002" max="11002" width="45.5703125" style="2" bestFit="1" customWidth="1"/>
    <col min="11003" max="11257" width="11.7109375" style="2"/>
    <col min="11258" max="11258" width="45.5703125" style="2" bestFit="1" customWidth="1"/>
    <col min="11259" max="11513" width="11.7109375" style="2"/>
    <col min="11514" max="11514" width="45.5703125" style="2" bestFit="1" customWidth="1"/>
    <col min="11515" max="11769" width="11.7109375" style="2"/>
    <col min="11770" max="11770" width="45.5703125" style="2" bestFit="1" customWidth="1"/>
    <col min="11771" max="12025" width="11.7109375" style="2"/>
    <col min="12026" max="12026" width="45.5703125" style="2" bestFit="1" customWidth="1"/>
    <col min="12027" max="12281" width="11.7109375" style="2"/>
    <col min="12282" max="12282" width="45.5703125" style="2" bestFit="1" customWidth="1"/>
    <col min="12283" max="12537" width="11.7109375" style="2"/>
    <col min="12538" max="12538" width="45.5703125" style="2" bestFit="1" customWidth="1"/>
    <col min="12539" max="12793" width="11.7109375" style="2"/>
    <col min="12794" max="12794" width="45.5703125" style="2" bestFit="1" customWidth="1"/>
    <col min="12795" max="13049" width="11.7109375" style="2"/>
    <col min="13050" max="13050" width="45.5703125" style="2" bestFit="1" customWidth="1"/>
    <col min="13051" max="13305" width="11.7109375" style="2"/>
    <col min="13306" max="13306" width="45.5703125" style="2" bestFit="1" customWidth="1"/>
    <col min="13307" max="13561" width="11.7109375" style="2"/>
    <col min="13562" max="13562" width="45.5703125" style="2" bestFit="1" customWidth="1"/>
    <col min="13563" max="13817" width="11.7109375" style="2"/>
    <col min="13818" max="13818" width="45.5703125" style="2" bestFit="1" customWidth="1"/>
    <col min="13819" max="14073" width="11.7109375" style="2"/>
    <col min="14074" max="14074" width="45.5703125" style="2" bestFit="1" customWidth="1"/>
    <col min="14075" max="14329" width="11.7109375" style="2"/>
    <col min="14330" max="14330" width="45.5703125" style="2" bestFit="1" customWidth="1"/>
    <col min="14331" max="14585" width="11.7109375" style="2"/>
    <col min="14586" max="14586" width="45.5703125" style="2" bestFit="1" customWidth="1"/>
    <col min="14587" max="14841" width="11.7109375" style="2"/>
    <col min="14842" max="14842" width="45.5703125" style="2" bestFit="1" customWidth="1"/>
    <col min="14843" max="15097" width="11.7109375" style="2"/>
    <col min="15098" max="15098" width="45.5703125" style="2" bestFit="1" customWidth="1"/>
    <col min="15099" max="15353" width="11.7109375" style="2"/>
    <col min="15354" max="15354" width="45.5703125" style="2" bestFit="1" customWidth="1"/>
    <col min="15355" max="15609" width="11.7109375" style="2"/>
    <col min="15610" max="15610" width="45.5703125" style="2" bestFit="1" customWidth="1"/>
    <col min="15611" max="15865" width="11.7109375" style="2"/>
    <col min="15866" max="15866" width="45.5703125" style="2" bestFit="1" customWidth="1"/>
    <col min="15867" max="16121" width="11.7109375" style="2"/>
    <col min="16122" max="16122" width="45.5703125" style="2" bestFit="1" customWidth="1"/>
    <col min="16123" max="16384" width="11.7109375" style="2"/>
  </cols>
  <sheetData>
    <row r="1" spans="1:8" x14ac:dyDescent="0.2">
      <c r="A1" s="1" t="s">
        <v>38</v>
      </c>
      <c r="B1" s="1"/>
      <c r="C1" s="1"/>
      <c r="D1" s="1"/>
      <c r="E1" s="1"/>
      <c r="F1" s="1"/>
    </row>
    <row r="3" spans="1:8" x14ac:dyDescent="0.2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8" x14ac:dyDescent="0.2">
      <c r="A4" s="5" t="s">
        <v>39</v>
      </c>
      <c r="B4" s="6">
        <v>14175032</v>
      </c>
      <c r="C4" s="6">
        <v>15084250</v>
      </c>
      <c r="D4" s="6">
        <v>10507821</v>
      </c>
      <c r="E4" s="6">
        <v>9339767</v>
      </c>
      <c r="F4" s="6">
        <v>7225733</v>
      </c>
      <c r="H4" s="14">
        <f>(F4-E4)/E4</f>
        <v>-0.22634761659471805</v>
      </c>
    </row>
    <row r="5" spans="1:8" x14ac:dyDescent="0.2">
      <c r="A5" s="5" t="s">
        <v>40</v>
      </c>
      <c r="B5" s="6"/>
      <c r="C5" s="6"/>
      <c r="D5" s="6"/>
      <c r="E5" s="6"/>
      <c r="F5" s="6"/>
    </row>
    <row r="6" spans="1:8" x14ac:dyDescent="0.2">
      <c r="A6" s="5" t="s">
        <v>41</v>
      </c>
      <c r="B6" s="6">
        <v>-3078853</v>
      </c>
      <c r="C6" s="6">
        <v>-2774939</v>
      </c>
      <c r="D6" s="6">
        <v>-907800</v>
      </c>
      <c r="E6" s="6">
        <v>-1244850</v>
      </c>
      <c r="F6" s="6">
        <v>-2212833</v>
      </c>
    </row>
    <row r="7" spans="1:8" x14ac:dyDescent="0.2">
      <c r="A7" s="5" t="s">
        <v>42</v>
      </c>
      <c r="B7" s="6"/>
      <c r="C7" s="6"/>
      <c r="D7" s="6">
        <v>520147</v>
      </c>
      <c r="E7" s="6"/>
      <c r="F7" s="6"/>
    </row>
    <row r="8" spans="1:8" x14ac:dyDescent="0.2">
      <c r="A8" s="5" t="s">
        <v>43</v>
      </c>
      <c r="B8" s="6">
        <v>-6498849</v>
      </c>
      <c r="C8" s="6">
        <v>-7549155</v>
      </c>
      <c r="D8" s="6">
        <v>-6752584</v>
      </c>
      <c r="E8" s="6">
        <v>-4186778</v>
      </c>
      <c r="F8" s="6">
        <v>-2784096</v>
      </c>
      <c r="G8" s="12">
        <f>E8/$E$4</f>
        <v>-0.44827435202612659</v>
      </c>
      <c r="H8" s="12">
        <f>F8/$F$4</f>
        <v>-0.38530291667295208</v>
      </c>
    </row>
    <row r="9" spans="1:8" x14ac:dyDescent="0.2">
      <c r="A9" s="5" t="s">
        <v>44</v>
      </c>
      <c r="B9" s="6">
        <v>-4197927</v>
      </c>
      <c r="C9" s="6">
        <v>-4422426</v>
      </c>
      <c r="D9" s="6">
        <v>-3308146</v>
      </c>
      <c r="E9" s="6">
        <v>-3521544</v>
      </c>
      <c r="F9" s="6">
        <v>-1855704</v>
      </c>
      <c r="G9" s="12">
        <f>E9/$E$4</f>
        <v>-0.3770483781875929</v>
      </c>
      <c r="H9" s="12">
        <f>F9/$F$4</f>
        <v>-0.25681878918028106</v>
      </c>
    </row>
    <row r="10" spans="1:8" x14ac:dyDescent="0.2">
      <c r="A10" s="5" t="s">
        <v>45</v>
      </c>
      <c r="B10" s="6">
        <v>-39922</v>
      </c>
      <c r="C10" s="6">
        <v>-35544</v>
      </c>
      <c r="D10" s="6">
        <v>-34474</v>
      </c>
      <c r="E10" s="6">
        <v>-35202</v>
      </c>
      <c r="F10" s="6">
        <v>-16687</v>
      </c>
    </row>
    <row r="11" spans="1:8" x14ac:dyDescent="0.2">
      <c r="A11" s="5" t="s">
        <v>46</v>
      </c>
      <c r="B11" s="6">
        <v>1333</v>
      </c>
      <c r="C11" s="6">
        <v>1600</v>
      </c>
      <c r="D11" s="6">
        <v>1600</v>
      </c>
      <c r="E11" s="6">
        <v>1600</v>
      </c>
      <c r="F11" s="6">
        <v>1867</v>
      </c>
    </row>
    <row r="12" spans="1:8" x14ac:dyDescent="0.2">
      <c r="A12" s="5" t="s">
        <v>47</v>
      </c>
      <c r="B12" s="6"/>
      <c r="C12" s="6"/>
      <c r="D12" s="6"/>
      <c r="E12" s="6">
        <v>773114</v>
      </c>
      <c r="F12" s="6"/>
    </row>
    <row r="13" spans="1:8" x14ac:dyDescent="0.2">
      <c r="A13" s="5" t="s">
        <v>48</v>
      </c>
      <c r="B13" s="6">
        <v>2956</v>
      </c>
      <c r="C13" s="6"/>
      <c r="D13" s="6"/>
      <c r="E13" s="6"/>
      <c r="F13" s="6"/>
    </row>
    <row r="14" spans="1:8" x14ac:dyDescent="0.2">
      <c r="A14" s="5" t="s">
        <v>49</v>
      </c>
      <c r="B14" s="6"/>
      <c r="C14" s="6"/>
      <c r="D14" s="6"/>
      <c r="E14" s="6"/>
      <c r="F14" s="6"/>
    </row>
    <row r="15" spans="1:8" x14ac:dyDescent="0.2">
      <c r="A15" s="3" t="s">
        <v>50</v>
      </c>
      <c r="B15" s="4">
        <f>B4+B5+B6+B7+B8+B9+B10+B11+B12+B13+B14</f>
        <v>363770</v>
      </c>
      <c r="C15" s="4">
        <f>C4+C5+C6+C7+C8+C9+C10+C11+C12+C13+C14</f>
        <v>303786</v>
      </c>
      <c r="D15" s="4">
        <f>D4+D5+D6+D7+D8+D9+D10+D11+D12+D13+D14</f>
        <v>26564</v>
      </c>
      <c r="E15" s="4">
        <f>E4+E5+E6+E7+E8+E9+E10+E11+E12+E13+E14</f>
        <v>1126107</v>
      </c>
      <c r="F15" s="4">
        <f>F4+F5+F6+F7+F8+F9+F10+F11+F12+F13+F14</f>
        <v>358280</v>
      </c>
    </row>
    <row r="16" spans="1:8" x14ac:dyDescent="0.2">
      <c r="A16" s="5" t="s">
        <v>51</v>
      </c>
      <c r="B16" s="6">
        <v>2411</v>
      </c>
      <c r="C16" s="6">
        <v>21462</v>
      </c>
      <c r="D16" s="6">
        <v>33506</v>
      </c>
      <c r="E16" s="6">
        <v>19412</v>
      </c>
      <c r="F16" s="6">
        <v>82</v>
      </c>
    </row>
    <row r="17" spans="1:14" x14ac:dyDescent="0.2">
      <c r="A17" s="5" t="s">
        <v>52</v>
      </c>
      <c r="B17" s="6">
        <v>-18275</v>
      </c>
      <c r="C17" s="6">
        <v>-730</v>
      </c>
      <c r="D17" s="6">
        <v>-25448</v>
      </c>
      <c r="E17" s="6">
        <v>-20034</v>
      </c>
      <c r="F17" s="6">
        <v>-4866</v>
      </c>
    </row>
    <row r="18" spans="1:14" x14ac:dyDescent="0.2">
      <c r="A18" s="5" t="s">
        <v>53</v>
      </c>
      <c r="B18" s="6"/>
      <c r="C18" s="6"/>
      <c r="D18" s="6">
        <v>-4856</v>
      </c>
      <c r="E18" s="6"/>
      <c r="F18" s="6">
        <v>-4</v>
      </c>
    </row>
    <row r="19" spans="1:14" x14ac:dyDescent="0.2">
      <c r="A19" s="5" t="s">
        <v>54</v>
      </c>
      <c r="B19" s="6"/>
      <c r="C19" s="6"/>
      <c r="D19" s="6"/>
      <c r="E19" s="6"/>
      <c r="F19" s="6"/>
    </row>
    <row r="20" spans="1:14" x14ac:dyDescent="0.2">
      <c r="A20" s="3" t="s">
        <v>55</v>
      </c>
      <c r="B20" s="4">
        <f t="shared" ref="B20:E20" si="0">B15+B16+B17+B18+B19</f>
        <v>347906</v>
      </c>
      <c r="C20" s="4">
        <f t="shared" si="0"/>
        <v>324518</v>
      </c>
      <c r="D20" s="4">
        <f t="shared" si="0"/>
        <v>29766</v>
      </c>
      <c r="E20" s="4">
        <f t="shared" si="0"/>
        <v>1125485</v>
      </c>
      <c r="F20" s="4">
        <f t="shared" ref="F20" si="1">F15+F16+F17+F18+F19</f>
        <v>353492</v>
      </c>
    </row>
    <row r="21" spans="1:14" x14ac:dyDescent="0.2">
      <c r="A21" s="13" t="s">
        <v>56</v>
      </c>
      <c r="B21" s="9">
        <v>-87655</v>
      </c>
      <c r="C21" s="9">
        <v>-81506</v>
      </c>
      <c r="D21" s="9">
        <v>-7546</v>
      </c>
      <c r="E21" s="9">
        <v>-278149</v>
      </c>
      <c r="F21" s="9">
        <v>-92249</v>
      </c>
    </row>
    <row r="22" spans="1:14" x14ac:dyDescent="0.2">
      <c r="A22" s="3" t="s">
        <v>57</v>
      </c>
      <c r="B22" s="4">
        <f t="shared" ref="B22:E22" si="2">B20+B21</f>
        <v>260251</v>
      </c>
      <c r="C22" s="4">
        <f t="shared" si="2"/>
        <v>243012</v>
      </c>
      <c r="D22" s="4">
        <f t="shared" si="2"/>
        <v>22220</v>
      </c>
      <c r="E22" s="4">
        <f t="shared" si="2"/>
        <v>847336</v>
      </c>
      <c r="F22" s="4">
        <f t="shared" ref="F22" si="3">F20+F21</f>
        <v>261243</v>
      </c>
    </row>
    <row r="23" spans="1:14" x14ac:dyDescent="0.2">
      <c r="B23" s="7"/>
      <c r="C23" s="7"/>
      <c r="D23" s="7"/>
      <c r="E23" s="7"/>
      <c r="F23" s="7"/>
    </row>
    <row r="27" spans="1:14" ht="15" x14ac:dyDescent="0.25">
      <c r="A27" t="s">
        <v>74</v>
      </c>
      <c r="B27" s="15">
        <f>F15-F10</f>
        <v>374967</v>
      </c>
      <c r="I27" t="s">
        <v>84</v>
      </c>
      <c r="J27" t="s">
        <v>85</v>
      </c>
      <c r="K27" t="s">
        <v>86</v>
      </c>
      <c r="L27" t="s">
        <v>87</v>
      </c>
      <c r="M27" t="s">
        <v>88</v>
      </c>
      <c r="N27" t="s">
        <v>89</v>
      </c>
    </row>
    <row r="28" spans="1:14" ht="15.75" thickBot="1" x14ac:dyDescent="0.3">
      <c r="A28" t="s">
        <v>75</v>
      </c>
      <c r="B28">
        <f>N48</f>
        <v>8.14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>
        <v>10.7</v>
      </c>
    </row>
    <row r="29" spans="1:14" ht="15.75" thickBot="1" x14ac:dyDescent="0.3">
      <c r="A29" s="16" t="s">
        <v>76</v>
      </c>
      <c r="B29" s="17">
        <f>+B27*B28</f>
        <v>3052231.3800000004</v>
      </c>
      <c r="I29" t="s">
        <v>95</v>
      </c>
      <c r="J29" t="s">
        <v>96</v>
      </c>
      <c r="K29" t="s">
        <v>92</v>
      </c>
      <c r="L29" t="s">
        <v>97</v>
      </c>
      <c r="M29" t="s">
        <v>94</v>
      </c>
      <c r="N29">
        <v>5.82</v>
      </c>
    </row>
    <row r="30" spans="1:14" ht="15" x14ac:dyDescent="0.25">
      <c r="A30" t="s">
        <v>77</v>
      </c>
      <c r="B30" s="15">
        <v>0</v>
      </c>
      <c r="I30" t="s">
        <v>98</v>
      </c>
      <c r="J30" t="s">
        <v>99</v>
      </c>
      <c r="K30" t="s">
        <v>92</v>
      </c>
      <c r="L30" t="s">
        <v>100</v>
      </c>
      <c r="M30" t="s">
        <v>94</v>
      </c>
      <c r="N30">
        <v>8.08</v>
      </c>
    </row>
    <row r="31" spans="1:14" ht="15" x14ac:dyDescent="0.25">
      <c r="A31" t="s">
        <v>78</v>
      </c>
      <c r="B31" s="15">
        <f>Balances!F30</f>
        <v>261243</v>
      </c>
      <c r="I31" t="s">
        <v>101</v>
      </c>
      <c r="J31" t="s">
        <v>102</v>
      </c>
      <c r="K31" t="s">
        <v>92</v>
      </c>
      <c r="L31" t="s">
        <v>103</v>
      </c>
      <c r="M31" t="s">
        <v>94</v>
      </c>
      <c r="N31">
        <v>3.26</v>
      </c>
    </row>
    <row r="32" spans="1:14" ht="15.75" thickBot="1" x14ac:dyDescent="0.3">
      <c r="A32" t="s">
        <v>79</v>
      </c>
      <c r="B32" s="15">
        <f>+Balances!B7</f>
        <v>0</v>
      </c>
      <c r="I32" t="s">
        <v>104</v>
      </c>
      <c r="J32" t="s">
        <v>105</v>
      </c>
      <c r="K32" t="s">
        <v>92</v>
      </c>
      <c r="L32" t="s">
        <v>106</v>
      </c>
      <c r="M32" t="s">
        <v>94</v>
      </c>
      <c r="N32">
        <v>1.69</v>
      </c>
    </row>
    <row r="33" spans="1:14" ht="15.75" thickBot="1" x14ac:dyDescent="0.3">
      <c r="A33" s="16" t="s">
        <v>80</v>
      </c>
      <c r="B33" s="17">
        <f>SUM(B29:B32)</f>
        <v>3313474.3800000004</v>
      </c>
      <c r="I33" t="s">
        <v>107</v>
      </c>
      <c r="J33" t="s">
        <v>108</v>
      </c>
      <c r="K33" t="s">
        <v>92</v>
      </c>
      <c r="L33" t="s">
        <v>109</v>
      </c>
      <c r="M33" t="s">
        <v>94</v>
      </c>
      <c r="N33">
        <v>9.08</v>
      </c>
    </row>
    <row r="34" spans="1:14" ht="15" x14ac:dyDescent="0.25">
      <c r="A34" t="s">
        <v>81</v>
      </c>
      <c r="B34" s="18">
        <f>+B33</f>
        <v>3313474.3800000004</v>
      </c>
      <c r="I34" t="s">
        <v>110</v>
      </c>
      <c r="J34" t="s">
        <v>111</v>
      </c>
      <c r="K34" t="s">
        <v>92</v>
      </c>
      <c r="L34" t="s">
        <v>109</v>
      </c>
      <c r="M34" t="s">
        <v>94</v>
      </c>
      <c r="N34">
        <v>6.98</v>
      </c>
    </row>
    <row r="35" spans="1:14" ht="15.75" thickBot="1" x14ac:dyDescent="0.3">
      <c r="A35" t="s">
        <v>82</v>
      </c>
      <c r="B35" s="18">
        <v>0</v>
      </c>
      <c r="I35" t="s">
        <v>112</v>
      </c>
      <c r="J35" t="s">
        <v>113</v>
      </c>
      <c r="K35" t="s">
        <v>92</v>
      </c>
      <c r="L35" t="s">
        <v>114</v>
      </c>
      <c r="M35" t="s">
        <v>94</v>
      </c>
      <c r="N35">
        <v>2.97</v>
      </c>
    </row>
    <row r="36" spans="1:14" ht="15.75" thickBot="1" x14ac:dyDescent="0.3">
      <c r="A36" s="19" t="s">
        <v>83</v>
      </c>
      <c r="B36" s="20">
        <f>+B34-B35</f>
        <v>3313474.3800000004</v>
      </c>
      <c r="C36" s="2" t="s">
        <v>147</v>
      </c>
      <c r="I36" t="s">
        <v>115</v>
      </c>
      <c r="J36" t="s">
        <v>116</v>
      </c>
      <c r="K36" t="s">
        <v>92</v>
      </c>
      <c r="L36" t="s">
        <v>117</v>
      </c>
      <c r="M36" t="s">
        <v>94</v>
      </c>
      <c r="N36">
        <v>6.15</v>
      </c>
    </row>
    <row r="37" spans="1:14" ht="15" x14ac:dyDescent="0.25">
      <c r="I37" t="s">
        <v>118</v>
      </c>
      <c r="J37" t="s">
        <v>119</v>
      </c>
      <c r="K37" t="s">
        <v>92</v>
      </c>
      <c r="L37" t="s">
        <v>120</v>
      </c>
      <c r="M37" t="s">
        <v>94</v>
      </c>
      <c r="N37">
        <v>10.4</v>
      </c>
    </row>
    <row r="38" spans="1:14" ht="15" x14ac:dyDescent="0.25">
      <c r="I38" t="s">
        <v>121</v>
      </c>
      <c r="J38" t="s">
        <v>122</v>
      </c>
      <c r="K38" t="s">
        <v>92</v>
      </c>
      <c r="L38" t="s">
        <v>123</v>
      </c>
      <c r="M38" t="s">
        <v>94</v>
      </c>
      <c r="N38">
        <v>4.5199999999999996</v>
      </c>
    </row>
    <row r="39" spans="1:14" ht="15" x14ac:dyDescent="0.25">
      <c r="I39" t="s">
        <v>124</v>
      </c>
      <c r="J39" t="s">
        <v>125</v>
      </c>
      <c r="K39" t="s">
        <v>92</v>
      </c>
      <c r="L39" t="s">
        <v>126</v>
      </c>
      <c r="M39" t="s">
        <v>94</v>
      </c>
      <c r="N39">
        <v>8.1999999999999993</v>
      </c>
    </row>
    <row r="40" spans="1:14" ht="15" x14ac:dyDescent="0.25">
      <c r="I40" t="s">
        <v>127</v>
      </c>
      <c r="J40" t="s">
        <v>128</v>
      </c>
      <c r="K40" t="s">
        <v>92</v>
      </c>
      <c r="L40" t="s">
        <v>129</v>
      </c>
      <c r="M40" t="s">
        <v>94</v>
      </c>
      <c r="N40">
        <v>8.73</v>
      </c>
    </row>
    <row r="41" spans="1:14" ht="15" x14ac:dyDescent="0.25">
      <c r="I41" t="s">
        <v>130</v>
      </c>
      <c r="J41" t="s">
        <v>131</v>
      </c>
      <c r="K41" t="s">
        <v>92</v>
      </c>
      <c r="L41" t="s">
        <v>132</v>
      </c>
      <c r="M41" t="s">
        <v>94</v>
      </c>
      <c r="N41">
        <v>3.52</v>
      </c>
    </row>
    <row r="42" spans="1:14" ht="15" x14ac:dyDescent="0.25">
      <c r="I42" t="s">
        <v>133</v>
      </c>
      <c r="J42" t="s">
        <v>134</v>
      </c>
      <c r="K42" t="s">
        <v>92</v>
      </c>
      <c r="L42" t="s">
        <v>135</v>
      </c>
      <c r="M42" t="s">
        <v>94</v>
      </c>
      <c r="N42">
        <v>10.32</v>
      </c>
    </row>
    <row r="43" spans="1:14" ht="15" x14ac:dyDescent="0.25">
      <c r="I43" t="s">
        <v>136</v>
      </c>
      <c r="J43" t="s">
        <v>137</v>
      </c>
      <c r="K43" t="s">
        <v>92</v>
      </c>
      <c r="L43" t="s">
        <v>138</v>
      </c>
      <c r="M43" t="s">
        <v>94</v>
      </c>
      <c r="N43">
        <v>9.19</v>
      </c>
    </row>
    <row r="44" spans="1:14" ht="15" x14ac:dyDescent="0.25">
      <c r="I44" t="s">
        <v>139</v>
      </c>
      <c r="J44" t="s">
        <v>140</v>
      </c>
      <c r="K44" t="s">
        <v>92</v>
      </c>
      <c r="L44" t="s">
        <v>109</v>
      </c>
      <c r="M44" t="s">
        <v>94</v>
      </c>
      <c r="N44">
        <v>4.58</v>
      </c>
    </row>
    <row r="45" spans="1:14" ht="15" x14ac:dyDescent="0.25">
      <c r="I45" t="s">
        <v>141</v>
      </c>
      <c r="J45" t="s">
        <v>142</v>
      </c>
      <c r="K45" t="s">
        <v>92</v>
      </c>
      <c r="L45" t="s">
        <v>114</v>
      </c>
      <c r="M45" t="s">
        <v>94</v>
      </c>
      <c r="N45">
        <v>8.2799999999999994</v>
      </c>
    </row>
    <row r="46" spans="1:14" ht="15" x14ac:dyDescent="0.25">
      <c r="I46" t="s">
        <v>143</v>
      </c>
      <c r="J46" t="s">
        <v>144</v>
      </c>
      <c r="K46" t="s">
        <v>92</v>
      </c>
      <c r="L46" t="s">
        <v>145</v>
      </c>
      <c r="M46" t="s">
        <v>94</v>
      </c>
      <c r="N46">
        <v>10.97</v>
      </c>
    </row>
    <row r="47" spans="1:14" ht="15" x14ac:dyDescent="0.25">
      <c r="I47"/>
      <c r="J47"/>
      <c r="K47"/>
      <c r="L47"/>
      <c r="M47"/>
      <c r="N47">
        <v>10.57</v>
      </c>
    </row>
    <row r="48" spans="1:14" ht="15" x14ac:dyDescent="0.25">
      <c r="I48"/>
      <c r="J48"/>
      <c r="K48"/>
      <c r="L48"/>
      <c r="M48" t="s">
        <v>146</v>
      </c>
      <c r="N48">
        <f>MEDIAN(N28:N47)</f>
        <v>8.14</v>
      </c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Balances</vt:lpstr>
      <vt:lpstr>Cuentas PyG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Domingo</dc:creator>
  <cp:lastModifiedBy>oriol Calblay</cp:lastModifiedBy>
  <dcterms:created xsi:type="dcterms:W3CDTF">2022-05-02T22:09:37Z</dcterms:created>
  <dcterms:modified xsi:type="dcterms:W3CDTF">2024-05-26T11:06:59Z</dcterms:modified>
</cp:coreProperties>
</file>