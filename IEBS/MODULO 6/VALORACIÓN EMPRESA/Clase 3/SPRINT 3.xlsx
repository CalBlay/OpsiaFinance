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d.docs.live.net/e6c7bcb4eb356115/Escritorio/IEBS/MODULO 6/VALORACIÓN EMPRESA/Clase 3/"/>
    </mc:Choice>
  </mc:AlternateContent>
  <xr:revisionPtr revIDLastSave="419" documentId="8_{13CDA92C-E756-4920-84F0-57B62E14AD21}" xr6:coauthVersionLast="47" xr6:coauthVersionMax="47" xr10:uidLastSave="{1A1F667B-91AA-493D-B73D-0168287DC654}"/>
  <bookViews>
    <workbookView xWindow="22932" yWindow="-60" windowWidth="23256" windowHeight="12456" activeTab="2" xr2:uid="{00000000-000D-0000-FFFF-FFFF00000000}"/>
  </bookViews>
  <sheets>
    <sheet name="Datos" sheetId="8" r:id="rId1"/>
    <sheet name="Hipótesis" sheetId="2" r:id="rId2"/>
    <sheet name="Balances" sheetId="3" r:id="rId3"/>
    <sheet name="Cuentas PyG" sheetId="4" r:id="rId4"/>
    <sheet name="Flujos de caja" sheetId="5" r:id="rId5"/>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3" l="1"/>
  <c r="E30" i="3"/>
  <c r="C4" i="5"/>
  <c r="D4" i="5"/>
  <c r="E4" i="5"/>
  <c r="F4" i="5"/>
  <c r="B4" i="5"/>
  <c r="C13" i="5"/>
  <c r="D13" i="5"/>
  <c r="E13" i="5"/>
  <c r="F13" i="5"/>
  <c r="B13" i="5"/>
  <c r="F45" i="3"/>
  <c r="G45" i="3" s="1"/>
  <c r="H45" i="3" s="1"/>
  <c r="I45" i="3" s="1"/>
  <c r="E45" i="3"/>
  <c r="F5" i="3"/>
  <c r="G5" i="3"/>
  <c r="H5" i="3"/>
  <c r="I5" i="3"/>
  <c r="E5" i="3"/>
  <c r="C49" i="2"/>
  <c r="D49" i="2"/>
  <c r="B49" i="2"/>
  <c r="F9" i="3"/>
  <c r="G9" i="3"/>
  <c r="H9" i="3"/>
  <c r="I9" i="3"/>
  <c r="E9" i="3"/>
  <c r="C48" i="2"/>
  <c r="D48" i="2"/>
  <c r="B48" i="2"/>
  <c r="B28" i="5" l="1"/>
  <c r="E26" i="4"/>
  <c r="B20" i="5" s="1"/>
  <c r="D45" i="2"/>
  <c r="L84" i="3"/>
  <c r="E85" i="3"/>
  <c r="F85" i="3"/>
  <c r="G85" i="3"/>
  <c r="H85" i="3"/>
  <c r="I85" i="3"/>
  <c r="G76" i="3"/>
  <c r="H76" i="3"/>
  <c r="I76" i="3"/>
  <c r="F13" i="2"/>
  <c r="G13" i="2"/>
  <c r="H13" i="2"/>
  <c r="I13" i="2"/>
  <c r="E13" i="2"/>
  <c r="B6" i="5"/>
  <c r="B11" i="5" s="1"/>
  <c r="F22" i="4"/>
  <c r="C6" i="5" s="1"/>
  <c r="C11" i="5" s="1"/>
  <c r="G22" i="4"/>
  <c r="D6" i="5" s="1"/>
  <c r="D11" i="5" s="1"/>
  <c r="H22" i="4"/>
  <c r="E6" i="5" s="1"/>
  <c r="E11" i="5" s="1"/>
  <c r="I22" i="4"/>
  <c r="F6" i="5" s="1"/>
  <c r="F11" i="5" s="1"/>
  <c r="E22" i="4"/>
  <c r="E14" i="4"/>
  <c r="E11" i="4"/>
  <c r="F11" i="4"/>
  <c r="G11" i="4"/>
  <c r="H11" i="4"/>
  <c r="I11" i="4"/>
  <c r="E4" i="4"/>
  <c r="I13" i="4"/>
  <c r="H13" i="4"/>
  <c r="G13" i="4"/>
  <c r="F13" i="4"/>
  <c r="E13" i="4"/>
  <c r="F4" i="2"/>
  <c r="G4" i="2" s="1"/>
  <c r="H4" i="2" s="1"/>
  <c r="I4" i="2" s="1"/>
  <c r="E4" i="2"/>
  <c r="D39" i="2"/>
  <c r="C39" i="2"/>
  <c r="C8" i="2"/>
  <c r="D8" i="2"/>
  <c r="B8" i="2"/>
  <c r="C6" i="2"/>
  <c r="D6" i="2"/>
  <c r="B6" i="2"/>
  <c r="C10" i="2"/>
  <c r="D10" i="2"/>
  <c r="B10" i="2"/>
  <c r="F4" i="4" l="1"/>
  <c r="E8" i="4"/>
  <c r="E17" i="4"/>
  <c r="E6" i="4"/>
  <c r="C12" i="2"/>
  <c r="D12" i="2"/>
  <c r="B12" i="2"/>
  <c r="E7" i="4" l="1"/>
  <c r="G4" i="4"/>
  <c r="F17" i="4"/>
  <c r="F8" i="4"/>
  <c r="F6" i="4"/>
  <c r="F14" i="4"/>
  <c r="D17" i="4"/>
  <c r="C17" i="4"/>
  <c r="B17" i="4"/>
  <c r="D14" i="4"/>
  <c r="C14" i="4"/>
  <c r="B14" i="4"/>
  <c r="B9" i="2" s="1"/>
  <c r="D11" i="4"/>
  <c r="C11" i="4"/>
  <c r="B11" i="4"/>
  <c r="D7" i="4"/>
  <c r="C7" i="4"/>
  <c r="C24" i="4" s="1"/>
  <c r="C29" i="4" s="1"/>
  <c r="B7" i="4"/>
  <c r="B24" i="4" s="1"/>
  <c r="B29" i="4" s="1"/>
  <c r="D79" i="3"/>
  <c r="C79" i="3"/>
  <c r="D53" i="3"/>
  <c r="D69" i="3" s="1"/>
  <c r="C53" i="3"/>
  <c r="C69" i="3" s="1"/>
  <c r="B53" i="3"/>
  <c r="B69" i="3" s="1"/>
  <c r="D46" i="3"/>
  <c r="C46" i="3"/>
  <c r="B46" i="3"/>
  <c r="D40" i="3"/>
  <c r="C40" i="3"/>
  <c r="B40" i="3"/>
  <c r="D23" i="3"/>
  <c r="C23" i="3"/>
  <c r="B23" i="3"/>
  <c r="D18" i="3"/>
  <c r="C18" i="3"/>
  <c r="C20" i="2" s="1"/>
  <c r="B18" i="3"/>
  <c r="B18" i="2" s="1"/>
  <c r="D12" i="3"/>
  <c r="C12" i="3"/>
  <c r="B12" i="3"/>
  <c r="D9" i="3"/>
  <c r="C9" i="3"/>
  <c r="B9" i="3"/>
  <c r="D5" i="3"/>
  <c r="C5" i="3"/>
  <c r="B5" i="3"/>
  <c r="D38" i="2"/>
  <c r="C38" i="2"/>
  <c r="B38" i="2"/>
  <c r="D37" i="2"/>
  <c r="C37" i="2"/>
  <c r="B37" i="2"/>
  <c r="D25" i="2"/>
  <c r="C25" i="2"/>
  <c r="B25" i="2"/>
  <c r="D24" i="2"/>
  <c r="C24" i="2"/>
  <c r="B24" i="2"/>
  <c r="D23" i="2"/>
  <c r="C23" i="2"/>
  <c r="B23" i="2"/>
  <c r="D22" i="2"/>
  <c r="C22" i="2"/>
  <c r="B22" i="2"/>
  <c r="D21" i="2"/>
  <c r="C21" i="2"/>
  <c r="B21" i="2"/>
  <c r="D20" i="2"/>
  <c r="D19" i="2"/>
  <c r="C19" i="2"/>
  <c r="B19" i="2"/>
  <c r="D18" i="2"/>
  <c r="C18" i="2"/>
  <c r="D9" i="2"/>
  <c r="C9" i="2"/>
  <c r="D7" i="2"/>
  <c r="C7" i="2"/>
  <c r="D5" i="2"/>
  <c r="C5" i="2"/>
  <c r="B5" i="2"/>
  <c r="D4" i="2"/>
  <c r="C4" i="2"/>
  <c r="B4" i="3" l="1"/>
  <c r="C4" i="3"/>
  <c r="D4" i="3"/>
  <c r="E21" i="4"/>
  <c r="D76" i="3"/>
  <c r="B11" i="2"/>
  <c r="D11" i="2"/>
  <c r="D77" i="3"/>
  <c r="C11" i="2"/>
  <c r="B42" i="2"/>
  <c r="C42" i="2" s="1"/>
  <c r="E19" i="2" s="1"/>
  <c r="B43" i="2"/>
  <c r="C43" i="2" s="1"/>
  <c r="E20" i="2" s="1"/>
  <c r="G8" i="4"/>
  <c r="G17" i="4"/>
  <c r="G14" i="4"/>
  <c r="G6" i="4"/>
  <c r="H4" i="4"/>
  <c r="F7" i="4"/>
  <c r="F18" i="3"/>
  <c r="C49" i="3"/>
  <c r="B49" i="3"/>
  <c r="D49" i="3"/>
  <c r="C31" i="2"/>
  <c r="D31" i="2"/>
  <c r="C76" i="3"/>
  <c r="D30" i="2"/>
  <c r="C77" i="3"/>
  <c r="C30" i="2"/>
  <c r="B31" i="2"/>
  <c r="D17" i="3"/>
  <c r="D31" i="3" s="1"/>
  <c r="D24" i="4"/>
  <c r="D29" i="4" s="1"/>
  <c r="B13" i="2"/>
  <c r="B31" i="4"/>
  <c r="B43" i="3" s="1"/>
  <c r="B37" i="3" s="1"/>
  <c r="B36" i="3" s="1"/>
  <c r="C13" i="2"/>
  <c r="C31" i="4"/>
  <c r="C43" i="3" s="1"/>
  <c r="C37" i="3" s="1"/>
  <c r="C36" i="3" s="1"/>
  <c r="B68" i="3"/>
  <c r="B70" i="3" s="1"/>
  <c r="D68" i="3"/>
  <c r="D70" i="3" s="1"/>
  <c r="B17" i="3"/>
  <c r="B31" i="3" s="1"/>
  <c r="C17" i="3"/>
  <c r="C31" i="3" s="1"/>
  <c r="B30" i="2"/>
  <c r="C68" i="3"/>
  <c r="C70" i="3" s="1"/>
  <c r="E79" i="3" l="1"/>
  <c r="B5" i="5"/>
  <c r="B10" i="5" s="1"/>
  <c r="G53" i="3"/>
  <c r="G69" i="3" s="1"/>
  <c r="D78" i="3"/>
  <c r="F20" i="2"/>
  <c r="F19" i="2"/>
  <c r="E23" i="3"/>
  <c r="H17" i="4"/>
  <c r="H8" i="4"/>
  <c r="H14" i="4"/>
  <c r="H6" i="4"/>
  <c r="I4" i="4"/>
  <c r="G18" i="3"/>
  <c r="G7" i="4"/>
  <c r="D80" i="3"/>
  <c r="C71" i="3"/>
  <c r="C78" i="3"/>
  <c r="C80" i="3" s="1"/>
  <c r="C36" i="2"/>
  <c r="C61" i="3"/>
  <c r="B36" i="2"/>
  <c r="B61" i="3"/>
  <c r="D13" i="2"/>
  <c r="D31" i="4"/>
  <c r="D43" i="3" s="1"/>
  <c r="E40" i="3" s="1"/>
  <c r="D71" i="3"/>
  <c r="G19" i="2" l="1"/>
  <c r="F23" i="3"/>
  <c r="F68" i="3" s="1"/>
  <c r="G20" i="2"/>
  <c r="H20" i="2" s="1"/>
  <c r="I20" i="2" s="1"/>
  <c r="I6" i="4"/>
  <c r="I14" i="4"/>
  <c r="I17" i="4"/>
  <c r="I8" i="4"/>
  <c r="H18" i="3"/>
  <c r="H7" i="4"/>
  <c r="D37" i="3"/>
  <c r="H53" i="3" l="1"/>
  <c r="H69" i="3" s="1"/>
  <c r="D36" i="3"/>
  <c r="D61" i="3" s="1"/>
  <c r="H19" i="2"/>
  <c r="G23" i="3"/>
  <c r="G68" i="3" s="1"/>
  <c r="G70" i="3" s="1"/>
  <c r="I7" i="4"/>
  <c r="I18" i="3"/>
  <c r="D36" i="2" l="1"/>
  <c r="I53" i="3"/>
  <c r="I69" i="3" s="1"/>
  <c r="I19" i="2"/>
  <c r="I23" i="3" s="1"/>
  <c r="I68" i="3" s="1"/>
  <c r="I70" i="3" s="1"/>
  <c r="I71" i="3" s="1"/>
  <c r="H23" i="3"/>
  <c r="H68" i="3" s="1"/>
  <c r="H70" i="3" s="1"/>
  <c r="H71" i="3" s="1"/>
  <c r="D85" i="3"/>
  <c r="E24" i="4"/>
  <c r="B7" i="5" s="1"/>
  <c r="B8" i="5" l="1"/>
  <c r="B9" i="5" s="1"/>
  <c r="E29" i="4" l="1"/>
  <c r="E30" i="4" l="1"/>
  <c r="E31" i="4" s="1"/>
  <c r="E43" i="3" s="1"/>
  <c r="E37" i="3" l="1"/>
  <c r="F40" i="3"/>
  <c r="E36" i="3" l="1"/>
  <c r="E86" i="3" l="1"/>
  <c r="E87" i="3" s="1"/>
  <c r="B22" i="5" s="1"/>
  <c r="E51" i="3" l="1"/>
  <c r="E47" i="3"/>
  <c r="F26" i="4" l="1"/>
  <c r="C20" i="5" s="1"/>
  <c r="C21" i="5" s="1"/>
  <c r="E46" i="3"/>
  <c r="B21" i="5"/>
  <c r="F4" i="3" l="1"/>
  <c r="H77" i="3"/>
  <c r="H78" i="3" s="1"/>
  <c r="G77" i="3"/>
  <c r="G78" i="3" s="1"/>
  <c r="G4" i="3"/>
  <c r="F77" i="3"/>
  <c r="I21" i="4"/>
  <c r="I79" i="3" s="1"/>
  <c r="I4" i="3"/>
  <c r="I77" i="3"/>
  <c r="I78" i="3" s="1"/>
  <c r="H31" i="2"/>
  <c r="F31" i="2"/>
  <c r="I30" i="2"/>
  <c r="I31" i="2"/>
  <c r="H21" i="4"/>
  <c r="H79" i="3" s="1"/>
  <c r="G30" i="2"/>
  <c r="G31" i="2"/>
  <c r="F30" i="2"/>
  <c r="G21" i="4"/>
  <c r="G79" i="3" s="1"/>
  <c r="H30" i="2"/>
  <c r="H4" i="3"/>
  <c r="E77" i="3"/>
  <c r="E5" i="5" l="1"/>
  <c r="E10" i="5" s="1"/>
  <c r="I80" i="3"/>
  <c r="F12" i="5" s="1"/>
  <c r="H24" i="4"/>
  <c r="E7" i="5" s="1"/>
  <c r="E8" i="5" s="1"/>
  <c r="E9" i="5" s="1"/>
  <c r="H80" i="3"/>
  <c r="E12" i="5" s="1"/>
  <c r="G80" i="3"/>
  <c r="D12" i="5" s="1"/>
  <c r="D5" i="5"/>
  <c r="D10" i="5" s="1"/>
  <c r="G24" i="4"/>
  <c r="F5" i="5"/>
  <c r="F10" i="5" s="1"/>
  <c r="I24" i="4"/>
  <c r="E14" i="5" l="1"/>
  <c r="E19" i="5" s="1"/>
  <c r="F7" i="5"/>
  <c r="F8" i="5" l="1"/>
  <c r="F9" i="5" s="1"/>
  <c r="F14" i="5" s="1"/>
  <c r="F19" i="5" s="1"/>
  <c r="F76" i="3" l="1"/>
  <c r="F78" i="3" s="1"/>
  <c r="E30" i="2" l="1"/>
  <c r="E76" i="3"/>
  <c r="E78" i="3" s="1"/>
  <c r="E80" i="3" s="1"/>
  <c r="B12" i="5" s="1"/>
  <c r="F21" i="4"/>
  <c r="E4" i="3"/>
  <c r="E31" i="2"/>
  <c r="D7" i="5" l="1"/>
  <c r="C5" i="5"/>
  <c r="C10" i="5" s="1"/>
  <c r="F24" i="4"/>
  <c r="F79" i="3"/>
  <c r="F80" i="3" s="1"/>
  <c r="C12" i="5" s="1"/>
  <c r="C7" i="5" l="1"/>
  <c r="F29" i="4"/>
  <c r="D8" i="5"/>
  <c r="D9" i="5" s="1"/>
  <c r="F30" i="4" l="1"/>
  <c r="F31" i="4" s="1"/>
  <c r="F43" i="3" s="1"/>
  <c r="C8" i="5"/>
  <c r="C9" i="5" s="1"/>
  <c r="G40" i="3" l="1"/>
  <c r="F37" i="3"/>
  <c r="F36" i="3" s="1"/>
  <c r="F86" i="3" l="1"/>
  <c r="F87" i="3" s="1"/>
  <c r="C22" i="5" l="1"/>
  <c r="F47" i="3"/>
  <c r="F51" i="3"/>
  <c r="G26" i="4" l="1"/>
  <c r="F46" i="3"/>
  <c r="D20" i="5" l="1"/>
  <c r="G29" i="4"/>
  <c r="G30" i="4" l="1"/>
  <c r="G31" i="4" s="1"/>
  <c r="G43" i="3" s="1"/>
  <c r="D21" i="5"/>
  <c r="G37" i="3" l="1"/>
  <c r="G36" i="3" s="1"/>
  <c r="H40" i="3"/>
  <c r="G86" i="3" l="1"/>
  <c r="G87" i="3" s="1"/>
  <c r="D22" i="5" l="1"/>
  <c r="G51" i="3"/>
  <c r="G47" i="3"/>
  <c r="G49" i="3" l="1"/>
  <c r="H26" i="4"/>
  <c r="G46" i="3"/>
  <c r="G61" i="3" l="1"/>
  <c r="H29" i="4"/>
  <c r="E20" i="5"/>
  <c r="E21" i="5" l="1"/>
  <c r="H30" i="4"/>
  <c r="H31" i="4" s="1"/>
  <c r="H43" i="3" s="1"/>
  <c r="H37" i="3" l="1"/>
  <c r="H36" i="3" s="1"/>
  <c r="I40" i="3"/>
  <c r="H86" i="3" l="1"/>
  <c r="H87" i="3" s="1"/>
  <c r="E22" i="5" l="1"/>
  <c r="E23" i="5" s="1"/>
  <c r="E29" i="5" s="1"/>
  <c r="H51" i="3"/>
  <c r="H47" i="3"/>
  <c r="H46" i="3" l="1"/>
  <c r="I26" i="4"/>
  <c r="H49" i="3"/>
  <c r="F20" i="5" l="1"/>
  <c r="I29" i="4"/>
  <c r="H61" i="3"/>
  <c r="I30" i="4" l="1"/>
  <c r="I31" i="4" s="1"/>
  <c r="I43" i="3" s="1"/>
  <c r="I37" i="3" s="1"/>
  <c r="I36" i="3" s="1"/>
  <c r="F21" i="5"/>
  <c r="I86" i="3" l="1"/>
  <c r="I87" i="3" s="1"/>
  <c r="F22" i="5" l="1"/>
  <c r="F23" i="5" s="1"/>
  <c r="F29" i="5" s="1"/>
  <c r="I47" i="3"/>
  <c r="I46" i="3" s="1"/>
  <c r="I51" i="3"/>
  <c r="I49" i="3" s="1"/>
  <c r="I61" i="3" l="1"/>
  <c r="E18" i="3"/>
  <c r="E68" i="3" s="1"/>
  <c r="F53" i="3"/>
  <c r="F69" i="3" s="1"/>
  <c r="F70" i="3" s="1"/>
  <c r="G71" i="3" l="1"/>
  <c r="D14" i="5" s="1"/>
  <c r="D19" i="5" s="1"/>
  <c r="D23" i="5" s="1"/>
  <c r="D29" i="5" s="1"/>
  <c r="E53" i="3"/>
  <c r="F49" i="3"/>
  <c r="F61" i="3" s="1"/>
  <c r="E69" i="3" l="1"/>
  <c r="E70" i="3" s="1"/>
  <c r="E49" i="3"/>
  <c r="E61" i="3" s="1"/>
  <c r="E71" i="3" l="1"/>
  <c r="B14" i="5" s="1"/>
  <c r="B19" i="5" s="1"/>
  <c r="B23" i="5" s="1"/>
  <c r="B29" i="5" s="1"/>
  <c r="F71" i="3"/>
  <c r="C14" i="5" s="1"/>
  <c r="C19" i="5" s="1"/>
  <c r="C23" i="5" s="1"/>
  <c r="C29" i="5" s="1"/>
  <c r="B32" i="5" l="1"/>
  <c r="B30" i="5"/>
  <c r="C28" i="5" l="1"/>
  <c r="C32" i="5" s="1"/>
  <c r="E17" i="3"/>
  <c r="E31" i="3" s="1"/>
  <c r="D28" i="5" l="1"/>
  <c r="D32" i="5" s="1"/>
  <c r="G30" i="3" s="1"/>
  <c r="F17" i="3"/>
  <c r="F31" i="3" s="1"/>
  <c r="E28" i="5" l="1"/>
  <c r="E32" i="5" s="1"/>
  <c r="H30" i="3" s="1"/>
  <c r="G17" i="3"/>
  <c r="G31" i="3" s="1"/>
  <c r="H17" i="3" l="1"/>
  <c r="H31" i="3" s="1"/>
  <c r="F28" i="5"/>
  <c r="F32" i="5" s="1"/>
  <c r="I30" i="3" l="1"/>
  <c r="I17" i="3" s="1"/>
  <c r="I31" i="3" s="1"/>
</calcChain>
</file>

<file path=xl/sharedStrings.xml><?xml version="1.0" encoding="utf-8"?>
<sst xmlns="http://schemas.openxmlformats.org/spreadsheetml/2006/main" count="277" uniqueCount="163">
  <si>
    <t>HIPÓTESIS DE CUENTA RESULTADOS</t>
  </si>
  <si>
    <t>CONCEPTO</t>
  </si>
  <si>
    <t>Crec. Imp. neto de la cifra de negocios</t>
  </si>
  <si>
    <t>Consumos totales/Imp. neto de la cifra de neg.</t>
  </si>
  <si>
    <t>Crec. Ingresos accesorios</t>
  </si>
  <si>
    <t>Gastos de personal/Imp. neto cifra de neg.</t>
  </si>
  <si>
    <t>Impuesto sobre beneficios/Result. antes imp.</t>
  </si>
  <si>
    <t>HIPÓTESIS DE CAPITAL CIRCULANTE</t>
  </si>
  <si>
    <t>Periodo medio de inventario</t>
  </si>
  <si>
    <t>Periodo medio de cobro</t>
  </si>
  <si>
    <t>Periodo medio de pago</t>
  </si>
  <si>
    <t>Personal (activo)/Gastos de personal</t>
  </si>
  <si>
    <t>Personal (pasivo)/Gastos de personal</t>
  </si>
  <si>
    <t>Créditos adm. públicas/Imp. neto cifra de neg.</t>
  </si>
  <si>
    <t>Deudas adm. públicas/Imp. neto cifra de neg.</t>
  </si>
  <si>
    <t>Anticipos de clientes/Clientes</t>
  </si>
  <si>
    <t>HIPÓTESIS DE INMOVILIZADO</t>
  </si>
  <si>
    <t>Inmovilizado int. y mat./Imp. neto cifra de neg.</t>
  </si>
  <si>
    <t>Inmovilizado int./Inmovilizado int. y mat.</t>
  </si>
  <si>
    <t>HIPÓTESIS DE ESTRUCTURA FINANCIERA</t>
  </si>
  <si>
    <t>Deuda fin./(Deuda fin.+Patr. neto objetivo)</t>
  </si>
  <si>
    <t>Deuda fin. l.p./Deuda fin. total</t>
  </si>
  <si>
    <t>Deudas fin. a c.p./Deuda fin. total</t>
  </si>
  <si>
    <t>Gastos financieros/Deuda financiera</t>
  </si>
  <si>
    <t>ESTRUCTURA DEL ACTIVO</t>
  </si>
  <si>
    <t>A) ACTIVO NO CORRIENTE</t>
  </si>
  <si>
    <t>I Inmovilizado intangible</t>
  </si>
  <si>
    <t>    1. Desarrollo</t>
  </si>
  <si>
    <t>    3. Patentes, licencias, marcas y similares</t>
  </si>
  <si>
    <t>    5. Aplicaciones informáticas</t>
  </si>
  <si>
    <t>II Inmovilizado material</t>
  </si>
  <si>
    <t>    1. Terrenos y construcciones</t>
  </si>
  <si>
    <t>    2. Instalaciones técnicas y otro inmov. mat.</t>
  </si>
  <si>
    <t>IV Inversiones empr. del grupo y asoc. a l.p.</t>
  </si>
  <si>
    <t>    1. Instrumentos de patrimonio</t>
  </si>
  <si>
    <t>    2. Créditos a empresas</t>
  </si>
  <si>
    <t>V Inversiones financieras a largo plazo</t>
  </si>
  <si>
    <t>VI Activos por impuesto diferido</t>
  </si>
  <si>
    <t>B) ACTIVO CORRIENTE</t>
  </si>
  <si>
    <t>II Existencias</t>
  </si>
  <si>
    <t>    2. Materias primas y otros aprovisionamient.</t>
  </si>
  <si>
    <t>    3. Productos en curso</t>
  </si>
  <si>
    <t>    4. Productos terminados</t>
  </si>
  <si>
    <t>    6. Anticipos a proveedores</t>
  </si>
  <si>
    <t>III Deudores com. y otras cuentas a cobrar</t>
  </si>
  <si>
    <t>    1. Clientes por ventas y prest. de servicios</t>
  </si>
  <si>
    <t>    2. Clientes empresas del grupo y asociadas</t>
  </si>
  <si>
    <t>    3. Deudores varios</t>
  </si>
  <si>
    <t>    4. Personal</t>
  </si>
  <si>
    <t>    6. Otros créditos con las Adm. Públicas</t>
  </si>
  <si>
    <t>VI Periodificaciones a corto plazo</t>
  </si>
  <si>
    <t>VII Efectivo y otros activos líquidos equiv.</t>
  </si>
  <si>
    <t>TOTAL ACTIVO</t>
  </si>
  <si>
    <t>ESTRUCTURA DEL PASIVO</t>
  </si>
  <si>
    <t>A) PATRIMONIO NETO</t>
  </si>
  <si>
    <t>A-1) Fondos propios</t>
  </si>
  <si>
    <t>I Capital</t>
  </si>
  <si>
    <t>II Prima de emisión</t>
  </si>
  <si>
    <t>III Reservas</t>
  </si>
  <si>
    <t>    1. Legal y estatutarias</t>
  </si>
  <si>
    <t>    2. Otras reservas</t>
  </si>
  <si>
    <t>VII Resultado del ejercicio</t>
  </si>
  <si>
    <t>A-2) Ajustes por cambios de valor</t>
  </si>
  <si>
    <t>A-3) Subvenciones, don. y legados recib.</t>
  </si>
  <si>
    <t>B) PASIVO NO CORRIENTE</t>
  </si>
  <si>
    <t>II Deudas a largo plazo</t>
  </si>
  <si>
    <t>IV Pasivos por impuesto diferido</t>
  </si>
  <si>
    <t>C) PASIVO CORRIENTE</t>
  </si>
  <si>
    <t>II Provisiones a corto plazo</t>
  </si>
  <si>
    <t>III Deudas a corto plazo</t>
  </si>
  <si>
    <t>IV Deudas con empr. del grupo y asoc. a c.p.</t>
  </si>
  <si>
    <t>V Acreedores com. y otras cuentas a pagar</t>
  </si>
  <si>
    <t>    1. Proveedores</t>
  </si>
  <si>
    <t>    2. Proveedores, empr. del grupo y asoc.</t>
  </si>
  <si>
    <t>    4. Personal (remuneraciones pend. pago)</t>
  </si>
  <si>
    <t>    5. Pasivos por impuesto corriente</t>
  </si>
  <si>
    <t>    6. Otras deudas con las Adm. Públicas</t>
  </si>
  <si>
    <t>    7. Anticipos de clientes</t>
  </si>
  <si>
    <t>TOTAL PATR. NETO Y PASIVO</t>
  </si>
  <si>
    <t>RESUMEN DE MAGNITUDES</t>
  </si>
  <si>
    <t>a) Capital circulante</t>
  </si>
  <si>
    <t>Activo circulante</t>
  </si>
  <si>
    <t>Pasivo circulante</t>
  </si>
  <si>
    <t>Fondo de maniobra necesario</t>
  </si>
  <si>
    <t>Variación fondo de maniobra necesario</t>
  </si>
  <si>
    <t>b) Activo fijo</t>
  </si>
  <si>
    <t>Variación inmovilizado intangible neto</t>
  </si>
  <si>
    <t>Variación inmovilizado material neto</t>
  </si>
  <si>
    <t>Variación inmovilizado neto total</t>
  </si>
  <si>
    <t>Amortización del inmovilizado</t>
  </si>
  <si>
    <t>CAPEX</t>
  </si>
  <si>
    <t>c) Estructura financiera</t>
  </si>
  <si>
    <t>Deuda fin./Patrimonio neto objetivo</t>
  </si>
  <si>
    <t>Variación de patrimonio neto</t>
  </si>
  <si>
    <t>Variación de deuda financiera</t>
  </si>
  <si>
    <t>CUENTAS DE RESULTADOS</t>
  </si>
  <si>
    <t>1. Importe neto de la cifra de negocios</t>
  </si>
  <si>
    <t>2. Variación exist. de prod. term. y en curso</t>
  </si>
  <si>
    <t>3. Trabajos realiz. por la empr. para su activo</t>
  </si>
  <si>
    <t>4. Aprovisionamientos</t>
  </si>
  <si>
    <t>    b) Consumo de mat. prim. y otras mat. cons.</t>
  </si>
  <si>
    <t>    c) Trabajos realizados por otras empresas</t>
  </si>
  <si>
    <t>    d) Deterioro merc., mat. prim. y otros aprov.</t>
  </si>
  <si>
    <t>5. Otros ingresos de explotación</t>
  </si>
  <si>
    <t>    a) Ingresos accesorios y de gest. corriente</t>
  </si>
  <si>
    <t>    b) Subv. de explot. incorporadas al result.</t>
  </si>
  <si>
    <t>6. Gastos de personal</t>
  </si>
  <si>
    <t>    a) Sueldos, salarios y asimilados</t>
  </si>
  <si>
    <t>    b) Cargas sociales</t>
  </si>
  <si>
    <t>7. Otros gastos de explotación</t>
  </si>
  <si>
    <t>    a) Servicios exteriores</t>
  </si>
  <si>
    <t>    b) Tributos</t>
  </si>
  <si>
    <t>    c) Pérd., deterioro y var. prov. por op. com.</t>
  </si>
  <si>
    <t>8. Amortización del inmovilizado</t>
  </si>
  <si>
    <t>9. Imputación de subv. de inmov. no financiero</t>
  </si>
  <si>
    <t>11. Deterioro y result. por enaj. inmovilizado</t>
  </si>
  <si>
    <t>A1) RESULTADO DE EXPLOTACIÓN</t>
  </si>
  <si>
    <t>14. Ingresos financieros</t>
  </si>
  <si>
    <t>15. Gastos financieros</t>
  </si>
  <si>
    <t>17. Diferencias de cambio</t>
  </si>
  <si>
    <t>18. Deterioro y resultado por enaj. de instr. fin.</t>
  </si>
  <si>
    <t>A3) RESULTADO ANTES DE IMPUESTOS</t>
  </si>
  <si>
    <t>19. Impuestos sobre beneficios</t>
  </si>
  <si>
    <t>A5) Resultado del ejercicio</t>
  </si>
  <si>
    <t>DESGLOSE DEL FLUJO DE CAJA LIBRE</t>
  </si>
  <si>
    <t>EBITDA</t>
  </si>
  <si>
    <t>Dotación a la amortización</t>
  </si>
  <si>
    <t>Provisiones del tráfico</t>
  </si>
  <si>
    <t>EBIT</t>
  </si>
  <si>
    <t>Impuestos ajustados</t>
  </si>
  <si>
    <t>NOPLAT</t>
  </si>
  <si>
    <t>Imputación de subvención por inmovilizado</t>
  </si>
  <si>
    <t>Var. Fondo de maniobra necesario</t>
  </si>
  <si>
    <t>FLUJO DE CAJA LIBRE</t>
  </si>
  <si>
    <t>DESGLOSE DEL FLUJO DE CAJA LIBRE PARA EL ACCIONISTA</t>
  </si>
  <si>
    <t>Gastos financieros</t>
  </si>
  <si>
    <t>Escudo fiscal</t>
  </si>
  <si>
    <t>Incremento/amortización de Deuda</t>
  </si>
  <si>
    <t>FLUJO PARA LOS ACCIONISTAS</t>
  </si>
  <si>
    <t>SALDO CONTABLE DE CAJA</t>
  </si>
  <si>
    <t>Saldo de caja del ejercicio anterior</t>
  </si>
  <si>
    <t>Flujo de caja libre para los accionistas</t>
  </si>
  <si>
    <t>Aportaciones accionistas</t>
  </si>
  <si>
    <t>Dividendos repartidos</t>
  </si>
  <si>
    <t>SALDO DE CAJA DEL EJERCICIO</t>
  </si>
  <si>
    <t>X-2</t>
  </si>
  <si>
    <t>X-1</t>
  </si>
  <si>
    <t>X</t>
  </si>
  <si>
    <t>X+1</t>
  </si>
  <si>
    <t>X+2</t>
  </si>
  <si>
    <t>X+3</t>
  </si>
  <si>
    <t>X+4</t>
  </si>
  <si>
    <t>X+5</t>
  </si>
  <si>
    <t>Crecimiento ventas en X+5</t>
  </si>
  <si>
    <t>Imputación de subv./Subvenciones</t>
  </si>
  <si>
    <t>Dotación amort./Inmovilizado Neto</t>
  </si>
  <si>
    <t>Gastos de explotación/Imp. Neto cifra de negocio</t>
  </si>
  <si>
    <t>Trab. realiz. emp. Para su activo/Imp. neto cifra de neg.</t>
  </si>
  <si>
    <t>Trab. realiz. por otras empresas /Imp. neto cifra de neg.</t>
  </si>
  <si>
    <t xml:space="preserve">Impuesto sobre sociedades </t>
  </si>
  <si>
    <t>Coste efectvo de  la deuda</t>
  </si>
  <si>
    <t>Activo fijo intangible/Imp. neto cifra neg.</t>
  </si>
  <si>
    <t>Activo fijo material/Imp. neto cifra 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</si>
</sst>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General&quot;E&quot;"/>
    <numFmt numFmtId="165" formatCode="#,##0.0000"/>
    <numFmt numFmtId="166" formatCode="_-* #,##0.00\ _€_-;\-* #,##0.00\ _€_-;_-* &quot;-&quot;??\ _€_-;_-@_-"/>
  </numFmts>
  <fonts count="6" x14ac:knownFonts="1">
    <font>
      <sz val="11"/>
      <color theme="1"/>
      <name val="Calibri"/>
      <family val="2"/>
      <scheme val="minor"/>
    </font>
    <font>
      <sz val="11"/>
      <color theme="1"/>
      <name val="Calibri"/>
      <family val="2"/>
      <scheme val="minor"/>
    </font>
    <font>
      <sz val="10"/>
      <name val="Arial"/>
      <family val="2"/>
    </font>
    <font>
      <b/>
      <sz val="10"/>
      <color indexed="9"/>
      <name val="Arial"/>
      <family val="2"/>
    </font>
    <font>
      <b/>
      <sz val="10"/>
      <name val="Arial"/>
      <family val="2"/>
    </font>
    <font>
      <b/>
      <sz val="10"/>
      <color indexed="8"/>
      <name val="Arial"/>
      <family val="2"/>
    </font>
  </fonts>
  <fills count="6">
    <fill>
      <patternFill patternType="none"/>
    </fill>
    <fill>
      <patternFill patternType="gray125"/>
    </fill>
    <fill>
      <patternFill patternType="solid">
        <fgColor indexed="23"/>
        <bgColor indexed="64"/>
      </patternFill>
    </fill>
    <fill>
      <patternFill patternType="solid">
        <fgColor indexed="43"/>
        <bgColor indexed="64"/>
      </patternFill>
    </fill>
    <fill>
      <patternFill patternType="solid">
        <fgColor theme="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43" fontId="1" fillId="0" borderId="0" applyFont="0" applyFill="0" applyBorder="0" applyAlignment="0" applyProtection="0"/>
  </cellStyleXfs>
  <cellXfs count="60">
    <xf numFmtId="0" fontId="0" fillId="0" borderId="0" xfId="0"/>
    <xf numFmtId="0" fontId="3" fillId="2" borderId="0" xfId="2" applyFont="1" applyFill="1"/>
    <xf numFmtId="0" fontId="2" fillId="0" borderId="0" xfId="2"/>
    <xf numFmtId="0" fontId="4" fillId="0" borderId="1" xfId="2" applyFont="1" applyBorder="1"/>
    <xf numFmtId="0" fontId="2" fillId="0" borderId="2" xfId="2" applyBorder="1"/>
    <xf numFmtId="10" fontId="0" fillId="0" borderId="2" xfId="3" applyNumberFormat="1" applyFont="1" applyBorder="1"/>
    <xf numFmtId="10" fontId="0" fillId="3" borderId="2" xfId="3" applyNumberFormat="1" applyFont="1" applyFill="1" applyBorder="1"/>
    <xf numFmtId="0" fontId="2" fillId="0" borderId="3" xfId="2" applyBorder="1"/>
    <xf numFmtId="10" fontId="0" fillId="0" borderId="3" xfId="3" applyNumberFormat="1" applyFont="1" applyBorder="1"/>
    <xf numFmtId="10" fontId="2" fillId="3" borderId="3" xfId="2" applyNumberFormat="1" applyFill="1" applyBorder="1"/>
    <xf numFmtId="0" fontId="2" fillId="0" borderId="4" xfId="2" applyBorder="1"/>
    <xf numFmtId="10" fontId="0" fillId="0" borderId="4" xfId="3" applyNumberFormat="1" applyFont="1" applyBorder="1"/>
    <xf numFmtId="10" fontId="2" fillId="3" borderId="4" xfId="2" applyNumberFormat="1" applyFill="1" applyBorder="1"/>
    <xf numFmtId="10" fontId="2" fillId="3" borderId="2" xfId="2" applyNumberFormat="1" applyFill="1" applyBorder="1"/>
    <xf numFmtId="4" fontId="2" fillId="0" borderId="2" xfId="2" applyNumberFormat="1" applyBorder="1"/>
    <xf numFmtId="2" fontId="2" fillId="0" borderId="3" xfId="2" applyNumberFormat="1" applyBorder="1"/>
    <xf numFmtId="2" fontId="2" fillId="0" borderId="4" xfId="2" applyNumberFormat="1" applyBorder="1"/>
    <xf numFmtId="0" fontId="2" fillId="0" borderId="1" xfId="2" applyBorder="1"/>
    <xf numFmtId="10" fontId="0" fillId="0" borderId="1" xfId="3" applyNumberFormat="1" applyFont="1" applyBorder="1"/>
    <xf numFmtId="10" fontId="2" fillId="3" borderId="1" xfId="2" applyNumberFormat="1" applyFill="1" applyBorder="1"/>
    <xf numFmtId="10" fontId="0" fillId="0" borderId="0" xfId="3" applyNumberFormat="1" applyFont="1"/>
    <xf numFmtId="10" fontId="2" fillId="0" borderId="1" xfId="2" applyNumberFormat="1" applyBorder="1"/>
    <xf numFmtId="3" fontId="4" fillId="0" borderId="1" xfId="2" applyNumberFormat="1" applyFont="1" applyBorder="1" applyAlignment="1">
      <alignment horizontal="right"/>
    </xf>
    <xf numFmtId="0" fontId="4" fillId="0" borderId="3" xfId="2" applyFont="1" applyBorder="1"/>
    <xf numFmtId="3" fontId="4" fillId="0" borderId="3" xfId="2" applyNumberFormat="1" applyFont="1" applyBorder="1" applyAlignment="1">
      <alignment horizontal="right"/>
    </xf>
    <xf numFmtId="3" fontId="2" fillId="0" borderId="3" xfId="2" applyNumberFormat="1" applyBorder="1" applyAlignment="1">
      <alignment horizontal="right"/>
    </xf>
    <xf numFmtId="3" fontId="3" fillId="2" borderId="0" xfId="2" applyNumberFormat="1" applyFont="1" applyFill="1"/>
    <xf numFmtId="3" fontId="2" fillId="0" borderId="0" xfId="2" applyNumberFormat="1"/>
    <xf numFmtId="0" fontId="4" fillId="0" borderId="0" xfId="2" applyFont="1"/>
    <xf numFmtId="3" fontId="2" fillId="0" borderId="3" xfId="2" applyNumberFormat="1" applyBorder="1"/>
    <xf numFmtId="3" fontId="2" fillId="0" borderId="1" xfId="2" applyNumberFormat="1" applyBorder="1"/>
    <xf numFmtId="0" fontId="4" fillId="0" borderId="4" xfId="2" applyFont="1" applyBorder="1"/>
    <xf numFmtId="3" fontId="4" fillId="0" borderId="4" xfId="2" applyNumberFormat="1" applyFont="1" applyBorder="1"/>
    <xf numFmtId="3" fontId="2" fillId="0" borderId="2" xfId="2" applyNumberFormat="1" applyBorder="1"/>
    <xf numFmtId="3" fontId="2" fillId="0" borderId="4" xfId="2" applyNumberFormat="1" applyBorder="1"/>
    <xf numFmtId="3" fontId="4" fillId="0" borderId="3" xfId="2" applyNumberFormat="1" applyFont="1" applyBorder="1"/>
    <xf numFmtId="10" fontId="2" fillId="0" borderId="3" xfId="2" applyNumberFormat="1" applyBorder="1"/>
    <xf numFmtId="3" fontId="4" fillId="0" borderId="1" xfId="2" applyNumberFormat="1" applyFont="1" applyBorder="1"/>
    <xf numFmtId="49" fontId="4" fillId="0" borderId="1" xfId="2" applyNumberFormat="1" applyFont="1" applyBorder="1" applyAlignment="1">
      <alignment horizontal="left"/>
    </xf>
    <xf numFmtId="165" fontId="2" fillId="0" borderId="0" xfId="2" applyNumberFormat="1"/>
    <xf numFmtId="0" fontId="4" fillId="0" borderId="1" xfId="2" applyFont="1" applyBorder="1" applyAlignment="1">
      <alignment horizontal="center"/>
    </xf>
    <xf numFmtId="164" fontId="4" fillId="0" borderId="1" xfId="2" applyNumberFormat="1" applyFont="1" applyBorder="1" applyAlignment="1">
      <alignment horizontal="center"/>
    </xf>
    <xf numFmtId="10" fontId="2" fillId="0" borderId="3" xfId="1" applyNumberFormat="1" applyFont="1" applyBorder="1"/>
    <xf numFmtId="0" fontId="2" fillId="0" borderId="0" xfId="2" applyAlignment="1">
      <alignment horizontal="center"/>
    </xf>
    <xf numFmtId="0" fontId="2" fillId="4" borderId="0" xfId="2" applyFill="1"/>
    <xf numFmtId="3" fontId="2" fillId="4" borderId="0" xfId="2" applyNumberFormat="1" applyFill="1"/>
    <xf numFmtId="43" fontId="0" fillId="3" borderId="2" xfId="4" applyFont="1" applyFill="1" applyBorder="1"/>
    <xf numFmtId="9" fontId="2" fillId="0" borderId="0" xfId="1" applyFont="1"/>
    <xf numFmtId="10" fontId="2" fillId="0" borderId="0" xfId="1" applyNumberFormat="1" applyFont="1"/>
    <xf numFmtId="43" fontId="2" fillId="0" borderId="1" xfId="4" applyFont="1" applyBorder="1"/>
    <xf numFmtId="166" fontId="2" fillId="0" borderId="1" xfId="2" applyNumberFormat="1" applyBorder="1"/>
    <xf numFmtId="10" fontId="2" fillId="0" borderId="1" xfId="1" applyNumberFormat="1" applyFont="1" applyBorder="1"/>
    <xf numFmtId="0" fontId="5" fillId="0" borderId="1" xfId="0" applyFont="1" applyBorder="1"/>
    <xf numFmtId="0" fontId="4" fillId="0" borderId="1" xfId="0" applyFont="1" applyBorder="1" applyAlignment="1">
      <alignment horizontal="center"/>
    </xf>
    <xf numFmtId="0" fontId="4" fillId="5" borderId="1" xfId="0" applyFont="1" applyFill="1" applyBorder="1" applyAlignment="1">
      <alignment horizontal="center"/>
    </xf>
    <xf numFmtId="164" fontId="4" fillId="0" borderId="1" xfId="0" applyNumberFormat="1" applyFont="1" applyBorder="1" applyAlignment="1">
      <alignment horizontal="center"/>
    </xf>
    <xf numFmtId="0" fontId="0" fillId="0" borderId="2" xfId="0" applyBorder="1"/>
    <xf numFmtId="10" fontId="0" fillId="0" borderId="2" xfId="1" applyNumberFormat="1" applyFont="1" applyBorder="1"/>
    <xf numFmtId="0" fontId="0" fillId="0" borderId="3" xfId="0" applyBorder="1"/>
    <xf numFmtId="43" fontId="2" fillId="3" borderId="2" xfId="4" applyFont="1" applyFill="1" applyBorder="1"/>
  </cellXfs>
  <cellStyles count="5">
    <cellStyle name="Coma" xfId="4" builtinId="3"/>
    <cellStyle name="Normal" xfId="0" builtinId="0"/>
    <cellStyle name="Normal 2" xfId="2" xr:uid="{FE8222F1-C70B-4E34-80C2-5050253E3541}"/>
    <cellStyle name="Percentatge" xfId="1" builtinId="5"/>
    <cellStyle name="Porcentaje 2" xfId="3" xr:uid="{69ECE052-8FE1-430A-80F2-09175B45E8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200026</xdr:colOff>
      <xdr:row>0</xdr:row>
      <xdr:rowOff>85725</xdr:rowOff>
    </xdr:from>
    <xdr:to>
      <xdr:col>7</xdr:col>
      <xdr:colOff>523875</xdr:colOff>
      <xdr:row>56</xdr:row>
      <xdr:rowOff>114300</xdr:rowOff>
    </xdr:to>
    <xdr:sp macro="" textlink="">
      <xdr:nvSpPr>
        <xdr:cNvPr id="2" name="CuadroTexto 1">
          <a:extLst>
            <a:ext uri="{FF2B5EF4-FFF2-40B4-BE49-F238E27FC236}">
              <a16:creationId xmlns:a16="http://schemas.microsoft.com/office/drawing/2014/main" id="{89A64B59-9AB7-47FE-9363-BC3FE42FAD77}"/>
            </a:ext>
          </a:extLst>
        </xdr:cNvPr>
        <xdr:cNvSpPr txBox="1"/>
      </xdr:nvSpPr>
      <xdr:spPr>
        <a:xfrm>
          <a:off x="200026" y="85725"/>
          <a:ext cx="5657849" cy="909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a:p>
          <a:r>
            <a:rPr lang="es-ES" sz="1100"/>
            <a:t>Se pide proyectar el Balance y la Cuenta</a:t>
          </a:r>
          <a:r>
            <a:rPr lang="es-ES" sz="1100" baseline="0"/>
            <a:t> de Pérdidas y Ganancias con el objetivo de estimar sus flujos de caja libres y del accionistas previsionales, de una empresa de componentes electrónicos :</a:t>
          </a:r>
          <a:endParaRPr lang="es-ES" sz="1100"/>
        </a:p>
        <a:p>
          <a:endParaRPr lang="es-ES" sz="1100"/>
        </a:p>
        <a:p>
          <a:r>
            <a:rPr lang="es-ES" sz="1100"/>
            <a:t>a) A pesar del modesto crecimiento experimentado en sus ventas</a:t>
          </a:r>
          <a:r>
            <a:rPr lang="es-ES" sz="1100" baseline="0"/>
            <a:t> </a:t>
          </a:r>
          <a:r>
            <a:rPr lang="es-ES" sz="1100"/>
            <a:t>en el año X y la disminución de las ventas en el año X-1</a:t>
          </a:r>
          <a:r>
            <a:rPr lang="es-ES" sz="1100" baseline="0"/>
            <a:t> (</a:t>
          </a:r>
          <a:r>
            <a:rPr lang="es-ES" sz="1100"/>
            <a:t>hecho motivado por la pérdida</a:t>
          </a:r>
          <a:r>
            <a:rPr lang="es-ES" sz="1100" baseline="0"/>
            <a:t> de un cliente)</a:t>
          </a:r>
          <a:r>
            <a:rPr lang="es-ES" sz="1100"/>
            <a:t>, se espera que en los próximos años dicho crecimiento se recupere paulatinamente hasta alcanzar cotas de crecimiento moderadas mantenibles en el tiempo del 2% en el año X + 5. En este sentido, se considera como intervalo de ajuste más probable 5 años. </a:t>
          </a:r>
        </a:p>
        <a:p>
          <a:endParaRPr lang="es-ES" sz="1100"/>
        </a:p>
        <a:p>
          <a:r>
            <a:rPr lang="es-ES" sz="1100"/>
            <a:t>b) En los próximos años se prevé mantener el </a:t>
          </a:r>
          <a:r>
            <a:rPr lang="es-ES" sz="1100" baseline="0"/>
            <a:t>margen del consumo de mercaderias sobre cifra de negocio y tampoco se tiene constancia de que la relación entre las distintas partidas de la cuenta de resultados vayan a cambiar en el futuro.</a:t>
          </a:r>
          <a:endParaRPr lang="es-ES" sz="1100"/>
        </a:p>
        <a:p>
          <a:endParaRPr lang="es-ES" sz="1100"/>
        </a:p>
        <a:p>
          <a:r>
            <a:rPr lang="es-ES" sz="1100"/>
            <a:t>c) A pesar de que en los últimos años la sociedad ha disfrutado de importantes subvenciones tanto de capital como de la explotación, no se cree que en los próximos ejercicios se vuelvan a repetir este tipo de ayudas,</a:t>
          </a:r>
          <a:r>
            <a:rPr lang="es-ES" sz="1100" baseline="0"/>
            <a:t> estimándose una imputación anual a resultados del 10% de las subvenciones del inmobilizado pendientes de traspasar a resultados en el ejercicio anterior.</a:t>
          </a:r>
          <a:endParaRPr lang="es-ES" sz="1100"/>
        </a:p>
        <a:p>
          <a:endParaRPr lang="es-ES" sz="1100"/>
        </a:p>
        <a:p>
          <a:r>
            <a:rPr lang="es-ES" sz="1100"/>
            <a:t>d) En los próximos ejercicios continuará el esfuerzo inversor realizado por</a:t>
          </a:r>
        </a:p>
        <a:p>
          <a:r>
            <a:rPr lang="es-ES" sz="1100"/>
            <a:t>la sociedad en los últimos años, no se espera que el crecimiento neto del inmovilizado sea </a:t>
          </a:r>
        </a:p>
        <a:p>
          <a:r>
            <a:rPr lang="es-ES" sz="1100"/>
            <a:t>sustancialmente distinto del de la facturación. Asimismo no se esperan cambios</a:t>
          </a:r>
        </a:p>
        <a:p>
          <a:r>
            <a:rPr lang="es-ES" sz="1100"/>
            <a:t>importantes en la política de amortización de la empresa.</a:t>
          </a:r>
        </a:p>
        <a:p>
          <a:endParaRPr lang="es-ES" sz="1100"/>
        </a:p>
        <a:p>
          <a:r>
            <a:rPr lang="es-ES" sz="1100"/>
            <a:t>e) Se considera que los periodos medios de cobro y pago del ejercicio X se encuentran desvirtuados por problemas sugidos en</a:t>
          </a:r>
          <a:r>
            <a:rPr lang="es-ES" sz="1100" baseline="0"/>
            <a:t> dicho ejercicio por el retraso en el cobro de los clientes, lo que ha provocado un alargamiento en el periodo de pago a los proveedores. </a:t>
          </a:r>
          <a:r>
            <a:rPr lang="es-ES" sz="1100"/>
            <a:t>El equipo gestor considera que para el año X + 5</a:t>
          </a:r>
          <a:r>
            <a:rPr lang="es-ES" sz="1100" baseline="0"/>
            <a:t> se habrá regularizado esta situación, con una paulatina convergencia de los periodos medios de cobro y pago de la compañía hacía los niveles que tenía en el año X -1.</a:t>
          </a:r>
          <a:endParaRPr lang="es-ES" sz="1100"/>
        </a:p>
        <a:p>
          <a:endParaRPr lang="es-ES" sz="1100"/>
        </a:p>
        <a:p>
          <a:r>
            <a:rPr lang="es-ES" sz="1100"/>
            <a:t>f) El tipo efectivo del Impuesto de Sociedades que se considera soportará</a:t>
          </a:r>
        </a:p>
        <a:p>
          <a:r>
            <a:rPr lang="es-ES" sz="1100"/>
            <a:t>la sociedad en el futuro es el tipo impositivo del 25%. Tampoco se estiman variaciones importantes en lo referido a los pasivos acumulados con la Hacienda Pública por concepto de</a:t>
          </a:r>
        </a:p>
        <a:p>
          <a:r>
            <a:rPr lang="es-ES" sz="1100"/>
            <a:t>impuestos diferidos.</a:t>
          </a:r>
        </a:p>
        <a:p>
          <a:endParaRPr lang="es-ES" sz="1100"/>
        </a:p>
        <a:p>
          <a:r>
            <a:rPr lang="es-ES" sz="1100"/>
            <a:t>g) En el futuro la empresa no prevé alterar sustancialmente su política de financiación y no se prevén cambios de importancia en la estructura financiera de la compañía,</a:t>
          </a:r>
          <a:r>
            <a:rPr lang="es-ES" sz="1100" baseline="0"/>
            <a:t> el coste financiero de la deuda se estima que será similar al del año X.</a:t>
          </a:r>
          <a:endParaRPr lang="es-ES" sz="1100"/>
        </a:p>
        <a:p>
          <a:endParaRPr lang="es-E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4FAE-8A14-499B-8244-7A66E217F9B8}">
  <dimension ref="A1"/>
  <sheetViews>
    <sheetView workbookViewId="0">
      <selection activeCell="J26" sqref="J26"/>
    </sheetView>
  </sheetViews>
  <sheetFormatPr defaultColWidth="11.42578125" defaultRowHeight="12.75" x14ac:dyDescent="0.2"/>
  <cols>
    <col min="1" max="16384" width="11.42578125" style="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F2CB-5002-4E02-823A-4EF954917A68}">
  <dimension ref="A1:J49"/>
  <sheetViews>
    <sheetView topLeftCell="A14" workbookViewId="0">
      <selection activeCell="M25" sqref="M25"/>
    </sheetView>
  </sheetViews>
  <sheetFormatPr defaultColWidth="11.42578125" defaultRowHeight="12.75" x14ac:dyDescent="0.2"/>
  <cols>
    <col min="1" max="1" width="47.85546875" style="2" bestFit="1" customWidth="1"/>
    <col min="2" max="2" width="23.28515625" style="2" bestFit="1" customWidth="1"/>
    <col min="3" max="3" width="11.42578125" style="2"/>
    <col min="4" max="4" width="13.5703125" style="2" customWidth="1"/>
    <col min="5" max="5" width="17.85546875" style="2" customWidth="1"/>
    <col min="6" max="6" width="16.85546875" style="2" customWidth="1"/>
    <col min="7" max="7" width="13.42578125" style="2" customWidth="1"/>
    <col min="8" max="8" width="15.28515625" style="2" customWidth="1"/>
    <col min="9" max="9" width="13.7109375" style="2" customWidth="1"/>
    <col min="10" max="256" width="11.42578125" style="2"/>
    <col min="257" max="257" width="38.85546875" style="2" customWidth="1"/>
    <col min="258" max="512" width="11.42578125" style="2"/>
    <col min="513" max="513" width="38.85546875" style="2" customWidth="1"/>
    <col min="514" max="768" width="11.42578125" style="2"/>
    <col min="769" max="769" width="38.85546875" style="2" customWidth="1"/>
    <col min="770" max="1024" width="11.42578125" style="2"/>
    <col min="1025" max="1025" width="38.85546875" style="2" customWidth="1"/>
    <col min="1026" max="1280" width="11.42578125" style="2"/>
    <col min="1281" max="1281" width="38.85546875" style="2" customWidth="1"/>
    <col min="1282" max="1536" width="11.42578125" style="2"/>
    <col min="1537" max="1537" width="38.85546875" style="2" customWidth="1"/>
    <col min="1538" max="1792" width="11.42578125" style="2"/>
    <col min="1793" max="1793" width="38.85546875" style="2" customWidth="1"/>
    <col min="1794" max="2048" width="11.42578125" style="2"/>
    <col min="2049" max="2049" width="38.85546875" style="2" customWidth="1"/>
    <col min="2050" max="2304" width="11.42578125" style="2"/>
    <col min="2305" max="2305" width="38.85546875" style="2" customWidth="1"/>
    <col min="2306" max="2560" width="11.42578125" style="2"/>
    <col min="2561" max="2561" width="38.85546875" style="2" customWidth="1"/>
    <col min="2562" max="2816" width="11.42578125" style="2"/>
    <col min="2817" max="2817" width="38.85546875" style="2" customWidth="1"/>
    <col min="2818" max="3072" width="11.42578125" style="2"/>
    <col min="3073" max="3073" width="38.85546875" style="2" customWidth="1"/>
    <col min="3074" max="3328" width="11.42578125" style="2"/>
    <col min="3329" max="3329" width="38.85546875" style="2" customWidth="1"/>
    <col min="3330" max="3584" width="11.42578125" style="2"/>
    <col min="3585" max="3585" width="38.85546875" style="2" customWidth="1"/>
    <col min="3586" max="3840" width="11.42578125" style="2"/>
    <col min="3841" max="3841" width="38.85546875" style="2" customWidth="1"/>
    <col min="3842" max="4096" width="11.42578125" style="2"/>
    <col min="4097" max="4097" width="38.85546875" style="2" customWidth="1"/>
    <col min="4098" max="4352" width="11.42578125" style="2"/>
    <col min="4353" max="4353" width="38.85546875" style="2" customWidth="1"/>
    <col min="4354" max="4608" width="11.42578125" style="2"/>
    <col min="4609" max="4609" width="38.85546875" style="2" customWidth="1"/>
    <col min="4610" max="4864" width="11.42578125" style="2"/>
    <col min="4865" max="4865" width="38.85546875" style="2" customWidth="1"/>
    <col min="4866" max="5120" width="11.42578125" style="2"/>
    <col min="5121" max="5121" width="38.85546875" style="2" customWidth="1"/>
    <col min="5122" max="5376" width="11.42578125" style="2"/>
    <col min="5377" max="5377" width="38.85546875" style="2" customWidth="1"/>
    <col min="5378" max="5632" width="11.42578125" style="2"/>
    <col min="5633" max="5633" width="38.85546875" style="2" customWidth="1"/>
    <col min="5634" max="5888" width="11.42578125" style="2"/>
    <col min="5889" max="5889" width="38.85546875" style="2" customWidth="1"/>
    <col min="5890" max="6144" width="11.42578125" style="2"/>
    <col min="6145" max="6145" width="38.85546875" style="2" customWidth="1"/>
    <col min="6146" max="6400" width="11.42578125" style="2"/>
    <col min="6401" max="6401" width="38.85546875" style="2" customWidth="1"/>
    <col min="6402" max="6656" width="11.42578125" style="2"/>
    <col min="6657" max="6657" width="38.85546875" style="2" customWidth="1"/>
    <col min="6658" max="6912" width="11.42578125" style="2"/>
    <col min="6913" max="6913" width="38.85546875" style="2" customWidth="1"/>
    <col min="6914" max="7168" width="11.42578125" style="2"/>
    <col min="7169" max="7169" width="38.85546875" style="2" customWidth="1"/>
    <col min="7170" max="7424" width="11.42578125" style="2"/>
    <col min="7425" max="7425" width="38.85546875" style="2" customWidth="1"/>
    <col min="7426" max="7680" width="11.42578125" style="2"/>
    <col min="7681" max="7681" width="38.85546875" style="2" customWidth="1"/>
    <col min="7682" max="7936" width="11.42578125" style="2"/>
    <col min="7937" max="7937" width="38.85546875" style="2" customWidth="1"/>
    <col min="7938" max="8192" width="11.42578125" style="2"/>
    <col min="8193" max="8193" width="38.85546875" style="2" customWidth="1"/>
    <col min="8194" max="8448" width="11.42578125" style="2"/>
    <col min="8449" max="8449" width="38.85546875" style="2" customWidth="1"/>
    <col min="8450" max="8704" width="11.42578125" style="2"/>
    <col min="8705" max="8705" width="38.85546875" style="2" customWidth="1"/>
    <col min="8706" max="8960" width="11.42578125" style="2"/>
    <col min="8961" max="8961" width="38.85546875" style="2" customWidth="1"/>
    <col min="8962" max="9216" width="11.42578125" style="2"/>
    <col min="9217" max="9217" width="38.85546875" style="2" customWidth="1"/>
    <col min="9218" max="9472" width="11.42578125" style="2"/>
    <col min="9473" max="9473" width="38.85546875" style="2" customWidth="1"/>
    <col min="9474" max="9728" width="11.42578125" style="2"/>
    <col min="9729" max="9729" width="38.85546875" style="2" customWidth="1"/>
    <col min="9730" max="9984" width="11.42578125" style="2"/>
    <col min="9985" max="9985" width="38.85546875" style="2" customWidth="1"/>
    <col min="9986" max="10240" width="11.42578125" style="2"/>
    <col min="10241" max="10241" width="38.85546875" style="2" customWidth="1"/>
    <col min="10242" max="10496" width="11.42578125" style="2"/>
    <col min="10497" max="10497" width="38.85546875" style="2" customWidth="1"/>
    <col min="10498" max="10752" width="11.42578125" style="2"/>
    <col min="10753" max="10753" width="38.85546875" style="2" customWidth="1"/>
    <col min="10754" max="11008" width="11.42578125" style="2"/>
    <col min="11009" max="11009" width="38.85546875" style="2" customWidth="1"/>
    <col min="11010" max="11264" width="11.42578125" style="2"/>
    <col min="11265" max="11265" width="38.85546875" style="2" customWidth="1"/>
    <col min="11266" max="11520" width="11.42578125" style="2"/>
    <col min="11521" max="11521" width="38.85546875" style="2" customWidth="1"/>
    <col min="11522" max="11776" width="11.42578125" style="2"/>
    <col min="11777" max="11777" width="38.85546875" style="2" customWidth="1"/>
    <col min="11778" max="12032" width="11.42578125" style="2"/>
    <col min="12033" max="12033" width="38.85546875" style="2" customWidth="1"/>
    <col min="12034" max="12288" width="11.42578125" style="2"/>
    <col min="12289" max="12289" width="38.85546875" style="2" customWidth="1"/>
    <col min="12290" max="12544" width="11.42578125" style="2"/>
    <col min="12545" max="12545" width="38.85546875" style="2" customWidth="1"/>
    <col min="12546" max="12800" width="11.42578125" style="2"/>
    <col min="12801" max="12801" width="38.85546875" style="2" customWidth="1"/>
    <col min="12802" max="13056" width="11.42578125" style="2"/>
    <col min="13057" max="13057" width="38.85546875" style="2" customWidth="1"/>
    <col min="13058" max="13312" width="11.42578125" style="2"/>
    <col min="13313" max="13313" width="38.85546875" style="2" customWidth="1"/>
    <col min="13314" max="13568" width="11.42578125" style="2"/>
    <col min="13569" max="13569" width="38.85546875" style="2" customWidth="1"/>
    <col min="13570" max="13824" width="11.42578125" style="2"/>
    <col min="13825" max="13825" width="38.85546875" style="2" customWidth="1"/>
    <col min="13826" max="14080" width="11.42578125" style="2"/>
    <col min="14081" max="14081" width="38.85546875" style="2" customWidth="1"/>
    <col min="14082" max="14336" width="11.42578125" style="2"/>
    <col min="14337" max="14337" width="38.85546875" style="2" customWidth="1"/>
    <col min="14338" max="14592" width="11.42578125" style="2"/>
    <col min="14593" max="14593" width="38.85546875" style="2" customWidth="1"/>
    <col min="14594" max="14848" width="11.42578125" style="2"/>
    <col min="14849" max="14849" width="38.85546875" style="2" customWidth="1"/>
    <col min="14850" max="15104" width="11.42578125" style="2"/>
    <col min="15105" max="15105" width="38.85546875" style="2" customWidth="1"/>
    <col min="15106" max="15360" width="11.42578125" style="2"/>
    <col min="15361" max="15361" width="38.85546875" style="2" customWidth="1"/>
    <col min="15362" max="15616" width="11.42578125" style="2"/>
    <col min="15617" max="15617" width="38.85546875" style="2" customWidth="1"/>
    <col min="15618" max="15872" width="11.42578125" style="2"/>
    <col min="15873" max="15873" width="38.85546875" style="2" customWidth="1"/>
    <col min="15874" max="16128" width="11.42578125" style="2"/>
    <col min="16129" max="16129" width="38.85546875" style="2" customWidth="1"/>
    <col min="16130" max="16384" width="11.42578125" style="2"/>
  </cols>
  <sheetData>
    <row r="1" spans="1:9" x14ac:dyDescent="0.2">
      <c r="A1" s="1" t="s">
        <v>0</v>
      </c>
      <c r="B1" s="1"/>
      <c r="C1" s="1"/>
      <c r="D1" s="1"/>
      <c r="E1" s="1"/>
      <c r="F1" s="1"/>
      <c r="G1" s="1"/>
      <c r="H1" s="1"/>
      <c r="I1" s="1"/>
    </row>
    <row r="2" spans="1:9" x14ac:dyDescent="0.2">
      <c r="E2" s="43">
        <v>1</v>
      </c>
      <c r="F2" s="43">
        <v>2</v>
      </c>
      <c r="G2" s="43">
        <v>3</v>
      </c>
      <c r="H2" s="43">
        <v>4</v>
      </c>
      <c r="I2" s="43">
        <v>5</v>
      </c>
    </row>
    <row r="3" spans="1:9" x14ac:dyDescent="0.2">
      <c r="A3" s="3" t="s">
        <v>1</v>
      </c>
      <c r="B3" s="40" t="s">
        <v>145</v>
      </c>
      <c r="C3" s="40" t="s">
        <v>146</v>
      </c>
      <c r="D3" s="40" t="s">
        <v>147</v>
      </c>
      <c r="E3" s="41" t="s">
        <v>148</v>
      </c>
      <c r="F3" s="41" t="s">
        <v>149</v>
      </c>
      <c r="G3" s="41" t="s">
        <v>150</v>
      </c>
      <c r="H3" s="41" t="s">
        <v>151</v>
      </c>
      <c r="I3" s="41" t="s">
        <v>152</v>
      </c>
    </row>
    <row r="4" spans="1:9" ht="15" x14ac:dyDescent="0.25">
      <c r="A4" s="4" t="s">
        <v>2</v>
      </c>
      <c r="B4" s="4"/>
      <c r="C4" s="5">
        <f>('Cuentas PyG'!C4-'Cuentas PyG'!B4)/'Cuentas PyG'!B4</f>
        <v>-0.23335122142499409</v>
      </c>
      <c r="D4" s="5">
        <f>('Cuentas PyG'!D4-'Cuentas PyG'!C4)/'Cuentas PyG'!C4</f>
        <v>1.5460282775172534E-2</v>
      </c>
      <c r="E4" s="6">
        <f>+D4-(($D$4-$B$41)/5)</f>
        <v>1.6368226220138029E-2</v>
      </c>
      <c r="F4" s="6">
        <f t="shared" ref="F4:I4" si="0">+E4-(($D$4-$B$41)/5)</f>
        <v>1.7276169665103522E-2</v>
      </c>
      <c r="G4" s="6">
        <f t="shared" si="0"/>
        <v>1.8184113110069015E-2</v>
      </c>
      <c r="H4" s="6">
        <f t="shared" si="0"/>
        <v>1.9092056555034508E-2</v>
      </c>
      <c r="I4" s="6">
        <f t="shared" si="0"/>
        <v>0.02</v>
      </c>
    </row>
    <row r="5" spans="1:9" ht="15" x14ac:dyDescent="0.25">
      <c r="A5" s="7" t="s">
        <v>3</v>
      </c>
      <c r="B5" s="8">
        <f>-('Cuentas PyG'!B8+'Cuentas PyG'!B5)/'Cuentas PyG'!B4</f>
        <v>0.41312567852623672</v>
      </c>
      <c r="C5" s="8">
        <f>-('Cuentas PyG'!C8+'Cuentas PyG'!C5)/'Cuentas PyG'!C4</f>
        <v>0.32609163459716406</v>
      </c>
      <c r="D5" s="8">
        <f>-('Cuentas PyG'!D8+'Cuentas PyG'!D5)/'Cuentas PyG'!D4</f>
        <v>0.29449470003884787</v>
      </c>
      <c r="E5" s="9">
        <v>0.29449470003884787</v>
      </c>
      <c r="F5" s="9">
        <v>0.29449470003884787</v>
      </c>
      <c r="G5" s="9">
        <v>0.29449470003884787</v>
      </c>
      <c r="H5" s="9">
        <v>0.29449470003884787</v>
      </c>
      <c r="I5" s="9">
        <v>0.29449470003884787</v>
      </c>
    </row>
    <row r="6" spans="1:9" ht="15" x14ac:dyDescent="0.25">
      <c r="A6" s="7" t="s">
        <v>157</v>
      </c>
      <c r="B6" s="8">
        <f>'Cuentas PyG'!B6/'Cuentas PyG'!B4</f>
        <v>0.11439840019023793</v>
      </c>
      <c r="C6" s="8">
        <f>'Cuentas PyG'!C6/'Cuentas PyG'!C4</f>
        <v>0.18178860826459786</v>
      </c>
      <c r="D6" s="8">
        <f>'Cuentas PyG'!D6/'Cuentas PyG'!D4</f>
        <v>0.17956046395471448</v>
      </c>
      <c r="E6" s="9">
        <v>0.17956046395471448</v>
      </c>
      <c r="F6" s="9">
        <v>0.17956046395471448</v>
      </c>
      <c r="G6" s="9">
        <v>0.17956046395471448</v>
      </c>
      <c r="H6" s="9">
        <v>0.17956046395471448</v>
      </c>
      <c r="I6" s="9">
        <v>0.17956046395471448</v>
      </c>
    </row>
    <row r="7" spans="1:9" ht="15" x14ac:dyDescent="0.25">
      <c r="A7" s="10" t="s">
        <v>4</v>
      </c>
      <c r="B7" s="10"/>
      <c r="C7" s="11">
        <f>('Cuentas PyG'!C12-'Cuentas PyG'!B12)/'Cuentas PyG'!B12</f>
        <v>9.8218776079161429</v>
      </c>
      <c r="D7" s="11">
        <f>('Cuentas PyG'!D12-'Cuentas PyG'!C12)/'Cuentas PyG'!C12</f>
        <v>-0.87797127240371176</v>
      </c>
      <c r="E7" s="12"/>
      <c r="F7" s="12"/>
      <c r="G7" s="12"/>
      <c r="H7" s="12"/>
      <c r="I7" s="12"/>
    </row>
    <row r="8" spans="1:9" x14ac:dyDescent="0.2">
      <c r="A8" s="7" t="s">
        <v>158</v>
      </c>
      <c r="B8" s="42">
        <f>-'Cuentas PyG'!B9/'Cuentas PyG'!B4</f>
        <v>6.9028454983877816E-2</v>
      </c>
      <c r="C8" s="42">
        <f>-'Cuentas PyG'!C9/'Cuentas PyG'!C4</f>
        <v>4.9878801583293005E-2</v>
      </c>
      <c r="D8" s="42">
        <f>-'Cuentas PyG'!D9/'Cuentas PyG'!D4</f>
        <v>6.7456573616737889E-2</v>
      </c>
      <c r="E8" s="9">
        <v>6.7456573616737889E-2</v>
      </c>
      <c r="F8" s="9">
        <v>6.7456573616737889E-2</v>
      </c>
      <c r="G8" s="9">
        <v>6.7456573616737889E-2</v>
      </c>
      <c r="H8" s="9">
        <v>6.7456573616737889E-2</v>
      </c>
      <c r="I8" s="9">
        <v>6.7456573616737889E-2</v>
      </c>
    </row>
    <row r="9" spans="1:9" ht="15" x14ac:dyDescent="0.25">
      <c r="A9" s="4" t="s">
        <v>5</v>
      </c>
      <c r="B9" s="5">
        <f>-'Cuentas PyG'!B14/'Cuentas PyG'!B4</f>
        <v>0.21974354084498962</v>
      </c>
      <c r="C9" s="5">
        <f>-'Cuentas PyG'!C14/'Cuentas PyG'!C4</f>
        <v>0.30450156490719393</v>
      </c>
      <c r="D9" s="5">
        <f>-'Cuentas PyG'!D14/'Cuentas PyG'!D4</f>
        <v>0.30623231033908654</v>
      </c>
      <c r="E9" s="13">
        <v>0.30623231033908654</v>
      </c>
      <c r="F9" s="13">
        <v>0.30623231033908654</v>
      </c>
      <c r="G9" s="13">
        <v>0.30623231033908654</v>
      </c>
      <c r="H9" s="13">
        <v>0.30623231033908654</v>
      </c>
      <c r="I9" s="13">
        <v>0.30623231033908654</v>
      </c>
    </row>
    <row r="10" spans="1:9" ht="15" x14ac:dyDescent="0.25">
      <c r="A10" s="7" t="s">
        <v>156</v>
      </c>
      <c r="B10" s="8">
        <f>-'Cuentas PyG'!B17/'Cuentas PyG'!B4</f>
        <v>0.20727226749858893</v>
      </c>
      <c r="C10" s="8">
        <f>-'Cuentas PyG'!C17/'Cuentas PyG'!C4</f>
        <v>0.26385542694880787</v>
      </c>
      <c r="D10" s="8">
        <f>-'Cuentas PyG'!D17/'Cuentas PyG'!D4</f>
        <v>0.25109606526444311</v>
      </c>
      <c r="E10" s="9">
        <v>0.25109606526444311</v>
      </c>
      <c r="F10" s="9">
        <v>0.25109606526444311</v>
      </c>
      <c r="G10" s="9">
        <v>0.25109606526444311</v>
      </c>
      <c r="H10" s="9">
        <v>0.25109606526444311</v>
      </c>
      <c r="I10" s="9">
        <v>0.25109606526444311</v>
      </c>
    </row>
    <row r="11" spans="1:9" ht="15" x14ac:dyDescent="0.25">
      <c r="A11" s="4" t="s">
        <v>155</v>
      </c>
      <c r="B11" s="5">
        <f>+'Cuentas PyG'!B21/(Balances!B9+Balances!B5)</f>
        <v>-0.58684941773966393</v>
      </c>
      <c r="C11" s="5">
        <f>+'Cuentas PyG'!C21/(Balances!C9+Balances!C5)</f>
        <v>-0.58945553943991968</v>
      </c>
      <c r="D11" s="5">
        <f>+'Cuentas PyG'!D21/(Balances!D9+Balances!D5)</f>
        <v>-0.6187044400265076</v>
      </c>
      <c r="E11" s="13">
        <v>-0.6187044400265076</v>
      </c>
      <c r="F11" s="13">
        <v>-0.6187044400265076</v>
      </c>
      <c r="G11" s="13">
        <v>-0.6187044400265076</v>
      </c>
      <c r="H11" s="13">
        <v>-0.6187044400265076</v>
      </c>
      <c r="I11" s="13">
        <v>-0.6187044400265076</v>
      </c>
    </row>
    <row r="12" spans="1:9" ht="15" x14ac:dyDescent="0.25">
      <c r="A12" s="10" t="s">
        <v>154</v>
      </c>
      <c r="B12" s="11">
        <f>+'Cuentas PyG'!B22/Balances!B45</f>
        <v>0.34976930236242304</v>
      </c>
      <c r="C12" s="11">
        <f>+'Cuentas PyG'!C22/Balances!C45</f>
        <v>0.1053640938640989</v>
      </c>
      <c r="D12" s="11">
        <f>+'Cuentas PyG'!D22/Balances!D45</f>
        <v>0.12984146341463415</v>
      </c>
      <c r="E12" s="12">
        <v>0.12984146341463415</v>
      </c>
      <c r="F12" s="12">
        <v>0.12984146341463415</v>
      </c>
      <c r="G12" s="12">
        <v>0.12984146341463415</v>
      </c>
      <c r="H12" s="12">
        <v>0.12984146341463415</v>
      </c>
      <c r="I12" s="12">
        <v>0.12984146341463415</v>
      </c>
    </row>
    <row r="13" spans="1:9" ht="15" x14ac:dyDescent="0.25">
      <c r="A13" s="10" t="s">
        <v>6</v>
      </c>
      <c r="B13" s="11">
        <f>-'Cuentas PyG'!B30/'Cuentas PyG'!B29</f>
        <v>0.17773560738510885</v>
      </c>
      <c r="C13" s="11">
        <f>-'Cuentas PyG'!C30/'Cuentas PyG'!C29</f>
        <v>0.32547335747937023</v>
      </c>
      <c r="D13" s="11">
        <f>-'Cuentas PyG'!D30/'Cuentas PyG'!D29</f>
        <v>0.27401020825285866</v>
      </c>
      <c r="E13" s="12">
        <f>$B$44</f>
        <v>0.25</v>
      </c>
      <c r="F13" s="12">
        <f t="shared" ref="F13:I13" si="1">$B$44</f>
        <v>0.25</v>
      </c>
      <c r="G13" s="12">
        <f t="shared" si="1"/>
        <v>0.25</v>
      </c>
      <c r="H13" s="12">
        <f t="shared" si="1"/>
        <v>0.25</v>
      </c>
      <c r="I13" s="12">
        <f t="shared" si="1"/>
        <v>0.25</v>
      </c>
    </row>
    <row r="15" spans="1:9" x14ac:dyDescent="0.2">
      <c r="A15" s="1" t="s">
        <v>7</v>
      </c>
      <c r="B15" s="1"/>
      <c r="C15" s="1"/>
      <c r="D15" s="1"/>
      <c r="E15" s="1"/>
      <c r="F15" s="1"/>
      <c r="G15" s="1"/>
      <c r="H15" s="1"/>
      <c r="I15" s="1"/>
    </row>
    <row r="17" spans="1:9" x14ac:dyDescent="0.2">
      <c r="A17" s="3" t="s">
        <v>1</v>
      </c>
      <c r="B17" s="40" t="s">
        <v>145</v>
      </c>
      <c r="C17" s="40" t="s">
        <v>146</v>
      </c>
      <c r="D17" s="40" t="s">
        <v>147</v>
      </c>
      <c r="E17" s="41" t="s">
        <v>148</v>
      </c>
      <c r="F17" s="41" t="s">
        <v>149</v>
      </c>
      <c r="G17" s="41" t="s">
        <v>150</v>
      </c>
      <c r="H17" s="41" t="s">
        <v>151</v>
      </c>
      <c r="I17" s="41" t="s">
        <v>152</v>
      </c>
    </row>
    <row r="18" spans="1:9" x14ac:dyDescent="0.2">
      <c r="A18" s="4" t="s">
        <v>8</v>
      </c>
      <c r="B18" s="14">
        <f>-Balances!B18/('Cuentas PyG'!B8+'Cuentas PyG'!B5)*365</f>
        <v>231.80611522285707</v>
      </c>
      <c r="C18" s="14">
        <f>-Balances!C18/('Cuentas PyG'!C8+'Cuentas PyG'!C5)*365</f>
        <v>305.41718872539786</v>
      </c>
      <c r="D18" s="14">
        <f>-Balances!D18/('Cuentas PyG'!D8+'Cuentas PyG'!D5)*365</f>
        <v>268.01517007443698</v>
      </c>
      <c r="E18" s="59">
        <v>268.01517007443698</v>
      </c>
      <c r="F18" s="59">
        <v>268.01517007443698</v>
      </c>
      <c r="G18" s="59">
        <v>268.01517007443698</v>
      </c>
      <c r="H18" s="59">
        <v>268.01517007443698</v>
      </c>
      <c r="I18" s="59">
        <v>268.01517007443698</v>
      </c>
    </row>
    <row r="19" spans="1:9" ht="15" x14ac:dyDescent="0.25">
      <c r="A19" s="7" t="s">
        <v>9</v>
      </c>
      <c r="B19" s="15">
        <f>(Balances!B24+Balances!B25+Balances!B26)/'Cuentas PyG'!B4*365</f>
        <v>152.74870406025261</v>
      </c>
      <c r="C19" s="15">
        <f>(Balances!C24+Balances!C25+Balances!C26)/'Cuentas PyG'!C4*365</f>
        <v>266.03460533554806</v>
      </c>
      <c r="D19" s="15">
        <f>(Balances!D24+Balances!D25+Balances!D26)/'Cuentas PyG'!D4*365</f>
        <v>316.84041844719462</v>
      </c>
      <c r="E19" s="46">
        <f>D19-$C$42</f>
        <v>306.67925582486532</v>
      </c>
      <c r="F19" s="46">
        <f>E19-$C$42</f>
        <v>296.51809320253602</v>
      </c>
      <c r="G19" s="46">
        <f t="shared" ref="G19:I19" si="2">F19-$C$42</f>
        <v>286.35693058020672</v>
      </c>
      <c r="H19" s="46">
        <f t="shared" si="2"/>
        <v>276.19576795787742</v>
      </c>
      <c r="I19" s="46">
        <f t="shared" si="2"/>
        <v>266.03460533554812</v>
      </c>
    </row>
    <row r="20" spans="1:9" ht="15" x14ac:dyDescent="0.25">
      <c r="A20" s="10" t="s">
        <v>10</v>
      </c>
      <c r="B20" s="16"/>
      <c r="C20" s="16">
        <f>(Balances!C54+Balances!C18-Balances!B18)/(-'Cuentas PyG'!C8+'Cuentas PyG'!C5)*365</f>
        <v>178.39470028870102</v>
      </c>
      <c r="D20" s="16">
        <f>(Balances!D54+Balances!D18-Balances!C18)/(-'Cuentas PyG'!D8+'Cuentas PyG'!D5)*365</f>
        <v>401.87638000968639</v>
      </c>
      <c r="E20" s="46">
        <f>D20-$C$43</f>
        <v>357.18004406548931</v>
      </c>
      <c r="F20" s="46">
        <f t="shared" ref="F20:I20" si="3">E20-$C$43</f>
        <v>312.48370812129224</v>
      </c>
      <c r="G20" s="46">
        <f t="shared" si="3"/>
        <v>267.78737217709516</v>
      </c>
      <c r="H20" s="46">
        <f t="shared" si="3"/>
        <v>223.09103623289809</v>
      </c>
      <c r="I20" s="46">
        <f t="shared" si="3"/>
        <v>178.39470028870102</v>
      </c>
    </row>
    <row r="21" spans="1:9" ht="15" x14ac:dyDescent="0.25">
      <c r="A21" s="4" t="s">
        <v>11</v>
      </c>
      <c r="B21" s="5">
        <f>-Balances!B27/'Cuentas PyG'!B14</f>
        <v>7.7070393115236252E-3</v>
      </c>
      <c r="C21" s="5">
        <f>-Balances!C27/'Cuentas PyG'!C14</f>
        <v>7.1010604211980601E-3</v>
      </c>
      <c r="D21" s="5">
        <f>-Balances!D27/'Cuentas PyG'!D14</f>
        <v>7.9739035882566145E-3</v>
      </c>
      <c r="E21" s="13"/>
      <c r="F21" s="13"/>
      <c r="G21" s="13"/>
      <c r="H21" s="13"/>
      <c r="I21" s="13"/>
    </row>
    <row r="22" spans="1:9" ht="15" x14ac:dyDescent="0.25">
      <c r="A22" s="10" t="s">
        <v>12</v>
      </c>
      <c r="B22" s="11">
        <f>-Balances!B56/'Cuentas PyG'!B14</f>
        <v>3.285799152381E-3</v>
      </c>
      <c r="C22" s="11">
        <f>-Balances!C56/'Cuentas PyG'!C14</f>
        <v>2.63673298289788E-3</v>
      </c>
      <c r="D22" s="11">
        <f>-Balances!D56/'Cuentas PyG'!D14</f>
        <v>3.1714389271475171E-2</v>
      </c>
      <c r="E22" s="12"/>
      <c r="F22" s="12"/>
      <c r="G22" s="12"/>
      <c r="H22" s="12"/>
      <c r="I22" s="12"/>
    </row>
    <row r="23" spans="1:9" ht="15" x14ac:dyDescent="0.25">
      <c r="A23" s="7" t="s">
        <v>13</v>
      </c>
      <c r="B23" s="8">
        <f>Balances!B28/'Cuentas PyG'!B4</f>
        <v>3.3839427640977054E-2</v>
      </c>
      <c r="C23" s="8">
        <f>Balances!C28/'Cuentas PyG'!C4</f>
        <v>4.7801839003700407E-2</v>
      </c>
      <c r="D23" s="8">
        <f>Balances!D28/'Cuentas PyG'!D4</f>
        <v>4.9281314168377825E-2</v>
      </c>
      <c r="E23" s="9"/>
      <c r="F23" s="9"/>
      <c r="G23" s="9"/>
      <c r="H23" s="9"/>
      <c r="I23" s="9"/>
    </row>
    <row r="24" spans="1:9" ht="15" x14ac:dyDescent="0.25">
      <c r="A24" s="7" t="s">
        <v>14</v>
      </c>
      <c r="B24" s="8">
        <f>Balances!B58/'Cuentas PyG'!B4</f>
        <v>9.3138905143371441E-3</v>
      </c>
      <c r="C24" s="8">
        <f>Balances!C58/'Cuentas PyG'!C4</f>
        <v>1.1367643650590706E-2</v>
      </c>
      <c r="D24" s="8">
        <f>Balances!D58/'Cuentas PyG'!D4</f>
        <v>1.4123980243076753E-2</v>
      </c>
      <c r="E24" s="9"/>
      <c r="F24" s="9"/>
      <c r="G24" s="9"/>
      <c r="H24" s="9"/>
      <c r="I24" s="9"/>
    </row>
    <row r="25" spans="1:9" ht="15" x14ac:dyDescent="0.25">
      <c r="A25" s="17" t="s">
        <v>15</v>
      </c>
      <c r="B25" s="18">
        <f>Balances!B59/(Balances!B24+Balances!B25)</f>
        <v>0.137313087562242</v>
      </c>
      <c r="C25" s="18">
        <f>Balances!C59/(Balances!C24+Balances!C25)</f>
        <v>0.23931331143862347</v>
      </c>
      <c r="D25" s="18">
        <f>Balances!D59/(Balances!D24+Balances!D25)</f>
        <v>0.22642600205549845</v>
      </c>
      <c r="E25" s="19"/>
      <c r="F25" s="19"/>
      <c r="G25" s="19"/>
      <c r="H25" s="19"/>
      <c r="I25" s="19"/>
    </row>
    <row r="27" spans="1:9" x14ac:dyDescent="0.2">
      <c r="A27" s="1" t="s">
        <v>16</v>
      </c>
      <c r="B27" s="1"/>
      <c r="C27" s="1"/>
      <c r="D27" s="1"/>
      <c r="E27" s="1"/>
      <c r="F27" s="1"/>
      <c r="G27" s="1"/>
      <c r="H27" s="1"/>
      <c r="I27" s="1"/>
    </row>
    <row r="29" spans="1:9" x14ac:dyDescent="0.2">
      <c r="A29" s="3" t="s">
        <v>1</v>
      </c>
      <c r="B29" s="40" t="s">
        <v>145</v>
      </c>
      <c r="C29" s="40" t="s">
        <v>146</v>
      </c>
      <c r="D29" s="40" t="s">
        <v>147</v>
      </c>
      <c r="E29" s="41" t="s">
        <v>148</v>
      </c>
      <c r="F29" s="41" t="s">
        <v>149</v>
      </c>
      <c r="G29" s="41" t="s">
        <v>150</v>
      </c>
      <c r="H29" s="41" t="s">
        <v>151</v>
      </c>
      <c r="I29" s="41" t="s">
        <v>152</v>
      </c>
    </row>
    <row r="30" spans="1:9" ht="15" x14ac:dyDescent="0.25">
      <c r="A30" s="7" t="s">
        <v>17</v>
      </c>
      <c r="B30" s="8">
        <f>(Balances!B5+Balances!B9)/'Cuentas PyG'!B4</f>
        <v>0.24256775066111483</v>
      </c>
      <c r="C30" s="8">
        <f>(Balances!C5+Balances!C9)/'Cuentas PyG'!C4</f>
        <v>0.3283212628022652</v>
      </c>
      <c r="D30" s="8">
        <f>(Balances!D5+Balances!D9)/'Cuentas PyG'!D4</f>
        <v>0.33497974360397359</v>
      </c>
      <c r="E30" s="8">
        <f>(Balances!E5+Balances!E9)/'Cuentas PyG'!E4</f>
        <v>0.33497974360397359</v>
      </c>
      <c r="F30" s="8">
        <f>(Balances!F5+Balances!F9)/'Cuentas PyG'!F4</f>
        <v>0.33497974360397359</v>
      </c>
      <c r="G30" s="8">
        <f>(Balances!G5+Balances!G9)/'Cuentas PyG'!G4</f>
        <v>0.33497974360397359</v>
      </c>
      <c r="H30" s="8">
        <f>(Balances!H5+Balances!H9)/'Cuentas PyG'!H4</f>
        <v>0.33497974360397359</v>
      </c>
      <c r="I30" s="8">
        <f>(Balances!I5+Balances!I9)/'Cuentas PyG'!I4</f>
        <v>0.33497974360397359</v>
      </c>
    </row>
    <row r="31" spans="1:9" ht="15" x14ac:dyDescent="0.25">
      <c r="A31" s="10" t="s">
        <v>18</v>
      </c>
      <c r="B31" s="11">
        <f>Balances!B5/(Balances!B5+Balances!B9)</f>
        <v>0.52003334988003203</v>
      </c>
      <c r="C31" s="11">
        <f>Balances!C5/(Balances!C5+Balances!C9)</f>
        <v>0.54617384289257542</v>
      </c>
      <c r="D31" s="11">
        <f>Balances!D5/(Balances!D5+Balances!D9)</f>
        <v>0.61696487740225314</v>
      </c>
      <c r="E31" s="11">
        <f>Balances!E5/(Balances!E5+Balances!E9)</f>
        <v>0.61696487740225314</v>
      </c>
      <c r="F31" s="11">
        <f>Balances!F5/(Balances!F5+Balances!F9)</f>
        <v>0.61696487740225314</v>
      </c>
      <c r="G31" s="11">
        <f>Balances!G5/(Balances!G5+Balances!G9)</f>
        <v>0.61696487740225303</v>
      </c>
      <c r="H31" s="11">
        <f>Balances!H5/(Balances!H5+Balances!H9)</f>
        <v>0.61696487740225314</v>
      </c>
      <c r="I31" s="11">
        <f>Balances!I5/(Balances!I5+Balances!I9)</f>
        <v>0.61696487740225314</v>
      </c>
    </row>
    <row r="33" spans="1:10" x14ac:dyDescent="0.2">
      <c r="A33" s="1" t="s">
        <v>19</v>
      </c>
      <c r="B33" s="1"/>
      <c r="C33" s="1"/>
      <c r="D33" s="1"/>
      <c r="E33" s="1"/>
      <c r="F33" s="1"/>
      <c r="G33" s="1"/>
      <c r="H33" s="1"/>
      <c r="I33" s="1"/>
    </row>
    <row r="35" spans="1:10" x14ac:dyDescent="0.2">
      <c r="A35" s="3" t="s">
        <v>1</v>
      </c>
      <c r="B35" s="40" t="s">
        <v>145</v>
      </c>
      <c r="C35" s="40" t="s">
        <v>146</v>
      </c>
      <c r="D35" s="40" t="s">
        <v>147</v>
      </c>
      <c r="E35" s="41" t="s">
        <v>148</v>
      </c>
      <c r="F35" s="41" t="s">
        <v>149</v>
      </c>
      <c r="G35" s="41" t="s">
        <v>150</v>
      </c>
      <c r="H35" s="41" t="s">
        <v>151</v>
      </c>
      <c r="I35" s="41" t="s">
        <v>152</v>
      </c>
    </row>
    <row r="36" spans="1:10" ht="15" x14ac:dyDescent="0.25">
      <c r="A36" s="7" t="s">
        <v>20</v>
      </c>
      <c r="B36" s="8">
        <f>(Balances!B47+Balances!B51+Balances!B52)/(Balances!B47+Balances!B51+Balances!B52+Balances!B36)</f>
        <v>0.28021871322454917</v>
      </c>
      <c r="C36" s="8">
        <f>(Balances!C47+Balances!C51+Balances!C52)/(Balances!C47+Balances!C51+Balances!C52+Balances!C36)</f>
        <v>0.33097144551508884</v>
      </c>
      <c r="D36" s="8">
        <f>(Balances!D47+Balances!D51+Balances!D52)/(Balances!D47+Balances!D51+Balances!D52+Balances!D36)</f>
        <v>0.34399222290821213</v>
      </c>
      <c r="E36" s="9">
        <v>0.34399222290821213</v>
      </c>
      <c r="F36" s="9">
        <v>0.34399222290821213</v>
      </c>
      <c r="G36" s="9">
        <v>0.34399222290821213</v>
      </c>
      <c r="H36" s="9">
        <v>0.34399222290821213</v>
      </c>
      <c r="I36" s="9">
        <v>0.34399222290821213</v>
      </c>
    </row>
    <row r="37" spans="1:10" ht="15" x14ac:dyDescent="0.25">
      <c r="A37" s="7" t="s">
        <v>21</v>
      </c>
      <c r="B37" s="8">
        <f>Balances!B47/(Balances!B47+Balances!B51+Balances!B52)</f>
        <v>0.53135074168090646</v>
      </c>
      <c r="C37" s="8">
        <f>Balances!C47/(Balances!C47+Balances!C51+Balances!C52)</f>
        <v>0.33613676857541591</v>
      </c>
      <c r="D37" s="8">
        <f>Balances!D47/(Balances!D47+Balances!D51+Balances!D52)</f>
        <v>0.36189216010585512</v>
      </c>
      <c r="E37" s="9">
        <v>0.36189216010585512</v>
      </c>
      <c r="F37" s="9">
        <v>0.36189216010585512</v>
      </c>
      <c r="G37" s="9">
        <v>0.36189216010585512</v>
      </c>
      <c r="H37" s="9">
        <v>0.36189216010585512</v>
      </c>
      <c r="I37" s="9">
        <v>0.36189216010585512</v>
      </c>
    </row>
    <row r="38" spans="1:10" ht="15" x14ac:dyDescent="0.25">
      <c r="A38" s="7" t="s">
        <v>22</v>
      </c>
      <c r="B38" s="8">
        <f>Balances!B51/(Balances!B47+Balances!B51+Balances!B52)</f>
        <v>0.46864925831909354</v>
      </c>
      <c r="C38" s="8">
        <f>Balances!C51/(Balances!C47+Balances!C51+Balances!C52)</f>
        <v>0.43720227825826269</v>
      </c>
      <c r="D38" s="8">
        <f>Balances!D51/(Balances!D47+Balances!D51+Balances!D52)</f>
        <v>0.41754879259014227</v>
      </c>
      <c r="E38" s="9">
        <v>0.41754879259014227</v>
      </c>
      <c r="F38" s="9">
        <v>0.41754879259014227</v>
      </c>
      <c r="G38" s="9">
        <v>0.41754879259014227</v>
      </c>
      <c r="H38" s="9">
        <v>0.41754879259014227</v>
      </c>
      <c r="I38" s="9">
        <v>0.41754879259014227</v>
      </c>
    </row>
    <row r="39" spans="1:10" ht="15" x14ac:dyDescent="0.25">
      <c r="A39" s="10" t="s">
        <v>23</v>
      </c>
      <c r="B39" s="11"/>
      <c r="C39" s="11">
        <f>-'Cuentas PyG'!C26/((Balances!B47+Balances!B51+Balances!C47+Balances!C51+Balances!B52+Balances!C52)/2)</f>
        <v>8.0338927802504984E-2</v>
      </c>
      <c r="D39" s="11">
        <f>-'Cuentas PyG'!D26/((Balances!C47+Balances!C51+Balances!D47+Balances!D51+Balances!C52+Balances!D52)/2)</f>
        <v>3.9861347151933679E-2</v>
      </c>
      <c r="E39" s="12"/>
      <c r="F39" s="12"/>
      <c r="G39" s="12"/>
      <c r="H39" s="12"/>
      <c r="I39" s="12"/>
    </row>
    <row r="40" spans="1:10" ht="15" x14ac:dyDescent="0.25">
      <c r="D40" s="20"/>
      <c r="E40" s="20"/>
      <c r="F40" s="20"/>
      <c r="G40" s="20"/>
      <c r="H40" s="20"/>
      <c r="I40" s="20"/>
    </row>
    <row r="41" spans="1:10" x14ac:dyDescent="0.2">
      <c r="A41" s="17" t="s">
        <v>153</v>
      </c>
      <c r="B41" s="21">
        <v>0.02</v>
      </c>
      <c r="C41" s="17"/>
    </row>
    <row r="42" spans="1:10" x14ac:dyDescent="0.2">
      <c r="A42" s="17" t="s">
        <v>9</v>
      </c>
      <c r="B42" s="49">
        <f>D19-C19</f>
        <v>50.805813111646557</v>
      </c>
      <c r="C42" s="50">
        <f>B42/5</f>
        <v>10.161162622329311</v>
      </c>
    </row>
    <row r="43" spans="1:10" x14ac:dyDescent="0.2">
      <c r="A43" s="17" t="s">
        <v>10</v>
      </c>
      <c r="B43" s="49">
        <f>D20-C20</f>
        <v>223.48167972098537</v>
      </c>
      <c r="C43" s="50">
        <f>B43/5</f>
        <v>44.696335944197074</v>
      </c>
    </row>
    <row r="44" spans="1:10" x14ac:dyDescent="0.2">
      <c r="A44" s="17" t="s">
        <v>159</v>
      </c>
      <c r="B44" s="51">
        <v>0.25</v>
      </c>
      <c r="C44" s="17"/>
    </row>
    <row r="45" spans="1:10" x14ac:dyDescent="0.2">
      <c r="A45" s="2" t="s">
        <v>160</v>
      </c>
      <c r="D45" s="47">
        <f>-'Cuentas PyG'!D26/((Balances!C47+Balances!C50+Balances!D47+Balances!D50)/2)</f>
        <v>6.6351906648247236E-2</v>
      </c>
      <c r="E45" s="47">
        <v>6.6351906648247236E-2</v>
      </c>
      <c r="F45" s="47">
        <v>6.6351906648247236E-2</v>
      </c>
      <c r="G45" s="47">
        <v>6.6351906648247236E-2</v>
      </c>
      <c r="H45" s="47">
        <v>6.6351906648247236E-2</v>
      </c>
      <c r="I45" s="47">
        <v>6.6351906648247236E-2</v>
      </c>
    </row>
    <row r="46" spans="1:10" x14ac:dyDescent="0.2">
      <c r="D46" s="27"/>
      <c r="E46" s="27"/>
      <c r="F46" s="27"/>
      <c r="G46" s="27"/>
      <c r="H46" s="27"/>
      <c r="I46" s="27"/>
    </row>
    <row r="47" spans="1:10" x14ac:dyDescent="0.2">
      <c r="A47" s="52" t="s">
        <v>1</v>
      </c>
      <c r="B47" s="53" t="s">
        <v>145</v>
      </c>
      <c r="C47" s="53" t="s">
        <v>146</v>
      </c>
      <c r="D47" s="54" t="s">
        <v>147</v>
      </c>
      <c r="E47" s="55" t="s">
        <v>148</v>
      </c>
      <c r="F47" s="55" t="s">
        <v>149</v>
      </c>
      <c r="G47" s="55" t="s">
        <v>150</v>
      </c>
      <c r="H47" s="55" t="s">
        <v>151</v>
      </c>
      <c r="I47" s="55" t="s">
        <v>152</v>
      </c>
      <c r="J47" s="55"/>
    </row>
    <row r="48" spans="1:10" ht="15" x14ac:dyDescent="0.25">
      <c r="A48" s="58" t="s">
        <v>162</v>
      </c>
      <c r="B48" s="57">
        <f>Balances!B9/'Cuentas PyG'!B4</f>
        <v>0.11642443071195094</v>
      </c>
      <c r="C48" s="57">
        <f>Balances!C9/'Cuentas PyG'!C4</f>
        <v>0.14900077699420883</v>
      </c>
      <c r="D48" s="57">
        <f>Balances!D9/'Cuentas PyG'!D4</f>
        <v>0.12830900715910984</v>
      </c>
      <c r="E48" s="57">
        <v>0.12830900715910984</v>
      </c>
      <c r="F48" s="57">
        <v>0.12830900715910984</v>
      </c>
      <c r="G48" s="57">
        <v>0.12830900715910984</v>
      </c>
      <c r="H48" s="57">
        <v>0.12830900715910984</v>
      </c>
      <c r="I48" s="57">
        <v>0.12830900715910984</v>
      </c>
      <c r="J48" s="57"/>
    </row>
    <row r="49" spans="1:9" ht="15" x14ac:dyDescent="0.25">
      <c r="A49" s="56" t="s">
        <v>161</v>
      </c>
      <c r="B49" s="48">
        <f>Balances!B5/'Cuentas PyG'!B4</f>
        <v>0.12614331994916389</v>
      </c>
      <c r="C49" s="48">
        <f>Balances!C5/'Cuentas PyG'!C4</f>
        <v>0.17932048580805637</v>
      </c>
      <c r="D49" s="48">
        <f>Balances!D5/'Cuentas PyG'!D4</f>
        <v>0.20667073644486375</v>
      </c>
      <c r="E49" s="48">
        <v>0.20667073644486375</v>
      </c>
      <c r="F49" s="48">
        <v>0.20667073644486375</v>
      </c>
      <c r="G49" s="48">
        <v>0.20667073644486375</v>
      </c>
      <c r="H49" s="48">
        <v>0.20667073644486375</v>
      </c>
      <c r="I49" s="48">
        <v>0.20667073644486375</v>
      </c>
    </row>
  </sheetData>
  <dataValidations disablePrompts="1" count="1">
    <dataValidation type="list" allowBlank="1" showInputMessage="1" showErrorMessage="1" sqref="B65574 IX65574 ST65574 ACP65574 AML65574 AWH65574 BGD65574 BPZ65574 BZV65574 CJR65574 CTN65574 DDJ65574 DNF65574 DXB65574 EGX65574 EQT65574 FAP65574 FKL65574 FUH65574 GED65574 GNZ65574 GXV65574 HHR65574 HRN65574 IBJ65574 ILF65574 IVB65574 JEX65574 JOT65574 JYP65574 KIL65574 KSH65574 LCD65574 LLZ65574 LVV65574 MFR65574 MPN65574 MZJ65574 NJF65574 NTB65574 OCX65574 OMT65574 OWP65574 PGL65574 PQH65574 QAD65574 QJZ65574 QTV65574 RDR65574 RNN65574 RXJ65574 SHF65574 SRB65574 TAX65574 TKT65574 TUP65574 UEL65574 UOH65574 UYD65574 VHZ65574 VRV65574 WBR65574 WLN65574 WVJ65574 B131110 IX131110 ST131110 ACP131110 AML131110 AWH131110 BGD131110 BPZ131110 BZV131110 CJR131110 CTN131110 DDJ131110 DNF131110 DXB131110 EGX131110 EQT131110 FAP131110 FKL131110 FUH131110 GED131110 GNZ131110 GXV131110 HHR131110 HRN131110 IBJ131110 ILF131110 IVB131110 JEX131110 JOT131110 JYP131110 KIL131110 KSH131110 LCD131110 LLZ131110 LVV131110 MFR131110 MPN131110 MZJ131110 NJF131110 NTB131110 OCX131110 OMT131110 OWP131110 PGL131110 PQH131110 QAD131110 QJZ131110 QTV131110 RDR131110 RNN131110 RXJ131110 SHF131110 SRB131110 TAX131110 TKT131110 TUP131110 UEL131110 UOH131110 UYD131110 VHZ131110 VRV131110 WBR131110 WLN131110 WVJ131110 B196646 IX196646 ST196646 ACP196646 AML196646 AWH196646 BGD196646 BPZ196646 BZV196646 CJR196646 CTN196646 DDJ196646 DNF196646 DXB196646 EGX196646 EQT196646 FAP196646 FKL196646 FUH196646 GED196646 GNZ196646 GXV196646 HHR196646 HRN196646 IBJ196646 ILF196646 IVB196646 JEX196646 JOT196646 JYP196646 KIL196646 KSH196646 LCD196646 LLZ196646 LVV196646 MFR196646 MPN196646 MZJ196646 NJF196646 NTB196646 OCX196646 OMT196646 OWP196646 PGL196646 PQH196646 QAD196646 QJZ196646 QTV196646 RDR196646 RNN196646 RXJ196646 SHF196646 SRB196646 TAX196646 TKT196646 TUP196646 UEL196646 UOH196646 UYD196646 VHZ196646 VRV196646 WBR196646 WLN196646 WVJ196646 B262182 IX262182 ST262182 ACP262182 AML262182 AWH262182 BGD262182 BPZ262182 BZV262182 CJR262182 CTN262182 DDJ262182 DNF262182 DXB262182 EGX262182 EQT262182 FAP262182 FKL262182 FUH262182 GED262182 GNZ262182 GXV262182 HHR262182 HRN262182 IBJ262182 ILF262182 IVB262182 JEX262182 JOT262182 JYP262182 KIL262182 KSH262182 LCD262182 LLZ262182 LVV262182 MFR262182 MPN262182 MZJ262182 NJF262182 NTB262182 OCX262182 OMT262182 OWP262182 PGL262182 PQH262182 QAD262182 QJZ262182 QTV262182 RDR262182 RNN262182 RXJ262182 SHF262182 SRB262182 TAX262182 TKT262182 TUP262182 UEL262182 UOH262182 UYD262182 VHZ262182 VRV262182 WBR262182 WLN262182 WVJ262182 B327718 IX327718 ST327718 ACP327718 AML327718 AWH327718 BGD327718 BPZ327718 BZV327718 CJR327718 CTN327718 DDJ327718 DNF327718 DXB327718 EGX327718 EQT327718 FAP327718 FKL327718 FUH327718 GED327718 GNZ327718 GXV327718 HHR327718 HRN327718 IBJ327718 ILF327718 IVB327718 JEX327718 JOT327718 JYP327718 KIL327718 KSH327718 LCD327718 LLZ327718 LVV327718 MFR327718 MPN327718 MZJ327718 NJF327718 NTB327718 OCX327718 OMT327718 OWP327718 PGL327718 PQH327718 QAD327718 QJZ327718 QTV327718 RDR327718 RNN327718 RXJ327718 SHF327718 SRB327718 TAX327718 TKT327718 TUP327718 UEL327718 UOH327718 UYD327718 VHZ327718 VRV327718 WBR327718 WLN327718 WVJ327718 B393254 IX393254 ST393254 ACP393254 AML393254 AWH393254 BGD393254 BPZ393254 BZV393254 CJR393254 CTN393254 DDJ393254 DNF393254 DXB393254 EGX393254 EQT393254 FAP393254 FKL393254 FUH393254 GED393254 GNZ393254 GXV393254 HHR393254 HRN393254 IBJ393254 ILF393254 IVB393254 JEX393254 JOT393254 JYP393254 KIL393254 KSH393254 LCD393254 LLZ393254 LVV393254 MFR393254 MPN393254 MZJ393254 NJF393254 NTB393254 OCX393254 OMT393254 OWP393254 PGL393254 PQH393254 QAD393254 QJZ393254 QTV393254 RDR393254 RNN393254 RXJ393254 SHF393254 SRB393254 TAX393254 TKT393254 TUP393254 UEL393254 UOH393254 UYD393254 VHZ393254 VRV393254 WBR393254 WLN393254 WVJ393254 B458790 IX458790 ST458790 ACP458790 AML458790 AWH458790 BGD458790 BPZ458790 BZV458790 CJR458790 CTN458790 DDJ458790 DNF458790 DXB458790 EGX458790 EQT458790 FAP458790 FKL458790 FUH458790 GED458790 GNZ458790 GXV458790 HHR458790 HRN458790 IBJ458790 ILF458790 IVB458790 JEX458790 JOT458790 JYP458790 KIL458790 KSH458790 LCD458790 LLZ458790 LVV458790 MFR458790 MPN458790 MZJ458790 NJF458790 NTB458790 OCX458790 OMT458790 OWP458790 PGL458790 PQH458790 QAD458790 QJZ458790 QTV458790 RDR458790 RNN458790 RXJ458790 SHF458790 SRB458790 TAX458790 TKT458790 TUP458790 UEL458790 UOH458790 UYD458790 VHZ458790 VRV458790 WBR458790 WLN458790 WVJ458790 B524326 IX524326 ST524326 ACP524326 AML524326 AWH524326 BGD524326 BPZ524326 BZV524326 CJR524326 CTN524326 DDJ524326 DNF524326 DXB524326 EGX524326 EQT524326 FAP524326 FKL524326 FUH524326 GED524326 GNZ524326 GXV524326 HHR524326 HRN524326 IBJ524326 ILF524326 IVB524326 JEX524326 JOT524326 JYP524326 KIL524326 KSH524326 LCD524326 LLZ524326 LVV524326 MFR524326 MPN524326 MZJ524326 NJF524326 NTB524326 OCX524326 OMT524326 OWP524326 PGL524326 PQH524326 QAD524326 QJZ524326 QTV524326 RDR524326 RNN524326 RXJ524326 SHF524326 SRB524326 TAX524326 TKT524326 TUP524326 UEL524326 UOH524326 UYD524326 VHZ524326 VRV524326 WBR524326 WLN524326 WVJ524326 B589862 IX589862 ST589862 ACP589862 AML589862 AWH589862 BGD589862 BPZ589862 BZV589862 CJR589862 CTN589862 DDJ589862 DNF589862 DXB589862 EGX589862 EQT589862 FAP589862 FKL589862 FUH589862 GED589862 GNZ589862 GXV589862 HHR589862 HRN589862 IBJ589862 ILF589862 IVB589862 JEX589862 JOT589862 JYP589862 KIL589862 KSH589862 LCD589862 LLZ589862 LVV589862 MFR589862 MPN589862 MZJ589862 NJF589862 NTB589862 OCX589862 OMT589862 OWP589862 PGL589862 PQH589862 QAD589862 QJZ589862 QTV589862 RDR589862 RNN589862 RXJ589862 SHF589862 SRB589862 TAX589862 TKT589862 TUP589862 UEL589862 UOH589862 UYD589862 VHZ589862 VRV589862 WBR589862 WLN589862 WVJ589862 B655398 IX655398 ST655398 ACP655398 AML655398 AWH655398 BGD655398 BPZ655398 BZV655398 CJR655398 CTN655398 DDJ655398 DNF655398 DXB655398 EGX655398 EQT655398 FAP655398 FKL655398 FUH655398 GED655398 GNZ655398 GXV655398 HHR655398 HRN655398 IBJ655398 ILF655398 IVB655398 JEX655398 JOT655398 JYP655398 KIL655398 KSH655398 LCD655398 LLZ655398 LVV655398 MFR655398 MPN655398 MZJ655398 NJF655398 NTB655398 OCX655398 OMT655398 OWP655398 PGL655398 PQH655398 QAD655398 QJZ655398 QTV655398 RDR655398 RNN655398 RXJ655398 SHF655398 SRB655398 TAX655398 TKT655398 TUP655398 UEL655398 UOH655398 UYD655398 VHZ655398 VRV655398 WBR655398 WLN655398 WVJ655398 B720934 IX720934 ST720934 ACP720934 AML720934 AWH720934 BGD720934 BPZ720934 BZV720934 CJR720934 CTN720934 DDJ720934 DNF720934 DXB720934 EGX720934 EQT720934 FAP720934 FKL720934 FUH720934 GED720934 GNZ720934 GXV720934 HHR720934 HRN720934 IBJ720934 ILF720934 IVB720934 JEX720934 JOT720934 JYP720934 KIL720934 KSH720934 LCD720934 LLZ720934 LVV720934 MFR720934 MPN720934 MZJ720934 NJF720934 NTB720934 OCX720934 OMT720934 OWP720934 PGL720934 PQH720934 QAD720934 QJZ720934 QTV720934 RDR720934 RNN720934 RXJ720934 SHF720934 SRB720934 TAX720934 TKT720934 TUP720934 UEL720934 UOH720934 UYD720934 VHZ720934 VRV720934 WBR720934 WLN720934 WVJ720934 B786470 IX786470 ST786470 ACP786470 AML786470 AWH786470 BGD786470 BPZ786470 BZV786470 CJR786470 CTN786470 DDJ786470 DNF786470 DXB786470 EGX786470 EQT786470 FAP786470 FKL786470 FUH786470 GED786470 GNZ786470 GXV786470 HHR786470 HRN786470 IBJ786470 ILF786470 IVB786470 JEX786470 JOT786470 JYP786470 KIL786470 KSH786470 LCD786470 LLZ786470 LVV786470 MFR786470 MPN786470 MZJ786470 NJF786470 NTB786470 OCX786470 OMT786470 OWP786470 PGL786470 PQH786470 QAD786470 QJZ786470 QTV786470 RDR786470 RNN786470 RXJ786470 SHF786470 SRB786470 TAX786470 TKT786470 TUP786470 UEL786470 UOH786470 UYD786470 VHZ786470 VRV786470 WBR786470 WLN786470 WVJ786470 B852006 IX852006 ST852006 ACP852006 AML852006 AWH852006 BGD852006 BPZ852006 BZV852006 CJR852006 CTN852006 DDJ852006 DNF852006 DXB852006 EGX852006 EQT852006 FAP852006 FKL852006 FUH852006 GED852006 GNZ852006 GXV852006 HHR852006 HRN852006 IBJ852006 ILF852006 IVB852006 JEX852006 JOT852006 JYP852006 KIL852006 KSH852006 LCD852006 LLZ852006 LVV852006 MFR852006 MPN852006 MZJ852006 NJF852006 NTB852006 OCX852006 OMT852006 OWP852006 PGL852006 PQH852006 QAD852006 QJZ852006 QTV852006 RDR852006 RNN852006 RXJ852006 SHF852006 SRB852006 TAX852006 TKT852006 TUP852006 UEL852006 UOH852006 UYD852006 VHZ852006 VRV852006 WBR852006 WLN852006 WVJ852006 B917542 IX917542 ST917542 ACP917542 AML917542 AWH917542 BGD917542 BPZ917542 BZV917542 CJR917542 CTN917542 DDJ917542 DNF917542 DXB917542 EGX917542 EQT917542 FAP917542 FKL917542 FUH917542 GED917542 GNZ917542 GXV917542 HHR917542 HRN917542 IBJ917542 ILF917542 IVB917542 JEX917542 JOT917542 JYP917542 KIL917542 KSH917542 LCD917542 LLZ917542 LVV917542 MFR917542 MPN917542 MZJ917542 NJF917542 NTB917542 OCX917542 OMT917542 OWP917542 PGL917542 PQH917542 QAD917542 QJZ917542 QTV917542 RDR917542 RNN917542 RXJ917542 SHF917542 SRB917542 TAX917542 TKT917542 TUP917542 UEL917542 UOH917542 UYD917542 VHZ917542 VRV917542 WBR917542 WLN917542 WVJ917542 B983078 IX983078 ST983078 ACP983078 AML983078 AWH983078 BGD983078 BPZ983078 BZV983078 CJR983078 CTN983078 DDJ983078 DNF983078 DXB983078 EGX983078 EQT983078 FAP983078 FKL983078 FUH983078 GED983078 GNZ983078 GXV983078 HHR983078 HRN983078 IBJ983078 ILF983078 IVB983078 JEX983078 JOT983078 JYP983078 KIL983078 KSH983078 LCD983078 LLZ983078 LVV983078 MFR983078 MPN983078 MZJ983078 NJF983078 NTB983078 OCX983078 OMT983078 OWP983078 PGL983078 PQH983078 QAD983078 QJZ983078 QTV983078 RDR983078 RNN983078 RXJ983078 SHF983078 SRB983078 TAX983078 TKT983078 TUP983078 UEL983078 UOH983078 UYD983078 VHZ983078 VRV983078 WBR983078 WLN983078 WVJ983078 B65576 IX65576 ST65576 ACP65576 AML65576 AWH65576 BGD65576 BPZ65576 BZV65576 CJR65576 CTN65576 DDJ65576 DNF65576 DXB65576 EGX65576 EQT65576 FAP65576 FKL65576 FUH65576 GED65576 GNZ65576 GXV65576 HHR65576 HRN65576 IBJ65576 ILF65576 IVB65576 JEX65576 JOT65576 JYP65576 KIL65576 KSH65576 LCD65576 LLZ65576 LVV65576 MFR65576 MPN65576 MZJ65576 NJF65576 NTB65576 OCX65576 OMT65576 OWP65576 PGL65576 PQH65576 QAD65576 QJZ65576 QTV65576 RDR65576 RNN65576 RXJ65576 SHF65576 SRB65576 TAX65576 TKT65576 TUP65576 UEL65576 UOH65576 UYD65576 VHZ65576 VRV65576 WBR65576 WLN65576 WVJ65576 B131112 IX131112 ST131112 ACP131112 AML131112 AWH131112 BGD131112 BPZ131112 BZV131112 CJR131112 CTN131112 DDJ131112 DNF131112 DXB131112 EGX131112 EQT131112 FAP131112 FKL131112 FUH131112 GED131112 GNZ131112 GXV131112 HHR131112 HRN131112 IBJ131112 ILF131112 IVB131112 JEX131112 JOT131112 JYP131112 KIL131112 KSH131112 LCD131112 LLZ131112 LVV131112 MFR131112 MPN131112 MZJ131112 NJF131112 NTB131112 OCX131112 OMT131112 OWP131112 PGL131112 PQH131112 QAD131112 QJZ131112 QTV131112 RDR131112 RNN131112 RXJ131112 SHF131112 SRB131112 TAX131112 TKT131112 TUP131112 UEL131112 UOH131112 UYD131112 VHZ131112 VRV131112 WBR131112 WLN131112 WVJ131112 B196648 IX196648 ST196648 ACP196648 AML196648 AWH196648 BGD196648 BPZ196648 BZV196648 CJR196648 CTN196648 DDJ196648 DNF196648 DXB196648 EGX196648 EQT196648 FAP196648 FKL196648 FUH196648 GED196648 GNZ196648 GXV196648 HHR196648 HRN196648 IBJ196648 ILF196648 IVB196648 JEX196648 JOT196648 JYP196648 KIL196648 KSH196648 LCD196648 LLZ196648 LVV196648 MFR196648 MPN196648 MZJ196648 NJF196648 NTB196648 OCX196648 OMT196648 OWP196648 PGL196648 PQH196648 QAD196648 QJZ196648 QTV196648 RDR196648 RNN196648 RXJ196648 SHF196648 SRB196648 TAX196648 TKT196648 TUP196648 UEL196648 UOH196648 UYD196648 VHZ196648 VRV196648 WBR196648 WLN196648 WVJ196648 B262184 IX262184 ST262184 ACP262184 AML262184 AWH262184 BGD262184 BPZ262184 BZV262184 CJR262184 CTN262184 DDJ262184 DNF262184 DXB262184 EGX262184 EQT262184 FAP262184 FKL262184 FUH262184 GED262184 GNZ262184 GXV262184 HHR262184 HRN262184 IBJ262184 ILF262184 IVB262184 JEX262184 JOT262184 JYP262184 KIL262184 KSH262184 LCD262184 LLZ262184 LVV262184 MFR262184 MPN262184 MZJ262184 NJF262184 NTB262184 OCX262184 OMT262184 OWP262184 PGL262184 PQH262184 QAD262184 QJZ262184 QTV262184 RDR262184 RNN262184 RXJ262184 SHF262184 SRB262184 TAX262184 TKT262184 TUP262184 UEL262184 UOH262184 UYD262184 VHZ262184 VRV262184 WBR262184 WLN262184 WVJ262184 B327720 IX327720 ST327720 ACP327720 AML327720 AWH327720 BGD327720 BPZ327720 BZV327720 CJR327720 CTN327720 DDJ327720 DNF327720 DXB327720 EGX327720 EQT327720 FAP327720 FKL327720 FUH327720 GED327720 GNZ327720 GXV327720 HHR327720 HRN327720 IBJ327720 ILF327720 IVB327720 JEX327720 JOT327720 JYP327720 KIL327720 KSH327720 LCD327720 LLZ327720 LVV327720 MFR327720 MPN327720 MZJ327720 NJF327720 NTB327720 OCX327720 OMT327720 OWP327720 PGL327720 PQH327720 QAD327720 QJZ327720 QTV327720 RDR327720 RNN327720 RXJ327720 SHF327720 SRB327720 TAX327720 TKT327720 TUP327720 UEL327720 UOH327720 UYD327720 VHZ327720 VRV327720 WBR327720 WLN327720 WVJ327720 B393256 IX393256 ST393256 ACP393256 AML393256 AWH393256 BGD393256 BPZ393256 BZV393256 CJR393256 CTN393256 DDJ393256 DNF393256 DXB393256 EGX393256 EQT393256 FAP393256 FKL393256 FUH393256 GED393256 GNZ393256 GXV393256 HHR393256 HRN393256 IBJ393256 ILF393256 IVB393256 JEX393256 JOT393256 JYP393256 KIL393256 KSH393256 LCD393256 LLZ393256 LVV393256 MFR393256 MPN393256 MZJ393256 NJF393256 NTB393256 OCX393256 OMT393256 OWP393256 PGL393256 PQH393256 QAD393256 QJZ393256 QTV393256 RDR393256 RNN393256 RXJ393256 SHF393256 SRB393256 TAX393256 TKT393256 TUP393256 UEL393256 UOH393256 UYD393256 VHZ393256 VRV393256 WBR393256 WLN393256 WVJ393256 B458792 IX458792 ST458792 ACP458792 AML458792 AWH458792 BGD458792 BPZ458792 BZV458792 CJR458792 CTN458792 DDJ458792 DNF458792 DXB458792 EGX458792 EQT458792 FAP458792 FKL458792 FUH458792 GED458792 GNZ458792 GXV458792 HHR458792 HRN458792 IBJ458792 ILF458792 IVB458792 JEX458792 JOT458792 JYP458792 KIL458792 KSH458792 LCD458792 LLZ458792 LVV458792 MFR458792 MPN458792 MZJ458792 NJF458792 NTB458792 OCX458792 OMT458792 OWP458792 PGL458792 PQH458792 QAD458792 QJZ458792 QTV458792 RDR458792 RNN458792 RXJ458792 SHF458792 SRB458792 TAX458792 TKT458792 TUP458792 UEL458792 UOH458792 UYD458792 VHZ458792 VRV458792 WBR458792 WLN458792 WVJ458792 B524328 IX524328 ST524328 ACP524328 AML524328 AWH524328 BGD524328 BPZ524328 BZV524328 CJR524328 CTN524328 DDJ524328 DNF524328 DXB524328 EGX524328 EQT524328 FAP524328 FKL524328 FUH524328 GED524328 GNZ524328 GXV524328 HHR524328 HRN524328 IBJ524328 ILF524328 IVB524328 JEX524328 JOT524328 JYP524328 KIL524328 KSH524328 LCD524328 LLZ524328 LVV524328 MFR524328 MPN524328 MZJ524328 NJF524328 NTB524328 OCX524328 OMT524328 OWP524328 PGL524328 PQH524328 QAD524328 QJZ524328 QTV524328 RDR524328 RNN524328 RXJ524328 SHF524328 SRB524328 TAX524328 TKT524328 TUP524328 UEL524328 UOH524328 UYD524328 VHZ524328 VRV524328 WBR524328 WLN524328 WVJ524328 B589864 IX589864 ST589864 ACP589864 AML589864 AWH589864 BGD589864 BPZ589864 BZV589864 CJR589864 CTN589864 DDJ589864 DNF589864 DXB589864 EGX589864 EQT589864 FAP589864 FKL589864 FUH589864 GED589864 GNZ589864 GXV589864 HHR589864 HRN589864 IBJ589864 ILF589864 IVB589864 JEX589864 JOT589864 JYP589864 KIL589864 KSH589864 LCD589864 LLZ589864 LVV589864 MFR589864 MPN589864 MZJ589864 NJF589864 NTB589864 OCX589864 OMT589864 OWP589864 PGL589864 PQH589864 QAD589864 QJZ589864 QTV589864 RDR589864 RNN589864 RXJ589864 SHF589864 SRB589864 TAX589864 TKT589864 TUP589864 UEL589864 UOH589864 UYD589864 VHZ589864 VRV589864 WBR589864 WLN589864 WVJ589864 B655400 IX655400 ST655400 ACP655400 AML655400 AWH655400 BGD655400 BPZ655400 BZV655400 CJR655400 CTN655400 DDJ655400 DNF655400 DXB655400 EGX655400 EQT655400 FAP655400 FKL655400 FUH655400 GED655400 GNZ655400 GXV655400 HHR655400 HRN655400 IBJ655400 ILF655400 IVB655400 JEX655400 JOT655400 JYP655400 KIL655400 KSH655400 LCD655400 LLZ655400 LVV655400 MFR655400 MPN655400 MZJ655400 NJF655400 NTB655400 OCX655400 OMT655400 OWP655400 PGL655400 PQH655400 QAD655400 QJZ655400 QTV655400 RDR655400 RNN655400 RXJ655400 SHF655400 SRB655400 TAX655400 TKT655400 TUP655400 UEL655400 UOH655400 UYD655400 VHZ655400 VRV655400 WBR655400 WLN655400 WVJ655400 B720936 IX720936 ST720936 ACP720936 AML720936 AWH720936 BGD720936 BPZ720936 BZV720936 CJR720936 CTN720936 DDJ720936 DNF720936 DXB720936 EGX720936 EQT720936 FAP720936 FKL720936 FUH720936 GED720936 GNZ720936 GXV720936 HHR720936 HRN720936 IBJ720936 ILF720936 IVB720936 JEX720936 JOT720936 JYP720936 KIL720936 KSH720936 LCD720936 LLZ720936 LVV720936 MFR720936 MPN720936 MZJ720936 NJF720936 NTB720936 OCX720936 OMT720936 OWP720936 PGL720936 PQH720936 QAD720936 QJZ720936 QTV720936 RDR720936 RNN720936 RXJ720936 SHF720936 SRB720936 TAX720936 TKT720936 TUP720936 UEL720936 UOH720936 UYD720936 VHZ720936 VRV720936 WBR720936 WLN720936 WVJ720936 B786472 IX786472 ST786472 ACP786472 AML786472 AWH786472 BGD786472 BPZ786472 BZV786472 CJR786472 CTN786472 DDJ786472 DNF786472 DXB786472 EGX786472 EQT786472 FAP786472 FKL786472 FUH786472 GED786472 GNZ786472 GXV786472 HHR786472 HRN786472 IBJ786472 ILF786472 IVB786472 JEX786472 JOT786472 JYP786472 KIL786472 KSH786472 LCD786472 LLZ786472 LVV786472 MFR786472 MPN786472 MZJ786472 NJF786472 NTB786472 OCX786472 OMT786472 OWP786472 PGL786472 PQH786472 QAD786472 QJZ786472 QTV786472 RDR786472 RNN786472 RXJ786472 SHF786472 SRB786472 TAX786472 TKT786472 TUP786472 UEL786472 UOH786472 UYD786472 VHZ786472 VRV786472 WBR786472 WLN786472 WVJ786472 B852008 IX852008 ST852008 ACP852008 AML852008 AWH852008 BGD852008 BPZ852008 BZV852008 CJR852008 CTN852008 DDJ852008 DNF852008 DXB852008 EGX852008 EQT852008 FAP852008 FKL852008 FUH852008 GED852008 GNZ852008 GXV852008 HHR852008 HRN852008 IBJ852008 ILF852008 IVB852008 JEX852008 JOT852008 JYP852008 KIL852008 KSH852008 LCD852008 LLZ852008 LVV852008 MFR852008 MPN852008 MZJ852008 NJF852008 NTB852008 OCX852008 OMT852008 OWP852008 PGL852008 PQH852008 QAD852008 QJZ852008 QTV852008 RDR852008 RNN852008 RXJ852008 SHF852008 SRB852008 TAX852008 TKT852008 TUP852008 UEL852008 UOH852008 UYD852008 VHZ852008 VRV852008 WBR852008 WLN852008 WVJ852008 B917544 IX917544 ST917544 ACP917544 AML917544 AWH917544 BGD917544 BPZ917544 BZV917544 CJR917544 CTN917544 DDJ917544 DNF917544 DXB917544 EGX917544 EQT917544 FAP917544 FKL917544 FUH917544 GED917544 GNZ917544 GXV917544 HHR917544 HRN917544 IBJ917544 ILF917544 IVB917544 JEX917544 JOT917544 JYP917544 KIL917544 KSH917544 LCD917544 LLZ917544 LVV917544 MFR917544 MPN917544 MZJ917544 NJF917544 NTB917544 OCX917544 OMT917544 OWP917544 PGL917544 PQH917544 QAD917544 QJZ917544 QTV917544 RDR917544 RNN917544 RXJ917544 SHF917544 SRB917544 TAX917544 TKT917544 TUP917544 UEL917544 UOH917544 UYD917544 VHZ917544 VRV917544 WBR917544 WLN917544 WVJ917544 B983080 IX983080 ST983080 ACP983080 AML983080 AWH983080 BGD983080 BPZ983080 BZV983080 CJR983080 CTN983080 DDJ983080 DNF983080 DXB983080 EGX983080 EQT983080 FAP983080 FKL983080 FUH983080 GED983080 GNZ983080 GXV983080 HHR983080 HRN983080 IBJ983080 ILF983080 IVB983080 JEX983080 JOT983080 JYP983080 KIL983080 KSH983080 LCD983080 LLZ983080 LVV983080 MFR983080 MPN983080 MZJ983080 NJF983080 NTB983080 OCX983080 OMT983080 OWP983080 PGL983080 PQH983080 QAD983080 QJZ983080 QTV983080 RDR983080 RNN983080 RXJ983080 SHF983080 SRB983080 TAX983080 TKT983080 TUP983080 UEL983080 UOH983080 UYD983080 VHZ983080 VRV983080 WBR983080 WLN983080 WVJ983080" xr:uid="{ECCACE2F-9CED-47FE-8A5E-46E93A523A77}">
      <formula1>"S,N"</formula1>
    </dataValidation>
  </dataValidations>
  <pageMargins left="0.75" right="0.75" top="1" bottom="1" header="0" footer="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0D19-A1AA-49FC-BA96-410FBC14F47A}">
  <dimension ref="A1:M87"/>
  <sheetViews>
    <sheetView tabSelected="1" topLeftCell="A30" workbookViewId="0">
      <selection activeCell="L37" sqref="L37"/>
    </sheetView>
  </sheetViews>
  <sheetFormatPr defaultColWidth="11.42578125" defaultRowHeight="12.75" x14ac:dyDescent="0.2"/>
  <cols>
    <col min="1" max="1" width="54.7109375" style="2" customWidth="1"/>
    <col min="2" max="256" width="11.42578125" style="2"/>
    <col min="257" max="257" width="38.85546875" style="2" customWidth="1"/>
    <col min="258" max="512" width="11.42578125" style="2"/>
    <col min="513" max="513" width="38.85546875" style="2" customWidth="1"/>
    <col min="514" max="768" width="11.42578125" style="2"/>
    <col min="769" max="769" width="38.85546875" style="2" customWidth="1"/>
    <col min="770" max="1024" width="11.42578125" style="2"/>
    <col min="1025" max="1025" width="38.85546875" style="2" customWidth="1"/>
    <col min="1026" max="1280" width="11.42578125" style="2"/>
    <col min="1281" max="1281" width="38.85546875" style="2" customWidth="1"/>
    <col min="1282" max="1536" width="11.42578125" style="2"/>
    <col min="1537" max="1537" width="38.85546875" style="2" customWidth="1"/>
    <col min="1538" max="1792" width="11.42578125" style="2"/>
    <col min="1793" max="1793" width="38.85546875" style="2" customWidth="1"/>
    <col min="1794" max="2048" width="11.42578125" style="2"/>
    <col min="2049" max="2049" width="38.85546875" style="2" customWidth="1"/>
    <col min="2050" max="2304" width="11.42578125" style="2"/>
    <col min="2305" max="2305" width="38.85546875" style="2" customWidth="1"/>
    <col min="2306" max="2560" width="11.42578125" style="2"/>
    <col min="2561" max="2561" width="38.85546875" style="2" customWidth="1"/>
    <col min="2562" max="2816" width="11.42578125" style="2"/>
    <col min="2817" max="2817" width="38.85546875" style="2" customWidth="1"/>
    <col min="2818" max="3072" width="11.42578125" style="2"/>
    <col min="3073" max="3073" width="38.85546875" style="2" customWidth="1"/>
    <col min="3074" max="3328" width="11.42578125" style="2"/>
    <col min="3329" max="3329" width="38.85546875" style="2" customWidth="1"/>
    <col min="3330" max="3584" width="11.42578125" style="2"/>
    <col min="3585" max="3585" width="38.85546875" style="2" customWidth="1"/>
    <col min="3586" max="3840" width="11.42578125" style="2"/>
    <col min="3841" max="3841" width="38.85546875" style="2" customWidth="1"/>
    <col min="3842" max="4096" width="11.42578125" style="2"/>
    <col min="4097" max="4097" width="38.85546875" style="2" customWidth="1"/>
    <col min="4098" max="4352" width="11.42578125" style="2"/>
    <col min="4353" max="4353" width="38.85546875" style="2" customWidth="1"/>
    <col min="4354" max="4608" width="11.42578125" style="2"/>
    <col min="4609" max="4609" width="38.85546875" style="2" customWidth="1"/>
    <col min="4610" max="4864" width="11.42578125" style="2"/>
    <col min="4865" max="4865" width="38.85546875" style="2" customWidth="1"/>
    <col min="4866" max="5120" width="11.42578125" style="2"/>
    <col min="5121" max="5121" width="38.85546875" style="2" customWidth="1"/>
    <col min="5122" max="5376" width="11.42578125" style="2"/>
    <col min="5377" max="5377" width="38.85546875" style="2" customWidth="1"/>
    <col min="5378" max="5632" width="11.42578125" style="2"/>
    <col min="5633" max="5633" width="38.85546875" style="2" customWidth="1"/>
    <col min="5634" max="5888" width="11.42578125" style="2"/>
    <col min="5889" max="5889" width="38.85546875" style="2" customWidth="1"/>
    <col min="5890" max="6144" width="11.42578125" style="2"/>
    <col min="6145" max="6145" width="38.85546875" style="2" customWidth="1"/>
    <col min="6146" max="6400" width="11.42578125" style="2"/>
    <col min="6401" max="6401" width="38.85546875" style="2" customWidth="1"/>
    <col min="6402" max="6656" width="11.42578125" style="2"/>
    <col min="6657" max="6657" width="38.85546875" style="2" customWidth="1"/>
    <col min="6658" max="6912" width="11.42578125" style="2"/>
    <col min="6913" max="6913" width="38.85546875" style="2" customWidth="1"/>
    <col min="6914" max="7168" width="11.42578125" style="2"/>
    <col min="7169" max="7169" width="38.85546875" style="2" customWidth="1"/>
    <col min="7170" max="7424" width="11.42578125" style="2"/>
    <col min="7425" max="7425" width="38.85546875" style="2" customWidth="1"/>
    <col min="7426" max="7680" width="11.42578125" style="2"/>
    <col min="7681" max="7681" width="38.85546875" style="2" customWidth="1"/>
    <col min="7682" max="7936" width="11.42578125" style="2"/>
    <col min="7937" max="7937" width="38.85546875" style="2" customWidth="1"/>
    <col min="7938" max="8192" width="11.42578125" style="2"/>
    <col min="8193" max="8193" width="38.85546875" style="2" customWidth="1"/>
    <col min="8194" max="8448" width="11.42578125" style="2"/>
    <col min="8449" max="8449" width="38.85546875" style="2" customWidth="1"/>
    <col min="8450" max="8704" width="11.42578125" style="2"/>
    <col min="8705" max="8705" width="38.85546875" style="2" customWidth="1"/>
    <col min="8706" max="8960" width="11.42578125" style="2"/>
    <col min="8961" max="8961" width="38.85546875" style="2" customWidth="1"/>
    <col min="8962" max="9216" width="11.42578125" style="2"/>
    <col min="9217" max="9217" width="38.85546875" style="2" customWidth="1"/>
    <col min="9218" max="9472" width="11.42578125" style="2"/>
    <col min="9473" max="9473" width="38.85546875" style="2" customWidth="1"/>
    <col min="9474" max="9728" width="11.42578125" style="2"/>
    <col min="9729" max="9729" width="38.85546875" style="2" customWidth="1"/>
    <col min="9730" max="9984" width="11.42578125" style="2"/>
    <col min="9985" max="9985" width="38.85546875" style="2" customWidth="1"/>
    <col min="9986" max="10240" width="11.42578125" style="2"/>
    <col min="10241" max="10241" width="38.85546875" style="2" customWidth="1"/>
    <col min="10242" max="10496" width="11.42578125" style="2"/>
    <col min="10497" max="10497" width="38.85546875" style="2" customWidth="1"/>
    <col min="10498" max="10752" width="11.42578125" style="2"/>
    <col min="10753" max="10753" width="38.85546875" style="2" customWidth="1"/>
    <col min="10754" max="11008" width="11.42578125" style="2"/>
    <col min="11009" max="11009" width="38.85546875" style="2" customWidth="1"/>
    <col min="11010" max="11264" width="11.42578125" style="2"/>
    <col min="11265" max="11265" width="38.85546875" style="2" customWidth="1"/>
    <col min="11266" max="11520" width="11.42578125" style="2"/>
    <col min="11521" max="11521" width="38.85546875" style="2" customWidth="1"/>
    <col min="11522" max="11776" width="11.42578125" style="2"/>
    <col min="11777" max="11777" width="38.85546875" style="2" customWidth="1"/>
    <col min="11778" max="12032" width="11.42578125" style="2"/>
    <col min="12033" max="12033" width="38.85546875" style="2" customWidth="1"/>
    <col min="12034" max="12288" width="11.42578125" style="2"/>
    <col min="12289" max="12289" width="38.85546875" style="2" customWidth="1"/>
    <col min="12290" max="12544" width="11.42578125" style="2"/>
    <col min="12545" max="12545" width="38.85546875" style="2" customWidth="1"/>
    <col min="12546" max="12800" width="11.42578125" style="2"/>
    <col min="12801" max="12801" width="38.85546875" style="2" customWidth="1"/>
    <col min="12802" max="13056" width="11.42578125" style="2"/>
    <col min="13057" max="13057" width="38.85546875" style="2" customWidth="1"/>
    <col min="13058" max="13312" width="11.42578125" style="2"/>
    <col min="13313" max="13313" width="38.85546875" style="2" customWidth="1"/>
    <col min="13314" max="13568" width="11.42578125" style="2"/>
    <col min="13569" max="13569" width="38.85546875" style="2" customWidth="1"/>
    <col min="13570" max="13824" width="11.42578125" style="2"/>
    <col min="13825" max="13825" width="38.85546875" style="2" customWidth="1"/>
    <col min="13826" max="14080" width="11.42578125" style="2"/>
    <col min="14081" max="14081" width="38.85546875" style="2" customWidth="1"/>
    <col min="14082" max="14336" width="11.42578125" style="2"/>
    <col min="14337" max="14337" width="38.85546875" style="2" customWidth="1"/>
    <col min="14338" max="14592" width="11.42578125" style="2"/>
    <col min="14593" max="14593" width="38.85546875" style="2" customWidth="1"/>
    <col min="14594" max="14848" width="11.42578125" style="2"/>
    <col min="14849" max="14849" width="38.85546875" style="2" customWidth="1"/>
    <col min="14850" max="15104" width="11.42578125" style="2"/>
    <col min="15105" max="15105" width="38.85546875" style="2" customWidth="1"/>
    <col min="15106" max="15360" width="11.42578125" style="2"/>
    <col min="15361" max="15361" width="38.85546875" style="2" customWidth="1"/>
    <col min="15362" max="15616" width="11.42578125" style="2"/>
    <col min="15617" max="15617" width="38.85546875" style="2" customWidth="1"/>
    <col min="15618" max="15872" width="11.42578125" style="2"/>
    <col min="15873" max="15873" width="38.85546875" style="2" customWidth="1"/>
    <col min="15874" max="16128" width="11.42578125" style="2"/>
    <col min="16129" max="16129" width="38.85546875" style="2" customWidth="1"/>
    <col min="16130" max="16384" width="11.42578125" style="2"/>
  </cols>
  <sheetData>
    <row r="1" spans="1:13" x14ac:dyDescent="0.2">
      <c r="A1" s="1" t="s">
        <v>24</v>
      </c>
      <c r="B1" s="1"/>
      <c r="C1" s="1"/>
      <c r="D1" s="1"/>
      <c r="E1" s="1"/>
      <c r="F1" s="1"/>
      <c r="G1" s="1"/>
      <c r="H1" s="1"/>
      <c r="I1" s="1"/>
    </row>
    <row r="3" spans="1:13" x14ac:dyDescent="0.2">
      <c r="A3" s="3" t="s">
        <v>1</v>
      </c>
      <c r="B3" s="40" t="s">
        <v>145</v>
      </c>
      <c r="C3" s="40" t="s">
        <v>146</v>
      </c>
      <c r="D3" s="40" t="s">
        <v>147</v>
      </c>
      <c r="E3" s="41" t="s">
        <v>148</v>
      </c>
      <c r="F3" s="41" t="s">
        <v>149</v>
      </c>
      <c r="G3" s="41" t="s">
        <v>150</v>
      </c>
      <c r="H3" s="41" t="s">
        <v>151</v>
      </c>
      <c r="I3" s="41" t="s">
        <v>152</v>
      </c>
    </row>
    <row r="4" spans="1:13" x14ac:dyDescent="0.2">
      <c r="A4" s="3" t="s">
        <v>25</v>
      </c>
      <c r="B4" s="22">
        <f t="shared" ref="B4:I4" si="0">B5+B9+B12+B15+B16</f>
        <v>32397008</v>
      </c>
      <c r="C4" s="22">
        <f t="shared" si="0"/>
        <v>33049388</v>
      </c>
      <c r="D4" s="22">
        <f t="shared" si="0"/>
        <v>33764000</v>
      </c>
      <c r="E4" s="22">
        <f t="shared" si="0"/>
        <v>34159194.453859016</v>
      </c>
      <c r="F4" s="22">
        <f t="shared" si="0"/>
        <v>34583137.740688853</v>
      </c>
      <c r="G4" s="22">
        <f t="shared" si="0"/>
        <v>35037070.260947771</v>
      </c>
      <c r="H4" s="22">
        <f t="shared" si="0"/>
        <v>35522334.403833076</v>
      </c>
      <c r="I4" s="22">
        <f t="shared" si="0"/>
        <v>36040381.091909736</v>
      </c>
    </row>
    <row r="5" spans="1:13" x14ac:dyDescent="0.2">
      <c r="A5" s="23" t="s">
        <v>26</v>
      </c>
      <c r="B5" s="24">
        <f>SUM(B6:B8)</f>
        <v>11678728</v>
      </c>
      <c r="C5" s="24">
        <f>SUM(C6:C8)</f>
        <v>12727926</v>
      </c>
      <c r="D5" s="24">
        <f>SUM(D6:D8)</f>
        <v>14896000</v>
      </c>
      <c r="E5" s="24">
        <f>'Cuentas PyG'!E4*Hipótesis!E49</f>
        <v>15139821.097775178</v>
      </c>
      <c r="F5" s="24">
        <f>'Cuentas PyG'!F4*Hipótesis!F49</f>
        <v>15401379.215759655</v>
      </c>
      <c r="G5" s="24">
        <f>'Cuentas PyG'!G4*Hipótesis!G49</f>
        <v>15681439.637470094</v>
      </c>
      <c r="H5" s="24">
        <f>'Cuentas PyG'!H4*Hipótesis!H49</f>
        <v>15980830.569893034</v>
      </c>
      <c r="I5" s="24">
        <f>'Cuentas PyG'!I4*Hipótesis!I49</f>
        <v>16300447.181290897</v>
      </c>
      <c r="K5" s="27"/>
      <c r="L5" s="27"/>
      <c r="M5" s="27"/>
    </row>
    <row r="6" spans="1:13" x14ac:dyDescent="0.2">
      <c r="A6" s="7" t="s">
        <v>27</v>
      </c>
      <c r="B6" s="25">
        <v>9386200</v>
      </c>
      <c r="C6" s="25">
        <v>9809882</v>
      </c>
      <c r="D6" s="25">
        <v>10342000</v>
      </c>
      <c r="E6" s="25"/>
      <c r="F6" s="25"/>
      <c r="G6" s="25"/>
      <c r="H6" s="25"/>
      <c r="I6" s="25"/>
      <c r="K6" s="48"/>
      <c r="L6" s="48"/>
      <c r="M6" s="48"/>
    </row>
    <row r="7" spans="1:13" x14ac:dyDescent="0.2">
      <c r="A7" s="7" t="s">
        <v>28</v>
      </c>
      <c r="B7" s="25">
        <v>596012</v>
      </c>
      <c r="C7" s="25">
        <v>482900</v>
      </c>
      <c r="D7" s="25">
        <v>1694000</v>
      </c>
      <c r="E7" s="25"/>
      <c r="F7" s="25"/>
      <c r="G7" s="25"/>
      <c r="H7" s="25"/>
      <c r="I7" s="25"/>
    </row>
    <row r="8" spans="1:13" x14ac:dyDescent="0.2">
      <c r="A8" s="7" t="s">
        <v>29</v>
      </c>
      <c r="B8" s="25">
        <v>1696516</v>
      </c>
      <c r="C8" s="25">
        <v>2435144</v>
      </c>
      <c r="D8" s="25">
        <v>2860000</v>
      </c>
      <c r="E8" s="25"/>
      <c r="F8" s="25"/>
      <c r="G8" s="25"/>
      <c r="H8" s="25"/>
      <c r="I8" s="25"/>
    </row>
    <row r="9" spans="1:13" x14ac:dyDescent="0.2">
      <c r="A9" s="23" t="s">
        <v>30</v>
      </c>
      <c r="B9" s="24">
        <f>SUM(B10:B11)</f>
        <v>10778924</v>
      </c>
      <c r="C9" s="24">
        <f>SUM(C10:C11)</f>
        <v>10575874</v>
      </c>
      <c r="D9" s="24">
        <f>SUM(D10:D11)</f>
        <v>9248000</v>
      </c>
      <c r="E9" s="24">
        <f>'Cuentas PyG'!E4*Hipótesis!E48</f>
        <v>9399373.3560838383</v>
      </c>
      <c r="F9" s="24">
        <f>'Cuentas PyG'!F4*Hipótesis!F48</f>
        <v>9561758.5249291956</v>
      </c>
      <c r="G9" s="24">
        <f>'Cuentas PyG'!G4*Hipótesis!G48</f>
        <v>9735630.623477675</v>
      </c>
      <c r="H9" s="24">
        <f>'Cuentas PyG'!H4*Hipótesis!H48</f>
        <v>9921503.8339400385</v>
      </c>
      <c r="I9" s="24">
        <f>'Cuentas PyG'!I4*Hipótesis!I48</f>
        <v>10119933.91061884</v>
      </c>
    </row>
    <row r="10" spans="1:13" x14ac:dyDescent="0.2">
      <c r="A10" s="7" t="s">
        <v>31</v>
      </c>
      <c r="B10" s="25">
        <v>4062970</v>
      </c>
      <c r="C10" s="25">
        <v>3939552</v>
      </c>
      <c r="D10" s="25">
        <v>3816000</v>
      </c>
      <c r="E10" s="25"/>
      <c r="F10" s="25"/>
      <c r="G10" s="25"/>
      <c r="H10" s="25"/>
      <c r="I10" s="25"/>
    </row>
    <row r="11" spans="1:13" x14ac:dyDescent="0.2">
      <c r="A11" s="7" t="s">
        <v>32</v>
      </c>
      <c r="B11" s="25">
        <v>6715954</v>
      </c>
      <c r="C11" s="25">
        <v>6636322</v>
      </c>
      <c r="D11" s="25">
        <v>5432000</v>
      </c>
      <c r="E11" s="25"/>
      <c r="F11" s="25"/>
      <c r="G11" s="25"/>
      <c r="H11" s="25"/>
      <c r="I11" s="25"/>
    </row>
    <row r="12" spans="1:13" x14ac:dyDescent="0.2">
      <c r="A12" s="23" t="s">
        <v>33</v>
      </c>
      <c r="B12" s="24">
        <f>SUM(B13:B14)</f>
        <v>960266</v>
      </c>
      <c r="C12" s="24">
        <f>SUM(C13:C14)</f>
        <v>2146174</v>
      </c>
      <c r="D12" s="24">
        <f>SUM(D13:D14)</f>
        <v>808000</v>
      </c>
      <c r="E12" s="24">
        <v>808000</v>
      </c>
      <c r="F12" s="24">
        <v>808000</v>
      </c>
      <c r="G12" s="24">
        <v>808000</v>
      </c>
      <c r="H12" s="24">
        <v>808000</v>
      </c>
      <c r="I12" s="24">
        <v>808000</v>
      </c>
    </row>
    <row r="13" spans="1:13" x14ac:dyDescent="0.2">
      <c r="A13" s="7" t="s">
        <v>34</v>
      </c>
      <c r="B13" s="25">
        <v>957418</v>
      </c>
      <c r="C13" s="25">
        <v>2143326</v>
      </c>
      <c r="D13" s="25">
        <v>806000</v>
      </c>
      <c r="E13" s="25"/>
      <c r="F13" s="25"/>
      <c r="G13" s="25"/>
      <c r="H13" s="25"/>
      <c r="I13" s="25"/>
    </row>
    <row r="14" spans="1:13" x14ac:dyDescent="0.2">
      <c r="A14" s="7" t="s">
        <v>35</v>
      </c>
      <c r="B14" s="25">
        <v>2848</v>
      </c>
      <c r="C14" s="25">
        <v>2848</v>
      </c>
      <c r="D14" s="25">
        <v>2000</v>
      </c>
      <c r="E14" s="25"/>
      <c r="F14" s="25"/>
      <c r="G14" s="25"/>
      <c r="H14" s="25"/>
      <c r="I14" s="25"/>
    </row>
    <row r="15" spans="1:13" x14ac:dyDescent="0.2">
      <c r="A15" s="23" t="s">
        <v>36</v>
      </c>
      <c r="B15" s="24">
        <v>15990</v>
      </c>
      <c r="C15" s="24">
        <v>21088</v>
      </c>
      <c r="D15" s="24">
        <v>12000</v>
      </c>
      <c r="E15" s="24">
        <v>12000</v>
      </c>
      <c r="F15" s="24">
        <v>12000</v>
      </c>
      <c r="G15" s="24">
        <v>12000</v>
      </c>
      <c r="H15" s="24">
        <v>12000</v>
      </c>
      <c r="I15" s="24">
        <v>12000</v>
      </c>
    </row>
    <row r="16" spans="1:13" x14ac:dyDescent="0.2">
      <c r="A16" s="23" t="s">
        <v>37</v>
      </c>
      <c r="B16" s="24">
        <v>8963100</v>
      </c>
      <c r="C16" s="24">
        <v>7578326</v>
      </c>
      <c r="D16" s="24">
        <v>8800000</v>
      </c>
      <c r="E16" s="24">
        <v>8800000</v>
      </c>
      <c r="F16" s="24">
        <v>8800000</v>
      </c>
      <c r="G16" s="24">
        <v>8800000</v>
      </c>
      <c r="H16" s="24">
        <v>8800000</v>
      </c>
      <c r="I16" s="24">
        <v>8800000</v>
      </c>
    </row>
    <row r="17" spans="1:9" x14ac:dyDescent="0.2">
      <c r="A17" s="3" t="s">
        <v>38</v>
      </c>
      <c r="B17" s="22">
        <f t="shared" ref="B17:D17" si="1">B18+B23+B29+B30</f>
        <v>67240432</v>
      </c>
      <c r="C17" s="22">
        <f t="shared" si="1"/>
        <v>75282972</v>
      </c>
      <c r="D17" s="22">
        <f t="shared" si="1"/>
        <v>83152000</v>
      </c>
      <c r="E17" s="22">
        <f>E18+E23+E29+E30</f>
        <v>69494267.225046918</v>
      </c>
      <c r="F17" s="22">
        <f>F18+F23+F29+F30</f>
        <v>64133260.571021289</v>
      </c>
      <c r="G17" s="22">
        <f>G18+G23+G29+G30</f>
        <v>62373704.015348457</v>
      </c>
      <c r="H17" s="22">
        <f>H18+H23+H29+H30</f>
        <v>60724073.392469674</v>
      </c>
      <c r="I17" s="22">
        <f>I18+I23+I29+I30</f>
        <v>59186361.975738399</v>
      </c>
    </row>
    <row r="18" spans="1:9" x14ac:dyDescent="0.2">
      <c r="A18" s="23" t="s">
        <v>39</v>
      </c>
      <c r="B18" s="24">
        <f>SUM(B19:B22)</f>
        <v>24291006</v>
      </c>
      <c r="C18" s="24">
        <f>SUM(C19:C22)</f>
        <v>19367252</v>
      </c>
      <c r="D18" s="24">
        <f>SUM(D19:D22)</f>
        <v>15586000</v>
      </c>
      <c r="E18" s="24">
        <f>-('Cuentas PyG'!E8+'Cuentas PyG'!E9)/365*Hipótesis!E18</f>
        <v>19411224.096886009</v>
      </c>
      <c r="F18" s="24">
        <f>-('Cuentas PyG'!F8+'Cuentas PyG'!F9)/365*Hipótesis!F18</f>
        <v>19684897.890314184</v>
      </c>
      <c r="G18" s="24">
        <f>-('Cuentas PyG'!G8+'Cuentas PyG'!G9)/365*Hipótesis!G18</f>
        <v>19977931.03564037</v>
      </c>
      <c r="H18" s="24">
        <f>-('Cuentas PyG'!H8+'Cuentas PyG'!H9)/365*Hipótesis!H18</f>
        <v>20291190.103359491</v>
      </c>
      <c r="I18" s="24">
        <f>-('Cuentas PyG'!I8+'Cuentas PyG'!I9)/365*Hipótesis!I18</f>
        <v>20625611.726966299</v>
      </c>
    </row>
    <row r="19" spans="1:9" x14ac:dyDescent="0.2">
      <c r="A19" s="7" t="s">
        <v>40</v>
      </c>
      <c r="B19" s="25">
        <v>11248112</v>
      </c>
      <c r="C19" s="25">
        <v>9180872</v>
      </c>
      <c r="D19" s="25">
        <v>7822000</v>
      </c>
      <c r="E19" s="25"/>
      <c r="F19" s="25"/>
      <c r="G19" s="25"/>
      <c r="H19" s="25"/>
      <c r="I19" s="25"/>
    </row>
    <row r="20" spans="1:9" x14ac:dyDescent="0.2">
      <c r="A20" s="7" t="s">
        <v>41</v>
      </c>
      <c r="B20" s="25">
        <v>5583604</v>
      </c>
      <c r="C20" s="25">
        <v>4173512</v>
      </c>
      <c r="D20" s="25">
        <v>3318000</v>
      </c>
      <c r="E20" s="25"/>
      <c r="F20" s="25"/>
      <c r="G20" s="25"/>
      <c r="H20" s="25"/>
      <c r="I20" s="25"/>
    </row>
    <row r="21" spans="1:9" x14ac:dyDescent="0.2">
      <c r="A21" s="7" t="s">
        <v>42</v>
      </c>
      <c r="B21" s="25">
        <v>7316234</v>
      </c>
      <c r="C21" s="25">
        <v>5847736</v>
      </c>
      <c r="D21" s="25">
        <v>4308000</v>
      </c>
      <c r="E21" s="25"/>
      <c r="F21" s="25"/>
      <c r="G21" s="25"/>
      <c r="H21" s="25"/>
      <c r="I21" s="25"/>
    </row>
    <row r="22" spans="1:9" x14ac:dyDescent="0.2">
      <c r="A22" s="7" t="s">
        <v>43</v>
      </c>
      <c r="B22" s="25">
        <v>143056</v>
      </c>
      <c r="C22" s="25">
        <v>165132</v>
      </c>
      <c r="D22" s="25">
        <v>138000</v>
      </c>
      <c r="E22" s="25"/>
      <c r="F22" s="25"/>
      <c r="G22" s="25"/>
      <c r="H22" s="25"/>
      <c r="I22" s="25"/>
    </row>
    <row r="23" spans="1:9" x14ac:dyDescent="0.2">
      <c r="A23" s="23" t="s">
        <v>44</v>
      </c>
      <c r="B23" s="24">
        <f t="shared" ref="B23:D23" si="2">SUM(B24:B28)</f>
        <v>42034778</v>
      </c>
      <c r="C23" s="24">
        <f t="shared" si="2"/>
        <v>55280022</v>
      </c>
      <c r="D23" s="24">
        <f t="shared" si="2"/>
        <v>66294000</v>
      </c>
      <c r="E23" s="24">
        <f>'Cuentas PyG'!E4/365*Hipótesis!E19</f>
        <v>61550741.969053261</v>
      </c>
      <c r="F23" s="24">
        <f>'Cuentas PyG'!F4/365*Hipótesis!F19</f>
        <v>60539518.358363509</v>
      </c>
      <c r="G23" s="24">
        <f>'Cuentas PyG'!G4/365*Hipótesis!G19</f>
        <v>59528066.653529644</v>
      </c>
      <c r="H23" s="24">
        <f>'Cuentas PyG'!H4/365*Hipótesis!H19</f>
        <v>58511942.388563789</v>
      </c>
      <c r="I23" s="24">
        <f>'Cuentas PyG'!I4/365*Hipótesis!I19</f>
        <v>57486491.006605633</v>
      </c>
    </row>
    <row r="24" spans="1:9" x14ac:dyDescent="0.2">
      <c r="A24" s="7" t="s">
        <v>45</v>
      </c>
      <c r="B24" s="25">
        <v>37583328</v>
      </c>
      <c r="C24" s="25">
        <v>50884334</v>
      </c>
      <c r="D24" s="25">
        <v>61866000</v>
      </c>
      <c r="E24" s="25"/>
      <c r="F24" s="25"/>
      <c r="G24" s="25"/>
      <c r="H24" s="25"/>
      <c r="I24" s="25"/>
    </row>
    <row r="25" spans="1:9" x14ac:dyDescent="0.2">
      <c r="A25" s="7" t="s">
        <v>46</v>
      </c>
      <c r="B25" s="25">
        <v>1044920</v>
      </c>
      <c r="C25" s="25">
        <v>738486</v>
      </c>
      <c r="D25" s="25">
        <v>406000</v>
      </c>
      <c r="E25" s="25"/>
      <c r="F25" s="25"/>
      <c r="G25" s="25"/>
      <c r="H25" s="25"/>
      <c r="I25" s="25"/>
    </row>
    <row r="26" spans="1:9" x14ac:dyDescent="0.2">
      <c r="A26" s="7" t="s">
        <v>47</v>
      </c>
      <c r="B26" s="25">
        <v>116778</v>
      </c>
      <c r="C26" s="25">
        <v>110816</v>
      </c>
      <c r="D26" s="25">
        <v>294000</v>
      </c>
      <c r="E26" s="25"/>
      <c r="F26" s="25"/>
      <c r="G26" s="25"/>
      <c r="H26" s="25"/>
      <c r="I26" s="25"/>
    </row>
    <row r="27" spans="1:9" x14ac:dyDescent="0.2">
      <c r="A27" s="7" t="s">
        <v>48</v>
      </c>
      <c r="B27" s="25">
        <v>156796</v>
      </c>
      <c r="C27" s="25">
        <v>153476</v>
      </c>
      <c r="D27" s="25">
        <v>176000</v>
      </c>
      <c r="E27" s="25"/>
      <c r="F27" s="25"/>
      <c r="G27" s="25"/>
      <c r="H27" s="25"/>
      <c r="I27" s="25"/>
    </row>
    <row r="28" spans="1:9" x14ac:dyDescent="0.2">
      <c r="A28" s="7" t="s">
        <v>49</v>
      </c>
      <c r="B28" s="25">
        <v>3132956</v>
      </c>
      <c r="C28" s="25">
        <v>3392910</v>
      </c>
      <c r="D28" s="25">
        <v>3552000</v>
      </c>
      <c r="E28" s="25"/>
      <c r="F28" s="25"/>
      <c r="G28" s="25"/>
      <c r="H28" s="25"/>
      <c r="I28" s="25"/>
    </row>
    <row r="29" spans="1:9" x14ac:dyDescent="0.2">
      <c r="A29" s="23" t="s">
        <v>50</v>
      </c>
      <c r="B29" s="24">
        <v>780900</v>
      </c>
      <c r="C29" s="24">
        <v>597492</v>
      </c>
      <c r="D29" s="24">
        <v>830000</v>
      </c>
      <c r="E29" s="24">
        <v>830000</v>
      </c>
      <c r="F29" s="24">
        <v>830000</v>
      </c>
      <c r="G29" s="24">
        <v>830000</v>
      </c>
      <c r="H29" s="24">
        <v>830000</v>
      </c>
      <c r="I29" s="24">
        <v>830000</v>
      </c>
    </row>
    <row r="30" spans="1:9" x14ac:dyDescent="0.2">
      <c r="A30" s="23" t="s">
        <v>51</v>
      </c>
      <c r="B30" s="24">
        <v>133748</v>
      </c>
      <c r="C30" s="24">
        <v>38206</v>
      </c>
      <c r="D30" s="24">
        <v>442000</v>
      </c>
      <c r="E30" s="24">
        <f>'Flujos de caja'!B32</f>
        <v>-12297698.840892365</v>
      </c>
      <c r="F30" s="24">
        <f>'Flujos de caja'!C32</f>
        <v>-16921155.677656408</v>
      </c>
      <c r="G30" s="24">
        <f>'Flujos de caja'!D32</f>
        <v>-17962293.673821561</v>
      </c>
      <c r="H30" s="24">
        <f>'Flujos de caja'!E32</f>
        <v>-18909059.099453595</v>
      </c>
      <c r="I30" s="24">
        <f>'Flujos de caja'!F32</f>
        <v>-19755740.757833533</v>
      </c>
    </row>
    <row r="31" spans="1:9" x14ac:dyDescent="0.2">
      <c r="A31" s="3" t="s">
        <v>52</v>
      </c>
      <c r="B31" s="22">
        <f t="shared" ref="B31:I31" si="3">B4+B17</f>
        <v>99637440</v>
      </c>
      <c r="C31" s="22">
        <f t="shared" si="3"/>
        <v>108332360</v>
      </c>
      <c r="D31" s="22">
        <f t="shared" si="3"/>
        <v>116916000</v>
      </c>
      <c r="E31" s="22">
        <f t="shared" si="3"/>
        <v>103653461.67890593</v>
      </c>
      <c r="F31" s="22">
        <f t="shared" si="3"/>
        <v>98716398.311710149</v>
      </c>
      <c r="G31" s="22">
        <f t="shared" si="3"/>
        <v>97410774.276296228</v>
      </c>
      <c r="H31" s="22">
        <f t="shared" si="3"/>
        <v>96246407.796302751</v>
      </c>
      <c r="I31" s="22">
        <f t="shared" si="3"/>
        <v>95226743.067648143</v>
      </c>
    </row>
    <row r="33" spans="1:9" x14ac:dyDescent="0.2">
      <c r="A33" s="1" t="s">
        <v>53</v>
      </c>
      <c r="B33" s="26"/>
      <c r="C33" s="26"/>
      <c r="D33" s="26"/>
      <c r="E33" s="26"/>
      <c r="F33" s="26"/>
      <c r="G33" s="26"/>
      <c r="H33" s="26"/>
      <c r="I33" s="26"/>
    </row>
    <row r="35" spans="1:9" x14ac:dyDescent="0.2">
      <c r="A35" s="3" t="s">
        <v>1</v>
      </c>
      <c r="B35" s="40" t="s">
        <v>145</v>
      </c>
      <c r="C35" s="40" t="s">
        <v>146</v>
      </c>
      <c r="D35" s="40" t="s">
        <v>147</v>
      </c>
      <c r="E35" s="41" t="s">
        <v>148</v>
      </c>
      <c r="F35" s="41" t="s">
        <v>149</v>
      </c>
      <c r="G35" s="41" t="s">
        <v>150</v>
      </c>
      <c r="H35" s="41" t="s">
        <v>151</v>
      </c>
      <c r="I35" s="41" t="s">
        <v>152</v>
      </c>
    </row>
    <row r="36" spans="1:9" x14ac:dyDescent="0.2">
      <c r="A36" s="3" t="s">
        <v>54</v>
      </c>
      <c r="B36" s="22">
        <f t="shared" ref="B36:I36" si="4">B37+B44+B45</f>
        <v>46253699</v>
      </c>
      <c r="C36" s="22">
        <f t="shared" si="4"/>
        <v>48682212</v>
      </c>
      <c r="D36" s="22">
        <f t="shared" si="4"/>
        <v>46119915</v>
      </c>
      <c r="E36" s="22">
        <f t="shared" si="4"/>
        <v>46538418.501978256</v>
      </c>
      <c r="F36" s="22">
        <f t="shared" si="4"/>
        <v>47078644.450566143</v>
      </c>
      <c r="G36" s="22">
        <f t="shared" si="4"/>
        <v>47747923.66779153</v>
      </c>
      <c r="H36" s="22">
        <f t="shared" si="4"/>
        <v>48553899.462004662</v>
      </c>
      <c r="I36" s="22">
        <f t="shared" si="4"/>
        <v>49504557.285585068</v>
      </c>
    </row>
    <row r="37" spans="1:9" x14ac:dyDescent="0.2">
      <c r="A37" s="23" t="s">
        <v>55</v>
      </c>
      <c r="B37" s="24">
        <f t="shared" ref="B37:I37" si="5">B38+B39+B40+B43</f>
        <v>46152701</v>
      </c>
      <c r="C37" s="24">
        <f t="shared" si="5"/>
        <v>48405534</v>
      </c>
      <c r="D37" s="24">
        <f t="shared" si="5"/>
        <v>45833915</v>
      </c>
      <c r="E37" s="24">
        <f t="shared" si="5"/>
        <v>46305653.501978256</v>
      </c>
      <c r="F37" s="24">
        <f t="shared" si="5"/>
        <v>46899114.450566143</v>
      </c>
      <c r="G37" s="24">
        <f t="shared" si="5"/>
        <v>47621628.66779153</v>
      </c>
      <c r="H37" s="24">
        <f t="shared" si="5"/>
        <v>48480839.462004662</v>
      </c>
      <c r="I37" s="24">
        <f t="shared" si="5"/>
        <v>49484732.285585068</v>
      </c>
    </row>
    <row r="38" spans="1:9" x14ac:dyDescent="0.2">
      <c r="A38" s="7" t="s">
        <v>56</v>
      </c>
      <c r="B38" s="25">
        <v>493604</v>
      </c>
      <c r="C38" s="25">
        <v>493604</v>
      </c>
      <c r="D38" s="25">
        <v>494000</v>
      </c>
      <c r="E38" s="25">
        <v>494000</v>
      </c>
      <c r="F38" s="25">
        <v>494000</v>
      </c>
      <c r="G38" s="25">
        <v>494000</v>
      </c>
      <c r="H38" s="25">
        <v>494000</v>
      </c>
      <c r="I38" s="25">
        <v>494000</v>
      </c>
    </row>
    <row r="39" spans="1:9" x14ac:dyDescent="0.2">
      <c r="A39" s="7" t="s">
        <v>57</v>
      </c>
      <c r="B39" s="25">
        <v>253326</v>
      </c>
      <c r="C39" s="25">
        <v>253326</v>
      </c>
      <c r="D39" s="25">
        <v>254000</v>
      </c>
      <c r="E39" s="25">
        <v>254000</v>
      </c>
      <c r="F39" s="25">
        <v>254000</v>
      </c>
      <c r="G39" s="25">
        <v>254000</v>
      </c>
      <c r="H39" s="25">
        <v>254000</v>
      </c>
      <c r="I39" s="25">
        <v>254000</v>
      </c>
    </row>
    <row r="40" spans="1:9" x14ac:dyDescent="0.2">
      <c r="A40" s="7" t="s">
        <v>58</v>
      </c>
      <c r="B40" s="25">
        <f t="shared" ref="B40:D40" si="6">SUM(B41:B42)</f>
        <v>41402488</v>
      </c>
      <c r="C40" s="25">
        <f t="shared" si="6"/>
        <v>44119016</v>
      </c>
      <c r="D40" s="25">
        <f t="shared" si="6"/>
        <v>44118000</v>
      </c>
      <c r="E40" s="25">
        <f>D40+D43</f>
        <v>45085915</v>
      </c>
      <c r="F40" s="25">
        <f t="shared" ref="F40:I40" si="7">E40+E43</f>
        <v>45557653.501978256</v>
      </c>
      <c r="G40" s="25">
        <f t="shared" si="7"/>
        <v>46151114.450566143</v>
      </c>
      <c r="H40" s="25">
        <f t="shared" si="7"/>
        <v>46873628.66779153</v>
      </c>
      <c r="I40" s="25">
        <f t="shared" si="7"/>
        <v>47732839.462004662</v>
      </c>
    </row>
    <row r="41" spans="1:9" x14ac:dyDescent="0.2">
      <c r="A41" s="7" t="s">
        <v>59</v>
      </c>
      <c r="B41" s="25">
        <v>98716</v>
      </c>
      <c r="C41" s="25">
        <v>98716</v>
      </c>
      <c r="D41" s="25">
        <v>98000</v>
      </c>
      <c r="E41" s="25"/>
      <c r="F41" s="25"/>
      <c r="G41" s="25"/>
      <c r="H41" s="25"/>
      <c r="I41" s="25"/>
    </row>
    <row r="42" spans="1:9" x14ac:dyDescent="0.2">
      <c r="A42" s="7" t="s">
        <v>60</v>
      </c>
      <c r="B42" s="25">
        <v>41303772</v>
      </c>
      <c r="C42" s="25">
        <v>44020300</v>
      </c>
      <c r="D42" s="25">
        <v>44020000</v>
      </c>
      <c r="E42" s="25"/>
      <c r="F42" s="25"/>
      <c r="G42" s="25"/>
      <c r="H42" s="25"/>
      <c r="I42" s="25"/>
    </row>
    <row r="43" spans="1:9" x14ac:dyDescent="0.2">
      <c r="A43" s="7" t="s">
        <v>61</v>
      </c>
      <c r="B43" s="25">
        <f>'Cuentas PyG'!B31</f>
        <v>4003283</v>
      </c>
      <c r="C43" s="25">
        <f>'Cuentas PyG'!C31</f>
        <v>3539588</v>
      </c>
      <c r="D43" s="25">
        <f>'Cuentas PyG'!D31</f>
        <v>967915</v>
      </c>
      <c r="E43" s="25">
        <f>'Cuentas PyG'!E31</f>
        <v>471738.50197825249</v>
      </c>
      <c r="F43" s="25">
        <f>'Cuentas PyG'!F31</f>
        <v>593460.94858788792</v>
      </c>
      <c r="G43" s="25">
        <f>'Cuentas PyG'!G31</f>
        <v>722514.21722538909</v>
      </c>
      <c r="H43" s="25">
        <f>'Cuentas PyG'!H31</f>
        <v>859210.79421313107</v>
      </c>
      <c r="I43" s="25">
        <f>'Cuentas PyG'!I31</f>
        <v>1003892.8235804059</v>
      </c>
    </row>
    <row r="44" spans="1:9" x14ac:dyDescent="0.2">
      <c r="A44" s="23" t="s">
        <v>62</v>
      </c>
      <c r="B44" s="24">
        <v>0</v>
      </c>
      <c r="C44" s="24">
        <v>-319844</v>
      </c>
      <c r="D44" s="24">
        <v>-124000</v>
      </c>
      <c r="E44" s="24">
        <v>-124000</v>
      </c>
      <c r="F44" s="24">
        <v>-124000</v>
      </c>
      <c r="G44" s="24">
        <v>-124000</v>
      </c>
      <c r="H44" s="24">
        <v>-124000</v>
      </c>
      <c r="I44" s="24">
        <v>-124000</v>
      </c>
    </row>
    <row r="45" spans="1:9" x14ac:dyDescent="0.2">
      <c r="A45" s="23" t="s">
        <v>63</v>
      </c>
      <c r="B45" s="24">
        <v>100998</v>
      </c>
      <c r="C45" s="24">
        <v>596522</v>
      </c>
      <c r="D45" s="24">
        <v>410000</v>
      </c>
      <c r="E45" s="24">
        <f>D45-'Cuentas PyG'!E22</f>
        <v>356765</v>
      </c>
      <c r="F45" s="24">
        <f>E45-'Cuentas PyG'!F22</f>
        <v>303530</v>
      </c>
      <c r="G45" s="24">
        <f>F45-'Cuentas PyG'!G22</f>
        <v>250295</v>
      </c>
      <c r="H45" s="24">
        <f>G45-'Cuentas PyG'!H22</f>
        <v>197060</v>
      </c>
      <c r="I45" s="24">
        <f>H45-'Cuentas PyG'!I22</f>
        <v>143825</v>
      </c>
    </row>
    <row r="46" spans="1:9" x14ac:dyDescent="0.2">
      <c r="A46" s="3" t="s">
        <v>64</v>
      </c>
      <c r="B46" s="22">
        <f t="shared" ref="B46:I46" si="8">SUM(B47:B48)</f>
        <v>10623432</v>
      </c>
      <c r="C46" s="22">
        <f t="shared" si="8"/>
        <v>9354836</v>
      </c>
      <c r="D46" s="22">
        <f t="shared" si="8"/>
        <v>10140000</v>
      </c>
      <c r="E46" s="22">
        <f t="shared" si="8"/>
        <v>10239354.435305804</v>
      </c>
      <c r="F46" s="22">
        <f t="shared" si="8"/>
        <v>10367606.27502943</v>
      </c>
      <c r="G46" s="22">
        <f t="shared" si="8"/>
        <v>10526495.886167724</v>
      </c>
      <c r="H46" s="22">
        <f t="shared" si="8"/>
        <v>10717837.821242744</v>
      </c>
      <c r="I46" s="22">
        <f t="shared" si="8"/>
        <v>10943527.859162148</v>
      </c>
    </row>
    <row r="47" spans="1:9" x14ac:dyDescent="0.2">
      <c r="A47" s="7" t="s">
        <v>65</v>
      </c>
      <c r="B47" s="25">
        <v>9568070</v>
      </c>
      <c r="C47" s="25">
        <v>8095286</v>
      </c>
      <c r="D47" s="25">
        <v>8752000</v>
      </c>
      <c r="E47" s="25">
        <f>D47+E87*Hipótesis!E37</f>
        <v>8851354.435305804</v>
      </c>
      <c r="F47" s="25">
        <f>E47+F87*Hipótesis!F37</f>
        <v>8979606.2750294302</v>
      </c>
      <c r="G47" s="25">
        <f>F47+G87*Hipótesis!G37</f>
        <v>9138495.8861677237</v>
      </c>
      <c r="H47" s="25">
        <f>G47+H87*Hipótesis!H37</f>
        <v>9329837.8212427441</v>
      </c>
      <c r="I47" s="25">
        <f>H47+I87*Hipótesis!I37</f>
        <v>9555527.8591621481</v>
      </c>
    </row>
    <row r="48" spans="1:9" x14ac:dyDescent="0.2">
      <c r="A48" s="7" t="s">
        <v>66</v>
      </c>
      <c r="B48" s="25">
        <v>1055362</v>
      </c>
      <c r="C48" s="25">
        <v>1259550</v>
      </c>
      <c r="D48" s="25">
        <v>1388000</v>
      </c>
      <c r="E48" s="25">
        <v>1388000</v>
      </c>
      <c r="F48" s="25">
        <v>1388000</v>
      </c>
      <c r="G48" s="25">
        <v>1388000</v>
      </c>
      <c r="H48" s="25">
        <v>1388000</v>
      </c>
      <c r="I48" s="25">
        <v>1388000</v>
      </c>
    </row>
    <row r="49" spans="1:9" x14ac:dyDescent="0.2">
      <c r="A49" s="3" t="s">
        <v>67</v>
      </c>
      <c r="B49" s="22">
        <f t="shared" ref="B49:I49" si="9">B50+B51+B52+B53+B60</f>
        <v>42760309</v>
      </c>
      <c r="C49" s="22">
        <f t="shared" si="9"/>
        <v>50295312</v>
      </c>
      <c r="D49" s="22">
        <f t="shared" si="9"/>
        <v>60656085</v>
      </c>
      <c r="E49" s="22">
        <f t="shared" si="9"/>
        <v>46875688.741621874</v>
      </c>
      <c r="F49" s="22">
        <f t="shared" si="9"/>
        <v>41270147.58611457</v>
      </c>
      <c r="G49" s="22">
        <f t="shared" si="9"/>
        <v>39136354.72233697</v>
      </c>
      <c r="H49" s="22">
        <f t="shared" si="9"/>
        <v>36974670.513055339</v>
      </c>
      <c r="I49" s="22">
        <f t="shared" si="9"/>
        <v>34778657.92290093</v>
      </c>
    </row>
    <row r="50" spans="1:9" x14ac:dyDescent="0.2">
      <c r="A50" s="7" t="s">
        <v>68</v>
      </c>
      <c r="B50" s="25">
        <v>9387650</v>
      </c>
      <c r="C50" s="25">
        <v>5759620</v>
      </c>
      <c r="D50" s="25">
        <v>6390000</v>
      </c>
      <c r="E50" s="25">
        <v>6390000</v>
      </c>
      <c r="F50" s="25">
        <v>6390000</v>
      </c>
      <c r="G50" s="25">
        <v>6390000</v>
      </c>
      <c r="H50" s="25">
        <v>6390000</v>
      </c>
      <c r="I50" s="25">
        <v>6390000</v>
      </c>
    </row>
    <row r="51" spans="1:9" x14ac:dyDescent="0.2">
      <c r="A51" s="7" t="s">
        <v>69</v>
      </c>
      <c r="B51" s="25">
        <v>8439000</v>
      </c>
      <c r="C51" s="25">
        <v>10529278</v>
      </c>
      <c r="D51" s="25">
        <v>10098000</v>
      </c>
      <c r="E51" s="25">
        <f>D51+E87*(1-Hipótesis!E37)</f>
        <v>10273187.11673208</v>
      </c>
      <c r="F51" s="25">
        <f>E51+F87*(1-Hipótesis!F37)</f>
        <v>10499327.700668896</v>
      </c>
      <c r="G51" s="25">
        <f>F51+G87*(1-Hipótesis!G37)</f>
        <v>10779490.46107636</v>
      </c>
      <c r="H51" s="25">
        <f>G51+H87*(1-Hipótesis!H37)</f>
        <v>11116874.915152883</v>
      </c>
      <c r="I51" s="25">
        <f>H51+I87*(1-Hipótesis!I37)</f>
        <v>11514823.802855378</v>
      </c>
    </row>
    <row r="52" spans="1:9" x14ac:dyDescent="0.2">
      <c r="A52" s="7" t="s">
        <v>70</v>
      </c>
      <c r="B52" s="25">
        <v>0</v>
      </c>
      <c r="C52" s="25">
        <v>5458746</v>
      </c>
      <c r="D52" s="25">
        <v>5334000</v>
      </c>
      <c r="E52" s="25">
        <v>5334000</v>
      </c>
      <c r="F52" s="25">
        <v>5334000</v>
      </c>
      <c r="G52" s="25">
        <v>5334000</v>
      </c>
      <c r="H52" s="25">
        <v>5334000</v>
      </c>
      <c r="I52" s="25">
        <v>5334000</v>
      </c>
    </row>
    <row r="53" spans="1:9" x14ac:dyDescent="0.2">
      <c r="A53" s="7" t="s">
        <v>71</v>
      </c>
      <c r="B53" s="25">
        <f t="shared" ref="B53:D53" si="10">SUM(B54:B59)</f>
        <v>24893135</v>
      </c>
      <c r="C53" s="25">
        <f t="shared" si="10"/>
        <v>28547668</v>
      </c>
      <c r="D53" s="25">
        <f t="shared" si="10"/>
        <v>38810085</v>
      </c>
      <c r="E53" s="25">
        <f>(-'Cuentas PyG'!E8+Balances!E18-Balances!D18)/365*Hipótesis!E20</f>
        <v>24854501.624889795</v>
      </c>
      <c r="F53" s="25">
        <f>(-'Cuentas PyG'!F8+Balances!F18-Balances!E18)/365*Hipótesis!F20</f>
        <v>19022819.885445677</v>
      </c>
      <c r="G53" s="25">
        <f>(-'Cuentas PyG'!G8+Balances!G18-Balances!F18)/365*Hipótesis!G20</f>
        <v>16608864.26126061</v>
      </c>
      <c r="H53" s="25">
        <f>(-'Cuentas PyG'!H8+Balances!H18-Balances!G18)/365*Hipótesis!H20</f>
        <v>14109795.597902458</v>
      </c>
      <c r="I53" s="25">
        <f>(-'Cuentas PyG'!I8+Balances!I18-Balances!H18)/365*Hipótesis!I20</f>
        <v>11515834.120045546</v>
      </c>
    </row>
    <row r="54" spans="1:9" x14ac:dyDescent="0.2">
      <c r="A54" s="7" t="s">
        <v>72</v>
      </c>
      <c r="B54" s="25">
        <v>17555743</v>
      </c>
      <c r="C54" s="25">
        <v>14433996</v>
      </c>
      <c r="D54" s="25">
        <v>21968085</v>
      </c>
      <c r="E54" s="25"/>
      <c r="F54" s="25"/>
      <c r="G54" s="25"/>
      <c r="H54" s="25"/>
      <c r="I54" s="25"/>
    </row>
    <row r="55" spans="1:9" x14ac:dyDescent="0.2">
      <c r="A55" s="7" t="s">
        <v>73</v>
      </c>
      <c r="B55" s="25">
        <v>224624</v>
      </c>
      <c r="C55" s="25">
        <v>895796</v>
      </c>
      <c r="D55" s="25">
        <v>0</v>
      </c>
      <c r="E55" s="25"/>
      <c r="F55" s="25"/>
      <c r="G55" s="25"/>
      <c r="H55" s="25"/>
      <c r="I55" s="25"/>
    </row>
    <row r="56" spans="1:9" x14ac:dyDescent="0.2">
      <c r="A56" s="7" t="s">
        <v>74</v>
      </c>
      <c r="B56" s="25">
        <v>66848</v>
      </c>
      <c r="C56" s="25">
        <v>56988</v>
      </c>
      <c r="D56" s="25">
        <v>700000</v>
      </c>
      <c r="E56" s="25"/>
      <c r="F56" s="25"/>
      <c r="G56" s="25"/>
      <c r="H56" s="25"/>
      <c r="I56" s="25"/>
    </row>
    <row r="57" spans="1:9" x14ac:dyDescent="0.2">
      <c r="A57" s="7" t="s">
        <v>75</v>
      </c>
      <c r="B57" s="25">
        <v>879448</v>
      </c>
      <c r="C57" s="25">
        <v>0</v>
      </c>
      <c r="D57" s="25">
        <v>1024000</v>
      </c>
      <c r="E57" s="25"/>
      <c r="F57" s="25"/>
      <c r="G57" s="25"/>
      <c r="H57" s="25"/>
      <c r="I57" s="25"/>
    </row>
    <row r="58" spans="1:9" x14ac:dyDescent="0.2">
      <c r="A58" s="7" t="s">
        <v>76</v>
      </c>
      <c r="B58" s="25">
        <v>862308</v>
      </c>
      <c r="C58" s="25">
        <v>806860</v>
      </c>
      <c r="D58" s="25">
        <v>1018000</v>
      </c>
      <c r="E58" s="25"/>
      <c r="F58" s="25"/>
      <c r="G58" s="25"/>
      <c r="H58" s="25"/>
      <c r="I58" s="25"/>
    </row>
    <row r="59" spans="1:9" x14ac:dyDescent="0.2">
      <c r="A59" s="7" t="s">
        <v>77</v>
      </c>
      <c r="B59" s="25">
        <v>5304164</v>
      </c>
      <c r="C59" s="25">
        <v>12354028</v>
      </c>
      <c r="D59" s="25">
        <v>14100000</v>
      </c>
      <c r="E59" s="25"/>
      <c r="F59" s="25"/>
      <c r="G59" s="25"/>
      <c r="H59" s="25"/>
      <c r="I59" s="25"/>
    </row>
    <row r="60" spans="1:9" x14ac:dyDescent="0.2">
      <c r="A60" s="7" t="s">
        <v>50</v>
      </c>
      <c r="B60" s="25">
        <v>40524</v>
      </c>
      <c r="C60" s="25">
        <v>0</v>
      </c>
      <c r="D60" s="25">
        <v>24000</v>
      </c>
      <c r="E60" s="25">
        <v>24000</v>
      </c>
      <c r="F60" s="25">
        <v>24000</v>
      </c>
      <c r="G60" s="25">
        <v>24000</v>
      </c>
      <c r="H60" s="25">
        <v>24000</v>
      </c>
      <c r="I60" s="25">
        <v>24000</v>
      </c>
    </row>
    <row r="61" spans="1:9" x14ac:dyDescent="0.2">
      <c r="A61" s="3" t="s">
        <v>78</v>
      </c>
      <c r="B61" s="22">
        <f t="shared" ref="B61:I61" si="11">B36+B46+B49</f>
        <v>99637440</v>
      </c>
      <c r="C61" s="22">
        <f t="shared" si="11"/>
        <v>108332360</v>
      </c>
      <c r="D61" s="22">
        <f t="shared" si="11"/>
        <v>116916000</v>
      </c>
      <c r="E61" s="22">
        <f t="shared" si="11"/>
        <v>103653461.67890593</v>
      </c>
      <c r="F61" s="22">
        <f t="shared" si="11"/>
        <v>98716398.311710149</v>
      </c>
      <c r="G61" s="22">
        <f t="shared" si="11"/>
        <v>97410774.276296228</v>
      </c>
      <c r="H61" s="22">
        <f t="shared" si="11"/>
        <v>96246407.796302736</v>
      </c>
      <c r="I61" s="22">
        <f t="shared" si="11"/>
        <v>95226743.067648143</v>
      </c>
    </row>
    <row r="62" spans="1:9" x14ac:dyDescent="0.2">
      <c r="B62" s="27"/>
      <c r="C62" s="27"/>
      <c r="D62" s="27"/>
      <c r="E62" s="27"/>
      <c r="F62" s="27"/>
      <c r="G62" s="27"/>
      <c r="H62" s="27"/>
      <c r="I62" s="27"/>
    </row>
    <row r="63" spans="1:9" x14ac:dyDescent="0.2">
      <c r="A63" s="1" t="s">
        <v>79</v>
      </c>
      <c r="B63" s="1"/>
      <c r="C63" s="1"/>
      <c r="D63" s="1"/>
      <c r="E63" s="1"/>
      <c r="F63" s="1"/>
      <c r="G63" s="1"/>
      <c r="H63" s="1"/>
      <c r="I63" s="1"/>
    </row>
    <row r="64" spans="1:9" x14ac:dyDescent="0.2">
      <c r="F64" s="27"/>
      <c r="G64" s="27"/>
      <c r="H64" s="27"/>
      <c r="I64" s="27"/>
    </row>
    <row r="65" spans="1:9" x14ac:dyDescent="0.2">
      <c r="A65" s="28" t="s">
        <v>80</v>
      </c>
    </row>
    <row r="67" spans="1:9" x14ac:dyDescent="0.2">
      <c r="A67" s="3" t="s">
        <v>1</v>
      </c>
      <c r="B67" s="40" t="s">
        <v>145</v>
      </c>
      <c r="C67" s="40" t="s">
        <v>146</v>
      </c>
      <c r="D67" s="40" t="s">
        <v>147</v>
      </c>
      <c r="E67" s="41" t="s">
        <v>148</v>
      </c>
      <c r="F67" s="41" t="s">
        <v>149</v>
      </c>
      <c r="G67" s="41" t="s">
        <v>150</v>
      </c>
      <c r="H67" s="41" t="s">
        <v>151</v>
      </c>
      <c r="I67" s="41" t="s">
        <v>152</v>
      </c>
    </row>
    <row r="68" spans="1:9" x14ac:dyDescent="0.2">
      <c r="A68" s="7" t="s">
        <v>81</v>
      </c>
      <c r="B68" s="29">
        <f>B18+B23</f>
        <v>66325784</v>
      </c>
      <c r="C68" s="29">
        <f t="shared" ref="C68:I68" si="12">C18+C23</f>
        <v>74647274</v>
      </c>
      <c r="D68" s="29">
        <f t="shared" si="12"/>
        <v>81880000</v>
      </c>
      <c r="E68" s="29">
        <f t="shared" si="12"/>
        <v>80961966.065939277</v>
      </c>
      <c r="F68" s="29">
        <f t="shared" si="12"/>
        <v>80224416.248677701</v>
      </c>
      <c r="G68" s="29">
        <f t="shared" si="12"/>
        <v>79505997.689170018</v>
      </c>
      <c r="H68" s="29">
        <f t="shared" si="12"/>
        <v>78803132.491923273</v>
      </c>
      <c r="I68" s="29">
        <f t="shared" si="12"/>
        <v>78112102.733571932</v>
      </c>
    </row>
    <row r="69" spans="1:9" x14ac:dyDescent="0.2">
      <c r="A69" s="7" t="s">
        <v>82</v>
      </c>
      <c r="B69" s="29">
        <f>-B53</f>
        <v>-24893135</v>
      </c>
      <c r="C69" s="29">
        <f t="shared" ref="C69:I69" si="13">-C53</f>
        <v>-28547668</v>
      </c>
      <c r="D69" s="29">
        <f t="shared" si="13"/>
        <v>-38810085</v>
      </c>
      <c r="E69" s="29">
        <f t="shared" si="13"/>
        <v>-24854501.624889795</v>
      </c>
      <c r="F69" s="29">
        <f t="shared" si="13"/>
        <v>-19022819.885445677</v>
      </c>
      <c r="G69" s="29">
        <f t="shared" si="13"/>
        <v>-16608864.26126061</v>
      </c>
      <c r="H69" s="29">
        <f t="shared" si="13"/>
        <v>-14109795.597902458</v>
      </c>
      <c r="I69" s="29">
        <f t="shared" si="13"/>
        <v>-11515834.120045546</v>
      </c>
    </row>
    <row r="70" spans="1:9" x14ac:dyDescent="0.2">
      <c r="A70" s="17" t="s">
        <v>83</v>
      </c>
      <c r="B70" s="30">
        <f>SUM(B68:B69)</f>
        <v>41432649</v>
      </c>
      <c r="C70" s="30">
        <f t="shared" ref="C70:I70" si="14">SUM(C68:C69)</f>
        <v>46099606</v>
      </c>
      <c r="D70" s="30">
        <f t="shared" si="14"/>
        <v>43069915</v>
      </c>
      <c r="E70" s="30">
        <f t="shared" si="14"/>
        <v>56107464.441049486</v>
      </c>
      <c r="F70" s="30">
        <f t="shared" si="14"/>
        <v>61201596.363232024</v>
      </c>
      <c r="G70" s="30">
        <f t="shared" si="14"/>
        <v>62897133.427909404</v>
      </c>
      <c r="H70" s="30">
        <f t="shared" si="14"/>
        <v>64693336.894020811</v>
      </c>
      <c r="I70" s="30">
        <f t="shared" si="14"/>
        <v>66596268.613526389</v>
      </c>
    </row>
    <row r="71" spans="1:9" x14ac:dyDescent="0.2">
      <c r="A71" s="31" t="s">
        <v>84</v>
      </c>
      <c r="B71" s="31"/>
      <c r="C71" s="32">
        <f>C70-B70</f>
        <v>4666957</v>
      </c>
      <c r="D71" s="32">
        <f t="shared" ref="D71" si="15">D70-C70</f>
        <v>-3029691</v>
      </c>
      <c r="E71" s="32">
        <f t="shared" ref="E71" si="16">E70-D70</f>
        <v>13037549.441049486</v>
      </c>
      <c r="F71" s="32">
        <f t="shared" ref="F71" si="17">F70-E70</f>
        <v>5094131.9221825376</v>
      </c>
      <c r="G71" s="32">
        <f t="shared" ref="G71" si="18">G70-F70</f>
        <v>1695537.06467738</v>
      </c>
      <c r="H71" s="32">
        <f t="shared" ref="H71" si="19">H70-G70</f>
        <v>1796203.4661114067</v>
      </c>
      <c r="I71" s="32">
        <f t="shared" ref="I71" si="20">I70-H70</f>
        <v>1902931.7195055783</v>
      </c>
    </row>
    <row r="73" spans="1:9" x14ac:dyDescent="0.2">
      <c r="A73" s="28" t="s">
        <v>85</v>
      </c>
    </row>
    <row r="75" spans="1:9" x14ac:dyDescent="0.2">
      <c r="A75" s="3" t="s">
        <v>1</v>
      </c>
      <c r="B75" s="40" t="s">
        <v>145</v>
      </c>
      <c r="C75" s="40" t="s">
        <v>146</v>
      </c>
      <c r="D75" s="40" t="s">
        <v>147</v>
      </c>
      <c r="E75" s="41" t="s">
        <v>148</v>
      </c>
      <c r="F75" s="41" t="s">
        <v>149</v>
      </c>
      <c r="G75" s="41" t="s">
        <v>150</v>
      </c>
      <c r="H75" s="41" t="s">
        <v>151</v>
      </c>
      <c r="I75" s="41" t="s">
        <v>152</v>
      </c>
    </row>
    <row r="76" spans="1:9" x14ac:dyDescent="0.2">
      <c r="A76" s="4" t="s">
        <v>86</v>
      </c>
      <c r="B76" s="4"/>
      <c r="C76" s="33">
        <f>C5-B5</f>
        <v>1049198</v>
      </c>
      <c r="D76" s="33">
        <f>D5-C5</f>
        <v>2168074</v>
      </c>
      <c r="E76" s="33">
        <f t="shared" ref="E76:I76" si="21">E5-D5</f>
        <v>243821.09777517803</v>
      </c>
      <c r="F76" s="33">
        <f t="shared" si="21"/>
        <v>261558.11798447743</v>
      </c>
      <c r="G76" s="33">
        <f t="shared" si="21"/>
        <v>280060.42171043903</v>
      </c>
      <c r="H76" s="33">
        <f t="shared" si="21"/>
        <v>299390.93242293969</v>
      </c>
      <c r="I76" s="33">
        <f t="shared" si="21"/>
        <v>319616.61139786243</v>
      </c>
    </row>
    <row r="77" spans="1:9" x14ac:dyDescent="0.2">
      <c r="A77" s="10" t="s">
        <v>87</v>
      </c>
      <c r="B77" s="10"/>
      <c r="C77" s="34">
        <f>C9-B9</f>
        <v>-203050</v>
      </c>
      <c r="D77" s="34">
        <f>D9-C9</f>
        <v>-1327874</v>
      </c>
      <c r="E77" s="34">
        <f t="shared" ref="E77:I77" si="22">E9-D9</f>
        <v>151373.35608383827</v>
      </c>
      <c r="F77" s="34">
        <f t="shared" si="22"/>
        <v>162385.16884535737</v>
      </c>
      <c r="G77" s="34">
        <f t="shared" si="22"/>
        <v>173872.09854847938</v>
      </c>
      <c r="H77" s="34">
        <f t="shared" si="22"/>
        <v>185873.21046236344</v>
      </c>
      <c r="I77" s="34">
        <f t="shared" si="22"/>
        <v>198430.07667880133</v>
      </c>
    </row>
    <row r="78" spans="1:9" x14ac:dyDescent="0.2">
      <c r="A78" s="23" t="s">
        <v>88</v>
      </c>
      <c r="B78" s="23"/>
      <c r="C78" s="35">
        <f>C76+C77</f>
        <v>846148</v>
      </c>
      <c r="D78" s="35">
        <f>D76+D77</f>
        <v>840200</v>
      </c>
      <c r="E78" s="35">
        <f t="shared" ref="E78:I78" si="23">E76+E77</f>
        <v>395194.4538590163</v>
      </c>
      <c r="F78" s="35">
        <f t="shared" si="23"/>
        <v>423943.2868298348</v>
      </c>
      <c r="G78" s="35">
        <f t="shared" si="23"/>
        <v>453932.5202589184</v>
      </c>
      <c r="H78" s="35">
        <f t="shared" si="23"/>
        <v>485264.14288530312</v>
      </c>
      <c r="I78" s="35">
        <f t="shared" si="23"/>
        <v>518046.68807666376</v>
      </c>
    </row>
    <row r="79" spans="1:9" x14ac:dyDescent="0.2">
      <c r="A79" s="17" t="s">
        <v>89</v>
      </c>
      <c r="B79" s="17"/>
      <c r="C79" s="30">
        <f>-'Cuentas PyG'!C21</f>
        <v>13736554</v>
      </c>
      <c r="D79" s="30">
        <f>-'Cuentas PyG'!D21</f>
        <v>14938000</v>
      </c>
      <c r="E79" s="30">
        <f>-'Cuentas PyG'!E21</f>
        <v>14938000</v>
      </c>
      <c r="F79" s="30">
        <f>-'Cuentas PyG'!F21</f>
        <v>15182508.563276423</v>
      </c>
      <c r="G79" s="30">
        <f>-'Cuentas PyG'!G21</f>
        <v>15444804.157157475</v>
      </c>
      <c r="H79" s="30">
        <f>-'Cuentas PyG'!H21</f>
        <v>15725654.22291409</v>
      </c>
      <c r="I79" s="30">
        <f>-'Cuentas PyG'!I21</f>
        <v>16025889.302702883</v>
      </c>
    </row>
    <row r="80" spans="1:9" x14ac:dyDescent="0.2">
      <c r="A80" s="31" t="s">
        <v>90</v>
      </c>
      <c r="B80" s="31"/>
      <c r="C80" s="32">
        <f>C78+C79</f>
        <v>14582702</v>
      </c>
      <c r="D80" s="32">
        <f t="shared" ref="D80:I80" si="24">D78+D79</f>
        <v>15778200</v>
      </c>
      <c r="E80" s="32">
        <f t="shared" si="24"/>
        <v>15333194.453859016</v>
      </c>
      <c r="F80" s="32">
        <f t="shared" si="24"/>
        <v>15606451.850106258</v>
      </c>
      <c r="G80" s="32">
        <f t="shared" si="24"/>
        <v>15898736.677416394</v>
      </c>
      <c r="H80" s="32">
        <f t="shared" si="24"/>
        <v>16210918.365799394</v>
      </c>
      <c r="I80" s="32">
        <f t="shared" si="24"/>
        <v>16543935.990779547</v>
      </c>
    </row>
    <row r="82" spans="1:12" x14ac:dyDescent="0.2">
      <c r="A82" s="28" t="s">
        <v>91</v>
      </c>
    </row>
    <row r="84" spans="1:12" x14ac:dyDescent="0.2">
      <c r="A84" s="3" t="s">
        <v>1</v>
      </c>
      <c r="B84" s="40" t="s">
        <v>145</v>
      </c>
      <c r="C84" s="40" t="s">
        <v>146</v>
      </c>
      <c r="D84" s="40" t="s">
        <v>147</v>
      </c>
      <c r="E84" s="41" t="s">
        <v>148</v>
      </c>
      <c r="F84" s="41" t="s">
        <v>149</v>
      </c>
      <c r="G84" s="41" t="s">
        <v>150</v>
      </c>
      <c r="H84" s="41" t="s">
        <v>151</v>
      </c>
      <c r="I84" s="41" t="s">
        <v>152</v>
      </c>
      <c r="L84" s="2">
        <f>(1-K75)*L85</f>
        <v>0</v>
      </c>
    </row>
    <row r="85" spans="1:12" x14ac:dyDescent="0.2">
      <c r="A85" s="7" t="s">
        <v>92</v>
      </c>
      <c r="B85" s="36"/>
      <c r="C85" s="36"/>
      <c r="D85" s="36">
        <f>Hipótesis!D36</f>
        <v>0.34399222290821213</v>
      </c>
      <c r="E85" s="36">
        <f>Hipótesis!E36</f>
        <v>0.34399222290821213</v>
      </c>
      <c r="F85" s="36">
        <f>Hipótesis!F36</f>
        <v>0.34399222290821213</v>
      </c>
      <c r="G85" s="36">
        <f>Hipótesis!G36</f>
        <v>0.34399222290821213</v>
      </c>
      <c r="H85" s="36">
        <f>Hipótesis!H36</f>
        <v>0.34399222290821213</v>
      </c>
      <c r="I85" s="36">
        <f>Hipótesis!I36</f>
        <v>0.34399222290821213</v>
      </c>
    </row>
    <row r="86" spans="1:12" x14ac:dyDescent="0.2">
      <c r="A86" s="7" t="s">
        <v>93</v>
      </c>
      <c r="B86" s="7"/>
      <c r="C86" s="29"/>
      <c r="D86" s="29"/>
      <c r="E86" s="29">
        <f>E36-D36</f>
        <v>418503.50197825581</v>
      </c>
      <c r="F86" s="29">
        <f t="shared" ref="F86:I86" si="25">F36-E36</f>
        <v>540225.94858788699</v>
      </c>
      <c r="G86" s="29">
        <f t="shared" si="25"/>
        <v>669279.21722538769</v>
      </c>
      <c r="H86" s="29">
        <f t="shared" si="25"/>
        <v>805975.79421313107</v>
      </c>
      <c r="I86" s="29">
        <f t="shared" si="25"/>
        <v>950657.82358040661</v>
      </c>
    </row>
    <row r="87" spans="1:12" x14ac:dyDescent="0.2">
      <c r="A87" s="3" t="s">
        <v>94</v>
      </c>
      <c r="B87" s="3"/>
      <c r="C87" s="3"/>
      <c r="D87" s="3"/>
      <c r="E87" s="37">
        <f>(1-E85)*E86</f>
        <v>274541.55203788419</v>
      </c>
      <c r="F87" s="37">
        <f t="shared" ref="F87:I87" si="26">(1-F85)*F86</f>
        <v>354392.42366044217</v>
      </c>
      <c r="G87" s="37">
        <f t="shared" si="26"/>
        <v>439052.37154575839</v>
      </c>
      <c r="H87" s="37">
        <f t="shared" si="26"/>
        <v>528726.38915154431</v>
      </c>
      <c r="I87" s="37">
        <f t="shared" si="26"/>
        <v>623638.92562189954</v>
      </c>
    </row>
  </sheetData>
  <pageMargins left="0.75" right="0.75" top="1" bottom="1" header="0" footer="0"/>
  <pageSetup paperSize="9" orientation="portrait"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E8B3-545E-4EBF-B3E9-05553F0C2C9E}">
  <dimension ref="A1:M33"/>
  <sheetViews>
    <sheetView workbookViewId="0">
      <selection activeCell="E5" sqref="E5"/>
    </sheetView>
  </sheetViews>
  <sheetFormatPr defaultColWidth="11.42578125" defaultRowHeight="12.75" x14ac:dyDescent="0.2"/>
  <cols>
    <col min="1" max="1" width="38.85546875" style="2" customWidth="1"/>
    <col min="2" max="256" width="11.42578125" style="2"/>
    <col min="257" max="257" width="38.85546875" style="2" customWidth="1"/>
    <col min="258" max="512" width="11.42578125" style="2"/>
    <col min="513" max="513" width="38.85546875" style="2" customWidth="1"/>
    <col min="514" max="768" width="11.42578125" style="2"/>
    <col min="769" max="769" width="38.85546875" style="2" customWidth="1"/>
    <col min="770" max="1024" width="11.42578125" style="2"/>
    <col min="1025" max="1025" width="38.85546875" style="2" customWidth="1"/>
    <col min="1026" max="1280" width="11.42578125" style="2"/>
    <col min="1281" max="1281" width="38.85546875" style="2" customWidth="1"/>
    <col min="1282" max="1536" width="11.42578125" style="2"/>
    <col min="1537" max="1537" width="38.85546875" style="2" customWidth="1"/>
    <col min="1538" max="1792" width="11.42578125" style="2"/>
    <col min="1793" max="1793" width="38.85546875" style="2" customWidth="1"/>
    <col min="1794" max="2048" width="11.42578125" style="2"/>
    <col min="2049" max="2049" width="38.85546875" style="2" customWidth="1"/>
    <col min="2050" max="2304" width="11.42578125" style="2"/>
    <col min="2305" max="2305" width="38.85546875" style="2" customWidth="1"/>
    <col min="2306" max="2560" width="11.42578125" style="2"/>
    <col min="2561" max="2561" width="38.85546875" style="2" customWidth="1"/>
    <col min="2562" max="2816" width="11.42578125" style="2"/>
    <col min="2817" max="2817" width="38.85546875" style="2" customWidth="1"/>
    <col min="2818" max="3072" width="11.42578125" style="2"/>
    <col min="3073" max="3073" width="38.85546875" style="2" customWidth="1"/>
    <col min="3074" max="3328" width="11.42578125" style="2"/>
    <col min="3329" max="3329" width="38.85546875" style="2" customWidth="1"/>
    <col min="3330" max="3584" width="11.42578125" style="2"/>
    <col min="3585" max="3585" width="38.85546875" style="2" customWidth="1"/>
    <col min="3586" max="3840" width="11.42578125" style="2"/>
    <col min="3841" max="3841" width="38.85546875" style="2" customWidth="1"/>
    <col min="3842" max="4096" width="11.42578125" style="2"/>
    <col min="4097" max="4097" width="38.85546875" style="2" customWidth="1"/>
    <col min="4098" max="4352" width="11.42578125" style="2"/>
    <col min="4353" max="4353" width="38.85546875" style="2" customWidth="1"/>
    <col min="4354" max="4608" width="11.42578125" style="2"/>
    <col min="4609" max="4609" width="38.85546875" style="2" customWidth="1"/>
    <col min="4610" max="4864" width="11.42578125" style="2"/>
    <col min="4865" max="4865" width="38.85546875" style="2" customWidth="1"/>
    <col min="4866" max="5120" width="11.42578125" style="2"/>
    <col min="5121" max="5121" width="38.85546875" style="2" customWidth="1"/>
    <col min="5122" max="5376" width="11.42578125" style="2"/>
    <col min="5377" max="5377" width="38.85546875" style="2" customWidth="1"/>
    <col min="5378" max="5632" width="11.42578125" style="2"/>
    <col min="5633" max="5633" width="38.85546875" style="2" customWidth="1"/>
    <col min="5634" max="5888" width="11.42578125" style="2"/>
    <col min="5889" max="5889" width="38.85546875" style="2" customWidth="1"/>
    <col min="5890" max="6144" width="11.42578125" style="2"/>
    <col min="6145" max="6145" width="38.85546875" style="2" customWidth="1"/>
    <col min="6146" max="6400" width="11.42578125" style="2"/>
    <col min="6401" max="6401" width="38.85546875" style="2" customWidth="1"/>
    <col min="6402" max="6656" width="11.42578125" style="2"/>
    <col min="6657" max="6657" width="38.85546875" style="2" customWidth="1"/>
    <col min="6658" max="6912" width="11.42578125" style="2"/>
    <col min="6913" max="6913" width="38.85546875" style="2" customWidth="1"/>
    <col min="6914" max="7168" width="11.42578125" style="2"/>
    <col min="7169" max="7169" width="38.85546875" style="2" customWidth="1"/>
    <col min="7170" max="7424" width="11.42578125" style="2"/>
    <col min="7425" max="7425" width="38.85546875" style="2" customWidth="1"/>
    <col min="7426" max="7680" width="11.42578125" style="2"/>
    <col min="7681" max="7681" width="38.85546875" style="2" customWidth="1"/>
    <col min="7682" max="7936" width="11.42578125" style="2"/>
    <col min="7937" max="7937" width="38.85546875" style="2" customWidth="1"/>
    <col min="7938" max="8192" width="11.42578125" style="2"/>
    <col min="8193" max="8193" width="38.85546875" style="2" customWidth="1"/>
    <col min="8194" max="8448" width="11.42578125" style="2"/>
    <col min="8449" max="8449" width="38.85546875" style="2" customWidth="1"/>
    <col min="8450" max="8704" width="11.42578125" style="2"/>
    <col min="8705" max="8705" width="38.85546875" style="2" customWidth="1"/>
    <col min="8706" max="8960" width="11.42578125" style="2"/>
    <col min="8961" max="8961" width="38.85546875" style="2" customWidth="1"/>
    <col min="8962" max="9216" width="11.42578125" style="2"/>
    <col min="9217" max="9217" width="38.85546875" style="2" customWidth="1"/>
    <col min="9218" max="9472" width="11.42578125" style="2"/>
    <col min="9473" max="9473" width="38.85546875" style="2" customWidth="1"/>
    <col min="9474" max="9728" width="11.42578125" style="2"/>
    <col min="9729" max="9729" width="38.85546875" style="2" customWidth="1"/>
    <col min="9730" max="9984" width="11.42578125" style="2"/>
    <col min="9985" max="9985" width="38.85546875" style="2" customWidth="1"/>
    <col min="9986" max="10240" width="11.42578125" style="2"/>
    <col min="10241" max="10241" width="38.85546875" style="2" customWidth="1"/>
    <col min="10242" max="10496" width="11.42578125" style="2"/>
    <col min="10497" max="10497" width="38.85546875" style="2" customWidth="1"/>
    <col min="10498" max="10752" width="11.42578125" style="2"/>
    <col min="10753" max="10753" width="38.85546875" style="2" customWidth="1"/>
    <col min="10754" max="11008" width="11.42578125" style="2"/>
    <col min="11009" max="11009" width="38.85546875" style="2" customWidth="1"/>
    <col min="11010" max="11264" width="11.42578125" style="2"/>
    <col min="11265" max="11265" width="38.85546875" style="2" customWidth="1"/>
    <col min="11266" max="11520" width="11.42578125" style="2"/>
    <col min="11521" max="11521" width="38.85546875" style="2" customWidth="1"/>
    <col min="11522" max="11776" width="11.42578125" style="2"/>
    <col min="11777" max="11777" width="38.85546875" style="2" customWidth="1"/>
    <col min="11778" max="12032" width="11.42578125" style="2"/>
    <col min="12033" max="12033" width="38.85546875" style="2" customWidth="1"/>
    <col min="12034" max="12288" width="11.42578125" style="2"/>
    <col min="12289" max="12289" width="38.85546875" style="2" customWidth="1"/>
    <col min="12290" max="12544" width="11.42578125" style="2"/>
    <col min="12545" max="12545" width="38.85546875" style="2" customWidth="1"/>
    <col min="12546" max="12800" width="11.42578125" style="2"/>
    <col min="12801" max="12801" width="38.85546875" style="2" customWidth="1"/>
    <col min="12802" max="13056" width="11.42578125" style="2"/>
    <col min="13057" max="13057" width="38.85546875" style="2" customWidth="1"/>
    <col min="13058" max="13312" width="11.42578125" style="2"/>
    <col min="13313" max="13313" width="38.85546875" style="2" customWidth="1"/>
    <col min="13314" max="13568" width="11.42578125" style="2"/>
    <col min="13569" max="13569" width="38.85546875" style="2" customWidth="1"/>
    <col min="13570" max="13824" width="11.42578125" style="2"/>
    <col min="13825" max="13825" width="38.85546875" style="2" customWidth="1"/>
    <col min="13826" max="14080" width="11.42578125" style="2"/>
    <col min="14081" max="14081" width="38.85546875" style="2" customWidth="1"/>
    <col min="14082" max="14336" width="11.42578125" style="2"/>
    <col min="14337" max="14337" width="38.85546875" style="2" customWidth="1"/>
    <col min="14338" max="14592" width="11.42578125" style="2"/>
    <col min="14593" max="14593" width="38.85546875" style="2" customWidth="1"/>
    <col min="14594" max="14848" width="11.42578125" style="2"/>
    <col min="14849" max="14849" width="38.85546875" style="2" customWidth="1"/>
    <col min="14850" max="15104" width="11.42578125" style="2"/>
    <col min="15105" max="15105" width="38.85546875" style="2" customWidth="1"/>
    <col min="15106" max="15360" width="11.42578125" style="2"/>
    <col min="15361" max="15361" width="38.85546875" style="2" customWidth="1"/>
    <col min="15362" max="15616" width="11.42578125" style="2"/>
    <col min="15617" max="15617" width="38.85546875" style="2" customWidth="1"/>
    <col min="15618" max="15872" width="11.42578125" style="2"/>
    <col min="15873" max="15873" width="38.85546875" style="2" customWidth="1"/>
    <col min="15874" max="16128" width="11.42578125" style="2"/>
    <col min="16129" max="16129" width="38.85546875" style="2" customWidth="1"/>
    <col min="16130" max="16384" width="11.42578125" style="2"/>
  </cols>
  <sheetData>
    <row r="1" spans="1:13" x14ac:dyDescent="0.2">
      <c r="A1" s="1" t="s">
        <v>95</v>
      </c>
      <c r="B1" s="1"/>
      <c r="C1" s="1"/>
      <c r="D1" s="1"/>
      <c r="E1" s="1"/>
      <c r="F1" s="1"/>
      <c r="G1" s="1"/>
      <c r="H1" s="1"/>
      <c r="I1" s="1"/>
    </row>
    <row r="3" spans="1:13" x14ac:dyDescent="0.2">
      <c r="A3" s="3" t="s">
        <v>1</v>
      </c>
      <c r="B3" s="40" t="s">
        <v>145</v>
      </c>
      <c r="C3" s="40" t="s">
        <v>146</v>
      </c>
      <c r="D3" s="40" t="s">
        <v>147</v>
      </c>
      <c r="E3" s="41" t="s">
        <v>148</v>
      </c>
      <c r="F3" s="41" t="s">
        <v>149</v>
      </c>
      <c r="G3" s="41" t="s">
        <v>150</v>
      </c>
      <c r="H3" s="41" t="s">
        <v>151</v>
      </c>
      <c r="I3" s="41" t="s">
        <v>152</v>
      </c>
    </row>
    <row r="4" spans="1:13" x14ac:dyDescent="0.2">
      <c r="A4" s="7" t="s">
        <v>96</v>
      </c>
      <c r="B4" s="25">
        <v>92583008</v>
      </c>
      <c r="C4" s="25">
        <v>70978650</v>
      </c>
      <c r="D4" s="25">
        <v>72076000</v>
      </c>
      <c r="E4" s="25">
        <f>D4*(1+Hipótesis!E4)</f>
        <v>73255756.273042679</v>
      </c>
      <c r="F4" s="25">
        <f>E4*(1+Hipótesis!F4)</f>
        <v>74521335.147361234</v>
      </c>
      <c r="G4" s="25">
        <f>F4*(1+Hipótesis!G4)</f>
        <v>75876439.534794211</v>
      </c>
      <c r="H4" s="25">
        <f>G4*(1+Hipótesis!H4)</f>
        <v>77325076.809587166</v>
      </c>
      <c r="I4" s="25">
        <f>H4*(1+Hipótesis!I4)</f>
        <v>78871578.345778912</v>
      </c>
    </row>
    <row r="5" spans="1:13" x14ac:dyDescent="0.2">
      <c r="A5" s="7" t="s">
        <v>97</v>
      </c>
      <c r="B5" s="25">
        <v>3646930</v>
      </c>
      <c r="C5" s="25">
        <v>-1843676</v>
      </c>
      <c r="D5" s="25">
        <v>-2354000</v>
      </c>
      <c r="E5" s="25">
        <v>-2354000</v>
      </c>
      <c r="F5" s="25">
        <v>-2354000</v>
      </c>
      <c r="G5" s="25">
        <v>-2354000</v>
      </c>
      <c r="H5" s="25">
        <v>-2354000</v>
      </c>
      <c r="I5" s="25">
        <v>-2354000</v>
      </c>
      <c r="K5" s="48"/>
      <c r="L5" s="48"/>
      <c r="M5" s="48"/>
    </row>
    <row r="6" spans="1:13" x14ac:dyDescent="0.2">
      <c r="A6" s="7" t="s">
        <v>98</v>
      </c>
      <c r="B6" s="25">
        <v>10591348</v>
      </c>
      <c r="C6" s="25">
        <v>12903110</v>
      </c>
      <c r="D6" s="25">
        <v>12942000</v>
      </c>
      <c r="E6" s="25">
        <f>E4*Hipótesis!E6</f>
        <v>13153837.58374103</v>
      </c>
      <c r="F6" s="25">
        <f>F4*Hipótesis!F6</f>
        <v>13381085.513584955</v>
      </c>
      <c r="G6" s="25">
        <f>G4*Hipótesis!G6</f>
        <v>13624408.686099488</v>
      </c>
      <c r="H6" s="25">
        <f>H4*Hipótesis!H6</f>
        <v>13884526.667263405</v>
      </c>
      <c r="I6" s="25">
        <f>I4*Hipótesis!I6</f>
        <v>14162217.200608673</v>
      </c>
    </row>
    <row r="7" spans="1:13" x14ac:dyDescent="0.2">
      <c r="A7" s="7" t="s">
        <v>99</v>
      </c>
      <c r="B7" s="25">
        <f t="shared" ref="B7:I7" si="0">SUM(B8:B10)</f>
        <v>-48967134</v>
      </c>
      <c r="C7" s="25">
        <f t="shared" si="0"/>
        <v>-25126898</v>
      </c>
      <c r="D7" s="25">
        <f t="shared" si="0"/>
        <v>-24022000</v>
      </c>
      <c r="E7" s="25">
        <f t="shared" si="0"/>
        <v>-26723431.969748653</v>
      </c>
      <c r="F7" s="25">
        <f t="shared" si="0"/>
        <v>-27096138.240716599</v>
      </c>
      <c r="G7" s="25">
        <f t="shared" si="0"/>
        <v>-27495209.300814997</v>
      </c>
      <c r="H7" s="25">
        <f t="shared" si="0"/>
        <v>-27921825.300520245</v>
      </c>
      <c r="I7" s="25">
        <f t="shared" si="0"/>
        <v>-28377261.806530651</v>
      </c>
    </row>
    <row r="8" spans="1:13" x14ac:dyDescent="0.2">
      <c r="A8" s="7" t="s">
        <v>100</v>
      </c>
      <c r="B8" s="25">
        <v>-41895348</v>
      </c>
      <c r="C8" s="25">
        <v>-21301868</v>
      </c>
      <c r="D8" s="25">
        <v>-18872000</v>
      </c>
      <c r="E8" s="25">
        <f>-E4*Hipótesis!E5</f>
        <v>-21573431.969748653</v>
      </c>
      <c r="F8" s="25">
        <f>-F4*Hipótesis!F5</f>
        <v>-21946138.240716599</v>
      </c>
      <c r="G8" s="25">
        <f>-G4*Hipótesis!G5</f>
        <v>-22345209.300814997</v>
      </c>
      <c r="H8" s="25">
        <f>-H4*Hipótesis!H5</f>
        <v>-22771825.300520245</v>
      </c>
      <c r="I8" s="25">
        <f>-I4*Hipótesis!I5</f>
        <v>-23227261.806530651</v>
      </c>
    </row>
    <row r="9" spans="1:13" x14ac:dyDescent="0.2">
      <c r="A9" s="7" t="s">
        <v>101</v>
      </c>
      <c r="B9" s="25">
        <v>-6390862</v>
      </c>
      <c r="C9" s="25">
        <v>-3540330</v>
      </c>
      <c r="D9" s="25">
        <v>-4862000</v>
      </c>
      <c r="E9" s="25">
        <v>-4862000</v>
      </c>
      <c r="F9" s="25">
        <v>-4862000</v>
      </c>
      <c r="G9" s="25">
        <v>-4862000</v>
      </c>
      <c r="H9" s="25">
        <v>-4862000</v>
      </c>
      <c r="I9" s="25">
        <v>-4862000</v>
      </c>
      <c r="K9" s="48"/>
      <c r="L9" s="48"/>
      <c r="M9" s="48"/>
    </row>
    <row r="10" spans="1:13" x14ac:dyDescent="0.2">
      <c r="A10" s="7" t="s">
        <v>102</v>
      </c>
      <c r="B10" s="25">
        <v>-680924</v>
      </c>
      <c r="C10" s="25">
        <v>-284700</v>
      </c>
      <c r="D10" s="25">
        <v>-288000</v>
      </c>
      <c r="E10" s="25">
        <v>-288000</v>
      </c>
      <c r="F10" s="25">
        <v>-288000</v>
      </c>
      <c r="G10" s="25">
        <v>-288000</v>
      </c>
      <c r="H10" s="25">
        <v>-288000</v>
      </c>
      <c r="I10" s="25">
        <v>-288000</v>
      </c>
    </row>
    <row r="11" spans="1:13" x14ac:dyDescent="0.2">
      <c r="A11" s="7" t="s">
        <v>103</v>
      </c>
      <c r="B11" s="25">
        <f t="shared" ref="B11:I11" si="1">SUM(B12:B13)</f>
        <v>406658</v>
      </c>
      <c r="C11" s="25">
        <f t="shared" si="1"/>
        <v>2628682</v>
      </c>
      <c r="D11" s="25">
        <f t="shared" si="1"/>
        <v>426000</v>
      </c>
      <c r="E11" s="25">
        <f t="shared" si="1"/>
        <v>13800</v>
      </c>
      <c r="F11" s="25">
        <f t="shared" si="1"/>
        <v>12420</v>
      </c>
      <c r="G11" s="25">
        <f t="shared" si="1"/>
        <v>11178</v>
      </c>
      <c r="H11" s="25">
        <f t="shared" si="1"/>
        <v>10060.200000000001</v>
      </c>
      <c r="I11" s="25">
        <f t="shared" si="1"/>
        <v>9054.18</v>
      </c>
    </row>
    <row r="12" spans="1:13" x14ac:dyDescent="0.2">
      <c r="A12" s="7" t="s">
        <v>104</v>
      </c>
      <c r="B12" s="25">
        <v>218086</v>
      </c>
      <c r="C12" s="25">
        <v>2360100</v>
      </c>
      <c r="D12" s="25">
        <v>288000</v>
      </c>
      <c r="E12" s="25"/>
      <c r="F12" s="25"/>
      <c r="G12" s="25"/>
      <c r="H12" s="25"/>
      <c r="I12" s="25"/>
    </row>
    <row r="13" spans="1:13" x14ac:dyDescent="0.2">
      <c r="A13" s="7" t="s">
        <v>105</v>
      </c>
      <c r="B13" s="25">
        <v>188572</v>
      </c>
      <c r="C13" s="25">
        <v>268582</v>
      </c>
      <c r="D13" s="25">
        <v>138000</v>
      </c>
      <c r="E13" s="25">
        <f>D13*10%</f>
        <v>13800</v>
      </c>
      <c r="F13" s="25">
        <f>($D$13-E13)*10%</f>
        <v>12420</v>
      </c>
      <c r="G13" s="25">
        <f>($D$13-(F13+E13))*10%</f>
        <v>11178</v>
      </c>
      <c r="H13" s="25">
        <f>($D$13-(G13+F13+E13))*10%</f>
        <v>10060.200000000001</v>
      </c>
      <c r="I13" s="25">
        <f>($D$13-(E13+H13+G13+F13))*10%</f>
        <v>9054.18</v>
      </c>
    </row>
    <row r="14" spans="1:13" x14ac:dyDescent="0.2">
      <c r="A14" s="7" t="s">
        <v>106</v>
      </c>
      <c r="B14" s="25">
        <f>SUM(B15:B16)</f>
        <v>-20344518</v>
      </c>
      <c r="C14" s="25">
        <f>SUM(C15:C16)</f>
        <v>-21613110</v>
      </c>
      <c r="D14" s="25">
        <f>SUM(D15:D16)</f>
        <v>-22072000</v>
      </c>
      <c r="E14" s="25">
        <f>-E4*Hipótesis!E9</f>
        <v>-22433279.489130892</v>
      </c>
      <c r="F14" s="25">
        <f>-F4*Hipótesis!F9</f>
        <v>-22820840.631729804</v>
      </c>
      <c r="G14" s="25">
        <f>-G4*Hipótesis!G9</f>
        <v>-23235817.379044037</v>
      </c>
      <c r="H14" s="25">
        <f>-H4*Hipótesis!H9</f>
        <v>-23679436.918547202</v>
      </c>
      <c r="I14" s="25">
        <f>-I4*Hipótesis!I9</f>
        <v>-24153025.656918146</v>
      </c>
      <c r="K14" s="47"/>
      <c r="L14" s="47"/>
      <c r="M14" s="47"/>
    </row>
    <row r="15" spans="1:13" x14ac:dyDescent="0.2">
      <c r="A15" s="7" t="s">
        <v>107</v>
      </c>
      <c r="B15" s="25">
        <v>-15691594</v>
      </c>
      <c r="C15" s="25">
        <v>-16719588</v>
      </c>
      <c r="D15" s="25">
        <v>-17102000</v>
      </c>
      <c r="E15" s="25"/>
      <c r="F15" s="25"/>
      <c r="G15" s="25"/>
      <c r="H15" s="25"/>
      <c r="I15" s="25"/>
      <c r="K15" s="47"/>
    </row>
    <row r="16" spans="1:13" x14ac:dyDescent="0.2">
      <c r="A16" s="7" t="s">
        <v>108</v>
      </c>
      <c r="B16" s="25">
        <v>-4652924</v>
      </c>
      <c r="C16" s="25">
        <v>-4893522</v>
      </c>
      <c r="D16" s="25">
        <v>-4970000</v>
      </c>
      <c r="E16" s="25"/>
      <c r="F16" s="25"/>
      <c r="G16" s="25"/>
      <c r="H16" s="25"/>
      <c r="I16" s="25"/>
    </row>
    <row r="17" spans="1:9" x14ac:dyDescent="0.2">
      <c r="A17" s="7" t="s">
        <v>109</v>
      </c>
      <c r="B17" s="25">
        <f t="shared" ref="B17:D17" si="2">SUM(B18:B20)</f>
        <v>-19189890</v>
      </c>
      <c r="C17" s="25">
        <f t="shared" si="2"/>
        <v>-18728102</v>
      </c>
      <c r="D17" s="25">
        <f t="shared" si="2"/>
        <v>-18098000</v>
      </c>
      <c r="E17" s="25">
        <f>-E4*Hipótesis!E10</f>
        <v>-18394232.158132061</v>
      </c>
      <c r="F17" s="25">
        <f>-F4*Hipótesis!F10</f>
        <v>-18712014.033755254</v>
      </c>
      <c r="G17" s="25">
        <f>-G4*Hipótesis!G10</f>
        <v>-19052275.413462259</v>
      </c>
      <c r="H17" s="25">
        <f>-H4*Hipótesis!H10</f>
        <v>-19416022.533158176</v>
      </c>
      <c r="I17" s="25">
        <f>-I4*Hipótesis!I10</f>
        <v>-19804342.98382134</v>
      </c>
    </row>
    <row r="18" spans="1:9" x14ac:dyDescent="0.2">
      <c r="A18" s="7" t="s">
        <v>110</v>
      </c>
      <c r="B18" s="25">
        <v>-15508874</v>
      </c>
      <c r="C18" s="25">
        <v>-18688772</v>
      </c>
      <c r="D18" s="25">
        <v>-17304000</v>
      </c>
      <c r="E18" s="25"/>
      <c r="F18" s="25"/>
      <c r="G18" s="25"/>
      <c r="H18" s="25"/>
      <c r="I18" s="25"/>
    </row>
    <row r="19" spans="1:9" x14ac:dyDescent="0.2">
      <c r="A19" s="7" t="s">
        <v>111</v>
      </c>
      <c r="B19" s="25">
        <v>-56920</v>
      </c>
      <c r="C19" s="25">
        <v>-60148</v>
      </c>
      <c r="D19" s="25">
        <v>-58000</v>
      </c>
      <c r="E19" s="25"/>
      <c r="F19" s="25"/>
      <c r="G19" s="25"/>
      <c r="H19" s="25"/>
      <c r="I19" s="25"/>
    </row>
    <row r="20" spans="1:9" x14ac:dyDescent="0.2">
      <c r="A20" s="7" t="s">
        <v>112</v>
      </c>
      <c r="B20" s="25">
        <v>-3624096</v>
      </c>
      <c r="C20" s="25">
        <v>20818</v>
      </c>
      <c r="D20" s="25">
        <v>-736000</v>
      </c>
      <c r="E20" s="25"/>
      <c r="F20" s="25"/>
      <c r="G20" s="25"/>
      <c r="H20" s="25"/>
      <c r="I20" s="25"/>
    </row>
    <row r="21" spans="1:9" x14ac:dyDescent="0.2">
      <c r="A21" s="7" t="s">
        <v>113</v>
      </c>
      <c r="B21" s="25">
        <v>-13179260</v>
      </c>
      <c r="C21" s="25">
        <v>-13736554</v>
      </c>
      <c r="D21" s="25">
        <v>-14938000</v>
      </c>
      <c r="E21" s="25">
        <f>-(Balances!D5+Balances!D9)*-Hipótesis!E11</f>
        <v>-14938000</v>
      </c>
      <c r="F21" s="25">
        <f>-(Balances!E5+Balances!E9)*-Hipótesis!F11</f>
        <v>-15182508.563276423</v>
      </c>
      <c r="G21" s="25">
        <f>-(Balances!F5+Balances!F9)*-Hipótesis!G11</f>
        <v>-15444804.157157475</v>
      </c>
      <c r="H21" s="25">
        <f>-(Balances!G5+Balances!G9)*-Hipótesis!H11</f>
        <v>-15725654.22291409</v>
      </c>
      <c r="I21" s="25">
        <f>-(Balances!H5+Balances!H9)*-Hipótesis!I11</f>
        <v>-16025889.302702883</v>
      </c>
    </row>
    <row r="22" spans="1:9" x14ac:dyDescent="0.2">
      <c r="A22" s="7" t="s">
        <v>114</v>
      </c>
      <c r="B22" s="25">
        <v>35326</v>
      </c>
      <c r="C22" s="25">
        <v>62852</v>
      </c>
      <c r="D22" s="25">
        <v>53235</v>
      </c>
      <c r="E22" s="25">
        <f>Balances!$D$45*Hipótesis!E12</f>
        <v>53235</v>
      </c>
      <c r="F22" s="25">
        <f>Balances!$D$45*Hipótesis!F12</f>
        <v>53235</v>
      </c>
      <c r="G22" s="25">
        <f>Balances!$D$45*Hipótesis!G12</f>
        <v>53235</v>
      </c>
      <c r="H22" s="25">
        <f>Balances!$D$45*Hipótesis!H12</f>
        <v>53235</v>
      </c>
      <c r="I22" s="25">
        <f>Balances!$D$45*Hipótesis!I12</f>
        <v>53235</v>
      </c>
    </row>
    <row r="23" spans="1:9" x14ac:dyDescent="0.2">
      <c r="A23" s="7" t="s">
        <v>115</v>
      </c>
      <c r="B23" s="25">
        <v>-314</v>
      </c>
      <c r="C23" s="25">
        <v>-52466</v>
      </c>
      <c r="D23" s="25">
        <v>-6000</v>
      </c>
      <c r="E23" s="25"/>
      <c r="F23" s="25"/>
      <c r="G23" s="25"/>
      <c r="H23" s="25"/>
      <c r="I23" s="25"/>
    </row>
    <row r="24" spans="1:9" x14ac:dyDescent="0.2">
      <c r="A24" s="3" t="s">
        <v>116</v>
      </c>
      <c r="B24" s="22">
        <f t="shared" ref="B24:I24" si="3">B4+B5+B6+B7+B11+B14+B17+B21+B22+B23</f>
        <v>5582154</v>
      </c>
      <c r="C24" s="22">
        <f t="shared" si="3"/>
        <v>5472488</v>
      </c>
      <c r="D24" s="22">
        <f t="shared" si="3"/>
        <v>4007235</v>
      </c>
      <c r="E24" s="22">
        <f>E4+E5+E6+E7+E11+E14+E17+E21+E22+E23</f>
        <v>1633685.2397720963</v>
      </c>
      <c r="F24" s="22">
        <f t="shared" si="3"/>
        <v>1802574.1914681103</v>
      </c>
      <c r="G24" s="22">
        <f t="shared" si="3"/>
        <v>1983154.9704149198</v>
      </c>
      <c r="H24" s="22">
        <f t="shared" si="3"/>
        <v>2175959.7017108668</v>
      </c>
      <c r="I24" s="22">
        <f t="shared" si="3"/>
        <v>2381564.9764145594</v>
      </c>
    </row>
    <row r="25" spans="1:9" x14ac:dyDescent="0.2">
      <c r="A25" s="7" t="s">
        <v>117</v>
      </c>
      <c r="B25" s="25">
        <v>43812</v>
      </c>
      <c r="C25" s="25">
        <v>544428</v>
      </c>
      <c r="D25" s="25">
        <v>832000</v>
      </c>
      <c r="E25" s="25"/>
      <c r="F25" s="25"/>
      <c r="G25" s="25"/>
      <c r="H25" s="25"/>
      <c r="I25" s="25"/>
    </row>
    <row r="26" spans="1:9" x14ac:dyDescent="0.2">
      <c r="A26" s="7" t="s">
        <v>118</v>
      </c>
      <c r="B26" s="25">
        <v>-915068</v>
      </c>
      <c r="C26" s="25">
        <v>-1690748</v>
      </c>
      <c r="D26" s="25">
        <v>-962000</v>
      </c>
      <c r="E26" s="25">
        <f>-(Balances!D47+Balances!D50)*Hipótesis!E45</f>
        <v>-1004700.5704677596</v>
      </c>
      <c r="F26" s="25">
        <f>-(Balances!E47+Balances!E50)*Hipótesis!F45</f>
        <v>-1011292.9266842597</v>
      </c>
      <c r="G26" s="25">
        <f>-(Balances!F47+Balances!F50)*Hipótesis!G45</f>
        <v>-1019802.6807810677</v>
      </c>
      <c r="H26" s="25">
        <f>-(Balances!G47+Balances!G50)*Hipótesis!H45</f>
        <v>-1030345.3094266921</v>
      </c>
      <c r="I26" s="25">
        <f>-(Balances!H47+Balances!H50)*Hipótesis!I45</f>
        <v>-1043041.2116406847</v>
      </c>
    </row>
    <row r="27" spans="1:9" x14ac:dyDescent="0.2">
      <c r="A27" s="7" t="s">
        <v>119</v>
      </c>
      <c r="B27" s="25">
        <v>235282</v>
      </c>
      <c r="C27" s="25">
        <v>-134794</v>
      </c>
      <c r="D27" s="25">
        <v>-530000</v>
      </c>
      <c r="E27" s="25"/>
      <c r="F27" s="25"/>
      <c r="G27" s="25"/>
      <c r="H27" s="25"/>
      <c r="I27" s="25"/>
    </row>
    <row r="28" spans="1:9" x14ac:dyDescent="0.2">
      <c r="A28" s="7" t="s">
        <v>120</v>
      </c>
      <c r="B28" s="25">
        <v>-77572</v>
      </c>
      <c r="C28" s="25">
        <v>1056140</v>
      </c>
      <c r="D28" s="25">
        <v>-2014000</v>
      </c>
      <c r="E28" s="25"/>
      <c r="F28" s="25"/>
      <c r="G28" s="25"/>
      <c r="H28" s="25"/>
      <c r="I28" s="25"/>
    </row>
    <row r="29" spans="1:9" x14ac:dyDescent="0.2">
      <c r="A29" s="3" t="s">
        <v>121</v>
      </c>
      <c r="B29" s="22">
        <f t="shared" ref="B29:I29" si="4">SUM(B24:B28)</f>
        <v>4868608</v>
      </c>
      <c r="C29" s="22">
        <f t="shared" si="4"/>
        <v>5247514</v>
      </c>
      <c r="D29" s="22">
        <f t="shared" si="4"/>
        <v>1333235</v>
      </c>
      <c r="E29" s="22">
        <f t="shared" si="4"/>
        <v>628984.66930433665</v>
      </c>
      <c r="F29" s="22">
        <f t="shared" si="4"/>
        <v>791281.26478385064</v>
      </c>
      <c r="G29" s="22">
        <f t="shared" si="4"/>
        <v>963352.28963385208</v>
      </c>
      <c r="H29" s="22">
        <f t="shared" si="4"/>
        <v>1145614.3922841747</v>
      </c>
      <c r="I29" s="22">
        <f t="shared" si="4"/>
        <v>1338523.7647738745</v>
      </c>
    </row>
    <row r="30" spans="1:9" x14ac:dyDescent="0.2">
      <c r="A30" s="7" t="s">
        <v>122</v>
      </c>
      <c r="B30" s="25">
        <v>-865325</v>
      </c>
      <c r="C30" s="25">
        <v>-1707926</v>
      </c>
      <c r="D30" s="25">
        <v>-365320</v>
      </c>
      <c r="E30" s="25">
        <f>-E29*Hipótesis!$B$44</f>
        <v>-157246.16732608416</v>
      </c>
      <c r="F30" s="25">
        <f>-F29*Hipótesis!$B$44</f>
        <v>-197820.31619596266</v>
      </c>
      <c r="G30" s="25">
        <f>-G29*Hipótesis!$B$44</f>
        <v>-240838.07240846302</v>
      </c>
      <c r="H30" s="25">
        <f>-H29*Hipótesis!$B$44</f>
        <v>-286403.59807104367</v>
      </c>
      <c r="I30" s="25">
        <f>-I29*Hipótesis!$B$44</f>
        <v>-334630.94119346864</v>
      </c>
    </row>
    <row r="31" spans="1:9" x14ac:dyDescent="0.2">
      <c r="A31" s="3" t="s">
        <v>123</v>
      </c>
      <c r="B31" s="22">
        <f t="shared" ref="B31:I31" si="5">SUM(B29:B30)</f>
        <v>4003283</v>
      </c>
      <c r="C31" s="22">
        <f t="shared" si="5"/>
        <v>3539588</v>
      </c>
      <c r="D31" s="22">
        <f t="shared" si="5"/>
        <v>967915</v>
      </c>
      <c r="E31" s="22">
        <f t="shared" si="5"/>
        <v>471738.50197825249</v>
      </c>
      <c r="F31" s="22">
        <f t="shared" si="5"/>
        <v>593460.94858788792</v>
      </c>
      <c r="G31" s="22">
        <f t="shared" si="5"/>
        <v>722514.21722538909</v>
      </c>
      <c r="H31" s="22">
        <f t="shared" si="5"/>
        <v>859210.79421313107</v>
      </c>
      <c r="I31" s="22">
        <f t="shared" si="5"/>
        <v>1003892.8235804059</v>
      </c>
    </row>
    <row r="33" spans="5:9" x14ac:dyDescent="0.2">
      <c r="E33" s="27"/>
      <c r="F33" s="27"/>
      <c r="G33" s="27"/>
      <c r="H33" s="27"/>
      <c r="I33" s="27"/>
    </row>
  </sheetData>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983A-CB41-4F70-8681-599EF97BB6CE}">
  <dimension ref="A1:G32"/>
  <sheetViews>
    <sheetView topLeftCell="A2" workbookViewId="0">
      <selection activeCell="L26" sqref="L26"/>
    </sheetView>
  </sheetViews>
  <sheetFormatPr defaultColWidth="11.42578125" defaultRowHeight="12.75" x14ac:dyDescent="0.2"/>
  <cols>
    <col min="1" max="1" width="58.140625" style="2" bestFit="1" customWidth="1"/>
    <col min="2" max="6" width="14" style="2" customWidth="1"/>
    <col min="7" max="255" width="11.42578125" style="2"/>
    <col min="256" max="256" width="38.85546875" style="2" customWidth="1"/>
    <col min="257" max="262" width="11.7109375" style="2" customWidth="1"/>
    <col min="263" max="511" width="11.42578125" style="2"/>
    <col min="512" max="512" width="38.85546875" style="2" customWidth="1"/>
    <col min="513" max="518" width="11.7109375" style="2" customWidth="1"/>
    <col min="519" max="767" width="11.42578125" style="2"/>
    <col min="768" max="768" width="38.85546875" style="2" customWidth="1"/>
    <col min="769" max="774" width="11.7109375" style="2" customWidth="1"/>
    <col min="775" max="1023" width="11.42578125" style="2"/>
    <col min="1024" max="1024" width="38.85546875" style="2" customWidth="1"/>
    <col min="1025" max="1030" width="11.7109375" style="2" customWidth="1"/>
    <col min="1031" max="1279" width="11.42578125" style="2"/>
    <col min="1280" max="1280" width="38.85546875" style="2" customWidth="1"/>
    <col min="1281" max="1286" width="11.7109375" style="2" customWidth="1"/>
    <col min="1287" max="1535" width="11.42578125" style="2"/>
    <col min="1536" max="1536" width="38.85546875" style="2" customWidth="1"/>
    <col min="1537" max="1542" width="11.7109375" style="2" customWidth="1"/>
    <col min="1543" max="1791" width="11.42578125" style="2"/>
    <col min="1792" max="1792" width="38.85546875" style="2" customWidth="1"/>
    <col min="1793" max="1798" width="11.7109375" style="2" customWidth="1"/>
    <col min="1799" max="2047" width="11.42578125" style="2"/>
    <col min="2048" max="2048" width="38.85546875" style="2" customWidth="1"/>
    <col min="2049" max="2054" width="11.7109375" style="2" customWidth="1"/>
    <col min="2055" max="2303" width="11.42578125" style="2"/>
    <col min="2304" max="2304" width="38.85546875" style="2" customWidth="1"/>
    <col min="2305" max="2310" width="11.7109375" style="2" customWidth="1"/>
    <col min="2311" max="2559" width="11.42578125" style="2"/>
    <col min="2560" max="2560" width="38.85546875" style="2" customWidth="1"/>
    <col min="2561" max="2566" width="11.7109375" style="2" customWidth="1"/>
    <col min="2567" max="2815" width="11.42578125" style="2"/>
    <col min="2816" max="2816" width="38.85546875" style="2" customWidth="1"/>
    <col min="2817" max="2822" width="11.7109375" style="2" customWidth="1"/>
    <col min="2823" max="3071" width="11.42578125" style="2"/>
    <col min="3072" max="3072" width="38.85546875" style="2" customWidth="1"/>
    <col min="3073" max="3078" width="11.7109375" style="2" customWidth="1"/>
    <col min="3079" max="3327" width="11.42578125" style="2"/>
    <col min="3328" max="3328" width="38.85546875" style="2" customWidth="1"/>
    <col min="3329" max="3334" width="11.7109375" style="2" customWidth="1"/>
    <col min="3335" max="3583" width="11.42578125" style="2"/>
    <col min="3584" max="3584" width="38.85546875" style="2" customWidth="1"/>
    <col min="3585" max="3590" width="11.7109375" style="2" customWidth="1"/>
    <col min="3591" max="3839" width="11.42578125" style="2"/>
    <col min="3840" max="3840" width="38.85546875" style="2" customWidth="1"/>
    <col min="3841" max="3846" width="11.7109375" style="2" customWidth="1"/>
    <col min="3847" max="4095" width="11.42578125" style="2"/>
    <col min="4096" max="4096" width="38.85546875" style="2" customWidth="1"/>
    <col min="4097" max="4102" width="11.7109375" style="2" customWidth="1"/>
    <col min="4103" max="4351" width="11.42578125" style="2"/>
    <col min="4352" max="4352" width="38.85546875" style="2" customWidth="1"/>
    <col min="4353" max="4358" width="11.7109375" style="2" customWidth="1"/>
    <col min="4359" max="4607" width="11.42578125" style="2"/>
    <col min="4608" max="4608" width="38.85546875" style="2" customWidth="1"/>
    <col min="4609" max="4614" width="11.7109375" style="2" customWidth="1"/>
    <col min="4615" max="4863" width="11.42578125" style="2"/>
    <col min="4864" max="4864" width="38.85546875" style="2" customWidth="1"/>
    <col min="4865" max="4870" width="11.7109375" style="2" customWidth="1"/>
    <col min="4871" max="5119" width="11.42578125" style="2"/>
    <col min="5120" max="5120" width="38.85546875" style="2" customWidth="1"/>
    <col min="5121" max="5126" width="11.7109375" style="2" customWidth="1"/>
    <col min="5127" max="5375" width="11.42578125" style="2"/>
    <col min="5376" max="5376" width="38.85546875" style="2" customWidth="1"/>
    <col min="5377" max="5382" width="11.7109375" style="2" customWidth="1"/>
    <col min="5383" max="5631" width="11.42578125" style="2"/>
    <col min="5632" max="5632" width="38.85546875" style="2" customWidth="1"/>
    <col min="5633" max="5638" width="11.7109375" style="2" customWidth="1"/>
    <col min="5639" max="5887" width="11.42578125" style="2"/>
    <col min="5888" max="5888" width="38.85546875" style="2" customWidth="1"/>
    <col min="5889" max="5894" width="11.7109375" style="2" customWidth="1"/>
    <col min="5895" max="6143" width="11.42578125" style="2"/>
    <col min="6144" max="6144" width="38.85546875" style="2" customWidth="1"/>
    <col min="6145" max="6150" width="11.7109375" style="2" customWidth="1"/>
    <col min="6151" max="6399" width="11.42578125" style="2"/>
    <col min="6400" max="6400" width="38.85546875" style="2" customWidth="1"/>
    <col min="6401" max="6406" width="11.7109375" style="2" customWidth="1"/>
    <col min="6407" max="6655" width="11.42578125" style="2"/>
    <col min="6656" max="6656" width="38.85546875" style="2" customWidth="1"/>
    <col min="6657" max="6662" width="11.7109375" style="2" customWidth="1"/>
    <col min="6663" max="6911" width="11.42578125" style="2"/>
    <col min="6912" max="6912" width="38.85546875" style="2" customWidth="1"/>
    <col min="6913" max="6918" width="11.7109375" style="2" customWidth="1"/>
    <col min="6919" max="7167" width="11.42578125" style="2"/>
    <col min="7168" max="7168" width="38.85546875" style="2" customWidth="1"/>
    <col min="7169" max="7174" width="11.7109375" style="2" customWidth="1"/>
    <col min="7175" max="7423" width="11.42578125" style="2"/>
    <col min="7424" max="7424" width="38.85546875" style="2" customWidth="1"/>
    <col min="7425" max="7430" width="11.7109375" style="2" customWidth="1"/>
    <col min="7431" max="7679" width="11.42578125" style="2"/>
    <col min="7680" max="7680" width="38.85546875" style="2" customWidth="1"/>
    <col min="7681" max="7686" width="11.7109375" style="2" customWidth="1"/>
    <col min="7687" max="7935" width="11.42578125" style="2"/>
    <col min="7936" max="7936" width="38.85546875" style="2" customWidth="1"/>
    <col min="7937" max="7942" width="11.7109375" style="2" customWidth="1"/>
    <col min="7943" max="8191" width="11.42578125" style="2"/>
    <col min="8192" max="8192" width="38.85546875" style="2" customWidth="1"/>
    <col min="8193" max="8198" width="11.7109375" style="2" customWidth="1"/>
    <col min="8199" max="8447" width="11.42578125" style="2"/>
    <col min="8448" max="8448" width="38.85546875" style="2" customWidth="1"/>
    <col min="8449" max="8454" width="11.7109375" style="2" customWidth="1"/>
    <col min="8455" max="8703" width="11.42578125" style="2"/>
    <col min="8704" max="8704" width="38.85546875" style="2" customWidth="1"/>
    <col min="8705" max="8710" width="11.7109375" style="2" customWidth="1"/>
    <col min="8711" max="8959" width="11.42578125" style="2"/>
    <col min="8960" max="8960" width="38.85546875" style="2" customWidth="1"/>
    <col min="8961" max="8966" width="11.7109375" style="2" customWidth="1"/>
    <col min="8967" max="9215" width="11.42578125" style="2"/>
    <col min="9216" max="9216" width="38.85546875" style="2" customWidth="1"/>
    <col min="9217" max="9222" width="11.7109375" style="2" customWidth="1"/>
    <col min="9223" max="9471" width="11.42578125" style="2"/>
    <col min="9472" max="9472" width="38.85546875" style="2" customWidth="1"/>
    <col min="9473" max="9478" width="11.7109375" style="2" customWidth="1"/>
    <col min="9479" max="9727" width="11.42578125" style="2"/>
    <col min="9728" max="9728" width="38.85546875" style="2" customWidth="1"/>
    <col min="9729" max="9734" width="11.7109375" style="2" customWidth="1"/>
    <col min="9735" max="9983" width="11.42578125" style="2"/>
    <col min="9984" max="9984" width="38.85546875" style="2" customWidth="1"/>
    <col min="9985" max="9990" width="11.7109375" style="2" customWidth="1"/>
    <col min="9991" max="10239" width="11.42578125" style="2"/>
    <col min="10240" max="10240" width="38.85546875" style="2" customWidth="1"/>
    <col min="10241" max="10246" width="11.7109375" style="2" customWidth="1"/>
    <col min="10247" max="10495" width="11.42578125" style="2"/>
    <col min="10496" max="10496" width="38.85546875" style="2" customWidth="1"/>
    <col min="10497" max="10502" width="11.7109375" style="2" customWidth="1"/>
    <col min="10503" max="10751" width="11.42578125" style="2"/>
    <col min="10752" max="10752" width="38.85546875" style="2" customWidth="1"/>
    <col min="10753" max="10758" width="11.7109375" style="2" customWidth="1"/>
    <col min="10759" max="11007" width="11.42578125" style="2"/>
    <col min="11008" max="11008" width="38.85546875" style="2" customWidth="1"/>
    <col min="11009" max="11014" width="11.7109375" style="2" customWidth="1"/>
    <col min="11015" max="11263" width="11.42578125" style="2"/>
    <col min="11264" max="11264" width="38.85546875" style="2" customWidth="1"/>
    <col min="11265" max="11270" width="11.7109375" style="2" customWidth="1"/>
    <col min="11271" max="11519" width="11.42578125" style="2"/>
    <col min="11520" max="11520" width="38.85546875" style="2" customWidth="1"/>
    <col min="11521" max="11526" width="11.7109375" style="2" customWidth="1"/>
    <col min="11527" max="11775" width="11.42578125" style="2"/>
    <col min="11776" max="11776" width="38.85546875" style="2" customWidth="1"/>
    <col min="11777" max="11782" width="11.7109375" style="2" customWidth="1"/>
    <col min="11783" max="12031" width="11.42578125" style="2"/>
    <col min="12032" max="12032" width="38.85546875" style="2" customWidth="1"/>
    <col min="12033" max="12038" width="11.7109375" style="2" customWidth="1"/>
    <col min="12039" max="12287" width="11.42578125" style="2"/>
    <col min="12288" max="12288" width="38.85546875" style="2" customWidth="1"/>
    <col min="12289" max="12294" width="11.7109375" style="2" customWidth="1"/>
    <col min="12295" max="12543" width="11.42578125" style="2"/>
    <col min="12544" max="12544" width="38.85546875" style="2" customWidth="1"/>
    <col min="12545" max="12550" width="11.7109375" style="2" customWidth="1"/>
    <col min="12551" max="12799" width="11.42578125" style="2"/>
    <col min="12800" max="12800" width="38.85546875" style="2" customWidth="1"/>
    <col min="12801" max="12806" width="11.7109375" style="2" customWidth="1"/>
    <col min="12807" max="13055" width="11.42578125" style="2"/>
    <col min="13056" max="13056" width="38.85546875" style="2" customWidth="1"/>
    <col min="13057" max="13062" width="11.7109375" style="2" customWidth="1"/>
    <col min="13063" max="13311" width="11.42578125" style="2"/>
    <col min="13312" max="13312" width="38.85546875" style="2" customWidth="1"/>
    <col min="13313" max="13318" width="11.7109375" style="2" customWidth="1"/>
    <col min="13319" max="13567" width="11.42578125" style="2"/>
    <col min="13568" max="13568" width="38.85546875" style="2" customWidth="1"/>
    <col min="13569" max="13574" width="11.7109375" style="2" customWidth="1"/>
    <col min="13575" max="13823" width="11.42578125" style="2"/>
    <col min="13824" max="13824" width="38.85546875" style="2" customWidth="1"/>
    <col min="13825" max="13830" width="11.7109375" style="2" customWidth="1"/>
    <col min="13831" max="14079" width="11.42578125" style="2"/>
    <col min="14080" max="14080" width="38.85546875" style="2" customWidth="1"/>
    <col min="14081" max="14086" width="11.7109375" style="2" customWidth="1"/>
    <col min="14087" max="14335" width="11.42578125" style="2"/>
    <col min="14336" max="14336" width="38.85546875" style="2" customWidth="1"/>
    <col min="14337" max="14342" width="11.7109375" style="2" customWidth="1"/>
    <col min="14343" max="14591" width="11.42578125" style="2"/>
    <col min="14592" max="14592" width="38.85546875" style="2" customWidth="1"/>
    <col min="14593" max="14598" width="11.7109375" style="2" customWidth="1"/>
    <col min="14599" max="14847" width="11.42578125" style="2"/>
    <col min="14848" max="14848" width="38.85546875" style="2" customWidth="1"/>
    <col min="14849" max="14854" width="11.7109375" style="2" customWidth="1"/>
    <col min="14855" max="15103" width="11.42578125" style="2"/>
    <col min="15104" max="15104" width="38.85546875" style="2" customWidth="1"/>
    <col min="15105" max="15110" width="11.7109375" style="2" customWidth="1"/>
    <col min="15111" max="15359" width="11.42578125" style="2"/>
    <col min="15360" max="15360" width="38.85546875" style="2" customWidth="1"/>
    <col min="15361" max="15366" width="11.7109375" style="2" customWidth="1"/>
    <col min="15367" max="15615" width="11.42578125" style="2"/>
    <col min="15616" max="15616" width="38.85546875" style="2" customWidth="1"/>
    <col min="15617" max="15622" width="11.7109375" style="2" customWidth="1"/>
    <col min="15623" max="15871" width="11.42578125" style="2"/>
    <col min="15872" max="15872" width="38.85546875" style="2" customWidth="1"/>
    <col min="15873" max="15878" width="11.7109375" style="2" customWidth="1"/>
    <col min="15879" max="16127" width="11.42578125" style="2"/>
    <col min="16128" max="16128" width="38.85546875" style="2" customWidth="1"/>
    <col min="16129" max="16134" width="11.7109375" style="2" customWidth="1"/>
    <col min="16135" max="16384" width="11.42578125" style="2"/>
  </cols>
  <sheetData>
    <row r="1" spans="1:7" x14ac:dyDescent="0.2">
      <c r="A1" s="1" t="s">
        <v>124</v>
      </c>
      <c r="B1" s="1"/>
      <c r="C1" s="1"/>
      <c r="D1" s="1"/>
      <c r="E1" s="1"/>
      <c r="F1" s="1"/>
    </row>
    <row r="2" spans="1:7" ht="15" x14ac:dyDescent="0.25">
      <c r="C2" s="20"/>
      <c r="D2" s="20"/>
      <c r="E2" s="20"/>
      <c r="F2" s="20"/>
    </row>
    <row r="3" spans="1:7" x14ac:dyDescent="0.2">
      <c r="A3" s="38" t="s">
        <v>1</v>
      </c>
      <c r="B3" s="41" t="s">
        <v>148</v>
      </c>
      <c r="C3" s="41" t="s">
        <v>149</v>
      </c>
      <c r="D3" s="41" t="s">
        <v>150</v>
      </c>
      <c r="E3" s="41" t="s">
        <v>151</v>
      </c>
      <c r="F3" s="41" t="s">
        <v>152</v>
      </c>
    </row>
    <row r="4" spans="1:7" x14ac:dyDescent="0.2">
      <c r="A4" s="3" t="s">
        <v>125</v>
      </c>
      <c r="B4" s="37">
        <f>'Cuentas PyG'!E24-'Cuentas PyG'!E21-'Cuentas PyG'!E22</f>
        <v>16518450.239772096</v>
      </c>
      <c r="C4" s="37">
        <f>'Cuentas PyG'!F24-'Cuentas PyG'!F21-'Cuentas PyG'!F22</f>
        <v>16931847.754744533</v>
      </c>
      <c r="D4" s="37">
        <f>'Cuentas PyG'!G24-'Cuentas PyG'!G21-'Cuentas PyG'!G22</f>
        <v>17374724.127572395</v>
      </c>
      <c r="E4" s="37">
        <f>'Cuentas PyG'!H24-'Cuentas PyG'!H21-'Cuentas PyG'!H22</f>
        <v>17848378.924624957</v>
      </c>
      <c r="F4" s="37">
        <f>'Cuentas PyG'!I24-'Cuentas PyG'!I21-'Cuentas PyG'!I22</f>
        <v>18354219.279117443</v>
      </c>
    </row>
    <row r="5" spans="1:7" x14ac:dyDescent="0.2">
      <c r="A5" s="7" t="s">
        <v>126</v>
      </c>
      <c r="B5" s="29">
        <f>'Cuentas PyG'!E21</f>
        <v>-14938000</v>
      </c>
      <c r="C5" s="29">
        <f>'Cuentas PyG'!F21</f>
        <v>-15182508.563276423</v>
      </c>
      <c r="D5" s="29">
        <f>'Cuentas PyG'!G21</f>
        <v>-15444804.157157475</v>
      </c>
      <c r="E5" s="29">
        <f>'Cuentas PyG'!H21</f>
        <v>-15725654.22291409</v>
      </c>
      <c r="F5" s="29">
        <f>'Cuentas PyG'!I21</f>
        <v>-16025889.302702883</v>
      </c>
    </row>
    <row r="6" spans="1:7" x14ac:dyDescent="0.2">
      <c r="A6" s="7" t="s">
        <v>127</v>
      </c>
      <c r="B6" s="29">
        <f>'Cuentas PyG'!E22</f>
        <v>53235</v>
      </c>
      <c r="C6" s="29">
        <f>'Cuentas PyG'!F22</f>
        <v>53235</v>
      </c>
      <c r="D6" s="29">
        <f>'Cuentas PyG'!G22</f>
        <v>53235</v>
      </c>
      <c r="E6" s="29">
        <f>'Cuentas PyG'!H22</f>
        <v>53235</v>
      </c>
      <c r="F6" s="29">
        <f>'Cuentas PyG'!I22</f>
        <v>53235</v>
      </c>
    </row>
    <row r="7" spans="1:7" x14ac:dyDescent="0.2">
      <c r="A7" s="3" t="s">
        <v>128</v>
      </c>
      <c r="B7" s="37">
        <f>B4+B5+B6</f>
        <v>1633685.2397720963</v>
      </c>
      <c r="C7" s="37">
        <f t="shared" ref="C7:F7" si="0">C4+C5+C6</f>
        <v>1802574.1914681103</v>
      </c>
      <c r="D7" s="37">
        <f t="shared" si="0"/>
        <v>1983154.9704149198</v>
      </c>
      <c r="E7" s="37">
        <f t="shared" si="0"/>
        <v>2175959.7017108668</v>
      </c>
      <c r="F7" s="37">
        <f t="shared" si="0"/>
        <v>2381564.9764145594</v>
      </c>
    </row>
    <row r="8" spans="1:7" x14ac:dyDescent="0.2">
      <c r="A8" s="7" t="s">
        <v>129</v>
      </c>
      <c r="B8" s="29">
        <f>-Hipótesis!E13*'Flujos de caja'!B7</f>
        <v>-408421.30994302407</v>
      </c>
      <c r="C8" s="29">
        <f>-Hipótesis!F13*'Flujos de caja'!C7</f>
        <v>-450643.54786702758</v>
      </c>
      <c r="D8" s="29">
        <f>-Hipótesis!G13*'Flujos de caja'!D7</f>
        <v>-495788.74260372994</v>
      </c>
      <c r="E8" s="29">
        <f>-Hipótesis!H13*'Flujos de caja'!E7</f>
        <v>-543989.92542771669</v>
      </c>
      <c r="F8" s="29">
        <f>-Hipótesis!I13*'Flujos de caja'!F7</f>
        <v>-595391.24410363985</v>
      </c>
    </row>
    <row r="9" spans="1:7" x14ac:dyDescent="0.2">
      <c r="A9" s="3" t="s">
        <v>130</v>
      </c>
      <c r="B9" s="37">
        <f>B7+B8</f>
        <v>1225263.9298290722</v>
      </c>
      <c r="C9" s="37">
        <f t="shared" ref="C9:F9" si="1">C7+C8</f>
        <v>1351930.6436010827</v>
      </c>
      <c r="D9" s="37">
        <f t="shared" si="1"/>
        <v>1487366.2278111898</v>
      </c>
      <c r="E9" s="37">
        <f t="shared" si="1"/>
        <v>1631969.7762831501</v>
      </c>
      <c r="F9" s="37">
        <f t="shared" si="1"/>
        <v>1786173.7323109196</v>
      </c>
    </row>
    <row r="10" spans="1:7" x14ac:dyDescent="0.2">
      <c r="A10" s="7" t="s">
        <v>126</v>
      </c>
      <c r="B10" s="29">
        <f>-B5</f>
        <v>14938000</v>
      </c>
      <c r="C10" s="29">
        <f t="shared" ref="C10:F10" si="2">-C5</f>
        <v>15182508.563276423</v>
      </c>
      <c r="D10" s="29">
        <f t="shared" si="2"/>
        <v>15444804.157157475</v>
      </c>
      <c r="E10" s="29">
        <f t="shared" si="2"/>
        <v>15725654.22291409</v>
      </c>
      <c r="F10" s="29">
        <f t="shared" si="2"/>
        <v>16025889.302702883</v>
      </c>
    </row>
    <row r="11" spans="1:7" x14ac:dyDescent="0.2">
      <c r="A11" s="7" t="s">
        <v>131</v>
      </c>
      <c r="B11" s="29">
        <f>-B6</f>
        <v>-53235</v>
      </c>
      <c r="C11" s="29">
        <f t="shared" ref="C11:F11" si="3">-C6</f>
        <v>-53235</v>
      </c>
      <c r="D11" s="29">
        <f t="shared" si="3"/>
        <v>-53235</v>
      </c>
      <c r="E11" s="29">
        <f t="shared" si="3"/>
        <v>-53235</v>
      </c>
      <c r="F11" s="29">
        <f t="shared" si="3"/>
        <v>-53235</v>
      </c>
    </row>
    <row r="12" spans="1:7" x14ac:dyDescent="0.2">
      <c r="A12" s="7" t="s">
        <v>90</v>
      </c>
      <c r="B12" s="29">
        <f>-Balances!E80</f>
        <v>-15333194.453859016</v>
      </c>
      <c r="C12" s="29">
        <f>-Balances!F80</f>
        <v>-15606451.850106258</v>
      </c>
      <c r="D12" s="29">
        <f>-Balances!G80</f>
        <v>-15898736.677416394</v>
      </c>
      <c r="E12" s="29">
        <f>-Balances!H80</f>
        <v>-16210918.365799394</v>
      </c>
      <c r="F12" s="29">
        <f>-Balances!I80</f>
        <v>-16543935.990779547</v>
      </c>
      <c r="G12" s="27"/>
    </row>
    <row r="13" spans="1:7" x14ac:dyDescent="0.2">
      <c r="A13" s="7" t="s">
        <v>132</v>
      </c>
      <c r="B13" s="29">
        <f>-Balances!E71</f>
        <v>-13037549.441049486</v>
      </c>
      <c r="C13" s="29">
        <f>-Balances!F71</f>
        <v>-5094131.9221825376</v>
      </c>
      <c r="D13" s="29">
        <f>-Balances!G71</f>
        <v>-1695537.06467738</v>
      </c>
      <c r="E13" s="29">
        <f>-Balances!H71</f>
        <v>-1796203.4661114067</v>
      </c>
      <c r="F13" s="29">
        <f>-Balances!I71</f>
        <v>-1902931.7195055783</v>
      </c>
    </row>
    <row r="14" spans="1:7" x14ac:dyDescent="0.2">
      <c r="A14" s="3" t="s">
        <v>133</v>
      </c>
      <c r="B14" s="37">
        <f>B9+B10+B11+B12+B13</f>
        <v>-12260714.96507943</v>
      </c>
      <c r="C14" s="37">
        <f t="shared" ref="C14:F14" si="4">C9+C10+C11+C12+C13</f>
        <v>-4219379.5654112902</v>
      </c>
      <c r="D14" s="37">
        <f t="shared" si="4"/>
        <v>-715338.35712510906</v>
      </c>
      <c r="E14" s="37">
        <f t="shared" si="4"/>
        <v>-702732.83271355927</v>
      </c>
      <c r="F14" s="37">
        <f t="shared" si="4"/>
        <v>-688039.67527132295</v>
      </c>
    </row>
    <row r="15" spans="1:7" x14ac:dyDescent="0.2">
      <c r="A15" s="44"/>
      <c r="B15" s="45"/>
      <c r="C15" s="44"/>
      <c r="D15" s="44"/>
      <c r="E15" s="44"/>
      <c r="F15" s="44"/>
      <c r="G15" s="39"/>
    </row>
    <row r="16" spans="1:7" x14ac:dyDescent="0.2">
      <c r="A16" s="1" t="s">
        <v>134</v>
      </c>
      <c r="B16" s="1"/>
      <c r="C16" s="1"/>
      <c r="D16" s="1"/>
      <c r="E16" s="1"/>
      <c r="F16" s="1"/>
    </row>
    <row r="17" spans="1:7" x14ac:dyDescent="0.2">
      <c r="A17" s="44"/>
      <c r="B17" s="45"/>
      <c r="C17" s="44"/>
      <c r="D17" s="44"/>
      <c r="E17" s="44"/>
      <c r="F17" s="44"/>
      <c r="G17" s="27"/>
    </row>
    <row r="18" spans="1:7" x14ac:dyDescent="0.2">
      <c r="A18" s="38" t="s">
        <v>1</v>
      </c>
      <c r="B18" s="41" t="s">
        <v>148</v>
      </c>
      <c r="C18" s="41" t="s">
        <v>149</v>
      </c>
      <c r="D18" s="41" t="s">
        <v>150</v>
      </c>
      <c r="E18" s="41" t="s">
        <v>151</v>
      </c>
      <c r="F18" s="41" t="s">
        <v>152</v>
      </c>
      <c r="G18" s="27"/>
    </row>
    <row r="19" spans="1:7" x14ac:dyDescent="0.2">
      <c r="A19" s="3" t="s">
        <v>133</v>
      </c>
      <c r="B19" s="37">
        <f>B14</f>
        <v>-12260714.96507943</v>
      </c>
      <c r="C19" s="37">
        <f t="shared" ref="C19:F19" si="5">C14</f>
        <v>-4219379.5654112902</v>
      </c>
      <c r="D19" s="37">
        <f t="shared" si="5"/>
        <v>-715338.35712510906</v>
      </c>
      <c r="E19" s="37">
        <f t="shared" si="5"/>
        <v>-702732.83271355927</v>
      </c>
      <c r="F19" s="37">
        <f t="shared" si="5"/>
        <v>-688039.67527132295</v>
      </c>
      <c r="G19" s="27"/>
    </row>
    <row r="20" spans="1:7" x14ac:dyDescent="0.2">
      <c r="A20" s="4" t="s">
        <v>135</v>
      </c>
      <c r="B20" s="33">
        <f>'Cuentas PyG'!E26</f>
        <v>-1004700.5704677596</v>
      </c>
      <c r="C20" s="33">
        <f>'Cuentas PyG'!F26</f>
        <v>-1011292.9266842597</v>
      </c>
      <c r="D20" s="33">
        <f>'Cuentas PyG'!G26</f>
        <v>-1019802.6807810677</v>
      </c>
      <c r="E20" s="33">
        <f>'Cuentas PyG'!H26</f>
        <v>-1030345.3094266921</v>
      </c>
      <c r="F20" s="33">
        <f>'Cuentas PyG'!I26</f>
        <v>-1043041.2116406847</v>
      </c>
      <c r="G20" s="27"/>
    </row>
    <row r="21" spans="1:7" x14ac:dyDescent="0.2">
      <c r="A21" s="7" t="s">
        <v>136</v>
      </c>
      <c r="B21" s="29">
        <f>-B20*Hipótesis!E13</f>
        <v>251175.14261693991</v>
      </c>
      <c r="C21" s="29">
        <f>-C20*Hipótesis!F13</f>
        <v>252823.23167106492</v>
      </c>
      <c r="D21" s="29">
        <f>-D20*Hipótesis!G13</f>
        <v>254950.67019526692</v>
      </c>
      <c r="E21" s="29">
        <f>-E20*Hipótesis!H13</f>
        <v>257586.32735667302</v>
      </c>
      <c r="F21" s="29">
        <f>-F20*Hipótesis!I13</f>
        <v>260760.30291017119</v>
      </c>
    </row>
    <row r="22" spans="1:7" x14ac:dyDescent="0.2">
      <c r="A22" s="17" t="s">
        <v>137</v>
      </c>
      <c r="B22" s="30">
        <f>Balances!E87</f>
        <v>274541.55203788419</v>
      </c>
      <c r="C22" s="30">
        <f>Balances!F87</f>
        <v>354392.42366044217</v>
      </c>
      <c r="D22" s="30">
        <f>Balances!G87</f>
        <v>439052.37154575839</v>
      </c>
      <c r="E22" s="30">
        <f>Balances!H87</f>
        <v>528726.38915154431</v>
      </c>
      <c r="F22" s="30">
        <f>Balances!I87</f>
        <v>623638.92562189954</v>
      </c>
    </row>
    <row r="23" spans="1:7" x14ac:dyDescent="0.2">
      <c r="A23" s="3" t="s">
        <v>138</v>
      </c>
      <c r="B23" s="37">
        <f>B19+B20+B21+B22</f>
        <v>-12739698.840892365</v>
      </c>
      <c r="C23" s="37">
        <f t="shared" ref="C23:F23" si="6">C19+C20+C21+C22</f>
        <v>-4623456.8367640423</v>
      </c>
      <c r="D23" s="37">
        <f t="shared" si="6"/>
        <v>-1041137.9961651517</v>
      </c>
      <c r="E23" s="37">
        <f t="shared" si="6"/>
        <v>-946765.42563203396</v>
      </c>
      <c r="F23" s="37">
        <f t="shared" si="6"/>
        <v>-846681.65837993706</v>
      </c>
    </row>
    <row r="24" spans="1:7" x14ac:dyDescent="0.2">
      <c r="A24" s="44"/>
      <c r="B24" s="44"/>
      <c r="C24" s="44"/>
      <c r="D24" s="44"/>
      <c r="E24" s="44"/>
      <c r="F24" s="44"/>
    </row>
    <row r="25" spans="1:7" x14ac:dyDescent="0.2">
      <c r="A25" s="1" t="s">
        <v>139</v>
      </c>
      <c r="B25" s="1"/>
      <c r="C25" s="1"/>
      <c r="D25" s="1"/>
      <c r="E25" s="1"/>
      <c r="F25" s="1"/>
    </row>
    <row r="27" spans="1:7" x14ac:dyDescent="0.2">
      <c r="A27" s="38" t="s">
        <v>1</v>
      </c>
      <c r="B27" s="41" t="s">
        <v>148</v>
      </c>
      <c r="C27" s="41" t="s">
        <v>149</v>
      </c>
      <c r="D27" s="41" t="s">
        <v>150</v>
      </c>
      <c r="E27" s="41" t="s">
        <v>151</v>
      </c>
      <c r="F27" s="41" t="s">
        <v>152</v>
      </c>
    </row>
    <row r="28" spans="1:7" x14ac:dyDescent="0.2">
      <c r="A28" s="33" t="s">
        <v>140</v>
      </c>
      <c r="B28" s="33">
        <f>Balances!D30</f>
        <v>442000</v>
      </c>
      <c r="C28" s="33">
        <f>Balances!E30</f>
        <v>-12297698.840892365</v>
      </c>
      <c r="D28" s="33">
        <f>Balances!F30</f>
        <v>-16921155.677656408</v>
      </c>
      <c r="E28" s="33">
        <f>Balances!G30</f>
        <v>-17962293.673821561</v>
      </c>
      <c r="F28" s="33">
        <f>Balances!H30</f>
        <v>-18909059.099453595</v>
      </c>
    </row>
    <row r="29" spans="1:7" x14ac:dyDescent="0.2">
      <c r="A29" s="29" t="s">
        <v>141</v>
      </c>
      <c r="B29" s="29">
        <f>B23</f>
        <v>-12739698.840892365</v>
      </c>
      <c r="C29" s="29">
        <f t="shared" ref="C29:F29" si="7">C23</f>
        <v>-4623456.8367640423</v>
      </c>
      <c r="D29" s="29">
        <f t="shared" si="7"/>
        <v>-1041137.9961651517</v>
      </c>
      <c r="E29" s="29">
        <f t="shared" si="7"/>
        <v>-946765.42563203396</v>
      </c>
      <c r="F29" s="29">
        <f t="shared" si="7"/>
        <v>-846681.65837993706</v>
      </c>
    </row>
    <row r="30" spans="1:7" x14ac:dyDescent="0.2">
      <c r="A30" s="33" t="s">
        <v>142</v>
      </c>
      <c r="B30" s="33">
        <f>IF(B28+B29&lt;0,-(B28+B29),0)</f>
        <v>12297698.840892365</v>
      </c>
      <c r="C30" s="33"/>
      <c r="D30" s="33"/>
      <c r="E30" s="33"/>
      <c r="F30" s="33"/>
    </row>
    <row r="31" spans="1:7" x14ac:dyDescent="0.2">
      <c r="A31" s="34" t="s">
        <v>143</v>
      </c>
      <c r="B31" s="34"/>
      <c r="C31" s="34"/>
      <c r="D31" s="34"/>
      <c r="E31" s="34"/>
      <c r="F31" s="34"/>
    </row>
    <row r="32" spans="1:7" x14ac:dyDescent="0.2">
      <c r="A32" s="32" t="s">
        <v>144</v>
      </c>
      <c r="B32" s="32">
        <f>B28+B29</f>
        <v>-12297698.840892365</v>
      </c>
      <c r="C32" s="32">
        <f t="shared" ref="C32:F32" si="8">C28+C29</f>
        <v>-16921155.677656408</v>
      </c>
      <c r="D32" s="32">
        <f t="shared" si="8"/>
        <v>-17962293.673821561</v>
      </c>
      <c r="E32" s="32">
        <f t="shared" si="8"/>
        <v>-18909059.099453595</v>
      </c>
      <c r="F32" s="32">
        <f t="shared" si="8"/>
        <v>-19755740.757833533</v>
      </c>
    </row>
  </sheetData>
  <pageMargins left="0.75" right="0.75" top="1" bottom="1" header="0" footer="0"/>
  <pageSetup paperSize="9"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Datos</vt:lpstr>
      <vt:lpstr>Hipótesis</vt:lpstr>
      <vt:lpstr>Balances</vt:lpstr>
      <vt:lpstr>Cuentas PyG</vt:lpstr>
      <vt:lpstr>Flujos de caja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Domingo</dc:creator>
  <cp:lastModifiedBy>oriol Calblay</cp:lastModifiedBy>
  <dcterms:created xsi:type="dcterms:W3CDTF">2015-06-05T18:19:34Z</dcterms:created>
  <dcterms:modified xsi:type="dcterms:W3CDTF">2024-05-24T14:54:03Z</dcterms:modified>
</cp:coreProperties>
</file>