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calblayrest-my.sharepoint.com/personal/oriol_calblay_com/Documents/Escritorio/notes/IEBS/MODULO 6/VALORACIÓN EMPRESA/Clase 3/"/>
    </mc:Choice>
  </mc:AlternateContent>
  <xr:revisionPtr revIDLastSave="66" documentId="8_{C2BFB337-9CD5-452A-AD09-588998760092}" xr6:coauthVersionLast="47" xr6:coauthVersionMax="47" xr10:uidLastSave="{782E4E1B-65A0-47E5-85BE-60123D7747F7}"/>
  <bookViews>
    <workbookView xWindow="-108" yWindow="-108" windowWidth="41496" windowHeight="16776" tabRatio="786" activeTab="1" xr2:uid="{5958AF5E-25CD-47EA-9ACF-7E791A92DB60}"/>
  </bookViews>
  <sheets>
    <sheet name="Datos" sheetId="7" r:id="rId1"/>
    <sheet name="Hipótesis" sheetId="1" r:id="rId2"/>
    <sheet name="Balances" sheetId="2" r:id="rId3"/>
    <sheet name="Cuentas de PyG" sheetId="3" r:id="rId4"/>
    <sheet name="Flujos de caja" sheetId="4" r:id="rId5"/>
    <sheet name="Valoración DCF" sheetId="5" r:id="rId6"/>
    <sheet name="Valoración múltiplo" sheetId="6" r:id="rId7"/>
  </sheets>
  <definedNames>
    <definedName name="_xlnm.Print_Area" localSheetId="1">Hipótesis!$A$1:$J$52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0" i="3" l="1"/>
  <c r="C40" i="3"/>
  <c r="E40" i="3"/>
  <c r="F40" i="3"/>
  <c r="G40" i="3"/>
  <c r="H40" i="3"/>
  <c r="I40" i="3"/>
  <c r="J40" i="3"/>
  <c r="D40" i="3"/>
  <c r="M57" i="2"/>
  <c r="C40" i="1"/>
  <c r="D42" i="1"/>
  <c r="J10" i="5"/>
  <c r="F37" i="5"/>
  <c r="E37" i="5"/>
  <c r="B37" i="5"/>
  <c r="C37" i="5"/>
  <c r="A42" i="5"/>
  <c r="A41" i="5"/>
  <c r="A38" i="5"/>
  <c r="A39" i="5"/>
  <c r="M37" i="5"/>
  <c r="L37" i="5"/>
  <c r="I37" i="5"/>
  <c r="J37" i="5"/>
  <c r="H42" i="5"/>
  <c r="H41" i="5"/>
  <c r="H38" i="5"/>
  <c r="H39" i="5"/>
  <c r="B26" i="5" l="1"/>
  <c r="H6" i="4"/>
  <c r="E41" i="1"/>
  <c r="F22" i="3"/>
  <c r="G22" i="3"/>
  <c r="H22" i="3"/>
  <c r="I22" i="3"/>
  <c r="J22" i="3"/>
  <c r="E22" i="3"/>
  <c r="E21" i="3"/>
  <c r="E5" i="1"/>
  <c r="F5" i="1" s="1"/>
  <c r="G5" i="1" s="1"/>
  <c r="H5" i="1" s="1"/>
  <c r="I5" i="1" s="1"/>
  <c r="J5" i="1" s="1"/>
  <c r="E4" i="1"/>
  <c r="F4" i="1" s="1"/>
  <c r="G4" i="1" s="1"/>
  <c r="H4" i="1" s="1"/>
  <c r="I4" i="1" s="1"/>
  <c r="J4" i="1" s="1"/>
  <c r="P7" i="5"/>
  <c r="P6" i="5"/>
  <c r="P2" i="5"/>
  <c r="P4" i="5"/>
  <c r="F5" i="5"/>
  <c r="F6" i="5" s="1"/>
  <c r="B8" i="5"/>
  <c r="D41" i="1"/>
  <c r="C41" i="1"/>
  <c r="D48" i="2"/>
  <c r="C48" i="2"/>
  <c r="B48" i="2"/>
  <c r="B6" i="5"/>
  <c r="B5" i="5"/>
  <c r="D33" i="3"/>
  <c r="C33" i="3"/>
  <c r="B33" i="3"/>
  <c r="D31" i="3"/>
  <c r="C31" i="3"/>
  <c r="B31" i="3"/>
  <c r="D27" i="3"/>
  <c r="D26" i="3" s="1"/>
  <c r="C27" i="3"/>
  <c r="C26" i="3" s="1"/>
  <c r="B27" i="3"/>
  <c r="B26" i="3" s="1"/>
  <c r="J23" i="3"/>
  <c r="I23" i="3"/>
  <c r="H23" i="3"/>
  <c r="G23" i="3"/>
  <c r="F23" i="3"/>
  <c r="E23" i="3"/>
  <c r="D23" i="3"/>
  <c r="C23" i="3"/>
  <c r="B23" i="3"/>
  <c r="D16" i="3"/>
  <c r="C16" i="3"/>
  <c r="B16" i="3"/>
  <c r="D13" i="3"/>
  <c r="C13" i="3"/>
  <c r="C8" i="1" s="1"/>
  <c r="B13" i="3"/>
  <c r="B8" i="1" s="1"/>
  <c r="J10" i="3"/>
  <c r="I10" i="3"/>
  <c r="H10" i="3"/>
  <c r="G10" i="3"/>
  <c r="F10" i="3"/>
  <c r="E10" i="3"/>
  <c r="D10" i="3"/>
  <c r="C10" i="3"/>
  <c r="B10" i="3"/>
  <c r="D6" i="3"/>
  <c r="C6" i="3"/>
  <c r="B6" i="3"/>
  <c r="D4" i="3"/>
  <c r="C4" i="3"/>
  <c r="B4" i="3"/>
  <c r="D60" i="2"/>
  <c r="C60" i="2"/>
  <c r="B60" i="2"/>
  <c r="D57" i="2"/>
  <c r="C57" i="2"/>
  <c r="B57" i="2"/>
  <c r="C56" i="2"/>
  <c r="E55" i="2"/>
  <c r="F55" i="2" s="1"/>
  <c r="G55" i="2" s="1"/>
  <c r="H55" i="2" s="1"/>
  <c r="I55" i="2" s="1"/>
  <c r="J55" i="2" s="1"/>
  <c r="D51" i="2"/>
  <c r="D50" i="2" s="1"/>
  <c r="C51" i="2"/>
  <c r="C50" i="2" s="1"/>
  <c r="B51" i="2"/>
  <c r="B50" i="2" s="1"/>
  <c r="E46" i="2"/>
  <c r="F46" i="2" s="1"/>
  <c r="G46" i="2" s="1"/>
  <c r="H46" i="2" s="1"/>
  <c r="I46" i="2" s="1"/>
  <c r="J46" i="2" s="1"/>
  <c r="D36" i="2"/>
  <c r="B28" i="4" s="1"/>
  <c r="C36" i="2"/>
  <c r="B36" i="2"/>
  <c r="E35" i="2"/>
  <c r="F35" i="2" s="1"/>
  <c r="G35" i="2" s="1"/>
  <c r="H35" i="2" s="1"/>
  <c r="I35" i="2" s="1"/>
  <c r="J35" i="2" s="1"/>
  <c r="D32" i="2"/>
  <c r="E32" i="2" s="1"/>
  <c r="F32" i="2" s="1"/>
  <c r="G32" i="2" s="1"/>
  <c r="H32" i="2" s="1"/>
  <c r="I32" i="2" s="1"/>
  <c r="J32" i="2" s="1"/>
  <c r="C32" i="2"/>
  <c r="B32" i="2"/>
  <c r="D30" i="2"/>
  <c r="E30" i="2" s="1"/>
  <c r="F30" i="2" s="1"/>
  <c r="G30" i="2" s="1"/>
  <c r="H30" i="2" s="1"/>
  <c r="I30" i="2" s="1"/>
  <c r="J30" i="2" s="1"/>
  <c r="C30" i="2"/>
  <c r="B30" i="2"/>
  <c r="D24" i="2"/>
  <c r="C24" i="2"/>
  <c r="B24" i="2"/>
  <c r="D20" i="2"/>
  <c r="D19" i="2" s="1"/>
  <c r="C20" i="2"/>
  <c r="C30" i="1" s="1"/>
  <c r="B20" i="2"/>
  <c r="D17" i="2"/>
  <c r="E17" i="2" s="1"/>
  <c r="F17" i="2" s="1"/>
  <c r="G17" i="2" s="1"/>
  <c r="H17" i="2" s="1"/>
  <c r="I17" i="2" s="1"/>
  <c r="J17" i="2" s="1"/>
  <c r="C17" i="2"/>
  <c r="B17" i="2"/>
  <c r="D14" i="2"/>
  <c r="C14" i="2"/>
  <c r="B14" i="2"/>
  <c r="D10" i="2"/>
  <c r="C10" i="2"/>
  <c r="C18" i="1" s="1"/>
  <c r="B10" i="2"/>
  <c r="B18" i="1" s="1"/>
  <c r="D5" i="2"/>
  <c r="D20" i="1" s="1"/>
  <c r="C5" i="2"/>
  <c r="C20" i="1" s="1"/>
  <c r="B5" i="2"/>
  <c r="B17" i="1" s="1"/>
  <c r="D32" i="1"/>
  <c r="C32" i="1"/>
  <c r="B32" i="1"/>
  <c r="D29" i="1"/>
  <c r="E29" i="1" s="1"/>
  <c r="F29" i="1" s="1"/>
  <c r="G29" i="1" s="1"/>
  <c r="H29" i="1" s="1"/>
  <c r="I29" i="1" s="1"/>
  <c r="J29" i="1" s="1"/>
  <c r="C29" i="1"/>
  <c r="B29" i="1"/>
  <c r="D22" i="1"/>
  <c r="C22" i="1"/>
  <c r="D11" i="1"/>
  <c r="E11" i="1" s="1"/>
  <c r="C11" i="1"/>
  <c r="C10" i="1"/>
  <c r="B10" i="1"/>
  <c r="C9" i="1"/>
  <c r="B9" i="1"/>
  <c r="C7" i="1"/>
  <c r="B7" i="1"/>
  <c r="C6" i="1"/>
  <c r="B6" i="1"/>
  <c r="C5" i="1"/>
  <c r="B5" i="1"/>
  <c r="C4" i="1"/>
  <c r="D25" i="3" l="1"/>
  <c r="B25" i="3"/>
  <c r="B36" i="3" s="1"/>
  <c r="B12" i="1" s="1"/>
  <c r="C25" i="3"/>
  <c r="D9" i="1"/>
  <c r="E9" i="1" s="1"/>
  <c r="F9" i="1" s="1"/>
  <c r="G9" i="1" s="1"/>
  <c r="H9" i="1" s="1"/>
  <c r="I9" i="1" s="1"/>
  <c r="J9" i="1" s="1"/>
  <c r="D7" i="1"/>
  <c r="E7" i="1" s="1"/>
  <c r="F7" i="1" s="1"/>
  <c r="G7" i="1" s="1"/>
  <c r="H7" i="1" s="1"/>
  <c r="I7" i="1" s="1"/>
  <c r="J7" i="1" s="1"/>
  <c r="D4" i="1"/>
  <c r="D5" i="1"/>
  <c r="D10" i="1"/>
  <c r="E10" i="1" s="1"/>
  <c r="F10" i="1" s="1"/>
  <c r="G10" i="1" s="1"/>
  <c r="H10" i="1" s="1"/>
  <c r="I10" i="1" s="1"/>
  <c r="J10" i="1" s="1"/>
  <c r="D18" i="1"/>
  <c r="E18" i="1" s="1"/>
  <c r="F18" i="1" s="1"/>
  <c r="G18" i="1" s="1"/>
  <c r="H18" i="1" s="1"/>
  <c r="I18" i="1" s="1"/>
  <c r="J18" i="1" s="1"/>
  <c r="D8" i="1"/>
  <c r="E8" i="1" s="1"/>
  <c r="F8" i="1" s="1"/>
  <c r="G8" i="1" s="1"/>
  <c r="H8" i="1" s="1"/>
  <c r="I8" i="1" s="1"/>
  <c r="J8" i="1" s="1"/>
  <c r="D6" i="1"/>
  <c r="E6" i="1" s="1"/>
  <c r="F6" i="1" s="1"/>
  <c r="G6" i="1" s="1"/>
  <c r="H6" i="1" s="1"/>
  <c r="I6" i="1" s="1"/>
  <c r="J6" i="1" s="1"/>
  <c r="B56" i="2"/>
  <c r="B40" i="1"/>
  <c r="F41" i="1"/>
  <c r="G41" i="1" s="1"/>
  <c r="B19" i="2"/>
  <c r="C19" i="2"/>
  <c r="D30" i="1"/>
  <c r="E30" i="1" s="1"/>
  <c r="F30" i="1" s="1"/>
  <c r="G30" i="1" s="1"/>
  <c r="H30" i="1" s="1"/>
  <c r="I30" i="1" s="1"/>
  <c r="J30" i="1" s="1"/>
  <c r="D28" i="1"/>
  <c r="E28" i="1" s="1"/>
  <c r="F28" i="1" s="1"/>
  <c r="G28" i="1" s="1"/>
  <c r="H28" i="1" s="1"/>
  <c r="I28" i="1" s="1"/>
  <c r="J28" i="1" s="1"/>
  <c r="B31" i="1"/>
  <c r="B33" i="1" s="1"/>
  <c r="C28" i="1"/>
  <c r="D31" i="1"/>
  <c r="D33" i="1" s="1"/>
  <c r="B28" i="1"/>
  <c r="B27" i="5"/>
  <c r="B9" i="6" s="1"/>
  <c r="E14" i="2"/>
  <c r="F14" i="2" s="1"/>
  <c r="G14" i="2" s="1"/>
  <c r="H14" i="2" s="1"/>
  <c r="I14" i="2" s="1"/>
  <c r="J14" i="2" s="1"/>
  <c r="B4" i="2"/>
  <c r="D4" i="2"/>
  <c r="D38" i="2" s="1"/>
  <c r="C4" i="2"/>
  <c r="C38" i="2" s="1"/>
  <c r="C17" i="1"/>
  <c r="F11" i="1"/>
  <c r="G11" i="1" s="1"/>
  <c r="H11" i="1" s="1"/>
  <c r="I11" i="1" s="1"/>
  <c r="J11" i="1" s="1"/>
  <c r="B38" i="2"/>
  <c r="C23" i="1"/>
  <c r="C36" i="3"/>
  <c r="B4" i="6"/>
  <c r="B6" i="6" s="1"/>
  <c r="D36" i="3"/>
  <c r="D17" i="1"/>
  <c r="E17" i="1" s="1"/>
  <c r="F17" i="1" s="1"/>
  <c r="G17" i="1" s="1"/>
  <c r="H17" i="1" s="1"/>
  <c r="I17" i="1" s="1"/>
  <c r="J17" i="1" s="1"/>
  <c r="C19" i="1"/>
  <c r="C21" i="1"/>
  <c r="D40" i="1"/>
  <c r="E40" i="1" s="1"/>
  <c r="F40" i="1" s="1"/>
  <c r="G40" i="1" s="1"/>
  <c r="H40" i="1" s="1"/>
  <c r="I40" i="1" s="1"/>
  <c r="J40" i="1" s="1"/>
  <c r="D56" i="2"/>
  <c r="D19" i="1"/>
  <c r="E19" i="1" s="1"/>
  <c r="F19" i="1" s="1"/>
  <c r="G19" i="1" s="1"/>
  <c r="H19" i="1" s="1"/>
  <c r="I19" i="1" s="1"/>
  <c r="J19" i="1" s="1"/>
  <c r="D21" i="1"/>
  <c r="D23" i="1" s="1"/>
  <c r="C31" i="1"/>
  <c r="C33" i="1" s="1"/>
  <c r="C34" i="1" s="1"/>
  <c r="B38" i="3" l="1"/>
  <c r="B44" i="2" s="1"/>
  <c r="H41" i="1"/>
  <c r="D34" i="1"/>
  <c r="B8" i="6"/>
  <c r="B10" i="6" s="1"/>
  <c r="B12" i="6" s="1"/>
  <c r="B28" i="5"/>
  <c r="E49" i="2"/>
  <c r="B6" i="4"/>
  <c r="B11" i="4" s="1"/>
  <c r="D38" i="3"/>
  <c r="D12" i="1"/>
  <c r="E12" i="1" s="1"/>
  <c r="F12" i="1" s="1"/>
  <c r="G12" i="1" s="1"/>
  <c r="H12" i="1" s="1"/>
  <c r="I12" i="1" s="1"/>
  <c r="J12" i="1" s="1"/>
  <c r="C38" i="3"/>
  <c r="C12" i="1"/>
  <c r="B39" i="1" l="1"/>
  <c r="B43" i="2"/>
  <c r="B67" i="2" s="1"/>
  <c r="C44" i="2"/>
  <c r="E47" i="2"/>
  <c r="D44" i="2"/>
  <c r="E22" i="1"/>
  <c r="B5" i="4"/>
  <c r="B10" i="4" s="1"/>
  <c r="I41" i="1"/>
  <c r="C6" i="4"/>
  <c r="C11" i="4" s="1"/>
  <c r="F49" i="2" l="1"/>
  <c r="C43" i="2"/>
  <c r="C67" i="2" s="1"/>
  <c r="C39" i="1"/>
  <c r="J41" i="1"/>
  <c r="D43" i="2"/>
  <c r="D67" i="2" s="1"/>
  <c r="D39" i="1"/>
  <c r="E39" i="1" s="1"/>
  <c r="F39" i="1" s="1"/>
  <c r="G39" i="1" s="1"/>
  <c r="H39" i="1" s="1"/>
  <c r="I39" i="1" s="1"/>
  <c r="J39" i="1" s="1"/>
  <c r="D6" i="4"/>
  <c r="D11" i="4" s="1"/>
  <c r="G49" i="2" l="1"/>
  <c r="E6" i="4" l="1"/>
  <c r="E11" i="4" s="1"/>
  <c r="H49" i="2" l="1"/>
  <c r="F6" i="4" l="1"/>
  <c r="F11" i="4" s="1"/>
  <c r="I49" i="2" l="1"/>
  <c r="J49" i="2" l="1"/>
  <c r="H11" i="4" s="1"/>
  <c r="G6" i="4" l="1"/>
  <c r="G11" i="4" s="1"/>
  <c r="E5" i="3" l="1"/>
  <c r="E4" i="3" s="1"/>
  <c r="E9" i="3" s="1"/>
  <c r="E13" i="3" l="1"/>
  <c r="E17" i="3"/>
  <c r="E7" i="3"/>
  <c r="E5" i="2"/>
  <c r="E8" i="3"/>
  <c r="E24" i="2"/>
  <c r="E18" i="3"/>
  <c r="E16" i="3" s="1"/>
  <c r="E10" i="2"/>
  <c r="E21" i="1" s="1"/>
  <c r="E6" i="3" l="1"/>
  <c r="E25" i="3" s="1"/>
  <c r="E20" i="2"/>
  <c r="E60" i="2" s="1"/>
  <c r="E20" i="1"/>
  <c r="E23" i="1" s="1"/>
  <c r="B12" i="4" s="1"/>
  <c r="E4" i="2"/>
  <c r="F21" i="3"/>
  <c r="F22" i="1" l="1"/>
  <c r="C5" i="4"/>
  <c r="C10" i="4" s="1"/>
  <c r="E31" i="1"/>
  <c r="E32" i="1"/>
  <c r="B4" i="4"/>
  <c r="B7" i="4" s="1"/>
  <c r="B8" i="4" l="1"/>
  <c r="B9" i="4" s="1"/>
  <c r="E33" i="1"/>
  <c r="E34" i="1" s="1"/>
  <c r="B13" i="4" s="1"/>
  <c r="B14" i="4" l="1"/>
  <c r="B19" i="4" l="1"/>
  <c r="C18" i="5"/>
  <c r="F5" i="3"/>
  <c r="F4" i="3" s="1"/>
  <c r="G5" i="3" l="1"/>
  <c r="G4" i="3" s="1"/>
  <c r="G13" i="3"/>
  <c r="G7" i="3"/>
  <c r="G18" i="3"/>
  <c r="G8" i="3"/>
  <c r="G5" i="2"/>
  <c r="G17" i="3"/>
  <c r="G16" i="3" s="1"/>
  <c r="G9" i="3"/>
  <c r="G10" i="2"/>
  <c r="G24" i="2"/>
  <c r="F7" i="3"/>
  <c r="F8" i="3"/>
  <c r="F5" i="2"/>
  <c r="F17" i="3"/>
  <c r="F16" i="3" s="1"/>
  <c r="F9" i="3"/>
  <c r="F10" i="2"/>
  <c r="F21" i="1" s="1"/>
  <c r="F24" i="2"/>
  <c r="F18" i="3"/>
  <c r="F13" i="3"/>
  <c r="H5" i="3"/>
  <c r="G21" i="1" l="1"/>
  <c r="F20" i="2"/>
  <c r="F6" i="3"/>
  <c r="F25" i="3" s="1"/>
  <c r="G4" i="2"/>
  <c r="H21" i="3"/>
  <c r="G20" i="1"/>
  <c r="F4" i="2"/>
  <c r="G21" i="3"/>
  <c r="F20" i="1"/>
  <c r="F23" i="1" s="1"/>
  <c r="C12" i="4" s="1"/>
  <c r="G20" i="2"/>
  <c r="G60" i="2" s="1"/>
  <c r="G32" i="1" s="1"/>
  <c r="G6" i="3"/>
  <c r="G25" i="3" s="1"/>
  <c r="H4" i="3"/>
  <c r="I5" i="3"/>
  <c r="D4" i="4" l="1"/>
  <c r="H22" i="1"/>
  <c r="E5" i="4"/>
  <c r="E10" i="4" s="1"/>
  <c r="I4" i="3"/>
  <c r="J5" i="3"/>
  <c r="J4" i="3" s="1"/>
  <c r="H18" i="3"/>
  <c r="H13" i="3"/>
  <c r="H7" i="3"/>
  <c r="H8" i="3"/>
  <c r="H5" i="2"/>
  <c r="H17" i="3"/>
  <c r="H16" i="3" s="1"/>
  <c r="H9" i="3"/>
  <c r="H10" i="2"/>
  <c r="H21" i="1" s="1"/>
  <c r="H24" i="2"/>
  <c r="G22" i="1"/>
  <c r="G23" i="1" s="1"/>
  <c r="D12" i="4" s="1"/>
  <c r="D5" i="4"/>
  <c r="D10" i="4" s="1"/>
  <c r="F31" i="1"/>
  <c r="G31" i="1"/>
  <c r="G33" i="1" s="1"/>
  <c r="C4" i="4"/>
  <c r="C7" i="4" s="1"/>
  <c r="F60" i="2"/>
  <c r="F32" i="1" s="1"/>
  <c r="C8" i="4" l="1"/>
  <c r="C9" i="4"/>
  <c r="I18" i="3"/>
  <c r="I13" i="3"/>
  <c r="I7" i="3"/>
  <c r="I24" i="2"/>
  <c r="I8" i="3"/>
  <c r="I10" i="2"/>
  <c r="I21" i="1" s="1"/>
  <c r="I5" i="2"/>
  <c r="I17" i="3"/>
  <c r="I16" i="3" s="1"/>
  <c r="I9" i="3"/>
  <c r="H20" i="1"/>
  <c r="H23" i="1" s="1"/>
  <c r="E12" i="4" s="1"/>
  <c r="H4" i="2"/>
  <c r="I21" i="3"/>
  <c r="H20" i="2"/>
  <c r="H60" i="2" s="1"/>
  <c r="H32" i="1" s="1"/>
  <c r="H6" i="3"/>
  <c r="H25" i="3" s="1"/>
  <c r="J10" i="2"/>
  <c r="J24" i="2"/>
  <c r="J18" i="3"/>
  <c r="J13" i="3"/>
  <c r="J7" i="3"/>
  <c r="J8" i="3"/>
  <c r="J5" i="2"/>
  <c r="J17" i="3"/>
  <c r="J16" i="3" s="1"/>
  <c r="J9" i="3"/>
  <c r="F33" i="1"/>
  <c r="F34" i="1" s="1"/>
  <c r="C13" i="4" s="1"/>
  <c r="D7" i="4"/>
  <c r="D8" i="4" l="1"/>
  <c r="D9" i="4" s="1"/>
  <c r="I22" i="1"/>
  <c r="F5" i="4"/>
  <c r="F10" i="4" s="1"/>
  <c r="J4" i="2"/>
  <c r="H5" i="4"/>
  <c r="H10" i="4" s="1"/>
  <c r="H12" i="4"/>
  <c r="J20" i="1"/>
  <c r="J21" i="1"/>
  <c r="I20" i="1"/>
  <c r="I23" i="1" s="1"/>
  <c r="F12" i="4" s="1"/>
  <c r="I4" i="2"/>
  <c r="J21" i="3"/>
  <c r="G34" i="1"/>
  <c r="D13" i="4" s="1"/>
  <c r="J6" i="3"/>
  <c r="J25" i="3" s="1"/>
  <c r="J20" i="2"/>
  <c r="J60" i="2" s="1"/>
  <c r="J32" i="1" s="1"/>
  <c r="E4" i="4"/>
  <c r="E7" i="4" s="1"/>
  <c r="C14" i="4"/>
  <c r="I20" i="2"/>
  <c r="I60" i="2" s="1"/>
  <c r="I32" i="1" s="1"/>
  <c r="I6" i="3"/>
  <c r="I25" i="3" s="1"/>
  <c r="H31" i="1"/>
  <c r="H33" i="1" s="1"/>
  <c r="H34" i="1" s="1"/>
  <c r="E13" i="4" s="1"/>
  <c r="J22" i="1" l="1"/>
  <c r="G5" i="4"/>
  <c r="G10" i="4" s="1"/>
  <c r="G4" i="4"/>
  <c r="F4" i="4"/>
  <c r="F7" i="4" s="1"/>
  <c r="E8" i="4"/>
  <c r="E9" i="4" s="1"/>
  <c r="E14" i="4" s="1"/>
  <c r="D14" i="4"/>
  <c r="J23" i="1"/>
  <c r="G12" i="4" s="1"/>
  <c r="I31" i="1"/>
  <c r="I33" i="1" s="1"/>
  <c r="I34" i="1" s="1"/>
  <c r="F13" i="4" s="1"/>
  <c r="D18" i="5"/>
  <c r="C19" i="4"/>
  <c r="J31" i="1"/>
  <c r="J33" i="1" s="1"/>
  <c r="F18" i="5" l="1"/>
  <c r="E19" i="4"/>
  <c r="E18" i="5"/>
  <c r="D19" i="4"/>
  <c r="F8" i="4"/>
  <c r="F9" i="4" s="1"/>
  <c r="F14" i="4" s="1"/>
  <c r="G7" i="4"/>
  <c r="H4" i="4"/>
  <c r="H7" i="4" s="1"/>
  <c r="J34" i="1"/>
  <c r="G13" i="4" s="1"/>
  <c r="H13" i="4"/>
  <c r="G18" i="5" l="1"/>
  <c r="F19" i="4"/>
  <c r="G8" i="4"/>
  <c r="G9" i="4" s="1"/>
  <c r="G14" i="4" s="1"/>
  <c r="H8" i="4"/>
  <c r="H9" i="4" s="1"/>
  <c r="H14" i="4" s="1"/>
  <c r="I18" i="5" s="1"/>
  <c r="H18" i="5" l="1"/>
  <c r="G19" i="4"/>
  <c r="H38" i="2"/>
  <c r="H19" i="2"/>
  <c r="H67" i="2"/>
  <c r="H43" i="2"/>
  <c r="H37" i="5"/>
  <c r="H48" i="2"/>
  <c r="H38" i="3"/>
  <c r="B22" i="4"/>
  <c r="I67" i="2"/>
  <c r="I43" i="2"/>
  <c r="P57" i="2"/>
  <c r="G56" i="2"/>
  <c r="J37" i="3"/>
  <c r="G67" i="2"/>
  <c r="G43" i="2"/>
  <c r="J56" i="2"/>
  <c r="J57" i="2"/>
  <c r="E38" i="2"/>
  <c r="E19" i="2"/>
  <c r="I19" i="2"/>
  <c r="I38" i="2"/>
  <c r="G32" i="4"/>
  <c r="J37" i="2"/>
  <c r="J36" i="2"/>
  <c r="J19" i="2"/>
  <c r="J38" i="2"/>
  <c r="E67" i="2"/>
  <c r="E43" i="2"/>
  <c r="F42" i="1"/>
  <c r="F43" i="1"/>
  <c r="C22" i="4"/>
  <c r="J36" i="3"/>
  <c r="J38" i="3"/>
  <c r="J48" i="2"/>
  <c r="J43" i="2"/>
  <c r="J67" i="2"/>
  <c r="G38" i="2"/>
  <c r="G19" i="2"/>
  <c r="F29" i="4"/>
  <c r="F23" i="4"/>
  <c r="H56" i="2"/>
  <c r="Q57" i="2"/>
  <c r="G29" i="4"/>
  <c r="G23" i="4"/>
  <c r="G44" i="2"/>
  <c r="G42" i="1"/>
  <c r="G43" i="1"/>
  <c r="D22" i="4"/>
  <c r="G48" i="2"/>
  <c r="G38" i="3"/>
  <c r="N57" i="2"/>
  <c r="E56" i="2"/>
  <c r="A37" i="5"/>
  <c r="I48" i="2"/>
  <c r="I38" i="3"/>
  <c r="J32" i="3"/>
  <c r="J31" i="3"/>
  <c r="G20" i="4"/>
  <c r="G21" i="4"/>
  <c r="C30" i="4"/>
  <c r="F20" i="4"/>
  <c r="F21" i="4"/>
  <c r="C21" i="4"/>
  <c r="J51" i="2"/>
  <c r="J50" i="2"/>
  <c r="E37" i="3"/>
  <c r="C20" i="4"/>
  <c r="C23" i="4"/>
  <c r="C29" i="4"/>
  <c r="F32" i="4"/>
  <c r="I37" i="2"/>
  <c r="I36" i="2"/>
  <c r="G28" i="4"/>
  <c r="G30" i="4"/>
  <c r="E32" i="4"/>
  <c r="H37" i="2"/>
  <c r="H36" i="2"/>
  <c r="F28" i="4"/>
  <c r="F30" i="4"/>
  <c r="H36" i="3"/>
  <c r="H37" i="3"/>
  <c r="F38" i="2"/>
  <c r="F19" i="2"/>
  <c r="D32" i="4"/>
  <c r="G37" i="2"/>
  <c r="G36" i="2"/>
  <c r="E28" i="4"/>
  <c r="E30" i="4"/>
  <c r="F37" i="3"/>
  <c r="F67" i="2"/>
  <c r="F44" i="2"/>
  <c r="F43" i="2"/>
  <c r="C17" i="6"/>
  <c r="B24" i="5"/>
  <c r="B30" i="5"/>
  <c r="J5" i="5"/>
  <c r="J6" i="5"/>
  <c r="B9" i="5"/>
  <c r="B13" i="5"/>
  <c r="J8" i="5"/>
  <c r="H20" i="5"/>
  <c r="G20" i="5"/>
  <c r="F20" i="5"/>
  <c r="E20" i="5"/>
  <c r="D20" i="5"/>
  <c r="C20" i="5"/>
  <c r="B20" i="5"/>
  <c r="B17" i="6"/>
  <c r="E22" i="4"/>
  <c r="H43" i="1"/>
  <c r="H44" i="2"/>
  <c r="H42" i="1"/>
  <c r="D21" i="4"/>
  <c r="E21" i="4"/>
  <c r="I44" i="2"/>
  <c r="I42" i="1"/>
  <c r="I43" i="1"/>
  <c r="F22" i="4"/>
  <c r="F50" i="2"/>
  <c r="I32" i="3"/>
  <c r="I31" i="3"/>
  <c r="I36" i="3"/>
  <c r="I37" i="3"/>
  <c r="B32" i="4"/>
  <c r="E37" i="2"/>
  <c r="E36" i="2"/>
  <c r="C28" i="4"/>
  <c r="C32" i="4"/>
  <c r="F37" i="2"/>
  <c r="F36" i="2"/>
  <c r="D28" i="4"/>
  <c r="D30" i="4"/>
  <c r="G22" i="4"/>
  <c r="F45" i="2"/>
  <c r="G45" i="2"/>
  <c r="H45" i="2"/>
  <c r="I45" i="2"/>
  <c r="J45" i="2"/>
  <c r="J44" i="2"/>
  <c r="J42" i="1"/>
  <c r="J43" i="1"/>
  <c r="D20" i="4"/>
  <c r="D23" i="4"/>
  <c r="D29" i="4"/>
  <c r="H32" i="3"/>
  <c r="H31" i="3"/>
  <c r="E20" i="4"/>
  <c r="E23" i="4"/>
  <c r="E29" i="4"/>
  <c r="I51" i="2"/>
  <c r="I50" i="2"/>
  <c r="B21" i="4"/>
  <c r="F32" i="3"/>
  <c r="F31" i="3"/>
  <c r="F36" i="3"/>
  <c r="F38" i="3"/>
  <c r="F48" i="2"/>
  <c r="E50" i="2"/>
  <c r="H51" i="2"/>
  <c r="H50" i="2"/>
  <c r="G50" i="2"/>
  <c r="O57" i="2"/>
  <c r="F56" i="2"/>
  <c r="F51" i="2"/>
  <c r="G51" i="2"/>
  <c r="G32" i="3"/>
  <c r="G31" i="3"/>
  <c r="G36" i="3"/>
  <c r="G37" i="3"/>
  <c r="E36" i="3"/>
  <c r="E38" i="3"/>
  <c r="E48" i="2"/>
  <c r="F47" i="2"/>
  <c r="G47" i="2"/>
  <c r="H47" i="2"/>
  <c r="I47" i="2"/>
  <c r="J47" i="2"/>
  <c r="E51" i="2"/>
  <c r="E32" i="3"/>
  <c r="E31" i="3"/>
  <c r="B20" i="4"/>
  <c r="B23" i="4"/>
  <c r="B29" i="4"/>
  <c r="B30" i="4"/>
  <c r="E45" i="2"/>
  <c r="E44" i="2"/>
  <c r="E42" i="1"/>
  <c r="E43" i="1"/>
  <c r="E57" i="2"/>
  <c r="F57" i="2"/>
  <c r="G57" i="2"/>
  <c r="H57" i="2"/>
  <c r="I57" i="2"/>
  <c r="I56" i="2"/>
</calcChain>
</file>

<file path=xl/sharedStrings.xml><?xml version="1.0" encoding="utf-8"?>
<sst xmlns="http://schemas.openxmlformats.org/spreadsheetml/2006/main" count="344" uniqueCount="228">
  <si>
    <t>HIPÓTESIS DE CUENTA DE RESULTADOS</t>
  </si>
  <si>
    <t>CONCEPTO</t>
  </si>
  <si>
    <t>Variación Importe neto de la cifra de negocio</t>
  </si>
  <si>
    <t>Consumo de mercad./Imp. neto cifra de neg.</t>
  </si>
  <si>
    <t>Consumo de mat. prim./Imp. neto cifra de neg.</t>
  </si>
  <si>
    <t>Trabajos realiz. otras emp./Imp. neto cifra de neg.</t>
  </si>
  <si>
    <t>Gastos de personal/Imp. neto cifra de negocio</t>
  </si>
  <si>
    <t>Servicios exteriores/Imp. neto cifra de negocio</t>
  </si>
  <si>
    <t>Tributos/Imp. neto cifra de negocio</t>
  </si>
  <si>
    <t>Imputación subv. inmov./Subv. recibidas</t>
  </si>
  <si>
    <t>Impuesto sobre beneficio/Result. antes de impuest.</t>
  </si>
  <si>
    <t>HIPÓTESIS DE ACTIVO FIJO</t>
  </si>
  <si>
    <t>Activo fijo intangible/Imp. neto cifra neg.</t>
  </si>
  <si>
    <t>Activo fijo material/Imp. neto cifra neg.</t>
  </si>
  <si>
    <t>Dotación a la amort./Activo fijo intan. y material</t>
  </si>
  <si>
    <t>Variación inmovilizado intangible</t>
  </si>
  <si>
    <t>Variación inmovilizado material</t>
  </si>
  <si>
    <t>Dotación a la amortización</t>
  </si>
  <si>
    <t>CAPEX</t>
  </si>
  <si>
    <t>NECESIDADES OPERATIVAS DE FONDOS</t>
  </si>
  <si>
    <t>Periodo medio de inventario</t>
  </si>
  <si>
    <t>Periodo medio de cobro</t>
  </si>
  <si>
    <t>Periodo medio de pago</t>
  </si>
  <si>
    <t>Activo circulante</t>
  </si>
  <si>
    <t>Pasivo circulante</t>
  </si>
  <si>
    <t>Fondo de maniobra</t>
  </si>
  <si>
    <t>ESTRUCTURA FINANCIERA</t>
  </si>
  <si>
    <t>Deuda financiera/(Deuda fin. y fondos propios)</t>
  </si>
  <si>
    <t>Deuda fin. largo plazo/Deuda financiera total</t>
  </si>
  <si>
    <t>Coste efectivo de la deuda</t>
  </si>
  <si>
    <t>Variación fondos propios</t>
  </si>
  <si>
    <t>Variación deuda financiera</t>
  </si>
  <si>
    <t>OTRAS HIPÓTESIS</t>
  </si>
  <si>
    <t>Tipo sin riesgo</t>
  </si>
  <si>
    <t>Prima de mercado</t>
  </si>
  <si>
    <t>Beta desapalancada</t>
  </si>
  <si>
    <t>Prima de liquidez</t>
  </si>
  <si>
    <t>ESTRUCTURA DEL ACTIVO</t>
  </si>
  <si>
    <t>A) ACTIVO NO CORRIENTE</t>
  </si>
  <si>
    <t>I Inmovilizado intangible</t>
  </si>
  <si>
    <t>    2. Concesiones</t>
  </si>
  <si>
    <t>    3. Patentes, licencias, marcas y similares</t>
  </si>
  <si>
    <t>    5. Aplicaciones informáticas</t>
  </si>
  <si>
    <t>    7. Otro inmovilizado intangible</t>
  </si>
  <si>
    <t>II Inmovilizado material</t>
  </si>
  <si>
    <t>    1. Terrenos y construcciones</t>
  </si>
  <si>
    <t>    2. Inst. técnicas y otro inmovilizado material</t>
  </si>
  <si>
    <t>    3. Inmovilizado en curso y anticipos</t>
  </si>
  <si>
    <t>IV Inv. en emp. del grupo y asoc. a largo plazo</t>
  </si>
  <si>
    <t>    1. Instrumentos de patrimonio</t>
  </si>
  <si>
    <t>    2. Créditos a empresas</t>
  </si>
  <si>
    <t>V Inversiones financieras a largo plazo</t>
  </si>
  <si>
    <t>    5. Otros activos financieros</t>
  </si>
  <si>
    <t>B) ACTIVO CORRIENTE</t>
  </si>
  <si>
    <t>II Existencias</t>
  </si>
  <si>
    <t>    1. Comerciales</t>
  </si>
  <si>
    <t>    2. Materias primas y otros aprovisionamientos</t>
  </si>
  <si>
    <t>    6. Anticipos a proveedores</t>
  </si>
  <si>
    <t>III Deudores comerc. y otras cuentas a cobrar</t>
  </si>
  <si>
    <t>    1. Clientes por ventas y prestaciones de serv.</t>
  </si>
  <si>
    <t>    2. Clientes empresas del grupo y asociadas</t>
  </si>
  <si>
    <t>    3. Deudores varios</t>
  </si>
  <si>
    <t>    5. Activos por impuesto corriente</t>
  </si>
  <si>
    <t>    6. Otros créditos con las Administ. Públicas</t>
  </si>
  <si>
    <t>IV Inv. en emp. del grupo y asoc. a corto plazo</t>
  </si>
  <si>
    <t>V Inversiones financieras a corto plazo</t>
  </si>
  <si>
    <t>VI Periodificaciones a corto plazo</t>
  </si>
  <si>
    <t>VII Efectivo y otros activos líquidos equiv.</t>
  </si>
  <si>
    <t>    1. Tesorería</t>
  </si>
  <si>
    <t>TOTAL ACTIVO</t>
  </si>
  <si>
    <t>ESTRUCTURA DEL PASIVO</t>
  </si>
  <si>
    <t>A) PATRIMONIO NETO</t>
  </si>
  <si>
    <t>A-1) Fondos propios</t>
  </si>
  <si>
    <t>I Capital</t>
  </si>
  <si>
    <t>II Prima de emisión</t>
  </si>
  <si>
    <t>III Reservas</t>
  </si>
  <si>
    <t>VII Resultado del ejercicio</t>
  </si>
  <si>
    <t>A-3) Subv., donaciones y legados recibidos</t>
  </si>
  <si>
    <t>B) PASIVO NO CORRIENTE</t>
  </si>
  <si>
    <t>II Deudas a largo plazo</t>
  </si>
  <si>
    <t>    2. Deudas con entidades de crédito</t>
  </si>
  <si>
    <t>    4. Derivados</t>
  </si>
  <si>
    <t>    5. Otros pasivos financieros</t>
  </si>
  <si>
    <t>IV Pasivos por impuesto diferido</t>
  </si>
  <si>
    <t>C) PASIVO CORRIENTE</t>
  </si>
  <si>
    <t>III Deudas a corto plazo</t>
  </si>
  <si>
    <t>V Acreedores com. y otras cuentas a pagar</t>
  </si>
  <si>
    <t>    1. Proveedores</t>
  </si>
  <si>
    <t>    2. Proveedores, emp. del grupo y asociadas</t>
  </si>
  <si>
    <t>    3. Acreedores varios</t>
  </si>
  <si>
    <t>    4. Personal (remuneraciones pend. de pago)</t>
  </si>
  <si>
    <t>    5. Pasivos por impuesto corriente</t>
  </si>
  <si>
    <t>    6. Otras deudas con las Administ. Públicas</t>
  </si>
  <si>
    <t>TOTAL PATRIMONIO NETO Y PASIVO</t>
  </si>
  <si>
    <t>CUENTA DE RESULTADOS</t>
  </si>
  <si>
    <t>1. Importe neto de la cifra de negocios</t>
  </si>
  <si>
    <t>    a) Ventas</t>
  </si>
  <si>
    <t>4. Aprovisionamientos</t>
  </si>
  <si>
    <t>    a) Consumo de mercaderías</t>
  </si>
  <si>
    <t>    b) Consumo de mat. primas y otras mat. cons.</t>
  </si>
  <si>
    <t>    c) Trabajos realizados por otras empresas</t>
  </si>
  <si>
    <t>5. Otros ingresos de explotación</t>
  </si>
  <si>
    <t>    a) Ingresos accesorios y otros de gest. corr.</t>
  </si>
  <si>
    <t>    b) Subvenc. de explot. incorpor. al result. del ej.</t>
  </si>
  <si>
    <t>6. Gastos de personal</t>
  </si>
  <si>
    <t>    a) Sueldos, salarios y asimilados</t>
  </si>
  <si>
    <t>    b) Cargas sociales</t>
  </si>
  <si>
    <t>7. Otros gastos de explotación</t>
  </si>
  <si>
    <t>    a) Servicios exteriores</t>
  </si>
  <si>
    <t>    b) Tributos</t>
  </si>
  <si>
    <t>    c) Pérd., deterioro y var. de prov. por op. com.</t>
  </si>
  <si>
    <t>    d) Otros gastos de gestión corriente</t>
  </si>
  <si>
    <t>8. Amortización del inmovilizado</t>
  </si>
  <si>
    <t>9. Imputación de subvenc. de inmov. no financ.</t>
  </si>
  <si>
    <t>11. Deterioro y resultado por enaj. del inmov.</t>
  </si>
  <si>
    <t>    b) Resultados por enajenaciones y otras</t>
  </si>
  <si>
    <t>A1) RESULTADO DE EXPLOTACIÓN</t>
  </si>
  <si>
    <t>14. Ingresos financieros</t>
  </si>
  <si>
    <t>    b) De valores negociables y otros instr. fin.</t>
  </si>
  <si>
    <t>        a) De empresas del grupo y asociadas</t>
  </si>
  <si>
    <t>        b) De terceros</t>
  </si>
  <si>
    <t>    c) Imputación de subv. y donac. de carácter fin.</t>
  </si>
  <si>
    <t>15. Gastos financieros</t>
  </si>
  <si>
    <t>    b) Por deudas con terceros</t>
  </si>
  <si>
    <t>16. Variación de valor razonable en instr. fin.</t>
  </si>
  <si>
    <t>    a) Cartera de negociación y otros</t>
  </si>
  <si>
    <t>17. Diferencias de cambio</t>
  </si>
  <si>
    <t>A3) RESULTADO ANTES DE IMPUESTOS</t>
  </si>
  <si>
    <t>19. Impuestos sobre beneficios</t>
  </si>
  <si>
    <t>A5) RESULTADO DEL EJERCICIO</t>
  </si>
  <si>
    <t>DESGLOSE DEL FLUJO DE CAJA LIBRE</t>
  </si>
  <si>
    <t>EBITDA</t>
  </si>
  <si>
    <t>EBIT</t>
  </si>
  <si>
    <t>NOPLAT</t>
  </si>
  <si>
    <t>FLUJO DE CAJA LIBRE</t>
  </si>
  <si>
    <t>DESGLOSE DEL FLUJO DE CAJA LIBRE PARA EL ACCIONISTA</t>
  </si>
  <si>
    <t>Incremento/amortización de Deuda</t>
  </si>
  <si>
    <t>FLUJO PARA LOS ACCIONISTAS</t>
  </si>
  <si>
    <t>SALDO CONTABLE DE CAJA</t>
  </si>
  <si>
    <t>Saldo de caja del ejercicio anterior</t>
  </si>
  <si>
    <t>Flujo de caja libre para los accionistas</t>
  </si>
  <si>
    <t>Aportaciones accionistas</t>
  </si>
  <si>
    <t>Dividendos repartidos</t>
  </si>
  <si>
    <t>SALDO DE CAJA DEL EJERCICIO</t>
  </si>
  <si>
    <t>ESTIMACIÓN DEL COSTE DEL CAPITAL MEDIO PONDERADO</t>
  </si>
  <si>
    <t>COSTE DE LOS FONDOS PROPIOS</t>
  </si>
  <si>
    <t>COSTE DE LA DEUDA FINANCIERA</t>
  </si>
  <si>
    <t>COSTE DEL CAPITAL MEDIO PONDERADO</t>
  </si>
  <si>
    <t>kd</t>
  </si>
  <si>
    <t>DF/(DF+E)</t>
  </si>
  <si>
    <t>kd desp. impuestos</t>
  </si>
  <si>
    <t>DF/E</t>
  </si>
  <si>
    <t>Beta reapalancada</t>
  </si>
  <si>
    <t>Crecimiento a perp.</t>
  </si>
  <si>
    <t>ke</t>
  </si>
  <si>
    <t>ESTIMACIÓN DEL VALOR DE LA EMPRESA</t>
  </si>
  <si>
    <t>ENTERPRISE VALUE</t>
  </si>
  <si>
    <t>ESTIMACIÓN DEL VALOR DE LOS FONDOS PROPIOS</t>
  </si>
  <si>
    <t>Activos no operativos</t>
  </si>
  <si>
    <t>Deuda fin. Neta</t>
  </si>
  <si>
    <t>EQUITY VALUE</t>
  </si>
  <si>
    <t>ANÁLISIS DE SENSIBILIDAD EV</t>
  </si>
  <si>
    <t>VALORACIÓN SEGÚN MÚLTIPLO EV/EBITDA</t>
  </si>
  <si>
    <t>Múltiplo EV/EBITDA</t>
  </si>
  <si>
    <t>MÚLTIPLO IMPLÍCITO</t>
  </si>
  <si>
    <t>EV/EBITDA</t>
  </si>
  <si>
    <t>Años proyección</t>
  </si>
  <si>
    <t>X</t>
  </si>
  <si>
    <t>X-1</t>
  </si>
  <si>
    <t>X-2</t>
  </si>
  <si>
    <t>X+1</t>
  </si>
  <si>
    <t>X+2</t>
  </si>
  <si>
    <t>X+3</t>
  </si>
  <si>
    <t>X+4</t>
  </si>
  <si>
    <t>X+5</t>
  </si>
  <si>
    <t>X+6</t>
  </si>
  <si>
    <t>Normalizado</t>
  </si>
  <si>
    <t>Tasa libre de riesgo</t>
  </si>
  <si>
    <t>Ratio cobertura de interes</t>
  </si>
  <si>
    <t>Spread default</t>
  </si>
  <si>
    <t>Kd</t>
  </si>
  <si>
    <t>WACC</t>
  </si>
  <si>
    <t>(-)Dotación a la amortización</t>
  </si>
  <si>
    <t>(+)Imputación de subvención por inmovilizado</t>
  </si>
  <si>
    <t>(-)Impuestos ajustados</t>
  </si>
  <si>
    <t>(+)Dotación a la amortización</t>
  </si>
  <si>
    <t>(-)Imputación de subvención por inmovilizado</t>
  </si>
  <si>
    <t>(-)CAPEX</t>
  </si>
  <si>
    <t>(+/-)Necesidades op. de fondos</t>
  </si>
  <si>
    <t>(-)Gastos financieros</t>
  </si>
  <si>
    <t>(+)Escudo fiscal</t>
  </si>
  <si>
    <t xml:space="preserve">Deuda financiera </t>
  </si>
  <si>
    <t>Deuda financiera</t>
  </si>
  <si>
    <t>Coste de la deuda</t>
  </si>
  <si>
    <t xml:space="preserve">Fondo monetario internacional ratio de inflacion </t>
  </si>
  <si>
    <r>
      <t xml:space="preserve">Crecimiento a perpetuidad </t>
    </r>
    <r>
      <rPr>
        <sz val="10"/>
        <color rgb="FFFF0000"/>
        <rFont val="Arial"/>
        <family val="2"/>
      </rPr>
      <t>valor residual</t>
    </r>
  </si>
  <si>
    <t>dato anunciado</t>
  </si>
  <si>
    <t>datos lo dice</t>
  </si>
  <si>
    <t>Incremento de inmoviliazados bnetos + amortizacin del ejercicio</t>
  </si>
  <si>
    <t>se mantiene</t>
  </si>
  <si>
    <t>Manenemos  las formulas</t>
  </si>
  <si>
    <t>Variación Necesidades operativas de fondos</t>
  </si>
  <si>
    <t>desconocemos</t>
  </si>
  <si>
    <t>0 o hacer un promedio de los 2 ultimos años</t>
  </si>
  <si>
    <t>Considermos Extraordinarios</t>
  </si>
  <si>
    <t>No suma, no entra, la subvnecion entro en x-1 en balance, y lo que hace es salir cada año</t>
  </si>
  <si>
    <t>No cocnocemo el dato, y no influye valoracion de la empresa, nos interesa resutlado de explotacion para arriba</t>
  </si>
  <si>
    <t>funcion de las ventas según los datos</t>
  </si>
  <si>
    <t>Los mantenemos cosntantes y los umaraemos al final</t>
  </si>
  <si>
    <t xml:space="preserve">consumo de mercaderias + </t>
  </si>
  <si>
    <t>Consatantes</t>
  </si>
  <si>
    <t>Constantes</t>
  </si>
  <si>
    <t>flujo de caja del accionista</t>
  </si>
  <si>
    <t>mantiene</t>
  </si>
  <si>
    <t>importe fijo restando lo imputando anualmente  a  los resutlado</t>
  </si>
  <si>
    <t>Tasa impositiva del pasi ,es constante</t>
  </si>
  <si>
    <t>confirmar esta bien</t>
  </si>
  <si>
    <t>Sino fueran iguales tendriema que hacer un wacc para cada ejercicio en funcion de como vaya variando.</t>
  </si>
  <si>
    <t>Consumo de mercaderias + Existencias año en curso -Existencoias año anterior / 365 * Periodo medio de pago</t>
  </si>
  <si>
    <t>CAPEX va en funconde las vaentas, premisa la equivalencia  entre amortización y CAPEX en valor residual para evitar  se nos disparen los inmovilizados en valor residual o que tiendan a 0. Entonces o hay que igualar G10 = G12 o que G12 va creciendo en funcion de las ventas</t>
  </si>
  <si>
    <t>Positivo es entrada negativo es salida, para normalizar ponemos un incremento igual que las ventas</t>
  </si>
  <si>
    <t>gastos financieros * impuesto de sociedades</t>
  </si>
  <si>
    <t>pablo ferndandez 2023</t>
  </si>
  <si>
    <t>sector procesado de alimentos, sector anticiclo menor de 1  damoradan</t>
  </si>
  <si>
    <t>unlevered beta</t>
  </si>
  <si>
    <t>empresas que nop cotizan, si fuera un aminoritaria minimo 2,5. pero como es empresa entera</t>
  </si>
  <si>
    <t>Descuento flujo caja video</t>
  </si>
  <si>
    <t>damoradan - data- ebit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</si>
</sst>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General&quot;E&quot;"/>
    <numFmt numFmtId="165" formatCode="0.0000"/>
    <numFmt numFmtId="166" formatCode="#,##0.0000"/>
    <numFmt numFmtId="167" formatCode="General\ &quot;E&quot;"/>
    <numFmt numFmtId="168" formatCode="0.000%"/>
    <numFmt numFmtId="169" formatCode="&quot;k\g&quot;"/>
    <numFmt numFmtId="170" formatCode="0.00&quot;x&quot;"/>
  </numFmts>
  <fonts count="8" x14ac:knownFonts="1">
    <font>
      <sz val="10"/>
      <name val="Arial"/>
      <family val="2"/>
    </font>
    <font>
      <sz val="10"/>
      <name val="Arial"/>
      <family val="2"/>
    </font>
    <font>
      <b/>
      <sz val="10"/>
      <color indexed="9"/>
      <name val="Arial"/>
      <family val="2"/>
    </font>
    <font>
      <sz val="10"/>
      <color indexed="9"/>
      <name val="Arial"/>
      <family val="2"/>
    </font>
    <font>
      <b/>
      <sz val="10"/>
      <color indexed="8"/>
      <name val="Arial"/>
      <family val="2"/>
    </font>
    <font>
      <b/>
      <sz val="10"/>
      <name val="Arial"/>
      <family val="2"/>
    </font>
    <font>
      <sz val="10"/>
      <color indexed="8"/>
      <name val="Arial"/>
      <family val="2"/>
    </font>
    <font>
      <sz val="10"/>
      <color rgb="FFFF0000"/>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them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93">
    <xf numFmtId="0" fontId="0" fillId="0" borderId="0" xfId="0"/>
    <xf numFmtId="0" fontId="2" fillId="2" borderId="0" xfId="0" applyFont="1" applyFill="1"/>
    <xf numFmtId="0" fontId="3" fillId="2" borderId="0" xfId="0" applyFont="1" applyFill="1"/>
    <xf numFmtId="0" fontId="4" fillId="0" borderId="1" xfId="0" applyFont="1" applyBorder="1"/>
    <xf numFmtId="0" fontId="6" fillId="0" borderId="2" xfId="0" applyFont="1" applyBorder="1"/>
    <xf numFmtId="10" fontId="1" fillId="0" borderId="2" xfId="0" applyNumberFormat="1" applyFont="1" applyBorder="1"/>
    <xf numFmtId="0" fontId="1" fillId="0" borderId="0" xfId="0" applyFont="1"/>
    <xf numFmtId="0" fontId="0" fillId="0" borderId="3" xfId="0" applyBorder="1"/>
    <xf numFmtId="10" fontId="0" fillId="0" borderId="3" xfId="1" applyNumberFormat="1" applyFont="1" applyBorder="1"/>
    <xf numFmtId="10" fontId="0" fillId="0" borderId="3" xfId="0" applyNumberFormat="1" applyBorder="1"/>
    <xf numFmtId="0" fontId="0" fillId="0" borderId="4" xfId="0" applyBorder="1"/>
    <xf numFmtId="10" fontId="0" fillId="0" borderId="4" xfId="1" applyNumberFormat="1" applyFont="1" applyBorder="1"/>
    <xf numFmtId="10" fontId="0" fillId="0" borderId="4" xfId="0" applyNumberFormat="1" applyBorder="1"/>
    <xf numFmtId="0" fontId="0" fillId="0" borderId="2" xfId="0" applyBorder="1"/>
    <xf numFmtId="10" fontId="0" fillId="0" borderId="2" xfId="1" applyNumberFormat="1" applyFont="1" applyBorder="1"/>
    <xf numFmtId="10" fontId="0" fillId="0" borderId="2" xfId="0" applyNumberFormat="1" applyBorder="1"/>
    <xf numFmtId="3" fontId="0" fillId="0" borderId="2" xfId="0" applyNumberFormat="1" applyBorder="1"/>
    <xf numFmtId="3" fontId="0" fillId="0" borderId="3" xfId="0" applyNumberFormat="1" applyBorder="1"/>
    <xf numFmtId="0" fontId="0" fillId="0" borderId="1" xfId="0" applyBorder="1"/>
    <xf numFmtId="3" fontId="0" fillId="0" borderId="1" xfId="0" applyNumberFormat="1" applyBorder="1"/>
    <xf numFmtId="4" fontId="0" fillId="0" borderId="2" xfId="0" applyNumberFormat="1" applyBorder="1"/>
    <xf numFmtId="4" fontId="0" fillId="0" borderId="3" xfId="0" applyNumberFormat="1" applyBorder="1"/>
    <xf numFmtId="4" fontId="0" fillId="0" borderId="4" xfId="0" applyNumberFormat="1" applyBorder="1"/>
    <xf numFmtId="10" fontId="0" fillId="0" borderId="4" xfId="1" applyNumberFormat="1" applyFont="1" applyFill="1" applyBorder="1"/>
    <xf numFmtId="3" fontId="0" fillId="0" borderId="4" xfId="0" applyNumberFormat="1" applyBorder="1"/>
    <xf numFmtId="10" fontId="0" fillId="0" borderId="0" xfId="1" applyNumberFormat="1" applyFont="1" applyBorder="1"/>
    <xf numFmtId="10" fontId="0" fillId="0" borderId="0" xfId="0" applyNumberFormat="1"/>
    <xf numFmtId="0" fontId="1" fillId="0" borderId="1" xfId="0" applyFont="1" applyBorder="1"/>
    <xf numFmtId="10" fontId="1" fillId="0" borderId="5" xfId="0" applyNumberFormat="1" applyFont="1" applyBorder="1"/>
    <xf numFmtId="165" fontId="1" fillId="0" borderId="5" xfId="0" applyNumberFormat="1" applyFont="1" applyBorder="1"/>
    <xf numFmtId="10" fontId="0" fillId="0" borderId="1" xfId="0" applyNumberFormat="1" applyBorder="1"/>
    <xf numFmtId="0" fontId="0" fillId="0" borderId="1" xfId="0" applyBorder="1" applyAlignment="1">
      <alignment horizontal="right"/>
    </xf>
    <xf numFmtId="0" fontId="5" fillId="0" borderId="1" xfId="0" applyFont="1" applyBorder="1"/>
    <xf numFmtId="3" fontId="5" fillId="0" borderId="1" xfId="0" applyNumberFormat="1" applyFont="1" applyBorder="1" applyAlignment="1">
      <alignment horizontal="right"/>
    </xf>
    <xf numFmtId="0" fontId="5" fillId="0" borderId="3" xfId="0" applyFont="1" applyBorder="1"/>
    <xf numFmtId="3" fontId="5" fillId="0" borderId="3" xfId="0" applyNumberFormat="1" applyFont="1" applyBorder="1" applyAlignment="1">
      <alignment horizontal="right"/>
    </xf>
    <xf numFmtId="3" fontId="0" fillId="0" borderId="3" xfId="0" applyNumberFormat="1" applyBorder="1" applyAlignment="1">
      <alignment horizontal="right"/>
    </xf>
    <xf numFmtId="0" fontId="5" fillId="0" borderId="0" xfId="0" applyFont="1"/>
    <xf numFmtId="3" fontId="5" fillId="0" borderId="0" xfId="0" applyNumberFormat="1" applyFont="1" applyAlignment="1">
      <alignment horizontal="right"/>
    </xf>
    <xf numFmtId="166" fontId="5" fillId="0" borderId="0" xfId="0" applyNumberFormat="1" applyFont="1" applyAlignment="1">
      <alignment horizontal="right"/>
    </xf>
    <xf numFmtId="3" fontId="2" fillId="2" borderId="0" xfId="0" applyNumberFormat="1" applyFont="1" applyFill="1"/>
    <xf numFmtId="3" fontId="0" fillId="0" borderId="0" xfId="0" applyNumberFormat="1" applyAlignment="1">
      <alignment horizontal="right"/>
    </xf>
    <xf numFmtId="0" fontId="0" fillId="0" borderId="0" xfId="0" applyAlignment="1">
      <alignment horizontal="right"/>
    </xf>
    <xf numFmtId="3" fontId="0" fillId="0" borderId="0" xfId="0" applyNumberFormat="1"/>
    <xf numFmtId="49" fontId="5" fillId="0" borderId="1" xfId="0" applyNumberFormat="1" applyFont="1" applyBorder="1" applyAlignment="1">
      <alignment horizontal="left"/>
    </xf>
    <xf numFmtId="167" fontId="5" fillId="0" borderId="1" xfId="0" applyNumberFormat="1" applyFont="1" applyBorder="1" applyAlignment="1">
      <alignment horizontal="right"/>
    </xf>
    <xf numFmtId="3" fontId="5" fillId="0" borderId="1" xfId="0" applyNumberFormat="1" applyFont="1" applyBorder="1"/>
    <xf numFmtId="0" fontId="1" fillId="0" borderId="3" xfId="0" applyFont="1" applyBorder="1"/>
    <xf numFmtId="166" fontId="0" fillId="0" borderId="0" xfId="0" applyNumberFormat="1"/>
    <xf numFmtId="0" fontId="1" fillId="0" borderId="2" xfId="0" applyFont="1" applyBorder="1"/>
    <xf numFmtId="3" fontId="1" fillId="0" borderId="1" xfId="0" applyNumberFormat="1" applyFont="1" applyBorder="1"/>
    <xf numFmtId="3" fontId="5" fillId="0" borderId="4" xfId="0" applyNumberFormat="1" applyFon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10" fontId="1" fillId="0" borderId="8" xfId="0" applyNumberFormat="1" applyFont="1" applyBorder="1"/>
    <xf numFmtId="10" fontId="1" fillId="0" borderId="5" xfId="1" applyNumberFormat="1" applyFont="1" applyFill="1" applyBorder="1"/>
    <xf numFmtId="0" fontId="1" fillId="0" borderId="4" xfId="0" applyFont="1" applyBorder="1"/>
    <xf numFmtId="165" fontId="1" fillId="0" borderId="8" xfId="0" applyNumberFormat="1" applyFont="1" applyBorder="1"/>
    <xf numFmtId="10" fontId="1" fillId="0" borderId="1" xfId="0" applyNumberFormat="1" applyFont="1" applyBorder="1"/>
    <xf numFmtId="4" fontId="0" fillId="0" borderId="1" xfId="0" applyNumberFormat="1" applyBorder="1"/>
    <xf numFmtId="4" fontId="0" fillId="0" borderId="0" xfId="0" applyNumberFormat="1"/>
    <xf numFmtId="3" fontId="5" fillId="0" borderId="0" xfId="0" applyNumberFormat="1" applyFont="1"/>
    <xf numFmtId="169" fontId="5" fillId="0" borderId="1" xfId="0" applyNumberFormat="1" applyFont="1" applyBorder="1"/>
    <xf numFmtId="10" fontId="5" fillId="0" borderId="1" xfId="0" applyNumberFormat="1" applyFont="1" applyBorder="1"/>
    <xf numFmtId="3" fontId="0" fillId="3" borderId="1" xfId="0" applyNumberFormat="1" applyFill="1" applyBorder="1"/>
    <xf numFmtId="168" fontId="0" fillId="0" borderId="0" xfId="0" applyNumberFormat="1"/>
    <xf numFmtId="170" fontId="0" fillId="0" borderId="1" xfId="0" applyNumberFormat="1" applyBorder="1"/>
    <xf numFmtId="170" fontId="1" fillId="0" borderId="1" xfId="0" applyNumberFormat="1" applyFont="1" applyBorder="1"/>
    <xf numFmtId="0" fontId="5" fillId="0" borderId="1" xfId="0" applyFont="1" applyBorder="1" applyAlignment="1">
      <alignment horizontal="center"/>
    </xf>
    <xf numFmtId="164" fontId="5" fillId="0" borderId="1" xfId="0" applyNumberFormat="1" applyFont="1" applyBorder="1" applyAlignment="1">
      <alignment horizontal="center"/>
    </xf>
    <xf numFmtId="9" fontId="0" fillId="0" borderId="0" xfId="0" applyNumberFormat="1"/>
    <xf numFmtId="3" fontId="1" fillId="0" borderId="0" xfId="0" applyNumberFormat="1" applyFont="1"/>
    <xf numFmtId="4" fontId="1" fillId="0" borderId="0" xfId="0" applyNumberFormat="1" applyFont="1"/>
    <xf numFmtId="10" fontId="1" fillId="0" borderId="1" xfId="1" applyNumberFormat="1" applyFont="1" applyBorder="1"/>
    <xf numFmtId="10" fontId="0" fillId="0" borderId="0" xfId="1" applyNumberFormat="1" applyFont="1"/>
    <xf numFmtId="0" fontId="0" fillId="4" borderId="0" xfId="0" applyFill="1"/>
    <xf numFmtId="0" fontId="5" fillId="4" borderId="1" xfId="0" applyFont="1" applyFill="1" applyBorder="1" applyAlignment="1">
      <alignment horizontal="center"/>
    </xf>
    <xf numFmtId="10" fontId="1" fillId="4" borderId="2" xfId="0" applyNumberFormat="1" applyFont="1" applyFill="1" applyBorder="1"/>
    <xf numFmtId="10" fontId="0" fillId="4" borderId="3" xfId="1" applyNumberFormat="1" applyFont="1" applyFill="1" applyBorder="1"/>
    <xf numFmtId="10" fontId="0" fillId="4" borderId="4" xfId="1" applyNumberFormat="1" applyFont="1" applyFill="1" applyBorder="1"/>
    <xf numFmtId="10" fontId="0" fillId="4" borderId="2" xfId="1" applyNumberFormat="1" applyFont="1" applyFill="1" applyBorder="1"/>
    <xf numFmtId="3" fontId="0" fillId="4" borderId="2" xfId="0" applyNumberFormat="1" applyFill="1" applyBorder="1"/>
    <xf numFmtId="3" fontId="0" fillId="4" borderId="3" xfId="0" applyNumberFormat="1" applyFill="1" applyBorder="1"/>
    <xf numFmtId="3" fontId="0" fillId="4" borderId="1" xfId="0" applyNumberFormat="1" applyFill="1" applyBorder="1"/>
    <xf numFmtId="4" fontId="0" fillId="4" borderId="2" xfId="0" applyNumberFormat="1" applyFill="1" applyBorder="1"/>
    <xf numFmtId="4" fontId="0" fillId="4" borderId="3" xfId="0" applyNumberFormat="1" applyFill="1" applyBorder="1"/>
    <xf numFmtId="4" fontId="0" fillId="4" borderId="4" xfId="0" applyNumberFormat="1" applyFill="1" applyBorder="1"/>
    <xf numFmtId="10" fontId="0" fillId="4" borderId="0" xfId="1" applyNumberFormat="1" applyFont="1" applyFill="1" applyBorder="1"/>
    <xf numFmtId="2" fontId="1" fillId="0" borderId="5" xfId="0" applyNumberFormat="1" applyFont="1" applyBorder="1"/>
    <xf numFmtId="2" fontId="0" fillId="0" borderId="0" xfId="0" applyNumberFormat="1"/>
    <xf numFmtId="9" fontId="0" fillId="0" borderId="0" xfId="1"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200026</xdr:colOff>
      <xdr:row>0</xdr:row>
      <xdr:rowOff>85725</xdr:rowOff>
    </xdr:from>
    <xdr:to>
      <xdr:col>7</xdr:col>
      <xdr:colOff>523875</xdr:colOff>
      <xdr:row>56</xdr:row>
      <xdr:rowOff>114300</xdr:rowOff>
    </xdr:to>
    <xdr:sp macro="" textlink="">
      <xdr:nvSpPr>
        <xdr:cNvPr id="2" name="CuadroTexto 1">
          <a:extLst>
            <a:ext uri="{FF2B5EF4-FFF2-40B4-BE49-F238E27FC236}">
              <a16:creationId xmlns:a16="http://schemas.microsoft.com/office/drawing/2014/main" id="{DC95E3F0-081C-4404-AB66-C458FBD2A481}"/>
            </a:ext>
          </a:extLst>
        </xdr:cNvPr>
        <xdr:cNvSpPr txBox="1"/>
      </xdr:nvSpPr>
      <xdr:spPr>
        <a:xfrm>
          <a:off x="200026" y="85725"/>
          <a:ext cx="5657849" cy="909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a:p>
          <a:r>
            <a:rPr lang="es-ES" sz="1100"/>
            <a:t>Valorar la siguiente empresa española del sector del procesado</a:t>
          </a:r>
          <a:r>
            <a:rPr lang="es-ES" sz="1100" baseline="0"/>
            <a:t> de alimentos en base a los siguientes datos:</a:t>
          </a:r>
          <a:endParaRPr lang="es-ES" sz="1100"/>
        </a:p>
        <a:p>
          <a:endParaRPr lang="es-ES" sz="1100"/>
        </a:p>
        <a:p>
          <a:r>
            <a:rPr lang="es-ES" sz="1100"/>
            <a:t>a) A pesar del importante crecimiento de la facturación de la sociedad en el</a:t>
          </a:r>
        </a:p>
        <a:p>
          <a:r>
            <a:rPr lang="es-ES" sz="1100"/>
            <a:t>ejercicio (X-1) y anteriores, la evolución de la actividad en el ejercicio (X) pone</a:t>
          </a:r>
        </a:p>
        <a:p>
          <a:r>
            <a:rPr lang="es-ES" sz="1100"/>
            <a:t>de manifiesto una progresiva estabilización que se prevé continuará en los</a:t>
          </a:r>
        </a:p>
        <a:p>
          <a:r>
            <a:rPr lang="es-ES" sz="1100"/>
            <a:t>próximos años. Por ello el experto independiente estima suficiente un intervalo</a:t>
          </a:r>
        </a:p>
        <a:p>
          <a:r>
            <a:rPr lang="es-ES" sz="1100"/>
            <a:t>de 6 años de proyección explícita de las distintas magnitudes económico-financieras de la empresa para considerar tal estabilización del crecimiento. </a:t>
          </a:r>
        </a:p>
        <a:p>
          <a:endParaRPr lang="es-ES" sz="1100"/>
        </a:p>
        <a:p>
          <a:r>
            <a:rPr lang="es-ES" sz="1100"/>
            <a:t>b) En los próximos años se prevé un</a:t>
          </a:r>
          <a:r>
            <a:rPr lang="es-ES" sz="1100" baseline="0"/>
            <a:t>a mejora del margen del consumo de mercaderias sobre cifra de negocio hasta alcanzar el 88,25% en el año (X+6), debido a una nueva tecnología implantada en la fábrica que disminuye las mermas de materias primas durante el proceso de fabricación.</a:t>
          </a:r>
          <a:endParaRPr lang="es-ES" sz="1100"/>
        </a:p>
        <a:p>
          <a:endParaRPr lang="es-ES" sz="1100"/>
        </a:p>
        <a:p>
          <a:r>
            <a:rPr lang="es-ES" sz="1100"/>
            <a:t>c) A pesar de que en los últimos años la sociedad ha disfrutado de importantes</a:t>
          </a:r>
        </a:p>
        <a:p>
          <a:r>
            <a:rPr lang="es-ES" sz="1100"/>
            <a:t>subvenciones tanto de capital como de la explotación, no se cree que en los </a:t>
          </a:r>
        </a:p>
        <a:p>
          <a:r>
            <a:rPr lang="es-ES" sz="1100"/>
            <a:t>próximos ejercicios se vuelvan a repetir este tipo de ayudas.</a:t>
          </a:r>
        </a:p>
        <a:p>
          <a:endParaRPr lang="es-ES" sz="1100"/>
        </a:p>
        <a:p>
          <a:r>
            <a:rPr lang="es-ES" sz="1100"/>
            <a:t>d) En los próximos ejercicios continuará el esfuerzo inversor realizado por</a:t>
          </a:r>
        </a:p>
        <a:p>
          <a:r>
            <a:rPr lang="es-ES" sz="1100"/>
            <a:t>la sociedad en los últimos años, no se espera que el crecimiento neto del inmovilizado sea </a:t>
          </a:r>
        </a:p>
        <a:p>
          <a:r>
            <a:rPr lang="es-ES" sz="1100"/>
            <a:t>sustancialmente distinto del de la facturación. Asimismo no se esperan cambios</a:t>
          </a:r>
        </a:p>
        <a:p>
          <a:r>
            <a:rPr lang="es-ES" sz="1100"/>
            <a:t>importantes en la política de amortización de la empresa.</a:t>
          </a:r>
        </a:p>
        <a:p>
          <a:endParaRPr lang="es-ES" sz="1100"/>
        </a:p>
        <a:p>
          <a:r>
            <a:rPr lang="es-ES" sz="1100"/>
            <a:t>e) En los próximos años no se prevé que los periodos medios de cobro, pago,</a:t>
          </a:r>
        </a:p>
        <a:p>
          <a:r>
            <a:rPr lang="es-ES" sz="1100"/>
            <a:t>inventario y, en definitiva, el periodo medio de maduración de la empresa sean</a:t>
          </a:r>
        </a:p>
        <a:p>
          <a:r>
            <a:rPr lang="es-ES" sz="1100"/>
            <a:t>sustancialmente distintos de los propios del ejercicio (X).</a:t>
          </a:r>
        </a:p>
        <a:p>
          <a:endParaRPr lang="es-ES" sz="1100"/>
        </a:p>
        <a:p>
          <a:r>
            <a:rPr lang="es-ES" sz="1100"/>
            <a:t>f) El tipo efectivo del Impuesto de Sociedades que se considera soportará</a:t>
          </a:r>
        </a:p>
        <a:p>
          <a:r>
            <a:rPr lang="es-ES" sz="1100"/>
            <a:t>la sociedad en el futuro es similar al tipo impositivo efectivamente soportado</a:t>
          </a:r>
        </a:p>
        <a:p>
          <a:r>
            <a:rPr lang="es-ES" sz="1100"/>
            <a:t>los últimos ejercicios económicos. Tampoco se estiman variaciones importantes</a:t>
          </a:r>
        </a:p>
        <a:p>
          <a:r>
            <a:rPr lang="es-ES" sz="1100"/>
            <a:t>en lo referido a los pasivos acumulados con la Hacienda Pública por concepto de</a:t>
          </a:r>
        </a:p>
        <a:p>
          <a:r>
            <a:rPr lang="es-ES" sz="1100"/>
            <a:t>impuestos diferidos.</a:t>
          </a:r>
        </a:p>
        <a:p>
          <a:endParaRPr lang="es-ES" sz="1100"/>
        </a:p>
        <a:p>
          <a:r>
            <a:rPr lang="es-ES" sz="1100"/>
            <a:t>g) La sociedad trabaja con la hipótesis de que los próximos ejercicios el peso de su deuda financiera sobre sus fondos propios no cambiará sustancialmente respecto al año (X), se considera que el coste efectivo de la deuda es similar al exigido por el mercado de deuda.</a:t>
          </a:r>
        </a:p>
        <a:p>
          <a:endParaRPr lang="es-ES" sz="1100"/>
        </a:p>
        <a:p>
          <a:r>
            <a:rPr lang="es-ES" sz="1100"/>
            <a:t>h) En los balances se aprecia la presencia de saldos mantenidos por la sociedad en empresas</a:t>
          </a:r>
        </a:p>
        <a:p>
          <a:r>
            <a:rPr lang="es-ES" sz="1100"/>
            <a:t>del grupo y asociadas, así como inversiones financieras a largo y corto plazo. En este sentido se considera que el valor razonable de tales inversiones no es sustancialmente distinto de su valor contable.</a:t>
          </a: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7159-44D5-4FCF-AAE7-157DDC2B0C39}">
  <dimension ref="A1"/>
  <sheetViews>
    <sheetView topLeftCell="A19" zoomScale="150" zoomScaleNormal="150" workbookViewId="0">
      <selection activeCell="I23" sqref="I23"/>
    </sheetView>
  </sheetViews>
  <sheetFormatPr baseColWidth="10" defaultColWidth="11.44140625" defaultRowHeight="13.2"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4BEE2-FB5D-464F-80D4-8F9912E21C14}">
  <sheetPr>
    <pageSetUpPr fitToPage="1"/>
  </sheetPr>
  <dimension ref="A1:M52"/>
  <sheetViews>
    <sheetView tabSelected="1" workbookViewId="0">
      <selection activeCell="D29" sqref="D29"/>
    </sheetView>
  </sheetViews>
  <sheetFormatPr baseColWidth="10" defaultColWidth="11.44140625" defaultRowHeight="13.2" x14ac:dyDescent="0.25"/>
  <cols>
    <col min="1" max="1" width="44.33203125" bestFit="1" customWidth="1"/>
    <col min="2" max="3" width="11.6640625" customWidth="1"/>
    <col min="4" max="4" width="10.109375" bestFit="1" customWidth="1"/>
    <col min="5" max="10" width="11.6640625" customWidth="1"/>
  </cols>
  <sheetData>
    <row r="1" spans="1:13" x14ac:dyDescent="0.25">
      <c r="A1" s="1" t="s">
        <v>0</v>
      </c>
      <c r="B1" s="2"/>
      <c r="C1" s="2"/>
      <c r="D1" s="2"/>
      <c r="E1" s="2"/>
      <c r="F1" s="2"/>
      <c r="G1" s="2"/>
      <c r="H1" s="2"/>
      <c r="I1" s="2"/>
      <c r="J1" s="2"/>
    </row>
    <row r="2" spans="1:13" x14ac:dyDescent="0.25">
      <c r="D2" s="77"/>
    </row>
    <row r="3" spans="1:13" x14ac:dyDescent="0.25">
      <c r="A3" s="3" t="s">
        <v>1</v>
      </c>
      <c r="B3" s="70" t="s">
        <v>169</v>
      </c>
      <c r="C3" s="70" t="s">
        <v>168</v>
      </c>
      <c r="D3" s="78" t="s">
        <v>167</v>
      </c>
      <c r="E3" s="71" t="s">
        <v>170</v>
      </c>
      <c r="F3" s="71" t="s">
        <v>171</v>
      </c>
      <c r="G3" s="71" t="s">
        <v>172</v>
      </c>
      <c r="H3" s="71" t="s">
        <v>173</v>
      </c>
      <c r="I3" s="71" t="s">
        <v>174</v>
      </c>
      <c r="J3" s="71" t="s">
        <v>175</v>
      </c>
    </row>
    <row r="4" spans="1:13" s="6" customFormat="1" x14ac:dyDescent="0.25">
      <c r="A4" s="4" t="s">
        <v>2</v>
      </c>
      <c r="B4" s="5"/>
      <c r="C4" s="5">
        <f>('Cuentas de PyG'!C4-'Cuentas de PyG'!B4)/'Cuentas de PyG'!B4</f>
        <v>0.2338376336483676</v>
      </c>
      <c r="D4" s="79">
        <f>('Cuentas de PyG'!D4-'Cuentas de PyG'!C4)/'Cuentas de PyG'!C4</f>
        <v>9.1271003274551357E-2</v>
      </c>
      <c r="E4" s="5">
        <f>+D4-(($D$4-$B$51)/6)</f>
        <v>7.8892502728792793E-2</v>
      </c>
      <c r="F4" s="5">
        <f t="shared" ref="F4:J4" si="0">+E4-(($D$4-$B$51)/6)</f>
        <v>6.6514002183034229E-2</v>
      </c>
      <c r="G4" s="5">
        <f t="shared" si="0"/>
        <v>5.4135501637275672E-2</v>
      </c>
      <c r="H4" s="5">
        <f t="shared" si="0"/>
        <v>4.1757001091517115E-2</v>
      </c>
      <c r="I4" s="5">
        <f t="shared" si="0"/>
        <v>2.9378500545758558E-2</v>
      </c>
      <c r="J4" s="5">
        <f t="shared" si="0"/>
        <v>1.7000000000000001E-2</v>
      </c>
    </row>
    <row r="5" spans="1:13" x14ac:dyDescent="0.25">
      <c r="A5" s="7" t="s">
        <v>3</v>
      </c>
      <c r="B5" s="8">
        <f>-'Cuentas de PyG'!B7/'Cuentas de PyG'!B4</f>
        <v>0.89551153260248639</v>
      </c>
      <c r="C5" s="8">
        <f>-'Cuentas de PyG'!C7/'Cuentas de PyG'!C4</f>
        <v>0.88933301001855203</v>
      </c>
      <c r="D5" s="80">
        <f>-'Cuentas de PyG'!D7/'Cuentas de PyG'!D4</f>
        <v>0.89083170997658989</v>
      </c>
      <c r="E5" s="9">
        <f>+D5-($D$5-$K$5)/6</f>
        <v>0.88944309164715829</v>
      </c>
      <c r="F5" s="9">
        <f t="shared" ref="F5:J5" si="1">+E5-($D$5-$K$5)/6</f>
        <v>0.88805447331772669</v>
      </c>
      <c r="G5" s="9">
        <f t="shared" si="1"/>
        <v>0.88666585498829509</v>
      </c>
      <c r="H5" s="9">
        <f t="shared" si="1"/>
        <v>0.88527723665886349</v>
      </c>
      <c r="I5" s="9">
        <f t="shared" si="1"/>
        <v>0.88388861832943189</v>
      </c>
      <c r="J5" s="9">
        <f t="shared" si="1"/>
        <v>0.88250000000000028</v>
      </c>
      <c r="K5" s="26">
        <v>0.88249999999999995</v>
      </c>
      <c r="M5" t="s">
        <v>196</v>
      </c>
    </row>
    <row r="6" spans="1:13" x14ac:dyDescent="0.25">
      <c r="A6" s="7" t="s">
        <v>4</v>
      </c>
      <c r="B6" s="8">
        <f>-'Cuentas de PyG'!B8/'Cuentas de PyG'!B4</f>
        <v>1.7837537015569154E-2</v>
      </c>
      <c r="C6" s="8">
        <f>-'Cuentas de PyG'!C8/'Cuentas de PyG'!C4</f>
        <v>1.2039208122244805E-2</v>
      </c>
      <c r="D6" s="80">
        <f>-'Cuentas de PyG'!D8/'Cuentas de PyG'!D4</f>
        <v>1.0630695520464332E-2</v>
      </c>
      <c r="E6" s="9">
        <f t="shared" ref="E6:J12" si="2">D6</f>
        <v>1.0630695520464332E-2</v>
      </c>
      <c r="F6" s="9">
        <f t="shared" si="2"/>
        <v>1.0630695520464332E-2</v>
      </c>
      <c r="G6" s="9">
        <f t="shared" si="2"/>
        <v>1.0630695520464332E-2</v>
      </c>
      <c r="H6" s="9">
        <f t="shared" si="2"/>
        <v>1.0630695520464332E-2</v>
      </c>
      <c r="I6" s="9">
        <f t="shared" si="2"/>
        <v>1.0630695520464332E-2</v>
      </c>
      <c r="J6" s="9">
        <f t="shared" si="2"/>
        <v>1.0630695520464332E-2</v>
      </c>
    </row>
    <row r="7" spans="1:13" x14ac:dyDescent="0.25">
      <c r="A7" s="7" t="s">
        <v>5</v>
      </c>
      <c r="B7" s="8">
        <f>-'Cuentas de PyG'!B9/'Cuentas de PyG'!B4</f>
        <v>8.7567749186848367E-3</v>
      </c>
      <c r="C7" s="8">
        <f>-'Cuentas de PyG'!C9/'Cuentas de PyG'!C4</f>
        <v>1.7726469882434714E-2</v>
      </c>
      <c r="D7" s="80">
        <f>-'Cuentas de PyG'!D9/'Cuentas de PyG'!D4</f>
        <v>1.6314533000359413E-2</v>
      </c>
      <c r="E7" s="9">
        <f t="shared" si="2"/>
        <v>1.6314533000359413E-2</v>
      </c>
      <c r="F7" s="9">
        <f t="shared" si="2"/>
        <v>1.6314533000359413E-2</v>
      </c>
      <c r="G7" s="9">
        <f t="shared" si="2"/>
        <v>1.6314533000359413E-2</v>
      </c>
      <c r="H7" s="9">
        <f t="shared" si="2"/>
        <v>1.6314533000359413E-2</v>
      </c>
      <c r="I7" s="9">
        <f t="shared" si="2"/>
        <v>1.6314533000359413E-2</v>
      </c>
      <c r="J7" s="9">
        <f t="shared" si="2"/>
        <v>1.6314533000359413E-2</v>
      </c>
    </row>
    <row r="8" spans="1:13" x14ac:dyDescent="0.25">
      <c r="A8" s="7" t="s">
        <v>6</v>
      </c>
      <c r="B8" s="8">
        <f>-'Cuentas de PyG'!B13/'Cuentas de PyG'!B4</f>
        <v>3.061460199757041E-2</v>
      </c>
      <c r="C8" s="8">
        <f>-'Cuentas de PyG'!C13/'Cuentas de PyG'!C4</f>
        <v>2.8769799724486716E-2</v>
      </c>
      <c r="D8" s="80">
        <f>-'Cuentas de PyG'!D13/'Cuentas de PyG'!D4</f>
        <v>2.8899141181154445E-2</v>
      </c>
      <c r="E8" s="9">
        <f t="shared" si="2"/>
        <v>2.8899141181154445E-2</v>
      </c>
      <c r="F8" s="9">
        <f t="shared" si="2"/>
        <v>2.8899141181154445E-2</v>
      </c>
      <c r="G8" s="9">
        <f t="shared" si="2"/>
        <v>2.8899141181154445E-2</v>
      </c>
      <c r="H8" s="9">
        <f t="shared" si="2"/>
        <v>2.8899141181154445E-2</v>
      </c>
      <c r="I8" s="9">
        <f t="shared" si="2"/>
        <v>2.8899141181154445E-2</v>
      </c>
      <c r="J8" s="9">
        <f t="shared" si="2"/>
        <v>2.8899141181154445E-2</v>
      </c>
    </row>
    <row r="9" spans="1:13" x14ac:dyDescent="0.25">
      <c r="A9" s="7" t="s">
        <v>7</v>
      </c>
      <c r="B9" s="8">
        <f>-'Cuentas de PyG'!B17/'Cuentas de PyG'!B4</f>
        <v>2.2016151546857338E-2</v>
      </c>
      <c r="C9" s="8">
        <f>-'Cuentas de PyG'!C17/'Cuentas de PyG'!C4</f>
        <v>2.005518571610862E-2</v>
      </c>
      <c r="D9" s="80">
        <f>-'Cuentas de PyG'!D17/'Cuentas de PyG'!D4</f>
        <v>2.3355677437496818E-2</v>
      </c>
      <c r="E9" s="9">
        <f t="shared" si="2"/>
        <v>2.3355677437496818E-2</v>
      </c>
      <c r="F9" s="9">
        <f t="shared" si="2"/>
        <v>2.3355677437496818E-2</v>
      </c>
      <c r="G9" s="9">
        <f t="shared" si="2"/>
        <v>2.3355677437496818E-2</v>
      </c>
      <c r="H9" s="9">
        <f t="shared" si="2"/>
        <v>2.3355677437496818E-2</v>
      </c>
      <c r="I9" s="9">
        <f t="shared" si="2"/>
        <v>2.3355677437496818E-2</v>
      </c>
      <c r="J9" s="9">
        <f t="shared" si="2"/>
        <v>2.3355677437496818E-2</v>
      </c>
    </row>
    <row r="10" spans="1:13" x14ac:dyDescent="0.25">
      <c r="A10" s="7" t="s">
        <v>8</v>
      </c>
      <c r="B10" s="8">
        <f>-'Cuentas de PyG'!B18/'Cuentas de PyG'!B4</f>
        <v>2.883374425388523E-4</v>
      </c>
      <c r="C10" s="8">
        <f>-'Cuentas de PyG'!C18/'Cuentas de PyG'!C4</f>
        <v>4.6909788051292703E-4</v>
      </c>
      <c r="D10" s="80">
        <f>-'Cuentas de PyG'!D18/'Cuentas de PyG'!D4</f>
        <v>3.6514102197518803E-4</v>
      </c>
      <c r="E10" s="9">
        <f t="shared" si="2"/>
        <v>3.6514102197518803E-4</v>
      </c>
      <c r="F10" s="9">
        <f t="shared" si="2"/>
        <v>3.6514102197518803E-4</v>
      </c>
      <c r="G10" s="9">
        <f t="shared" si="2"/>
        <v>3.6514102197518803E-4</v>
      </c>
      <c r="H10" s="9">
        <f t="shared" si="2"/>
        <v>3.6514102197518803E-4</v>
      </c>
      <c r="I10" s="9">
        <f t="shared" si="2"/>
        <v>3.6514102197518803E-4</v>
      </c>
      <c r="J10" s="9">
        <f t="shared" si="2"/>
        <v>3.6514102197518803E-4</v>
      </c>
    </row>
    <row r="11" spans="1:13" x14ac:dyDescent="0.25">
      <c r="A11" s="7" t="s">
        <v>9</v>
      </c>
      <c r="B11" s="8"/>
      <c r="C11" s="8">
        <f>'Cuentas de PyG'!C22/Balances!B49</f>
        <v>0.18868034733849925</v>
      </c>
      <c r="D11" s="80">
        <f>'Cuentas de PyG'!D22/Balances!C49</f>
        <v>0.10435818289993257</v>
      </c>
      <c r="E11" s="9">
        <f t="shared" si="2"/>
        <v>0.10435818289993257</v>
      </c>
      <c r="F11" s="9">
        <f t="shared" si="2"/>
        <v>0.10435818289993257</v>
      </c>
      <c r="G11" s="9">
        <f t="shared" si="2"/>
        <v>0.10435818289993257</v>
      </c>
      <c r="H11" s="9">
        <f t="shared" si="2"/>
        <v>0.10435818289993257</v>
      </c>
      <c r="I11" s="9">
        <f t="shared" si="2"/>
        <v>0.10435818289993257</v>
      </c>
      <c r="J11" s="9">
        <f t="shared" si="2"/>
        <v>0.10435818289993257</v>
      </c>
    </row>
    <row r="12" spans="1:13" x14ac:dyDescent="0.25">
      <c r="A12" s="10" t="s">
        <v>10</v>
      </c>
      <c r="B12" s="11">
        <f>-'Cuentas de PyG'!B37/'Cuentas de PyG'!B36</f>
        <v>0.31129147547279817</v>
      </c>
      <c r="C12" s="11">
        <f>-'Cuentas de PyG'!C37/'Cuentas de PyG'!C36</f>
        <v>0.29417097552144572</v>
      </c>
      <c r="D12" s="81">
        <f>-'Cuentas de PyG'!D37/'Cuentas de PyG'!D36</f>
        <v>0.30042961690472758</v>
      </c>
      <c r="E12" s="12">
        <f t="shared" si="2"/>
        <v>0.30042961690472758</v>
      </c>
      <c r="F12" s="12">
        <f t="shared" si="2"/>
        <v>0.30042961690472758</v>
      </c>
      <c r="G12" s="12">
        <f t="shared" si="2"/>
        <v>0.30042961690472758</v>
      </c>
      <c r="H12" s="12">
        <f t="shared" si="2"/>
        <v>0.30042961690472758</v>
      </c>
      <c r="I12" s="12">
        <f t="shared" si="2"/>
        <v>0.30042961690472758</v>
      </c>
      <c r="J12" s="12">
        <f t="shared" si="2"/>
        <v>0.30042961690472758</v>
      </c>
    </row>
    <row r="13" spans="1:13" x14ac:dyDescent="0.25">
      <c r="D13" s="77"/>
    </row>
    <row r="14" spans="1:13" x14ac:dyDescent="0.25">
      <c r="A14" s="1" t="s">
        <v>11</v>
      </c>
      <c r="B14" s="2"/>
      <c r="C14" s="2"/>
      <c r="D14" s="2"/>
      <c r="E14" s="2"/>
      <c r="F14" s="2"/>
      <c r="G14" s="2"/>
      <c r="H14" s="2"/>
      <c r="I14" s="2"/>
      <c r="J14" s="2"/>
    </row>
    <row r="15" spans="1:13" x14ac:dyDescent="0.25">
      <c r="D15" s="77"/>
    </row>
    <row r="16" spans="1:13" x14ac:dyDescent="0.25">
      <c r="A16" s="3" t="s">
        <v>1</v>
      </c>
      <c r="B16" s="70" t="s">
        <v>169</v>
      </c>
      <c r="C16" s="70" t="s">
        <v>168</v>
      </c>
      <c r="D16" s="78" t="s">
        <v>167</v>
      </c>
      <c r="E16" s="71" t="s">
        <v>170</v>
      </c>
      <c r="F16" s="71" t="s">
        <v>171</v>
      </c>
      <c r="G16" s="71" t="s">
        <v>172</v>
      </c>
      <c r="H16" s="71" t="s">
        <v>173</v>
      </c>
      <c r="I16" s="71" t="s">
        <v>174</v>
      </c>
      <c r="J16" s="71" t="s">
        <v>175</v>
      </c>
    </row>
    <row r="17" spans="1:13" x14ac:dyDescent="0.25">
      <c r="A17" s="13" t="s">
        <v>12</v>
      </c>
      <c r="B17" s="14">
        <f>Balances!B5/'Cuentas de PyG'!B4</f>
        <v>8.786422930438533E-4</v>
      </c>
      <c r="C17" s="14">
        <f>Balances!C5/'Cuentas de PyG'!C4</f>
        <v>5.7501846145141392E-4</v>
      </c>
      <c r="D17" s="82">
        <f>Balances!D5/'Cuentas de PyG'!D4</f>
        <v>9.2972433520634667E-4</v>
      </c>
      <c r="E17" s="15">
        <f t="shared" ref="E17:J19" si="3">D17</f>
        <v>9.2972433520634667E-4</v>
      </c>
      <c r="F17" s="15">
        <f t="shared" si="3"/>
        <v>9.2972433520634667E-4</v>
      </c>
      <c r="G17" s="15">
        <f t="shared" si="3"/>
        <v>9.2972433520634667E-4</v>
      </c>
      <c r="H17" s="15">
        <f t="shared" si="3"/>
        <v>9.2972433520634667E-4</v>
      </c>
      <c r="I17" s="15">
        <f t="shared" si="3"/>
        <v>9.2972433520634667E-4</v>
      </c>
      <c r="J17" s="15">
        <f t="shared" si="3"/>
        <v>9.2972433520634667E-4</v>
      </c>
      <c r="L17" t="s">
        <v>197</v>
      </c>
    </row>
    <row r="18" spans="1:13" x14ac:dyDescent="0.25">
      <c r="A18" s="7" t="s">
        <v>13</v>
      </c>
      <c r="B18" s="8">
        <f>Balances!B10/'Cuentas de PyG'!B4</f>
        <v>5.7428685461325665E-2</v>
      </c>
      <c r="C18" s="8">
        <f>Balances!C10/'Cuentas de PyG'!C4</f>
        <v>8.96404966985868E-2</v>
      </c>
      <c r="D18" s="80">
        <f>Balances!D10/'Cuentas de PyG'!D4</f>
        <v>0.13263346500582449</v>
      </c>
      <c r="E18" s="9">
        <f t="shared" si="3"/>
        <v>0.13263346500582449</v>
      </c>
      <c r="F18" s="9">
        <f t="shared" si="3"/>
        <v>0.13263346500582449</v>
      </c>
      <c r="G18" s="9">
        <f t="shared" si="3"/>
        <v>0.13263346500582449</v>
      </c>
      <c r="H18" s="9">
        <f t="shared" si="3"/>
        <v>0.13263346500582449</v>
      </c>
      <c r="I18" s="9">
        <f t="shared" si="3"/>
        <v>0.13263346500582449</v>
      </c>
      <c r="J18" s="9">
        <f t="shared" si="3"/>
        <v>0.13263346500582449</v>
      </c>
    </row>
    <row r="19" spans="1:13" x14ac:dyDescent="0.25">
      <c r="A19" s="10" t="s">
        <v>14</v>
      </c>
      <c r="B19" s="11"/>
      <c r="C19" s="11">
        <f>-'Cuentas de PyG'!C21/(Balances!B5+Balances!B10)</f>
        <v>0.1065713372542863</v>
      </c>
      <c r="D19" s="81">
        <f>-'Cuentas de PyG'!D21/(Balances!C5+Balances!C10)</f>
        <v>0.10507383430009956</v>
      </c>
      <c r="E19" s="12">
        <f t="shared" si="3"/>
        <v>0.10507383430009956</v>
      </c>
      <c r="F19" s="12">
        <f t="shared" si="3"/>
        <v>0.10507383430009956</v>
      </c>
      <c r="G19" s="12">
        <f t="shared" si="3"/>
        <v>0.10507383430009956</v>
      </c>
      <c r="H19" s="12">
        <f t="shared" si="3"/>
        <v>0.10507383430009956</v>
      </c>
      <c r="I19" s="12">
        <f t="shared" si="3"/>
        <v>0.10507383430009956</v>
      </c>
      <c r="J19" s="12">
        <f t="shared" si="3"/>
        <v>0.10507383430009956</v>
      </c>
    </row>
    <row r="20" spans="1:13" x14ac:dyDescent="0.25">
      <c r="A20" s="13" t="s">
        <v>15</v>
      </c>
      <c r="B20" s="13"/>
      <c r="C20" s="16">
        <f>Balances!C5-Balances!B5</f>
        <v>-26832.800000000017</v>
      </c>
      <c r="D20" s="83">
        <f>Balances!D5-Balances!C5</f>
        <v>86028.000000000029</v>
      </c>
      <c r="E20" s="16">
        <f>Balances!E5-Balances!D5</f>
        <v>15665.400253846543</v>
      </c>
      <c r="F20" s="16">
        <f>Balances!F5-Balances!E5</f>
        <v>14249.414429759694</v>
      </c>
      <c r="G20" s="16">
        <f>Balances!G5-Balances!F5</f>
        <v>12368.945171591127</v>
      </c>
      <c r="H20" s="16">
        <f>Balances!H5-Balances!G5</f>
        <v>10057.180387965549</v>
      </c>
      <c r="I20" s="16">
        <f>Balances!I5-Balances!H5</f>
        <v>7371.2814322686172</v>
      </c>
      <c r="J20" s="16">
        <f>Balances!J5-Balances!I5</f>
        <v>4390.7365684823017</v>
      </c>
    </row>
    <row r="21" spans="1:13" x14ac:dyDescent="0.25">
      <c r="A21" s="7" t="s">
        <v>16</v>
      </c>
      <c r="B21" s="7"/>
      <c r="C21" s="17">
        <f>Balances!C10-Balances!B10</f>
        <v>8434380.3999999985</v>
      </c>
      <c r="D21" s="84">
        <f>Balances!D10-Balances!C10</f>
        <v>10783486</v>
      </c>
      <c r="E21" s="17">
        <f>Balances!E10-Balances!D10</f>
        <v>2234809.0048752427</v>
      </c>
      <c r="F21" s="17">
        <f>Balances!F10-Balances!E10</f>
        <v>2032806.0034091286</v>
      </c>
      <c r="G21" s="17">
        <f>Balances!G10-Balances!F10</f>
        <v>1764540.2991533875</v>
      </c>
      <c r="H21" s="17">
        <f>Balances!H10-Balances!G10</f>
        <v>1434746.4431469813</v>
      </c>
      <c r="I21" s="17">
        <f>Balances!I10-Balances!H10</f>
        <v>1051579.0120497271</v>
      </c>
      <c r="J21" s="17">
        <f>Balances!J10-Balances!I10</f>
        <v>626377.715364784</v>
      </c>
    </row>
    <row r="22" spans="1:13" x14ac:dyDescent="0.25">
      <c r="A22" s="7" t="s">
        <v>17</v>
      </c>
      <c r="B22" s="7"/>
      <c r="C22" s="17">
        <f>-'Cuentas de PyG'!C21</f>
        <v>985654</v>
      </c>
      <c r="D22" s="84">
        <f>-'Cuentas de PyG'!D21</f>
        <v>1855217.2</v>
      </c>
      <c r="E22" s="17">
        <f>-'Cuentas de PyG'!E21</f>
        <v>2997318.7129586125</v>
      </c>
      <c r="F22" s="17">
        <f>-'Cuentas de PyG'!F21</f>
        <v>3233784.6876997612</v>
      </c>
      <c r="G22" s="17">
        <f>-'Cuentas de PyG'!G21</f>
        <v>3448876.6494768863</v>
      </c>
      <c r="H22" s="17">
        <f>-'Cuentas de PyG'!H21</f>
        <v>3635583.3169814036</v>
      </c>
      <c r="I22" s="17">
        <f>-'Cuentas de PyG'!I21</f>
        <v>3787394.3735168981</v>
      </c>
      <c r="J22" s="17">
        <f>-'Cuentas de PyG'!J21</f>
        <v>3898662.3411862673</v>
      </c>
    </row>
    <row r="23" spans="1:13" x14ac:dyDescent="0.25">
      <c r="A23" s="18" t="s">
        <v>18</v>
      </c>
      <c r="B23" s="18"/>
      <c r="C23" s="19">
        <f>C20+C21+C22</f>
        <v>9393201.5999999978</v>
      </c>
      <c r="D23" s="85">
        <f>D20+D21+D22</f>
        <v>12724731.199999999</v>
      </c>
      <c r="E23" s="19">
        <f t="shared" ref="E23:J23" si="4">E20+E21+E22</f>
        <v>5247793.1180877015</v>
      </c>
      <c r="F23" s="19">
        <f t="shared" si="4"/>
        <v>5280840.1055386495</v>
      </c>
      <c r="G23" s="19">
        <f t="shared" si="4"/>
        <v>5225785.8938018652</v>
      </c>
      <c r="H23" s="19">
        <f t="shared" si="4"/>
        <v>5080386.9405163508</v>
      </c>
      <c r="I23" s="19">
        <f t="shared" si="4"/>
        <v>4846344.666998894</v>
      </c>
      <c r="J23" s="19">
        <f t="shared" si="4"/>
        <v>4529430.7931195339</v>
      </c>
      <c r="L23" t="s">
        <v>198</v>
      </c>
    </row>
    <row r="24" spans="1:13" x14ac:dyDescent="0.25">
      <c r="D24" s="77"/>
    </row>
    <row r="25" spans="1:13" x14ac:dyDescent="0.25">
      <c r="A25" s="1" t="s">
        <v>19</v>
      </c>
      <c r="B25" s="2"/>
      <c r="C25" s="2"/>
      <c r="D25" s="2"/>
      <c r="E25" s="2"/>
      <c r="F25" s="2"/>
      <c r="G25" s="2"/>
      <c r="H25" s="2"/>
      <c r="I25" s="2"/>
      <c r="J25" s="2"/>
    </row>
    <row r="26" spans="1:13" x14ac:dyDescent="0.25">
      <c r="D26" s="77"/>
    </row>
    <row r="27" spans="1:13" x14ac:dyDescent="0.25">
      <c r="A27" s="3" t="s">
        <v>1</v>
      </c>
      <c r="B27" s="70" t="s">
        <v>169</v>
      </c>
      <c r="C27" s="70" t="s">
        <v>168</v>
      </c>
      <c r="D27" s="78" t="s">
        <v>167</v>
      </c>
      <c r="E27" s="71" t="s">
        <v>170</v>
      </c>
      <c r="F27" s="71" t="s">
        <v>171</v>
      </c>
      <c r="G27" s="71" t="s">
        <v>172</v>
      </c>
      <c r="H27" s="71" t="s">
        <v>173</v>
      </c>
      <c r="I27" s="71" t="s">
        <v>174</v>
      </c>
      <c r="J27" s="71" t="s">
        <v>175</v>
      </c>
    </row>
    <row r="28" spans="1:13" x14ac:dyDescent="0.25">
      <c r="A28" s="13" t="s">
        <v>20</v>
      </c>
      <c r="B28" s="20">
        <f>-Balances!B20/('Cuentas de PyG'!B7+'Cuentas de PyG'!B8)*365</f>
        <v>21.547182802274911</v>
      </c>
      <c r="C28" s="20">
        <f>-Balances!C20/('Cuentas de PyG'!C7+'Cuentas de PyG'!C8)*365</f>
        <v>23.678501564928595</v>
      </c>
      <c r="D28" s="86">
        <f>-Balances!D20/('Cuentas de PyG'!D7+'Cuentas de PyG'!D8)*365</f>
        <v>15.575743389941634</v>
      </c>
      <c r="E28" s="20">
        <f t="shared" ref="E28:J30" si="5">D28</f>
        <v>15.575743389941634</v>
      </c>
      <c r="F28" s="20">
        <f t="shared" si="5"/>
        <v>15.575743389941634</v>
      </c>
      <c r="G28" s="20">
        <f t="shared" si="5"/>
        <v>15.575743389941634</v>
      </c>
      <c r="H28" s="20">
        <f t="shared" si="5"/>
        <v>15.575743389941634</v>
      </c>
      <c r="I28" s="20">
        <f t="shared" si="5"/>
        <v>15.575743389941634</v>
      </c>
      <c r="J28" s="20">
        <f t="shared" si="5"/>
        <v>15.575743389941634</v>
      </c>
      <c r="L28" t="s">
        <v>197</v>
      </c>
      <c r="M28" t="s">
        <v>199</v>
      </c>
    </row>
    <row r="29" spans="1:13" x14ac:dyDescent="0.25">
      <c r="A29" s="7" t="s">
        <v>21</v>
      </c>
      <c r="B29" s="21">
        <f>(Balances!B25+Balances!B26+Balances!B27)/'Cuentas de PyG'!B4*365</f>
        <v>37.975653868276233</v>
      </c>
      <c r="C29" s="21">
        <f>(Balances!C25+Balances!C26+Balances!C27)/'Cuentas de PyG'!C4*365</f>
        <v>55.353518875452195</v>
      </c>
      <c r="D29" s="87">
        <f>(Balances!D25+Balances!D26+Balances!D27)/'Cuentas de PyG'!D4*365</f>
        <v>53.679532266417773</v>
      </c>
      <c r="E29" s="21">
        <f t="shared" si="5"/>
        <v>53.679532266417773</v>
      </c>
      <c r="F29" s="21">
        <f t="shared" si="5"/>
        <v>53.679532266417773</v>
      </c>
      <c r="G29" s="21">
        <f t="shared" si="5"/>
        <v>53.679532266417773</v>
      </c>
      <c r="H29" s="21">
        <f t="shared" si="5"/>
        <v>53.679532266417773</v>
      </c>
      <c r="I29" s="21">
        <f t="shared" si="5"/>
        <v>53.679532266417773</v>
      </c>
      <c r="J29" s="21">
        <f t="shared" si="5"/>
        <v>53.679532266417773</v>
      </c>
    </row>
    <row r="30" spans="1:13" x14ac:dyDescent="0.25">
      <c r="A30" s="10" t="s">
        <v>22</v>
      </c>
      <c r="B30" s="22"/>
      <c r="C30" s="22">
        <f>(Balances!C61+Balances!C62+Balances!C63)/(-'Cuentas de PyG'!C7+Balances!C20-Balances!B20)*365</f>
        <v>69.73849083477009</v>
      </c>
      <c r="D30" s="88">
        <f>(Balances!D61+Balances!D62+Balances!D63)/(-'Cuentas de PyG'!D7+Balances!D20-Balances!C20)*365</f>
        <v>71.97294009932773</v>
      </c>
      <c r="E30" s="22">
        <f t="shared" si="5"/>
        <v>71.97294009932773</v>
      </c>
      <c r="F30" s="22">
        <f t="shared" si="5"/>
        <v>71.97294009932773</v>
      </c>
      <c r="G30" s="22">
        <f t="shared" si="5"/>
        <v>71.97294009932773</v>
      </c>
      <c r="H30" s="22">
        <f t="shared" si="5"/>
        <v>71.97294009932773</v>
      </c>
      <c r="I30" s="22">
        <f t="shared" si="5"/>
        <v>71.97294009932773</v>
      </c>
      <c r="J30" s="22">
        <f t="shared" si="5"/>
        <v>71.97294009932773</v>
      </c>
    </row>
    <row r="31" spans="1:13" x14ac:dyDescent="0.25">
      <c r="A31" s="16" t="s">
        <v>23</v>
      </c>
      <c r="B31" s="16">
        <f>Balances!B20+Balances!B24</f>
        <v>25407941.199999996</v>
      </c>
      <c r="C31" s="16">
        <f>Balances!C20+Balances!C24</f>
        <v>42315963.600000001</v>
      </c>
      <c r="D31" s="83">
        <f>Balances!D20+Balances!D24</f>
        <v>40009113.600000001</v>
      </c>
      <c r="E31" s="16">
        <f>Balances!E20+Balances!E24</f>
        <v>42738391.153921738</v>
      </c>
      <c r="F31" s="16">
        <f>Balances!F20+Balances!F24</f>
        <v>45566530.124108508</v>
      </c>
      <c r="G31" s="16">
        <f>Balances!G20+Balances!G24</f>
        <v>48017946.271178231</v>
      </c>
      <c r="H31" s="16">
        <f>Balances!H20+Balances!H24</f>
        <v>50007039.882798687</v>
      </c>
      <c r="I31" s="16">
        <f>Balances!I20+Balances!I24</f>
        <v>51459710.092262</v>
      </c>
      <c r="J31" s="16">
        <f>Balances!J20+Balances!J24</f>
        <v>52317783.676941767</v>
      </c>
      <c r="L31" t="s">
        <v>200</v>
      </c>
    </row>
    <row r="32" spans="1:13" x14ac:dyDescent="0.25">
      <c r="A32" s="17" t="s">
        <v>24</v>
      </c>
      <c r="B32" s="17">
        <f>Balances!B60</f>
        <v>23266107.199999999</v>
      </c>
      <c r="C32" s="17">
        <f>Balances!C60</f>
        <v>34979187.200000003</v>
      </c>
      <c r="D32" s="84">
        <f>Balances!D60</f>
        <v>37705942</v>
      </c>
      <c r="E32" s="17">
        <f>Balances!E60</f>
        <v>40538415.454059027</v>
      </c>
      <c r="F32" s="17">
        <f>Balances!F60</f>
        <v>43147263.910596296</v>
      </c>
      <c r="G32" s="17">
        <f>Balances!G60</f>
        <v>45390370.925892852</v>
      </c>
      <c r="H32" s="17">
        <f>Balances!H60</f>
        <v>47188710.675359525</v>
      </c>
      <c r="I32" s="17">
        <f>Balances!I60</f>
        <v>48474673.167405672</v>
      </c>
      <c r="J32" s="17">
        <f>Balances!J60</f>
        <v>49196143.886336289</v>
      </c>
    </row>
    <row r="33" spans="1:10" x14ac:dyDescent="0.25">
      <c r="A33" s="17" t="s">
        <v>25</v>
      </c>
      <c r="B33" s="17">
        <f>B31-B32</f>
        <v>2141833.9999999963</v>
      </c>
      <c r="C33" s="17">
        <f t="shared" ref="C33:J33" si="6">C31-C32</f>
        <v>7336776.3999999985</v>
      </c>
      <c r="D33" s="84">
        <f t="shared" si="6"/>
        <v>2303171.6000000015</v>
      </c>
      <c r="E33" s="17">
        <f t="shared" si="6"/>
        <v>2199975.6998627111</v>
      </c>
      <c r="F33" s="17">
        <f t="shared" si="6"/>
        <v>2419266.213512212</v>
      </c>
      <c r="G33" s="17">
        <f t="shared" si="6"/>
        <v>2627575.3452853784</v>
      </c>
      <c r="H33" s="17">
        <f t="shared" si="6"/>
        <v>2818329.2074391618</v>
      </c>
      <c r="I33" s="17">
        <f t="shared" si="6"/>
        <v>2985036.9248563275</v>
      </c>
      <c r="J33" s="17">
        <f t="shared" si="6"/>
        <v>3121639.790605478</v>
      </c>
    </row>
    <row r="34" spans="1:10" x14ac:dyDescent="0.25">
      <c r="A34" s="19" t="s">
        <v>201</v>
      </c>
      <c r="B34" s="19"/>
      <c r="C34" s="19">
        <f>C33-B33</f>
        <v>5194942.4000000022</v>
      </c>
      <c r="D34" s="85">
        <f t="shared" ref="D34:J34" si="7">D33-C33</f>
        <v>-5033604.799999997</v>
      </c>
      <c r="E34" s="19">
        <f t="shared" si="7"/>
        <v>-103195.90013729036</v>
      </c>
      <c r="F34" s="19">
        <f t="shared" si="7"/>
        <v>219290.51364950091</v>
      </c>
      <c r="G34" s="19">
        <f t="shared" si="7"/>
        <v>208309.13177316636</v>
      </c>
      <c r="H34" s="19">
        <f t="shared" si="7"/>
        <v>190753.86215378344</v>
      </c>
      <c r="I34" s="19">
        <f t="shared" si="7"/>
        <v>166707.71741716564</v>
      </c>
      <c r="J34" s="19">
        <f t="shared" si="7"/>
        <v>136602.86574915051</v>
      </c>
    </row>
    <row r="35" spans="1:10" x14ac:dyDescent="0.25">
      <c r="D35" s="77"/>
    </row>
    <row r="36" spans="1:10" x14ac:dyDescent="0.25">
      <c r="A36" s="1" t="s">
        <v>26</v>
      </c>
      <c r="B36" s="2"/>
      <c r="C36" s="2"/>
      <c r="D36" s="2"/>
      <c r="E36" s="2"/>
      <c r="F36" s="2"/>
      <c r="G36" s="2"/>
      <c r="H36" s="2"/>
      <c r="I36" s="2"/>
      <c r="J36" s="2"/>
    </row>
    <row r="37" spans="1:10" x14ac:dyDescent="0.25">
      <c r="D37" s="77"/>
    </row>
    <row r="38" spans="1:10" x14ac:dyDescent="0.25">
      <c r="A38" s="3" t="s">
        <v>1</v>
      </c>
      <c r="B38" s="70" t="s">
        <v>169</v>
      </c>
      <c r="C38" s="70" t="s">
        <v>168</v>
      </c>
      <c r="D38" s="78" t="s">
        <v>167</v>
      </c>
      <c r="E38" s="71" t="s">
        <v>170</v>
      </c>
      <c r="F38" s="71" t="s">
        <v>171</v>
      </c>
      <c r="G38" s="71" t="s">
        <v>172</v>
      </c>
      <c r="H38" s="71" t="s">
        <v>173</v>
      </c>
      <c r="I38" s="71" t="s">
        <v>174</v>
      </c>
      <c r="J38" s="71" t="s">
        <v>175</v>
      </c>
    </row>
    <row r="39" spans="1:10" x14ac:dyDescent="0.25">
      <c r="A39" s="13" t="s">
        <v>27</v>
      </c>
      <c r="B39" s="14">
        <f>(Balances!B51+Balances!B57)/(Balances!B51+Balances!B57+Balances!B44)</f>
        <v>0.56778289163412976</v>
      </c>
      <c r="C39" s="14">
        <f>(Balances!C51+Balances!C57)/(Balances!C51+Balances!C57+Balances!C44)</f>
        <v>0.64150640669189052</v>
      </c>
      <c r="D39" s="82">
        <f>(Balances!D51+Balances!D57)/(Balances!D51+Balances!D57+Balances!D44)</f>
        <v>0.38223531828351293</v>
      </c>
      <c r="E39" s="15">
        <f t="shared" ref="E39:J40" si="8">D39</f>
        <v>0.38223531828351293</v>
      </c>
      <c r="F39" s="15">
        <f t="shared" si="8"/>
        <v>0.38223531828351293</v>
      </c>
      <c r="G39" s="15">
        <f t="shared" si="8"/>
        <v>0.38223531828351293</v>
      </c>
      <c r="H39" s="15">
        <f t="shared" si="8"/>
        <v>0.38223531828351293</v>
      </c>
      <c r="I39" s="15">
        <f t="shared" si="8"/>
        <v>0.38223531828351293</v>
      </c>
      <c r="J39" s="15">
        <f t="shared" si="8"/>
        <v>0.38223531828351293</v>
      </c>
    </row>
    <row r="40" spans="1:10" x14ac:dyDescent="0.25">
      <c r="A40" s="7" t="s">
        <v>28</v>
      </c>
      <c r="B40" s="8">
        <f>Balances!B51/(Balances!B51+Balances!B57)</f>
        <v>0.10794461540918102</v>
      </c>
      <c r="C40" s="8">
        <f>Balances!C51/(Balances!C51+Balances!C57)</f>
        <v>0.23261894497915742</v>
      </c>
      <c r="D40" s="80">
        <f>Balances!D51/(Balances!D51+Balances!D57)</f>
        <v>0.39615700981871566</v>
      </c>
      <c r="E40" s="9">
        <f t="shared" si="8"/>
        <v>0.39615700981871566</v>
      </c>
      <c r="F40" s="9">
        <f t="shared" si="8"/>
        <v>0.39615700981871566</v>
      </c>
      <c r="G40" s="9">
        <f t="shared" si="8"/>
        <v>0.39615700981871566</v>
      </c>
      <c r="H40" s="9">
        <f t="shared" si="8"/>
        <v>0.39615700981871566</v>
      </c>
      <c r="I40" s="9">
        <f t="shared" si="8"/>
        <v>0.39615700981871566</v>
      </c>
      <c r="J40" s="9">
        <f t="shared" si="8"/>
        <v>0.39615700981871566</v>
      </c>
    </row>
    <row r="41" spans="1:10" x14ac:dyDescent="0.25">
      <c r="A41" s="10" t="s">
        <v>29</v>
      </c>
      <c r="B41" s="10"/>
      <c r="C41" s="23">
        <f>-'Cuentas de PyG'!C31/((Balances!B51+Balances!B57+Balances!C51+Balances!C57)/2)</f>
        <v>3.8990942543067487E-2</v>
      </c>
      <c r="D41" s="81">
        <f>-'Cuentas de PyG'!D31/((Balances!C51+Balances!C57+Balances!D51+Balances!D57)/2)</f>
        <v>1.9724758379100711E-2</v>
      </c>
      <c r="E41" s="12">
        <f>+D41</f>
        <v>1.9724758379100711E-2</v>
      </c>
      <c r="F41" s="12">
        <f>E41</f>
        <v>1.9724758379100711E-2</v>
      </c>
      <c r="G41" s="12">
        <f>F41</f>
        <v>1.9724758379100711E-2</v>
      </c>
      <c r="H41" s="12">
        <f>G41</f>
        <v>1.9724758379100711E-2</v>
      </c>
      <c r="I41" s="12">
        <f>H41</f>
        <v>1.9724758379100711E-2</v>
      </c>
      <c r="J41" s="12">
        <f>I41</f>
        <v>1.9724758379100711E-2</v>
      </c>
    </row>
    <row r="42" spans="1:10" x14ac:dyDescent="0.25">
      <c r="A42" s="13" t="s">
        <v>30</v>
      </c>
      <c r="B42" s="16"/>
      <c r="C42" s="16"/>
      <c r="D42" s="83">
        <f>Balances!D44-Balances!C44</f>
        <v>12459536.000000011</v>
      </c>
      <c r="E42" s="16">
        <f ca="1">Balances!E44-Balances!D44</f>
        <v>2858853.7666059844</v>
      </c>
      <c r="F42" s="16">
        <f ca="1">Balances!F44-Balances!E44</f>
        <v>3236860.7366943844</v>
      </c>
      <c r="G42" s="16">
        <f ca="1">Balances!G44-Balances!F44</f>
        <v>3608646.8411621414</v>
      </c>
      <c r="H42" s="16">
        <f ca="1">Balances!H44-Balances!G44</f>
        <v>3961970.2232471183</v>
      </c>
      <c r="I42" s="16">
        <f ca="1">Balances!I44-Balances!H44</f>
        <v>4284116.2581977472</v>
      </c>
      <c r="J42" s="16">
        <f ca="1">Balances!J44-Balances!I44</f>
        <v>4562578.551006496</v>
      </c>
    </row>
    <row r="43" spans="1:10" x14ac:dyDescent="0.25">
      <c r="A43" s="10" t="s">
        <v>31</v>
      </c>
      <c r="B43" s="10"/>
      <c r="C43" s="11"/>
      <c r="D43" s="81"/>
      <c r="E43" s="24">
        <f ca="1">+(1-E39)*E42</f>
        <v>1766098.887201326</v>
      </c>
      <c r="F43" s="24">
        <f t="shared" ref="F43:J43" ca="1" si="9">+(1-F39)*F42</f>
        <v>1999618.2427646001</v>
      </c>
      <c r="G43" s="24">
        <f t="shared" ca="1" si="9"/>
        <v>2229294.5672577363</v>
      </c>
      <c r="H43" s="24">
        <f t="shared" ca="1" si="9"/>
        <v>2447565.2739344551</v>
      </c>
      <c r="I43" s="24">
        <f t="shared" ca="1" si="9"/>
        <v>2646575.7166819586</v>
      </c>
      <c r="J43" s="24">
        <f t="shared" ca="1" si="9"/>
        <v>2818599.8863689983</v>
      </c>
    </row>
    <row r="44" spans="1:10" x14ac:dyDescent="0.25">
      <c r="C44" s="25"/>
      <c r="D44" s="89"/>
      <c r="E44" s="26"/>
      <c r="F44" s="26"/>
      <c r="G44" s="26"/>
      <c r="H44" s="26"/>
      <c r="I44" s="26"/>
      <c r="J44" s="26"/>
    </row>
    <row r="45" spans="1:10" x14ac:dyDescent="0.25">
      <c r="A45" s="1" t="s">
        <v>32</v>
      </c>
      <c r="B45" s="2"/>
      <c r="C45" s="2"/>
      <c r="D45" s="2"/>
      <c r="E45" s="2"/>
      <c r="F45" s="2"/>
      <c r="G45" s="2"/>
      <c r="H45" s="2"/>
      <c r="I45" s="2"/>
      <c r="J45" s="2"/>
    </row>
    <row r="47" spans="1:10" x14ac:dyDescent="0.25">
      <c r="A47" s="27" t="s">
        <v>33</v>
      </c>
      <c r="B47" s="28">
        <v>1.2999999999999999E-2</v>
      </c>
      <c r="D47" t="s">
        <v>222</v>
      </c>
    </row>
    <row r="48" spans="1:10" x14ac:dyDescent="0.25">
      <c r="A48" s="27" t="s">
        <v>34</v>
      </c>
      <c r="B48" s="28">
        <v>6.3E-2</v>
      </c>
      <c r="D48" t="s">
        <v>222</v>
      </c>
    </row>
    <row r="49" spans="1:9" x14ac:dyDescent="0.25">
      <c r="A49" s="27" t="s">
        <v>35</v>
      </c>
      <c r="B49" s="90">
        <v>0.57999999999999996</v>
      </c>
      <c r="D49" t="s">
        <v>223</v>
      </c>
      <c r="I49" t="s">
        <v>224</v>
      </c>
    </row>
    <row r="50" spans="1:9" x14ac:dyDescent="0.25">
      <c r="A50" s="27" t="s">
        <v>36</v>
      </c>
      <c r="B50" s="28">
        <v>0.01</v>
      </c>
      <c r="D50" t="s">
        <v>225</v>
      </c>
    </row>
    <row r="51" spans="1:9" x14ac:dyDescent="0.25">
      <c r="A51" s="18" t="s">
        <v>195</v>
      </c>
      <c r="B51" s="30">
        <v>1.7000000000000001E-2</v>
      </c>
      <c r="C51" t="s">
        <v>194</v>
      </c>
    </row>
    <row r="52" spans="1:9" x14ac:dyDescent="0.25">
      <c r="A52" s="18" t="s">
        <v>166</v>
      </c>
      <c r="B52" s="31">
        <v>6</v>
      </c>
    </row>
  </sheetData>
  <pageMargins left="0.74803149606299213" right="0.74803149606299213" top="0.98425196850393704" bottom="0.98425196850393704" header="0" footer="0"/>
  <pageSetup paperSize="9" scale="58" orientation="portrait" horizontalDpi="0"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3EC6C-A301-4F44-B777-DB779A086C55}">
  <dimension ref="A1:R69"/>
  <sheetViews>
    <sheetView workbookViewId="0">
      <selection activeCell="E17" sqref="E17"/>
    </sheetView>
  </sheetViews>
  <sheetFormatPr baseColWidth="10" defaultColWidth="11.44140625" defaultRowHeight="13.2" x14ac:dyDescent="0.25"/>
  <cols>
    <col min="1" max="1" width="42.109375" bestFit="1" customWidth="1"/>
    <col min="2" max="10" width="11.6640625" style="42" customWidth="1"/>
    <col min="13" max="13" width="12" bestFit="1" customWidth="1"/>
  </cols>
  <sheetData>
    <row r="1" spans="1:11" x14ac:dyDescent="0.25">
      <c r="A1" s="1" t="s">
        <v>37</v>
      </c>
      <c r="B1" s="1"/>
      <c r="C1" s="1"/>
      <c r="D1" s="1"/>
      <c r="E1" s="1"/>
      <c r="F1" s="1"/>
      <c r="G1" s="1"/>
      <c r="H1" s="1"/>
      <c r="I1" s="1"/>
      <c r="J1" s="1"/>
    </row>
    <row r="3" spans="1:11" x14ac:dyDescent="0.25">
      <c r="A3" s="32" t="s">
        <v>1</v>
      </c>
      <c r="B3" s="70" t="s">
        <v>169</v>
      </c>
      <c r="C3" s="70" t="s">
        <v>168</v>
      </c>
      <c r="D3" s="70" t="s">
        <v>167</v>
      </c>
      <c r="E3" s="71" t="s">
        <v>170</v>
      </c>
      <c r="F3" s="71" t="s">
        <v>171</v>
      </c>
      <c r="G3" s="71" t="s">
        <v>172</v>
      </c>
      <c r="H3" s="71" t="s">
        <v>173</v>
      </c>
      <c r="I3" s="71" t="s">
        <v>174</v>
      </c>
      <c r="J3" s="71" t="s">
        <v>175</v>
      </c>
    </row>
    <row r="4" spans="1:11" x14ac:dyDescent="0.25">
      <c r="A4" s="32" t="s">
        <v>38</v>
      </c>
      <c r="B4" s="33">
        <f t="shared" ref="B4:J4" si="0">B5+B10+B14+B17</f>
        <v>10479594.799999999</v>
      </c>
      <c r="C4" s="33">
        <f t="shared" si="0"/>
        <v>20399036</v>
      </c>
      <c r="D4" s="33">
        <f t="shared" si="0"/>
        <v>33874956.399999999</v>
      </c>
      <c r="E4" s="33">
        <f t="shared" si="0"/>
        <v>36125430.805129088</v>
      </c>
      <c r="F4" s="33">
        <f t="shared" si="0"/>
        <v>38172486.222967975</v>
      </c>
      <c r="G4" s="33">
        <f t="shared" si="0"/>
        <v>39949395.467292957</v>
      </c>
      <c r="H4" s="33">
        <f t="shared" si="0"/>
        <v>41394199.090827905</v>
      </c>
      <c r="I4" s="33">
        <f t="shared" si="0"/>
        <v>42453149.384309895</v>
      </c>
      <c r="J4" s="33">
        <f t="shared" si="0"/>
        <v>43083917.83624316</v>
      </c>
    </row>
    <row r="5" spans="1:11" x14ac:dyDescent="0.25">
      <c r="A5" s="34" t="s">
        <v>39</v>
      </c>
      <c r="B5" s="35">
        <f>SUM(B6:B9)</f>
        <v>139371.20000000001</v>
      </c>
      <c r="C5" s="35">
        <f>SUM(C6:C9)</f>
        <v>112538.4</v>
      </c>
      <c r="D5" s="35">
        <f>SUM(D6:D9)</f>
        <v>198566.40000000002</v>
      </c>
      <c r="E5" s="35">
        <f>'Cuentas de PyG'!E4*Hipótesis!E17</f>
        <v>214231.80025384657</v>
      </c>
      <c r="F5" s="35">
        <f>'Cuentas de PyG'!F4*Hipótesis!F17</f>
        <v>228481.21468360626</v>
      </c>
      <c r="G5" s="35">
        <f>'Cuentas de PyG'!G4*Hipótesis!G17</f>
        <v>240850.15985519739</v>
      </c>
      <c r="H5" s="35">
        <f>'Cuentas de PyG'!H4*Hipótesis!H17</f>
        <v>250907.34024316294</v>
      </c>
      <c r="I5" s="35">
        <f>'Cuentas de PyG'!I4*Hipótesis!I17</f>
        <v>258278.62167543155</v>
      </c>
      <c r="J5" s="35">
        <f>'Cuentas de PyG'!J4*Hipótesis!J17</f>
        <v>262669.35824391386</v>
      </c>
      <c r="K5" t="s">
        <v>207</v>
      </c>
    </row>
    <row r="6" spans="1:11" x14ac:dyDescent="0.25">
      <c r="A6" s="7" t="s">
        <v>40</v>
      </c>
      <c r="B6" s="36">
        <v>61985.599999999999</v>
      </c>
      <c r="C6" s="36">
        <v>50051.6</v>
      </c>
      <c r="D6" s="36">
        <v>38794</v>
      </c>
      <c r="E6" s="36"/>
      <c r="F6" s="36"/>
      <c r="G6" s="36"/>
      <c r="H6" s="36"/>
      <c r="I6" s="36"/>
      <c r="J6" s="36"/>
    </row>
    <row r="7" spans="1:11" x14ac:dyDescent="0.25">
      <c r="A7" s="7" t="s">
        <v>41</v>
      </c>
      <c r="B7" s="36">
        <v>0</v>
      </c>
      <c r="C7" s="36">
        <v>0</v>
      </c>
      <c r="D7" s="36">
        <v>5008.8</v>
      </c>
      <c r="E7" s="36"/>
      <c r="F7" s="36"/>
      <c r="G7" s="36"/>
      <c r="H7" s="36"/>
      <c r="I7" s="36"/>
      <c r="J7" s="36"/>
    </row>
    <row r="8" spans="1:11" x14ac:dyDescent="0.25">
      <c r="A8" s="7" t="s">
        <v>42</v>
      </c>
      <c r="B8" s="36">
        <v>61408</v>
      </c>
      <c r="C8" s="36">
        <v>49585.2</v>
      </c>
      <c r="D8" s="36">
        <v>142703.6</v>
      </c>
      <c r="E8" s="36"/>
      <c r="F8" s="36"/>
      <c r="G8" s="36"/>
      <c r="H8" s="36"/>
      <c r="I8" s="36"/>
      <c r="J8" s="36"/>
    </row>
    <row r="9" spans="1:11" x14ac:dyDescent="0.25">
      <c r="A9" s="7" t="s">
        <v>43</v>
      </c>
      <c r="B9" s="36">
        <v>15977.6</v>
      </c>
      <c r="C9" s="36">
        <v>12901.6</v>
      </c>
      <c r="D9" s="36">
        <v>12060</v>
      </c>
      <c r="E9" s="36"/>
      <c r="F9" s="36"/>
      <c r="G9" s="36"/>
      <c r="H9" s="36"/>
      <c r="I9" s="36"/>
      <c r="J9" s="36"/>
    </row>
    <row r="10" spans="1:11" x14ac:dyDescent="0.25">
      <c r="A10" s="34" t="s">
        <v>44</v>
      </c>
      <c r="B10" s="35">
        <f>SUM(B11:B13)</f>
        <v>9109400.8000000007</v>
      </c>
      <c r="C10" s="35">
        <f>SUM(C11:C13)</f>
        <v>17543781.199999999</v>
      </c>
      <c r="D10" s="35">
        <f>SUM(D11:D13)</f>
        <v>28327267.199999999</v>
      </c>
      <c r="E10" s="35">
        <f>'Cuentas de PyG'!E4*Hipótesis!E18</f>
        <v>30562076.204875242</v>
      </c>
      <c r="F10" s="35">
        <f>'Cuentas de PyG'!F4*Hipótesis!F18</f>
        <v>32594882.208284371</v>
      </c>
      <c r="G10" s="35">
        <f>'Cuentas de PyG'!G4*Hipótesis!G18</f>
        <v>34359422.507437758</v>
      </c>
      <c r="H10" s="35">
        <f>'Cuentas de PyG'!H4*Hipótesis!H18</f>
        <v>35794168.950584739</v>
      </c>
      <c r="I10" s="35">
        <f>'Cuentas de PyG'!I4*Hipótesis!I18</f>
        <v>36845747.962634467</v>
      </c>
      <c r="J10" s="35">
        <f>'Cuentas de PyG'!J4*Hipótesis!J18</f>
        <v>37472125.677999251</v>
      </c>
      <c r="K10" t="s">
        <v>207</v>
      </c>
    </row>
    <row r="11" spans="1:11" x14ac:dyDescent="0.25">
      <c r="A11" s="7" t="s">
        <v>45</v>
      </c>
      <c r="B11" s="36">
        <v>1359357.2</v>
      </c>
      <c r="C11" s="36">
        <v>2617984.4</v>
      </c>
      <c r="D11" s="36">
        <v>4450191.5999999996</v>
      </c>
      <c r="E11" s="36"/>
      <c r="F11" s="36"/>
      <c r="G11" s="36"/>
      <c r="H11" s="36"/>
      <c r="I11" s="36"/>
      <c r="J11" s="36"/>
    </row>
    <row r="12" spans="1:11" x14ac:dyDescent="0.25">
      <c r="A12" s="7" t="s">
        <v>46</v>
      </c>
      <c r="B12" s="36">
        <v>2157804</v>
      </c>
      <c r="C12" s="36">
        <v>4155711.2</v>
      </c>
      <c r="D12" s="36">
        <v>19754064.800000001</v>
      </c>
      <c r="E12" s="36"/>
      <c r="F12" s="36"/>
      <c r="G12" s="36"/>
      <c r="H12" s="36"/>
      <c r="I12" s="36"/>
      <c r="J12" s="36"/>
    </row>
    <row r="13" spans="1:11" x14ac:dyDescent="0.25">
      <c r="A13" s="7" t="s">
        <v>47</v>
      </c>
      <c r="B13" s="36">
        <v>5592239.5999999996</v>
      </c>
      <c r="C13" s="36">
        <v>10770085.6</v>
      </c>
      <c r="D13" s="36">
        <v>4123010.8</v>
      </c>
      <c r="E13" s="36"/>
      <c r="F13" s="36"/>
      <c r="G13" s="36"/>
      <c r="H13" s="36"/>
      <c r="I13" s="36"/>
      <c r="J13" s="36"/>
    </row>
    <row r="14" spans="1:11" x14ac:dyDescent="0.25">
      <c r="A14" s="34" t="s">
        <v>48</v>
      </c>
      <c r="B14" s="35">
        <f>SUM(B15:B16)</f>
        <v>1151975.6000000001</v>
      </c>
      <c r="C14" s="35">
        <f>SUM(C15:C16)</f>
        <v>2633535.6</v>
      </c>
      <c r="D14" s="35">
        <f>SUM(D15:D16)</f>
        <v>5277009.1999999993</v>
      </c>
      <c r="E14" s="35">
        <f t="shared" ref="E14:J14" si="1">D14</f>
        <v>5277009.1999999993</v>
      </c>
      <c r="F14" s="35">
        <f t="shared" si="1"/>
        <v>5277009.1999999993</v>
      </c>
      <c r="G14" s="35">
        <f t="shared" si="1"/>
        <v>5277009.1999999993</v>
      </c>
      <c r="H14" s="35">
        <f t="shared" si="1"/>
        <v>5277009.1999999993</v>
      </c>
      <c r="I14" s="35">
        <f t="shared" si="1"/>
        <v>5277009.1999999993</v>
      </c>
      <c r="J14" s="35">
        <f t="shared" si="1"/>
        <v>5277009.1999999993</v>
      </c>
      <c r="K14" t="s">
        <v>208</v>
      </c>
    </row>
    <row r="15" spans="1:11" x14ac:dyDescent="0.25">
      <c r="A15" s="7" t="s">
        <v>49</v>
      </c>
      <c r="B15" s="36">
        <v>1151975.6000000001</v>
      </c>
      <c r="C15" s="36">
        <v>2633535.6</v>
      </c>
      <c r="D15" s="36">
        <v>2870218.8</v>
      </c>
      <c r="E15" s="36"/>
      <c r="F15" s="36"/>
      <c r="G15" s="36"/>
      <c r="H15" s="36"/>
      <c r="I15" s="36"/>
      <c r="J15" s="36"/>
    </row>
    <row r="16" spans="1:11" x14ac:dyDescent="0.25">
      <c r="A16" s="7" t="s">
        <v>50</v>
      </c>
      <c r="B16" s="36">
        <v>0</v>
      </c>
      <c r="C16" s="36">
        <v>0</v>
      </c>
      <c r="D16" s="36">
        <v>2406790.4</v>
      </c>
      <c r="E16" s="36"/>
      <c r="F16" s="36"/>
      <c r="G16" s="36"/>
      <c r="H16" s="36"/>
      <c r="I16" s="36"/>
      <c r="J16" s="36"/>
    </row>
    <row r="17" spans="1:11" x14ac:dyDescent="0.25">
      <c r="A17" s="34" t="s">
        <v>51</v>
      </c>
      <c r="B17" s="35">
        <f>B18</f>
        <v>78847.199999999997</v>
      </c>
      <c r="C17" s="35">
        <f>C18</f>
        <v>109180.8</v>
      </c>
      <c r="D17" s="35">
        <f>D18</f>
        <v>72113.600000000006</v>
      </c>
      <c r="E17" s="35">
        <f t="shared" ref="E17:J17" si="2">D17</f>
        <v>72113.600000000006</v>
      </c>
      <c r="F17" s="35">
        <f t="shared" si="2"/>
        <v>72113.600000000006</v>
      </c>
      <c r="G17" s="35">
        <f t="shared" si="2"/>
        <v>72113.600000000006</v>
      </c>
      <c r="H17" s="35">
        <f t="shared" si="2"/>
        <v>72113.600000000006</v>
      </c>
      <c r="I17" s="35">
        <f t="shared" si="2"/>
        <v>72113.600000000006</v>
      </c>
      <c r="J17" s="35">
        <f t="shared" si="2"/>
        <v>72113.600000000006</v>
      </c>
      <c r="K17" t="s">
        <v>208</v>
      </c>
    </row>
    <row r="18" spans="1:11" x14ac:dyDescent="0.25">
      <c r="A18" s="7" t="s">
        <v>52</v>
      </c>
      <c r="B18" s="36">
        <v>78847.199999999997</v>
      </c>
      <c r="C18" s="36">
        <v>109180.8</v>
      </c>
      <c r="D18" s="36">
        <v>72113.600000000006</v>
      </c>
      <c r="E18" s="36"/>
      <c r="F18" s="36"/>
      <c r="G18" s="36"/>
      <c r="H18" s="36"/>
      <c r="I18" s="36"/>
      <c r="J18" s="36"/>
    </row>
    <row r="19" spans="1:11" x14ac:dyDescent="0.25">
      <c r="A19" s="32" t="s">
        <v>53</v>
      </c>
      <c r="B19" s="33">
        <f t="shared" ref="B19:J19" si="3">B20+B24+B30+B32+B35+B36</f>
        <v>35134641.999999993</v>
      </c>
      <c r="C19" s="33">
        <f t="shared" si="3"/>
        <v>53001726.800000004</v>
      </c>
      <c r="D19" s="33">
        <f t="shared" si="3"/>
        <v>48997553.600000001</v>
      </c>
      <c r="E19" s="33">
        <f t="shared" ca="1" si="3"/>
        <v>53924926.558259577</v>
      </c>
      <c r="F19" s="33">
        <f t="shared" ca="1" si="3"/>
        <v>59443619.831939258</v>
      </c>
      <c r="G19" s="33">
        <f t="shared" ca="1" si="3"/>
        <v>65468180.266853034</v>
      </c>
      <c r="H19" s="33">
        <f t="shared" ca="1" si="3"/>
        <v>71951673.14548865</v>
      </c>
      <c r="I19" s="33">
        <f t="shared" ca="1" si="3"/>
        <v>78829798.574454829</v>
      </c>
      <c r="J19" s="33">
        <f t="shared" ca="1" si="3"/>
        <v>86022100.534349993</v>
      </c>
    </row>
    <row r="20" spans="1:11" x14ac:dyDescent="0.25">
      <c r="A20" s="34" t="s">
        <v>54</v>
      </c>
      <c r="B20" s="35">
        <f>SUM(B21:B23)</f>
        <v>8552544.7999999989</v>
      </c>
      <c r="C20" s="35">
        <f>SUM(C21:C23)</f>
        <v>11444174.4</v>
      </c>
      <c r="D20" s="35">
        <f>SUM(D21:D23)</f>
        <v>8215899.1999999993</v>
      </c>
      <c r="E20" s="35">
        <f>-('Cuentas de PyG'!E7+'Cuentas de PyG'!E8)/365*Hipótesis!E28</f>
        <v>8850417.7780114673</v>
      </c>
      <c r="F20" s="35">
        <f>-('Cuentas de PyG'!F7+'Cuentas de PyG'!F8)/365*Hipótesis!F28</f>
        <v>9424532.0130943283</v>
      </c>
      <c r="G20" s="35">
        <f>-('Cuentas de PyG'!G7+'Cuentas de PyG'!G8)/365*Hipótesis!G28</f>
        <v>9919382.9622508269</v>
      </c>
      <c r="H20" s="35">
        <f>-('Cuentas de PyG'!H7+'Cuentas de PyG'!H8)/365*Hipótesis!H28</f>
        <v>10317594.824195167</v>
      </c>
      <c r="I20" s="35">
        <f>-('Cuentas de PyG'!I7+'Cuentas de PyG'!I8)/365*Hipótesis!I28</f>
        <v>10604248.650343444</v>
      </c>
      <c r="J20" s="35">
        <f>-('Cuentas de PyG'!J7+'Cuentas de PyG'!J8)/365*Hipótesis!J28</f>
        <v>10767779.390510594</v>
      </c>
      <c r="K20" t="s">
        <v>209</v>
      </c>
    </row>
    <row r="21" spans="1:11" x14ac:dyDescent="0.25">
      <c r="A21" s="7" t="s">
        <v>55</v>
      </c>
      <c r="B21" s="36">
        <v>8281408.4000000004</v>
      </c>
      <c r="C21" s="36">
        <v>11081366.4</v>
      </c>
      <c r="D21" s="36">
        <v>7498019.5999999996</v>
      </c>
      <c r="E21" s="36"/>
      <c r="F21" s="36"/>
      <c r="G21" s="36"/>
      <c r="H21" s="36"/>
      <c r="I21" s="36"/>
      <c r="J21" s="36"/>
    </row>
    <row r="22" spans="1:11" x14ac:dyDescent="0.25">
      <c r="A22" s="7" t="s">
        <v>56</v>
      </c>
      <c r="B22" s="36">
        <v>188313.2</v>
      </c>
      <c r="C22" s="36">
        <v>251982</v>
      </c>
      <c r="D22" s="36">
        <v>333879.59999999998</v>
      </c>
      <c r="E22" s="36"/>
      <c r="F22" s="36"/>
      <c r="G22" s="36"/>
      <c r="H22" s="36"/>
      <c r="I22" s="36"/>
      <c r="J22" s="36"/>
    </row>
    <row r="23" spans="1:11" x14ac:dyDescent="0.25">
      <c r="A23" s="7" t="s">
        <v>57</v>
      </c>
      <c r="B23" s="36">
        <v>82823.199999999997</v>
      </c>
      <c r="C23" s="36">
        <v>110826</v>
      </c>
      <c r="D23" s="36">
        <v>384000</v>
      </c>
      <c r="E23" s="36"/>
      <c r="F23" s="36"/>
      <c r="G23" s="36"/>
      <c r="H23" s="36"/>
      <c r="I23" s="36"/>
      <c r="J23" s="36"/>
    </row>
    <row r="24" spans="1:11" x14ac:dyDescent="0.25">
      <c r="A24" s="34" t="s">
        <v>58</v>
      </c>
      <c r="B24" s="35">
        <f>SUM(B25:B29)</f>
        <v>16855396.399999999</v>
      </c>
      <c r="C24" s="35">
        <f>SUM(C25:C29)</f>
        <v>30871789.200000003</v>
      </c>
      <c r="D24" s="35">
        <f>SUM(D25:D29)</f>
        <v>31793214.400000002</v>
      </c>
      <c r="E24" s="35">
        <f>'Cuentas de PyG'!E4/365*Hipótesis!E29</f>
        <v>33887973.375910275</v>
      </c>
      <c r="F24" s="35">
        <f>'Cuentas de PyG'!F4/365*Hipótesis!F29</f>
        <v>36141998.11101418</v>
      </c>
      <c r="G24" s="35">
        <f>'Cuentas de PyG'!G4/365*Hipótesis!G29</f>
        <v>38098563.308927402</v>
      </c>
      <c r="H24" s="35">
        <f>'Cuentas de PyG'!H4/365*Hipótesis!H29</f>
        <v>39689445.058603518</v>
      </c>
      <c r="I24" s="35">
        <f>'Cuentas de PyG'!I4/365*Hipótesis!I29</f>
        <v>40855461.441918559</v>
      </c>
      <c r="J24" s="35">
        <f>'Cuentas de PyG'!J4/365*Hipótesis!J29</f>
        <v>41550004.286431171</v>
      </c>
    </row>
    <row r="25" spans="1:11" x14ac:dyDescent="0.25">
      <c r="A25" s="7" t="s">
        <v>59</v>
      </c>
      <c r="B25" s="36">
        <v>14404847.6</v>
      </c>
      <c r="C25" s="36">
        <v>26260779.600000001</v>
      </c>
      <c r="D25" s="36">
        <v>26973484.800000001</v>
      </c>
      <c r="E25" s="36"/>
      <c r="F25" s="36"/>
      <c r="G25" s="36"/>
      <c r="H25" s="36"/>
      <c r="I25" s="36"/>
      <c r="J25" s="36"/>
    </row>
    <row r="26" spans="1:11" x14ac:dyDescent="0.25">
      <c r="A26" s="7" t="s">
        <v>60</v>
      </c>
      <c r="B26" s="36">
        <v>165100</v>
      </c>
      <c r="C26" s="36">
        <v>1756414.8</v>
      </c>
      <c r="D26" s="36">
        <v>4436478</v>
      </c>
      <c r="E26" s="36"/>
      <c r="F26" s="36"/>
      <c r="G26" s="36"/>
      <c r="H26" s="36"/>
      <c r="I26" s="36"/>
      <c r="J26" s="36"/>
    </row>
    <row r="27" spans="1:11" x14ac:dyDescent="0.25">
      <c r="A27" s="7" t="s">
        <v>61</v>
      </c>
      <c r="B27" s="36">
        <v>1933448.8</v>
      </c>
      <c r="C27" s="36">
        <v>1663312.8</v>
      </c>
      <c r="D27" s="36">
        <v>0</v>
      </c>
      <c r="E27" s="36"/>
      <c r="F27" s="36"/>
      <c r="G27" s="36"/>
      <c r="H27" s="36"/>
      <c r="I27" s="36"/>
      <c r="J27" s="36"/>
    </row>
    <row r="28" spans="1:11" x14ac:dyDescent="0.25">
      <c r="A28" s="7" t="s">
        <v>62</v>
      </c>
      <c r="B28" s="36">
        <v>0</v>
      </c>
      <c r="C28" s="36">
        <v>0</v>
      </c>
      <c r="D28" s="36">
        <v>34366.800000000003</v>
      </c>
      <c r="E28" s="36"/>
      <c r="F28" s="36"/>
      <c r="G28" s="36"/>
      <c r="H28" s="36"/>
      <c r="I28" s="36"/>
      <c r="J28" s="36"/>
    </row>
    <row r="29" spans="1:11" x14ac:dyDescent="0.25">
      <c r="A29" s="7" t="s">
        <v>63</v>
      </c>
      <c r="B29" s="36">
        <v>352000</v>
      </c>
      <c r="C29" s="36">
        <v>1191282</v>
      </c>
      <c r="D29" s="36">
        <v>348884.8</v>
      </c>
      <c r="E29" s="36"/>
      <c r="F29" s="36"/>
      <c r="G29" s="36"/>
      <c r="H29" s="36"/>
      <c r="I29" s="36"/>
      <c r="J29" s="36"/>
    </row>
    <row r="30" spans="1:11" x14ac:dyDescent="0.25">
      <c r="A30" s="34" t="s">
        <v>64</v>
      </c>
      <c r="B30" s="35">
        <f>B31</f>
        <v>1934336.4</v>
      </c>
      <c r="C30" s="35">
        <f>C31</f>
        <v>4514076</v>
      </c>
      <c r="D30" s="35">
        <f>D31</f>
        <v>4464669.2</v>
      </c>
      <c r="E30" s="35">
        <f t="shared" ref="E30:J30" si="4">D30</f>
        <v>4464669.2</v>
      </c>
      <c r="F30" s="35">
        <f t="shared" si="4"/>
        <v>4464669.2</v>
      </c>
      <c r="G30" s="35">
        <f t="shared" si="4"/>
        <v>4464669.2</v>
      </c>
      <c r="H30" s="35">
        <f t="shared" si="4"/>
        <v>4464669.2</v>
      </c>
      <c r="I30" s="35">
        <f t="shared" si="4"/>
        <v>4464669.2</v>
      </c>
      <c r="J30" s="35">
        <f t="shared" si="4"/>
        <v>4464669.2</v>
      </c>
      <c r="K30" t="s">
        <v>210</v>
      </c>
    </row>
    <row r="31" spans="1:11" x14ac:dyDescent="0.25">
      <c r="A31" s="7" t="s">
        <v>50</v>
      </c>
      <c r="B31" s="36">
        <v>1934336.4</v>
      </c>
      <c r="C31" s="36">
        <v>4514076</v>
      </c>
      <c r="D31" s="36">
        <v>4464669.2</v>
      </c>
      <c r="E31" s="36"/>
      <c r="F31" s="36"/>
      <c r="G31" s="36"/>
      <c r="H31" s="36"/>
      <c r="I31" s="36"/>
      <c r="J31" s="36"/>
    </row>
    <row r="32" spans="1:11" x14ac:dyDescent="0.25">
      <c r="A32" s="34" t="s">
        <v>65</v>
      </c>
      <c r="B32" s="35">
        <f>SUM(B33:B34)</f>
        <v>3531942</v>
      </c>
      <c r="C32" s="35">
        <f>SUM(C33:C34)</f>
        <v>1905276</v>
      </c>
      <c r="D32" s="35">
        <f>SUM(D33:D34)</f>
        <v>767224</v>
      </c>
      <c r="E32" s="35">
        <f t="shared" ref="E32:J32" si="5">D32</f>
        <v>767224</v>
      </c>
      <c r="F32" s="35">
        <f t="shared" si="5"/>
        <v>767224</v>
      </c>
      <c r="G32" s="35">
        <f t="shared" si="5"/>
        <v>767224</v>
      </c>
      <c r="H32" s="35">
        <f t="shared" si="5"/>
        <v>767224</v>
      </c>
      <c r="I32" s="35">
        <f t="shared" si="5"/>
        <v>767224</v>
      </c>
      <c r="J32" s="35">
        <f t="shared" si="5"/>
        <v>767224</v>
      </c>
      <c r="K32" t="s">
        <v>211</v>
      </c>
    </row>
    <row r="33" spans="1:11" x14ac:dyDescent="0.25">
      <c r="A33" s="7" t="s">
        <v>50</v>
      </c>
      <c r="B33" s="36">
        <v>2800000</v>
      </c>
      <c r="C33" s="36">
        <v>669.6</v>
      </c>
      <c r="D33" s="36">
        <v>0</v>
      </c>
      <c r="E33" s="36"/>
      <c r="F33" s="36"/>
      <c r="G33" s="36"/>
      <c r="H33" s="36"/>
      <c r="I33" s="36"/>
      <c r="J33" s="36"/>
    </row>
    <row r="34" spans="1:11" x14ac:dyDescent="0.25">
      <c r="A34" s="7" t="s">
        <v>52</v>
      </c>
      <c r="B34" s="36">
        <v>731942</v>
      </c>
      <c r="C34" s="36">
        <v>1904606.4</v>
      </c>
      <c r="D34" s="36">
        <v>767224</v>
      </c>
      <c r="E34" s="36"/>
      <c r="F34" s="36"/>
      <c r="G34" s="36"/>
      <c r="H34" s="36"/>
      <c r="I34" s="36"/>
      <c r="J34" s="36"/>
    </row>
    <row r="35" spans="1:11" x14ac:dyDescent="0.25">
      <c r="A35" s="34" t="s">
        <v>66</v>
      </c>
      <c r="B35" s="35">
        <v>775225.2</v>
      </c>
      <c r="C35" s="35">
        <v>659269.6</v>
      </c>
      <c r="D35" s="35">
        <v>561874.80000000005</v>
      </c>
      <c r="E35" s="35">
        <f t="shared" ref="E35:J35" si="6">D35</f>
        <v>561874.80000000005</v>
      </c>
      <c r="F35" s="35">
        <f t="shared" si="6"/>
        <v>561874.80000000005</v>
      </c>
      <c r="G35" s="35">
        <f t="shared" si="6"/>
        <v>561874.80000000005</v>
      </c>
      <c r="H35" s="35">
        <f t="shared" si="6"/>
        <v>561874.80000000005</v>
      </c>
      <c r="I35" s="35">
        <f t="shared" si="6"/>
        <v>561874.80000000005</v>
      </c>
      <c r="J35" s="35">
        <f t="shared" si="6"/>
        <v>561874.80000000005</v>
      </c>
    </row>
    <row r="36" spans="1:11" x14ac:dyDescent="0.25">
      <c r="A36" s="34" t="s">
        <v>67</v>
      </c>
      <c r="B36" s="35">
        <f t="shared" ref="B36:J36" si="7">B37</f>
        <v>3485197.2</v>
      </c>
      <c r="C36" s="35">
        <f t="shared" si="7"/>
        <v>3607141.6</v>
      </c>
      <c r="D36" s="35">
        <f t="shared" si="7"/>
        <v>3194672</v>
      </c>
      <c r="E36" s="35">
        <f t="shared" ca="1" si="7"/>
        <v>5392767.4043378346</v>
      </c>
      <c r="F36" s="35">
        <f t="shared" ca="1" si="7"/>
        <v>8083321.7078307513</v>
      </c>
      <c r="G36" s="35">
        <f t="shared" ca="1" si="7"/>
        <v>11656465.995674808</v>
      </c>
      <c r="H36" s="35">
        <f t="shared" ca="1" si="7"/>
        <v>16150865.262689969</v>
      </c>
      <c r="I36" s="35">
        <f t="shared" ca="1" si="7"/>
        <v>21576320.482192829</v>
      </c>
      <c r="J36" s="35">
        <f t="shared" ca="1" si="7"/>
        <v>27910548.857408226</v>
      </c>
    </row>
    <row r="37" spans="1:11" x14ac:dyDescent="0.25">
      <c r="A37" s="7" t="s">
        <v>68</v>
      </c>
      <c r="B37" s="36">
        <v>3485197.2</v>
      </c>
      <c r="C37" s="36">
        <v>3607141.6</v>
      </c>
      <c r="D37" s="36">
        <v>3194672</v>
      </c>
      <c r="E37" s="36">
        <f ca="1">'Flujos de caja'!B32</f>
        <v>5392767.4043378346</v>
      </c>
      <c r="F37" s="36">
        <f ca="1">'Flujos de caja'!C32</f>
        <v>8083321.7078307513</v>
      </c>
      <c r="G37" s="36">
        <f ca="1">'Flujos de caja'!D32</f>
        <v>11656465.995674808</v>
      </c>
      <c r="H37" s="36">
        <f ca="1">'Flujos de caja'!E32</f>
        <v>16150865.262689969</v>
      </c>
      <c r="I37" s="36">
        <f ca="1">'Flujos de caja'!F32</f>
        <v>21576320.482192829</v>
      </c>
      <c r="J37" s="36">
        <f ca="1">'Flujos de caja'!G32</f>
        <v>27910548.857408226</v>
      </c>
      <c r="K37" t="s">
        <v>212</v>
      </c>
    </row>
    <row r="38" spans="1:11" x14ac:dyDescent="0.25">
      <c r="A38" s="32" t="s">
        <v>69</v>
      </c>
      <c r="B38" s="33">
        <f>B4+B19</f>
        <v>45614236.79999999</v>
      </c>
      <c r="C38" s="33">
        <f t="shared" ref="C38:J38" si="8">C4+C19</f>
        <v>73400762.800000012</v>
      </c>
      <c r="D38" s="33">
        <f t="shared" si="8"/>
        <v>82872510</v>
      </c>
      <c r="E38" s="33">
        <f t="shared" ca="1" si="8"/>
        <v>90050357.363388658</v>
      </c>
      <c r="F38" s="33">
        <f t="shared" ca="1" si="8"/>
        <v>97616106.054907233</v>
      </c>
      <c r="G38" s="33">
        <f t="shared" ca="1" si="8"/>
        <v>105417575.734146</v>
      </c>
      <c r="H38" s="33">
        <f t="shared" ca="1" si="8"/>
        <v>113345872.23631656</v>
      </c>
      <c r="I38" s="33">
        <f t="shared" ca="1" si="8"/>
        <v>121282947.95876473</v>
      </c>
      <c r="J38" s="33">
        <f t="shared" ca="1" si="8"/>
        <v>129106018.37059316</v>
      </c>
    </row>
    <row r="39" spans="1:11" x14ac:dyDescent="0.25">
      <c r="A39" s="37"/>
      <c r="B39" s="38"/>
      <c r="C39" s="38"/>
      <c r="D39" s="38"/>
      <c r="E39" s="38"/>
      <c r="F39" s="38"/>
      <c r="G39" s="38"/>
      <c r="H39" s="38"/>
      <c r="I39" s="38"/>
      <c r="J39" s="39"/>
    </row>
    <row r="40" spans="1:11" x14ac:dyDescent="0.25">
      <c r="A40" s="1" t="s">
        <v>70</v>
      </c>
      <c r="B40" s="40"/>
      <c r="C40" s="40"/>
      <c r="D40" s="40"/>
      <c r="E40" s="40"/>
      <c r="F40" s="40"/>
      <c r="G40" s="40"/>
      <c r="H40" s="40"/>
      <c r="I40" s="40"/>
      <c r="J40" s="40"/>
    </row>
    <row r="42" spans="1:11" x14ac:dyDescent="0.25">
      <c r="A42" s="32" t="s">
        <v>1</v>
      </c>
      <c r="B42" s="70" t="s">
        <v>169</v>
      </c>
      <c r="C42" s="70" t="s">
        <v>168</v>
      </c>
      <c r="D42" s="70" t="s">
        <v>167</v>
      </c>
      <c r="E42" s="71" t="s">
        <v>170</v>
      </c>
      <c r="F42" s="71" t="s">
        <v>171</v>
      </c>
      <c r="G42" s="71" t="s">
        <v>172</v>
      </c>
      <c r="H42" s="71" t="s">
        <v>173</v>
      </c>
      <c r="I42" s="71" t="s">
        <v>174</v>
      </c>
      <c r="J42" s="71" t="s">
        <v>175</v>
      </c>
    </row>
    <row r="43" spans="1:11" x14ac:dyDescent="0.25">
      <c r="A43" s="32" t="s">
        <v>71</v>
      </c>
      <c r="B43" s="33">
        <f>B44+B49</f>
        <v>10022119.200000031</v>
      </c>
      <c r="C43" s="33">
        <f>C44+C49</f>
        <v>15183295.200000001</v>
      </c>
      <c r="D43" s="33">
        <f>D44+D49</f>
        <v>27432942.000000011</v>
      </c>
      <c r="E43" s="33">
        <f t="shared" ref="E43:J43" ca="1" si="9">E44+E49</f>
        <v>30012217.022128318</v>
      </c>
      <c r="F43" s="33">
        <f t="shared" ca="1" si="9"/>
        <v>32969499.014345024</v>
      </c>
      <c r="G43" s="33">
        <f t="shared" ca="1" si="9"/>
        <v>36298567.111029483</v>
      </c>
      <c r="H43" s="33">
        <f t="shared" ca="1" si="9"/>
        <v>39980958.58979892</v>
      </c>
      <c r="I43" s="33">
        <f t="shared" ca="1" si="9"/>
        <v>43985496.103518993</v>
      </c>
      <c r="J43" s="33">
        <f t="shared" ca="1" si="9"/>
        <v>48268495.910047807</v>
      </c>
    </row>
    <row r="44" spans="1:11" x14ac:dyDescent="0.25">
      <c r="A44" s="34" t="s">
        <v>72</v>
      </c>
      <c r="B44" s="35">
        <f>SUM(B45:B48)</f>
        <v>9077058.4000000302</v>
      </c>
      <c r="C44" s="35">
        <f>SUM(C45:C48)</f>
        <v>12294375.600000001</v>
      </c>
      <c r="D44" s="35">
        <f>SUM(D45:D48)</f>
        <v>24753911.600000013</v>
      </c>
      <c r="E44" s="35">
        <f t="shared" ref="E44:J44" ca="1" si="10">SUM(E45:E48)</f>
        <v>27612765.366605997</v>
      </c>
      <c r="F44" s="35">
        <f t="shared" ca="1" si="10"/>
        <v>30849626.103300381</v>
      </c>
      <c r="G44" s="35">
        <f t="shared" ca="1" si="10"/>
        <v>34458272.944462523</v>
      </c>
      <c r="H44" s="35">
        <f t="shared" ca="1" si="10"/>
        <v>38420243.167709641</v>
      </c>
      <c r="I44" s="35">
        <f t="shared" ca="1" si="10"/>
        <v>42704359.425907388</v>
      </c>
      <c r="J44" s="35">
        <f t="shared" ca="1" si="10"/>
        <v>47266937.976913884</v>
      </c>
    </row>
    <row r="45" spans="1:11" x14ac:dyDescent="0.25">
      <c r="A45" s="7" t="s">
        <v>73</v>
      </c>
      <c r="B45" s="36">
        <v>2490000</v>
      </c>
      <c r="C45" s="36">
        <v>2490000</v>
      </c>
      <c r="D45" s="36">
        <v>2983812</v>
      </c>
      <c r="E45" s="36">
        <f ca="1">D45+'Flujos de caja'!B30+'Flujos de caja'!B31</f>
        <v>2983812</v>
      </c>
      <c r="F45" s="36">
        <f ca="1">E45+'Flujos de caja'!C30+'Flujos de caja'!C31</f>
        <v>2983812</v>
      </c>
      <c r="G45" s="36">
        <f ca="1">F45+'Flujos de caja'!D30+'Flujos de caja'!D31</f>
        <v>2983812</v>
      </c>
      <c r="H45" s="36">
        <f ca="1">G45+'Flujos de caja'!E30+'Flujos de caja'!E31</f>
        <v>2983812</v>
      </c>
      <c r="I45" s="36">
        <f ca="1">H45+'Flujos de caja'!F30+'Flujos de caja'!F31</f>
        <v>2983812</v>
      </c>
      <c r="J45" s="36">
        <f ca="1">I45+'Flujos de caja'!G30+'Flujos de caja'!G31</f>
        <v>2983812</v>
      </c>
      <c r="K45" t="s">
        <v>213</v>
      </c>
    </row>
    <row r="46" spans="1:11" x14ac:dyDescent="0.25">
      <c r="A46" s="7" t="s">
        <v>74</v>
      </c>
      <c r="B46" s="36">
        <v>0</v>
      </c>
      <c r="C46" s="36">
        <v>0</v>
      </c>
      <c r="D46" s="36">
        <v>9106188</v>
      </c>
      <c r="E46" s="36">
        <f t="shared" ref="E46:J46" si="11">D46</f>
        <v>9106188</v>
      </c>
      <c r="F46" s="36">
        <f t="shared" si="11"/>
        <v>9106188</v>
      </c>
      <c r="G46" s="36">
        <f t="shared" si="11"/>
        <v>9106188</v>
      </c>
      <c r="H46" s="36">
        <f t="shared" si="11"/>
        <v>9106188</v>
      </c>
      <c r="I46" s="36">
        <f t="shared" si="11"/>
        <v>9106188</v>
      </c>
      <c r="J46" s="36">
        <f t="shared" si="11"/>
        <v>9106188</v>
      </c>
      <c r="K46" t="s">
        <v>213</v>
      </c>
    </row>
    <row r="47" spans="1:11" x14ac:dyDescent="0.25">
      <c r="A47" s="7" t="s">
        <v>75</v>
      </c>
      <c r="B47" s="36">
        <v>4083866</v>
      </c>
      <c r="C47" s="36">
        <v>6587058.4000000004</v>
      </c>
      <c r="D47" s="36">
        <v>9708375.5999999996</v>
      </c>
      <c r="E47" s="36">
        <f t="shared" ref="E47:J47" si="12">D47+D48</f>
        <v>12663911.600000009</v>
      </c>
      <c r="F47" s="36">
        <f t="shared" ca="1" si="12"/>
        <v>15522765.366605995</v>
      </c>
      <c r="G47" s="36">
        <f t="shared" ca="1" si="12"/>
        <v>18759626.103300381</v>
      </c>
      <c r="H47" s="36">
        <f t="shared" ca="1" si="12"/>
        <v>22368272.944462527</v>
      </c>
      <c r="I47" s="36">
        <f t="shared" ca="1" si="12"/>
        <v>26330243.167709641</v>
      </c>
      <c r="J47" s="36">
        <f t="shared" ca="1" si="12"/>
        <v>30614359.425907385</v>
      </c>
    </row>
    <row r="48" spans="1:11" x14ac:dyDescent="0.25">
      <c r="A48" s="7" t="s">
        <v>76</v>
      </c>
      <c r="B48" s="36">
        <f>('Cuentas de PyG'!B38)</f>
        <v>2503192.4000000297</v>
      </c>
      <c r="C48" s="36">
        <f>('Cuentas de PyG'!C38)</f>
        <v>3217317.200000002</v>
      </c>
      <c r="D48" s="36">
        <f>('Cuentas de PyG'!D38)</f>
        <v>2955536.0000000102</v>
      </c>
      <c r="E48" s="36">
        <f ca="1">'Cuentas de PyG'!E38</f>
        <v>2858853.7666059863</v>
      </c>
      <c r="F48" s="36">
        <f ca="1">'Cuentas de PyG'!F38</f>
        <v>3236860.7366943858</v>
      </c>
      <c r="G48" s="36">
        <f ca="1">'Cuentas de PyG'!G38</f>
        <v>3608646.8411621442</v>
      </c>
      <c r="H48" s="36">
        <f ca="1">'Cuentas de PyG'!H38</f>
        <v>3961970.223247116</v>
      </c>
      <c r="I48" s="36">
        <f ca="1">'Cuentas de PyG'!I38</f>
        <v>4284116.2581977434</v>
      </c>
      <c r="J48" s="36">
        <f ca="1">'Cuentas de PyG'!J38</f>
        <v>4562578.551006496</v>
      </c>
    </row>
    <row r="49" spans="1:18" x14ac:dyDescent="0.25">
      <c r="A49" s="34" t="s">
        <v>77</v>
      </c>
      <c r="B49" s="35">
        <v>945060.8</v>
      </c>
      <c r="C49" s="35">
        <v>2888919.6</v>
      </c>
      <c r="D49" s="35">
        <v>2679030.4</v>
      </c>
      <c r="E49" s="35">
        <f>D49-'Cuentas de PyG'!E22</f>
        <v>2399451.6555223204</v>
      </c>
      <c r="F49" s="35">
        <f>E49-'Cuentas de PyG'!F22</f>
        <v>2119872.9110446409</v>
      </c>
      <c r="G49" s="35">
        <f>F49-'Cuentas de PyG'!G22</f>
        <v>1840294.1665669614</v>
      </c>
      <c r="H49" s="35">
        <f>G49-'Cuentas de PyG'!H22</f>
        <v>1560715.422089282</v>
      </c>
      <c r="I49" s="35">
        <f>H49-'Cuentas de PyG'!I22</f>
        <v>1281136.6776116025</v>
      </c>
      <c r="J49" s="35">
        <f>I49-'Cuentas de PyG'!J22</f>
        <v>1001557.933133923</v>
      </c>
      <c r="K49" t="s">
        <v>214</v>
      </c>
    </row>
    <row r="50" spans="1:18" x14ac:dyDescent="0.25">
      <c r="A50" s="32" t="s">
        <v>78</v>
      </c>
      <c r="B50" s="33">
        <f>B51+B55</f>
        <v>1689056</v>
      </c>
      <c r="C50" s="33">
        <f>C51+C55</f>
        <v>6355765.1999999993</v>
      </c>
      <c r="D50" s="33">
        <f>D51+D55</f>
        <v>8485034.4000000004</v>
      </c>
      <c r="E50" s="33">
        <f t="shared" ref="E50:J50" ca="1" si="13">E51+E55</f>
        <v>9184686.8541978374</v>
      </c>
      <c r="F50" s="33">
        <f t="shared" ca="1" si="13"/>
        <v>9976849.6380304173</v>
      </c>
      <c r="G50" s="33">
        <f t="shared" ca="1" si="13"/>
        <v>10860000.307800349</v>
      </c>
      <c r="H50" s="33">
        <f t="shared" ca="1" si="13"/>
        <v>11829620.448058348</v>
      </c>
      <c r="I50" s="33">
        <f t="shared" ca="1" si="13"/>
        <v>12878079.9702379</v>
      </c>
      <c r="J50" s="33">
        <f t="shared" ca="1" si="13"/>
        <v>13994688.073097214</v>
      </c>
    </row>
    <row r="51" spans="1:18" x14ac:dyDescent="0.25">
      <c r="A51" s="34" t="s">
        <v>79</v>
      </c>
      <c r="B51" s="35">
        <f>SUM(B52:B54)</f>
        <v>1287142</v>
      </c>
      <c r="C51" s="35">
        <f>SUM(C52:C54)</f>
        <v>5117656.8</v>
      </c>
      <c r="D51" s="35">
        <f>SUM(D52:D54)</f>
        <v>6067627.6000000006</v>
      </c>
      <c r="E51" s="35">
        <f ca="1">D51+Hipótesis!E43*Hipótesis!E40</f>
        <v>6767280.0541978385</v>
      </c>
      <c r="F51" s="35">
        <f ca="1">E51+Hipótesis!F43*Hipótesis!F40</f>
        <v>7559442.8380304174</v>
      </c>
      <c r="G51" s="35">
        <f ca="1">F51+Hipótesis!G43*Hipótesis!G40</f>
        <v>8442593.50780035</v>
      </c>
      <c r="H51" s="35">
        <f ca="1">G51+Hipótesis!H43*Hipótesis!H40</f>
        <v>9412213.6480583493</v>
      </c>
      <c r="I51" s="35">
        <f ca="1">H51+Hipótesis!I43*Hipótesis!I40</f>
        <v>10460673.170237899</v>
      </c>
      <c r="J51" s="35">
        <f ca="1">I51+Hipótesis!J43*Hipótesis!J40</f>
        <v>11577281.273097213</v>
      </c>
    </row>
    <row r="52" spans="1:18" x14ac:dyDescent="0.25">
      <c r="A52" s="7" t="s">
        <v>80</v>
      </c>
      <c r="B52" s="36">
        <v>425942</v>
      </c>
      <c r="C52" s="36">
        <v>316456.8</v>
      </c>
      <c r="D52" s="36">
        <v>5804147.2000000002</v>
      </c>
      <c r="E52" s="36"/>
      <c r="F52" s="36"/>
      <c r="G52" s="36"/>
      <c r="H52" s="36"/>
      <c r="I52" s="36"/>
      <c r="J52" s="36"/>
    </row>
    <row r="53" spans="1:18" x14ac:dyDescent="0.25">
      <c r="A53" s="7" t="s">
        <v>81</v>
      </c>
      <c r="B53" s="36">
        <v>0</v>
      </c>
      <c r="C53" s="36">
        <v>0</v>
      </c>
      <c r="D53" s="36">
        <v>262280.40000000002</v>
      </c>
      <c r="E53" s="36"/>
      <c r="F53" s="36"/>
      <c r="G53" s="36"/>
      <c r="H53" s="36"/>
      <c r="I53" s="36"/>
      <c r="J53" s="36"/>
    </row>
    <row r="54" spans="1:18" x14ac:dyDescent="0.25">
      <c r="A54" s="7" t="s">
        <v>82</v>
      </c>
      <c r="B54" s="36">
        <v>861200</v>
      </c>
      <c r="C54" s="36">
        <v>4801200</v>
      </c>
      <c r="D54" s="36">
        <v>1200</v>
      </c>
      <c r="E54" s="36"/>
      <c r="F54" s="36"/>
      <c r="G54" s="36"/>
      <c r="H54" s="36"/>
      <c r="I54" s="36"/>
      <c r="J54" s="36"/>
    </row>
    <row r="55" spans="1:18" x14ac:dyDescent="0.25">
      <c r="A55" s="34" t="s">
        <v>83</v>
      </c>
      <c r="B55" s="35">
        <v>401914</v>
      </c>
      <c r="C55" s="35">
        <v>1238108.3999999999</v>
      </c>
      <c r="D55" s="35">
        <v>2417406.7999999998</v>
      </c>
      <c r="E55" s="35">
        <f t="shared" ref="E55:J55" si="14">D55</f>
        <v>2417406.7999999998</v>
      </c>
      <c r="F55" s="35">
        <f t="shared" si="14"/>
        <v>2417406.7999999998</v>
      </c>
      <c r="G55" s="35">
        <f t="shared" si="14"/>
        <v>2417406.7999999998</v>
      </c>
      <c r="H55" s="35">
        <f t="shared" si="14"/>
        <v>2417406.7999999998</v>
      </c>
      <c r="I55" s="35">
        <f t="shared" si="14"/>
        <v>2417406.7999999998</v>
      </c>
      <c r="J55" s="35">
        <f t="shared" si="14"/>
        <v>2417406.7999999998</v>
      </c>
      <c r="K55" t="s">
        <v>215</v>
      </c>
    </row>
    <row r="56" spans="1:18" x14ac:dyDescent="0.25">
      <c r="A56" s="32" t="s">
        <v>84</v>
      </c>
      <c r="B56" s="33">
        <f>B57+B60</f>
        <v>33903061.600000001</v>
      </c>
      <c r="C56" s="33">
        <f>C57+C60</f>
        <v>51861702.400000006</v>
      </c>
      <c r="D56" s="33">
        <f>D57+D60</f>
        <v>46954533.600000001</v>
      </c>
      <c r="E56" s="33">
        <f t="shared" ref="E56:J56" ca="1" si="15">E57+E60</f>
        <v>50853453.487062514</v>
      </c>
      <c r="F56" s="33">
        <f t="shared" ca="1" si="15"/>
        <v>54669757.402531803</v>
      </c>
      <c r="G56" s="33">
        <f t="shared" ca="1" si="15"/>
        <v>58259008.315316163</v>
      </c>
      <c r="H56" s="33">
        <f t="shared" ca="1" si="15"/>
        <v>61535293.198459297</v>
      </c>
      <c r="I56" s="33">
        <f t="shared" ca="1" si="15"/>
        <v>64419371.885007851</v>
      </c>
      <c r="J56" s="33">
        <f t="shared" ca="1" si="15"/>
        <v>66842834.387448147</v>
      </c>
    </row>
    <row r="57" spans="1:18" x14ac:dyDescent="0.25">
      <c r="A57" s="34" t="s">
        <v>85</v>
      </c>
      <c r="B57" s="35">
        <f>SUM(B58:B59)</f>
        <v>10636954.4</v>
      </c>
      <c r="C57" s="35">
        <f>SUM(C58:C59)</f>
        <v>16882515.199999999</v>
      </c>
      <c r="D57" s="35">
        <f>SUM(D58:D59)</f>
        <v>9248591.5999999996</v>
      </c>
      <c r="E57" s="35">
        <f ca="1">D57+Hipótesis!E43*(1-Hipótesis!E40)</f>
        <v>10315038.033003487</v>
      </c>
      <c r="F57" s="35">
        <f ca="1">E57+Hipótesis!F43*(1-Hipótesis!F40)</f>
        <v>11522493.491935508</v>
      </c>
      <c r="G57" s="35">
        <f ca="1">F57+Hipótesis!G43*(1-Hipótesis!G40)</f>
        <v>12868637.389423313</v>
      </c>
      <c r="H57" s="35">
        <f ca="1">G57+Hipótesis!H43*(1-Hipótesis!H40)</f>
        <v>14346582.523099769</v>
      </c>
      <c r="I57" s="35">
        <f ca="1">H57+Hipótesis!I43*(1-Hipótesis!I40)</f>
        <v>15944698.717602178</v>
      </c>
      <c r="J57" s="35">
        <f ca="1">I57+Hipótesis!J43*(1-Hipótesis!J40)</f>
        <v>17646690.501111861</v>
      </c>
      <c r="K57" t="s">
        <v>216</v>
      </c>
      <c r="M57" s="92">
        <f>(D57+D51)/(D57+D51+D44)</f>
        <v>0.38223531828351293</v>
      </c>
      <c r="N57" s="92">
        <f t="shared" ref="N57:Q57" ca="1" si="16">(E57+E51)/(E57+E51+E44)</f>
        <v>0.38223531828351293</v>
      </c>
      <c r="O57" s="92">
        <f t="shared" ca="1" si="16"/>
        <v>0.38223531828351293</v>
      </c>
      <c r="P57" s="92">
        <f t="shared" ca="1" si="16"/>
        <v>0.38223531828351293</v>
      </c>
      <c r="Q57" s="92">
        <f t="shared" ca="1" si="16"/>
        <v>0.38223531828351293</v>
      </c>
      <c r="R57" t="s">
        <v>217</v>
      </c>
    </row>
    <row r="58" spans="1:18" x14ac:dyDescent="0.25">
      <c r="A58" s="7" t="s">
        <v>80</v>
      </c>
      <c r="B58" s="36">
        <v>10636954.4</v>
      </c>
      <c r="C58" s="36">
        <v>16861816.800000001</v>
      </c>
      <c r="D58" s="36">
        <v>9247521.1999999993</v>
      </c>
      <c r="E58" s="36"/>
      <c r="F58" s="36"/>
      <c r="G58" s="36"/>
      <c r="H58" s="36"/>
      <c r="I58" s="36"/>
      <c r="J58" s="36"/>
    </row>
    <row r="59" spans="1:18" x14ac:dyDescent="0.25">
      <c r="A59" s="7" t="s">
        <v>82</v>
      </c>
      <c r="B59" s="36">
        <v>0</v>
      </c>
      <c r="C59" s="36">
        <v>20698.400000000001</v>
      </c>
      <c r="D59" s="36">
        <v>1070.4000000000001</v>
      </c>
      <c r="E59" s="36"/>
      <c r="F59" s="36"/>
      <c r="G59" s="36"/>
      <c r="H59" s="36"/>
      <c r="I59" s="36"/>
      <c r="J59" s="36"/>
    </row>
    <row r="60" spans="1:18" x14ac:dyDescent="0.25">
      <c r="A60" s="34" t="s">
        <v>86</v>
      </c>
      <c r="B60" s="35">
        <f>SUM(B61:B66)</f>
        <v>23266107.199999999</v>
      </c>
      <c r="C60" s="35">
        <f>SUM(C61:C66)</f>
        <v>34979187.200000003</v>
      </c>
      <c r="D60" s="35">
        <f>SUM(D61:D66)</f>
        <v>37705942</v>
      </c>
      <c r="E60" s="35">
        <f>(-'Cuentas de PyG'!E7+Balances!E20-Balances!D20)/365*Hipótesis!E30</f>
        <v>40538415.454059027</v>
      </c>
      <c r="F60" s="35">
        <f>(-'Cuentas de PyG'!F7+Balances!F20-Balances!E20)/365*Hipótesis!F30</f>
        <v>43147263.910596296</v>
      </c>
      <c r="G60" s="35">
        <f>(-'Cuentas de PyG'!G7+Balances!G20-Balances!F20)/365*Hipótesis!G30</f>
        <v>45390370.925892852</v>
      </c>
      <c r="H60" s="35">
        <f>(-'Cuentas de PyG'!H7+Balances!H20-Balances!G20)/365*Hipótesis!H30</f>
        <v>47188710.675359525</v>
      </c>
      <c r="I60" s="35">
        <f>(-'Cuentas de PyG'!I7+Balances!I20-Balances!H20)/365*Hipótesis!I30</f>
        <v>48474673.167405672</v>
      </c>
      <c r="J60" s="35">
        <f>(-'Cuentas de PyG'!J7+Balances!J20-Balances!I20)/365*Hipótesis!J30</f>
        <v>49196143.886336289</v>
      </c>
      <c r="K60" t="s">
        <v>218</v>
      </c>
    </row>
    <row r="61" spans="1:18" x14ac:dyDescent="0.25">
      <c r="A61" s="7" t="s">
        <v>87</v>
      </c>
      <c r="B61" s="36">
        <v>21988053.199999999</v>
      </c>
      <c r="C61" s="36">
        <v>16232132.800000001</v>
      </c>
      <c r="D61" s="36">
        <v>21929467.199999999</v>
      </c>
      <c r="E61" s="36"/>
      <c r="F61" s="36"/>
      <c r="G61" s="36"/>
      <c r="H61" s="36"/>
      <c r="I61" s="36"/>
      <c r="J61" s="36"/>
    </row>
    <row r="62" spans="1:18" x14ac:dyDescent="0.25">
      <c r="A62" s="7" t="s">
        <v>88</v>
      </c>
      <c r="B62" s="36">
        <v>0</v>
      </c>
      <c r="C62" s="36">
        <v>8703694.8000000007</v>
      </c>
      <c r="D62" s="36">
        <v>7503907.5999999996</v>
      </c>
      <c r="E62" s="36"/>
      <c r="F62" s="36"/>
      <c r="G62" s="36"/>
      <c r="H62" s="36"/>
      <c r="I62" s="36"/>
      <c r="J62" s="36"/>
    </row>
    <row r="63" spans="1:18" x14ac:dyDescent="0.25">
      <c r="A63" s="7" t="s">
        <v>89</v>
      </c>
      <c r="B63" s="36">
        <v>0</v>
      </c>
      <c r="C63" s="36">
        <v>8872126</v>
      </c>
      <c r="D63" s="36">
        <v>7446666</v>
      </c>
      <c r="E63" s="36"/>
      <c r="F63" s="36"/>
      <c r="G63" s="36"/>
      <c r="H63" s="36"/>
      <c r="I63" s="36"/>
      <c r="J63" s="36"/>
    </row>
    <row r="64" spans="1:18" x14ac:dyDescent="0.25">
      <c r="A64" s="7" t="s">
        <v>90</v>
      </c>
      <c r="B64" s="36">
        <v>107800</v>
      </c>
      <c r="C64" s="36">
        <v>112179.6</v>
      </c>
      <c r="D64" s="36">
        <v>379381.6</v>
      </c>
      <c r="E64" s="36"/>
      <c r="F64" s="36"/>
      <c r="G64" s="36"/>
      <c r="H64" s="36"/>
      <c r="I64" s="36"/>
      <c r="J64" s="36"/>
    </row>
    <row r="65" spans="1:10" x14ac:dyDescent="0.25">
      <c r="A65" s="7" t="s">
        <v>91</v>
      </c>
      <c r="B65" s="36">
        <v>0</v>
      </c>
      <c r="C65" s="36">
        <v>598202.4</v>
      </c>
      <c r="D65" s="36">
        <v>0</v>
      </c>
      <c r="E65" s="36"/>
      <c r="F65" s="36"/>
      <c r="G65" s="36"/>
      <c r="H65" s="36"/>
      <c r="I65" s="36"/>
      <c r="J65" s="36"/>
    </row>
    <row r="66" spans="1:10" x14ac:dyDescent="0.25">
      <c r="A66" s="7" t="s">
        <v>92</v>
      </c>
      <c r="B66" s="36">
        <v>1170254</v>
      </c>
      <c r="C66" s="36">
        <v>460851.6</v>
      </c>
      <c r="D66" s="36">
        <v>446519.6</v>
      </c>
      <c r="E66" s="36"/>
      <c r="F66" s="36"/>
      <c r="G66" s="36"/>
      <c r="H66" s="36"/>
      <c r="I66" s="36"/>
      <c r="J66" s="36"/>
    </row>
    <row r="67" spans="1:10" x14ac:dyDescent="0.25">
      <c r="A67" s="32" t="s">
        <v>93</v>
      </c>
      <c r="B67" s="33">
        <f>B43+B50+B56</f>
        <v>45614236.800000034</v>
      </c>
      <c r="C67" s="33">
        <f>C43+C50+C56</f>
        <v>73400762.800000012</v>
      </c>
      <c r="D67" s="33">
        <f>D43+D50+D56</f>
        <v>82872510.000000015</v>
      </c>
      <c r="E67" s="33">
        <f t="shared" ref="E67:J67" ca="1" si="17">E43+E50+E56</f>
        <v>90050357.363388672</v>
      </c>
      <c r="F67" s="33">
        <f t="shared" ca="1" si="17"/>
        <v>97616106.054907247</v>
      </c>
      <c r="G67" s="33">
        <f t="shared" ca="1" si="17"/>
        <v>105417575.734146</v>
      </c>
      <c r="H67" s="33">
        <f t="shared" ca="1" si="17"/>
        <v>113345872.23631656</v>
      </c>
      <c r="I67" s="33">
        <f t="shared" ca="1" si="17"/>
        <v>121282947.95876473</v>
      </c>
      <c r="J67" s="33">
        <f t="shared" ca="1" si="17"/>
        <v>129106018.37059316</v>
      </c>
    </row>
    <row r="69" spans="1:10" x14ac:dyDescent="0.25">
      <c r="B69" s="41"/>
      <c r="C69" s="41"/>
      <c r="D69" s="41"/>
      <c r="E69" s="41"/>
      <c r="F69" s="41"/>
      <c r="G69" s="41"/>
      <c r="H69" s="41"/>
      <c r="I69" s="41"/>
      <c r="J69" s="41"/>
    </row>
  </sheetData>
  <pageMargins left="0.75" right="0.75" top="1" bottom="1" header="0" footer="0"/>
  <pageSetup paperSize="9" orientation="portrait"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1DA26-89F2-44D4-B044-72F6637C8F3F}">
  <dimension ref="A1:M40"/>
  <sheetViews>
    <sheetView workbookViewId="0">
      <selection activeCell="E32" sqref="E32"/>
    </sheetView>
  </sheetViews>
  <sheetFormatPr baseColWidth="10" defaultColWidth="11.44140625" defaultRowHeight="13.2" x14ac:dyDescent="0.25"/>
  <cols>
    <col min="1" max="1" width="42.109375" customWidth="1"/>
    <col min="2" max="10" width="12.6640625" customWidth="1"/>
    <col min="12" max="12" width="15.6640625" customWidth="1"/>
  </cols>
  <sheetData>
    <row r="1" spans="1:13" x14ac:dyDescent="0.25">
      <c r="A1" s="1" t="s">
        <v>94</v>
      </c>
      <c r="B1" s="1"/>
      <c r="C1" s="1"/>
      <c r="D1" s="1"/>
      <c r="E1" s="1"/>
      <c r="F1" s="1"/>
      <c r="G1" s="1"/>
      <c r="H1" s="1"/>
      <c r="I1" s="1"/>
      <c r="J1" s="1"/>
    </row>
    <row r="3" spans="1:13" x14ac:dyDescent="0.25">
      <c r="A3" s="32" t="s">
        <v>1</v>
      </c>
      <c r="B3" s="70" t="s">
        <v>169</v>
      </c>
      <c r="C3" s="70" t="s">
        <v>168</v>
      </c>
      <c r="D3" s="70" t="s">
        <v>167</v>
      </c>
      <c r="E3" s="71" t="s">
        <v>170</v>
      </c>
      <c r="F3" s="71" t="s">
        <v>171</v>
      </c>
      <c r="G3" s="71" t="s">
        <v>172</v>
      </c>
      <c r="H3" s="71" t="s">
        <v>173</v>
      </c>
      <c r="I3" s="71" t="s">
        <v>174</v>
      </c>
      <c r="J3" s="71" t="s">
        <v>175</v>
      </c>
    </row>
    <row r="4" spans="1:13" x14ac:dyDescent="0.25">
      <c r="A4" s="34" t="s">
        <v>95</v>
      </c>
      <c r="B4" s="35">
        <f t="shared" ref="B4:J4" si="0">B5</f>
        <v>158621092</v>
      </c>
      <c r="C4" s="35">
        <f t="shared" si="0"/>
        <v>195712672.80000001</v>
      </c>
      <c r="D4" s="35">
        <f t="shared" si="0"/>
        <v>213575564.80000001</v>
      </c>
      <c r="E4" s="35">
        <f t="shared" si="0"/>
        <v>230425075.62878746</v>
      </c>
      <c r="F4" s="35">
        <f t="shared" si="0"/>
        <v>245751569.61218643</v>
      </c>
      <c r="G4" s="35">
        <f t="shared" si="0"/>
        <v>259055454.11129004</v>
      </c>
      <c r="H4" s="35">
        <f t="shared" si="0"/>
        <v>269872832.99137866</v>
      </c>
      <c r="I4" s="35">
        <f t="shared" si="0"/>
        <v>277801292.16270131</v>
      </c>
      <c r="J4" s="35">
        <f t="shared" si="0"/>
        <v>282523914.12946719</v>
      </c>
    </row>
    <row r="5" spans="1:13" x14ac:dyDescent="0.25">
      <c r="A5" s="7" t="s">
        <v>96</v>
      </c>
      <c r="B5" s="36">
        <v>158621092</v>
      </c>
      <c r="C5" s="36">
        <v>195712672.80000001</v>
      </c>
      <c r="D5" s="36">
        <v>213575564.80000001</v>
      </c>
      <c r="E5" s="36">
        <f>D5*(1+Hipótesis!E4)</f>
        <v>230425075.62878746</v>
      </c>
      <c r="F5" s="36">
        <f>E5*(1+Hipótesis!F4)</f>
        <v>245751569.61218643</v>
      </c>
      <c r="G5" s="36">
        <f>F5*(1+Hipótesis!G4)</f>
        <v>259055454.11129004</v>
      </c>
      <c r="H5" s="36">
        <f>G5*(1+Hipótesis!H4)</f>
        <v>269872832.99137866</v>
      </c>
      <c r="I5" s="36">
        <f>H5*(1+Hipótesis!I4)</f>
        <v>277801292.16270131</v>
      </c>
      <c r="J5" s="36">
        <f>I5*(1+Hipótesis!J4)</f>
        <v>282523914.12946719</v>
      </c>
    </row>
    <row r="6" spans="1:13" x14ac:dyDescent="0.25">
      <c r="A6" s="34" t="s">
        <v>97</v>
      </c>
      <c r="B6" s="35">
        <f t="shared" ref="B6:J6" si="1">SUM(B7:B9)</f>
        <v>-146265435.99999997</v>
      </c>
      <c r="C6" s="35">
        <f t="shared" si="1"/>
        <v>-179879260.80000001</v>
      </c>
      <c r="D6" s="35">
        <f t="shared" si="1"/>
        <v>-196014728</v>
      </c>
      <c r="E6" s="35">
        <f t="shared" si="1"/>
        <v>-211158847.98004472</v>
      </c>
      <c r="F6" s="35">
        <f t="shared" si="1"/>
        <v>-224862612.92150635</v>
      </c>
      <c r="G6" s="35">
        <f t="shared" si="1"/>
        <v>-236675934.11956248</v>
      </c>
      <c r="H6" s="35">
        <f t="shared" si="1"/>
        <v>-246184060.99642149</v>
      </c>
      <c r="I6" s="35">
        <f t="shared" si="1"/>
        <v>-253030819.60052502</v>
      </c>
      <c r="J6" s="35">
        <f t="shared" si="1"/>
        <v>-256940025.64807096</v>
      </c>
    </row>
    <row r="7" spans="1:13" x14ac:dyDescent="0.25">
      <c r="A7" s="7" t="s">
        <v>98</v>
      </c>
      <c r="B7" s="36">
        <v>-142047017.19999999</v>
      </c>
      <c r="C7" s="36">
        <v>-174053740.40000001</v>
      </c>
      <c r="D7" s="36">
        <v>-190259885.59999999</v>
      </c>
      <c r="E7" s="36">
        <f>-E4*Hipótesis!E5</f>
        <v>-204949991.66029897</v>
      </c>
      <c r="F7" s="36">
        <f>-F4*Hipótesis!F5</f>
        <v>-218240780.71895486</v>
      </c>
      <c r="G7" s="36">
        <f>-G4*Hipótesis!G5</f>
        <v>-229695625.70896801</v>
      </c>
      <c r="H7" s="36">
        <f>-H4*Hipótesis!H5</f>
        <v>-238912275.83990666</v>
      </c>
      <c r="I7" s="36">
        <f>-I4*Hipótesis!I5</f>
        <v>-245545400.2998209</v>
      </c>
      <c r="J7" s="36">
        <f>-J4*Hipótesis!J5</f>
        <v>-249327354.21925488</v>
      </c>
    </row>
    <row r="8" spans="1:13" x14ac:dyDescent="0.25">
      <c r="A8" s="7" t="s">
        <v>99</v>
      </c>
      <c r="B8" s="36">
        <v>-2829409.6</v>
      </c>
      <c r="C8" s="36">
        <v>-2356225.6</v>
      </c>
      <c r="D8" s="36">
        <v>-2270456.7999999998</v>
      </c>
      <c r="E8" s="36">
        <f>-E4*Hipótesis!E6</f>
        <v>-2449578.8192896056</v>
      </c>
      <c r="F8" s="36">
        <f>-F4*Hipótesis!F6</f>
        <v>-2612510.1102233487</v>
      </c>
      <c r="G8" s="36">
        <f>-G4*Hipótesis!G6</f>
        <v>-2753939.6555727446</v>
      </c>
      <c r="H8" s="36">
        <f>-H4*Hipótesis!H6</f>
        <v>-2868935.916776468</v>
      </c>
      <c r="I8" s="36">
        <f>-I4*Hipótesis!I6</f>
        <v>-2953220.9521732321</v>
      </c>
      <c r="J8" s="36">
        <f>-J4*Hipótesis!J6</f>
        <v>-3003425.7083601765</v>
      </c>
    </row>
    <row r="9" spans="1:13" x14ac:dyDescent="0.25">
      <c r="A9" s="7" t="s">
        <v>100</v>
      </c>
      <c r="B9" s="36">
        <v>-1389009.2</v>
      </c>
      <c r="C9" s="36">
        <v>-3469294.8</v>
      </c>
      <c r="D9" s="36">
        <v>-3484385.6</v>
      </c>
      <c r="E9" s="36">
        <f>-E4*Hipótesis!E7</f>
        <v>-3759277.5004561665</v>
      </c>
      <c r="F9" s="36">
        <f>-F4*Hipótesis!F7</f>
        <v>-4009322.0923281391</v>
      </c>
      <c r="G9" s="36">
        <f>-G4*Hipótesis!G7</f>
        <v>-4226368.7550217351</v>
      </c>
      <c r="H9" s="36">
        <f>-H4*Hipótesis!H7</f>
        <v>-4402849.2397383321</v>
      </c>
      <c r="I9" s="36">
        <f>-I4*Hipótesis!I7</f>
        <v>-4532198.3485308774</v>
      </c>
      <c r="J9" s="36">
        <f>-J4*Hipótesis!J7</f>
        <v>-4609245.7204559017</v>
      </c>
    </row>
    <row r="10" spans="1:13" x14ac:dyDescent="0.25">
      <c r="A10" s="34" t="s">
        <v>101</v>
      </c>
      <c r="B10" s="35">
        <f>SUM(B11:B12)</f>
        <v>502573.6</v>
      </c>
      <c r="C10" s="35">
        <f>SUM(C11:C12)</f>
        <v>92705.2</v>
      </c>
      <c r="D10" s="35">
        <f>SUM(D11:D12)</f>
        <v>192742</v>
      </c>
      <c r="E10" s="35">
        <f t="shared" ref="E10:J10" si="2">SUM(E11:E12)</f>
        <v>0</v>
      </c>
      <c r="F10" s="35">
        <f t="shared" si="2"/>
        <v>0</v>
      </c>
      <c r="G10" s="35">
        <f t="shared" si="2"/>
        <v>0</v>
      </c>
      <c r="H10" s="35">
        <f t="shared" si="2"/>
        <v>0</v>
      </c>
      <c r="I10" s="35">
        <f t="shared" si="2"/>
        <v>0</v>
      </c>
      <c r="J10" s="35">
        <f t="shared" si="2"/>
        <v>0</v>
      </c>
      <c r="L10" t="s">
        <v>202</v>
      </c>
      <c r="M10" t="s">
        <v>203</v>
      </c>
    </row>
    <row r="11" spans="1:13" x14ac:dyDescent="0.25">
      <c r="A11" s="7" t="s">
        <v>102</v>
      </c>
      <c r="B11" s="36">
        <v>502573.6</v>
      </c>
      <c r="C11" s="36">
        <v>79420.399999999994</v>
      </c>
      <c r="D11" s="36">
        <v>148858</v>
      </c>
      <c r="E11" s="36"/>
      <c r="F11" s="36"/>
      <c r="G11" s="36"/>
      <c r="H11" s="36"/>
      <c r="I11" s="36"/>
      <c r="J11" s="36"/>
    </row>
    <row r="12" spans="1:13" x14ac:dyDescent="0.25">
      <c r="A12" s="7" t="s">
        <v>103</v>
      </c>
      <c r="B12" s="36">
        <v>0</v>
      </c>
      <c r="C12" s="36">
        <v>13284.8</v>
      </c>
      <c r="D12" s="36">
        <v>43884</v>
      </c>
      <c r="E12" s="36"/>
      <c r="F12" s="36"/>
      <c r="G12" s="36"/>
      <c r="H12" s="36"/>
      <c r="I12" s="36"/>
      <c r="J12" s="36"/>
    </row>
    <row r="13" spans="1:13" x14ac:dyDescent="0.25">
      <c r="A13" s="34" t="s">
        <v>104</v>
      </c>
      <c r="B13" s="35">
        <f>SUM(B14:B15)</f>
        <v>-4856121.5999999996</v>
      </c>
      <c r="C13" s="35">
        <f>SUM(C14:C15)</f>
        <v>-5630614.3999999994</v>
      </c>
      <c r="D13" s="35">
        <f>SUM(D14:D15)</f>
        <v>-6172150.4000000004</v>
      </c>
      <c r="E13" s="35">
        <f>-E4*Hipótesis!E8</f>
        <v>-6659086.7922745189</v>
      </c>
      <c r="F13" s="35">
        <f>-F4*Hipótesis!F8</f>
        <v>-7102009.3057128806</v>
      </c>
      <c r="G13" s="35">
        <f>-G4*Hipótesis!G8</f>
        <v>-7486480.1421102472</v>
      </c>
      <c r="H13" s="35">
        <f>-H4*Hipótesis!H8</f>
        <v>-7799093.1015759669</v>
      </c>
      <c r="I13" s="35">
        <f>-I4*Hipótesis!I8</f>
        <v>-8028218.7625170387</v>
      </c>
      <c r="J13" s="35">
        <f>-J4*Hipótesis!J8</f>
        <v>-8164698.4814798273</v>
      </c>
    </row>
    <row r="14" spans="1:13" x14ac:dyDescent="0.25">
      <c r="A14" s="7" t="s">
        <v>105</v>
      </c>
      <c r="B14" s="36">
        <v>-3643630.4</v>
      </c>
      <c r="C14" s="36">
        <v>-4224745.5999999996</v>
      </c>
      <c r="D14" s="36">
        <v>-4695406.8</v>
      </c>
      <c r="E14" s="36"/>
      <c r="F14" s="36"/>
      <c r="G14" s="36"/>
      <c r="H14" s="36"/>
      <c r="I14" s="36"/>
      <c r="J14" s="36"/>
    </row>
    <row r="15" spans="1:13" x14ac:dyDescent="0.25">
      <c r="A15" s="7" t="s">
        <v>106</v>
      </c>
      <c r="B15" s="36">
        <v>-1212491.2</v>
      </c>
      <c r="C15" s="36">
        <v>-1405868.8</v>
      </c>
      <c r="D15" s="36">
        <v>-1476743.6</v>
      </c>
      <c r="E15" s="36"/>
      <c r="F15" s="36"/>
      <c r="G15" s="36"/>
      <c r="H15" s="36"/>
      <c r="I15" s="36"/>
      <c r="J15" s="36"/>
    </row>
    <row r="16" spans="1:13" x14ac:dyDescent="0.25">
      <c r="A16" s="34" t="s">
        <v>107</v>
      </c>
      <c r="B16" s="35">
        <f>SUM(B17:B20)</f>
        <v>-3578392</v>
      </c>
      <c r="C16" s="35">
        <f>SUM(C17:C20)</f>
        <v>-4043999.6</v>
      </c>
      <c r="D16" s="35">
        <f>SUM(D17:D20)</f>
        <v>-5257501.6000000006</v>
      </c>
      <c r="E16" s="35">
        <f t="shared" ref="E16:J16" si="3">SUM(E17:E20)</f>
        <v>-5465871.3875005748</v>
      </c>
      <c r="F16" s="35">
        <f t="shared" si="3"/>
        <v>-5829428.3689009715</v>
      </c>
      <c r="G16" s="35">
        <f t="shared" si="3"/>
        <v>-6145007.3979099924</v>
      </c>
      <c r="H16" s="35">
        <f t="shared" si="3"/>
        <v>-6401604.4785319008</v>
      </c>
      <c r="I16" s="35">
        <f t="shared" si="3"/>
        <v>-6589674.019198182</v>
      </c>
      <c r="J16" s="35">
        <f t="shared" si="3"/>
        <v>-6701698.4775245488</v>
      </c>
    </row>
    <row r="17" spans="1:12" x14ac:dyDescent="0.25">
      <c r="A17" s="7" t="s">
        <v>108</v>
      </c>
      <c r="B17" s="36">
        <v>-3492226</v>
      </c>
      <c r="C17" s="36">
        <v>-3925054</v>
      </c>
      <c r="D17" s="36">
        <v>-4988202</v>
      </c>
      <c r="E17" s="36">
        <f>-E4*Hipótesis!E9</f>
        <v>-5381733.7398967696</v>
      </c>
      <c r="F17" s="36">
        <f>-F4*Hipótesis!F9</f>
        <v>-5739694.3896207716</v>
      </c>
      <c r="G17" s="36">
        <f>-G4*Hipótesis!G9</f>
        <v>-6050415.6246475494</v>
      </c>
      <c r="H17" s="36">
        <f>-H4*Hipótesis!H9</f>
        <v>-6303062.83649009</v>
      </c>
      <c r="I17" s="36">
        <f>-I4*Hipótesis!I9</f>
        <v>-6488237.3714718651</v>
      </c>
      <c r="J17" s="36">
        <f>-J4*Hipótesis!J9</f>
        <v>-6598537.4067868851</v>
      </c>
    </row>
    <row r="18" spans="1:12" x14ac:dyDescent="0.25">
      <c r="A18" s="7" t="s">
        <v>109</v>
      </c>
      <c r="B18" s="36">
        <v>-45736.4</v>
      </c>
      <c r="C18" s="36">
        <v>-91808.4</v>
      </c>
      <c r="D18" s="36">
        <v>-77985.2</v>
      </c>
      <c r="E18" s="36">
        <f>-E4*Hipótesis!E10</f>
        <v>-84137.647603805439</v>
      </c>
      <c r="F18" s="36">
        <f>-F4*Hipótesis!F10</f>
        <v>-89733.979280200321</v>
      </c>
      <c r="G18" s="36">
        <f>-G4*Hipótesis!G10</f>
        <v>-94591.773262442875</v>
      </c>
      <c r="H18" s="36">
        <f>-H4*Hipótesis!H10</f>
        <v>-98541.642041811254</v>
      </c>
      <c r="I18" s="36">
        <f>-I4*Hipótesis!I10</f>
        <v>-101436.64772631654</v>
      </c>
      <c r="J18" s="36">
        <f>-J4*Hipótesis!J10</f>
        <v>-103161.07073766392</v>
      </c>
    </row>
    <row r="19" spans="1:12" x14ac:dyDescent="0.25">
      <c r="A19" s="7" t="s">
        <v>110</v>
      </c>
      <c r="B19" s="36">
        <v>0</v>
      </c>
      <c r="C19" s="36">
        <v>-4559.2</v>
      </c>
      <c r="D19" s="36">
        <v>-191314.4</v>
      </c>
      <c r="E19" s="36"/>
      <c r="F19" s="36"/>
      <c r="G19" s="36"/>
      <c r="H19" s="36"/>
      <c r="I19" s="36"/>
      <c r="J19" s="36"/>
      <c r="L19" t="s">
        <v>204</v>
      </c>
    </row>
    <row r="20" spans="1:12" x14ac:dyDescent="0.25">
      <c r="A20" s="7" t="s">
        <v>111</v>
      </c>
      <c r="B20" s="36">
        <v>-40429.599999999999</v>
      </c>
      <c r="C20" s="36">
        <v>-22578</v>
      </c>
      <c r="D20" s="36">
        <v>0</v>
      </c>
      <c r="E20" s="36"/>
      <c r="F20" s="36"/>
      <c r="G20" s="36"/>
      <c r="H20" s="36"/>
      <c r="I20" s="36"/>
      <c r="J20" s="36"/>
    </row>
    <row r="21" spans="1:12" x14ac:dyDescent="0.25">
      <c r="A21" s="34" t="s">
        <v>112</v>
      </c>
      <c r="B21" s="35">
        <v>-785850.4</v>
      </c>
      <c r="C21" s="35">
        <v>-985654</v>
      </c>
      <c r="D21" s="35">
        <v>-1855217.2</v>
      </c>
      <c r="E21" s="35">
        <f>-(Balances!D5+Balances!D10)*Hipótesis!E19</f>
        <v>-2997318.7129586125</v>
      </c>
      <c r="F21" s="35">
        <f>-(Balances!E5+Balances!E10)*Hipótesis!F19</f>
        <v>-3233784.6876997612</v>
      </c>
      <c r="G21" s="35">
        <f>-(Balances!F5+Balances!F10)*Hipótesis!G19</f>
        <v>-3448876.6494768863</v>
      </c>
      <c r="H21" s="35">
        <f>-(Balances!G5+Balances!G10)*Hipótesis!H19</f>
        <v>-3635583.3169814036</v>
      </c>
      <c r="I21" s="35">
        <f>-(Balances!H5+Balances!H10)*Hipótesis!I19</f>
        <v>-3787394.3735168981</v>
      </c>
      <c r="J21" s="35">
        <f>-(Balances!I5+Balances!I10)*Hipótesis!J19</f>
        <v>-3898662.3411862673</v>
      </c>
    </row>
    <row r="22" spans="1:12" x14ac:dyDescent="0.25">
      <c r="A22" s="34" t="s">
        <v>113</v>
      </c>
      <c r="B22" s="35">
        <v>0</v>
      </c>
      <c r="C22" s="35">
        <v>178314.4</v>
      </c>
      <c r="D22" s="35">
        <v>301482.40000000002</v>
      </c>
      <c r="E22" s="35">
        <f>Balances!$D$49*Hipótesis!E11</f>
        <v>279578.74447767949</v>
      </c>
      <c r="F22" s="35">
        <f>Balances!$D$49*Hipótesis!F11</f>
        <v>279578.74447767949</v>
      </c>
      <c r="G22" s="35">
        <f>Balances!$D$49*Hipótesis!G11</f>
        <v>279578.74447767949</v>
      </c>
      <c r="H22" s="35">
        <f>Balances!$D$49*Hipótesis!H11</f>
        <v>279578.74447767949</v>
      </c>
      <c r="I22" s="35">
        <f>Balances!$D$49*Hipótesis!I11</f>
        <v>279578.74447767949</v>
      </c>
      <c r="J22" s="35">
        <f>Balances!$D$49*Hipótesis!J11</f>
        <v>279578.74447767949</v>
      </c>
      <c r="L22" t="s">
        <v>205</v>
      </c>
    </row>
    <row r="23" spans="1:12" x14ac:dyDescent="0.25">
      <c r="A23" s="34" t="s">
        <v>114</v>
      </c>
      <c r="B23" s="35">
        <f t="shared" ref="B23:J23" si="4">B24</f>
        <v>-7363.2</v>
      </c>
      <c r="C23" s="35">
        <f t="shared" si="4"/>
        <v>-5701.2</v>
      </c>
      <c r="D23" s="35">
        <f t="shared" si="4"/>
        <v>11086.4</v>
      </c>
      <c r="E23" s="35">
        <f t="shared" si="4"/>
        <v>0</v>
      </c>
      <c r="F23" s="35">
        <f t="shared" si="4"/>
        <v>0</v>
      </c>
      <c r="G23" s="35">
        <f t="shared" si="4"/>
        <v>0</v>
      </c>
      <c r="H23" s="35">
        <f t="shared" si="4"/>
        <v>0</v>
      </c>
      <c r="I23" s="35">
        <f t="shared" si="4"/>
        <v>0</v>
      </c>
      <c r="J23" s="35">
        <f t="shared" si="4"/>
        <v>0</v>
      </c>
    </row>
    <row r="24" spans="1:12" x14ac:dyDescent="0.25">
      <c r="A24" s="7" t="s">
        <v>115</v>
      </c>
      <c r="B24" s="36">
        <v>-7363.2</v>
      </c>
      <c r="C24" s="36">
        <v>-5701.2</v>
      </c>
      <c r="D24" s="36">
        <v>11086.4</v>
      </c>
      <c r="E24" s="36"/>
      <c r="F24" s="36"/>
      <c r="G24" s="36"/>
      <c r="H24" s="36"/>
      <c r="I24" s="36"/>
      <c r="J24" s="36"/>
    </row>
    <row r="25" spans="1:12" x14ac:dyDescent="0.25">
      <c r="A25" s="32" t="s">
        <v>116</v>
      </c>
      <c r="B25" s="33">
        <f>B4+B6+B10+B13+B16+B21+B22+B23</f>
        <v>3630502.4000000297</v>
      </c>
      <c r="C25" s="33">
        <f>C4+C6+C10+C13+C16+C21+C22+C23</f>
        <v>5438462.4000000013</v>
      </c>
      <c r="D25" s="33">
        <f>D4+D6+D10+D13+D16+D21+D22+D23</f>
        <v>4781278.4000000115</v>
      </c>
      <c r="E25" s="33">
        <f t="shared" ref="E25:J25" si="5">E4+E6+E10+E13+E16+E21+E22+E23</f>
        <v>4423529.5004867073</v>
      </c>
      <c r="F25" s="33">
        <f t="shared" si="5"/>
        <v>5003313.0728441533</v>
      </c>
      <c r="G25" s="33">
        <f t="shared" si="5"/>
        <v>5578734.5467081163</v>
      </c>
      <c r="H25" s="33">
        <f t="shared" si="5"/>
        <v>6132069.8423455879</v>
      </c>
      <c r="I25" s="33">
        <f t="shared" si="5"/>
        <v>6644764.1514218468</v>
      </c>
      <c r="J25" s="33">
        <f t="shared" si="5"/>
        <v>7098407.9256832637</v>
      </c>
    </row>
    <row r="26" spans="1:12" x14ac:dyDescent="0.25">
      <c r="A26" s="34" t="s">
        <v>117</v>
      </c>
      <c r="B26" s="35">
        <f>B27+B30</f>
        <v>243585.2</v>
      </c>
      <c r="C26" s="35">
        <f>C27+C30</f>
        <v>148334.39999999999</v>
      </c>
      <c r="D26" s="35">
        <f>D27+D30</f>
        <v>113532</v>
      </c>
      <c r="E26" s="35"/>
      <c r="F26" s="35"/>
      <c r="G26" s="35"/>
      <c r="H26" s="35"/>
      <c r="I26" s="35"/>
      <c r="J26" s="35"/>
      <c r="L26" t="s">
        <v>206</v>
      </c>
    </row>
    <row r="27" spans="1:12" x14ac:dyDescent="0.25">
      <c r="A27" s="7" t="s">
        <v>118</v>
      </c>
      <c r="B27" s="36">
        <f>SUM(B28:B29)</f>
        <v>68910</v>
      </c>
      <c r="C27" s="36">
        <f>SUM(C28:C29)</f>
        <v>148334.39999999999</v>
      </c>
      <c r="D27" s="36">
        <f>SUM(D28:D29)</f>
        <v>113532</v>
      </c>
      <c r="E27" s="36"/>
      <c r="F27" s="36"/>
      <c r="G27" s="36"/>
      <c r="H27" s="36"/>
      <c r="I27" s="36"/>
      <c r="J27" s="36"/>
    </row>
    <row r="28" spans="1:12" x14ac:dyDescent="0.25">
      <c r="A28" s="7" t="s">
        <v>119</v>
      </c>
      <c r="B28" s="36">
        <v>55004.4</v>
      </c>
      <c r="C28" s="36">
        <v>0</v>
      </c>
      <c r="D28" s="36">
        <v>102932.4</v>
      </c>
      <c r="E28" s="36"/>
      <c r="F28" s="36"/>
      <c r="G28" s="36"/>
      <c r="H28" s="36"/>
      <c r="I28" s="36"/>
      <c r="J28" s="36"/>
    </row>
    <row r="29" spans="1:12" x14ac:dyDescent="0.25">
      <c r="A29" s="7" t="s">
        <v>120</v>
      </c>
      <c r="B29" s="36">
        <v>13905.6</v>
      </c>
      <c r="C29" s="36">
        <v>148334.39999999999</v>
      </c>
      <c r="D29" s="36">
        <v>10599.6</v>
      </c>
      <c r="E29" s="36"/>
      <c r="F29" s="36"/>
      <c r="G29" s="36"/>
      <c r="H29" s="36"/>
      <c r="I29" s="36"/>
      <c r="J29" s="36"/>
    </row>
    <row r="30" spans="1:12" x14ac:dyDescent="0.25">
      <c r="A30" s="7" t="s">
        <v>121</v>
      </c>
      <c r="B30" s="36">
        <v>174675.20000000001</v>
      </c>
      <c r="C30" s="36">
        <v>0</v>
      </c>
      <c r="D30" s="36">
        <v>0</v>
      </c>
      <c r="E30" s="36"/>
      <c r="F30" s="36"/>
      <c r="G30" s="36"/>
      <c r="H30" s="36"/>
      <c r="I30" s="36"/>
      <c r="J30" s="36"/>
    </row>
    <row r="31" spans="1:12" x14ac:dyDescent="0.25">
      <c r="A31" s="34" t="s">
        <v>122</v>
      </c>
      <c r="B31" s="35">
        <f t="shared" ref="B31:J31" si="6">B32</f>
        <v>-350600.4</v>
      </c>
      <c r="C31" s="35">
        <f t="shared" si="6"/>
        <v>-661369.59999999998</v>
      </c>
      <c r="D31" s="35">
        <f t="shared" si="6"/>
        <v>-368028.4</v>
      </c>
      <c r="E31" s="35">
        <f t="shared" ca="1" si="6"/>
        <v>-336944.59682498802</v>
      </c>
      <c r="F31" s="35">
        <f t="shared" ca="1" si="6"/>
        <v>-376386.5835139617</v>
      </c>
      <c r="G31" s="35">
        <f t="shared" ca="1" si="6"/>
        <v>-420358.88020896242</v>
      </c>
      <c r="H31" s="35">
        <f t="shared" ca="1" si="6"/>
        <v>-468636.513854397</v>
      </c>
      <c r="I31" s="35">
        <f t="shared" ca="1" si="6"/>
        <v>-520839.58039794391</v>
      </c>
      <c r="J31" s="35">
        <f t="shared" ca="1" si="6"/>
        <v>-576435.78212393308</v>
      </c>
    </row>
    <row r="32" spans="1:12" x14ac:dyDescent="0.25">
      <c r="A32" s="7" t="s">
        <v>123</v>
      </c>
      <c r="B32" s="36">
        <v>-350600.4</v>
      </c>
      <c r="C32" s="36">
        <v>-661369.59999999998</v>
      </c>
      <c r="D32" s="36">
        <v>-368028.4</v>
      </c>
      <c r="E32" s="36">
        <f ca="1">-Hipótesis!E41*(Balances!E51+Balances!E57)</f>
        <v>-336944.59682498802</v>
      </c>
      <c r="F32" s="36">
        <f ca="1">-Hipótesis!F41*(Balances!F51+Balances!F57)</f>
        <v>-376386.5835139617</v>
      </c>
      <c r="G32" s="36">
        <f ca="1">-Hipótesis!G41*(Balances!G51+Balances!G57)</f>
        <v>-420358.88020896242</v>
      </c>
      <c r="H32" s="36">
        <f ca="1">-Hipótesis!H41*(Balances!H51+Balances!H57)</f>
        <v>-468636.513854397</v>
      </c>
      <c r="I32" s="36">
        <f ca="1">-Hipótesis!I41*(Balances!I51+Balances!I57)</f>
        <v>-520839.58039794391</v>
      </c>
      <c r="J32" s="36">
        <f ca="1">-Hipótesis!J41*(Balances!J51+Balances!J57)</f>
        <v>-576435.78212393308</v>
      </c>
    </row>
    <row r="33" spans="1:10" x14ac:dyDescent="0.25">
      <c r="A33" s="34" t="s">
        <v>124</v>
      </c>
      <c r="B33" s="35">
        <f>B34</f>
        <v>0</v>
      </c>
      <c r="C33" s="35">
        <f>C34</f>
        <v>0</v>
      </c>
      <c r="D33" s="35">
        <f>D34</f>
        <v>-262280.40000000002</v>
      </c>
      <c r="E33" s="35"/>
      <c r="F33" s="35"/>
      <c r="G33" s="35"/>
      <c r="H33" s="35"/>
      <c r="I33" s="35"/>
      <c r="J33" s="35"/>
    </row>
    <row r="34" spans="1:10" x14ac:dyDescent="0.25">
      <c r="A34" s="7" t="s">
        <v>125</v>
      </c>
      <c r="B34" s="36">
        <v>0</v>
      </c>
      <c r="C34" s="36">
        <v>0</v>
      </c>
      <c r="D34" s="36">
        <v>-262280.40000000002</v>
      </c>
      <c r="E34" s="36"/>
      <c r="F34" s="36"/>
      <c r="G34" s="36"/>
      <c r="H34" s="36"/>
      <c r="I34" s="36"/>
      <c r="J34" s="36"/>
    </row>
    <row r="35" spans="1:10" x14ac:dyDescent="0.25">
      <c r="A35" s="34" t="s">
        <v>126</v>
      </c>
      <c r="B35" s="35">
        <v>111130.8</v>
      </c>
      <c r="C35" s="35">
        <v>-367216.8</v>
      </c>
      <c r="D35" s="35">
        <v>-39714.400000000001</v>
      </c>
      <c r="E35" s="35"/>
      <c r="F35" s="35"/>
      <c r="G35" s="35"/>
      <c r="H35" s="35"/>
      <c r="I35" s="35"/>
      <c r="J35" s="35"/>
    </row>
    <row r="36" spans="1:10" x14ac:dyDescent="0.25">
      <c r="A36" s="32" t="s">
        <v>127</v>
      </c>
      <c r="B36" s="33">
        <f>B25+B26+B31+B33+B35</f>
        <v>3634618.0000000298</v>
      </c>
      <c r="C36" s="33">
        <f>C25+C26+C31+C33+C35</f>
        <v>4558210.4000000022</v>
      </c>
      <c r="D36" s="33">
        <f>D25+D26+D31+D33+D35</f>
        <v>4224787.2000000104</v>
      </c>
      <c r="E36" s="33">
        <f t="shared" ref="E36:J36" ca="1" si="7">E25+E26+E31+E33+E35</f>
        <v>4086584.9036617195</v>
      </c>
      <c r="F36" s="33">
        <f t="shared" ca="1" si="7"/>
        <v>4626926.4893301912</v>
      </c>
      <c r="G36" s="33">
        <f t="shared" ca="1" si="7"/>
        <v>5158375.6664991537</v>
      </c>
      <c r="H36" s="33">
        <f t="shared" ca="1" si="7"/>
        <v>5663433.3284911904</v>
      </c>
      <c r="I36" s="33">
        <f t="shared" ca="1" si="7"/>
        <v>6123924.5710239029</v>
      </c>
      <c r="J36" s="33">
        <f t="shared" ca="1" si="7"/>
        <v>6521972.1435593311</v>
      </c>
    </row>
    <row r="37" spans="1:10" x14ac:dyDescent="0.25">
      <c r="A37" s="7" t="s">
        <v>128</v>
      </c>
      <c r="B37" s="36">
        <v>-1131425.6000000001</v>
      </c>
      <c r="C37" s="36">
        <v>-1340893.2</v>
      </c>
      <c r="D37" s="36">
        <v>-1269251.2</v>
      </c>
      <c r="E37" s="36">
        <f ca="1">-E36*Hipótesis!E12</f>
        <v>-1227731.1370557335</v>
      </c>
      <c r="F37" s="36">
        <f ca="1">-F36*Hipótesis!F12</f>
        <v>-1390065.7526358054</v>
      </c>
      <c r="G37" s="36">
        <f ca="1">-G36*Hipótesis!G12</f>
        <v>-1549728.8253370095</v>
      </c>
      <c r="H37" s="36">
        <f ca="1">-H36*Hipótesis!H12</f>
        <v>-1701463.1052440745</v>
      </c>
      <c r="I37" s="36">
        <f ca="1">-I36*Hipótesis!I12</f>
        <v>-1839808.3128261594</v>
      </c>
      <c r="J37" s="36">
        <f ca="1">-J36*Hipótesis!J12</f>
        <v>-1959393.5925528349</v>
      </c>
    </row>
    <row r="38" spans="1:10" x14ac:dyDescent="0.25">
      <c r="A38" s="32" t="s">
        <v>129</v>
      </c>
      <c r="B38" s="33">
        <f>B36+B37</f>
        <v>2503192.4000000297</v>
      </c>
      <c r="C38" s="33">
        <f>C36+C37</f>
        <v>3217317.200000002</v>
      </c>
      <c r="D38" s="33">
        <f>D36+D37</f>
        <v>2955536.0000000102</v>
      </c>
      <c r="E38" s="33">
        <f t="shared" ref="E38:J38" ca="1" si="8">E36+E37</f>
        <v>2858853.7666059863</v>
      </c>
      <c r="F38" s="33">
        <f t="shared" ca="1" si="8"/>
        <v>3236860.7366943858</v>
      </c>
      <c r="G38" s="33">
        <f t="shared" ca="1" si="8"/>
        <v>3608646.8411621442</v>
      </c>
      <c r="H38" s="33">
        <f t="shared" ca="1" si="8"/>
        <v>3961970.223247116</v>
      </c>
      <c r="I38" s="33">
        <f t="shared" ca="1" si="8"/>
        <v>4284116.2581977434</v>
      </c>
      <c r="J38" s="33">
        <f t="shared" ca="1" si="8"/>
        <v>4562578.551006496</v>
      </c>
    </row>
    <row r="39" spans="1:10" x14ac:dyDescent="0.25">
      <c r="B39" s="43"/>
      <c r="C39" s="43"/>
      <c r="D39" s="43"/>
    </row>
    <row r="40" spans="1:10" x14ac:dyDescent="0.25">
      <c r="B40" s="76">
        <f t="shared" ref="B40:C40" si="9">B25/B4</f>
        <v>2.2887891857408405E-2</v>
      </c>
      <c r="C40" s="76">
        <f t="shared" si="9"/>
        <v>2.7787993093107463E-2</v>
      </c>
      <c r="D40" s="76">
        <f>D25/D4</f>
        <v>2.2386823157777323E-2</v>
      </c>
      <c r="E40" s="76">
        <f t="shared" ref="E40:J40" si="10">E25/E4</f>
        <v>1.9197257453060231E-2</v>
      </c>
      <c r="F40" s="76">
        <f t="shared" si="10"/>
        <v>2.0359231400799351E-2</v>
      </c>
      <c r="G40" s="76">
        <f t="shared" si="10"/>
        <v>2.1534904817373565E-2</v>
      </c>
      <c r="H40" s="76">
        <f t="shared" si="10"/>
        <v>2.2722071630461159E-2</v>
      </c>
      <c r="I40" s="76">
        <f t="shared" si="10"/>
        <v>2.3919126148377212E-2</v>
      </c>
      <c r="J40" s="76">
        <f t="shared" si="10"/>
        <v>2.5124980827040372E-2</v>
      </c>
    </row>
  </sheetData>
  <pageMargins left="0.75" right="0.75" top="1" bottom="1" header="0" footer="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103A1-1119-4C6D-A87B-4F519EE51A0B}">
  <dimension ref="A1:I32"/>
  <sheetViews>
    <sheetView workbookViewId="0">
      <selection activeCell="B12" sqref="B12"/>
    </sheetView>
  </sheetViews>
  <sheetFormatPr baseColWidth="10" defaultColWidth="11.44140625" defaultRowHeight="13.2" x14ac:dyDescent="0.25"/>
  <cols>
    <col min="1" max="1" width="42.109375" customWidth="1"/>
    <col min="2" max="7" width="11.6640625" customWidth="1"/>
    <col min="8" max="8" width="12.5546875" bestFit="1" customWidth="1"/>
  </cols>
  <sheetData>
    <row r="1" spans="1:9" x14ac:dyDescent="0.25">
      <c r="A1" s="1" t="s">
        <v>130</v>
      </c>
      <c r="B1" s="1"/>
      <c r="C1" s="1"/>
      <c r="D1" s="1"/>
      <c r="E1" s="1"/>
      <c r="F1" s="1"/>
      <c r="G1" s="1"/>
      <c r="H1" s="1"/>
    </row>
    <row r="3" spans="1:9" x14ac:dyDescent="0.25">
      <c r="A3" s="44" t="s">
        <v>1</v>
      </c>
      <c r="B3" s="71" t="s">
        <v>170</v>
      </c>
      <c r="C3" s="71" t="s">
        <v>171</v>
      </c>
      <c r="D3" s="71" t="s">
        <v>172</v>
      </c>
      <c r="E3" s="71" t="s">
        <v>173</v>
      </c>
      <c r="F3" s="71" t="s">
        <v>174</v>
      </c>
      <c r="G3" s="71" t="s">
        <v>175</v>
      </c>
      <c r="H3" s="45" t="s">
        <v>176</v>
      </c>
    </row>
    <row r="4" spans="1:9" x14ac:dyDescent="0.25">
      <c r="A4" s="32" t="s">
        <v>131</v>
      </c>
      <c r="B4" s="46">
        <f>'Cuentas de PyG'!E25-'Cuentas de PyG'!E21-'Cuentas de PyG'!E22</f>
        <v>7141269.4689676408</v>
      </c>
      <c r="C4" s="46">
        <f>'Cuentas de PyG'!F25-'Cuentas de PyG'!F21-'Cuentas de PyG'!F22</f>
        <v>7957519.0160662346</v>
      </c>
      <c r="D4" s="46">
        <f>'Cuentas de PyG'!G25-'Cuentas de PyG'!G21-'Cuentas de PyG'!G22</f>
        <v>8748032.4517073222</v>
      </c>
      <c r="E4" s="46">
        <f>'Cuentas de PyG'!H25-'Cuentas de PyG'!H21-'Cuentas de PyG'!H22</f>
        <v>9488074.4148493111</v>
      </c>
      <c r="F4" s="46">
        <f>'Cuentas de PyG'!I25-'Cuentas de PyG'!I21-'Cuentas de PyG'!I22</f>
        <v>10152579.780461065</v>
      </c>
      <c r="G4" s="46">
        <f>'Cuentas de PyG'!J25-'Cuentas de PyG'!J21-'Cuentas de PyG'!J22</f>
        <v>10717491.52239185</v>
      </c>
      <c r="H4" s="46">
        <f>G4*(1+Hipótesis!B51)</f>
        <v>10899688.878272511</v>
      </c>
    </row>
    <row r="5" spans="1:9" x14ac:dyDescent="0.25">
      <c r="A5" s="47" t="s">
        <v>182</v>
      </c>
      <c r="B5" s="17">
        <f>'Cuentas de PyG'!E21</f>
        <v>-2997318.7129586125</v>
      </c>
      <c r="C5" s="17">
        <f>'Cuentas de PyG'!F21</f>
        <v>-3233784.6876997612</v>
      </c>
      <c r="D5" s="17">
        <f>'Cuentas de PyG'!G21</f>
        <v>-3448876.6494768863</v>
      </c>
      <c r="E5" s="17">
        <f>'Cuentas de PyG'!H21</f>
        <v>-3635583.3169814036</v>
      </c>
      <c r="F5" s="17">
        <f>'Cuentas de PyG'!I21</f>
        <v>-3787394.3735168981</v>
      </c>
      <c r="G5" s="17">
        <f>'Cuentas de PyG'!J21</f>
        <v>-3898662.3411862673</v>
      </c>
      <c r="H5" s="17">
        <f>-(Balances!J5+Balances!J10)*Hipótesis!J19</f>
        <v>-3964939.6009864337</v>
      </c>
    </row>
    <row r="6" spans="1:9" x14ac:dyDescent="0.25">
      <c r="A6" s="47" t="s">
        <v>183</v>
      </c>
      <c r="B6" s="17">
        <f>'Cuentas de PyG'!E22</f>
        <v>279578.74447767949</v>
      </c>
      <c r="C6" s="17">
        <f>'Cuentas de PyG'!F22</f>
        <v>279578.74447767949</v>
      </c>
      <c r="D6" s="17">
        <f>'Cuentas de PyG'!G22</f>
        <v>279578.74447767949</v>
      </c>
      <c r="E6" s="17">
        <f>'Cuentas de PyG'!H22</f>
        <v>279578.74447767949</v>
      </c>
      <c r="F6" s="17">
        <f>'Cuentas de PyG'!I22</f>
        <v>279578.74447767949</v>
      </c>
      <c r="G6" s="17">
        <f>'Cuentas de PyG'!J22</f>
        <v>279578.74447767949</v>
      </c>
      <c r="H6" s="17">
        <f>+G6</f>
        <v>279578.74447767949</v>
      </c>
    </row>
    <row r="7" spans="1:9" x14ac:dyDescent="0.25">
      <c r="A7" s="32" t="s">
        <v>132</v>
      </c>
      <c r="B7" s="46">
        <f t="shared" ref="B7:H7" si="0">B4+B5+B6</f>
        <v>4423529.5004867073</v>
      </c>
      <c r="C7" s="46">
        <f t="shared" si="0"/>
        <v>5003313.0728441533</v>
      </c>
      <c r="D7" s="46">
        <f t="shared" si="0"/>
        <v>5578734.5467081163</v>
      </c>
      <c r="E7" s="46">
        <f t="shared" si="0"/>
        <v>6132069.8423455879</v>
      </c>
      <c r="F7" s="46">
        <f t="shared" si="0"/>
        <v>6644764.1514218468</v>
      </c>
      <c r="G7" s="46">
        <f t="shared" si="0"/>
        <v>7098407.9256832618</v>
      </c>
      <c r="H7" s="46">
        <f t="shared" si="0"/>
        <v>7214328.0217637569</v>
      </c>
    </row>
    <row r="8" spans="1:9" x14ac:dyDescent="0.25">
      <c r="A8" s="47" t="s">
        <v>184</v>
      </c>
      <c r="B8" s="17">
        <f>-B7*Hipótesis!E12</f>
        <v>-1328959.2731979825</v>
      </c>
      <c r="C8" s="17">
        <f>-C7*Hipótesis!F12</f>
        <v>-1503143.4297289844</v>
      </c>
      <c r="D8" s="17">
        <f>-D7*Hipótesis!G12</f>
        <v>-1676017.0826806885</v>
      </c>
      <c r="E8" s="17">
        <f>-E7*Hipótesis!H12</f>
        <v>-1842255.3935689183</v>
      </c>
      <c r="F8" s="17">
        <f>-F7*Hipótesis!I12</f>
        <v>-1996283.9484339326</v>
      </c>
      <c r="G8" s="17">
        <f>-G7*Hipótesis!J12</f>
        <v>-2132571.9737465042</v>
      </c>
      <c r="H8" s="17">
        <f>-H7*Hipótesis!J12</f>
        <v>-2167397.8038035268</v>
      </c>
    </row>
    <row r="9" spans="1:9" x14ac:dyDescent="0.25">
      <c r="A9" s="32" t="s">
        <v>133</v>
      </c>
      <c r="B9" s="46">
        <f t="shared" ref="B9:H9" si="1">B7+B8</f>
        <v>3094570.2272887249</v>
      </c>
      <c r="C9" s="46">
        <f t="shared" si="1"/>
        <v>3500169.6431151689</v>
      </c>
      <c r="D9" s="46">
        <f t="shared" si="1"/>
        <v>3902717.4640274281</v>
      </c>
      <c r="E9" s="46">
        <f t="shared" si="1"/>
        <v>4289814.4487766698</v>
      </c>
      <c r="F9" s="46">
        <f t="shared" si="1"/>
        <v>4648480.202987914</v>
      </c>
      <c r="G9" s="46">
        <f t="shared" si="1"/>
        <v>4965835.9519367572</v>
      </c>
      <c r="H9" s="46">
        <f t="shared" si="1"/>
        <v>5046930.2179602301</v>
      </c>
    </row>
    <row r="10" spans="1:9" x14ac:dyDescent="0.25">
      <c r="A10" s="47" t="s">
        <v>185</v>
      </c>
      <c r="B10" s="17">
        <f t="shared" ref="B10:G11" si="2">-B5</f>
        <v>2997318.7129586125</v>
      </c>
      <c r="C10" s="17">
        <f t="shared" si="2"/>
        <v>3233784.6876997612</v>
      </c>
      <c r="D10" s="17">
        <f t="shared" si="2"/>
        <v>3448876.6494768863</v>
      </c>
      <c r="E10" s="17">
        <f t="shared" si="2"/>
        <v>3635583.3169814036</v>
      </c>
      <c r="F10" s="17">
        <f t="shared" si="2"/>
        <v>3787394.3735168981</v>
      </c>
      <c r="G10" s="17">
        <f t="shared" si="2"/>
        <v>3898662.3411862673</v>
      </c>
      <c r="H10" s="17">
        <f>-H5</f>
        <v>3964939.6009864337</v>
      </c>
    </row>
    <row r="11" spans="1:9" x14ac:dyDescent="0.25">
      <c r="A11" s="47" t="s">
        <v>186</v>
      </c>
      <c r="B11" s="17">
        <f t="shared" si="2"/>
        <v>-279578.74447767949</v>
      </c>
      <c r="C11" s="17">
        <f t="shared" si="2"/>
        <v>-279578.74447767949</v>
      </c>
      <c r="D11" s="17">
        <f t="shared" si="2"/>
        <v>-279578.74447767949</v>
      </c>
      <c r="E11" s="17">
        <f t="shared" si="2"/>
        <v>-279578.74447767949</v>
      </c>
      <c r="F11" s="17">
        <f t="shared" si="2"/>
        <v>-279578.74447767949</v>
      </c>
      <c r="G11" s="17">
        <f t="shared" si="2"/>
        <v>-279578.74447767949</v>
      </c>
      <c r="H11" s="17">
        <f>-H6</f>
        <v>-279578.74447767949</v>
      </c>
    </row>
    <row r="12" spans="1:9" x14ac:dyDescent="0.25">
      <c r="A12" s="47" t="s">
        <v>187</v>
      </c>
      <c r="B12" s="17">
        <f>-Hipótesis!E23</f>
        <v>-5247793.1180877015</v>
      </c>
      <c r="C12" s="17">
        <f>-Hipótesis!F23</f>
        <v>-5280840.1055386495</v>
      </c>
      <c r="D12" s="17">
        <f>-Hipótesis!G23</f>
        <v>-5225785.8938018652</v>
      </c>
      <c r="E12" s="17">
        <f>-Hipótesis!H23</f>
        <v>-5080386.9405163508</v>
      </c>
      <c r="F12" s="17">
        <f>-Hipótesis!I23</f>
        <v>-4846344.666998894</v>
      </c>
      <c r="G12" s="17">
        <f>-Hipótesis!J23</f>
        <v>-4529430.7931195339</v>
      </c>
      <c r="H12" s="17">
        <f>-(Balances!J5+Balances!J10)*Hipótesis!B51+'Flujos de caja'!H5</f>
        <v>-4606431.116602568</v>
      </c>
      <c r="I12" s="43" t="s">
        <v>219</v>
      </c>
    </row>
    <row r="13" spans="1:9" x14ac:dyDescent="0.25">
      <c r="A13" s="47" t="s">
        <v>188</v>
      </c>
      <c r="B13" s="17">
        <f>-Hipótesis!E34</f>
        <v>103195.90013729036</v>
      </c>
      <c r="C13" s="17">
        <f>-Hipótesis!F34</f>
        <v>-219290.51364950091</v>
      </c>
      <c r="D13" s="17">
        <f>-Hipótesis!G34</f>
        <v>-208309.13177316636</v>
      </c>
      <c r="E13" s="17">
        <f>-Hipótesis!H34</f>
        <v>-190753.86215378344</v>
      </c>
      <c r="F13" s="17">
        <f>-Hipótesis!I34</f>
        <v>-166707.71741716564</v>
      </c>
      <c r="G13" s="17">
        <f>-Hipótesis!J34</f>
        <v>-136602.86574915051</v>
      </c>
      <c r="H13" s="17">
        <f>-Hipótesis!J33*Hipótesis!B51</f>
        <v>-53067.876440293127</v>
      </c>
      <c r="I13" t="s">
        <v>220</v>
      </c>
    </row>
    <row r="14" spans="1:9" x14ac:dyDescent="0.25">
      <c r="A14" s="32" t="s">
        <v>134</v>
      </c>
      <c r="B14" s="46">
        <f t="shared" ref="B14:H14" si="3">B9+B10+B11+B12+B13</f>
        <v>667712.97781924717</v>
      </c>
      <c r="C14" s="46">
        <f t="shared" si="3"/>
        <v>954244.96714909934</v>
      </c>
      <c r="D14" s="46">
        <f t="shared" si="3"/>
        <v>1637920.3434516033</v>
      </c>
      <c r="E14" s="46">
        <f t="shared" si="3"/>
        <v>2374678.2186102588</v>
      </c>
      <c r="F14" s="46">
        <f t="shared" si="3"/>
        <v>3143243.4476110721</v>
      </c>
      <c r="G14" s="46">
        <f t="shared" si="3"/>
        <v>3918885.8897766611</v>
      </c>
      <c r="H14" s="46">
        <f t="shared" si="3"/>
        <v>4072792.0814261222</v>
      </c>
    </row>
    <row r="15" spans="1:9" x14ac:dyDescent="0.25">
      <c r="B15" s="43"/>
      <c r="I15" s="48"/>
    </row>
    <row r="16" spans="1:9" x14ac:dyDescent="0.25">
      <c r="A16" s="1" t="s">
        <v>135</v>
      </c>
      <c r="B16" s="1"/>
      <c r="C16" s="1"/>
      <c r="D16" s="1"/>
      <c r="E16" s="1"/>
      <c r="F16" s="1"/>
      <c r="G16" s="1"/>
    </row>
    <row r="17" spans="1:9" x14ac:dyDescent="0.25">
      <c r="B17" s="43"/>
      <c r="H17" s="43"/>
      <c r="I17" s="43"/>
    </row>
    <row r="18" spans="1:9" x14ac:dyDescent="0.25">
      <c r="A18" s="44" t="s">
        <v>1</v>
      </c>
      <c r="B18" s="71" t="s">
        <v>170</v>
      </c>
      <c r="C18" s="71" t="s">
        <v>171</v>
      </c>
      <c r="D18" s="71" t="s">
        <v>172</v>
      </c>
      <c r="E18" s="71" t="s">
        <v>173</v>
      </c>
      <c r="F18" s="71" t="s">
        <v>174</v>
      </c>
      <c r="G18" s="71" t="s">
        <v>175</v>
      </c>
      <c r="H18" s="43"/>
      <c r="I18" s="43"/>
    </row>
    <row r="19" spans="1:9" x14ac:dyDescent="0.25">
      <c r="A19" s="32" t="s">
        <v>134</v>
      </c>
      <c r="B19" s="46">
        <f t="shared" ref="B19:G19" si="4">B14</f>
        <v>667712.97781924717</v>
      </c>
      <c r="C19" s="46">
        <f t="shared" si="4"/>
        <v>954244.96714909934</v>
      </c>
      <c r="D19" s="46">
        <f t="shared" si="4"/>
        <v>1637920.3434516033</v>
      </c>
      <c r="E19" s="46">
        <f t="shared" si="4"/>
        <v>2374678.2186102588</v>
      </c>
      <c r="F19" s="46">
        <f t="shared" si="4"/>
        <v>3143243.4476110721</v>
      </c>
      <c r="G19" s="46">
        <f t="shared" si="4"/>
        <v>3918885.8897766611</v>
      </c>
      <c r="H19" s="43"/>
      <c r="I19" s="43"/>
    </row>
    <row r="20" spans="1:9" x14ac:dyDescent="0.25">
      <c r="A20" s="49" t="s">
        <v>189</v>
      </c>
      <c r="B20" s="16">
        <f ca="1">'Cuentas de PyG'!E31</f>
        <v>-336944.59682498802</v>
      </c>
      <c r="C20" s="16">
        <f ca="1">'Cuentas de PyG'!F31</f>
        <v>-376386.5835139617</v>
      </c>
      <c r="D20" s="16">
        <f ca="1">'Cuentas de PyG'!G31</f>
        <v>-420358.88020896242</v>
      </c>
      <c r="E20" s="16">
        <f ca="1">'Cuentas de PyG'!H31</f>
        <v>-468636.513854397</v>
      </c>
      <c r="F20" s="16">
        <f ca="1">'Cuentas de PyG'!I31</f>
        <v>-520839.58039794391</v>
      </c>
      <c r="G20" s="16">
        <f ca="1">'Cuentas de PyG'!J31</f>
        <v>-576435.78212393308</v>
      </c>
      <c r="H20" s="43"/>
      <c r="I20" s="43"/>
    </row>
    <row r="21" spans="1:9" x14ac:dyDescent="0.25">
      <c r="A21" s="47" t="s">
        <v>190</v>
      </c>
      <c r="B21" s="17">
        <f ca="1">-B20*Hipótesis!E12</f>
        <v>101228.13614224904</v>
      </c>
      <c r="C21" s="17">
        <f ca="1">-C20*Hipótesis!F12</f>
        <v>113077.67709317876</v>
      </c>
      <c r="D21" s="17">
        <f ca="1">-D20*Hipótesis!G12</f>
        <v>126288.25734367885</v>
      </c>
      <c r="E21" s="17">
        <f ca="1">-E20*Hipótesis!H12</f>
        <v>140792.28832484354</v>
      </c>
      <c r="F21" s="17">
        <f ca="1">-F20*Hipótesis!I12</f>
        <v>156475.63560777335</v>
      </c>
      <c r="G21" s="17">
        <f ca="1">-G20*Hipótesis!J12</f>
        <v>173178.38119367024</v>
      </c>
      <c r="H21" t="s">
        <v>221</v>
      </c>
    </row>
    <row r="22" spans="1:9" x14ac:dyDescent="0.25">
      <c r="A22" s="27" t="s">
        <v>136</v>
      </c>
      <c r="B22" s="50">
        <f ca="1">Hipótesis!E43</f>
        <v>1766098.887201326</v>
      </c>
      <c r="C22" s="50">
        <f ca="1">Hipótesis!F43</f>
        <v>1999618.2427646001</v>
      </c>
      <c r="D22" s="50">
        <f ca="1">Hipótesis!G43</f>
        <v>2229294.5672577363</v>
      </c>
      <c r="E22" s="50">
        <f ca="1">Hipótesis!H43</f>
        <v>2447565.2739344551</v>
      </c>
      <c r="F22" s="50">
        <f ca="1">Hipótesis!I43</f>
        <v>2646575.7166819586</v>
      </c>
      <c r="G22" s="50">
        <f ca="1">Hipótesis!J43</f>
        <v>2818599.8863689983</v>
      </c>
    </row>
    <row r="23" spans="1:9" x14ac:dyDescent="0.25">
      <c r="A23" s="32" t="s">
        <v>137</v>
      </c>
      <c r="B23" s="46">
        <f t="shared" ref="B23:G23" ca="1" si="5">B19+B20+B21+B22</f>
        <v>2198095.4043378341</v>
      </c>
      <c r="C23" s="46">
        <f t="shared" ca="1" si="5"/>
        <v>2690554.3034929167</v>
      </c>
      <c r="D23" s="46">
        <f t="shared" ca="1" si="5"/>
        <v>3573144.2878440563</v>
      </c>
      <c r="E23" s="46">
        <f t="shared" ca="1" si="5"/>
        <v>4494399.267015161</v>
      </c>
      <c r="F23" s="46">
        <f t="shared" ca="1" si="5"/>
        <v>5425455.2195028607</v>
      </c>
      <c r="G23" s="46">
        <f t="shared" ca="1" si="5"/>
        <v>6334228.3752153963</v>
      </c>
    </row>
    <row r="25" spans="1:9" x14ac:dyDescent="0.25">
      <c r="A25" s="1" t="s">
        <v>138</v>
      </c>
      <c r="B25" s="1"/>
      <c r="C25" s="1"/>
      <c r="D25" s="1"/>
      <c r="E25" s="1"/>
      <c r="F25" s="1"/>
      <c r="G25" s="1"/>
    </row>
    <row r="27" spans="1:9" x14ac:dyDescent="0.25">
      <c r="A27" s="44" t="s">
        <v>1</v>
      </c>
      <c r="B27" s="71" t="s">
        <v>170</v>
      </c>
      <c r="C27" s="71" t="s">
        <v>171</v>
      </c>
      <c r="D27" s="71" t="s">
        <v>172</v>
      </c>
      <c r="E27" s="71" t="s">
        <v>173</v>
      </c>
      <c r="F27" s="71" t="s">
        <v>174</v>
      </c>
      <c r="G27" s="71" t="s">
        <v>175</v>
      </c>
    </row>
    <row r="28" spans="1:9" x14ac:dyDescent="0.25">
      <c r="A28" s="16" t="s">
        <v>139</v>
      </c>
      <c r="B28" s="16">
        <f>Balances!D36</f>
        <v>3194672</v>
      </c>
      <c r="C28" s="16">
        <f ca="1">Balances!E36</f>
        <v>5392767.4043378346</v>
      </c>
      <c r="D28" s="16">
        <f ca="1">Balances!F36</f>
        <v>8083321.7078307513</v>
      </c>
      <c r="E28" s="16">
        <f ca="1">Balances!G36</f>
        <v>11656465.995674808</v>
      </c>
      <c r="F28" s="16">
        <f ca="1">Balances!H36</f>
        <v>16150865.262689969</v>
      </c>
      <c r="G28" s="16">
        <f ca="1">Balances!I36</f>
        <v>21576320.482192829</v>
      </c>
    </row>
    <row r="29" spans="1:9" x14ac:dyDescent="0.25">
      <c r="A29" s="17" t="s">
        <v>140</v>
      </c>
      <c r="B29" s="17">
        <f t="shared" ref="B29:G29" ca="1" si="6">B23</f>
        <v>2198095.4043378341</v>
      </c>
      <c r="C29" s="17">
        <f t="shared" ca="1" si="6"/>
        <v>2690554.3034929167</v>
      </c>
      <c r="D29" s="17">
        <f t="shared" ca="1" si="6"/>
        <v>3573144.2878440563</v>
      </c>
      <c r="E29" s="17">
        <f t="shared" ca="1" si="6"/>
        <v>4494399.267015161</v>
      </c>
      <c r="F29" s="17">
        <f t="shared" ca="1" si="6"/>
        <v>5425455.2195028607</v>
      </c>
      <c r="G29" s="17">
        <f t="shared" ca="1" si="6"/>
        <v>6334228.3752153963</v>
      </c>
    </row>
    <row r="30" spans="1:9" x14ac:dyDescent="0.25">
      <c r="A30" s="16" t="s">
        <v>141</v>
      </c>
      <c r="B30" s="16">
        <f ca="1">IF(B28+B29&lt;0,-(B28+B29),0)</f>
        <v>0</v>
      </c>
      <c r="C30" s="16">
        <f t="shared" ref="C30:G30" ca="1" si="7">IF(C28+C29&lt;0,-(C28+C29),0)</f>
        <v>0</v>
      </c>
      <c r="D30" s="16">
        <f ca="1">IF(D28+D29&lt;0,-(D28+D29),0)</f>
        <v>0</v>
      </c>
      <c r="E30" s="16">
        <f t="shared" ca="1" si="7"/>
        <v>0</v>
      </c>
      <c r="F30" s="16">
        <f t="shared" ca="1" si="7"/>
        <v>0</v>
      </c>
      <c r="G30" s="16">
        <f t="shared" ca="1" si="7"/>
        <v>0</v>
      </c>
    </row>
    <row r="31" spans="1:9" x14ac:dyDescent="0.25">
      <c r="A31" s="24" t="s">
        <v>142</v>
      </c>
      <c r="B31" s="24"/>
      <c r="C31" s="24"/>
      <c r="D31" s="24"/>
      <c r="E31" s="24"/>
      <c r="F31" s="24"/>
      <c r="G31" s="24"/>
    </row>
    <row r="32" spans="1:9" x14ac:dyDescent="0.25">
      <c r="A32" s="51" t="s">
        <v>143</v>
      </c>
      <c r="B32" s="51">
        <f ca="1">B28+B29+B30+B31</f>
        <v>5392767.4043378346</v>
      </c>
      <c r="C32" s="51">
        <f t="shared" ref="C32:G32" ca="1" si="8">C28+C29+C30+C31</f>
        <v>8083321.7078307513</v>
      </c>
      <c r="D32" s="51">
        <f t="shared" ca="1" si="8"/>
        <v>11656465.995674808</v>
      </c>
      <c r="E32" s="51">
        <f t="shared" ca="1" si="8"/>
        <v>16150865.262689969</v>
      </c>
      <c r="F32" s="51">
        <f t="shared" ca="1" si="8"/>
        <v>21576320.482192829</v>
      </c>
      <c r="G32" s="51">
        <f t="shared" ca="1" si="8"/>
        <v>27910548.857408226</v>
      </c>
    </row>
  </sheetData>
  <pageMargins left="0.75" right="0.75" top="1" bottom="1" header="0" footer="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AA40-C7AC-4EA5-8D0A-AE2FC0577B44}">
  <dimension ref="A1:P42"/>
  <sheetViews>
    <sheetView workbookViewId="0">
      <selection activeCell="J5" sqref="J5"/>
    </sheetView>
  </sheetViews>
  <sheetFormatPr baseColWidth="10" defaultColWidth="11.44140625" defaultRowHeight="13.2" x14ac:dyDescent="0.25"/>
  <cols>
    <col min="1" max="1" width="28.33203125" customWidth="1"/>
    <col min="2" max="5" width="11.6640625" customWidth="1"/>
    <col min="6" max="6" width="13.33203125" bestFit="1" customWidth="1"/>
    <col min="7" max="8" width="11.6640625" customWidth="1"/>
    <col min="9" max="9" width="12.5546875" bestFit="1" customWidth="1"/>
    <col min="10" max="13" width="11.6640625" customWidth="1"/>
    <col min="15" max="15" width="22.5546875" bestFit="1" customWidth="1"/>
  </cols>
  <sheetData>
    <row r="1" spans="1:16" x14ac:dyDescent="0.25">
      <c r="A1" s="1" t="s">
        <v>144</v>
      </c>
      <c r="B1" s="1"/>
      <c r="C1" s="1"/>
      <c r="D1" s="1"/>
      <c r="E1" s="1"/>
      <c r="F1" s="1"/>
      <c r="G1" s="1"/>
      <c r="H1" s="1"/>
      <c r="I1" s="1"/>
      <c r="J1" s="1"/>
      <c r="K1" s="1"/>
      <c r="L1" s="1"/>
      <c r="M1" s="1"/>
    </row>
    <row r="2" spans="1:16" x14ac:dyDescent="0.25">
      <c r="O2" t="s">
        <v>178</v>
      </c>
      <c r="P2" s="91">
        <f>+'Cuentas de PyG'!D25/-'Cuentas de PyG'!D31</f>
        <v>12.991601735083519</v>
      </c>
    </row>
    <row r="3" spans="1:16" x14ac:dyDescent="0.25">
      <c r="A3" s="1" t="s">
        <v>145</v>
      </c>
      <c r="B3" s="1"/>
      <c r="D3" s="1" t="s">
        <v>146</v>
      </c>
      <c r="E3" s="1"/>
      <c r="F3" s="1"/>
      <c r="H3" s="1" t="s">
        <v>147</v>
      </c>
      <c r="I3" s="1"/>
      <c r="J3" s="1"/>
      <c r="K3" s="1"/>
      <c r="L3" s="1"/>
      <c r="M3" s="1"/>
    </row>
    <row r="4" spans="1:16" x14ac:dyDescent="0.25">
      <c r="F4" s="72"/>
      <c r="O4" t="s">
        <v>177</v>
      </c>
      <c r="P4" s="26">
        <f>+Hipótesis!B47</f>
        <v>1.2999999999999999E-2</v>
      </c>
    </row>
    <row r="5" spans="1:16" x14ac:dyDescent="0.25">
      <c r="A5" s="27" t="s">
        <v>33</v>
      </c>
      <c r="B5" s="28">
        <f>Hipótesis!B47</f>
        <v>1.2999999999999999E-2</v>
      </c>
      <c r="C5" s="6"/>
      <c r="D5" s="52" t="s">
        <v>148</v>
      </c>
      <c r="E5" s="53"/>
      <c r="F5" s="60">
        <f>+Hipótesis!D41</f>
        <v>1.9724758379100711E-2</v>
      </c>
      <c r="G5" s="6"/>
      <c r="H5" s="52" t="s">
        <v>149</v>
      </c>
      <c r="I5" s="53"/>
      <c r="J5" s="28">
        <f ca="1">(Balances!D51+Balances!D57)/(Balances!D51+Balances!D57+B30)</f>
        <v>0.16349948461031402</v>
      </c>
      <c r="O5" t="s">
        <v>179</v>
      </c>
      <c r="P5" s="26">
        <v>6.8999999999999999E-3</v>
      </c>
    </row>
    <row r="6" spans="1:16" x14ac:dyDescent="0.25">
      <c r="A6" s="27" t="s">
        <v>34</v>
      </c>
      <c r="B6" s="28">
        <f>Hipótesis!B48</f>
        <v>6.3E-2</v>
      </c>
      <c r="C6" s="6"/>
      <c r="D6" s="52" t="s">
        <v>150</v>
      </c>
      <c r="E6" s="53"/>
      <c r="F6" s="75">
        <f>F5*(1-Hipótesis!D12)</f>
        <v>1.3798856775729168E-2</v>
      </c>
      <c r="G6" s="6"/>
      <c r="H6" s="54" t="s">
        <v>151</v>
      </c>
      <c r="I6" s="55"/>
      <c r="J6" s="56">
        <f ca="1">J5/(1-J5)</f>
        <v>0.19545652585061155</v>
      </c>
      <c r="O6" t="s">
        <v>193</v>
      </c>
      <c r="P6" s="26">
        <f>+P4+P5</f>
        <v>1.9900000000000001E-2</v>
      </c>
    </row>
    <row r="7" spans="1:16" x14ac:dyDescent="0.25">
      <c r="A7" s="6"/>
      <c r="B7" s="6"/>
      <c r="C7" s="6"/>
      <c r="D7" s="6"/>
      <c r="E7" s="6"/>
      <c r="F7" s="6"/>
      <c r="G7" s="6"/>
      <c r="H7" s="6"/>
      <c r="I7" s="6"/>
      <c r="J7" s="6"/>
      <c r="O7" t="s">
        <v>180</v>
      </c>
      <c r="P7" s="76">
        <f>+P6*(1-0.25)</f>
        <v>1.4925000000000001E-2</v>
      </c>
    </row>
    <row r="8" spans="1:16" x14ac:dyDescent="0.25">
      <c r="A8" s="27" t="s">
        <v>35</v>
      </c>
      <c r="B8" s="29">
        <f>+Hipótesis!B49</f>
        <v>0.57999999999999996</v>
      </c>
      <c r="C8" s="6"/>
      <c r="D8" s="6"/>
      <c r="E8" s="6"/>
      <c r="F8" s="74"/>
      <c r="G8" s="6"/>
      <c r="H8" s="52" t="s">
        <v>181</v>
      </c>
      <c r="I8" s="53"/>
      <c r="J8" s="57">
        <f ca="1">B13*(1-J5)+F6*J5</f>
        <v>5.6391507250868035E-2</v>
      </c>
    </row>
    <row r="9" spans="1:16" x14ac:dyDescent="0.25">
      <c r="A9" s="58" t="s">
        <v>152</v>
      </c>
      <c r="B9" s="59">
        <f ca="1">B8*(1+J6*(1-Hipótesis!D12))</f>
        <v>0.65930664606731437</v>
      </c>
      <c r="C9" s="6"/>
      <c r="D9" s="6"/>
      <c r="E9" s="6"/>
      <c r="F9" s="73"/>
      <c r="G9" s="6"/>
      <c r="H9" s="6"/>
      <c r="I9" s="6"/>
      <c r="J9" s="6"/>
    </row>
    <row r="10" spans="1:16" x14ac:dyDescent="0.25">
      <c r="A10" s="6"/>
      <c r="B10" s="6"/>
      <c r="C10" s="6"/>
      <c r="D10" s="6"/>
      <c r="E10" s="6"/>
      <c r="F10" s="6"/>
      <c r="G10" s="6"/>
      <c r="H10" s="52" t="s">
        <v>153</v>
      </c>
      <c r="I10" s="53"/>
      <c r="J10" s="28">
        <f>Hipótesis!B51</f>
        <v>1.7000000000000001E-2</v>
      </c>
    </row>
    <row r="11" spans="1:16" x14ac:dyDescent="0.25">
      <c r="A11" s="27" t="s">
        <v>36</v>
      </c>
      <c r="B11" s="28">
        <v>0.01</v>
      </c>
      <c r="C11" s="6"/>
      <c r="D11" s="6"/>
      <c r="E11" s="6"/>
      <c r="F11" s="6"/>
      <c r="G11" s="6"/>
      <c r="H11" s="6"/>
      <c r="I11" s="6"/>
      <c r="J11" s="6"/>
    </row>
    <row r="12" spans="1:16" x14ac:dyDescent="0.25">
      <c r="A12" s="6"/>
      <c r="B12" s="6"/>
      <c r="C12" s="6"/>
      <c r="D12" s="6"/>
      <c r="E12" s="6"/>
      <c r="F12" s="6"/>
      <c r="G12" s="6"/>
      <c r="H12" s="6"/>
      <c r="I12" s="6"/>
      <c r="J12" s="6"/>
    </row>
    <row r="13" spans="1:16" x14ac:dyDescent="0.25">
      <c r="A13" s="52" t="s">
        <v>154</v>
      </c>
      <c r="B13" s="60">
        <f ca="1">B5+B6*B9+B11</f>
        <v>6.4536318702240802E-2</v>
      </c>
      <c r="C13" s="6"/>
      <c r="D13" s="6"/>
      <c r="E13" s="6"/>
      <c r="F13" s="6"/>
      <c r="G13" s="6"/>
      <c r="H13" s="6"/>
      <c r="I13" s="6"/>
      <c r="J13" s="6"/>
    </row>
    <row r="15" spans="1:16" x14ac:dyDescent="0.25">
      <c r="A15" s="1" t="s">
        <v>155</v>
      </c>
      <c r="B15" s="1"/>
      <c r="C15" s="1"/>
      <c r="D15" s="1"/>
      <c r="E15" s="1"/>
      <c r="F15" s="1"/>
      <c r="G15" s="1"/>
      <c r="H15" s="1"/>
      <c r="I15" s="1"/>
      <c r="J15" s="1"/>
      <c r="K15" s="1"/>
      <c r="L15" s="1"/>
      <c r="M15" s="1"/>
    </row>
    <row r="17" spans="1:13" x14ac:dyDescent="0.25">
      <c r="A17" s="32" t="s">
        <v>1</v>
      </c>
      <c r="B17" s="70" t="s">
        <v>167</v>
      </c>
      <c r="C17" s="71" t="s">
        <v>170</v>
      </c>
      <c r="D17" s="71" t="s">
        <v>171</v>
      </c>
      <c r="E17" s="71" t="s">
        <v>172</v>
      </c>
      <c r="F17" s="71" t="s">
        <v>173</v>
      </c>
      <c r="G17" s="71" t="s">
        <v>174</v>
      </c>
      <c r="H17" s="71" t="s">
        <v>175</v>
      </c>
      <c r="I17" s="45" t="s">
        <v>176</v>
      </c>
    </row>
    <row r="18" spans="1:13" x14ac:dyDescent="0.25">
      <c r="A18" s="52" t="s">
        <v>134</v>
      </c>
      <c r="B18" s="61"/>
      <c r="C18" s="19">
        <f>'Flujos de caja'!B14</f>
        <v>667712.97781924717</v>
      </c>
      <c r="D18" s="19">
        <f>'Flujos de caja'!C14</f>
        <v>954244.96714909934</v>
      </c>
      <c r="E18" s="19">
        <f>'Flujos de caja'!D14</f>
        <v>1637920.3434516033</v>
      </c>
      <c r="F18" s="19">
        <f>'Flujos de caja'!E14</f>
        <v>2374678.2186102588</v>
      </c>
      <c r="G18" s="19">
        <f>'Flujos de caja'!F14</f>
        <v>3143243.4476110721</v>
      </c>
      <c r="H18" s="19">
        <f>'Flujos de caja'!G14</f>
        <v>3918885.8897766611</v>
      </c>
      <c r="I18" s="19">
        <f>'Flujos de caja'!H14</f>
        <v>4072792.0814261222</v>
      </c>
    </row>
    <row r="19" spans="1:13" x14ac:dyDescent="0.25">
      <c r="A19" s="37"/>
      <c r="B19" s="62"/>
      <c r="C19" s="63"/>
      <c r="D19" s="63"/>
      <c r="E19" s="63"/>
      <c r="F19" s="63"/>
      <c r="G19" s="63"/>
      <c r="H19" s="63"/>
      <c r="I19" s="63"/>
    </row>
    <row r="20" spans="1:13" x14ac:dyDescent="0.25">
      <c r="A20" s="32" t="s">
        <v>156</v>
      </c>
      <c r="B20" s="46">
        <f t="shared" ref="B20:G20" ca="1" si="0">(C18+C20)/(1+$J$8)</f>
        <v>79901788.944375694</v>
      </c>
      <c r="C20" s="46">
        <f t="shared" ca="1" si="0"/>
        <v>84538876.166614309</v>
      </c>
      <c r="D20" s="46">
        <f t="shared" ca="1" si="0"/>
        <v>89197294.609461248</v>
      </c>
      <c r="E20" s="46">
        <f t="shared" ca="1" si="0"/>
        <v>93481317.097831532</v>
      </c>
      <c r="F20" s="46">
        <f t="shared" ca="1" si="0"/>
        <v>97313004.421142668</v>
      </c>
      <c r="G20" s="46">
        <f t="shared" ca="1" si="0"/>
        <v>100630518.01216166</v>
      </c>
      <c r="H20" s="46">
        <f ca="1">I18/(J8-J10)</f>
        <v>103392643.88864806</v>
      </c>
      <c r="I20" s="46"/>
    </row>
    <row r="22" spans="1:13" x14ac:dyDescent="0.25">
      <c r="A22" s="1" t="s">
        <v>157</v>
      </c>
      <c r="B22" s="1"/>
      <c r="C22" s="1"/>
      <c r="D22" s="1"/>
      <c r="E22" s="1"/>
      <c r="F22" s="1"/>
      <c r="G22" s="1"/>
      <c r="H22" s="1"/>
      <c r="I22" s="1"/>
      <c r="J22" s="1"/>
      <c r="K22" s="1"/>
      <c r="L22" s="1"/>
      <c r="M22" s="1"/>
    </row>
    <row r="24" spans="1:13" x14ac:dyDescent="0.25">
      <c r="A24" s="32" t="s">
        <v>156</v>
      </c>
      <c r="B24" s="46">
        <f ca="1">B20</f>
        <v>79901788.944375694</v>
      </c>
    </row>
    <row r="26" spans="1:13" x14ac:dyDescent="0.25">
      <c r="A26" s="49" t="s">
        <v>191</v>
      </c>
      <c r="B26" s="16">
        <f>Balances!D51+Balances!D57-Balances!D36</f>
        <v>12121547.199999999</v>
      </c>
    </row>
    <row r="27" spans="1:13" x14ac:dyDescent="0.25">
      <c r="A27" s="58" t="s">
        <v>158</v>
      </c>
      <c r="B27" s="24">
        <f>-(Balances!D14+Balances!D17+Balances!D30+Balances!D32)</f>
        <v>-10581016</v>
      </c>
    </row>
    <row r="28" spans="1:13" x14ac:dyDescent="0.25">
      <c r="A28" s="32" t="s">
        <v>159</v>
      </c>
      <c r="B28" s="46">
        <f>B26+B27</f>
        <v>1540531.1999999993</v>
      </c>
    </row>
    <row r="30" spans="1:13" x14ac:dyDescent="0.25">
      <c r="A30" s="32" t="s">
        <v>160</v>
      </c>
      <c r="B30" s="46">
        <f ca="1">B24-B28</f>
        <v>78361257.744375691</v>
      </c>
      <c r="C30" s="43"/>
      <c r="D30" s="43"/>
      <c r="E30" s="43"/>
      <c r="F30" s="43"/>
      <c r="G30" s="43"/>
      <c r="H30" s="43"/>
      <c r="I30" s="43"/>
      <c r="J30" s="43"/>
      <c r="K30" s="43"/>
      <c r="L30" s="43"/>
      <c r="M30" s="43"/>
    </row>
    <row r="31" spans="1:13" x14ac:dyDescent="0.25">
      <c r="C31" s="43"/>
      <c r="D31" s="43"/>
      <c r="E31" s="43"/>
      <c r="F31" s="43"/>
      <c r="G31" s="43"/>
      <c r="H31" s="43"/>
      <c r="I31" s="43"/>
      <c r="J31" s="43"/>
      <c r="K31" s="43"/>
      <c r="L31" s="43"/>
      <c r="M31" s="43"/>
    </row>
    <row r="32" spans="1:13" x14ac:dyDescent="0.25">
      <c r="B32" s="43"/>
      <c r="C32" s="43"/>
      <c r="D32" s="43"/>
      <c r="E32" s="43"/>
      <c r="F32" s="43"/>
      <c r="G32" s="43"/>
      <c r="H32" s="43"/>
      <c r="I32" s="43"/>
      <c r="J32" s="43"/>
      <c r="K32" s="43"/>
      <c r="L32" s="43"/>
    </row>
    <row r="33" spans="1:15" x14ac:dyDescent="0.25">
      <c r="A33" s="1" t="s">
        <v>161</v>
      </c>
      <c r="B33" s="1"/>
      <c r="C33" s="1"/>
      <c r="D33" s="1"/>
      <c r="E33" s="1"/>
      <c r="F33" s="1"/>
      <c r="G33" s="1"/>
      <c r="H33" s="1"/>
      <c r="I33" s="1"/>
      <c r="J33" s="1"/>
      <c r="K33" s="1"/>
      <c r="L33" s="1"/>
      <c r="M33" s="1"/>
    </row>
    <row r="35" spans="1:15" x14ac:dyDescent="0.25">
      <c r="A35" s="1" t="s">
        <v>156</v>
      </c>
      <c r="B35" s="1"/>
      <c r="C35" s="1"/>
      <c r="D35" s="1"/>
      <c r="E35" s="1"/>
      <c r="F35" s="1"/>
      <c r="H35" s="1" t="s">
        <v>160</v>
      </c>
      <c r="I35" s="1"/>
      <c r="J35" s="1"/>
      <c r="K35" s="1"/>
      <c r="L35" s="1"/>
      <c r="M35" s="1"/>
    </row>
    <row r="37" spans="1:15" x14ac:dyDescent="0.25">
      <c r="A37" s="64">
        <f ca="1">B24</f>
        <v>79901788.944375694</v>
      </c>
      <c r="B37" s="65">
        <f>+C37-0.5%</f>
        <v>7.0000000000000001E-3</v>
      </c>
      <c r="C37" s="65">
        <f>+D37-0.5%</f>
        <v>1.2E-2</v>
      </c>
      <c r="D37" s="65">
        <v>1.7000000000000001E-2</v>
      </c>
      <c r="E37" s="65">
        <f>+D37+0.5%</f>
        <v>2.2000000000000002E-2</v>
      </c>
      <c r="F37" s="65">
        <f>+E37+0.5%</f>
        <v>2.7000000000000003E-2</v>
      </c>
      <c r="H37" s="64">
        <f ca="1">B30</f>
        <v>78361257.744375691</v>
      </c>
      <c r="I37" s="65">
        <f>+J37-0.5%</f>
        <v>7.0000000000000001E-3</v>
      </c>
      <c r="J37" s="65">
        <f>+K37-0.5%</f>
        <v>1.2E-2</v>
      </c>
      <c r="K37" s="65">
        <v>1.7000000000000001E-2</v>
      </c>
      <c r="L37" s="65">
        <f>+K37+0.5%</f>
        <v>2.2000000000000002E-2</v>
      </c>
      <c r="M37" s="65">
        <f>+L37*0.5%</f>
        <v>1.1000000000000002E-4</v>
      </c>
    </row>
    <row r="38" spans="1:15" x14ac:dyDescent="0.25">
      <c r="A38" s="65">
        <f>+A39-0.5%</f>
        <v>4.6391507250868297E-2</v>
      </c>
      <c r="B38" s="19">
        <f t="dataTable" ref="B38:F42" dt2D="1" dtr="0" r1="J10" r2="J8"/>
        <v>89174273.911016375</v>
      </c>
      <c r="C38" s="19">
        <v>100625268.21348701</v>
      </c>
      <c r="D38" s="66">
        <v>115972283.97710006</v>
      </c>
      <c r="E38" s="19">
        <v>137611250.29783452</v>
      </c>
      <c r="F38" s="19">
        <v>170409208.04754394</v>
      </c>
      <c r="H38" s="65">
        <f>+H39-0.5%</f>
        <v>5.4265841108295701E-2</v>
      </c>
      <c r="I38" s="19">
        <f t="dataTable" ref="I38:M42" dt2D="1" dtr="0" r1="J10" r2="B13" ca="1"/>
        <v>78361257.744375691</v>
      </c>
      <c r="J38" s="19">
        <v>78361257.744375691</v>
      </c>
      <c r="K38" s="66">
        <v>78361257.744375691</v>
      </c>
      <c r="L38" s="19">
        <v>78361257.744375691</v>
      </c>
      <c r="M38" s="19">
        <v>78361257.744375691</v>
      </c>
      <c r="O38" t="s">
        <v>226</v>
      </c>
    </row>
    <row r="39" spans="1:15" x14ac:dyDescent="0.25">
      <c r="A39" s="65">
        <f>+A40-0.5%</f>
        <v>5.1391507250868294E-2</v>
      </c>
      <c r="B39" s="19">
        <v>78119912.326824993</v>
      </c>
      <c r="C39" s="19">
        <v>86741216.469140157</v>
      </c>
      <c r="D39" s="66">
        <v>97869332.563437298</v>
      </c>
      <c r="E39" s="19">
        <v>112783615.86559968</v>
      </c>
      <c r="F39" s="19">
        <v>133812438.60510312</v>
      </c>
      <c r="H39" s="65">
        <f>+H40-0.5%</f>
        <v>5.9265841108295698E-2</v>
      </c>
      <c r="I39" s="19">
        <v>78361257.744375691</v>
      </c>
      <c r="J39" s="19">
        <v>78361257.744375691</v>
      </c>
      <c r="K39" s="66">
        <v>78361257.744375691</v>
      </c>
      <c r="L39" s="19">
        <v>78361257.744375691</v>
      </c>
      <c r="M39" s="19">
        <v>78361257.744375691</v>
      </c>
    </row>
    <row r="40" spans="1:15" x14ac:dyDescent="0.25">
      <c r="A40" s="65">
        <v>5.6391507250868292E-2</v>
      </c>
      <c r="B40" s="66">
        <v>69324513.118280083</v>
      </c>
      <c r="C40" s="66">
        <v>76007347.016673252</v>
      </c>
      <c r="D40" s="66">
        <v>84386697.33822152</v>
      </c>
      <c r="E40" s="66">
        <v>95202506.829885647</v>
      </c>
      <c r="F40" s="66">
        <v>109698226.099346</v>
      </c>
      <c r="H40" s="65">
        <v>6.4265841108295696E-2</v>
      </c>
      <c r="I40" s="66">
        <v>78361257.744375691</v>
      </c>
      <c r="J40" s="66">
        <v>78361257.744375691</v>
      </c>
      <c r="K40" s="66">
        <v>78361257.744375691</v>
      </c>
      <c r="L40" s="66">
        <v>78361257.744375691</v>
      </c>
      <c r="M40" s="66">
        <v>78361257.744375691</v>
      </c>
    </row>
    <row r="41" spans="1:15" x14ac:dyDescent="0.25">
      <c r="A41" s="65">
        <f>+A40+0.5%</f>
        <v>6.1391507250868289E-2</v>
      </c>
      <c r="B41" s="19">
        <v>62164554.91810213</v>
      </c>
      <c r="C41" s="19">
        <v>67466377.871354491</v>
      </c>
      <c r="D41" s="66">
        <v>73962533.543090671</v>
      </c>
      <c r="E41" s="19">
        <v>82107815.162296891</v>
      </c>
      <c r="F41" s="19">
        <v>92621495.921381056</v>
      </c>
      <c r="H41" s="65">
        <f>+H40+0.5%</f>
        <v>6.92658411082957E-2</v>
      </c>
      <c r="I41" s="19">
        <v>78361257.744375691</v>
      </c>
      <c r="J41" s="19">
        <v>78361257.744375691</v>
      </c>
      <c r="K41" s="66">
        <v>78361257.744375691</v>
      </c>
      <c r="L41" s="19">
        <v>78361257.744375691</v>
      </c>
      <c r="M41" s="19">
        <v>78361257.744375691</v>
      </c>
    </row>
    <row r="42" spans="1:15" x14ac:dyDescent="0.25">
      <c r="A42" s="65">
        <f>+A41+0.5%</f>
        <v>6.6391507250868287E-2</v>
      </c>
      <c r="B42" s="19">
        <v>56226503.523171969</v>
      </c>
      <c r="C42" s="19">
        <v>60513042.104619496</v>
      </c>
      <c r="D42" s="66">
        <v>65667450.24908229</v>
      </c>
      <c r="E42" s="19">
        <v>71982983.22657539</v>
      </c>
      <c r="F42" s="19">
        <v>79901788.944375694</v>
      </c>
      <c r="G42" s="67"/>
      <c r="H42" s="65">
        <f>+H41+0.5%</f>
        <v>7.4265841108295705E-2</v>
      </c>
      <c r="I42" s="19">
        <v>78361257.744375691</v>
      </c>
      <c r="J42" s="19">
        <v>78361257.744375691</v>
      </c>
      <c r="K42" s="66">
        <v>78361257.744375691</v>
      </c>
      <c r="L42" s="19">
        <v>78361257.744375691</v>
      </c>
      <c r="M42" s="19">
        <v>78361257.744375691</v>
      </c>
    </row>
  </sheetData>
  <pageMargins left="0.75" right="0.75" top="1" bottom="1" header="0" footer="0"/>
  <pageSetup paperSize="9" orientation="portrait" horizontalDpi="1200"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73CC-0BC4-45D3-BB15-827BF0C187D7}">
  <dimension ref="A1:D17"/>
  <sheetViews>
    <sheetView workbookViewId="0">
      <selection activeCell="B17" sqref="B17"/>
    </sheetView>
  </sheetViews>
  <sheetFormatPr baseColWidth="10" defaultColWidth="11.44140625" defaultRowHeight="13.2" x14ac:dyDescent="0.25"/>
  <cols>
    <col min="1" max="1" width="28.109375" customWidth="1"/>
    <col min="2" max="2" width="11.44140625" customWidth="1"/>
  </cols>
  <sheetData>
    <row r="1" spans="1:4" x14ac:dyDescent="0.25">
      <c r="A1" s="1" t="s">
        <v>162</v>
      </c>
      <c r="B1" s="2"/>
      <c r="C1" s="2"/>
    </row>
    <row r="3" spans="1:4" x14ac:dyDescent="0.25">
      <c r="A3" s="27" t="s">
        <v>163</v>
      </c>
      <c r="B3" s="68">
        <v>16.440000000000001</v>
      </c>
      <c r="D3" t="s">
        <v>227</v>
      </c>
    </row>
    <row r="4" spans="1:4" x14ac:dyDescent="0.25">
      <c r="A4" s="27" t="s">
        <v>131</v>
      </c>
      <c r="B4" s="19">
        <f>'Cuentas de PyG'!D25-'Cuentas de PyG'!D21-'Cuentas de PyG'!D22</f>
        <v>6335013.2000000114</v>
      </c>
    </row>
    <row r="6" spans="1:4" x14ac:dyDescent="0.25">
      <c r="A6" s="32" t="s">
        <v>156</v>
      </c>
      <c r="B6" s="46">
        <f>B3*B4</f>
        <v>104147617.0080002</v>
      </c>
    </row>
    <row r="8" spans="1:4" x14ac:dyDescent="0.25">
      <c r="A8" s="49" t="s">
        <v>192</v>
      </c>
      <c r="B8" s="16">
        <f>'Valoración DCF'!B26</f>
        <v>12121547.199999999</v>
      </c>
    </row>
    <row r="9" spans="1:4" x14ac:dyDescent="0.25">
      <c r="A9" s="58" t="s">
        <v>158</v>
      </c>
      <c r="B9" s="24">
        <f>'Valoración DCF'!B27</f>
        <v>-10581016</v>
      </c>
    </row>
    <row r="10" spans="1:4" x14ac:dyDescent="0.25">
      <c r="A10" s="32" t="s">
        <v>159</v>
      </c>
      <c r="B10" s="46">
        <f>B8+B9</f>
        <v>1540531.1999999993</v>
      </c>
    </row>
    <row r="12" spans="1:4" x14ac:dyDescent="0.25">
      <c r="A12" s="32" t="s">
        <v>160</v>
      </c>
      <c r="B12" s="46">
        <f>B6-B10</f>
        <v>102607085.80800019</v>
      </c>
      <c r="C12" s="43"/>
    </row>
    <row r="14" spans="1:4" x14ac:dyDescent="0.25">
      <c r="A14" s="1" t="s">
        <v>164</v>
      </c>
      <c r="B14" s="2"/>
      <c r="C14" s="2"/>
    </row>
    <row r="16" spans="1:4" x14ac:dyDescent="0.25">
      <c r="A16" s="37"/>
      <c r="B16" s="70" t="s">
        <v>167</v>
      </c>
      <c r="C16" s="71" t="s">
        <v>170</v>
      </c>
    </row>
    <row r="17" spans="1:3" x14ac:dyDescent="0.25">
      <c r="A17" s="32" t="s">
        <v>165</v>
      </c>
      <c r="B17" s="69">
        <f ca="1">'Valoración DCF'!$B$20/('Cuentas de PyG'!D25-'Cuentas de PyG'!D21-'Cuentas de PyG'!D22)</f>
        <v>12.612726512452342</v>
      </c>
      <c r="C17" s="69">
        <f ca="1">'Valoración DCF'!$B$20/('Cuentas de PyG'!E25-'Cuentas de PyG'!E21-'Cuentas de PyG'!E22)</f>
        <v>11.18873742148908</v>
      </c>
    </row>
  </sheetData>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Datos</vt:lpstr>
      <vt:lpstr>Hipótesis</vt:lpstr>
      <vt:lpstr>Balances</vt:lpstr>
      <vt:lpstr>Cuentas de PyG</vt:lpstr>
      <vt:lpstr>Flujos de caja</vt:lpstr>
      <vt:lpstr>Valoración DCF</vt:lpstr>
      <vt:lpstr>Valoración múltiplo</vt:lpstr>
      <vt:lpstr>Hipótesis!Área_de_impresión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Domingo</dc:creator>
  <cp:lastModifiedBy>Oriol Puig - CAL BLAY</cp:lastModifiedBy>
  <cp:lastPrinted>2021-09-03T18:42:24Z</cp:lastPrinted>
  <dcterms:created xsi:type="dcterms:W3CDTF">2021-09-02T22:01:29Z</dcterms:created>
  <dcterms:modified xsi:type="dcterms:W3CDTF">2026-06-29T21:05:31Z</dcterms:modified>
</cp:coreProperties>
</file>