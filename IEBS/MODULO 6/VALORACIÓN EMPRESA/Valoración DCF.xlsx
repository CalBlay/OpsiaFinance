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VALORACIÓN EMPRESA/"/>
    </mc:Choice>
  </mc:AlternateContent>
  <xr:revisionPtr revIDLastSave="5" documentId="8_{BFC5337E-39E8-418F-879C-BF9837823895}" xr6:coauthVersionLast="47" xr6:coauthVersionMax="47" xr10:uidLastSave="{B66DE803-0736-49A9-B36B-2B951FED90D5}"/>
  <bookViews>
    <workbookView xWindow="22932" yWindow="-60" windowWidth="23256" windowHeight="12456" xr2:uid="{85F90837-B359-4326-AF5D-513FE3745934}"/>
  </bookViews>
  <sheets>
    <sheet name="DF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3" i="1" s="1"/>
  <c r="D26" i="1"/>
  <c r="C26" i="1"/>
  <c r="B26" i="1"/>
  <c r="D21" i="1"/>
  <c r="L21" i="1" s="1"/>
  <c r="C21" i="1"/>
  <c r="C27" i="1" s="1"/>
  <c r="C29" i="1" s="1"/>
  <c r="B21" i="1"/>
  <c r="J21" i="1" s="1"/>
  <c r="E19" i="1"/>
  <c r="F19" i="1" s="1"/>
  <c r="E17" i="1"/>
  <c r="F17" i="1" s="1"/>
  <c r="G17" i="1" s="1"/>
  <c r="H17" i="1" s="1"/>
  <c r="E16" i="1"/>
  <c r="B15" i="1"/>
  <c r="K12" i="1"/>
  <c r="J12" i="1"/>
  <c r="E12" i="1"/>
  <c r="E15" i="1" s="1"/>
  <c r="D8" i="1"/>
  <c r="C8" i="1"/>
  <c r="B8" i="1"/>
  <c r="G19" i="1" l="1"/>
  <c r="F32" i="1"/>
  <c r="F33" i="1" s="1"/>
  <c r="B27" i="1"/>
  <c r="B29" i="1" s="1"/>
  <c r="D27" i="1"/>
  <c r="F12" i="1"/>
  <c r="E18" i="1"/>
  <c r="E7" i="1" s="1"/>
  <c r="K21" i="1"/>
  <c r="E6" i="1"/>
  <c r="E8" i="1" l="1"/>
  <c r="D29" i="1"/>
  <c r="D30" i="1"/>
  <c r="F15" i="1"/>
  <c r="F18" i="1"/>
  <c r="F16" i="1"/>
  <c r="F21" i="1" s="1"/>
  <c r="G12" i="1"/>
  <c r="F6" i="1"/>
  <c r="E21" i="1"/>
  <c r="H19" i="1"/>
  <c r="H32" i="1" s="1"/>
  <c r="H33" i="1" s="1"/>
  <c r="G32" i="1"/>
  <c r="G33" i="1" s="1"/>
  <c r="N21" i="1" l="1"/>
  <c r="F31" i="1"/>
  <c r="F27" i="1"/>
  <c r="F29" i="1" s="1"/>
  <c r="E31" i="1"/>
  <c r="M21" i="1"/>
  <c r="E27" i="1"/>
  <c r="E29" i="1" s="1"/>
  <c r="G18" i="1"/>
  <c r="G15" i="1"/>
  <c r="G7" i="1" s="1"/>
  <c r="H12" i="1"/>
  <c r="G6" i="1"/>
  <c r="G8" i="1" s="1"/>
  <c r="G16" i="1"/>
  <c r="G21" i="1" s="1"/>
  <c r="F7" i="1"/>
  <c r="F8" i="1" s="1"/>
  <c r="E34" i="1"/>
  <c r="O21" i="1" l="1"/>
  <c r="G27" i="1"/>
  <c r="G29" i="1" s="1"/>
  <c r="G31" i="1"/>
  <c r="G34" i="1"/>
  <c r="F34" i="1"/>
  <c r="H6" i="1"/>
  <c r="H15" i="1"/>
  <c r="H7" i="1" s="1"/>
  <c r="H18" i="1"/>
  <c r="H16" i="1"/>
  <c r="H21" i="1" s="1"/>
  <c r="E35" i="1"/>
  <c r="E37" i="1" s="1"/>
  <c r="F35" i="1"/>
  <c r="F37" i="1" s="1"/>
  <c r="P21" i="1" l="1"/>
  <c r="H27" i="1"/>
  <c r="H29" i="1" s="1"/>
  <c r="H31" i="1"/>
  <c r="H35" i="1" s="1"/>
  <c r="H8" i="1"/>
  <c r="H34" i="1" s="1"/>
  <c r="G35" i="1"/>
  <c r="G37" i="1" s="1"/>
  <c r="H37" i="1" l="1"/>
  <c r="B42" i="1" s="1"/>
  <c r="B44" i="1" s="1"/>
  <c r="J35" i="1"/>
  <c r="I35" i="1"/>
  <c r="I36" i="1" s="1"/>
  <c r="I37" i="1" s="1"/>
</calcChain>
</file>

<file path=xl/sharedStrings.xml><?xml version="1.0" encoding="utf-8"?>
<sst xmlns="http://schemas.openxmlformats.org/spreadsheetml/2006/main" count="41" uniqueCount="41">
  <si>
    <t>BALANCE</t>
  </si>
  <si>
    <t>Inmovilizado intangible</t>
  </si>
  <si>
    <t>Inmovilizado material</t>
  </si>
  <si>
    <t>Deudores comerciales</t>
  </si>
  <si>
    <t>Acreedores comerciales</t>
  </si>
  <si>
    <t>NOF</t>
  </si>
  <si>
    <t>Cuenta de resultados (en €)</t>
  </si>
  <si>
    <t>Importe neto de la cifra de negocio</t>
  </si>
  <si>
    <t>Variación de existencias y productos en curso</t>
  </si>
  <si>
    <t>Trabajos realizados por el grupo para su activo</t>
  </si>
  <si>
    <t>Aprovisionamientos</t>
  </si>
  <si>
    <t>Otros ingresos de explotación</t>
  </si>
  <si>
    <t>Gastos de personal</t>
  </si>
  <si>
    <t>Otros gastos de explotación</t>
  </si>
  <si>
    <t>Amortización del inmovilizado</t>
  </si>
  <si>
    <t>Exceso de provisiones</t>
  </si>
  <si>
    <t>Resultado de explotación</t>
  </si>
  <si>
    <t>Ingresos financieros</t>
  </si>
  <si>
    <t>Gastos financieros</t>
  </si>
  <si>
    <t>Diferencias de cambio</t>
  </si>
  <si>
    <t>Otros resultados financieros</t>
  </si>
  <si>
    <t>Resultado financiero</t>
  </si>
  <si>
    <t>Resultado antes de impuestos</t>
  </si>
  <si>
    <t>Impuestos sobre beneficios</t>
  </si>
  <si>
    <t>Resultado del ejercicio</t>
  </si>
  <si>
    <t>NOPLAT</t>
  </si>
  <si>
    <t>Amortización</t>
  </si>
  <si>
    <t>CAPEX</t>
  </si>
  <si>
    <t>Variación NOF</t>
  </si>
  <si>
    <t>Flujo de caja</t>
  </si>
  <si>
    <t>Valor residual</t>
  </si>
  <si>
    <t>Flujo de caja descontado</t>
  </si>
  <si>
    <t>WACC = Ke</t>
  </si>
  <si>
    <t>g</t>
  </si>
  <si>
    <t>EV</t>
  </si>
  <si>
    <t>Caja</t>
  </si>
  <si>
    <t>Equity</t>
  </si>
  <si>
    <t>creciminento decrecimineto 2%</t>
  </si>
  <si>
    <t>IPC esperado 2%</t>
  </si>
  <si>
    <t>CaPEX  = amortizacion</t>
  </si>
  <si>
    <t>Pq no hay deuda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</si>
</sst>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3" fontId="0" fillId="0" borderId="0" xfId="0" applyNumberFormat="1"/>
    <xf numFmtId="3" fontId="0" fillId="0" borderId="0" xfId="1" applyNumberFormat="1" applyFont="1"/>
    <xf numFmtId="9" fontId="0" fillId="0" borderId="0" xfId="0" applyNumberFormat="1"/>
    <xf numFmtId="9" fontId="0" fillId="0" borderId="0" xfId="1" applyFont="1"/>
    <xf numFmtId="3" fontId="2" fillId="0" borderId="0" xfId="0" applyNumberFormat="1" applyFont="1"/>
    <xf numFmtId="10" fontId="2" fillId="0" borderId="0" xfId="1" applyNumberFormat="1" applyFont="1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CEC3-1F01-4842-B477-CCBE9C437166}">
  <dimension ref="A1:P47"/>
  <sheetViews>
    <sheetView tabSelected="1" topLeftCell="A21" workbookViewId="0">
      <selection activeCell="B44" sqref="B44"/>
    </sheetView>
  </sheetViews>
  <sheetFormatPr defaultColWidth="11.42578125" defaultRowHeight="15" x14ac:dyDescent="0.25"/>
  <cols>
    <col min="1" max="1" width="42.28515625" bestFit="1" customWidth="1"/>
    <col min="5" max="5" width="12.7109375" bestFit="1" customWidth="1"/>
    <col min="8" max="8" width="13.28515625" bestFit="1" customWidth="1"/>
    <col min="9" max="9" width="22.140625" bestFit="1" customWidth="1"/>
  </cols>
  <sheetData>
    <row r="1" spans="1:12" x14ac:dyDescent="0.25">
      <c r="E1">
        <v>1</v>
      </c>
      <c r="F1">
        <v>2</v>
      </c>
      <c r="G1">
        <v>3</v>
      </c>
      <c r="H1">
        <v>4</v>
      </c>
      <c r="I1">
        <v>4</v>
      </c>
    </row>
    <row r="2" spans="1:12" x14ac:dyDescent="0.25">
      <c r="A2" s="1" t="s">
        <v>0</v>
      </c>
      <c r="B2" s="1">
        <v>2017</v>
      </c>
      <c r="C2" s="1">
        <v>2018</v>
      </c>
      <c r="D2" s="1">
        <v>2019</v>
      </c>
    </row>
    <row r="3" spans="1:12" x14ac:dyDescent="0.25">
      <c r="A3" t="s">
        <v>1</v>
      </c>
      <c r="B3" s="2">
        <v>1150582</v>
      </c>
      <c r="C3" s="2">
        <v>1064682</v>
      </c>
      <c r="D3" s="2">
        <v>1015446</v>
      </c>
      <c r="J3" s="2"/>
      <c r="K3" s="2"/>
      <c r="L3" s="2"/>
    </row>
    <row r="4" spans="1:12" x14ac:dyDescent="0.25">
      <c r="A4" t="s">
        <v>2</v>
      </c>
      <c r="B4" s="2">
        <v>252643</v>
      </c>
      <c r="C4" s="2">
        <v>173193</v>
      </c>
      <c r="D4" s="2">
        <v>122859</v>
      </c>
      <c r="J4" s="2"/>
      <c r="K4" s="2"/>
      <c r="L4" s="2"/>
    </row>
    <row r="6" spans="1:12" x14ac:dyDescent="0.25">
      <c r="A6" t="s">
        <v>3</v>
      </c>
      <c r="B6" s="2">
        <v>1870040</v>
      </c>
      <c r="C6" s="2">
        <v>1670367</v>
      </c>
      <c r="D6" s="2">
        <v>2568272</v>
      </c>
      <c r="E6" s="2">
        <f>+($D$6/$D$12)*E12</f>
        <v>2748051.0400000005</v>
      </c>
      <c r="F6" s="2">
        <f t="shared" ref="F6:H6" si="0">+($D$6/$D$12)*F12</f>
        <v>2885453.5920000006</v>
      </c>
      <c r="G6" s="2">
        <f t="shared" si="0"/>
        <v>2972017.1997600002</v>
      </c>
      <c r="H6" s="2">
        <f t="shared" si="0"/>
        <v>3031457.5437552007</v>
      </c>
      <c r="J6" s="2"/>
      <c r="K6" s="2"/>
      <c r="L6" s="2"/>
    </row>
    <row r="7" spans="1:12" x14ac:dyDescent="0.25">
      <c r="A7" t="s">
        <v>4</v>
      </c>
      <c r="B7" s="2">
        <v>8416362</v>
      </c>
      <c r="C7" s="2">
        <v>10325998</v>
      </c>
      <c r="D7" s="2">
        <v>7124391</v>
      </c>
      <c r="E7" s="3">
        <f>(+$D$7/($D$15+$D$18))*(E15+E18)</f>
        <v>7623098.370000002</v>
      </c>
      <c r="F7" s="3">
        <f>(+$D$7/($D$15+$D$18))*(F15+F18)</f>
        <v>8004253.2885000026</v>
      </c>
      <c r="G7" s="3">
        <f>(+$D$7/($D$15+$D$18))*(G15+G18)</f>
        <v>8244380.887155002</v>
      </c>
      <c r="H7" s="3">
        <f>(+$D$7/($D$15+$D$18))*(H15+H18)</f>
        <v>8409268.504898103</v>
      </c>
      <c r="J7" s="2"/>
      <c r="K7" s="2"/>
      <c r="L7" s="2"/>
    </row>
    <row r="8" spans="1:12" x14ac:dyDescent="0.25">
      <c r="A8" t="s">
        <v>5</v>
      </c>
      <c r="B8" s="2">
        <f>+B6-B7</f>
        <v>-6546322</v>
      </c>
      <c r="C8" s="2">
        <f t="shared" ref="C8:H8" si="1">+C6-C7</f>
        <v>-8655631</v>
      </c>
      <c r="D8" s="2">
        <f t="shared" si="1"/>
        <v>-4556119</v>
      </c>
      <c r="E8" s="2">
        <f>+E6-E7</f>
        <v>-4875047.3300000019</v>
      </c>
      <c r="F8" s="2">
        <f>+F6-F7</f>
        <v>-5118799.6965000015</v>
      </c>
      <c r="G8" s="2">
        <f t="shared" si="1"/>
        <v>-5272363.6873950018</v>
      </c>
      <c r="H8" s="2">
        <f t="shared" si="1"/>
        <v>-5377810.9611429023</v>
      </c>
      <c r="J8" s="2"/>
      <c r="K8" s="2"/>
      <c r="L8" s="2"/>
    </row>
    <row r="9" spans="1:12" x14ac:dyDescent="0.25">
      <c r="B9" s="2"/>
      <c r="C9" s="2"/>
      <c r="D9" s="2"/>
      <c r="E9" s="2"/>
      <c r="F9" s="2"/>
      <c r="G9" s="2"/>
      <c r="H9" s="2"/>
      <c r="J9" s="2"/>
      <c r="K9" s="2"/>
      <c r="L9" s="2"/>
    </row>
    <row r="10" spans="1:12" x14ac:dyDescent="0.25">
      <c r="A10" s="1" t="s">
        <v>6</v>
      </c>
      <c r="B10" s="1">
        <v>2017</v>
      </c>
      <c r="C10" s="1">
        <v>2018</v>
      </c>
      <c r="D10" s="1">
        <v>2019</v>
      </c>
      <c r="E10" s="1">
        <v>2020</v>
      </c>
      <c r="F10" s="1">
        <v>2021</v>
      </c>
      <c r="G10" s="1">
        <v>2022</v>
      </c>
      <c r="H10" s="1">
        <v>2023</v>
      </c>
      <c r="J10" t="s">
        <v>37</v>
      </c>
    </row>
    <row r="11" spans="1:12" x14ac:dyDescent="0.25">
      <c r="E11" s="4">
        <v>7.0000000000000007E-2</v>
      </c>
      <c r="F11" s="4">
        <v>0.05</v>
      </c>
      <c r="G11" s="4">
        <v>0.03</v>
      </c>
      <c r="H11" s="4">
        <v>0.02</v>
      </c>
    </row>
    <row r="12" spans="1:12" x14ac:dyDescent="0.25">
      <c r="A12" t="s">
        <v>7</v>
      </c>
      <c r="B12" s="2">
        <v>56312650</v>
      </c>
      <c r="C12" s="2">
        <v>62596452</v>
      </c>
      <c r="D12" s="2">
        <v>68146213</v>
      </c>
      <c r="E12" s="2">
        <f>D12*(1+E11)</f>
        <v>72916447.910000011</v>
      </c>
      <c r="F12" s="2">
        <f>E12*(1+F11)</f>
        <v>76562270.305500016</v>
      </c>
      <c r="G12" s="2">
        <f t="shared" ref="G12:H12" si="2">F12*(1+G11)</f>
        <v>78859138.414665014</v>
      </c>
      <c r="H12" s="2">
        <f t="shared" si="2"/>
        <v>80436321.18295832</v>
      </c>
      <c r="I12" s="5"/>
      <c r="J12" s="5">
        <f>+(C12-B12)/B12</f>
        <v>0.11158775159755402</v>
      </c>
      <c r="K12" s="5">
        <f>+(D12-C12)/C12</f>
        <v>8.8659354047734201E-2</v>
      </c>
      <c r="L12" s="5"/>
    </row>
    <row r="13" spans="1:12" x14ac:dyDescent="0.25">
      <c r="A13" t="s">
        <v>8</v>
      </c>
      <c r="E13" s="2"/>
      <c r="F13" s="2"/>
      <c r="G13" s="2"/>
      <c r="H13" s="2"/>
    </row>
    <row r="14" spans="1:12" x14ac:dyDescent="0.25">
      <c r="A14" t="s">
        <v>9</v>
      </c>
      <c r="B14" s="2">
        <v>157831</v>
      </c>
      <c r="C14" s="2">
        <v>44156</v>
      </c>
      <c r="D14" s="2">
        <v>1164</v>
      </c>
      <c r="E14" s="2"/>
      <c r="F14" s="2"/>
      <c r="G14" s="2"/>
      <c r="H14" s="2"/>
    </row>
    <row r="15" spans="1:12" x14ac:dyDescent="0.25">
      <c r="A15" t="s">
        <v>10</v>
      </c>
      <c r="B15" s="2">
        <f>-47831-47715998</f>
        <v>-47763829</v>
      </c>
      <c r="C15" s="2">
        <v>-53527862</v>
      </c>
      <c r="D15" s="2">
        <v>-59217305</v>
      </c>
      <c r="E15" s="2">
        <f>+($D$15/$D$12)*E12</f>
        <v>-63362516.350000016</v>
      </c>
      <c r="F15" s="2">
        <f>+($D$15/$D$12)*F12</f>
        <v>-66530642.167500019</v>
      </c>
      <c r="G15" s="2">
        <f>+($D$15/$D$12)*G12</f>
        <v>-68526561.432525009</v>
      </c>
      <c r="H15" s="2">
        <f>+($D$15/$D$12)*H12</f>
        <v>-69897092.661175519</v>
      </c>
    </row>
    <row r="16" spans="1:12" x14ac:dyDescent="0.25">
      <c r="A16" t="s">
        <v>11</v>
      </c>
      <c r="B16" s="2">
        <v>435882</v>
      </c>
      <c r="C16" s="2">
        <v>578337</v>
      </c>
      <c r="D16" s="2">
        <v>974007</v>
      </c>
      <c r="E16" s="2">
        <f>+(AVERAGE($B$16:$D$16)/AVERAGE($B$12:$D$12))*E12</f>
        <v>775034.79418538674</v>
      </c>
      <c r="F16" s="2">
        <f>+(AVERAGE($B$16:$D$16)/AVERAGE($B$12:$D$12))*F12</f>
        <v>813786.53389465611</v>
      </c>
      <c r="G16" s="2">
        <f>+(AVERAGE($B$16:$D$16)/AVERAGE($B$12:$D$12))*G12</f>
        <v>838200.12991149572</v>
      </c>
      <c r="H16" s="2">
        <f>+(AVERAGE($B$16:$D$16)/AVERAGE($B$12:$D$12))*H12</f>
        <v>854964.13250972575</v>
      </c>
    </row>
    <row r="17" spans="1:16" x14ac:dyDescent="0.25">
      <c r="A17" t="s">
        <v>12</v>
      </c>
      <c r="B17" s="2">
        <v>-2817195</v>
      </c>
      <c r="C17" s="2">
        <v>-2532802</v>
      </c>
      <c r="D17" s="2">
        <v>-2504238</v>
      </c>
      <c r="E17" s="2">
        <f>+D17*(1+2%)</f>
        <v>-2554322.7600000002</v>
      </c>
      <c r="F17" s="2">
        <f t="shared" ref="F17:H17" si="3">+E17*(1+2%)</f>
        <v>-2605409.2152000004</v>
      </c>
      <c r="G17" s="2">
        <f t="shared" si="3"/>
        <v>-2657517.3995040003</v>
      </c>
      <c r="H17" s="2">
        <f t="shared" si="3"/>
        <v>-2710667.7474940806</v>
      </c>
      <c r="I17" t="s">
        <v>38</v>
      </c>
    </row>
    <row r="18" spans="1:16" x14ac:dyDescent="0.25">
      <c r="A18" t="s">
        <v>13</v>
      </c>
      <c r="B18" s="2">
        <v>-3003275</v>
      </c>
      <c r="C18" s="2">
        <v>-3626057</v>
      </c>
      <c r="D18" s="2">
        <v>-3860530</v>
      </c>
      <c r="E18" s="2">
        <f>+($D$18/$D$12)*E12</f>
        <v>-4130767.100000001</v>
      </c>
      <c r="F18" s="2">
        <f>+($D$18/$D$12)*F12</f>
        <v>-4337305.455000001</v>
      </c>
      <c r="G18" s="2">
        <f>+($D$18/$D$12)*G12</f>
        <v>-4467424.6186500005</v>
      </c>
      <c r="H18" s="2">
        <f>+($D$18/$D$12)*H12</f>
        <v>-4556773.1110230014</v>
      </c>
    </row>
    <row r="19" spans="1:16" x14ac:dyDescent="0.25">
      <c r="A19" t="s">
        <v>14</v>
      </c>
      <c r="B19" s="2">
        <v>-507211</v>
      </c>
      <c r="C19" s="2">
        <v>-454799</v>
      </c>
      <c r="D19" s="2">
        <v>-446120</v>
      </c>
      <c r="E19" s="2">
        <f>+D19</f>
        <v>-446120</v>
      </c>
      <c r="F19" s="2">
        <f t="shared" ref="F19:G19" si="4">+E19</f>
        <v>-446120</v>
      </c>
      <c r="G19" s="2">
        <f t="shared" si="4"/>
        <v>-446120</v>
      </c>
      <c r="H19" s="2">
        <f>+G19</f>
        <v>-446120</v>
      </c>
      <c r="I19" t="s">
        <v>39</v>
      </c>
    </row>
    <row r="20" spans="1:16" x14ac:dyDescent="0.25">
      <c r="A20" t="s">
        <v>15</v>
      </c>
      <c r="E20" s="2"/>
      <c r="F20" s="2"/>
      <c r="G20" s="2"/>
      <c r="H20" s="2"/>
      <c r="J20">
        <v>2017</v>
      </c>
      <c r="K20">
        <v>2018</v>
      </c>
      <c r="L20">
        <v>2019</v>
      </c>
      <c r="M20">
        <v>2020</v>
      </c>
      <c r="N20">
        <v>2021</v>
      </c>
      <c r="O20">
        <v>2022</v>
      </c>
      <c r="P20">
        <v>2023</v>
      </c>
    </row>
    <row r="21" spans="1:16" x14ac:dyDescent="0.25">
      <c r="A21" s="1" t="s">
        <v>16</v>
      </c>
      <c r="B21" s="6">
        <f>SUM(B12:B20)</f>
        <v>2814853</v>
      </c>
      <c r="C21" s="6">
        <f t="shared" ref="C21:H21" si="5">SUM(C12:C20)</f>
        <v>3077425</v>
      </c>
      <c r="D21" s="6">
        <f t="shared" si="5"/>
        <v>3093191</v>
      </c>
      <c r="E21" s="6">
        <f t="shared" si="5"/>
        <v>3197756.4941853811</v>
      </c>
      <c r="F21" s="6">
        <f t="shared" si="5"/>
        <v>3456580.0016946513</v>
      </c>
      <c r="G21" s="6">
        <f t="shared" si="5"/>
        <v>3599715.0938974991</v>
      </c>
      <c r="H21" s="6">
        <f t="shared" si="5"/>
        <v>3680631.7957754433</v>
      </c>
      <c r="J21" s="7">
        <f>+B21/B12</f>
        <v>4.9986157639535699E-2</v>
      </c>
      <c r="K21" s="7">
        <f>+C21/C12</f>
        <v>4.9162930192912534E-2</v>
      </c>
      <c r="L21" s="7">
        <f>+D21/D12</f>
        <v>4.5390504678521168E-2</v>
      </c>
      <c r="M21" s="7">
        <f t="shared" ref="M21:O21" si="6">+E21/E12</f>
        <v>4.3855077775213865E-2</v>
      </c>
      <c r="N21" s="7">
        <f t="shared" si="6"/>
        <v>4.5147302815109189E-2</v>
      </c>
      <c r="O21" s="7">
        <f t="shared" si="6"/>
        <v>4.5647405820858925E-2</v>
      </c>
      <c r="P21" s="7">
        <f>+H21/H12</f>
        <v>4.5758330834195858E-2</v>
      </c>
    </row>
    <row r="22" spans="1:16" x14ac:dyDescent="0.25">
      <c r="A22" t="s">
        <v>17</v>
      </c>
      <c r="B22">
        <v>48</v>
      </c>
      <c r="C22">
        <v>2</v>
      </c>
      <c r="D22" s="2">
        <v>12692</v>
      </c>
      <c r="E22" s="2"/>
      <c r="F22" s="2"/>
      <c r="G22" s="2"/>
      <c r="H22" s="2"/>
    </row>
    <row r="23" spans="1:16" x14ac:dyDescent="0.25">
      <c r="A23" t="s">
        <v>18</v>
      </c>
      <c r="B23" s="2">
        <v>-46199</v>
      </c>
      <c r="C23" s="2">
        <v>-8968</v>
      </c>
      <c r="D23">
        <v>-2</v>
      </c>
      <c r="E23" s="2"/>
      <c r="F23" s="2"/>
      <c r="G23" s="2"/>
      <c r="H23" s="2"/>
    </row>
    <row r="24" spans="1:16" x14ac:dyDescent="0.25">
      <c r="A24" t="s">
        <v>19</v>
      </c>
      <c r="B24" s="2">
        <v>2247</v>
      </c>
      <c r="C24" s="2">
        <v>-3727</v>
      </c>
      <c r="D24" s="2">
        <v>-5075</v>
      </c>
      <c r="E24" s="2"/>
      <c r="F24" s="2"/>
      <c r="G24" s="2"/>
      <c r="H24" s="2"/>
    </row>
    <row r="25" spans="1:16" x14ac:dyDescent="0.25">
      <c r="A25" t="s">
        <v>20</v>
      </c>
      <c r="B25">
        <v>166</v>
      </c>
      <c r="C25">
        <v>0</v>
      </c>
      <c r="D25">
        <v>0</v>
      </c>
      <c r="E25" s="2"/>
      <c r="F25" s="2"/>
      <c r="G25" s="2"/>
      <c r="H25" s="2"/>
    </row>
    <row r="26" spans="1:16" x14ac:dyDescent="0.25">
      <c r="A26" s="1" t="s">
        <v>21</v>
      </c>
      <c r="B26" s="6">
        <f>SUM(B22:B25)</f>
        <v>-43738</v>
      </c>
      <c r="C26" s="6">
        <f t="shared" ref="C26:D26" si="7">SUM(C22:C25)</f>
        <v>-12693</v>
      </c>
      <c r="D26" s="6">
        <f t="shared" si="7"/>
        <v>7615</v>
      </c>
      <c r="E26" s="2"/>
      <c r="F26" s="2"/>
      <c r="G26" s="2"/>
      <c r="H26" s="2"/>
    </row>
    <row r="27" spans="1:16" x14ac:dyDescent="0.25">
      <c r="A27" s="1" t="s">
        <v>22</v>
      </c>
      <c r="B27" s="6">
        <f>+B21+B26</f>
        <v>2771115</v>
      </c>
      <c r="C27" s="6">
        <f t="shared" ref="C27:H27" si="8">+C21+C26</f>
        <v>3064732</v>
      </c>
      <c r="D27" s="6">
        <f t="shared" si="8"/>
        <v>3100806</v>
      </c>
      <c r="E27" s="6">
        <f t="shared" si="8"/>
        <v>3197756.4941853811</v>
      </c>
      <c r="F27" s="6">
        <f t="shared" si="8"/>
        <v>3456580.0016946513</v>
      </c>
      <c r="G27" s="6">
        <f t="shared" si="8"/>
        <v>3599715.0938974991</v>
      </c>
      <c r="H27" s="6">
        <f t="shared" si="8"/>
        <v>3680631.7957754433</v>
      </c>
    </row>
    <row r="28" spans="1:16" x14ac:dyDescent="0.25">
      <c r="A28" t="s">
        <v>23</v>
      </c>
      <c r="B28" s="2">
        <v>-654589</v>
      </c>
      <c r="C28" s="2">
        <v>-748594</v>
      </c>
      <c r="D28" s="2">
        <v>-773960</v>
      </c>
      <c r="E28" s="2"/>
      <c r="F28" s="2"/>
      <c r="G28" s="2"/>
      <c r="H28" s="2"/>
    </row>
    <row r="29" spans="1:16" x14ac:dyDescent="0.25">
      <c r="A29" s="1" t="s">
        <v>24</v>
      </c>
      <c r="B29" s="6">
        <f>+B27+B28</f>
        <v>2116526</v>
      </c>
      <c r="C29" s="6">
        <f t="shared" ref="C29:H29" si="9">+C27+C28</f>
        <v>2316138</v>
      </c>
      <c r="D29" s="6">
        <f t="shared" si="9"/>
        <v>2326846</v>
      </c>
      <c r="E29" s="6">
        <f t="shared" si="9"/>
        <v>3197756.4941853811</v>
      </c>
      <c r="F29" s="6">
        <f t="shared" si="9"/>
        <v>3456580.0016946513</v>
      </c>
      <c r="G29" s="6">
        <f t="shared" si="9"/>
        <v>3599715.0938974991</v>
      </c>
      <c r="H29" s="6">
        <f t="shared" si="9"/>
        <v>3680631.7957754433</v>
      </c>
    </row>
    <row r="30" spans="1:16" x14ac:dyDescent="0.25">
      <c r="D30" s="5">
        <f>+D28/D27</f>
        <v>-0.24959962022777304</v>
      </c>
      <c r="E30" s="2"/>
      <c r="F30" s="2"/>
      <c r="G30" s="2"/>
      <c r="H30" s="2"/>
    </row>
    <row r="31" spans="1:16" x14ac:dyDescent="0.25">
      <c r="A31" s="1" t="s">
        <v>25</v>
      </c>
      <c r="E31" s="2">
        <f>+E21*(1+D30)</f>
        <v>2399597.6876558149</v>
      </c>
      <c r="F31" s="2">
        <f t="shared" ref="F31:H31" si="10">+F21*(1+E30)</f>
        <v>3456580.0016946513</v>
      </c>
      <c r="G31" s="2">
        <f t="shared" si="10"/>
        <v>3599715.0938974991</v>
      </c>
      <c r="H31" s="2">
        <f t="shared" si="10"/>
        <v>3680631.7957754433</v>
      </c>
    </row>
    <row r="32" spans="1:16" x14ac:dyDescent="0.25">
      <c r="A32" t="s">
        <v>26</v>
      </c>
      <c r="E32" s="2">
        <f>-E19</f>
        <v>446120</v>
      </c>
      <c r="F32" s="2">
        <f t="shared" ref="F32:H32" si="11">-F19</f>
        <v>446120</v>
      </c>
      <c r="G32" s="2">
        <f t="shared" si="11"/>
        <v>446120</v>
      </c>
      <c r="H32" s="2">
        <f t="shared" si="11"/>
        <v>446120</v>
      </c>
    </row>
    <row r="33" spans="1:10" x14ac:dyDescent="0.25">
      <c r="A33" t="s">
        <v>27</v>
      </c>
      <c r="E33" s="2">
        <f>-E32</f>
        <v>-446120</v>
      </c>
      <c r="F33" s="2">
        <f t="shared" ref="F33:H33" si="12">-F32</f>
        <v>-446120</v>
      </c>
      <c r="G33" s="2">
        <f t="shared" si="12"/>
        <v>-446120</v>
      </c>
      <c r="H33" s="2">
        <f t="shared" si="12"/>
        <v>-446120</v>
      </c>
    </row>
    <row r="34" spans="1:10" x14ac:dyDescent="0.25">
      <c r="A34" t="s">
        <v>28</v>
      </c>
      <c r="E34" s="2">
        <f>+D8-E8</f>
        <v>318928.33000000194</v>
      </c>
      <c r="F34" s="2">
        <f t="shared" ref="F34:H34" si="13">+E8-F8</f>
        <v>243752.36649999954</v>
      </c>
      <c r="G34" s="2">
        <f t="shared" si="13"/>
        <v>153563.99089500029</v>
      </c>
      <c r="H34" s="2">
        <f t="shared" si="13"/>
        <v>105447.2737479005</v>
      </c>
    </row>
    <row r="35" spans="1:10" x14ac:dyDescent="0.25">
      <c r="A35" t="s">
        <v>29</v>
      </c>
      <c r="E35" s="2">
        <f>SUM(E31:E34)</f>
        <v>2718526.0176558169</v>
      </c>
      <c r="F35" s="2">
        <f t="shared" ref="F35:H35" si="14">SUM(F31:F34)</f>
        <v>3700332.3681946509</v>
      </c>
      <c r="G35" s="2">
        <f t="shared" si="14"/>
        <v>3753279.0847924994</v>
      </c>
      <c r="H35" s="2">
        <f t="shared" si="14"/>
        <v>3786079.0695233438</v>
      </c>
      <c r="I35" s="8">
        <f>+H35*(1+B40)</f>
        <v>3823939.8602185771</v>
      </c>
      <c r="J35" s="2">
        <f>+H35*(1+1%)</f>
        <v>3823939.8602185771</v>
      </c>
    </row>
    <row r="36" spans="1:10" x14ac:dyDescent="0.25">
      <c r="H36" t="s">
        <v>30</v>
      </c>
      <c r="I36" s="9">
        <f>+I35/(B39-B40)</f>
        <v>63732331.003642946</v>
      </c>
    </row>
    <row r="37" spans="1:10" x14ac:dyDescent="0.25">
      <c r="A37" t="s">
        <v>31</v>
      </c>
      <c r="E37" s="2">
        <f>+E35/(1+$B$39)^E1</f>
        <v>2540678.5211736606</v>
      </c>
      <c r="F37" s="2">
        <f t="shared" ref="F37:H37" si="15">+F35/(1+$B$39)^F1</f>
        <v>3232013.5978641375</v>
      </c>
      <c r="G37" s="2">
        <f t="shared" si="15"/>
        <v>3063793.748294957</v>
      </c>
      <c r="H37" s="2">
        <f t="shared" si="15"/>
        <v>2888381.5945727085</v>
      </c>
      <c r="I37" s="8">
        <f>+I36/(1+$B$39)^I1</f>
        <v>48621090.175307252</v>
      </c>
    </row>
    <row r="38" spans="1:10" x14ac:dyDescent="0.25">
      <c r="E38" s="2"/>
      <c r="F38" s="2"/>
      <c r="G38" s="2"/>
      <c r="H38" s="2"/>
      <c r="I38" s="2"/>
    </row>
    <row r="39" spans="1:10" x14ac:dyDescent="0.25">
      <c r="A39" t="s">
        <v>32</v>
      </c>
      <c r="B39" s="4">
        <v>7.0000000000000007E-2</v>
      </c>
      <c r="C39" t="s">
        <v>40</v>
      </c>
      <c r="E39" s="2"/>
      <c r="F39" s="2"/>
      <c r="G39" s="2"/>
      <c r="H39" s="2"/>
      <c r="I39" s="2"/>
    </row>
    <row r="40" spans="1:10" x14ac:dyDescent="0.25">
      <c r="A40" t="s">
        <v>33</v>
      </c>
      <c r="B40" s="4">
        <v>0.01</v>
      </c>
      <c r="E40" s="2"/>
      <c r="F40" s="2"/>
      <c r="G40" s="2"/>
      <c r="H40" s="2"/>
      <c r="I40" s="2"/>
    </row>
    <row r="41" spans="1:10" x14ac:dyDescent="0.25">
      <c r="E41" s="2"/>
      <c r="F41" s="2"/>
      <c r="G41" s="2"/>
      <c r="H41" s="2"/>
      <c r="I41" s="2"/>
    </row>
    <row r="42" spans="1:10" x14ac:dyDescent="0.25">
      <c r="A42" t="s">
        <v>34</v>
      </c>
      <c r="B42" s="2">
        <f>+SUM(E37:I37)</f>
        <v>60345957.637212716</v>
      </c>
      <c r="E42" s="2"/>
      <c r="F42" s="2"/>
      <c r="G42" s="2"/>
      <c r="H42" s="2"/>
      <c r="I42" s="2"/>
    </row>
    <row r="43" spans="1:10" x14ac:dyDescent="0.25">
      <c r="A43" t="s">
        <v>35</v>
      </c>
      <c r="B43" s="2">
        <v>6945343</v>
      </c>
      <c r="E43" s="2"/>
      <c r="F43" s="2"/>
      <c r="G43" s="2"/>
      <c r="H43" s="2"/>
      <c r="I43" s="2"/>
    </row>
    <row r="44" spans="1:10" x14ac:dyDescent="0.25">
      <c r="A44" t="s">
        <v>36</v>
      </c>
      <c r="B44" s="2">
        <f>+B42+B43</f>
        <v>67291300.637212723</v>
      </c>
      <c r="E44" s="2"/>
      <c r="F44" s="2"/>
      <c r="G44" s="2"/>
      <c r="H44" s="2"/>
      <c r="I44" s="2"/>
    </row>
    <row r="45" spans="1:10" x14ac:dyDescent="0.25">
      <c r="E45" s="2"/>
      <c r="F45" s="2"/>
      <c r="G45" s="2"/>
      <c r="H45" s="2"/>
      <c r="I45" s="2"/>
    </row>
    <row r="46" spans="1:10" x14ac:dyDescent="0.25">
      <c r="E46" s="2"/>
      <c r="F46" s="2"/>
      <c r="G46" s="2"/>
      <c r="H46" s="2"/>
      <c r="I46" s="2"/>
    </row>
    <row r="47" spans="1:10" x14ac:dyDescent="0.25">
      <c r="E47" s="2"/>
      <c r="F47" s="2"/>
      <c r="G47" s="2"/>
      <c r="H47" s="2"/>
      <c r="I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Calblay</cp:lastModifiedBy>
  <dcterms:created xsi:type="dcterms:W3CDTF">2021-10-25T23:28:45Z</dcterms:created>
  <dcterms:modified xsi:type="dcterms:W3CDTF">2024-05-14T17:31:59Z</dcterms:modified>
</cp:coreProperties>
</file>