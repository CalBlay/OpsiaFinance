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calblayrest-my.sharepoint.com/personal/oriol_calblay_com/Documents/Escritorio/"/>
    </mc:Choice>
  </mc:AlternateContent>
  <xr:revisionPtr revIDLastSave="0" documentId="13_ncr:1_{883BB726-15BA-470F-A785-0F5E9103490D}" xr6:coauthVersionLast="47" xr6:coauthVersionMax="47" xr10:uidLastSave="{00000000-0000-0000-0000-000000000000}"/>
  <bookViews>
    <workbookView xWindow="-120" yWindow="-120" windowWidth="29040" windowHeight="15720" tabRatio="675" firstSheet="1" activeTab="6" xr2:uid="{2B5F695D-C7E3-4856-AE0F-AE8969DFAF28}"/>
  </bookViews>
  <sheets>
    <sheet name="Agenda_05" sheetId="25" r:id="rId1"/>
    <sheet name="Dades" sheetId="19" r:id="rId2"/>
    <sheet name="Restaurants_05" sheetId="15" r:id="rId3"/>
    <sheet name="Empresa_05" sheetId="10" r:id="rId4"/>
    <sheet name="Casaments_05" sheetId="11" r:id="rId5"/>
    <sheet name="Precuinats_05" sheetId="9" r:id="rId6"/>
    <sheet name="Foodlovers_05" sheetId="12" r:id="rId7"/>
    <sheet name="Green Vita_05" sheetId="14" r:id="rId8"/>
    <sheet name="TOTAL" sheetId="17" r:id="rId9"/>
    <sheet name="REAL_05" sheetId="18" r:id="rId10"/>
    <sheet name="ANUAL" sheetId="26" r:id="rId11"/>
    <sheet name="REAL mes" sheetId="27" r:id="rId12"/>
    <sheet name="C.Explotacio Rsum" sheetId="24" r:id="rId13"/>
    <sheet name="Resum" sheetId="20" r:id="rId14"/>
    <sheet name="TDatos" sheetId="21" r:id="rId15"/>
    <sheet name="Dashboard" sheetId="22" r:id="rId16"/>
  </sheets>
  <definedNames>
    <definedName name="SegmentaciónDeDatos_Data">#N/A</definedName>
    <definedName name="SegmentaciónDeDatos_Linia_Negoci">#N/A</definedName>
  </definedNames>
  <calcPr calcId="191029"/>
  <pivotCaches>
    <pivotCache cacheId="0" r:id="rId17"/>
  </pivotCaches>
  <extLst>
    <ext xmlns:x14="http://schemas.microsoft.com/office/spreadsheetml/2009/9/main" uri="{BBE1A952-AA13-448e-AADC-164F8A28A991}">
      <x14:slicerCaches>
        <x14:slicerCache r:id="rId18"/>
        <x14:slicerCache r:id="rId1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3" i="18" l="1"/>
  <c r="C28" i="18"/>
  <c r="C27" i="18"/>
  <c r="C25" i="18"/>
  <c r="C21" i="18"/>
  <c r="C14" i="18"/>
  <c r="C5" i="18"/>
  <c r="C3" i="18"/>
  <c r="D31" i="18"/>
  <c r="E31" i="18"/>
  <c r="F31" i="18"/>
  <c r="G31" i="18"/>
  <c r="H31" i="18"/>
  <c r="I31" i="18"/>
  <c r="J31" i="18"/>
  <c r="C20" i="18"/>
  <c r="C22" i="18"/>
  <c r="C23" i="18"/>
  <c r="C24" i="18"/>
  <c r="C26" i="18"/>
  <c r="C29" i="18"/>
  <c r="C30" i="18"/>
  <c r="C19" i="18"/>
  <c r="D18" i="18"/>
  <c r="E18" i="18"/>
  <c r="F18" i="18"/>
  <c r="G18" i="18"/>
  <c r="H18" i="18"/>
  <c r="I18" i="18"/>
  <c r="J18" i="18"/>
  <c r="C18" i="18"/>
  <c r="C15" i="18"/>
  <c r="C16" i="18"/>
  <c r="C17" i="18"/>
  <c r="D12" i="18"/>
  <c r="E12" i="18"/>
  <c r="F12" i="18"/>
  <c r="G12" i="18"/>
  <c r="H12" i="18"/>
  <c r="I12" i="18"/>
  <c r="J12" i="18"/>
  <c r="C12" i="18"/>
  <c r="C11" i="18"/>
  <c r="C10" i="18"/>
  <c r="C9" i="18"/>
  <c r="C8" i="18"/>
  <c r="D7" i="18"/>
  <c r="E7" i="18"/>
  <c r="F7" i="18"/>
  <c r="G7" i="18"/>
  <c r="H7" i="18"/>
  <c r="I7" i="18"/>
  <c r="J7" i="18"/>
  <c r="C4" i="18"/>
  <c r="C6" i="18"/>
  <c r="E14" i="18"/>
  <c r="C31" i="18" l="1"/>
  <c r="C7" i="18"/>
  <c r="N25" i="10" l="1"/>
  <c r="N27" i="10"/>
  <c r="N28" i="10"/>
  <c r="N29" i="10"/>
  <c r="N30" i="11"/>
  <c r="N31" i="11"/>
  <c r="N32" i="11"/>
  <c r="N28" i="11"/>
  <c r="N6" i="11"/>
  <c r="N7" i="11"/>
  <c r="N3" i="11"/>
  <c r="N4" i="11"/>
  <c r="C20" i="12"/>
  <c r="D20" i="12"/>
  <c r="E20" i="12"/>
  <c r="F20" i="12"/>
  <c r="G20" i="12"/>
  <c r="H20" i="12"/>
  <c r="I20" i="12"/>
  <c r="J20" i="12"/>
  <c r="K20" i="12"/>
  <c r="L20" i="12"/>
  <c r="M20" i="12"/>
  <c r="B20" i="12"/>
  <c r="N15" i="12"/>
  <c r="N16" i="12"/>
  <c r="N3" i="15"/>
  <c r="N4" i="15"/>
  <c r="N16" i="15"/>
  <c r="E15" i="15"/>
  <c r="D15" i="15"/>
  <c r="C15" i="15"/>
  <c r="B15" i="15"/>
  <c r="G45" i="27" l="1"/>
  <c r="G34" i="27"/>
  <c r="C45" i="27"/>
  <c r="D45" i="27" s="1"/>
  <c r="E45" i="27" s="1"/>
  <c r="F45" i="27" s="1"/>
  <c r="C34" i="27"/>
  <c r="D34" i="27" s="1"/>
  <c r="E34" i="27" s="1"/>
  <c r="F34" i="27" s="1"/>
  <c r="B127" i="19" l="1"/>
  <c r="D127" i="19"/>
  <c r="F127" i="19"/>
  <c r="H127" i="19"/>
  <c r="J127" i="19"/>
  <c r="F15" i="15"/>
  <c r="N22" i="25"/>
  <c r="C11" i="11"/>
  <c r="D11" i="11"/>
  <c r="E11" i="11"/>
  <c r="F11" i="11"/>
  <c r="G11" i="11"/>
  <c r="H11" i="11"/>
  <c r="I11" i="11"/>
  <c r="J11" i="11"/>
  <c r="K11" i="11"/>
  <c r="L11" i="11"/>
  <c r="M11" i="11"/>
  <c r="B11" i="11"/>
  <c r="C11" i="10"/>
  <c r="D11" i="10"/>
  <c r="E11" i="10"/>
  <c r="F11" i="10"/>
  <c r="G11" i="10"/>
  <c r="H11" i="10"/>
  <c r="I11" i="10"/>
  <c r="J11" i="10"/>
  <c r="K11" i="10"/>
  <c r="L125" i="19" s="1"/>
  <c r="L11" i="10"/>
  <c r="M11" i="10"/>
  <c r="B11" i="10"/>
  <c r="C12" i="11" l="1"/>
  <c r="D12" i="11"/>
  <c r="E12" i="11"/>
  <c r="G12" i="11"/>
  <c r="H12" i="11"/>
  <c r="I12" i="11"/>
  <c r="J12" i="11"/>
  <c r="K12" i="11"/>
  <c r="L12" i="11"/>
  <c r="M12" i="11"/>
  <c r="B12" i="11"/>
  <c r="C12" i="10"/>
  <c r="D12" i="10"/>
  <c r="E12" i="10"/>
  <c r="G12" i="10"/>
  <c r="H12" i="10"/>
  <c r="I12" i="10"/>
  <c r="J12" i="10"/>
  <c r="K12" i="10"/>
  <c r="L12" i="10"/>
  <c r="M12" i="10"/>
  <c r="B12" i="10"/>
  <c r="C10" i="15"/>
  <c r="C13" i="15" s="1"/>
  <c r="D10" i="15"/>
  <c r="D13" i="15" s="1"/>
  <c r="E10" i="15"/>
  <c r="E13" i="15" s="1"/>
  <c r="F10" i="15"/>
  <c r="F13" i="15" s="1"/>
  <c r="B10" i="15"/>
  <c r="N10" i="15" s="1"/>
  <c r="B13" i="15" l="1"/>
  <c r="N11" i="12"/>
  <c r="G13" i="12"/>
  <c r="G20" i="10" s="1"/>
  <c r="H13" i="12"/>
  <c r="H20" i="10" s="1"/>
  <c r="I13" i="12"/>
  <c r="I20" i="10" s="1"/>
  <c r="J13" i="12"/>
  <c r="J20" i="10" s="1"/>
  <c r="K13" i="12"/>
  <c r="K20" i="10" s="1"/>
  <c r="L13" i="12"/>
  <c r="L20" i="10" s="1"/>
  <c r="M13" i="12"/>
  <c r="M20" i="10" s="1"/>
  <c r="N12" i="14"/>
  <c r="N15" i="14"/>
  <c r="N16" i="14"/>
  <c r="N18" i="14"/>
  <c r="N19" i="14"/>
  <c r="G19" i="10"/>
  <c r="H19" i="10"/>
  <c r="I19" i="10"/>
  <c r="J19" i="10"/>
  <c r="K19" i="10"/>
  <c r="L19" i="10"/>
  <c r="M19" i="10"/>
  <c r="G14" i="14"/>
  <c r="H14" i="14"/>
  <c r="I14" i="14"/>
  <c r="J14" i="14"/>
  <c r="K14" i="14"/>
  <c r="L14" i="14"/>
  <c r="M14" i="14"/>
  <c r="K100" i="19"/>
  <c r="N94" i="19" s="1"/>
  <c r="K98" i="19"/>
  <c r="K97" i="19"/>
  <c r="N27" i="11"/>
  <c r="N20" i="11"/>
  <c r="N21" i="11"/>
  <c r="N17" i="15"/>
  <c r="N18" i="15"/>
  <c r="N19" i="15"/>
  <c r="O96" i="19" l="1"/>
  <c r="O95" i="19"/>
  <c r="O94" i="19"/>
  <c r="G20" i="14"/>
  <c r="H20" i="14"/>
  <c r="I20" i="14"/>
  <c r="J20" i="14"/>
  <c r="K20" i="14"/>
  <c r="L20" i="14"/>
  <c r="M20" i="14"/>
  <c r="C9" i="9"/>
  <c r="D9" i="9"/>
  <c r="E9" i="9"/>
  <c r="F9" i="9"/>
  <c r="G9" i="9"/>
  <c r="H9" i="9"/>
  <c r="I9" i="9"/>
  <c r="J9" i="9"/>
  <c r="K9" i="9"/>
  <c r="L9" i="9"/>
  <c r="M9" i="9"/>
  <c r="B9" i="9"/>
  <c r="N9" i="17"/>
  <c r="N18" i="10"/>
  <c r="N24" i="10"/>
  <c r="N30" i="10"/>
  <c r="N11" i="10"/>
  <c r="C10" i="25"/>
  <c r="D10" i="25"/>
  <c r="E10" i="25"/>
  <c r="G10" i="25"/>
  <c r="H10" i="25"/>
  <c r="I10" i="25"/>
  <c r="J10" i="25"/>
  <c r="K10" i="25"/>
  <c r="L10" i="25"/>
  <c r="M10" i="25"/>
  <c r="B10" i="25"/>
  <c r="N13" i="9"/>
  <c r="N19" i="9"/>
  <c r="N20" i="9"/>
  <c r="N21" i="9"/>
  <c r="N22" i="9"/>
  <c r="N9" i="11"/>
  <c r="N11" i="11"/>
  <c r="N16" i="11"/>
  <c r="N17" i="11"/>
  <c r="H20" i="25"/>
  <c r="I20" i="25"/>
  <c r="J20" i="25"/>
  <c r="K20" i="25"/>
  <c r="L20" i="25"/>
  <c r="C19" i="25"/>
  <c r="C20" i="25" s="1"/>
  <c r="D19" i="25"/>
  <c r="D20" i="25" s="1"/>
  <c r="E19" i="25"/>
  <c r="E20" i="25" s="1"/>
  <c r="F19" i="25"/>
  <c r="F20" i="25" s="1"/>
  <c r="G19" i="25"/>
  <c r="G20" i="25" s="1"/>
  <c r="H19" i="25"/>
  <c r="I19" i="25"/>
  <c r="J19" i="25"/>
  <c r="K19" i="25"/>
  <c r="L19" i="25"/>
  <c r="M19" i="25"/>
  <c r="M20" i="25" s="1"/>
  <c r="B19" i="25"/>
  <c r="B20" i="25" s="1"/>
  <c r="N15" i="15"/>
  <c r="L23" i="11" l="1"/>
  <c r="L15" i="9"/>
  <c r="K23" i="11"/>
  <c r="K15" i="9"/>
  <c r="I23" i="11"/>
  <c r="I15" i="9"/>
  <c r="M23" i="11"/>
  <c r="M15" i="9"/>
  <c r="J23" i="11"/>
  <c r="J15" i="9"/>
  <c r="H15" i="9"/>
  <c r="H23" i="11"/>
  <c r="G15" i="9"/>
  <c r="G23" i="11"/>
  <c r="I14" i="9"/>
  <c r="I22" i="11"/>
  <c r="M14" i="9"/>
  <c r="M22" i="11"/>
  <c r="L14" i="9"/>
  <c r="L22" i="11"/>
  <c r="J14" i="9"/>
  <c r="J22" i="11"/>
  <c r="H14" i="9"/>
  <c r="H22" i="11"/>
  <c r="K14" i="9"/>
  <c r="K22" i="11"/>
  <c r="G14" i="9"/>
  <c r="G22" i="11"/>
  <c r="N16" i="25" l="1"/>
  <c r="N15" i="25"/>
  <c r="N14" i="25"/>
  <c r="N11" i="25"/>
  <c r="N9" i="25"/>
  <c r="N8" i="25"/>
  <c r="M6" i="25"/>
  <c r="L6" i="25"/>
  <c r="K6" i="25"/>
  <c r="J6" i="25"/>
  <c r="I6" i="25"/>
  <c r="H6" i="25"/>
  <c r="G6" i="25"/>
  <c r="F6" i="25"/>
  <c r="E6" i="25"/>
  <c r="D6" i="25"/>
  <c r="C6" i="25"/>
  <c r="B6" i="25"/>
  <c r="N5" i="25"/>
  <c r="N4" i="25"/>
  <c r="N3" i="25"/>
  <c r="N2" i="25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4" i="20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3" i="20"/>
  <c r="A35" i="11"/>
  <c r="K99" i="19"/>
  <c r="K95" i="19"/>
  <c r="Q76" i="19" s="1"/>
  <c r="N75" i="19"/>
  <c r="L86" i="19" s="1"/>
  <c r="G6" i="9"/>
  <c r="H6" i="9"/>
  <c r="I6" i="9"/>
  <c r="J6" i="9"/>
  <c r="K6" i="9"/>
  <c r="L6" i="9"/>
  <c r="M6" i="9"/>
  <c r="G11" i="9"/>
  <c r="H11" i="9"/>
  <c r="I11" i="9"/>
  <c r="J11" i="9"/>
  <c r="K11" i="9"/>
  <c r="L11" i="9"/>
  <c r="M11" i="9"/>
  <c r="G32" i="20" a="1"/>
  <c r="F7" i="20" a="1"/>
  <c r="G15" i="20" a="1"/>
  <c r="F16" i="20" a="1"/>
  <c r="F10" i="20" a="1"/>
  <c r="F25" i="20" a="1"/>
  <c r="F13" i="20" a="1"/>
  <c r="F8" i="20" a="1"/>
  <c r="F14" i="20" a="1"/>
  <c r="F4" i="20" a="1"/>
  <c r="F32" i="20" a="1"/>
  <c r="G9" i="20" a="1"/>
  <c r="F30" i="20" a="1"/>
  <c r="F28" i="20" a="1"/>
  <c r="F12" i="20" a="1"/>
  <c r="G22" i="20" a="1"/>
  <c r="G8" i="20" a="1"/>
  <c r="F20" i="20" a="1"/>
  <c r="F19" i="20" a="1"/>
  <c r="G28" i="20" a="1"/>
  <c r="G14" i="20" a="1"/>
  <c r="F26" i="20" a="1"/>
  <c r="G10" i="20" a="1"/>
  <c r="G3" i="20" a="1"/>
  <c r="G21" i="20" a="1"/>
  <c r="G16" i="20" a="1"/>
  <c r="F22" i="20" a="1"/>
  <c r="G20" i="20" a="1"/>
  <c r="F24" i="20" a="1"/>
  <c r="F6" i="20" a="1"/>
  <c r="F31" i="20" a="1"/>
  <c r="F18" i="20" a="1"/>
  <c r="G26" i="20" a="1"/>
  <c r="G4" i="20" a="1"/>
  <c r="L10" i="11" l="1"/>
  <c r="L10" i="10"/>
  <c r="K10" i="11"/>
  <c r="K10" i="10"/>
  <c r="J10" i="11"/>
  <c r="J10" i="10"/>
  <c r="G10" i="10"/>
  <c r="G10" i="11"/>
  <c r="M10" i="10"/>
  <c r="M10" i="11"/>
  <c r="I10" i="11"/>
  <c r="I10" i="10"/>
  <c r="H10" i="11"/>
  <c r="H10" i="10"/>
  <c r="M12" i="25"/>
  <c r="M17" i="25" s="1"/>
  <c r="H12" i="25"/>
  <c r="H17" i="25" s="1"/>
  <c r="K12" i="25"/>
  <c r="K17" i="25" s="1"/>
  <c r="G12" i="25"/>
  <c r="G17" i="25" s="1"/>
  <c r="I12" i="25"/>
  <c r="I17" i="25" s="1"/>
  <c r="J12" i="25"/>
  <c r="J17" i="25" s="1"/>
  <c r="J22" i="25"/>
  <c r="L12" i="25"/>
  <c r="L17" i="25" s="1"/>
  <c r="L22" i="25"/>
  <c r="Q77" i="19"/>
  <c r="Q78" i="19"/>
  <c r="C7" i="25"/>
  <c r="C12" i="25"/>
  <c r="C17" i="25" s="1"/>
  <c r="D7" i="25"/>
  <c r="D12" i="25"/>
  <c r="D17" i="25" s="1"/>
  <c r="E7" i="25"/>
  <c r="E12" i="25"/>
  <c r="E17" i="25" s="1"/>
  <c r="F7" i="25"/>
  <c r="F10" i="25" s="1"/>
  <c r="F12" i="25"/>
  <c r="F17" i="25" s="1"/>
  <c r="B7" i="25"/>
  <c r="B12" i="25"/>
  <c r="N6" i="25"/>
  <c r="L93" i="19"/>
  <c r="L79" i="19" s="1"/>
  <c r="G28" i="20"/>
  <c r="F30" i="20"/>
  <c r="F31" i="20"/>
  <c r="F28" i="20"/>
  <c r="F32" i="20"/>
  <c r="G32" i="20"/>
  <c r="F25" i="20"/>
  <c r="F22" i="20"/>
  <c r="G22" i="20"/>
  <c r="F24" i="20"/>
  <c r="G21" i="20"/>
  <c r="F26" i="20"/>
  <c r="G26" i="20"/>
  <c r="F19" i="20"/>
  <c r="F16" i="20"/>
  <c r="G16" i="20"/>
  <c r="F18" i="20"/>
  <c r="G15" i="20"/>
  <c r="F20" i="20"/>
  <c r="G20" i="20"/>
  <c r="G14" i="20"/>
  <c r="F13" i="20"/>
  <c r="F10" i="20"/>
  <c r="G10" i="20"/>
  <c r="F12" i="20"/>
  <c r="G9" i="20"/>
  <c r="F14" i="20"/>
  <c r="G8" i="20"/>
  <c r="F7" i="20"/>
  <c r="F6" i="20"/>
  <c r="G4" i="20"/>
  <c r="F4" i="20"/>
  <c r="F8" i="20"/>
  <c r="G3" i="20"/>
  <c r="Q79" i="19"/>
  <c r="M37" i="9"/>
  <c r="C25" i="9"/>
  <c r="C37" i="9" s="1"/>
  <c r="D25" i="9"/>
  <c r="D37" i="9" s="1"/>
  <c r="E25" i="9"/>
  <c r="E37" i="9" s="1"/>
  <c r="F25" i="9"/>
  <c r="F37" i="9" s="1"/>
  <c r="G25" i="9"/>
  <c r="G37" i="9" s="1"/>
  <c r="H25" i="9"/>
  <c r="H37" i="9" s="1"/>
  <c r="I25" i="9"/>
  <c r="I37" i="9" s="1"/>
  <c r="J25" i="9"/>
  <c r="J37" i="9" s="1"/>
  <c r="K25" i="9"/>
  <c r="K37" i="9" s="1"/>
  <c r="L25" i="9"/>
  <c r="L37" i="9" s="1"/>
  <c r="B25" i="9"/>
  <c r="B37" i="9" s="1"/>
  <c r="B35" i="11"/>
  <c r="B48" i="11" s="1"/>
  <c r="N2" i="11"/>
  <c r="N5" i="11"/>
  <c r="G8" i="11"/>
  <c r="H8" i="11"/>
  <c r="I8" i="11"/>
  <c r="J8" i="11"/>
  <c r="K8" i="11"/>
  <c r="L121" i="19" s="1"/>
  <c r="L8" i="11"/>
  <c r="M8" i="11"/>
  <c r="G19" i="11"/>
  <c r="H19" i="11"/>
  <c r="I19" i="11"/>
  <c r="J19" i="11"/>
  <c r="K19" i="11"/>
  <c r="L19" i="11"/>
  <c r="M19" i="11"/>
  <c r="N36" i="11"/>
  <c r="N37" i="11"/>
  <c r="N38" i="11"/>
  <c r="N40" i="11"/>
  <c r="N41" i="11"/>
  <c r="N42" i="11"/>
  <c r="N43" i="11"/>
  <c r="N44" i="11"/>
  <c r="N45" i="11"/>
  <c r="N46" i="11"/>
  <c r="N47" i="11"/>
  <c r="G48" i="11"/>
  <c r="H48" i="11"/>
  <c r="I48" i="11"/>
  <c r="J48" i="11"/>
  <c r="K48" i="11"/>
  <c r="L48" i="11"/>
  <c r="M48" i="11"/>
  <c r="G5" i="20" a="1"/>
  <c r="F12" i="11" l="1"/>
  <c r="N12" i="11" s="1"/>
  <c r="F12" i="10"/>
  <c r="N12" i="10" s="1"/>
  <c r="L21" i="25"/>
  <c r="L24" i="11"/>
  <c r="L16" i="9"/>
  <c r="L21" i="10"/>
  <c r="L22" i="10" s="1"/>
  <c r="J21" i="25"/>
  <c r="J16" i="9"/>
  <c r="J24" i="11"/>
  <c r="J21" i="10"/>
  <c r="J22" i="10" s="1"/>
  <c r="I21" i="25"/>
  <c r="I16" i="9"/>
  <c r="I21" i="10"/>
  <c r="I22" i="10" s="1"/>
  <c r="I24" i="11"/>
  <c r="G21" i="25"/>
  <c r="G16" i="9"/>
  <c r="G24" i="11"/>
  <c r="G21" i="10"/>
  <c r="G22" i="10" s="1"/>
  <c r="K21" i="25"/>
  <c r="K21" i="10"/>
  <c r="K22" i="10" s="1"/>
  <c r="K23" i="10" s="1"/>
  <c r="K16" i="9"/>
  <c r="K24" i="11"/>
  <c r="H21" i="25"/>
  <c r="H24" i="11"/>
  <c r="H16" i="9"/>
  <c r="H21" i="10"/>
  <c r="H22" i="10" s="1"/>
  <c r="M21" i="25"/>
  <c r="M21" i="10"/>
  <c r="M22" i="10" s="1"/>
  <c r="M23" i="10" s="1"/>
  <c r="M16" i="9"/>
  <c r="M24" i="11"/>
  <c r="D21" i="25"/>
  <c r="D24" i="11"/>
  <c r="D21" i="10"/>
  <c r="D16" i="9"/>
  <c r="C21" i="25"/>
  <c r="C24" i="11"/>
  <c r="C21" i="10"/>
  <c r="C16" i="9"/>
  <c r="F21" i="25"/>
  <c r="F24" i="11"/>
  <c r="F21" i="10"/>
  <c r="F16" i="9"/>
  <c r="E21" i="25"/>
  <c r="E21" i="10"/>
  <c r="E16" i="9"/>
  <c r="E24" i="11"/>
  <c r="L77" i="19"/>
  <c r="N87" i="19" s="1"/>
  <c r="L78" i="19"/>
  <c r="O88" i="19" s="1"/>
  <c r="H22" i="25"/>
  <c r="G22" i="25"/>
  <c r="I22" i="25"/>
  <c r="K22" i="25"/>
  <c r="M22" i="25"/>
  <c r="L76" i="19"/>
  <c r="M86" i="19" s="1"/>
  <c r="Q81" i="19"/>
  <c r="B17" i="25"/>
  <c r="N12" i="25"/>
  <c r="N20" i="25"/>
  <c r="G5" i="20"/>
  <c r="M87" i="19"/>
  <c r="O86" i="19"/>
  <c r="P87" i="19"/>
  <c r="P88" i="19"/>
  <c r="P86" i="19"/>
  <c r="F35" i="11"/>
  <c r="F48" i="11" s="1"/>
  <c r="E35" i="11"/>
  <c r="E48" i="11" s="1"/>
  <c r="D35" i="11"/>
  <c r="D48" i="11" s="1"/>
  <c r="C35" i="11"/>
  <c r="C48" i="11" s="1"/>
  <c r="G23" i="20" a="1"/>
  <c r="G17" i="20" a="1"/>
  <c r="G11" i="20" a="1"/>
  <c r="G29" i="20" a="1"/>
  <c r="M17" i="9" l="1"/>
  <c r="H17" i="9"/>
  <c r="G17" i="9"/>
  <c r="I17" i="9"/>
  <c r="J17" i="9"/>
  <c r="K17" i="9"/>
  <c r="L17" i="9"/>
  <c r="K25" i="11"/>
  <c r="L25" i="11"/>
  <c r="H25" i="11"/>
  <c r="J25" i="11"/>
  <c r="G25" i="11"/>
  <c r="M25" i="11"/>
  <c r="I25" i="11"/>
  <c r="B24" i="11"/>
  <c r="B16" i="9"/>
  <c r="B21" i="10"/>
  <c r="M88" i="19"/>
  <c r="N86" i="19"/>
  <c r="N88" i="19"/>
  <c r="E22" i="25"/>
  <c r="E23" i="25" s="1"/>
  <c r="F22" i="25"/>
  <c r="F23" i="25" s="1"/>
  <c r="C22" i="25"/>
  <c r="C23" i="25" s="1"/>
  <c r="D22" i="25"/>
  <c r="D23" i="25" s="1"/>
  <c r="B21" i="25"/>
  <c r="N17" i="25"/>
  <c r="O17" i="25" s="1"/>
  <c r="N10" i="25"/>
  <c r="O10" i="25" s="1"/>
  <c r="B22" i="25"/>
  <c r="B23" i="25" s="1"/>
  <c r="G11" i="20"/>
  <c r="G17" i="20"/>
  <c r="G29" i="20"/>
  <c r="G23" i="20"/>
  <c r="N48" i="11"/>
  <c r="I18" i="9" l="1"/>
  <c r="I23" i="9" s="1"/>
  <c r="I38" i="9" s="1"/>
  <c r="G18" i="9"/>
  <c r="G23" i="9" s="1"/>
  <c r="G38" i="9" s="1"/>
  <c r="M18" i="9"/>
  <c r="M23" i="9" s="1"/>
  <c r="M38" i="9" s="1"/>
  <c r="M26" i="11"/>
  <c r="L18" i="9"/>
  <c r="L23" i="9" s="1"/>
  <c r="L38" i="9" s="1"/>
  <c r="N21" i="10"/>
  <c r="N16" i="9"/>
  <c r="N24" i="11"/>
  <c r="N18" i="25"/>
  <c r="N16" i="17" l="1"/>
  <c r="N15" i="17"/>
  <c r="N14" i="17"/>
  <c r="N13" i="17"/>
  <c r="N12" i="17"/>
  <c r="N10" i="17"/>
  <c r="N8" i="17"/>
  <c r="N5" i="17"/>
  <c r="N4" i="17"/>
  <c r="N3" i="17"/>
  <c r="N2" i="17"/>
  <c r="M34" i="14"/>
  <c r="L34" i="14"/>
  <c r="K34" i="14"/>
  <c r="K35" i="14" s="1"/>
  <c r="J34" i="14"/>
  <c r="J35" i="14" s="1"/>
  <c r="I34" i="14"/>
  <c r="I35" i="14" s="1"/>
  <c r="H34" i="14"/>
  <c r="G34" i="14"/>
  <c r="N33" i="14"/>
  <c r="N32" i="14"/>
  <c r="N31" i="14"/>
  <c r="N30" i="14"/>
  <c r="N29" i="14"/>
  <c r="N28" i="14"/>
  <c r="N27" i="14"/>
  <c r="N26" i="14"/>
  <c r="N25" i="14"/>
  <c r="N24" i="14"/>
  <c r="N23" i="14"/>
  <c r="F22" i="14"/>
  <c r="F34" i="14" s="1"/>
  <c r="E22" i="14"/>
  <c r="E34" i="14" s="1"/>
  <c r="D22" i="14"/>
  <c r="D34" i="14" s="1"/>
  <c r="C22" i="14"/>
  <c r="C34" i="14" s="1"/>
  <c r="B22" i="14"/>
  <c r="B34" i="14" s="1"/>
  <c r="N17" i="14"/>
  <c r="M11" i="14"/>
  <c r="L11" i="14"/>
  <c r="K11" i="14"/>
  <c r="J11" i="14"/>
  <c r="I11" i="14"/>
  <c r="H11" i="14"/>
  <c r="G11" i="14"/>
  <c r="N10" i="14"/>
  <c r="N9" i="14"/>
  <c r="N7" i="14"/>
  <c r="M6" i="14"/>
  <c r="L6" i="14"/>
  <c r="K6" i="14"/>
  <c r="J6" i="14"/>
  <c r="I6" i="14"/>
  <c r="H6" i="14"/>
  <c r="G6" i="14"/>
  <c r="F6" i="14"/>
  <c r="E6" i="14"/>
  <c r="D6" i="14"/>
  <c r="C6" i="14"/>
  <c r="B6" i="14"/>
  <c r="N5" i="14"/>
  <c r="N4" i="14"/>
  <c r="N3" i="14"/>
  <c r="N2" i="14"/>
  <c r="M34" i="12"/>
  <c r="L34" i="12"/>
  <c r="K34" i="12"/>
  <c r="J34" i="12"/>
  <c r="I34" i="12"/>
  <c r="H34" i="12"/>
  <c r="G34" i="12"/>
  <c r="N33" i="12"/>
  <c r="N32" i="12"/>
  <c r="N31" i="12"/>
  <c r="N30" i="12"/>
  <c r="N29" i="12"/>
  <c r="N28" i="12"/>
  <c r="N27" i="12"/>
  <c r="N26" i="12"/>
  <c r="N25" i="12"/>
  <c r="N24" i="12"/>
  <c r="N23" i="12"/>
  <c r="F22" i="12"/>
  <c r="F34" i="12" s="1"/>
  <c r="E22" i="12"/>
  <c r="E34" i="12" s="1"/>
  <c r="D22" i="12"/>
  <c r="D34" i="12" s="1"/>
  <c r="C22" i="12"/>
  <c r="C34" i="12" s="1"/>
  <c r="B22" i="12"/>
  <c r="B34" i="12" s="1"/>
  <c r="N18" i="12"/>
  <c r="N17" i="12"/>
  <c r="N14" i="12"/>
  <c r="N9" i="12"/>
  <c r="M6" i="12"/>
  <c r="M7" i="12" s="1"/>
  <c r="L6" i="12"/>
  <c r="K6" i="12"/>
  <c r="K7" i="12" s="1"/>
  <c r="J6" i="12"/>
  <c r="J7" i="12" s="1"/>
  <c r="I6" i="12"/>
  <c r="I7" i="12" s="1"/>
  <c r="H6" i="12"/>
  <c r="H7" i="12" s="1"/>
  <c r="G6" i="12"/>
  <c r="G7" i="12" s="1"/>
  <c r="F6" i="12"/>
  <c r="E6" i="12"/>
  <c r="D6" i="12"/>
  <c r="C6" i="12"/>
  <c r="B6" i="12"/>
  <c r="N5" i="12"/>
  <c r="N4" i="12"/>
  <c r="N3" i="12"/>
  <c r="N2" i="12"/>
  <c r="F8" i="11"/>
  <c r="E8" i="11"/>
  <c r="D8" i="11"/>
  <c r="C8" i="11"/>
  <c r="B8" i="11"/>
  <c r="C33" i="10"/>
  <c r="C46" i="10" s="1"/>
  <c r="D33" i="10"/>
  <c r="D46" i="10" s="1"/>
  <c r="E33" i="10"/>
  <c r="E46" i="10" s="1"/>
  <c r="F33" i="10"/>
  <c r="F46" i="10" s="1"/>
  <c r="B33" i="10"/>
  <c r="B46" i="10" s="1"/>
  <c r="C3" i="9"/>
  <c r="D3" i="9"/>
  <c r="E3" i="9"/>
  <c r="F3" i="9"/>
  <c r="B3" i="9"/>
  <c r="F7" i="9"/>
  <c r="D11" i="20" a="1"/>
  <c r="D5" i="20" a="1"/>
  <c r="D23" i="20" a="1"/>
  <c r="D26" i="20" a="1"/>
  <c r="D29" i="20" a="1"/>
  <c r="D32" i="20" a="1"/>
  <c r="D7" i="20" a="1"/>
  <c r="D31" i="20" a="1"/>
  <c r="D8" i="20" a="1"/>
  <c r="D17" i="20" a="1"/>
  <c r="D25" i="20" a="1"/>
  <c r="D20" i="20" a="1"/>
  <c r="D14" i="20" a="1"/>
  <c r="D19" i="20" a="1"/>
  <c r="D13" i="20" a="1"/>
  <c r="J126" i="19" l="1"/>
  <c r="I26" i="11" s="1"/>
  <c r="J121" i="19"/>
  <c r="H126" i="19"/>
  <c r="H121" i="19"/>
  <c r="B126" i="19"/>
  <c r="B121" i="19"/>
  <c r="D126" i="19"/>
  <c r="D121" i="19"/>
  <c r="F126" i="19"/>
  <c r="F121" i="19"/>
  <c r="H10" i="12"/>
  <c r="H13" i="11"/>
  <c r="H14" i="11" s="1"/>
  <c r="H13" i="10"/>
  <c r="K10" i="12"/>
  <c r="K13" i="10"/>
  <c r="K14" i="10" s="1"/>
  <c r="K15" i="10" s="1"/>
  <c r="K13" i="11"/>
  <c r="L126" i="19" s="1"/>
  <c r="M10" i="12"/>
  <c r="M13" i="11"/>
  <c r="M14" i="11" s="1"/>
  <c r="M15" i="11" s="1"/>
  <c r="M13" i="10"/>
  <c r="G10" i="12"/>
  <c r="G13" i="11"/>
  <c r="G14" i="11" s="1"/>
  <c r="G15" i="11" s="1"/>
  <c r="G13" i="10"/>
  <c r="G14" i="10" s="1"/>
  <c r="I10" i="12"/>
  <c r="I13" i="10"/>
  <c r="I14" i="10" s="1"/>
  <c r="I15" i="10" s="1"/>
  <c r="I13" i="11"/>
  <c r="I14" i="11" s="1"/>
  <c r="I15" i="11" s="1"/>
  <c r="J10" i="12"/>
  <c r="J13" i="11"/>
  <c r="J14" i="11" s="1"/>
  <c r="J15" i="11" s="1"/>
  <c r="J13" i="10"/>
  <c r="H14" i="10"/>
  <c r="J14" i="10"/>
  <c r="J15" i="10" s="1"/>
  <c r="M14" i="10"/>
  <c r="M15" i="10" s="1"/>
  <c r="B7" i="12"/>
  <c r="B12" i="12"/>
  <c r="C7" i="12"/>
  <c r="C12" i="12"/>
  <c r="D7" i="12"/>
  <c r="D12" i="12"/>
  <c r="E7" i="12"/>
  <c r="E12" i="12"/>
  <c r="F7" i="12"/>
  <c r="F12" i="12"/>
  <c r="D14" i="20"/>
  <c r="D32" i="20"/>
  <c r="D26" i="20"/>
  <c r="D8" i="20"/>
  <c r="D20" i="20"/>
  <c r="C13" i="14"/>
  <c r="C8" i="14"/>
  <c r="C11" i="14" s="1"/>
  <c r="F13" i="14"/>
  <c r="F8" i="14"/>
  <c r="F11" i="14" s="1"/>
  <c r="L36" i="14"/>
  <c r="E13" i="14"/>
  <c r="E8" i="14"/>
  <c r="E11" i="14" s="1"/>
  <c r="B13" i="14"/>
  <c r="B8" i="14"/>
  <c r="B11" i="14" s="1"/>
  <c r="D8" i="14"/>
  <c r="D11" i="14" s="1"/>
  <c r="M36" i="14"/>
  <c r="L7" i="12"/>
  <c r="L35" i="12"/>
  <c r="D25" i="20"/>
  <c r="D31" i="20"/>
  <c r="D13" i="20"/>
  <c r="D19" i="20"/>
  <c r="D7" i="20"/>
  <c r="D11" i="20"/>
  <c r="D17" i="20"/>
  <c r="D23" i="20"/>
  <c r="D5" i="20"/>
  <c r="D29" i="20"/>
  <c r="I35" i="12"/>
  <c r="K36" i="12"/>
  <c r="G35" i="12"/>
  <c r="H35" i="12"/>
  <c r="J35" i="12"/>
  <c r="K35" i="12"/>
  <c r="N6" i="12"/>
  <c r="M36" i="12"/>
  <c r="G36" i="12"/>
  <c r="H36" i="12"/>
  <c r="I36" i="12"/>
  <c r="J36" i="12"/>
  <c r="N8" i="11"/>
  <c r="L35" i="14"/>
  <c r="H36" i="14"/>
  <c r="G35" i="14"/>
  <c r="H35" i="14"/>
  <c r="K36" i="14"/>
  <c r="N6" i="14"/>
  <c r="D13" i="14"/>
  <c r="M35" i="14"/>
  <c r="I36" i="14"/>
  <c r="J36" i="14"/>
  <c r="G36" i="14"/>
  <c r="N34" i="14"/>
  <c r="M35" i="12"/>
  <c r="N34" i="12"/>
  <c r="E20" i="20" a="1"/>
  <c r="E14" i="20" a="1"/>
  <c r="E32" i="20" a="1"/>
  <c r="E8" i="20" a="1"/>
  <c r="E26" i="20" a="1"/>
  <c r="K14" i="11" l="1"/>
  <c r="K15" i="11" s="1"/>
  <c r="G26" i="11"/>
  <c r="F10" i="12"/>
  <c r="F13" i="11"/>
  <c r="F13" i="10"/>
  <c r="L10" i="12"/>
  <c r="L13" i="11"/>
  <c r="L13" i="10"/>
  <c r="L14" i="10" s="1"/>
  <c r="L15" i="10" s="1"/>
  <c r="L127" i="19"/>
  <c r="M126" i="19" s="1"/>
  <c r="K26" i="11"/>
  <c r="E10" i="12"/>
  <c r="E13" i="10"/>
  <c r="E13" i="11"/>
  <c r="B10" i="12"/>
  <c r="B13" i="11"/>
  <c r="B13" i="10"/>
  <c r="D10" i="12"/>
  <c r="D13" i="10"/>
  <c r="D13" i="11"/>
  <c r="C10" i="12"/>
  <c r="C13" i="11"/>
  <c r="C13" i="10"/>
  <c r="L14" i="11"/>
  <c r="L15" i="11" s="1"/>
  <c r="B14" i="14"/>
  <c r="N13" i="14"/>
  <c r="B20" i="14"/>
  <c r="C20" i="14"/>
  <c r="E14" i="14"/>
  <c r="E19" i="10" s="1"/>
  <c r="E20" i="14"/>
  <c r="F13" i="12"/>
  <c r="F20" i="10" s="1"/>
  <c r="C13" i="12"/>
  <c r="C20" i="10" s="1"/>
  <c r="E13" i="12"/>
  <c r="E20" i="10" s="1"/>
  <c r="D13" i="12"/>
  <c r="D20" i="10" s="1"/>
  <c r="B13" i="12"/>
  <c r="B15" i="9" s="1"/>
  <c r="N12" i="12"/>
  <c r="D14" i="14"/>
  <c r="D19" i="10" s="1"/>
  <c r="F14" i="14"/>
  <c r="F19" i="10" s="1"/>
  <c r="C14" i="14"/>
  <c r="C19" i="10" s="1"/>
  <c r="O34" i="14"/>
  <c r="O34" i="12"/>
  <c r="E14" i="20"/>
  <c r="E20" i="20"/>
  <c r="E8" i="20"/>
  <c r="E32" i="20"/>
  <c r="E26" i="20"/>
  <c r="L36" i="12"/>
  <c r="O48" i="11"/>
  <c r="N11" i="14"/>
  <c r="O11" i="14" s="1"/>
  <c r="H32" i="20" a="1"/>
  <c r="H20" i="20" a="1"/>
  <c r="H14" i="20" a="1"/>
  <c r="M125" i="19" l="1"/>
  <c r="K18" i="9"/>
  <c r="K23" i="9" s="1"/>
  <c r="K38" i="9" s="1"/>
  <c r="N13" i="10"/>
  <c r="N13" i="11"/>
  <c r="F20" i="14"/>
  <c r="F22" i="11" s="1"/>
  <c r="D20" i="14"/>
  <c r="N14" i="14"/>
  <c r="B19" i="10"/>
  <c r="B20" i="10"/>
  <c r="N20" i="10" s="1"/>
  <c r="N13" i="12"/>
  <c r="B23" i="11"/>
  <c r="C36" i="14"/>
  <c r="C37" i="14" s="1"/>
  <c r="C35" i="14"/>
  <c r="C22" i="10"/>
  <c r="C22" i="11"/>
  <c r="C14" i="9"/>
  <c r="F22" i="10"/>
  <c r="D35" i="14"/>
  <c r="D22" i="10"/>
  <c r="D14" i="9"/>
  <c r="D36" i="14"/>
  <c r="D37" i="14" s="1"/>
  <c r="D22" i="11"/>
  <c r="B22" i="11"/>
  <c r="B14" i="9"/>
  <c r="E22" i="10"/>
  <c r="E22" i="11"/>
  <c r="E14" i="9"/>
  <c r="B36" i="14"/>
  <c r="B37" i="14" s="1"/>
  <c r="H14" i="20"/>
  <c r="H20" i="20"/>
  <c r="H32" i="20"/>
  <c r="E35" i="14"/>
  <c r="B35" i="14"/>
  <c r="E36" i="14"/>
  <c r="E37" i="14" s="1"/>
  <c r="M46" i="10"/>
  <c r="L46" i="10"/>
  <c r="K46" i="10"/>
  <c r="J46" i="10"/>
  <c r="I46" i="10"/>
  <c r="H46" i="10"/>
  <c r="G46" i="10"/>
  <c r="N45" i="10"/>
  <c r="N44" i="10"/>
  <c r="N42" i="10"/>
  <c r="N41" i="10"/>
  <c r="N40" i="10"/>
  <c r="N39" i="10"/>
  <c r="N38" i="10"/>
  <c r="N37" i="10"/>
  <c r="N36" i="10"/>
  <c r="N35" i="10"/>
  <c r="N34" i="10"/>
  <c r="N17" i="10"/>
  <c r="M16" i="10"/>
  <c r="M11" i="17" s="1"/>
  <c r="L16" i="10"/>
  <c r="L11" i="17" s="1"/>
  <c r="K16" i="10"/>
  <c r="K11" i="17" s="1"/>
  <c r="J16" i="10"/>
  <c r="J11" i="17" s="1"/>
  <c r="I16" i="10"/>
  <c r="I11" i="17" s="1"/>
  <c r="H16" i="10"/>
  <c r="H11" i="17" s="1"/>
  <c r="N8" i="10"/>
  <c r="N7" i="10"/>
  <c r="M6" i="10"/>
  <c r="L6" i="10"/>
  <c r="K6" i="10"/>
  <c r="L120" i="19" s="1"/>
  <c r="J6" i="10"/>
  <c r="I6" i="10"/>
  <c r="H6" i="10"/>
  <c r="G6" i="10"/>
  <c r="F6" i="10"/>
  <c r="E6" i="10"/>
  <c r="D6" i="10"/>
  <c r="C6" i="10"/>
  <c r="B6" i="10"/>
  <c r="N5" i="10"/>
  <c r="N4" i="10"/>
  <c r="N3" i="10"/>
  <c r="N2" i="10"/>
  <c r="N36" i="9"/>
  <c r="N35" i="9"/>
  <c r="N34" i="9"/>
  <c r="N33" i="9"/>
  <c r="N32" i="9"/>
  <c r="N31" i="9"/>
  <c r="N30" i="9"/>
  <c r="N29" i="9"/>
  <c r="N28" i="9"/>
  <c r="N27" i="9"/>
  <c r="N26" i="9"/>
  <c r="N12" i="9"/>
  <c r="N10" i="9"/>
  <c r="N8" i="9"/>
  <c r="N7" i="9"/>
  <c r="F6" i="9"/>
  <c r="E6" i="9"/>
  <c r="D6" i="9"/>
  <c r="C6" i="9"/>
  <c r="B6" i="9"/>
  <c r="N5" i="9"/>
  <c r="N4" i="9"/>
  <c r="N3" i="9"/>
  <c r="N2" i="9"/>
  <c r="H8" i="20" a="1"/>
  <c r="D12" i="20" a="1"/>
  <c r="D6" i="20" a="1"/>
  <c r="D16" i="20" a="1"/>
  <c r="D18" i="20" a="1"/>
  <c r="D24" i="20" a="1"/>
  <c r="D22" i="20" a="1"/>
  <c r="D4" i="20" a="1"/>
  <c r="H26" i="20" a="1"/>
  <c r="D30" i="20" a="1"/>
  <c r="D28" i="20" a="1"/>
  <c r="D10" i="20" a="1"/>
  <c r="B125" i="19" l="1"/>
  <c r="B120" i="19"/>
  <c r="D125" i="19"/>
  <c r="D120" i="19"/>
  <c r="F125" i="19"/>
  <c r="F120" i="19"/>
  <c r="F122" i="19" s="1"/>
  <c r="L122" i="19"/>
  <c r="M121" i="19" s="1"/>
  <c r="G15" i="10"/>
  <c r="G16" i="10" s="1"/>
  <c r="G11" i="17" s="1"/>
  <c r="H125" i="19"/>
  <c r="H120" i="19"/>
  <c r="F14" i="9"/>
  <c r="F36" i="14"/>
  <c r="F37" i="14" s="1"/>
  <c r="F35" i="14"/>
  <c r="N35" i="14" s="1"/>
  <c r="N20" i="14"/>
  <c r="O20" i="14" s="1"/>
  <c r="J125" i="19"/>
  <c r="J120" i="19"/>
  <c r="J122" i="19" s="1"/>
  <c r="D35" i="12"/>
  <c r="D23" i="11"/>
  <c r="D25" i="11" s="1"/>
  <c r="D15" i="9"/>
  <c r="D17" i="9" s="1"/>
  <c r="C35" i="12"/>
  <c r="C15" i="9"/>
  <c r="C23" i="11"/>
  <c r="C25" i="11" s="1"/>
  <c r="E35" i="12"/>
  <c r="E23" i="11"/>
  <c r="E25" i="11" s="1"/>
  <c r="E15" i="9"/>
  <c r="E17" i="9" s="1"/>
  <c r="F15" i="9"/>
  <c r="F35" i="12"/>
  <c r="F23" i="11"/>
  <c r="F25" i="11" s="1"/>
  <c r="N19" i="10"/>
  <c r="B22" i="10"/>
  <c r="N14" i="9"/>
  <c r="B17" i="9"/>
  <c r="N22" i="11"/>
  <c r="B25" i="11"/>
  <c r="H8" i="20"/>
  <c r="H26" i="20"/>
  <c r="D6" i="20"/>
  <c r="D24" i="20"/>
  <c r="D30" i="20"/>
  <c r="D12" i="20"/>
  <c r="D18" i="20"/>
  <c r="E11" i="9"/>
  <c r="D28" i="20"/>
  <c r="D4" i="20"/>
  <c r="D10" i="20"/>
  <c r="D16" i="20"/>
  <c r="D22" i="20"/>
  <c r="D11" i="9"/>
  <c r="B11" i="9"/>
  <c r="N46" i="10"/>
  <c r="N9" i="10"/>
  <c r="N6" i="10"/>
  <c r="I39" i="9"/>
  <c r="K39" i="9"/>
  <c r="L39" i="9"/>
  <c r="M39" i="9"/>
  <c r="G39" i="9"/>
  <c r="N6" i="9"/>
  <c r="C11" i="9"/>
  <c r="N37" i="9"/>
  <c r="O37" i="9" s="1"/>
  <c r="C20" i="15"/>
  <c r="E20" i="15"/>
  <c r="F20" i="15"/>
  <c r="G20" i="15"/>
  <c r="H20" i="15"/>
  <c r="I20" i="15"/>
  <c r="J20" i="15"/>
  <c r="K20" i="15"/>
  <c r="L20" i="15"/>
  <c r="M20" i="15"/>
  <c r="B20" i="15"/>
  <c r="N14" i="15"/>
  <c r="C34" i="15"/>
  <c r="C30" i="17" s="1"/>
  <c r="D34" i="15"/>
  <c r="D30" i="17" s="1"/>
  <c r="E34" i="15"/>
  <c r="E30" i="17" s="1"/>
  <c r="F34" i="15"/>
  <c r="G34" i="15"/>
  <c r="G30" i="17" s="1"/>
  <c r="H34" i="15"/>
  <c r="I34" i="15"/>
  <c r="I30" i="17" s="1"/>
  <c r="J34" i="15"/>
  <c r="J30" i="17" s="1"/>
  <c r="K34" i="15"/>
  <c r="K30" i="17" s="1"/>
  <c r="L34" i="15"/>
  <c r="M34" i="15"/>
  <c r="M30" i="17" s="1"/>
  <c r="B34" i="15"/>
  <c r="B30" i="17" s="1"/>
  <c r="G13" i="15"/>
  <c r="H13" i="15"/>
  <c r="H7" i="17" s="1"/>
  <c r="I13" i="15"/>
  <c r="I7" i="17" s="1"/>
  <c r="J13" i="15"/>
  <c r="J7" i="17" s="1"/>
  <c r="K13" i="15"/>
  <c r="K7" i="17" s="1"/>
  <c r="L13" i="15"/>
  <c r="L7" i="17" s="1"/>
  <c r="M13" i="15"/>
  <c r="M7" i="17" s="1"/>
  <c r="C7" i="15"/>
  <c r="D7" i="15"/>
  <c r="E7" i="15"/>
  <c r="E6" i="17" s="1"/>
  <c r="F7" i="15"/>
  <c r="G7" i="15"/>
  <c r="G6" i="17" s="1"/>
  <c r="H7" i="15"/>
  <c r="H6" i="17" s="1"/>
  <c r="I7" i="15"/>
  <c r="I6" i="17" s="1"/>
  <c r="J7" i="15"/>
  <c r="J6" i="17" s="1"/>
  <c r="K7" i="15"/>
  <c r="K6" i="17" s="1"/>
  <c r="L7" i="15"/>
  <c r="L6" i="17" s="1"/>
  <c r="M7" i="15"/>
  <c r="M6" i="17" s="1"/>
  <c r="B7" i="15"/>
  <c r="B6" i="17" s="1"/>
  <c r="N8" i="15"/>
  <c r="N9" i="15"/>
  <c r="N12" i="15"/>
  <c r="N21" i="15"/>
  <c r="N22" i="15"/>
  <c r="N23" i="15"/>
  <c r="N25" i="15"/>
  <c r="N26" i="15"/>
  <c r="N27" i="15"/>
  <c r="N28" i="15"/>
  <c r="N29" i="15"/>
  <c r="N30" i="15"/>
  <c r="N31" i="15"/>
  <c r="N32" i="15"/>
  <c r="N33" i="15"/>
  <c r="N5" i="15"/>
  <c r="N6" i="15"/>
  <c r="N2" i="15"/>
  <c r="G30" i="20" a="1"/>
  <c r="D9" i="20" a="1"/>
  <c r="D21" i="20" a="1"/>
  <c r="E24" i="20" a="1"/>
  <c r="F27" i="20" a="1"/>
  <c r="E18" i="20" a="1"/>
  <c r="E6" i="20" a="1"/>
  <c r="F5" i="20" a="1"/>
  <c r="E15" i="20" a="1"/>
  <c r="G12" i="20" a="1"/>
  <c r="F3" i="20" a="1"/>
  <c r="F9" i="20" a="1"/>
  <c r="E27" i="20" a="1"/>
  <c r="G6" i="20" a="1"/>
  <c r="F21" i="20" a="1"/>
  <c r="G18" i="20" a="1"/>
  <c r="D27" i="20" a="1"/>
  <c r="G27" i="20" a="1"/>
  <c r="D15" i="20" a="1"/>
  <c r="E12" i="20" a="1"/>
  <c r="G24" i="20" a="1"/>
  <c r="E3" i="20" a="1"/>
  <c r="E21" i="20" a="1"/>
  <c r="D3" i="20" a="1"/>
  <c r="M120" i="19" l="1"/>
  <c r="D122" i="19"/>
  <c r="E121" i="19" s="1"/>
  <c r="C29" i="11" s="1"/>
  <c r="D128" i="19"/>
  <c r="E125" i="19"/>
  <c r="C23" i="10" s="1"/>
  <c r="G23" i="10"/>
  <c r="H128" i="19"/>
  <c r="I125" i="19" s="1"/>
  <c r="G7" i="17"/>
  <c r="G120" i="19"/>
  <c r="D26" i="10" s="1"/>
  <c r="G121" i="19"/>
  <c r="D29" i="11" s="1"/>
  <c r="B122" i="19"/>
  <c r="C121" i="19" s="1"/>
  <c r="B29" i="11" s="1"/>
  <c r="H122" i="19"/>
  <c r="I121" i="19" s="1"/>
  <c r="E29" i="11" s="1"/>
  <c r="F128" i="19"/>
  <c r="G125" i="19"/>
  <c r="D23" i="10" s="1"/>
  <c r="B128" i="19"/>
  <c r="C125" i="19"/>
  <c r="B23" i="10" s="1"/>
  <c r="F5" i="20"/>
  <c r="H35" i="15"/>
  <c r="H30" i="17"/>
  <c r="I36" i="15"/>
  <c r="L35" i="15"/>
  <c r="H36" i="15"/>
  <c r="G35" i="15"/>
  <c r="F17" i="9"/>
  <c r="N17" i="9" s="1"/>
  <c r="N36" i="14"/>
  <c r="N37" i="14" s="1"/>
  <c r="K120" i="19"/>
  <c r="F26" i="10" s="1"/>
  <c r="K121" i="19"/>
  <c r="F29" i="11" s="1"/>
  <c r="J128" i="19"/>
  <c r="K125" i="19"/>
  <c r="I23" i="10"/>
  <c r="B10" i="11"/>
  <c r="B14" i="11" s="1"/>
  <c r="B10" i="10"/>
  <c r="E10" i="11"/>
  <c r="E14" i="11" s="1"/>
  <c r="E10" i="10"/>
  <c r="E14" i="10" s="1"/>
  <c r="D10" i="11"/>
  <c r="D14" i="11" s="1"/>
  <c r="D10" i="10"/>
  <c r="D14" i="10" s="1"/>
  <c r="C10" i="11"/>
  <c r="C14" i="11" s="1"/>
  <c r="C10" i="10"/>
  <c r="C14" i="10" s="1"/>
  <c r="D27" i="20"/>
  <c r="D21" i="20"/>
  <c r="D15" i="20"/>
  <c r="D3" i="20"/>
  <c r="D9" i="20"/>
  <c r="M36" i="15"/>
  <c r="I35" i="15"/>
  <c r="K36" i="15"/>
  <c r="J36" i="15"/>
  <c r="L36" i="15"/>
  <c r="L30" i="17"/>
  <c r="N7" i="15"/>
  <c r="D6" i="17"/>
  <c r="C6" i="17"/>
  <c r="F6" i="17"/>
  <c r="N23" i="11"/>
  <c r="N15" i="9"/>
  <c r="C17" i="9"/>
  <c r="N25" i="11"/>
  <c r="N22" i="10"/>
  <c r="F3" i="20"/>
  <c r="F21" i="20"/>
  <c r="E35" i="15"/>
  <c r="E27" i="20"/>
  <c r="E15" i="20"/>
  <c r="E3" i="20"/>
  <c r="E21" i="20"/>
  <c r="G24" i="20"/>
  <c r="G30" i="20"/>
  <c r="G6" i="20"/>
  <c r="G18" i="20"/>
  <c r="G12" i="20"/>
  <c r="E24" i="20"/>
  <c r="E18" i="20"/>
  <c r="E6" i="20"/>
  <c r="E12" i="20"/>
  <c r="F11" i="9"/>
  <c r="O46" i="10"/>
  <c r="F27" i="20"/>
  <c r="G27" i="20"/>
  <c r="F30" i="17"/>
  <c r="F9" i="20"/>
  <c r="C35" i="15"/>
  <c r="N9" i="9"/>
  <c r="M35" i="15"/>
  <c r="K35" i="15"/>
  <c r="J35" i="15"/>
  <c r="B36" i="15"/>
  <c r="F36" i="15"/>
  <c r="F35" i="15"/>
  <c r="G36" i="15"/>
  <c r="E36" i="15"/>
  <c r="B35" i="15"/>
  <c r="N34" i="15"/>
  <c r="F17" i="20" a="1"/>
  <c r="E5" i="20" a="1"/>
  <c r="E31" i="20" a="1"/>
  <c r="E7" i="20" a="1"/>
  <c r="E13" i="20" a="1"/>
  <c r="H29" i="20" a="1"/>
  <c r="H5" i="20" a="1"/>
  <c r="H27" i="20" a="1"/>
  <c r="H23" i="20" a="1"/>
  <c r="E17" i="20" a="1"/>
  <c r="H21" i="20" a="1"/>
  <c r="H11" i="20" a="1"/>
  <c r="H3" i="20" a="1"/>
  <c r="E19" i="20" a="1"/>
  <c r="H4" i="20" a="1"/>
  <c r="H17" i="20" a="1"/>
  <c r="E30" i="20" a="1"/>
  <c r="F23" i="20" a="1"/>
  <c r="F11" i="20" a="1"/>
  <c r="E23" i="20" a="1"/>
  <c r="E11" i="20" a="1"/>
  <c r="D47" i="10" l="1"/>
  <c r="D31" i="10"/>
  <c r="C15" i="11"/>
  <c r="E120" i="19"/>
  <c r="C26" i="10" s="1"/>
  <c r="I120" i="19"/>
  <c r="E26" i="10" s="1"/>
  <c r="C15" i="10"/>
  <c r="E15" i="10"/>
  <c r="E15" i="11"/>
  <c r="E19" i="11" s="1"/>
  <c r="C120" i="19"/>
  <c r="G126" i="19"/>
  <c r="D26" i="11" s="1"/>
  <c r="D33" i="11" s="1"/>
  <c r="D49" i="11" s="1"/>
  <c r="G127" i="19"/>
  <c r="D18" i="9" s="1"/>
  <c r="D23" i="9" s="1"/>
  <c r="D39" i="9" s="1"/>
  <c r="D40" i="9" s="1"/>
  <c r="G29" i="11"/>
  <c r="G33" i="11" s="1"/>
  <c r="I29" i="11"/>
  <c r="I33" i="11" s="1"/>
  <c r="K29" i="11"/>
  <c r="K33" i="11" s="1"/>
  <c r="M29" i="11"/>
  <c r="M33" i="11" s="1"/>
  <c r="H29" i="11"/>
  <c r="J29" i="11"/>
  <c r="L29" i="11"/>
  <c r="L33" i="11" s="1"/>
  <c r="B15" i="11"/>
  <c r="B19" i="11" s="1"/>
  <c r="H23" i="10"/>
  <c r="E23" i="10"/>
  <c r="I126" i="19"/>
  <c r="I127" i="19"/>
  <c r="C126" i="19"/>
  <c r="B26" i="11" s="1"/>
  <c r="B33" i="11" s="1"/>
  <c r="C127" i="19"/>
  <c r="B18" i="9" s="1"/>
  <c r="B23" i="9" s="1"/>
  <c r="B39" i="9" s="1"/>
  <c r="B40" i="9" s="1"/>
  <c r="E127" i="19"/>
  <c r="C18" i="9" s="1"/>
  <c r="C23" i="9" s="1"/>
  <c r="E126" i="19"/>
  <c r="C26" i="11" s="1"/>
  <c r="D15" i="10"/>
  <c r="D15" i="11"/>
  <c r="D19" i="11" s="1"/>
  <c r="D50" i="11" s="1"/>
  <c r="D51" i="11" s="1"/>
  <c r="E5" i="20"/>
  <c r="F17" i="20"/>
  <c r="E11" i="20"/>
  <c r="E23" i="20"/>
  <c r="F11" i="20"/>
  <c r="F23" i="20"/>
  <c r="E17" i="20"/>
  <c r="C19" i="11"/>
  <c r="J23" i="10"/>
  <c r="F23" i="10"/>
  <c r="F31" i="10" s="1"/>
  <c r="K127" i="19"/>
  <c r="K126" i="19"/>
  <c r="D38" i="9"/>
  <c r="N6" i="17"/>
  <c r="O6" i="17" s="1"/>
  <c r="F10" i="11"/>
  <c r="F14" i="11" s="1"/>
  <c r="F15" i="11" s="1"/>
  <c r="F10" i="10"/>
  <c r="O34" i="15"/>
  <c r="H21" i="20"/>
  <c r="H3" i="20"/>
  <c r="E37" i="15"/>
  <c r="B37" i="15"/>
  <c r="B14" i="10"/>
  <c r="E7" i="20"/>
  <c r="E31" i="20"/>
  <c r="E13" i="20"/>
  <c r="E30" i="20"/>
  <c r="E19" i="20"/>
  <c r="F36" i="12"/>
  <c r="F37" i="12" s="1"/>
  <c r="C36" i="12"/>
  <c r="C37" i="12" s="1"/>
  <c r="D36" i="12"/>
  <c r="D37" i="12" s="1"/>
  <c r="F14" i="10"/>
  <c r="F15" i="10" s="1"/>
  <c r="H27" i="20"/>
  <c r="F37" i="15"/>
  <c r="N30" i="17"/>
  <c r="H11" i="20"/>
  <c r="H23" i="20"/>
  <c r="H17" i="20"/>
  <c r="H29" i="20"/>
  <c r="H4" i="20"/>
  <c r="H5" i="20"/>
  <c r="N11" i="9"/>
  <c r="O11" i="9" s="1"/>
  <c r="H13" i="20" a="1"/>
  <c r="E10" i="20" a="1"/>
  <c r="G7" i="20" a="1"/>
  <c r="G19" i="20" a="1"/>
  <c r="G13" i="20" a="1"/>
  <c r="E29" i="20" a="1"/>
  <c r="E16" i="20" a="1"/>
  <c r="E25" i="20" a="1"/>
  <c r="H18" i="20" a="1"/>
  <c r="H31" i="20" a="1"/>
  <c r="H12" i="20" a="1"/>
  <c r="H6" i="20" a="1"/>
  <c r="H28" i="20" a="1"/>
  <c r="G31" i="20" a="1"/>
  <c r="E4" i="20" a="1"/>
  <c r="H7" i="20" a="1"/>
  <c r="H19" i="20" a="1"/>
  <c r="H16" i="20" a="1"/>
  <c r="H10" i="20" a="1"/>
  <c r="E22" i="20" a="1"/>
  <c r="H22" i="20" a="1"/>
  <c r="H24" i="20" a="1"/>
  <c r="B15" i="10" l="1"/>
  <c r="C31" i="10"/>
  <c r="C47" i="10" s="1"/>
  <c r="C33" i="11"/>
  <c r="C49" i="11" s="1"/>
  <c r="E31" i="10"/>
  <c r="E47" i="10" s="1"/>
  <c r="F47" i="10"/>
  <c r="H26" i="10"/>
  <c r="H31" i="10" s="1"/>
  <c r="B26" i="10"/>
  <c r="B31" i="10" s="1"/>
  <c r="B17" i="17" s="1"/>
  <c r="G26" i="10"/>
  <c r="G31" i="10" s="1"/>
  <c r="I26" i="10"/>
  <c r="I31" i="10" s="1"/>
  <c r="J26" i="10"/>
  <c r="J31" i="10" s="1"/>
  <c r="K26" i="10"/>
  <c r="K31" i="10" s="1"/>
  <c r="L26" i="10"/>
  <c r="L31" i="10" s="1"/>
  <c r="M26" i="10"/>
  <c r="M31" i="10" s="1"/>
  <c r="M17" i="17" s="1"/>
  <c r="B38" i="9"/>
  <c r="L50" i="11"/>
  <c r="L49" i="11"/>
  <c r="H18" i="9"/>
  <c r="H23" i="9" s="1"/>
  <c r="E18" i="9"/>
  <c r="E23" i="9" s="1"/>
  <c r="M49" i="11"/>
  <c r="M50" i="11"/>
  <c r="K50" i="11"/>
  <c r="K49" i="11"/>
  <c r="I50" i="11"/>
  <c r="I49" i="11"/>
  <c r="I17" i="17"/>
  <c r="G50" i="11"/>
  <c r="G49" i="11"/>
  <c r="H26" i="11"/>
  <c r="H33" i="11" s="1"/>
  <c r="E26" i="11"/>
  <c r="N29" i="11"/>
  <c r="N10" i="11"/>
  <c r="E29" i="20"/>
  <c r="N23" i="10"/>
  <c r="F19" i="11"/>
  <c r="N19" i="11" s="1"/>
  <c r="O19" i="11" s="1"/>
  <c r="J26" i="11"/>
  <c r="J33" i="11" s="1"/>
  <c r="F26" i="11"/>
  <c r="F33" i="11" s="1"/>
  <c r="J18" i="9"/>
  <c r="J23" i="9" s="1"/>
  <c r="F18" i="9"/>
  <c r="C39" i="9"/>
  <c r="C40" i="9" s="1"/>
  <c r="C17" i="17"/>
  <c r="C31" i="17" s="1"/>
  <c r="C38" i="9"/>
  <c r="N14" i="11"/>
  <c r="O30" i="17"/>
  <c r="B49" i="11"/>
  <c r="B50" i="11"/>
  <c r="B51" i="11" s="1"/>
  <c r="B47" i="10"/>
  <c r="N10" i="10"/>
  <c r="N14" i="10"/>
  <c r="N15" i="10" s="1"/>
  <c r="H18" i="20"/>
  <c r="H24" i="20"/>
  <c r="H12" i="20"/>
  <c r="H6" i="20"/>
  <c r="N15" i="11"/>
  <c r="G31" i="20"/>
  <c r="G13" i="20"/>
  <c r="G19" i="20"/>
  <c r="G7" i="20"/>
  <c r="E10" i="20"/>
  <c r="E25" i="20"/>
  <c r="E22" i="20"/>
  <c r="E16" i="20"/>
  <c r="H13" i="20"/>
  <c r="H31" i="20"/>
  <c r="H19" i="20"/>
  <c r="H7" i="20"/>
  <c r="E4" i="20"/>
  <c r="C16" i="10"/>
  <c r="C11" i="17" s="1"/>
  <c r="E36" i="12"/>
  <c r="N10" i="12"/>
  <c r="O10" i="12" s="1"/>
  <c r="E16" i="10"/>
  <c r="E11" i="17" s="1"/>
  <c r="D16" i="10"/>
  <c r="D11" i="17" s="1"/>
  <c r="B16" i="10"/>
  <c r="B11" i="17" s="1"/>
  <c r="H10" i="20"/>
  <c r="H16" i="20"/>
  <c r="H28" i="20"/>
  <c r="H22" i="20"/>
  <c r="N11" i="15"/>
  <c r="O11" i="15" s="1"/>
  <c r="E28" i="20" a="1"/>
  <c r="H25" i="20" a="1"/>
  <c r="E9" i="20" a="1"/>
  <c r="F29" i="20" a="1"/>
  <c r="H30" i="20" a="1"/>
  <c r="C50" i="11" l="1"/>
  <c r="C51" i="11" s="1"/>
  <c r="J48" i="10"/>
  <c r="J47" i="10"/>
  <c r="H47" i="10"/>
  <c r="H48" i="10"/>
  <c r="K48" i="10"/>
  <c r="K47" i="10"/>
  <c r="L48" i="10"/>
  <c r="L47" i="10"/>
  <c r="K17" i="17"/>
  <c r="G47" i="10"/>
  <c r="G48" i="10"/>
  <c r="G17" i="17"/>
  <c r="G32" i="17" s="1"/>
  <c r="L17" i="17"/>
  <c r="L32" i="17" s="1"/>
  <c r="E33" i="11"/>
  <c r="E17" i="17" s="1"/>
  <c r="E31" i="17" s="1"/>
  <c r="I47" i="10"/>
  <c r="N47" i="10" s="1"/>
  <c r="I48" i="10"/>
  <c r="N26" i="10"/>
  <c r="N31" i="10"/>
  <c r="O31" i="10" s="1"/>
  <c r="M47" i="10"/>
  <c r="M48" i="10"/>
  <c r="H38" i="9"/>
  <c r="H39" i="9"/>
  <c r="H17" i="17"/>
  <c r="M32" i="17"/>
  <c r="M31" i="17"/>
  <c r="K32" i="17"/>
  <c r="K31" i="17"/>
  <c r="I32" i="17"/>
  <c r="I31" i="17"/>
  <c r="E39" i="9"/>
  <c r="E40" i="9" s="1"/>
  <c r="E38" i="9"/>
  <c r="H50" i="11"/>
  <c r="H49" i="11"/>
  <c r="F29" i="20"/>
  <c r="F23" i="9"/>
  <c r="N18" i="9"/>
  <c r="N26" i="11"/>
  <c r="J38" i="9"/>
  <c r="J39" i="9"/>
  <c r="J17" i="17"/>
  <c r="J49" i="11"/>
  <c r="J50" i="11"/>
  <c r="E9" i="20"/>
  <c r="N13" i="15"/>
  <c r="O13" i="15" s="1"/>
  <c r="H30" i="20"/>
  <c r="E28" i="20"/>
  <c r="H25" i="20"/>
  <c r="F16" i="10"/>
  <c r="F11" i="17" s="1"/>
  <c r="E37" i="12"/>
  <c r="C48" i="10"/>
  <c r="C49" i="10" s="1"/>
  <c r="C32" i="17"/>
  <c r="C33" i="17" s="1"/>
  <c r="B48" i="10"/>
  <c r="D48" i="10"/>
  <c r="D49" i="10" s="1"/>
  <c r="E48" i="10"/>
  <c r="E49" i="10" s="1"/>
  <c r="C36" i="15"/>
  <c r="H9" i="20" a="1"/>
  <c r="G25" i="20" a="1"/>
  <c r="L31" i="17" l="1"/>
  <c r="G31" i="17"/>
  <c r="E32" i="17"/>
  <c r="E33" i="17" s="1"/>
  <c r="E49" i="11"/>
  <c r="E50" i="11"/>
  <c r="E51" i="11" s="1"/>
  <c r="H31" i="17"/>
  <c r="H32" i="17"/>
  <c r="F49" i="11"/>
  <c r="N49" i="11" s="1"/>
  <c r="N33" i="11"/>
  <c r="O33" i="11" s="1"/>
  <c r="F50" i="11"/>
  <c r="J31" i="17"/>
  <c r="J32" i="17"/>
  <c r="F38" i="9"/>
  <c r="N38" i="9" s="1"/>
  <c r="F39" i="9"/>
  <c r="F17" i="17"/>
  <c r="F31" i="17" s="1"/>
  <c r="N23" i="9"/>
  <c r="O23" i="9" s="1"/>
  <c r="N16" i="10"/>
  <c r="O16" i="10" s="1"/>
  <c r="G25" i="20"/>
  <c r="B49" i="10"/>
  <c r="F48" i="10"/>
  <c r="F49" i="10" s="1"/>
  <c r="H9" i="20"/>
  <c r="C37" i="15"/>
  <c r="F32" i="17" l="1"/>
  <c r="F33" i="17" s="1"/>
  <c r="F40" i="9"/>
  <c r="N39" i="9"/>
  <c r="N40" i="9" s="1"/>
  <c r="F51" i="11"/>
  <c r="N50" i="11"/>
  <c r="N51" i="11" s="1"/>
  <c r="N11" i="17"/>
  <c r="N48" i="10"/>
  <c r="N49" i="10" s="1"/>
  <c r="N7" i="17"/>
  <c r="O11" i="17" l="1"/>
  <c r="B36" i="12"/>
  <c r="N36" i="12" s="1"/>
  <c r="N37" i="12" s="1"/>
  <c r="B35" i="12"/>
  <c r="N35" i="12" s="1"/>
  <c r="N20" i="12"/>
  <c r="O20" i="12" s="1"/>
  <c r="B32" i="17" l="1"/>
  <c r="B33" i="17" s="1"/>
  <c r="B31" i="17"/>
  <c r="B37" i="12"/>
  <c r="D20" i="15"/>
  <c r="D17" i="17" s="1"/>
  <c r="D32" i="17" s="1"/>
  <c r="D33" i="17" s="1"/>
  <c r="F15" i="20" a="1"/>
  <c r="F15" i="20" l="1"/>
  <c r="D36" i="15"/>
  <c r="N20" i="15"/>
  <c r="O20" i="15" s="1"/>
  <c r="D35" i="15"/>
  <c r="N35" i="15" s="1"/>
  <c r="N17" i="17"/>
  <c r="D31" i="17"/>
  <c r="N31" i="17" s="1"/>
  <c r="H15" i="20" a="1"/>
  <c r="O17" i="17" l="1"/>
  <c r="N32" i="17"/>
  <c r="N33" i="17" s="1"/>
  <c r="H15" i="20"/>
  <c r="D37" i="15"/>
  <c r="N36" i="15"/>
  <c r="N37" i="1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<sst xmlns="http://schemas.openxmlformats.org/spreadsheetml/2006/main" count="972" uniqueCount="188">
  <si>
    <t>Cost Personal</t>
  </si>
  <si>
    <t>Node</t>
  </si>
  <si>
    <t>Description</t>
  </si>
  <si>
    <t>TOTAL</t>
  </si>
  <si>
    <t>LN00000</t>
  </si>
  <si>
    <t>LN00001</t>
  </si>
  <si>
    <t>LN00002</t>
  </si>
  <si>
    <t>LN00003</t>
  </si>
  <si>
    <t>LN00004</t>
  </si>
  <si>
    <t>LN00005</t>
  </si>
  <si>
    <t>LN00006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</si>
  <si>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</si>
  <si>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</si>
  <si>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</si>
  <si>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</si>
  <si>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</si>
  <si>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</si>
  <si>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</si>
  <si>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</si>
  <si>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</si>
  <si>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</si>
  <si>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</si>
  <si>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</si>
  <si>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</si>
  <si>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</si>
  <si>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</si>
  <si>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</si>
  <si>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</si>
  <si>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</si>
  <si>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</si>
  <si>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</si>
  <si>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</si>
  <si>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</si>
  <si>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</si>
  <si>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</si>
  <si>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</si>
  <si>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</si>
  <si>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</si>
  <si>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</si>
  <si>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</si>
  <si>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</si>
  <si>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</si>
  <si>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</si>
  <si>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</si>
  <si>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</si>
  <si>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</si>
  <si>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</si>
  <si>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</si>
  <si>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</si>
  <si>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</si>
  <si>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</si>
  <si>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</si>
  <si>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</si>
  <si>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</si>
  <si>
    <t>.   No definido !!!</t>
  </si>
  <si>
    <t>menusal</t>
  </si>
  <si>
    <t xml:space="preserve">Total Cost </t>
  </si>
  <si>
    <t>Estrucutra</t>
  </si>
  <si>
    <t>Compres</t>
  </si>
  <si>
    <t>Personal</t>
  </si>
  <si>
    <t>Gestió</t>
  </si>
  <si>
    <t>Porcentatge de vendes</t>
  </si>
  <si>
    <t>Vendes Totals</t>
  </si>
  <si>
    <t xml:space="preserve">Restem </t>
  </si>
  <si>
    <t>Imputem costos directes</t>
  </si>
  <si>
    <t>Green Vita</t>
  </si>
  <si>
    <t>Gener</t>
  </si>
  <si>
    <t>Febrer</t>
  </si>
  <si>
    <t xml:space="preserve">Març </t>
  </si>
  <si>
    <t>Abril</t>
  </si>
  <si>
    <t>Maig</t>
  </si>
  <si>
    <t xml:space="preserve">Juny </t>
  </si>
  <si>
    <t>Juliol</t>
  </si>
  <si>
    <t>Agost</t>
  </si>
  <si>
    <t>Setembre</t>
  </si>
  <si>
    <t>Octubre</t>
  </si>
  <si>
    <t>Novembre</t>
  </si>
  <si>
    <t>Desembre</t>
  </si>
  <si>
    <t>.   ESTRUCTURA FIX</t>
  </si>
  <si>
    <t>%</t>
  </si>
  <si>
    <t>COMPTE DE RESULTATS 2026</t>
  </si>
  <si>
    <t>.   RAPPEL  2%</t>
  </si>
  <si>
    <t>.   COMPRA LN00000 s/precuintas</t>
  </si>
  <si>
    <t>.   ESTRUCTURA  LN00000</t>
  </si>
  <si>
    <t>.   GESTIO DE LN00000</t>
  </si>
  <si>
    <t>Precuinats</t>
  </si>
  <si>
    <t>LN00001 i LN00004</t>
  </si>
  <si>
    <t>Restem Green Vita</t>
  </si>
  <si>
    <t>Compres i Personal</t>
  </si>
  <si>
    <t xml:space="preserve">Despesses de Gestio </t>
  </si>
  <si>
    <t xml:space="preserve">.   COMPRA LN00000 </t>
  </si>
  <si>
    <t>Restem  LN0001</t>
  </si>
  <si>
    <t>Sin LN</t>
  </si>
  <si>
    <t>PRECUINATS</t>
  </si>
  <si>
    <t>Les sumen en el total, en el desglos de cada LN no ho tenim en compte</t>
  </si>
  <si>
    <t>Porcentatge repartim endtre les diferents LN</t>
  </si>
  <si>
    <t>En el total em de treure la compra interna de LN00001 sino estariem doblant valor</t>
  </si>
  <si>
    <t>Hem de restar del total el 45% sobre vendes de LN00004 i cal.lcular porcentatges en fucnio a de le svendes deñl 2025</t>
  </si>
  <si>
    <t>Restem els 20.000 mensuals imputat ja en la LN00001</t>
  </si>
  <si>
    <t>Hem de veure quins departaments impliquen a totes les LN i en aquest fer la part % segons vendes del 2025</t>
  </si>
  <si>
    <t xml:space="preserve">El % que no implica a totes LN assignar a cada LN segon % vendes </t>
  </si>
  <si>
    <t>RESTAURACIO</t>
  </si>
  <si>
    <t>Ja te la seva propia C.Explotació.</t>
  </si>
  <si>
    <t>Restar de del total de compres el consum intern a les comprs de LN00000</t>
  </si>
  <si>
    <t>S'hauria de fer els traspassos intenrs de les hores treallades fora de centre en una altre LN</t>
  </si>
  <si>
    <t>Ja te imputades les seves pròpies</t>
  </si>
  <si>
    <t>EMPRESA</t>
  </si>
  <si>
    <t xml:space="preserve">% de vendes del 2025 excepte LN00001 sobre tots els departements </t>
  </si>
  <si>
    <t>Restar el 20.0000 de Restauracio i el %  GreenVita</t>
  </si>
  <si>
    <t>Restem el % LN00006</t>
  </si>
  <si>
    <t>% apliquem de les vendes del 2025</t>
  </si>
  <si>
    <t>CASAMENTS</t>
  </si>
  <si>
    <t>Restar el 20.0000 de Restauracio i els 10.000 GreenVita</t>
  </si>
  <si>
    <t>S'ha d'aplicar el rappel del 2%</t>
  </si>
  <si>
    <t>45% sobre la facturacio</t>
  </si>
  <si>
    <t>Imputem el cost empresa mensual de 1 treballador logistica 3500</t>
  </si>
  <si>
    <t>% de le vendes 2025 sobre departaments de RRHH. Comptabilitat, Compres, Cuina Central, Manteniment</t>
  </si>
  <si>
    <t>% de vendes del 2025 excepte LN00001 en dept de producció, marqueting, logisitca</t>
  </si>
  <si>
    <t>FOODLOVERS</t>
  </si>
  <si>
    <t>GREEN VITA</t>
  </si>
  <si>
    <t>Un fixe del 25% sobre les vendes de LN00006</t>
  </si>
  <si>
    <t>10% sobre la venda</t>
  </si>
  <si>
    <t>% sobre les vendes 2026</t>
  </si>
  <si>
    <t>Total sortira aquest 2% menys</t>
  </si>
  <si>
    <t>Linia Negoci</t>
  </si>
  <si>
    <t>Data</t>
  </si>
  <si>
    <t>Restaurants</t>
  </si>
  <si>
    <t>Empresa</t>
  </si>
  <si>
    <t>Casaments</t>
  </si>
  <si>
    <t>FoodLovers</t>
  </si>
  <si>
    <t xml:space="preserve">TOTAL INGRESSOS </t>
  </si>
  <si>
    <t>Etiquetas de fila</t>
  </si>
  <si>
    <t>Total general</t>
  </si>
  <si>
    <t>Etiquetas de columna</t>
  </si>
  <si>
    <t xml:space="preserve">Suma de TOTAL INGRESSOS </t>
  </si>
  <si>
    <t>Suma de TOTAL DESPESES GESTIO</t>
  </si>
  <si>
    <t>ene</t>
  </si>
  <si>
    <t>feb</t>
  </si>
  <si>
    <t>mar</t>
  </si>
  <si>
    <t>abr</t>
  </si>
  <si>
    <t>may</t>
  </si>
  <si>
    <t>jun</t>
  </si>
  <si>
    <t>jul</t>
  </si>
  <si>
    <t>Suma de Cost Salarial Positiu</t>
  </si>
  <si>
    <t>ago</t>
  </si>
  <si>
    <t>sep</t>
  </si>
  <si>
    <t>oct</t>
  </si>
  <si>
    <t>nov</t>
  </si>
  <si>
    <t>dic</t>
  </si>
  <si>
    <t xml:space="preserve"> TOTAL INGRESSOS </t>
  </si>
  <si>
    <t/>
  </si>
  <si>
    <t xml:space="preserve"> TOTAL COST SALARIAL</t>
  </si>
  <si>
    <t>TOTAL COMPRA</t>
  </si>
  <si>
    <t>TOTAL DESPESES</t>
  </si>
  <si>
    <t>Suma de EBITDA</t>
  </si>
  <si>
    <t>Suma de Cost compres Positiu</t>
  </si>
  <si>
    <t>POTSER FER % FIXE?  28% si fem aixi hem de retar la factuaracio del 2025 i pujar porcentatges de empresa i casaments</t>
  </si>
  <si>
    <t>TOTAL DESPESES GESTIO CENTRAL</t>
  </si>
  <si>
    <t>AGENDA</t>
  </si>
  <si>
    <t>Vendes</t>
  </si>
  <si>
    <t>Imputem un fixe 25% sobre vendes</t>
  </si>
  <si>
    <t>Imputem un fixe de 5000, d'estructura</t>
  </si>
  <si>
    <t>10% de perosnal sobre vendes</t>
  </si>
  <si>
    <t>Un fixe sobre els cosotso fixes de la central del 10%</t>
  </si>
  <si>
    <t>Agenda</t>
  </si>
  <si>
    <t>% vendes del 2025 treient les vendes, LN0000, LN00001 , LN00006, LN00005 i LN00004 i aquest % sera el que aplicaem sobre la compra restant</t>
  </si>
  <si>
    <t>Foodlovers</t>
  </si>
  <si>
    <t>ESTRUCTURA FIXE</t>
  </si>
  <si>
    <t>.   ESTRUCTURA  Fixe</t>
  </si>
  <si>
    <t>fixe 5000 mensual per estructura</t>
  </si>
  <si>
    <t>Personal especific</t>
  </si>
  <si>
    <t>Faltaria personal de catering o restaurant que no estan imputats directament</t>
  </si>
  <si>
    <t>.   TRASPASSOS INTERNS</t>
  </si>
  <si>
    <t>.   TRASPAS INTERN</t>
  </si>
  <si>
    <t xml:space="preserve">% Compres aplicar sobre Vendes </t>
  </si>
  <si>
    <t>Març</t>
  </si>
  <si>
    <t>Juny</t>
  </si>
  <si>
    <t>Pestanya dades  % aplicar</t>
  </si>
  <si>
    <t>Càl.lcul cost Personal</t>
  </si>
  <si>
    <t xml:space="preserve">% Personal aplicar sobre Vendes </t>
  </si>
  <si>
    <t>.   SOUS I SALARIS  dept.</t>
  </si>
  <si>
    <t>EBITDA ACUMULAT</t>
  </si>
  <si>
    <t>.   ALTRES</t>
  </si>
  <si>
    <t>.  SALARIS</t>
  </si>
  <si>
    <t>.   SALARIS</t>
  </si>
  <si>
    <t>.  ALTRES</t>
  </si>
  <si>
    <t>.    INGRESSOS</t>
  </si>
  <si>
    <t>.  APROVISIONAMENTS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</si>
</sst>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\ _€_-;\-* #,##0.00\ _€_-;_-* &quot;-&quot;??\ _€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7">
    <xf numFmtId="0" fontId="0" fillId="0" borderId="0" xfId="0"/>
    <xf numFmtId="43" fontId="0" fillId="0" borderId="0" xfId="2" applyFont="1"/>
    <xf numFmtId="164" fontId="0" fillId="0" borderId="0" xfId="2" applyNumberFormat="1" applyFont="1"/>
    <xf numFmtId="164" fontId="0" fillId="0" borderId="0" xfId="0" applyNumberFormat="1"/>
    <xf numFmtId="9" fontId="0" fillId="0" borderId="0" xfId="1" applyFont="1"/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0" xfId="0" applyFill="1"/>
    <xf numFmtId="0" fontId="3" fillId="3" borderId="0" xfId="0" applyFont="1" applyFill="1"/>
    <xf numFmtId="43" fontId="3" fillId="0" borderId="0" xfId="2" applyFont="1"/>
    <xf numFmtId="10" fontId="0" fillId="0" borderId="0" xfId="1" applyNumberFormat="1" applyFont="1"/>
    <xf numFmtId="4" fontId="0" fillId="0" borderId="0" xfId="0" applyNumberFormat="1"/>
    <xf numFmtId="0" fontId="0" fillId="4" borderId="1" xfId="0" applyFill="1" applyBorder="1"/>
    <xf numFmtId="0" fontId="0" fillId="4" borderId="2" xfId="0" applyFill="1" applyBorder="1"/>
    <xf numFmtId="164" fontId="1" fillId="4" borderId="2" xfId="2" applyNumberFormat="1" applyFont="1" applyFill="1" applyBorder="1"/>
    <xf numFmtId="164" fontId="1" fillId="4" borderId="3" xfId="2" applyNumberFormat="1" applyFont="1" applyFill="1" applyBorder="1"/>
    <xf numFmtId="0" fontId="0" fillId="4" borderId="4" xfId="0" applyFill="1" applyBorder="1"/>
    <xf numFmtId="0" fontId="0" fillId="4" borderId="0" xfId="0" applyFill="1"/>
    <xf numFmtId="9" fontId="1" fillId="4" borderId="0" xfId="1" applyFont="1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9" fontId="0" fillId="4" borderId="7" xfId="0" applyNumberFormat="1" applyFill="1" applyBorder="1"/>
    <xf numFmtId="0" fontId="0" fillId="4" borderId="8" xfId="0" applyFill="1" applyBorder="1"/>
    <xf numFmtId="43" fontId="1" fillId="0" borderId="0" xfId="2" applyFont="1"/>
    <xf numFmtId="0" fontId="3" fillId="0" borderId="0" xfId="0" applyFont="1"/>
    <xf numFmtId="43" fontId="0" fillId="0" borderId="0" xfId="2" applyFont="1" applyFill="1"/>
    <xf numFmtId="165" fontId="0" fillId="0" borderId="0" xfId="0" applyNumberFormat="1"/>
    <xf numFmtId="43" fontId="3" fillId="0" borderId="0" xfId="2" applyFont="1" applyFill="1"/>
    <xf numFmtId="9" fontId="0" fillId="3" borderId="0" xfId="0" applyNumberFormat="1" applyFill="1" applyAlignment="1">
      <alignment horizontal="center"/>
    </xf>
    <xf numFmtId="10" fontId="3" fillId="0" borderId="0" xfId="1" applyNumberFormat="1" applyFont="1"/>
    <xf numFmtId="43" fontId="3" fillId="0" borderId="0" xfId="0" applyNumberFormat="1" applyFont="1"/>
    <xf numFmtId="9" fontId="3" fillId="0" borderId="0" xfId="1" applyFont="1"/>
    <xf numFmtId="0" fontId="0" fillId="3" borderId="0" xfId="0" applyFill="1" applyAlignment="1">
      <alignment horizontal="right" indent="2"/>
    </xf>
    <xf numFmtId="0" fontId="0" fillId="3" borderId="0" xfId="0" applyFill="1" applyAlignment="1">
      <alignment horizontal="right" indent="4"/>
    </xf>
    <xf numFmtId="9" fontId="0" fillId="0" borderId="0" xfId="0" applyNumberFormat="1"/>
    <xf numFmtId="0" fontId="3" fillId="5" borderId="0" xfId="0" applyFont="1" applyFill="1"/>
    <xf numFmtId="43" fontId="3" fillId="5" borderId="0" xfId="2" applyFont="1" applyFill="1"/>
    <xf numFmtId="0" fontId="2" fillId="2" borderId="0" xfId="0" applyFont="1" applyFill="1" applyAlignment="1">
      <alignment horizontal="left" indent="1"/>
    </xf>
    <xf numFmtId="0" fontId="3" fillId="3" borderId="0" xfId="0" applyFont="1" applyFill="1" applyAlignment="1">
      <alignment horizontal="left" inden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center"/>
    </xf>
    <xf numFmtId="0" fontId="3" fillId="3" borderId="0" xfId="0" applyFont="1" applyFill="1" applyAlignment="1">
      <alignment textRotation="45"/>
    </xf>
    <xf numFmtId="16" fontId="0" fillId="0" borderId="0" xfId="0" applyNumberFormat="1"/>
    <xf numFmtId="4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6" fontId="0" fillId="0" borderId="0" xfId="0" applyNumberFormat="1" applyAlignment="1">
      <alignment horizontal="left" indent="1"/>
    </xf>
    <xf numFmtId="9" fontId="0" fillId="3" borderId="0" xfId="0" applyNumberFormat="1" applyFill="1"/>
    <xf numFmtId="0" fontId="3" fillId="6" borderId="0" xfId="0" applyFont="1" applyFill="1" applyAlignment="1">
      <alignment horizontal="center"/>
    </xf>
    <xf numFmtId="0" fontId="3" fillId="6" borderId="0" xfId="0" applyFont="1" applyFill="1" applyAlignment="1">
      <alignment horizontal="left" indent="1"/>
    </xf>
    <xf numFmtId="4" fontId="3" fillId="0" borderId="0" xfId="0" applyNumberFormat="1" applyFont="1"/>
    <xf numFmtId="4" fontId="3" fillId="7" borderId="0" xfId="0" applyNumberFormat="1" applyFont="1" applyFill="1"/>
    <xf numFmtId="4" fontId="0" fillId="0" borderId="9" xfId="0" applyNumberFormat="1" applyBorder="1"/>
    <xf numFmtId="0" fontId="0" fillId="0" borderId="0" xfId="0" applyAlignment="1">
      <alignment horizontal="center"/>
    </xf>
  </cellXfs>
  <cellStyles count="3">
    <cellStyle name="Millares" xfId="2" builtinId="3"/>
    <cellStyle name="Normal" xfId="0" builtinId="0"/>
    <cellStyle name="Porcentaje" xfId="1" builtinId="5"/>
  </cellStyles>
  <dxfs count="2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21" formatCode="dd\-m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general" vertical="bottom" textRotation="45" wrapText="0" indent="0" justifyLastLine="0" shrinkToFit="0" readingOrder="0"/>
    </dxf>
    <dxf>
      <font>
        <b/>
      </font>
    </dxf>
    <dxf>
      <numFmt numFmtId="4" formatCode="#,##0.00"/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07/relationships/slicerCache" Target="slicerCaches/slicerCache1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[C.Expl LN_2026_V3.xlsx]TDatos!TablaDinámica4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Vendes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TDatos!$B$3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2F3-4BFD-A5CA-C34D6DC13F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2F3-4BFD-A5CA-C34D6DC13F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2F3-4BFD-A5CA-C34D6DC13FD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2F3-4BFD-A5CA-C34D6DC13FD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2F3-4BFD-A5CA-C34D6DC13FD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2F3-4BFD-A5CA-C34D6DC13F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TDatos!$A$4:$A$10</c:f>
              <c:strCache>
                <c:ptCount val="6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TDatos!$B$4:$B$10</c:f>
              <c:numCache>
                <c:formatCode>_(* #,##0.00_);_(* \(#,##0.00\);_(* "-"??_);_(@_)</c:formatCode>
                <c:ptCount val="6"/>
                <c:pt idx="0">
                  <c:v>289300.57</c:v>
                </c:pt>
                <c:pt idx="1">
                  <c:v>522944.53</c:v>
                </c:pt>
                <c:pt idx="2">
                  <c:v>693442.52</c:v>
                </c:pt>
                <c:pt idx="3">
                  <c:v>532165.29</c:v>
                </c:pt>
                <c:pt idx="4">
                  <c:v>1373718.07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2F3-4BFD-A5CA-C34D6DC13FD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[C.Expl LN_2026_V3.xlsx]TDatos!TablaDinámica5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EBITDA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028557371214423"/>
          <c:y val="5.0375617479942604E-2"/>
          <c:w val="0.86038794698634635"/>
          <c:h val="0.899248765040114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TDatos!$B$16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TDatos!$A$17:$A$24</c:f>
              <c:multiLvlStrCache>
                <c:ptCount val="6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</c:lvl>
                <c:lvl>
                  <c:pt idx="0">
                    <c:v>Empresa</c:v>
                  </c:pt>
                </c:lvl>
              </c:multiLvlStrCache>
            </c:multiLvlStrRef>
          </c:cat>
          <c:val>
            <c:numRef>
              <c:f>TDatos!$B$17:$B$24</c:f>
              <c:numCache>
                <c:formatCode>_(* #,##0.00_);_(* \(#,##0.00\);_(* "-"??_);_(@_)</c:formatCode>
                <c:ptCount val="6"/>
                <c:pt idx="0">
                  <c:v>-151814.55741519999</c:v>
                </c:pt>
                <c:pt idx="1">
                  <c:v>-9506.6579231999349</c:v>
                </c:pt>
                <c:pt idx="2">
                  <c:v>27642.532036799937</c:v>
                </c:pt>
                <c:pt idx="3">
                  <c:v>-107436.81344159995</c:v>
                </c:pt>
                <c:pt idx="4">
                  <c:v>573490.19803920004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47-40B1-BDD3-04553A5C0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76612400"/>
        <c:axId val="776612880"/>
      </c:barChart>
      <c:catAx>
        <c:axId val="776612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76612880"/>
        <c:crosses val="autoZero"/>
        <c:auto val="1"/>
        <c:lblAlgn val="ctr"/>
        <c:lblOffset val="100"/>
        <c:noMultiLvlLbl val="0"/>
      </c:catAx>
      <c:valAx>
        <c:axId val="77661288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76612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[C.Expl LN_2026_V3.xlsx]TDatos!TablaDinámica6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Salarial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TDatos!$B$26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TDatos!$A$27:$A$33</c:f>
              <c:strCache>
                <c:ptCount val="6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TDatos!$B$27:$B$33</c:f>
              <c:numCache>
                <c:formatCode>_(* #,##0.00_);_(* \(#,##0.00\);_(* "-"??_);_(@_)</c:formatCode>
                <c:ptCount val="6"/>
                <c:pt idx="0">
                  <c:v>257884.99169999998</c:v>
                </c:pt>
                <c:pt idx="1">
                  <c:v>251854.15575999999</c:v>
                </c:pt>
                <c:pt idx="2">
                  <c:v>276572.96924000001</c:v>
                </c:pt>
                <c:pt idx="3">
                  <c:v>292045.78003999998</c:v>
                </c:pt>
                <c:pt idx="4">
                  <c:v>254133.08669999999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D2-49B1-B7F7-5B1533A8A83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25637744"/>
        <c:axId val="1225636784"/>
      </c:barChart>
      <c:catAx>
        <c:axId val="1225637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25636784"/>
        <c:crosses val="autoZero"/>
        <c:auto val="1"/>
        <c:lblAlgn val="ctr"/>
        <c:lblOffset val="100"/>
        <c:noMultiLvlLbl val="0"/>
      </c:catAx>
      <c:valAx>
        <c:axId val="12256367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25637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[C.Expl LN_2026_V3.xlsx]TDatos!TablaDinámica7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TDatos!$E$3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TDatos!$D$4:$D$11</c:f>
              <c:multiLvlStrCache>
                <c:ptCount val="6"/>
                <c:lvl>
                  <c:pt idx="0">
                    <c:v>01-ene</c:v>
                  </c:pt>
                  <c:pt idx="1">
                    <c:v>01-feb</c:v>
                  </c:pt>
                  <c:pt idx="2">
                    <c:v>01-mar</c:v>
                  </c:pt>
                  <c:pt idx="3">
                    <c:v>01-abr</c:v>
                  </c:pt>
                  <c:pt idx="4">
                    <c:v>01-may</c:v>
                  </c:pt>
                  <c:pt idx="5">
                    <c:v>01-jun</c:v>
                  </c:pt>
                </c:lvl>
                <c:lvl>
                  <c:pt idx="0">
                    <c:v>Empresa</c:v>
                  </c:pt>
                </c:lvl>
              </c:multiLvlStrCache>
            </c:multiLvlStrRef>
          </c:cat>
          <c:val>
            <c:numRef>
              <c:f>TDatos!$E$4:$E$11</c:f>
              <c:numCache>
                <c:formatCode>General</c:formatCode>
                <c:ptCount val="6"/>
                <c:pt idx="0">
                  <c:v>117198.31451520001</c:v>
                </c:pt>
                <c:pt idx="1">
                  <c:v>184843.44576319997</c:v>
                </c:pt>
                <c:pt idx="2">
                  <c:v>244031.04952320002</c:v>
                </c:pt>
                <c:pt idx="3">
                  <c:v>189805.56220160003</c:v>
                </c:pt>
                <c:pt idx="4">
                  <c:v>314862.38326080004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30-47F9-8D05-4BEC0DB18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18674400"/>
        <c:axId val="1018662880"/>
      </c:barChart>
      <c:catAx>
        <c:axId val="101867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18662880"/>
        <c:crosses val="autoZero"/>
        <c:auto val="1"/>
        <c:lblAlgn val="ctr"/>
        <c:lblOffset val="100"/>
        <c:noMultiLvlLbl val="0"/>
      </c:catAx>
      <c:valAx>
        <c:axId val="101866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1867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692971</xdr:colOff>
      <xdr:row>2</xdr:row>
      <xdr:rowOff>85618</xdr:rowOff>
    </xdr:from>
    <xdr:to>
      <xdr:col>11</xdr:col>
      <xdr:colOff>334235</xdr:colOff>
      <xdr:row>21</xdr:row>
      <xdr:rowOff>25450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E364BC-7548-48B2-8BDF-8A09C8E942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16694</xdr:colOff>
      <xdr:row>2</xdr:row>
      <xdr:rowOff>15623</xdr:rowOff>
    </xdr:from>
    <xdr:to>
      <xdr:col>2</xdr:col>
      <xdr:colOff>481601</xdr:colOff>
      <xdr:row>14</xdr:row>
      <xdr:rowOff>74915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ata">
              <a:extLst>
                <a:ext uri="{FF2B5EF4-FFF2-40B4-BE49-F238E27FC236}">
                  <a16:creationId xmlns:a16="http://schemas.microsoft.com/office/drawing/2014/main" id="{EB78EA5B-EB98-493E-9C55-618977B667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94" y="400904"/>
              <a:ext cx="1984626" cy="23709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</xdr:col>
      <xdr:colOff>741589</xdr:colOff>
      <xdr:row>23</xdr:row>
      <xdr:rowOff>21770</xdr:rowOff>
    </xdr:from>
    <xdr:to>
      <xdr:col>11</xdr:col>
      <xdr:colOff>382853</xdr:colOff>
      <xdr:row>41</xdr:row>
      <xdr:rowOff>154242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8B40D80-AF33-4DC4-BB1D-7311081BF6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59611</xdr:colOff>
      <xdr:row>14</xdr:row>
      <xdr:rowOff>159571</xdr:rowOff>
    </xdr:from>
    <xdr:to>
      <xdr:col>2</xdr:col>
      <xdr:colOff>519892</xdr:colOff>
      <xdr:row>25</xdr:row>
      <xdr:rowOff>20526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Linia Negoci">
              <a:extLst>
                <a:ext uri="{FF2B5EF4-FFF2-40B4-BE49-F238E27FC236}">
                  <a16:creationId xmlns:a16="http://schemas.microsoft.com/office/drawing/2014/main" id="{26C688C3-7275-4C3D-AEF9-0544540342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inia Negoc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611" y="2856537"/>
              <a:ext cx="1980000" cy="198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11</xdr:col>
      <xdr:colOff>513706</xdr:colOff>
      <xdr:row>2</xdr:row>
      <xdr:rowOff>117724</xdr:rowOff>
    </xdr:from>
    <xdr:to>
      <xdr:col>20</xdr:col>
      <xdr:colOff>154970</xdr:colOff>
      <xdr:row>21</xdr:row>
      <xdr:rowOff>57556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D876D01-8F90-41A0-97AB-4C8710C26E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642134</xdr:colOff>
      <xdr:row>23</xdr:row>
      <xdr:rowOff>32107</xdr:rowOff>
    </xdr:from>
    <xdr:to>
      <xdr:col>20</xdr:col>
      <xdr:colOff>283398</xdr:colOff>
      <xdr:row>41</xdr:row>
      <xdr:rowOff>164579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E07D996-9140-42B2-A3AB-F3953375B6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RTATIL126" refreshedDate="46196.57870578704" createdVersion="8" refreshedVersion="8" minRefreshableVersion="3" recordCount="72" xr:uid="{6C8BF5BC-1A66-4B57-95AC-F9CE0880B35F}">
  <cacheSource type="worksheet">
    <worksheetSource name="Tabla2"/>
  </cacheSource>
  <cacheFields count="11">
    <cacheField name="Linia Negoci" numFmtId="0">
      <sharedItems count="6">
        <s v="Restaurants"/>
        <s v="Empresa"/>
        <s v="Casaments"/>
        <s v="Precuinats"/>
        <s v="FoodLovers"/>
        <s v="Green Vita"/>
      </sharedItems>
    </cacheField>
    <cacheField name="Data" numFmtId="16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8"/>
    </cacheField>
    <cacheField name="TOTAL INGRESSOS " numFmtId="43">
      <sharedItems containsString="0" containsBlank="1" containsNumber="1" minValue="954" maxValue="1373718.07"/>
    </cacheField>
    <cacheField name="TOTAL COMPRES" numFmtId="43">
      <sharedItems containsString="0" containsBlank="1" containsNumber="1" minValue="-314862.38326080004" maxValue="-10867.987499999999"/>
    </cacheField>
    <cacheField name="TOTAL COST SALARIAL" numFmtId="43">
      <sharedItems containsString="0" containsBlank="1" containsNumber="1" minValue="-342214.36000000004" maxValue="-5216.6339999999991"/>
    </cacheField>
    <cacheField name="TOTAL DESPESES GESTIO" numFmtId="43">
      <sharedItems containsString="0" containsBlank="1" containsNumber="1" minValue="-231232.40199999997" maxValue="-10146.449200000001"/>
    </cacheField>
    <cacheField name="EBITDA" numFmtId="43">
      <sharedItems containsString="0" containsBlank="1" containsNumber="1" minValue="-167938.86129739997" maxValue="573490.19803920004"/>
    </cacheField>
    <cacheField name="Días (Data)" numFmtId="0" databaseField="0">
      <fieldGroup base="1">
        <rangePr groupBy="days" startDate="2025-01-01T00:00:00" endDate="2025-12-02T00:00:00"/>
        <groupItems count="368">
          <s v="&lt;01/01/2025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2/12/2025"/>
        </groupItems>
      </fieldGroup>
    </cacheField>
    <cacheField name="Meses (Data)" numFmtId="0" databaseField="0">
      <fieldGroup base="1">
        <rangePr groupBy="months" startDate="2025-01-01T00:00:00" endDate="2025-12-02T00:00:00"/>
        <groupItems count="14">
          <s v="&lt;01/01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2/12/2025"/>
        </groupItems>
      </fieldGroup>
    </cacheField>
    <cacheField name="Cost Salarial Positiu" numFmtId="0" formula="-'TOTAL COST SALARIAL'" databaseField="0"/>
    <cacheField name="Cost compres Positiu" numFmtId="0" formula=" -'TOTAL COMPRES'" databaseField="0"/>
  </cacheFields>
  <extLst>
    <ext xmlns:x14="http://schemas.microsoft.com/office/spreadsheetml/2009/9/main" uri="{725AE2AE-9491-48be-B2B4-4EB974FC3084}">
      <x14:pivotCacheDefinition pivotCacheId="68941174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x v="0"/>
    <x v="0"/>
    <n v="391662.49"/>
    <n v="-120748.20551299999"/>
    <n v="-330298.94"/>
    <n v="-80092.549999999988"/>
    <n v="-139477.20551300002"/>
  </r>
  <r>
    <x v="1"/>
    <x v="0"/>
    <n v="289300.57"/>
    <n v="-117198.31451520001"/>
    <n v="-257884.99169999998"/>
    <n v="-66031.821199999991"/>
    <n v="-151814.55741519999"/>
  </r>
  <r>
    <x v="2"/>
    <x v="0"/>
    <n v="19110.490000000002"/>
    <n v="-42165.9033414"/>
    <n v="-95345.0239"/>
    <n v="-39894.717199999999"/>
    <n v="-158295.15444140002"/>
  </r>
  <r>
    <x v="3"/>
    <x v="0"/>
    <n v="542068.8308"/>
    <n v="-216827.53232"/>
    <n v="-218967.76806000003"/>
    <n v="-35673.464000000007"/>
    <n v="70600.06641999993"/>
  </r>
  <r>
    <x v="4"/>
    <x v="0"/>
    <n v="954"/>
    <n v="-32447.052323399999"/>
    <n v="-54665.142339999999"/>
    <n v="-18610.988400000002"/>
    <n v="-104769.18306340001"/>
  </r>
  <r>
    <x v="5"/>
    <x v="0"/>
    <n v="43471.95"/>
    <n v="-10867.987499999999"/>
    <n v="-5216.6339999999991"/>
    <n v="-10146.449200000001"/>
    <n v="17240.879300000001"/>
  </r>
  <r>
    <x v="0"/>
    <x v="1"/>
    <n v="455968.83"/>
    <n v="-145209.87277099999"/>
    <n v="-336169.62000000005"/>
    <n v="-84351.679999999993"/>
    <n v="-109762.34277100005"/>
  </r>
  <r>
    <x v="1"/>
    <x v="1"/>
    <n v="522944.53"/>
    <n v="-184843.44576319997"/>
    <n v="-251854.15575999999"/>
    <n v="-95753.586400000015"/>
    <n v="-9506.6579231999349"/>
  </r>
  <r>
    <x v="2"/>
    <x v="1"/>
    <n v="33824.11"/>
    <n v="-66210.235977399992"/>
    <n v="-95338.331919999982"/>
    <n v="-40214.403400000003"/>
    <n v="-167938.86129739997"/>
  </r>
  <r>
    <x v="3"/>
    <x v="1"/>
    <n v="494245.22279999999"/>
    <n v="-197698.08912000002"/>
    <n v="-222120.71196800002"/>
    <n v="-33344.762999999999"/>
    <n v="41081.658711999946"/>
  </r>
  <r>
    <x v="4"/>
    <x v="1"/>
    <n v="41743.47"/>
    <n v="-43889.411639399994"/>
    <n v="-56926.123152"/>
    <n v="-21551.344799999999"/>
    <n v="-80623.409591399977"/>
  </r>
  <r>
    <x v="5"/>
    <x v="1"/>
    <n v="99398.31"/>
    <n v="-24849.577499999999"/>
    <n v="-11927.797199999999"/>
    <n v="-24001.292400000002"/>
    <n v="38619.642899999992"/>
  </r>
  <r>
    <x v="0"/>
    <x v="2"/>
    <n v="585819"/>
    <n v="-182349.72"/>
    <n v="-328499.09999999998"/>
    <n v="-101281.02999999998"/>
    <n v="-26310.849999999977"/>
  </r>
  <r>
    <x v="1"/>
    <x v="2"/>
    <n v="693442.52"/>
    <n v="-244031.04952320002"/>
    <n v="-276572.96924000001"/>
    <n v="-145195.96919999999"/>
    <n v="27642.532036799937"/>
  </r>
  <r>
    <x v="2"/>
    <x v="2"/>
    <n v="85941.41"/>
    <n v="-88198.410297400012"/>
    <n v="-102878.15307999999"/>
    <n v="-48865.855200000005"/>
    <n v="-154001.00857739997"/>
  </r>
  <r>
    <x v="3"/>
    <x v="2"/>
    <n v="535792.81279999996"/>
    <n v="-214317.12511999998"/>
    <n v="-272769.35703199997"/>
    <n v="-41166.504000000001"/>
    <n v="7539.8266480000457"/>
  </r>
  <r>
    <x v="4"/>
    <x v="2"/>
    <n v="60009.55"/>
    <n v="-51948.887559400006"/>
    <n v="-61874.627847999989"/>
    <n v="-25053.514399999996"/>
    <n v="-78867.479807399985"/>
  </r>
  <r>
    <x v="5"/>
    <x v="2"/>
    <n v="111070.19"/>
    <n v="-27767.547500000001"/>
    <n v="-13328.4228"/>
    <n v="-21560.707200000001"/>
    <n v="48413.512499999997"/>
  </r>
  <r>
    <x v="0"/>
    <x v="3"/>
    <n v="575602.5199999999"/>
    <n v="-199531.52999999997"/>
    <n v="-342214.36000000004"/>
    <n v="-109397.73999999999"/>
    <n v="-75541.110000000102"/>
  </r>
  <r>
    <x v="1"/>
    <x v="3"/>
    <n v="532165.29"/>
    <n v="-189805.56220160003"/>
    <n v="-292045.78003999998"/>
    <n v="-157750.76120000001"/>
    <n v="-107436.81344159995"/>
  </r>
  <r>
    <x v="2"/>
    <x v="3"/>
    <n v="198620.54"/>
    <n v="-68452.174541200002"/>
    <n v="-109333.28668"/>
    <n v="-61316.992200000008"/>
    <n v="-40481.913421200006"/>
  </r>
  <r>
    <x v="3"/>
    <x v="3"/>
    <n v="564028.64140000008"/>
    <n v="-225611.45656000005"/>
    <n v="-255237.31047199998"/>
    <n v="-50269.589"/>
    <n v="32910.285368000041"/>
  </r>
  <r>
    <x v="4"/>
    <x v="3"/>
    <n v="123646.15"/>
    <n v="-54128.731697200004"/>
    <n v="-68427.614008000004"/>
    <n v="-56358.948400000001"/>
    <n v="-55269.144105200015"/>
  </r>
  <r>
    <x v="5"/>
    <x v="3"/>
    <n v="71050.740000000005"/>
    <n v="-20086.635000000002"/>
    <n v="-8526.0887999999995"/>
    <n v="-13635.659200000002"/>
    <n v="28802.357000000004"/>
  </r>
  <r>
    <x v="0"/>
    <x v="4"/>
    <n v="644712.49"/>
    <n v="-211945.31000000003"/>
    <n v="-329435.84999999998"/>
    <n v="-102299.90999999999"/>
    <n v="1031.4199999999255"/>
  </r>
  <r>
    <x v="1"/>
    <x v="4"/>
    <n v="1373718.07"/>
    <n v="-314862.38326080004"/>
    <n v="-254133.08669999999"/>
    <n v="-231232.40199999997"/>
    <n v="573490.19803920004"/>
  </r>
  <r>
    <x v="2"/>
    <x v="4"/>
    <n v="631938.27"/>
    <n v="-114628.35976560002"/>
    <n v="-98180.598899999997"/>
    <n v="-79233.247000000003"/>
    <n v="339896.0643344"/>
  </r>
  <r>
    <x v="3"/>
    <x v="4"/>
    <n v="538287.87319999991"/>
    <n v="-215315.14927999998"/>
    <n v="-220142.76505999998"/>
    <n v="-51160.014999999999"/>
    <n v="51669.943859999941"/>
  </r>
  <r>
    <x v="4"/>
    <x v="4"/>
    <n v="170315.51999999999"/>
    <n v="-64290.937693600004"/>
    <n v="-58432.195339999991"/>
    <n v="-30708.153999999999"/>
    <n v="16884.232966399984"/>
  </r>
  <r>
    <x v="5"/>
    <x v="4"/>
    <n v="88333.2"/>
    <n v="-24308.35"/>
    <n v="-22706.833999999999"/>
    <n v="-27216.882000000001"/>
    <n v="14101.134000000005"/>
  </r>
  <r>
    <x v="0"/>
    <x v="5"/>
    <m/>
    <m/>
    <m/>
    <m/>
    <m/>
  </r>
  <r>
    <x v="1"/>
    <x v="5"/>
    <m/>
    <m/>
    <m/>
    <m/>
    <m/>
  </r>
  <r>
    <x v="2"/>
    <x v="5"/>
    <m/>
    <m/>
    <m/>
    <m/>
    <m/>
  </r>
  <r>
    <x v="3"/>
    <x v="5"/>
    <m/>
    <m/>
    <m/>
    <m/>
    <m/>
  </r>
  <r>
    <x v="4"/>
    <x v="5"/>
    <m/>
    <m/>
    <m/>
    <m/>
    <m/>
  </r>
  <r>
    <x v="5"/>
    <x v="5"/>
    <m/>
    <m/>
    <m/>
    <m/>
    <m/>
  </r>
  <r>
    <x v="0"/>
    <x v="6"/>
    <m/>
    <m/>
    <m/>
    <m/>
    <m/>
  </r>
  <r>
    <x v="1"/>
    <x v="6"/>
    <m/>
    <m/>
    <m/>
    <m/>
    <m/>
  </r>
  <r>
    <x v="2"/>
    <x v="6"/>
    <m/>
    <m/>
    <m/>
    <m/>
    <m/>
  </r>
  <r>
    <x v="3"/>
    <x v="6"/>
    <m/>
    <m/>
    <m/>
    <m/>
    <m/>
  </r>
  <r>
    <x v="4"/>
    <x v="6"/>
    <m/>
    <m/>
    <m/>
    <m/>
    <m/>
  </r>
  <r>
    <x v="5"/>
    <x v="6"/>
    <m/>
    <m/>
    <m/>
    <m/>
    <m/>
  </r>
  <r>
    <x v="0"/>
    <x v="7"/>
    <m/>
    <m/>
    <m/>
    <m/>
    <m/>
  </r>
  <r>
    <x v="1"/>
    <x v="7"/>
    <m/>
    <m/>
    <m/>
    <m/>
    <m/>
  </r>
  <r>
    <x v="2"/>
    <x v="7"/>
    <m/>
    <m/>
    <m/>
    <m/>
    <m/>
  </r>
  <r>
    <x v="3"/>
    <x v="7"/>
    <m/>
    <m/>
    <m/>
    <m/>
    <m/>
  </r>
  <r>
    <x v="4"/>
    <x v="7"/>
    <m/>
    <m/>
    <m/>
    <m/>
    <m/>
  </r>
  <r>
    <x v="5"/>
    <x v="7"/>
    <m/>
    <m/>
    <m/>
    <m/>
    <m/>
  </r>
  <r>
    <x v="0"/>
    <x v="8"/>
    <m/>
    <m/>
    <m/>
    <m/>
    <m/>
  </r>
  <r>
    <x v="1"/>
    <x v="8"/>
    <m/>
    <m/>
    <m/>
    <m/>
    <m/>
  </r>
  <r>
    <x v="2"/>
    <x v="8"/>
    <m/>
    <m/>
    <m/>
    <m/>
    <m/>
  </r>
  <r>
    <x v="3"/>
    <x v="8"/>
    <m/>
    <m/>
    <m/>
    <m/>
    <m/>
  </r>
  <r>
    <x v="4"/>
    <x v="8"/>
    <m/>
    <m/>
    <m/>
    <m/>
    <m/>
  </r>
  <r>
    <x v="5"/>
    <x v="8"/>
    <m/>
    <m/>
    <m/>
    <m/>
    <m/>
  </r>
  <r>
    <x v="0"/>
    <x v="9"/>
    <m/>
    <m/>
    <m/>
    <m/>
    <m/>
  </r>
  <r>
    <x v="1"/>
    <x v="9"/>
    <m/>
    <m/>
    <m/>
    <m/>
    <m/>
  </r>
  <r>
    <x v="2"/>
    <x v="9"/>
    <m/>
    <m/>
    <m/>
    <m/>
    <m/>
  </r>
  <r>
    <x v="3"/>
    <x v="9"/>
    <m/>
    <m/>
    <m/>
    <m/>
    <m/>
  </r>
  <r>
    <x v="4"/>
    <x v="9"/>
    <m/>
    <m/>
    <m/>
    <m/>
    <m/>
  </r>
  <r>
    <x v="5"/>
    <x v="9"/>
    <m/>
    <m/>
    <m/>
    <m/>
    <m/>
  </r>
  <r>
    <x v="0"/>
    <x v="10"/>
    <m/>
    <m/>
    <m/>
    <m/>
    <m/>
  </r>
  <r>
    <x v="1"/>
    <x v="10"/>
    <m/>
    <m/>
    <m/>
    <m/>
    <m/>
  </r>
  <r>
    <x v="2"/>
    <x v="10"/>
    <m/>
    <m/>
    <m/>
    <m/>
    <m/>
  </r>
  <r>
    <x v="3"/>
    <x v="10"/>
    <m/>
    <m/>
    <m/>
    <m/>
    <m/>
  </r>
  <r>
    <x v="4"/>
    <x v="10"/>
    <m/>
    <m/>
    <m/>
    <m/>
    <m/>
  </r>
  <r>
    <x v="5"/>
    <x v="10"/>
    <m/>
    <m/>
    <m/>
    <m/>
    <m/>
  </r>
  <r>
    <x v="0"/>
    <x v="11"/>
    <m/>
    <m/>
    <m/>
    <m/>
    <m/>
  </r>
  <r>
    <x v="1"/>
    <x v="11"/>
    <m/>
    <m/>
    <m/>
    <m/>
    <m/>
  </r>
  <r>
    <x v="2"/>
    <x v="11"/>
    <m/>
    <m/>
    <m/>
    <m/>
    <m/>
  </r>
  <r>
    <x v="3"/>
    <x v="11"/>
    <m/>
    <m/>
    <m/>
    <m/>
    <m/>
  </r>
  <r>
    <x v="4"/>
    <x v="11"/>
    <m/>
    <m/>
    <m/>
    <m/>
    <m/>
  </r>
  <r>
    <x v="5"/>
    <x v="11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1387FC-3775-4761-9F2A-30D0A733EEE3}" name="TablaDinámica1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" colHeaderCaption="">
  <location ref="A3:N13" firstHeaderRow="1" firstDataRow="4" firstDataCol="1"/>
  <pivotFields count="11">
    <pivotField axis="axisRow" showAll="0">
      <items count="7">
        <item x="2"/>
        <item x="1"/>
        <item x="4"/>
        <item x="5"/>
        <item x="3"/>
        <item x="0"/>
        <item t="default"/>
      </items>
    </pivotField>
    <pivotField axis="axisCol" numFmtId="16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  <pivotField showAll="0"/>
    <pivotField showAll="0"/>
    <pivotField showAll="0"/>
    <pivotField axis="axisCol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3">
    <field x="8"/>
    <field x="7"/>
    <field x="1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 TOTAL INGRESSOS " fld="2" baseField="0" baseItem="0" numFmtId="4"/>
  </dataFields>
  <formats count="1">
    <format dxfId="23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E29462-6FB6-4004-BEE8-3200CEC29FB3}" name="TablaDinámica1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rowHeaderCaption="" colHeaderCaption="">
  <location ref="A42:N52" firstHeaderRow="1" firstDataRow="4" firstDataCol="1"/>
  <pivotFields count="11">
    <pivotField axis="axisRow" showAll="0">
      <items count="7">
        <item x="2"/>
        <item x="1"/>
        <item x="4"/>
        <item x="5"/>
        <item x="3"/>
        <item x="0"/>
        <item t="default"/>
      </items>
    </pivotField>
    <pivotField axis="axisCol" numFmtId="16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dataField="1" showAll="0"/>
    <pivotField showAll="0"/>
    <pivotField axis="axisCol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3">
    <field x="8"/>
    <field x="7"/>
    <field x="1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TOTAL DESPESES" fld="5" baseField="0" baseItem="0" numFmtId="4"/>
  </dataFields>
  <formats count="2">
    <format dxfId="25">
      <pivotArea dataOnly="0" labelOnly="1" fieldPosition="0">
        <references count="1">
          <reference field="0" count="0"/>
        </references>
      </pivotArea>
    </format>
    <format dxfId="24">
      <pivotArea outline="0" fieldPosition="0">
        <references count="1">
          <reference field="4294967294" count="1">
            <x v="0"/>
          </reference>
        </references>
      </pivotArea>
    </format>
  </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ED4837-215D-4C85-8018-9554C54A7F69}" name="TablaDinámica1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" colHeaderCaption="">
  <location ref="A29:N39" firstHeaderRow="1" firstDataRow="4" firstDataCol="1"/>
  <pivotFields count="11">
    <pivotField axis="axisRow" showAll="0">
      <items count="7">
        <item x="2"/>
        <item x="1"/>
        <item x="4"/>
        <item x="5"/>
        <item x="3"/>
        <item x="0"/>
        <item t="default"/>
      </items>
    </pivotField>
    <pivotField axis="axisCol" numFmtId="16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  <pivotField showAll="0"/>
    <pivotField showAll="0"/>
    <pivotField showAll="0"/>
    <pivotField axis="axisCol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3">
    <field x="8"/>
    <field x="7"/>
    <field x="1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TOTAL COMPRA" fld="3" baseField="0" baseItem="0" numFmtId="4"/>
  </dataFields>
  <formats count="1">
    <format dxfId="26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64581E-45A2-404A-B616-25DB84F09BC5}" name="TablaDinámica1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" colHeaderCaption="">
  <location ref="A16:N26" firstHeaderRow="1" firstDataRow="4" firstDataCol="1"/>
  <pivotFields count="11">
    <pivotField axis="axisRow" showAll="0">
      <items count="7">
        <item x="2"/>
        <item x="1"/>
        <item x="4"/>
        <item x="5"/>
        <item x="3"/>
        <item x="0"/>
        <item t="default"/>
      </items>
    </pivotField>
    <pivotField axis="axisCol" numFmtId="16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/>
    <pivotField showAll="0"/>
    <pivotField showAll="0"/>
    <pivotField axis="axisCol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3">
    <field x="8"/>
    <field x="7"/>
    <field x="1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 TOTAL COST SALARIAL" fld="4" baseField="0" baseItem="0" numFmtId="4"/>
  </dataFields>
  <formats count="1">
    <format dxfId="27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3824B1-60BD-4BA7-8546-0D35444798C9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26:B33" firstHeaderRow="1" firstDataRow="1" firstDataCol="1"/>
  <pivotFields count="11">
    <pivotField axis="axisRow" showAll="0">
      <items count="7">
        <item h="1" x="2"/>
        <item x="1"/>
        <item h="1" x="4"/>
        <item h="1" x="5"/>
        <item h="1" x="3"/>
        <item h="1" x="0"/>
        <item t="default"/>
      </items>
    </pivotField>
    <pivotField axis="axisRow" numFmtId="16" showAll="0">
      <items count="13">
        <item x="0"/>
        <item x="1"/>
        <item x="2"/>
        <item x="3"/>
        <item x="4"/>
        <item x="5"/>
        <item h="1" x="6"/>
        <item h="1" x="7"/>
        <item h="1" x="8"/>
        <item h="1" x="9"/>
        <item h="1" x="10"/>
        <item h="1" x="11"/>
        <item t="default"/>
      </items>
    </pivotField>
    <pivotField numFmtId="43" showAll="0"/>
    <pivotField numFmtId="43" showAll="0"/>
    <pivotField numFmtId="43" showAll="0"/>
    <pivotField numFmtId="43" showAll="0"/>
    <pivotField numFmtId="43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ataField="1" dragToRow="0" dragToCol="0" dragToPage="0" showAll="0" defaultSubtotal="0"/>
    <pivotField dragToRow="0" dragToCol="0" dragToPage="0" showAll="0" defaultSubtotal="0"/>
  </pivotFields>
  <rowFields count="4">
    <field x="8"/>
    <field x="7"/>
    <field x="0"/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de Cost Salarial Positiu" fld="9" baseField="0" baseItem="0" numFmtId="43"/>
  </dataFields>
  <chartFormats count="1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E6C21A-A052-4F50-8609-393DDB022EE0}" name="TablaDinámica5" cacheId="0" applyNumberFormats="0" applyBorderFormats="0" applyFontFormats="0" applyPatternFormats="0" applyAlignmentFormats="0" applyWidthHeightFormats="1" dataCaption="Valores" updatedVersion="8" minRefreshableVersion="3" showDrill="0" showDataTips="0" itemPrintTitles="1" createdVersion="8" indent="0" showHeaders="0" outline="1" outlineData="1" multipleFieldFilters="0" chartFormat="9">
  <location ref="A16:B24" firstHeaderRow="1" firstDataRow="1" firstDataCol="1"/>
  <pivotFields count="11">
    <pivotField axis="axisRow" showAll="0">
      <items count="7">
        <item h="1" x="2"/>
        <item x="1"/>
        <item h="1" x="4"/>
        <item h="1" x="5"/>
        <item h="1" x="3"/>
        <item h="1" x="0"/>
        <item t="default"/>
      </items>
    </pivotField>
    <pivotField axis="axisRow" numFmtId="16" showAll="0">
      <items count="13">
        <item x="0"/>
        <item x="1"/>
        <item x="2"/>
        <item x="3"/>
        <item x="4"/>
        <item x="5"/>
        <item h="1" x="6"/>
        <item h="1" x="7"/>
        <item h="1" x="8"/>
        <item h="1" x="9"/>
        <item h="1" x="10"/>
        <item h="1" x="11"/>
        <item t="default"/>
      </items>
    </pivotField>
    <pivotField numFmtId="43" showAll="0"/>
    <pivotField numFmtId="43" showAll="0"/>
    <pivotField numFmtId="43" showAll="0"/>
    <pivotField numFmtId="43" showAll="0"/>
    <pivotField dataField="1" numFmtId="43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dragToRow="0" dragToCol="0" dragToPage="0" showAll="0" defaultSubtotal="0"/>
    <pivotField dragToRow="0" dragToCol="0" dragToPage="0" showAll="0" defaultSubtotal="0"/>
  </pivotFields>
  <rowFields count="4">
    <field x="0"/>
    <field x="8"/>
    <field x="7"/>
    <field x="1"/>
  </rowFields>
  <rowItems count="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a de EBITDA" fld="6" baseField="0" baseItem="0" numFmtId="43"/>
  </dataFields>
  <chartFormats count="1"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F20F43-9226-4D6E-8A60-C1CC08F6C377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A3:B10" firstHeaderRow="1" firstDataRow="1" firstDataCol="1"/>
  <pivotFields count="11">
    <pivotField axis="axisRow" showAll="0">
      <items count="7">
        <item h="1" x="2"/>
        <item x="1"/>
        <item h="1" x="4"/>
        <item h="1" x="5"/>
        <item h="1" x="3"/>
        <item h="1" x="0"/>
        <item t="default"/>
      </items>
    </pivotField>
    <pivotField axis="axisRow" numFmtId="16" multipleItemSelectionAllowed="1" showAll="0">
      <items count="13">
        <item x="0"/>
        <item x="1"/>
        <item x="2"/>
        <item x="3"/>
        <item x="4"/>
        <item x="5"/>
        <item h="1" x="6"/>
        <item h="1" x="7"/>
        <item h="1" x="8"/>
        <item h="1" x="9"/>
        <item h="1" x="10"/>
        <item h="1" x="11"/>
        <item t="default"/>
      </items>
    </pivotField>
    <pivotField dataField="1" numFmtId="43" showAll="0"/>
    <pivotField numFmtId="43" showAll="0"/>
    <pivotField numFmtId="43" showAll="0"/>
    <pivotField numFmtId="43" showAll="0"/>
    <pivotField numFmtId="43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4">
    <field x="8"/>
    <field x="7"/>
    <field x="0"/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de TOTAL INGRESSOS " fld="2" baseField="0" baseItem="0" numFmtId="43"/>
  </dataFields>
  <chartFormats count="13"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9" format="18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9" format="19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9" format="20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66AF52-42C3-413B-8633-3DAA01813511}" name="TablaDiná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D25:K30" firstHeaderRow="1" firstDataRow="4" firstDataCol="1"/>
  <pivotFields count="11">
    <pivotField axis="axisRow" showAll="0">
      <items count="7">
        <item h="1" x="2"/>
        <item x="1"/>
        <item h="1" x="4"/>
        <item h="1" x="5"/>
        <item h="1" x="3"/>
        <item h="1" x="0"/>
        <item t="default"/>
      </items>
    </pivotField>
    <pivotField axis="axisCol" numFmtId="16" multipleItemSelectionAllowed="1" showAll="0">
      <items count="13">
        <item x="0"/>
        <item x="1"/>
        <item x="2"/>
        <item x="3"/>
        <item x="4"/>
        <item x="5"/>
        <item h="1" x="6"/>
        <item h="1" x="7"/>
        <item h="1" x="8"/>
        <item h="1" x="9"/>
        <item h="1" x="10"/>
        <item h="1" x="11"/>
        <item t="default"/>
      </items>
    </pivotField>
    <pivotField dataField="1" numFmtId="43" showAll="0"/>
    <pivotField numFmtId="43" showAll="0"/>
    <pivotField numFmtId="43" showAll="0"/>
    <pivotField numFmtId="43" showAll="0"/>
    <pivotField numFmtId="43"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2">
    <i>
      <x v="1"/>
    </i>
    <i t="grand">
      <x/>
    </i>
  </rowItems>
  <colFields count="3">
    <field x="8"/>
    <field x="7"/>
    <field x="1"/>
  </colFields>
  <colItems count="7"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a de TOTAL INGRESSOS " fld="2" baseField="0" baseItem="0" numFmtId="43"/>
  </dataFields>
  <chartFormats count="7"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70C68-6201-414A-8B10-1E0DB53D635B}" name="TablaDiná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6:E23" firstHeaderRow="1" firstDataRow="1" firstDataCol="1"/>
  <pivotFields count="11">
    <pivotField axis="axisRow" showAll="0">
      <items count="7">
        <item h="1" x="2"/>
        <item x="1"/>
        <item h="1" x="4"/>
        <item h="1" x="5"/>
        <item h="1" x="3"/>
        <item h="1" x="0"/>
        <item t="default"/>
      </items>
    </pivotField>
    <pivotField axis="axisRow" numFmtId="16" showAll="0">
      <items count="13">
        <item x="0"/>
        <item x="1"/>
        <item x="2"/>
        <item x="3"/>
        <item x="4"/>
        <item x="5"/>
        <item h="1" x="6"/>
        <item h="1" x="7"/>
        <item h="1" x="8"/>
        <item h="1" x="9"/>
        <item h="1" x="10"/>
        <item h="1" x="11"/>
        <item t="default"/>
      </items>
    </pivotField>
    <pivotField numFmtId="43" showAll="0"/>
    <pivotField numFmtId="43" showAll="0"/>
    <pivotField numFmtId="43" showAll="0"/>
    <pivotField dataField="1" numFmtId="43" showAll="0"/>
    <pivotField numFmtId="43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4">
    <field x="8"/>
    <field x="7"/>
    <field x="0"/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de TOTAL DESPESES GESTIO" fld="5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A68680-5179-455D-A8CC-DB327BA0B3D9}" name="TablaDinámica7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5">
  <location ref="D3:E11" firstHeaderRow="1" firstDataRow="1" firstDataCol="1"/>
  <pivotFields count="11">
    <pivotField axis="axisRow" showAll="0">
      <items count="7">
        <item h="1" x="2"/>
        <item x="1"/>
        <item h="1" x="4"/>
        <item h="1" x="5"/>
        <item h="1" x="3"/>
        <item h="1" x="0"/>
        <item t="default"/>
      </items>
    </pivotField>
    <pivotField axis="axisRow" numFmtId="16" showAll="0">
      <items count="13">
        <item x="0"/>
        <item x="1"/>
        <item x="2"/>
        <item x="3"/>
        <item x="4"/>
        <item x="5"/>
        <item h="1" x="6"/>
        <item h="1" x="7"/>
        <item h="1" x="8"/>
        <item h="1" x="9"/>
        <item h="1" x="10"/>
        <item h="1" x="11"/>
        <item t="default"/>
      </items>
    </pivotField>
    <pivotField numFmtId="43" showAll="0"/>
    <pivotField numFmtId="43" showAll="0"/>
    <pivotField numFmtId="43" showAll="0"/>
    <pivotField numFmtId="43" showAll="0"/>
    <pivotField numFmtId="43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  <pivotField dataField="1" dragToRow="0" dragToCol="0" dragToPage="0" showAll="0" defaultSubtotal="0"/>
  </pivotFields>
  <rowFields count="2">
    <field x="0"/>
    <field x="1"/>
  </rowFields>
  <rowItems count="8">
    <i>
      <x v="1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a de Cost compres Positiu" fld="10" baseField="0" baseItem="0"/>
  </dataFields>
  <chartFormats count="1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ata" xr10:uid="{870273C7-5D1C-4DBD-AEC3-28095038BF88}" sourceName="Data">
  <pivotTables>
    <pivotTable tabId="21" name="TablaDinámica4"/>
    <pivotTable tabId="21" name="TablaDinámica5"/>
    <pivotTable tabId="21" name="TablaDinámica6"/>
    <pivotTable tabId="21" name="TablaDinámica7"/>
    <pivotTable tabId="21" name="TablaDinámica8"/>
    <pivotTable tabId="21" name="TablaDinámica9"/>
  </pivotTables>
  <data>
    <tabular pivotCacheId="689411747" customListSort="0" showMissing="0">
      <items count="12">
        <i x="0" s="1"/>
        <i x="1" s="1"/>
        <i x="2" s="1"/>
        <i x="3" s="1"/>
        <i x="4" s="1"/>
        <i x="5" s="1"/>
        <i x="6"/>
        <i x="7"/>
        <i x="8"/>
        <i x="9"/>
        <i x="10"/>
        <i x="1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Linia_Negoci" xr10:uid="{9AFEADE9-656E-46F0-97E2-393A66D1AC67}" sourceName="Linia Negoci">
  <pivotTables>
    <pivotTable tabId="21" name="TablaDinámica5"/>
    <pivotTable tabId="21" name="TablaDinámica4"/>
    <pivotTable tabId="21" name="TablaDinámica6"/>
    <pivotTable tabId="21" name="TablaDinámica7"/>
    <pivotTable tabId="21" name="TablaDinámica8"/>
    <pivotTable tabId="21" name="TablaDinámica9"/>
  </pivotTables>
  <data>
    <tabular pivotCacheId="689411747">
      <items count="6">
        <i x="2"/>
        <i x="1" s="1"/>
        <i x="4"/>
        <i x="5"/>
        <i x="3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a" xr10:uid="{1BFD374A-7661-4034-8CAD-78BD1C3DE75C}" cache="SegmentaciónDeDatos_Data" caption="Data" rowHeight="257175"/>
  <slicer name="Linia Negoci" xr10:uid="{50B6F72D-1A91-4C12-9905-1F2F9D74360B}" cache="SegmentaciónDeDatos_Linia_Negoci" caption="Linia Negoci" startItem="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9A267B-B1F0-4D1F-9273-D8BACBD99EAB}" name="Tabla2" displayName="Tabla2" ref="B2:H74" totalsRowShown="0" headerRowDxfId="22">
  <autoFilter ref="B2:H74" xr:uid="{CD9A267B-B1F0-4D1F-9273-D8BACBD99EAB}"/>
  <tableColumns count="7">
    <tableColumn id="1" xr3:uid="{DEABA7B3-D1DC-46F9-A665-86621A11F8AB}" name="Linia Negoci"/>
    <tableColumn id="2" xr3:uid="{9BC1CC8E-2EFE-483C-838B-E1479D1BC6D4}" name="Data" dataDxfId="21">
      <calculatedColumnFormula>DATE(2025,1+INT((ROW(A1)-1)/6),1)</calculatedColumnFormula>
    </tableColumn>
    <tableColumn id="3" xr3:uid="{07BA5A20-F319-4FDF-B915-BA7E32AA692C}" name="TOTAL INGRESSOS " dataDxfId="20">
      <calculatedColumnFormula array="1">INDEX(INDIRECT("'"&amp;$B3&amp;"_05'!$B$6:$M$6"),1,MONTH($C3))</calculatedColumnFormula>
    </tableColumn>
    <tableColumn id="4" xr3:uid="{52215C23-A17C-4C76-A153-F4C5D5975B16}" name="TOTAL COMPRES" dataDxfId="19"/>
    <tableColumn id="5" xr3:uid="{1ADA1A2D-B5A0-4BDD-ACC6-6EA7632BAA63}" name="TOTAL COST SALARIAL" dataDxfId="18"/>
    <tableColumn id="6" xr3:uid="{87180041-371A-4148-B30B-551B3EE79F8C}" name="TOTAL DESPESES GESTIO" dataDxfId="17"/>
    <tableColumn id="7" xr3:uid="{F7BDB279-14E0-49E2-A498-0EF06EACAEE6}" name="EBITDA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C0646-66C6-4FF8-AA6C-45B0AFE03A29}">
  <dimension ref="A1:O23"/>
  <sheetViews>
    <sheetView workbookViewId="0">
      <selection activeCell="I15" sqref="I15"/>
    </sheetView>
  </sheetViews>
  <sheetFormatPr baseColWidth="10" defaultRowHeight="15" x14ac:dyDescent="0.25"/>
  <cols>
    <col min="1" max="1" width="45.140625" customWidth="1"/>
    <col min="2" max="14" width="15.7109375" customWidth="1"/>
  </cols>
  <sheetData>
    <row r="1" spans="1:15" x14ac:dyDescent="0.25">
      <c r="A1" s="5" t="s">
        <v>80</v>
      </c>
      <c r="B1" s="6" t="s">
        <v>66</v>
      </c>
      <c r="C1" s="6" t="s">
        <v>67</v>
      </c>
      <c r="D1" s="6" t="s">
        <v>68</v>
      </c>
      <c r="E1" s="6" t="s">
        <v>69</v>
      </c>
      <c r="F1" s="6" t="s">
        <v>70</v>
      </c>
      <c r="G1" s="6" t="s">
        <v>71</v>
      </c>
      <c r="H1" s="6" t="s">
        <v>72</v>
      </c>
      <c r="I1" s="6" t="s">
        <v>73</v>
      </c>
      <c r="J1" s="6" t="s">
        <v>74</v>
      </c>
      <c r="K1" s="6" t="s">
        <v>75</v>
      </c>
      <c r="L1" s="6" t="s">
        <v>76</v>
      </c>
      <c r="M1" s="6" t="s">
        <v>77</v>
      </c>
      <c r="N1" s="6" t="s">
        <v>3</v>
      </c>
    </row>
    <row r="2" spans="1:15" x14ac:dyDescent="0.25">
      <c r="A2" s="7" t="s">
        <v>12</v>
      </c>
      <c r="B2" s="1">
        <v>11598.18</v>
      </c>
      <c r="C2" s="1">
        <v>13093.09</v>
      </c>
      <c r="D2" s="1">
        <v>22719.31</v>
      </c>
      <c r="E2" s="1">
        <v>19204.84</v>
      </c>
      <c r="F2" s="1">
        <v>34909.120000000003</v>
      </c>
      <c r="N2" s="1">
        <f>SUM(B2:M2)</f>
        <v>101524.54000000001</v>
      </c>
    </row>
    <row r="3" spans="1:15" x14ac:dyDescent="0.25">
      <c r="A3" s="7" t="s">
        <v>13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N3" s="1">
        <f t="shared" ref="N3:N20" si="0">SUM(B3:M3)</f>
        <v>0</v>
      </c>
    </row>
    <row r="4" spans="1:15" x14ac:dyDescent="0.25">
      <c r="A4" s="7" t="s">
        <v>14</v>
      </c>
      <c r="B4" s="1">
        <v>3004.21</v>
      </c>
      <c r="C4" s="1">
        <v>3004.21</v>
      </c>
      <c r="D4" s="1">
        <v>3004.21</v>
      </c>
      <c r="E4" s="1">
        <v>3004.21</v>
      </c>
      <c r="F4" s="1">
        <v>3004.21</v>
      </c>
      <c r="N4" s="1">
        <f t="shared" si="0"/>
        <v>15021.05</v>
      </c>
    </row>
    <row r="5" spans="1:15" x14ac:dyDescent="0.25">
      <c r="A5" s="7" t="s">
        <v>15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N5" s="1">
        <f t="shared" si="0"/>
        <v>0</v>
      </c>
    </row>
    <row r="6" spans="1:15" s="25" customFormat="1" x14ac:dyDescent="0.25">
      <c r="A6" s="8" t="s">
        <v>16</v>
      </c>
      <c r="B6" s="9">
        <f>SUM(B2:B5)</f>
        <v>14602.39</v>
      </c>
      <c r="C6" s="9">
        <f t="shared" ref="C6:M6" si="1">SUM(C2:C5)</f>
        <v>16097.3</v>
      </c>
      <c r="D6" s="9">
        <f t="shared" si="1"/>
        <v>25723.52</v>
      </c>
      <c r="E6" s="9">
        <f t="shared" si="1"/>
        <v>22209.05</v>
      </c>
      <c r="F6" s="9">
        <f t="shared" si="1"/>
        <v>37913.33</v>
      </c>
      <c r="G6" s="9">
        <f t="shared" si="1"/>
        <v>0</v>
      </c>
      <c r="H6" s="9">
        <f t="shared" si="1"/>
        <v>0</v>
      </c>
      <c r="I6" s="9">
        <f t="shared" si="1"/>
        <v>0</v>
      </c>
      <c r="J6" s="9">
        <f t="shared" si="1"/>
        <v>0</v>
      </c>
      <c r="K6" s="9">
        <f t="shared" si="1"/>
        <v>0</v>
      </c>
      <c r="L6" s="9">
        <f t="shared" si="1"/>
        <v>0</v>
      </c>
      <c r="M6" s="9">
        <f t="shared" si="1"/>
        <v>0</v>
      </c>
      <c r="N6" s="9">
        <f t="shared" si="0"/>
        <v>116545.59</v>
      </c>
    </row>
    <row r="7" spans="1:15" x14ac:dyDescent="0.25">
      <c r="A7" s="50">
        <v>0.25</v>
      </c>
      <c r="B7" s="11">
        <f>-$A$7*B6</f>
        <v>-3650.5974999999999</v>
      </c>
      <c r="C7" s="11">
        <f>-$A$7*C6</f>
        <v>-4024.3249999999998</v>
      </c>
      <c r="D7" s="11">
        <f>-$A$7*D6</f>
        <v>-6430.88</v>
      </c>
      <c r="E7" s="11">
        <f>-$A$7*E6</f>
        <v>-5552.2624999999998</v>
      </c>
      <c r="F7" s="11">
        <f>-$A$7*F6</f>
        <v>-9478.3325000000004</v>
      </c>
      <c r="N7" s="1"/>
    </row>
    <row r="8" spans="1:15" x14ac:dyDescent="0.25">
      <c r="A8" s="7" t="s">
        <v>18</v>
      </c>
      <c r="B8" s="11">
        <v>84</v>
      </c>
      <c r="C8" s="11">
        <v>0</v>
      </c>
      <c r="D8" s="11">
        <v>0</v>
      </c>
      <c r="E8" s="11">
        <v>0</v>
      </c>
      <c r="F8" s="11">
        <v>0</v>
      </c>
      <c r="N8" s="1">
        <f t="shared" si="0"/>
        <v>84</v>
      </c>
    </row>
    <row r="9" spans="1:15" x14ac:dyDescent="0.25">
      <c r="A9" s="7" t="s">
        <v>20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N9" s="1">
        <f t="shared" si="0"/>
        <v>0</v>
      </c>
    </row>
    <row r="10" spans="1:15" s="25" customFormat="1" x14ac:dyDescent="0.25">
      <c r="A10" s="8" t="s">
        <v>21</v>
      </c>
      <c r="B10" s="9">
        <f>B7+B8</f>
        <v>-3566.5974999999999</v>
      </c>
      <c r="C10" s="9">
        <f t="shared" ref="C10:M10" si="2">C7+C8</f>
        <v>-4024.3249999999998</v>
      </c>
      <c r="D10" s="9">
        <f t="shared" si="2"/>
        <v>-6430.88</v>
      </c>
      <c r="E10" s="9">
        <f t="shared" si="2"/>
        <v>-5552.2624999999998</v>
      </c>
      <c r="F10" s="9">
        <f t="shared" si="2"/>
        <v>-9478.3325000000004</v>
      </c>
      <c r="G10" s="9">
        <f t="shared" si="2"/>
        <v>0</v>
      </c>
      <c r="H10" s="9">
        <f t="shared" si="2"/>
        <v>0</v>
      </c>
      <c r="I10" s="9">
        <f t="shared" si="2"/>
        <v>0</v>
      </c>
      <c r="J10" s="9">
        <f t="shared" si="2"/>
        <v>0</v>
      </c>
      <c r="K10" s="9">
        <f t="shared" si="2"/>
        <v>0</v>
      </c>
      <c r="L10" s="9">
        <f t="shared" si="2"/>
        <v>0</v>
      </c>
      <c r="M10" s="9">
        <f t="shared" si="2"/>
        <v>0</v>
      </c>
      <c r="N10" s="9">
        <f t="shared" si="0"/>
        <v>-29052.397499999999</v>
      </c>
      <c r="O10" s="30">
        <f>N10/$N$6</f>
        <v>-0.24927925200773363</v>
      </c>
    </row>
    <row r="11" spans="1:15" x14ac:dyDescent="0.25">
      <c r="A11" s="7" t="s">
        <v>23</v>
      </c>
      <c r="B11" s="1">
        <v>-414614.43</v>
      </c>
      <c r="C11" s="1">
        <v>-414827.96</v>
      </c>
      <c r="D11" s="1">
        <v>-441884.46</v>
      </c>
      <c r="E11" s="1">
        <v>-443403.37</v>
      </c>
      <c r="F11" s="1">
        <v>-495789.03</v>
      </c>
      <c r="G11" s="1"/>
      <c r="H11" s="1"/>
      <c r="I11" s="1"/>
      <c r="J11" s="1"/>
      <c r="K11" s="1"/>
      <c r="L11" s="1"/>
      <c r="M11" s="1"/>
      <c r="N11" s="1">
        <f t="shared" si="0"/>
        <v>-2210519.25</v>
      </c>
    </row>
    <row r="12" spans="1:15" x14ac:dyDescent="0.25">
      <c r="A12" s="50">
        <v>0.15</v>
      </c>
      <c r="B12" s="1">
        <f t="shared" ref="B12:M12" si="3">B6*-$A$12</f>
        <v>-2190.3584999999998</v>
      </c>
      <c r="C12" s="1">
        <f t="shared" si="3"/>
        <v>-2414.5949999999998</v>
      </c>
      <c r="D12" s="1">
        <f t="shared" si="3"/>
        <v>-3858.5279999999998</v>
      </c>
      <c r="E12" s="1">
        <f t="shared" si="3"/>
        <v>-3331.3574999999996</v>
      </c>
      <c r="F12" s="1">
        <f t="shared" si="3"/>
        <v>-5686.9994999999999</v>
      </c>
      <c r="G12" s="1">
        <f t="shared" si="3"/>
        <v>0</v>
      </c>
      <c r="H12" s="1">
        <f t="shared" si="3"/>
        <v>0</v>
      </c>
      <c r="I12" s="1">
        <f t="shared" si="3"/>
        <v>0</v>
      </c>
      <c r="J12" s="1">
        <f t="shared" si="3"/>
        <v>0</v>
      </c>
      <c r="K12" s="1">
        <f t="shared" si="3"/>
        <v>0</v>
      </c>
      <c r="L12" s="1">
        <f t="shared" si="3"/>
        <v>0</v>
      </c>
      <c r="M12" s="1">
        <f t="shared" si="3"/>
        <v>0</v>
      </c>
      <c r="N12" s="1">
        <f t="shared" si="0"/>
        <v>-17481.838499999998</v>
      </c>
    </row>
    <row r="13" spans="1:15" x14ac:dyDescent="0.25">
      <c r="A13" s="7" t="s">
        <v>78</v>
      </c>
      <c r="B13" s="1">
        <v>-5000</v>
      </c>
      <c r="C13" s="1">
        <v>-5000</v>
      </c>
      <c r="D13" s="1">
        <v>-5000</v>
      </c>
      <c r="E13" s="1">
        <v>-5000</v>
      </c>
      <c r="F13" s="1">
        <v>-5000</v>
      </c>
      <c r="N13" s="1"/>
    </row>
    <row r="14" spans="1:15" x14ac:dyDescent="0.25">
      <c r="A14" s="7" t="s">
        <v>24</v>
      </c>
      <c r="B14" s="1">
        <v>0</v>
      </c>
      <c r="C14" s="1">
        <v>0</v>
      </c>
      <c r="D14" s="1">
        <v>0</v>
      </c>
      <c r="E14" s="1"/>
      <c r="F14" s="1"/>
      <c r="N14" s="1">
        <f t="shared" si="0"/>
        <v>0</v>
      </c>
    </row>
    <row r="15" spans="1:15" x14ac:dyDescent="0.25">
      <c r="A15" s="7" t="s">
        <v>25</v>
      </c>
      <c r="B15" s="1"/>
      <c r="C15" s="1"/>
      <c r="D15" s="1"/>
      <c r="E15" s="1"/>
      <c r="F15" s="1"/>
      <c r="N15" s="1">
        <f t="shared" si="0"/>
        <v>0</v>
      </c>
    </row>
    <row r="16" spans="1:15" x14ac:dyDescent="0.25">
      <c r="A16" s="7" t="s">
        <v>26</v>
      </c>
      <c r="B16" s="1"/>
      <c r="C16" s="1"/>
      <c r="D16" s="1"/>
      <c r="E16" s="1"/>
      <c r="F16" s="1"/>
      <c r="N16" s="1">
        <f t="shared" si="0"/>
        <v>0</v>
      </c>
    </row>
    <row r="17" spans="1:15" s="25" customFormat="1" x14ac:dyDescent="0.25">
      <c r="A17" s="8" t="s">
        <v>27</v>
      </c>
      <c r="B17" s="9">
        <f>SUM(B12:B16)</f>
        <v>-7190.3585000000003</v>
      </c>
      <c r="C17" s="9">
        <f>SUM(C12:C16)</f>
        <v>-7414.5949999999993</v>
      </c>
      <c r="D17" s="9">
        <f>SUM(D12:D16)</f>
        <v>-8858.5280000000002</v>
      </c>
      <c r="E17" s="9">
        <f>SUM(E12:E16)</f>
        <v>-8331.3575000000001</v>
      </c>
      <c r="F17" s="9">
        <f>SUM(F12:F16)</f>
        <v>-10686.9995</v>
      </c>
      <c r="G17" s="9">
        <f t="shared" ref="G17:M17" si="4">SUM(G11:G16)</f>
        <v>0</v>
      </c>
      <c r="H17" s="9">
        <f t="shared" si="4"/>
        <v>0</v>
      </c>
      <c r="I17" s="9">
        <f t="shared" si="4"/>
        <v>0</v>
      </c>
      <c r="J17" s="9">
        <f t="shared" si="4"/>
        <v>0</v>
      </c>
      <c r="K17" s="9">
        <f t="shared" si="4"/>
        <v>0</v>
      </c>
      <c r="L17" s="9">
        <f t="shared" si="4"/>
        <v>0</v>
      </c>
      <c r="M17" s="9">
        <f t="shared" si="4"/>
        <v>0</v>
      </c>
      <c r="N17" s="9">
        <f t="shared" si="0"/>
        <v>-42481.838499999998</v>
      </c>
      <c r="O17" s="30">
        <f>N17/$N$6</f>
        <v>-0.36450833103165892</v>
      </c>
    </row>
    <row r="18" spans="1:15" x14ac:dyDescent="0.25">
      <c r="A18" s="7" t="s">
        <v>157</v>
      </c>
      <c r="B18" s="24">
        <v>-79477.48</v>
      </c>
      <c r="C18" s="24">
        <v>-65034.81</v>
      </c>
      <c r="D18" s="24">
        <v>-100634.18</v>
      </c>
      <c r="E18" s="24">
        <v>-133357.73000000001</v>
      </c>
      <c r="F18" s="24">
        <v>-131629.54999999999</v>
      </c>
      <c r="N18" s="1">
        <f t="shared" si="0"/>
        <v>-510133.74999999994</v>
      </c>
    </row>
    <row r="19" spans="1:15" x14ac:dyDescent="0.25">
      <c r="A19" s="50">
        <v>0.1</v>
      </c>
      <c r="B19" s="24">
        <f>$A$19*B18</f>
        <v>-7947.7479999999996</v>
      </c>
      <c r="C19" s="24">
        <f t="shared" ref="C19:M19" si="5">$A$19*C18</f>
        <v>-6503.4809999999998</v>
      </c>
      <c r="D19" s="24">
        <f t="shared" si="5"/>
        <v>-10063.418</v>
      </c>
      <c r="E19" s="24">
        <f t="shared" si="5"/>
        <v>-13335.773000000001</v>
      </c>
      <c r="F19" s="24">
        <f t="shared" si="5"/>
        <v>-13162.955</v>
      </c>
      <c r="G19" s="24">
        <f t="shared" si="5"/>
        <v>0</v>
      </c>
      <c r="H19" s="24">
        <f t="shared" si="5"/>
        <v>0</v>
      </c>
      <c r="I19" s="24">
        <f t="shared" si="5"/>
        <v>0</v>
      </c>
      <c r="J19" s="24">
        <f t="shared" si="5"/>
        <v>0</v>
      </c>
      <c r="K19" s="24">
        <f t="shared" si="5"/>
        <v>0</v>
      </c>
      <c r="L19" s="24">
        <f t="shared" si="5"/>
        <v>0</v>
      </c>
      <c r="M19" s="24">
        <f t="shared" si="5"/>
        <v>0</v>
      </c>
      <c r="N19" s="1"/>
    </row>
    <row r="20" spans="1:15" x14ac:dyDescent="0.25">
      <c r="A20" s="8" t="s">
        <v>40</v>
      </c>
      <c r="B20" s="9">
        <f>SUM(B19)</f>
        <v>-7947.7479999999996</v>
      </c>
      <c r="C20" s="9">
        <f t="shared" ref="C20:M20" si="6">SUM(C19)</f>
        <v>-6503.4809999999998</v>
      </c>
      <c r="D20" s="9">
        <f t="shared" si="6"/>
        <v>-10063.418</v>
      </c>
      <c r="E20" s="9">
        <f t="shared" si="6"/>
        <v>-13335.773000000001</v>
      </c>
      <c r="F20" s="9">
        <f t="shared" si="6"/>
        <v>-13162.955</v>
      </c>
      <c r="G20" s="9">
        <f t="shared" si="6"/>
        <v>0</v>
      </c>
      <c r="H20" s="9">
        <f t="shared" si="6"/>
        <v>0</v>
      </c>
      <c r="I20" s="9">
        <f t="shared" si="6"/>
        <v>0</v>
      </c>
      <c r="J20" s="9">
        <f t="shared" si="6"/>
        <v>0</v>
      </c>
      <c r="K20" s="9">
        <f t="shared" si="6"/>
        <v>0</v>
      </c>
      <c r="L20" s="9">
        <f t="shared" si="6"/>
        <v>0</v>
      </c>
      <c r="M20" s="9">
        <f t="shared" si="6"/>
        <v>0</v>
      </c>
      <c r="N20" s="1">
        <f t="shared" si="0"/>
        <v>-51013.375</v>
      </c>
    </row>
    <row r="21" spans="1:15" s="25" customFormat="1" x14ac:dyDescent="0.25">
      <c r="A21" s="7" t="s">
        <v>41</v>
      </c>
      <c r="B21" s="1">
        <f>B20+B17</f>
        <v>-15138.1065</v>
      </c>
      <c r="C21" s="1">
        <f t="shared" ref="C21:M21" si="7">C20+C17</f>
        <v>-13918.075999999999</v>
      </c>
      <c r="D21" s="1">
        <f t="shared" si="7"/>
        <v>-18921.946</v>
      </c>
      <c r="E21" s="1">
        <f t="shared" si="7"/>
        <v>-21667.130499999999</v>
      </c>
      <c r="F21" s="1">
        <f t="shared" si="7"/>
        <v>-23849.9545</v>
      </c>
      <c r="G21" s="1">
        <f t="shared" si="7"/>
        <v>0</v>
      </c>
      <c r="H21" s="1">
        <f t="shared" si="7"/>
        <v>0</v>
      </c>
      <c r="I21" s="1">
        <f t="shared" si="7"/>
        <v>0</v>
      </c>
      <c r="J21" s="1">
        <f t="shared" si="7"/>
        <v>0</v>
      </c>
      <c r="K21" s="1">
        <f t="shared" si="7"/>
        <v>0</v>
      </c>
      <c r="L21" s="1">
        <f t="shared" si="7"/>
        <v>0</v>
      </c>
      <c r="M21" s="1">
        <f t="shared" si="7"/>
        <v>0</v>
      </c>
    </row>
    <row r="22" spans="1:15" x14ac:dyDescent="0.25">
      <c r="A22" s="8" t="s">
        <v>42</v>
      </c>
      <c r="B22" s="9">
        <f t="shared" ref="B22:M22" si="8">B6+(B10+B17+B20)</f>
        <v>-4102.3139999999985</v>
      </c>
      <c r="C22" s="9">
        <f t="shared" si="8"/>
        <v>-1845.1009999999987</v>
      </c>
      <c r="D22" s="9">
        <f t="shared" si="8"/>
        <v>370.69399999999951</v>
      </c>
      <c r="E22" s="9">
        <f t="shared" si="8"/>
        <v>-5010.3430000000008</v>
      </c>
      <c r="F22" s="9">
        <f t="shared" si="8"/>
        <v>4585.0429999999978</v>
      </c>
      <c r="G22" s="9">
        <f t="shared" si="8"/>
        <v>0</v>
      </c>
      <c r="H22" s="9">
        <f t="shared" si="8"/>
        <v>0</v>
      </c>
      <c r="I22" s="9">
        <f t="shared" si="8"/>
        <v>0</v>
      </c>
      <c r="J22" s="9">
        <f t="shared" si="8"/>
        <v>0</v>
      </c>
      <c r="K22" s="9">
        <f t="shared" si="8"/>
        <v>0</v>
      </c>
      <c r="L22" s="9">
        <f t="shared" si="8"/>
        <v>0</v>
      </c>
      <c r="M22" s="9">
        <f t="shared" si="8"/>
        <v>0</v>
      </c>
      <c r="N22" s="9">
        <f>SUM(B22:M22)</f>
        <v>-6002.0210000000006</v>
      </c>
    </row>
    <row r="23" spans="1:15" x14ac:dyDescent="0.25">
      <c r="A23" s="7" t="s">
        <v>79</v>
      </c>
      <c r="B23" s="10">
        <f>B22/B6</f>
        <v>-0.28093442237880228</v>
      </c>
      <c r="C23" s="10">
        <f>C22/C6</f>
        <v>-0.11462176886807098</v>
      </c>
      <c r="D23" s="10">
        <f>D22/D6</f>
        <v>1.441070273430695E-2</v>
      </c>
      <c r="E23" s="10">
        <f>E22/E6</f>
        <v>-0.22559915890143886</v>
      </c>
      <c r="F23" s="10">
        <f>F22/F6</f>
        <v>0.12093485325609746</v>
      </c>
    </row>
  </sheetData>
  <conditionalFormatting sqref="B22:N22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27E8A-C5DA-47E0-A5EA-842117AF64DF}">
  <dimension ref="A3:R128"/>
  <sheetViews>
    <sheetView topLeftCell="A96" workbookViewId="0">
      <selection activeCell="B128" sqref="B128"/>
    </sheetView>
  </sheetViews>
  <sheetFormatPr baseColWidth="10" defaultRowHeight="15" x14ac:dyDescent="0.25"/>
  <cols>
    <col min="1" max="1" width="32.28515625" style="40" customWidth="1"/>
    <col min="2" max="2" width="14.85546875" customWidth="1"/>
    <col min="4" max="4" width="14.5703125" customWidth="1"/>
    <col min="6" max="6" width="14.85546875" customWidth="1"/>
    <col min="8" max="8" width="16.140625" customWidth="1"/>
    <col min="10" max="10" width="18.85546875" customWidth="1"/>
    <col min="11" max="11" width="22.85546875" customWidth="1"/>
    <col min="14" max="14" width="15.5703125" bestFit="1" customWidth="1"/>
    <col min="15" max="15" width="10.7109375" customWidth="1"/>
    <col min="16" max="16" width="22.85546875" customWidth="1"/>
  </cols>
  <sheetData>
    <row r="3" spans="1:2" x14ac:dyDescent="0.25">
      <c r="A3" s="38" t="s">
        <v>4</v>
      </c>
      <c r="B3" s="38" t="s">
        <v>93</v>
      </c>
    </row>
    <row r="4" spans="1:2" x14ac:dyDescent="0.25">
      <c r="A4" s="39" t="s">
        <v>16</v>
      </c>
      <c r="B4" t="s">
        <v>94</v>
      </c>
    </row>
    <row r="5" spans="1:2" x14ac:dyDescent="0.25">
      <c r="A5" s="39" t="s">
        <v>21</v>
      </c>
      <c r="B5" t="s">
        <v>95</v>
      </c>
    </row>
    <row r="6" spans="1:2" x14ac:dyDescent="0.25">
      <c r="B6" t="s">
        <v>96</v>
      </c>
    </row>
    <row r="7" spans="1:2" x14ac:dyDescent="0.25">
      <c r="B7" t="s">
        <v>97</v>
      </c>
    </row>
    <row r="8" spans="1:2" x14ac:dyDescent="0.25">
      <c r="A8" s="8" t="s">
        <v>27</v>
      </c>
      <c r="B8" t="s">
        <v>98</v>
      </c>
    </row>
    <row r="9" spans="1:2" x14ac:dyDescent="0.25">
      <c r="B9" t="s">
        <v>99</v>
      </c>
    </row>
    <row r="10" spans="1:2" x14ac:dyDescent="0.25">
      <c r="B10" t="s">
        <v>100</v>
      </c>
    </row>
    <row r="11" spans="1:2" x14ac:dyDescent="0.25">
      <c r="A11" s="39" t="s">
        <v>40</v>
      </c>
    </row>
    <row r="13" spans="1:2" x14ac:dyDescent="0.25">
      <c r="A13" s="38" t="s">
        <v>4</v>
      </c>
      <c r="B13" s="38" t="s">
        <v>158</v>
      </c>
    </row>
    <row r="14" spans="1:2" x14ac:dyDescent="0.25">
      <c r="A14" s="39" t="s">
        <v>16</v>
      </c>
      <c r="B14" t="s">
        <v>159</v>
      </c>
    </row>
    <row r="15" spans="1:2" x14ac:dyDescent="0.25">
      <c r="A15" s="39" t="s">
        <v>21</v>
      </c>
      <c r="B15" t="s">
        <v>160</v>
      </c>
    </row>
    <row r="16" spans="1:2" x14ac:dyDescent="0.25">
      <c r="A16" s="39" t="s">
        <v>27</v>
      </c>
      <c r="B16" t="s">
        <v>161</v>
      </c>
    </row>
    <row r="17" spans="1:2" x14ac:dyDescent="0.25">
      <c r="A17" s="39"/>
      <c r="B17" t="s">
        <v>162</v>
      </c>
    </row>
    <row r="18" spans="1:2" x14ac:dyDescent="0.25">
      <c r="A18" s="39" t="s">
        <v>40</v>
      </c>
      <c r="B18" t="s">
        <v>163</v>
      </c>
    </row>
    <row r="20" spans="1:2" x14ac:dyDescent="0.25">
      <c r="A20" s="38" t="s">
        <v>5</v>
      </c>
      <c r="B20" s="38" t="s">
        <v>101</v>
      </c>
    </row>
    <row r="21" spans="1:2" x14ac:dyDescent="0.25">
      <c r="A21" s="39" t="s">
        <v>16</v>
      </c>
      <c r="B21" t="s">
        <v>102</v>
      </c>
    </row>
    <row r="22" spans="1:2" x14ac:dyDescent="0.25">
      <c r="A22" s="39" t="s">
        <v>21</v>
      </c>
      <c r="B22" t="s">
        <v>103</v>
      </c>
    </row>
    <row r="23" spans="1:2" x14ac:dyDescent="0.25">
      <c r="A23" s="39" t="s">
        <v>27</v>
      </c>
      <c r="B23" t="s">
        <v>104</v>
      </c>
    </row>
    <row r="24" spans="1:2" x14ac:dyDescent="0.25">
      <c r="A24" s="39" t="s">
        <v>40</v>
      </c>
      <c r="B24" t="s">
        <v>105</v>
      </c>
    </row>
    <row r="26" spans="1:2" x14ac:dyDescent="0.25">
      <c r="A26" s="38" t="s">
        <v>6</v>
      </c>
      <c r="B26" s="38" t="s">
        <v>106</v>
      </c>
    </row>
    <row r="27" spans="1:2" x14ac:dyDescent="0.25">
      <c r="A27" s="39" t="s">
        <v>16</v>
      </c>
    </row>
    <row r="28" spans="1:2" x14ac:dyDescent="0.25">
      <c r="A28" s="39" t="s">
        <v>21</v>
      </c>
      <c r="B28" t="s">
        <v>165</v>
      </c>
    </row>
    <row r="29" spans="1:2" x14ac:dyDescent="0.25">
      <c r="A29" s="39" t="s">
        <v>27</v>
      </c>
      <c r="B29" t="s">
        <v>107</v>
      </c>
    </row>
    <row r="30" spans="1:2" x14ac:dyDescent="0.25">
      <c r="A30" s="39"/>
      <c r="B30" t="s">
        <v>108</v>
      </c>
    </row>
    <row r="31" spans="1:2" x14ac:dyDescent="0.25">
      <c r="A31" s="39" t="s">
        <v>40</v>
      </c>
      <c r="B31" t="s">
        <v>109</v>
      </c>
    </row>
    <row r="32" spans="1:2" x14ac:dyDescent="0.25">
      <c r="A32" s="39"/>
      <c r="B32" t="s">
        <v>110</v>
      </c>
    </row>
    <row r="34" spans="1:2" x14ac:dyDescent="0.25">
      <c r="A34" s="38" t="s">
        <v>7</v>
      </c>
      <c r="B34" s="38" t="s">
        <v>111</v>
      </c>
    </row>
    <row r="35" spans="1:2" x14ac:dyDescent="0.25">
      <c r="A35" s="39" t="s">
        <v>16</v>
      </c>
    </row>
    <row r="36" spans="1:2" x14ac:dyDescent="0.25">
      <c r="A36" s="39" t="s">
        <v>21</v>
      </c>
      <c r="B36" t="s">
        <v>165</v>
      </c>
    </row>
    <row r="37" spans="1:2" x14ac:dyDescent="0.25">
      <c r="A37" s="39" t="s">
        <v>27</v>
      </c>
      <c r="B37" t="s">
        <v>107</v>
      </c>
    </row>
    <row r="38" spans="1:2" x14ac:dyDescent="0.25">
      <c r="A38" s="39"/>
      <c r="B38" t="s">
        <v>112</v>
      </c>
    </row>
    <row r="39" spans="1:2" x14ac:dyDescent="0.25">
      <c r="A39" s="39" t="s">
        <v>40</v>
      </c>
      <c r="B39" t="s">
        <v>109</v>
      </c>
    </row>
    <row r="40" spans="1:2" x14ac:dyDescent="0.25">
      <c r="A40" s="39"/>
      <c r="B40" t="s">
        <v>110</v>
      </c>
    </row>
    <row r="41" spans="1:2" x14ac:dyDescent="0.25">
      <c r="A41" s="41"/>
    </row>
    <row r="42" spans="1:2" x14ac:dyDescent="0.25">
      <c r="A42" s="38" t="s">
        <v>8</v>
      </c>
      <c r="B42" s="38" t="s">
        <v>93</v>
      </c>
    </row>
    <row r="43" spans="1:2" x14ac:dyDescent="0.25">
      <c r="A43" s="39" t="s">
        <v>16</v>
      </c>
      <c r="B43" t="s">
        <v>113</v>
      </c>
    </row>
    <row r="44" spans="1:2" x14ac:dyDescent="0.25">
      <c r="A44" s="39"/>
      <c r="B44" t="s">
        <v>123</v>
      </c>
    </row>
    <row r="45" spans="1:2" x14ac:dyDescent="0.25">
      <c r="A45" s="39" t="s">
        <v>21</v>
      </c>
      <c r="B45" t="s">
        <v>114</v>
      </c>
    </row>
    <row r="46" spans="1:2" x14ac:dyDescent="0.25">
      <c r="A46" s="39" t="s">
        <v>27</v>
      </c>
      <c r="B46" t="s">
        <v>115</v>
      </c>
    </row>
    <row r="47" spans="1:2" x14ac:dyDescent="0.25">
      <c r="B47" t="s">
        <v>116</v>
      </c>
    </row>
    <row r="48" spans="1:2" x14ac:dyDescent="0.25">
      <c r="B48" t="s">
        <v>117</v>
      </c>
    </row>
    <row r="49" spans="1:2" x14ac:dyDescent="0.25">
      <c r="A49" s="39" t="s">
        <v>40</v>
      </c>
      <c r="B49" t="s">
        <v>109</v>
      </c>
    </row>
    <row r="50" spans="1:2" x14ac:dyDescent="0.25">
      <c r="A50" s="39"/>
      <c r="B50" t="s">
        <v>110</v>
      </c>
    </row>
    <row r="52" spans="1:2" x14ac:dyDescent="0.25">
      <c r="A52" s="38" t="s">
        <v>9</v>
      </c>
      <c r="B52" s="38" t="s">
        <v>118</v>
      </c>
    </row>
    <row r="53" spans="1:2" x14ac:dyDescent="0.25">
      <c r="A53" s="39" t="s">
        <v>16</v>
      </c>
    </row>
    <row r="54" spans="1:2" x14ac:dyDescent="0.25">
      <c r="A54" s="39" t="s">
        <v>21</v>
      </c>
      <c r="B54" t="s">
        <v>156</v>
      </c>
    </row>
    <row r="55" spans="1:2" x14ac:dyDescent="0.25">
      <c r="A55" s="39"/>
    </row>
    <row r="56" spans="1:2" x14ac:dyDescent="0.25">
      <c r="A56" s="39"/>
    </row>
    <row r="57" spans="1:2" x14ac:dyDescent="0.25">
      <c r="A57" s="39" t="s">
        <v>27</v>
      </c>
      <c r="B57" t="s">
        <v>169</v>
      </c>
    </row>
    <row r="58" spans="1:2" x14ac:dyDescent="0.25">
      <c r="A58" s="39"/>
      <c r="B58" t="s">
        <v>170</v>
      </c>
    </row>
    <row r="59" spans="1:2" x14ac:dyDescent="0.25">
      <c r="A59" s="39"/>
      <c r="B59" t="s">
        <v>171</v>
      </c>
    </row>
    <row r="60" spans="1:2" x14ac:dyDescent="0.25">
      <c r="A60" s="39" t="s">
        <v>40</v>
      </c>
    </row>
    <row r="61" spans="1:2" x14ac:dyDescent="0.25">
      <c r="A61" s="39"/>
      <c r="B61" t="s">
        <v>110</v>
      </c>
    </row>
    <row r="63" spans="1:2" x14ac:dyDescent="0.25">
      <c r="A63" s="38" t="s">
        <v>10</v>
      </c>
      <c r="B63" s="38" t="s">
        <v>119</v>
      </c>
    </row>
    <row r="64" spans="1:2" x14ac:dyDescent="0.25">
      <c r="A64" s="39" t="s">
        <v>16</v>
      </c>
    </row>
    <row r="65" spans="1:18" x14ac:dyDescent="0.25">
      <c r="A65" s="39" t="s">
        <v>21</v>
      </c>
      <c r="B65" t="s">
        <v>120</v>
      </c>
    </row>
    <row r="66" spans="1:18" x14ac:dyDescent="0.25">
      <c r="A66" s="39" t="s">
        <v>27</v>
      </c>
      <c r="B66" t="s">
        <v>121</v>
      </c>
    </row>
    <row r="67" spans="1:18" x14ac:dyDescent="0.25">
      <c r="A67" s="39" t="s">
        <v>40</v>
      </c>
      <c r="B67" t="s">
        <v>122</v>
      </c>
      <c r="C67" s="35">
        <v>0.04</v>
      </c>
    </row>
    <row r="72" spans="1:18" x14ac:dyDescent="0.25">
      <c r="A72" t="s">
        <v>2</v>
      </c>
      <c r="B72" t="s">
        <v>3</v>
      </c>
      <c r="C72" t="s">
        <v>4</v>
      </c>
      <c r="D72" t="s">
        <v>5</v>
      </c>
      <c r="E72" t="s">
        <v>6</v>
      </c>
      <c r="F72" t="s">
        <v>7</v>
      </c>
      <c r="G72" t="s">
        <v>8</v>
      </c>
      <c r="H72" t="s">
        <v>9</v>
      </c>
    </row>
    <row r="73" spans="1:18" x14ac:dyDescent="0.25">
      <c r="A73" t="s">
        <v>11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K73" t="s">
        <v>88</v>
      </c>
      <c r="O73" t="s">
        <v>89</v>
      </c>
    </row>
    <row r="74" spans="1:18" ht="15.75" thickBot="1" x14ac:dyDescent="0.3">
      <c r="A74" t="s">
        <v>12</v>
      </c>
      <c r="B74">
        <v>23893001.530000001</v>
      </c>
      <c r="C74">
        <v>181172.5</v>
      </c>
      <c r="D74">
        <v>5696163.8499999996</v>
      </c>
      <c r="E74">
        <v>8037122.8799999999</v>
      </c>
      <c r="F74">
        <v>2721686.63</v>
      </c>
      <c r="G74">
        <v>5763172.3600000003</v>
      </c>
      <c r="H74">
        <v>1493683.31</v>
      </c>
    </row>
    <row r="75" spans="1:18" x14ac:dyDescent="0.25">
      <c r="A75" t="s">
        <v>13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J75" s="12" t="s">
        <v>5</v>
      </c>
      <c r="K75" s="13" t="s">
        <v>59</v>
      </c>
      <c r="L75" s="14">
        <v>20000</v>
      </c>
      <c r="M75" s="13" t="s">
        <v>55</v>
      </c>
      <c r="N75" s="15">
        <f>L75*12</f>
        <v>240000</v>
      </c>
    </row>
    <row r="76" spans="1:18" x14ac:dyDescent="0.25">
      <c r="A76" t="s">
        <v>14</v>
      </c>
      <c r="B76">
        <v>153211.19</v>
      </c>
      <c r="C76">
        <v>42787.58</v>
      </c>
      <c r="D76">
        <v>55097.46</v>
      </c>
      <c r="E76">
        <v>14895.69</v>
      </c>
      <c r="F76">
        <v>34611.17</v>
      </c>
      <c r="G76">
        <v>0</v>
      </c>
      <c r="H76">
        <v>5819.29</v>
      </c>
      <c r="J76" s="16" t="s">
        <v>6</v>
      </c>
      <c r="K76" s="17" t="s">
        <v>61</v>
      </c>
      <c r="L76" s="18">
        <f>E78/L93</f>
        <v>0.33467046817137924</v>
      </c>
      <c r="M76" s="17"/>
      <c r="N76" s="19"/>
      <c r="O76" s="16" t="s">
        <v>6</v>
      </c>
      <c r="P76" s="17" t="s">
        <v>61</v>
      </c>
      <c r="Q76" s="18">
        <f>E78/($L$92-$K$95)</f>
        <v>0.43980197816312405</v>
      </c>
      <c r="R76" s="4">
        <v>0.43</v>
      </c>
    </row>
    <row r="77" spans="1:18" x14ac:dyDescent="0.25">
      <c r="A77" t="s">
        <v>15</v>
      </c>
      <c r="B77">
        <v>13330.43</v>
      </c>
      <c r="C77">
        <v>13330.43</v>
      </c>
      <c r="D77">
        <v>0</v>
      </c>
      <c r="E77">
        <v>0</v>
      </c>
      <c r="F77">
        <v>0</v>
      </c>
      <c r="G77">
        <v>0</v>
      </c>
      <c r="H77">
        <v>0</v>
      </c>
      <c r="J77" s="16" t="s">
        <v>7</v>
      </c>
      <c r="K77" s="17" t="s">
        <v>61</v>
      </c>
      <c r="L77" s="18">
        <f>F78/L93</f>
        <v>0.11456151859641607</v>
      </c>
      <c r="M77" s="17"/>
      <c r="N77" s="19"/>
      <c r="O77" s="16" t="s">
        <v>7</v>
      </c>
      <c r="P77" s="17" t="s">
        <v>61</v>
      </c>
      <c r="Q77" s="18">
        <f>G78/($L$92-$K$95)</f>
        <v>0.31478499240756719</v>
      </c>
      <c r="R77" s="35">
        <v>0.14000000000000001</v>
      </c>
    </row>
    <row r="78" spans="1:18" x14ac:dyDescent="0.25">
      <c r="A78" t="s">
        <v>16</v>
      </c>
      <c r="B78">
        <v>24059543.149999999</v>
      </c>
      <c r="C78">
        <v>237290.51</v>
      </c>
      <c r="D78">
        <v>5751261.3099999996</v>
      </c>
      <c r="E78">
        <v>8052018.5700000003</v>
      </c>
      <c r="F78">
        <v>2756297.8</v>
      </c>
      <c r="G78">
        <v>5763172.3600000003</v>
      </c>
      <c r="H78">
        <v>1499502.6</v>
      </c>
      <c r="J78" s="16" t="s">
        <v>8</v>
      </c>
      <c r="K78" s="17" t="s">
        <v>64</v>
      </c>
      <c r="L78" s="18">
        <f>G78/L93</f>
        <v>0.23953789662876457</v>
      </c>
      <c r="M78" s="17"/>
      <c r="N78" s="19"/>
      <c r="O78" s="16" t="s">
        <v>8</v>
      </c>
      <c r="P78" s="17" t="s">
        <v>64</v>
      </c>
      <c r="Q78" s="18">
        <f>F78/($L$92-$K$95)</f>
        <v>0.15054923362486317</v>
      </c>
      <c r="R78" s="35">
        <v>0.3</v>
      </c>
    </row>
    <row r="79" spans="1:18" x14ac:dyDescent="0.25">
      <c r="A79" t="s">
        <v>17</v>
      </c>
      <c r="B79">
        <v>-6669397.0199999996</v>
      </c>
      <c r="C79">
        <v>-5254370.5999999996</v>
      </c>
      <c r="D79">
        <v>-1261571.8</v>
      </c>
      <c r="E79">
        <v>-32501.27</v>
      </c>
      <c r="F79">
        <v>-9935.07</v>
      </c>
      <c r="G79">
        <v>-5780.92</v>
      </c>
      <c r="H79">
        <v>-105237.36</v>
      </c>
      <c r="J79" s="16" t="s">
        <v>9</v>
      </c>
      <c r="K79" s="17" t="s">
        <v>61</v>
      </c>
      <c r="L79" s="18">
        <f>H78/L93</f>
        <v>6.232464975129838E-2</v>
      </c>
      <c r="M79" s="17"/>
      <c r="N79" s="19"/>
      <c r="O79" s="16" t="s">
        <v>9</v>
      </c>
      <c r="P79" s="17" t="s">
        <v>61</v>
      </c>
      <c r="Q79" s="18">
        <f>H78/($L$92-$K$95)</f>
        <v>8.1902966816027573E-2</v>
      </c>
    </row>
    <row r="80" spans="1:18" ht="15.75" thickBot="1" x14ac:dyDescent="0.3">
      <c r="A80" t="s">
        <v>18</v>
      </c>
      <c r="B80">
        <v>-1126484.45</v>
      </c>
      <c r="C80">
        <v>-894954.7</v>
      </c>
      <c r="D80">
        <v>-78775.83</v>
      </c>
      <c r="E80">
        <v>-13825.99</v>
      </c>
      <c r="F80">
        <v>-6409.44</v>
      </c>
      <c r="G80">
        <v>-10029.11</v>
      </c>
      <c r="H80">
        <v>-122489.38</v>
      </c>
      <c r="J80" s="20" t="s">
        <v>10</v>
      </c>
      <c r="K80" s="21" t="s">
        <v>65</v>
      </c>
      <c r="L80" s="22">
        <v>0.04</v>
      </c>
      <c r="M80" s="21"/>
      <c r="N80" s="23"/>
      <c r="O80" s="20" t="s">
        <v>10</v>
      </c>
      <c r="P80" s="21" t="s">
        <v>65</v>
      </c>
      <c r="Q80" s="22">
        <v>0.04</v>
      </c>
    </row>
    <row r="81" spans="1:17" x14ac:dyDescent="0.25">
      <c r="A81" t="s">
        <v>19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Q81" s="35">
        <f>SUM(Q76:Q80)</f>
        <v>1.027039171011582</v>
      </c>
    </row>
    <row r="82" spans="1:17" x14ac:dyDescent="0.25">
      <c r="A82" t="s">
        <v>20</v>
      </c>
      <c r="B82">
        <v>-7086.67</v>
      </c>
      <c r="C82">
        <v>-7086.67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17" x14ac:dyDescent="0.25">
      <c r="A83" t="s">
        <v>21</v>
      </c>
      <c r="B83">
        <v>-7802968.1399999997</v>
      </c>
      <c r="C83">
        <v>-6156411.9699999997</v>
      </c>
      <c r="D83">
        <v>-1340347.6299999999</v>
      </c>
      <c r="E83">
        <v>-46327.26</v>
      </c>
      <c r="F83">
        <v>-16344.51</v>
      </c>
      <c r="G83">
        <v>-15810.03</v>
      </c>
      <c r="H83">
        <v>-227726.74</v>
      </c>
    </row>
    <row r="84" spans="1:17" x14ac:dyDescent="0.25">
      <c r="A84" t="s">
        <v>22</v>
      </c>
      <c r="B84">
        <v>16256575.01</v>
      </c>
      <c r="C84">
        <v>-5919121.46</v>
      </c>
      <c r="D84">
        <v>4410913.68</v>
      </c>
      <c r="E84">
        <v>8005691.3099999996</v>
      </c>
      <c r="F84">
        <v>2739953.29</v>
      </c>
      <c r="G84">
        <v>5747362.3300000001</v>
      </c>
      <c r="H84">
        <v>1271775.8600000001</v>
      </c>
    </row>
    <row r="85" spans="1:17" x14ac:dyDescent="0.25">
      <c r="A85" t="s">
        <v>23</v>
      </c>
      <c r="B85">
        <v>-7850222.3200000003</v>
      </c>
      <c r="C85">
        <v>-4493704.04</v>
      </c>
      <c r="D85">
        <v>-2239592.66</v>
      </c>
      <c r="E85">
        <v>-234556.16</v>
      </c>
      <c r="F85">
        <v>-173807.82</v>
      </c>
      <c r="G85">
        <v>-552911.18999999994</v>
      </c>
      <c r="H85">
        <v>-155650.45000000001</v>
      </c>
      <c r="J85" t="s">
        <v>56</v>
      </c>
      <c r="M85" t="s">
        <v>6</v>
      </c>
      <c r="N85" t="s">
        <v>7</v>
      </c>
      <c r="O85" t="s">
        <v>8</v>
      </c>
      <c r="P85" t="s">
        <v>9</v>
      </c>
    </row>
    <row r="86" spans="1:17" x14ac:dyDescent="0.25">
      <c r="A86" t="s">
        <v>24</v>
      </c>
      <c r="B86">
        <v>-38022.75</v>
      </c>
      <c r="C86">
        <v>-12022.75</v>
      </c>
      <c r="D86">
        <v>-22000</v>
      </c>
      <c r="E86">
        <v>-4000</v>
      </c>
      <c r="F86">
        <v>0</v>
      </c>
      <c r="G86">
        <v>0</v>
      </c>
      <c r="H86">
        <v>0</v>
      </c>
      <c r="J86" t="s">
        <v>57</v>
      </c>
      <c r="K86" t="s">
        <v>0</v>
      </c>
      <c r="L86" s="2">
        <f>5857479.14-N75</f>
        <v>5617479.1399999997</v>
      </c>
      <c r="M86" s="3">
        <f>$L$76*L86</f>
        <v>1880004.3737267568</v>
      </c>
      <c r="N86" s="3">
        <f>$L$77*L86</f>
        <v>643546.94096208934</v>
      </c>
      <c r="O86" s="3">
        <f>$L$78*L86</f>
        <v>1345599.1375515612</v>
      </c>
      <c r="P86" s="3">
        <f>$L$79*L86</f>
        <v>350107.41988572484</v>
      </c>
    </row>
    <row r="87" spans="1:17" x14ac:dyDescent="0.25">
      <c r="A87" t="s">
        <v>25</v>
      </c>
      <c r="B87">
        <v>-2198225.4900000002</v>
      </c>
      <c r="C87">
        <v>-1246163.8</v>
      </c>
      <c r="D87">
        <v>-640792.77</v>
      </c>
      <c r="E87">
        <v>-75841.02</v>
      </c>
      <c r="F87">
        <v>-52170.58</v>
      </c>
      <c r="G87">
        <v>-129378.74</v>
      </c>
      <c r="H87">
        <v>-53878.58</v>
      </c>
      <c r="K87" t="s">
        <v>58</v>
      </c>
      <c r="L87" s="2">
        <v>6156411.9699999997</v>
      </c>
      <c r="M87" s="3">
        <f t="shared" ref="M87:M88" si="0">$L$76*L87</f>
        <v>2060369.2762557832</v>
      </c>
      <c r="N87" s="3">
        <f t="shared" ref="N87:N88" si="1">$L$77*L87</f>
        <v>705287.90438835346</v>
      </c>
      <c r="O87" s="4">
        <v>0.45</v>
      </c>
      <c r="P87" s="3">
        <f t="shared" ref="P87:P88" si="2">$L$79*L87</f>
        <v>383696.21975495084</v>
      </c>
    </row>
    <row r="88" spans="1:17" x14ac:dyDescent="0.25">
      <c r="A88" t="s">
        <v>26</v>
      </c>
      <c r="B88">
        <v>-133340.46</v>
      </c>
      <c r="C88">
        <v>-105588.55</v>
      </c>
      <c r="D88">
        <v>-18970.62</v>
      </c>
      <c r="E88">
        <v>-3947.7</v>
      </c>
      <c r="F88">
        <v>-1648.12</v>
      </c>
      <c r="G88">
        <v>-2219.4699999999998</v>
      </c>
      <c r="H88">
        <v>-966</v>
      </c>
      <c r="K88" t="s">
        <v>60</v>
      </c>
      <c r="L88" s="2">
        <v>1061489.75</v>
      </c>
      <c r="M88" s="3">
        <f t="shared" si="0"/>
        <v>355249.27159162029</v>
      </c>
      <c r="N88" s="3">
        <f t="shared" si="1"/>
        <v>121605.87773453005</v>
      </c>
      <c r="O88" s="3">
        <f>$L$78*L88</f>
        <v>254267.02200799313</v>
      </c>
      <c r="P88" s="3">
        <f t="shared" si="2"/>
        <v>66156.976883343275</v>
      </c>
    </row>
    <row r="89" spans="1:17" x14ac:dyDescent="0.25">
      <c r="A89" t="s">
        <v>27</v>
      </c>
      <c r="B89">
        <v>-10219811.02</v>
      </c>
      <c r="C89">
        <v>-5857479.1399999997</v>
      </c>
      <c r="D89">
        <v>-2921356.05</v>
      </c>
      <c r="E89">
        <v>-318344.88</v>
      </c>
      <c r="F89">
        <v>-227626.52</v>
      </c>
      <c r="G89">
        <v>-684509.4</v>
      </c>
      <c r="H89">
        <v>-210495.03</v>
      </c>
    </row>
    <row r="90" spans="1:17" x14ac:dyDescent="0.25">
      <c r="A90" t="s">
        <v>28</v>
      </c>
      <c r="B90">
        <v>-1440438.64</v>
      </c>
      <c r="C90">
        <v>-128912.4</v>
      </c>
      <c r="D90">
        <v>-301810.64</v>
      </c>
      <c r="E90">
        <v>-397259.69</v>
      </c>
      <c r="F90">
        <v>-371687.28</v>
      </c>
      <c r="G90">
        <v>-8563.0300000000007</v>
      </c>
      <c r="H90">
        <v>-232205.6</v>
      </c>
    </row>
    <row r="91" spans="1:17" x14ac:dyDescent="0.25">
      <c r="A91" t="s">
        <v>29</v>
      </c>
      <c r="B91">
        <v>-493733.6</v>
      </c>
      <c r="C91">
        <v>-264968.28999999998</v>
      </c>
      <c r="D91">
        <v>-151545.57</v>
      </c>
      <c r="E91">
        <v>-40175.360000000001</v>
      </c>
      <c r="F91">
        <v>-8199.32</v>
      </c>
      <c r="G91">
        <v>-20302.38</v>
      </c>
      <c r="H91">
        <v>-8542.68</v>
      </c>
      <c r="J91" t="s">
        <v>62</v>
      </c>
    </row>
    <row r="92" spans="1:17" x14ac:dyDescent="0.25">
      <c r="A92" t="s">
        <v>30</v>
      </c>
      <c r="B92">
        <v>-676309.5</v>
      </c>
      <c r="C92">
        <v>-65044.5</v>
      </c>
      <c r="D92">
        <v>-46974.01</v>
      </c>
      <c r="E92">
        <v>-385827.79</v>
      </c>
      <c r="F92">
        <v>-111348.95</v>
      </c>
      <c r="G92">
        <v>-323.66000000000003</v>
      </c>
      <c r="H92">
        <v>-66790.59</v>
      </c>
      <c r="J92" t="s">
        <v>3</v>
      </c>
      <c r="L92" s="2">
        <v>24059543.149999999</v>
      </c>
    </row>
    <row r="93" spans="1:17" x14ac:dyDescent="0.25">
      <c r="A93" t="s">
        <v>31</v>
      </c>
      <c r="B93">
        <v>-103637.36</v>
      </c>
      <c r="C93">
        <v>-94131.35</v>
      </c>
      <c r="D93">
        <v>-17.600000000000001</v>
      </c>
      <c r="E93">
        <v>-4656.91</v>
      </c>
      <c r="F93">
        <v>0</v>
      </c>
      <c r="G93">
        <v>-3575.5</v>
      </c>
      <c r="H93">
        <v>-1256</v>
      </c>
      <c r="J93" t="s">
        <v>63</v>
      </c>
      <c r="K93" t="s">
        <v>86</v>
      </c>
      <c r="L93" s="3">
        <f>L92-K99</f>
        <v>24059543.149999999</v>
      </c>
    </row>
    <row r="94" spans="1:17" x14ac:dyDescent="0.25">
      <c r="A94" t="s">
        <v>32</v>
      </c>
      <c r="B94">
        <v>-62155.57</v>
      </c>
      <c r="C94">
        <v>-45501.63</v>
      </c>
      <c r="D94">
        <v>-16557.939999999999</v>
      </c>
      <c r="E94">
        <v>-96</v>
      </c>
      <c r="F94">
        <v>0</v>
      </c>
      <c r="G94">
        <v>0</v>
      </c>
      <c r="H94">
        <v>0</v>
      </c>
      <c r="L94" s="3"/>
      <c r="N94" s="27">
        <f>L92-K100</f>
        <v>16571488.729999999</v>
      </c>
      <c r="O94" s="10">
        <f>E78/N94</f>
        <v>0.48589590839977603</v>
      </c>
      <c r="P94" t="s">
        <v>127</v>
      </c>
    </row>
    <row r="95" spans="1:17" x14ac:dyDescent="0.25">
      <c r="A95" t="s">
        <v>33</v>
      </c>
      <c r="B95">
        <v>-45010.59</v>
      </c>
      <c r="C95">
        <v>-10528.36</v>
      </c>
      <c r="D95">
        <v>-26099.040000000001</v>
      </c>
      <c r="E95">
        <v>-2171.9499999999998</v>
      </c>
      <c r="F95">
        <v>-1472.57</v>
      </c>
      <c r="G95">
        <v>0</v>
      </c>
      <c r="H95">
        <v>-4738.67</v>
      </c>
      <c r="J95" t="s">
        <v>5</v>
      </c>
      <c r="K95">
        <f>D78</f>
        <v>5751261.3099999996</v>
      </c>
      <c r="O95" s="10">
        <f>F78/N94</f>
        <v>0.16632771170463212</v>
      </c>
      <c r="P95" t="s">
        <v>128</v>
      </c>
    </row>
    <row r="96" spans="1:17" x14ac:dyDescent="0.25">
      <c r="A96" t="s">
        <v>34</v>
      </c>
      <c r="B96">
        <v>-66544.63</v>
      </c>
      <c r="C96">
        <v>-19092.66</v>
      </c>
      <c r="D96">
        <v>-14426.64</v>
      </c>
      <c r="E96">
        <v>-14820.3</v>
      </c>
      <c r="F96">
        <v>-13828.65</v>
      </c>
      <c r="G96">
        <v>-70</v>
      </c>
      <c r="H96">
        <v>-4306.38</v>
      </c>
      <c r="J96" t="s">
        <v>8</v>
      </c>
      <c r="O96" s="10">
        <f>G78/N94</f>
        <v>0.34777637989559196</v>
      </c>
    </row>
    <row r="97" spans="1:11" x14ac:dyDescent="0.25">
      <c r="A97" t="s">
        <v>35</v>
      </c>
      <c r="B97">
        <v>-362824.55</v>
      </c>
      <c r="C97">
        <v>-146604.81</v>
      </c>
      <c r="D97">
        <v>-147814.04</v>
      </c>
      <c r="E97">
        <v>0</v>
      </c>
      <c r="F97">
        <v>0</v>
      </c>
      <c r="G97">
        <v>-68028.84</v>
      </c>
      <c r="H97">
        <v>-376.86</v>
      </c>
      <c r="J97" t="s">
        <v>9</v>
      </c>
      <c r="K97" s="1">
        <f>H78</f>
        <v>1499502.6</v>
      </c>
    </row>
    <row r="98" spans="1:11" x14ac:dyDescent="0.25">
      <c r="A98" t="s">
        <v>36</v>
      </c>
      <c r="B98">
        <v>-666549.11</v>
      </c>
      <c r="C98">
        <v>-260157.15</v>
      </c>
      <c r="D98">
        <v>-117331.29</v>
      </c>
      <c r="E98">
        <v>-189240.3</v>
      </c>
      <c r="F98">
        <v>-60239.11</v>
      </c>
      <c r="G98">
        <v>-4523.2299999999996</v>
      </c>
      <c r="H98">
        <v>-35058.01</v>
      </c>
      <c r="J98" t="s">
        <v>4</v>
      </c>
      <c r="K98" s="1">
        <f>C78</f>
        <v>237290.51</v>
      </c>
    </row>
    <row r="99" spans="1:11" x14ac:dyDescent="0.25">
      <c r="A99" t="s">
        <v>37</v>
      </c>
      <c r="B99">
        <v>-45550.32</v>
      </c>
      <c r="C99">
        <v>-26548.6</v>
      </c>
      <c r="D99">
        <v>-19001.72</v>
      </c>
      <c r="E99">
        <v>0</v>
      </c>
      <c r="F99">
        <v>0</v>
      </c>
      <c r="G99">
        <v>0</v>
      </c>
      <c r="H99">
        <v>0</v>
      </c>
      <c r="K99" s="1">
        <f>K96+K96</f>
        <v>0</v>
      </c>
    </row>
    <row r="100" spans="1:11" x14ac:dyDescent="0.25">
      <c r="A100" t="s">
        <v>38</v>
      </c>
      <c r="B100">
        <v>-119051.82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-119051.82</v>
      </c>
      <c r="K100" s="1">
        <f>SUM(K95:K98)</f>
        <v>7488054.4199999999</v>
      </c>
    </row>
    <row r="101" spans="1:11" x14ac:dyDescent="0.25">
      <c r="A101" t="s">
        <v>39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11" x14ac:dyDescent="0.25">
      <c r="A102" t="s">
        <v>40</v>
      </c>
      <c r="B102">
        <v>-4081805.69</v>
      </c>
      <c r="C102">
        <v>-1061489.75</v>
      </c>
      <c r="D102">
        <v>-841578.49</v>
      </c>
      <c r="E102">
        <v>-1034248.3</v>
      </c>
      <c r="F102">
        <v>-566775.88</v>
      </c>
      <c r="G102">
        <v>-105386.64</v>
      </c>
      <c r="H102">
        <v>-472326.61</v>
      </c>
      <c r="J102" t="s">
        <v>178</v>
      </c>
    </row>
    <row r="103" spans="1:11" x14ac:dyDescent="0.25">
      <c r="A103" t="s">
        <v>41</v>
      </c>
      <c r="B103">
        <v>-14182564.890000001</v>
      </c>
      <c r="C103">
        <v>-6918968.8899999997</v>
      </c>
      <c r="D103">
        <v>-3762934.54</v>
      </c>
      <c r="E103">
        <v>-1352593.18</v>
      </c>
      <c r="F103">
        <v>-794402.4</v>
      </c>
      <c r="G103">
        <v>-789896.04</v>
      </c>
      <c r="H103">
        <v>-563769.81999999995</v>
      </c>
    </row>
    <row r="104" spans="1:11" x14ac:dyDescent="0.25">
      <c r="A104" t="s">
        <v>42</v>
      </c>
      <c r="B104">
        <v>1954958.3</v>
      </c>
      <c r="C104">
        <v>-12838090.35</v>
      </c>
      <c r="D104">
        <v>647979.14</v>
      </c>
      <c r="E104">
        <v>6653098.1299999999</v>
      </c>
      <c r="F104">
        <v>1945550.89</v>
      </c>
      <c r="G104">
        <v>4957466.29</v>
      </c>
      <c r="H104">
        <v>588954.22</v>
      </c>
    </row>
    <row r="105" spans="1:11" x14ac:dyDescent="0.25">
      <c r="A105" t="s">
        <v>43</v>
      </c>
      <c r="B105">
        <v>26901.98</v>
      </c>
      <c r="C105">
        <v>26901.98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11" x14ac:dyDescent="0.25">
      <c r="A106" t="s">
        <v>44</v>
      </c>
      <c r="B106">
        <v>-116524.73</v>
      </c>
      <c r="C106">
        <v>-116333.36</v>
      </c>
      <c r="D106">
        <v>0</v>
      </c>
      <c r="E106">
        <v>0</v>
      </c>
      <c r="F106">
        <v>-191.37</v>
      </c>
      <c r="G106">
        <v>0</v>
      </c>
      <c r="H106">
        <v>0</v>
      </c>
    </row>
    <row r="107" spans="1:11" x14ac:dyDescent="0.25">
      <c r="A107" t="s">
        <v>45</v>
      </c>
      <c r="B107">
        <v>-89622.75</v>
      </c>
      <c r="C107">
        <v>-89431.38</v>
      </c>
      <c r="D107">
        <v>0</v>
      </c>
      <c r="E107">
        <v>0</v>
      </c>
      <c r="F107">
        <v>-191.37</v>
      </c>
      <c r="G107">
        <v>0</v>
      </c>
      <c r="H107">
        <v>0</v>
      </c>
    </row>
    <row r="108" spans="1:11" x14ac:dyDescent="0.25">
      <c r="A108" t="s">
        <v>46</v>
      </c>
      <c r="B108">
        <v>71325.929999999993</v>
      </c>
      <c r="C108">
        <v>71191.58</v>
      </c>
      <c r="D108">
        <v>16.38</v>
      </c>
      <c r="E108">
        <v>0</v>
      </c>
      <c r="F108">
        <v>0</v>
      </c>
      <c r="G108">
        <v>0</v>
      </c>
      <c r="H108">
        <v>117.97</v>
      </c>
    </row>
    <row r="109" spans="1:11" x14ac:dyDescent="0.25">
      <c r="A109" t="s">
        <v>47</v>
      </c>
      <c r="B109">
        <v>-21747.65</v>
      </c>
      <c r="C109">
        <v>-13232.85</v>
      </c>
      <c r="D109">
        <v>0</v>
      </c>
      <c r="E109">
        <v>0</v>
      </c>
      <c r="F109">
        <v>-8514.7999999999993</v>
      </c>
      <c r="G109">
        <v>0</v>
      </c>
      <c r="H109">
        <v>0</v>
      </c>
    </row>
    <row r="110" spans="1:11" x14ac:dyDescent="0.25">
      <c r="A110" t="s">
        <v>48</v>
      </c>
      <c r="B110">
        <v>49578.28</v>
      </c>
      <c r="C110">
        <v>57958.73</v>
      </c>
      <c r="D110">
        <v>16.38</v>
      </c>
      <c r="E110">
        <v>0</v>
      </c>
      <c r="F110">
        <v>-8514.7999999999993</v>
      </c>
      <c r="G110">
        <v>0</v>
      </c>
      <c r="H110">
        <v>117.97</v>
      </c>
    </row>
    <row r="111" spans="1:11" x14ac:dyDescent="0.25">
      <c r="A111" t="s">
        <v>49</v>
      </c>
      <c r="B111">
        <v>-708361.98</v>
      </c>
      <c r="C111">
        <v>-491276.9</v>
      </c>
      <c r="D111">
        <v>-130523.02</v>
      </c>
      <c r="E111">
        <v>-72281.279999999999</v>
      </c>
      <c r="F111">
        <v>-1412.16</v>
      </c>
      <c r="G111">
        <v>-805.17</v>
      </c>
      <c r="H111">
        <v>-12063.45</v>
      </c>
    </row>
    <row r="112" spans="1:11" x14ac:dyDescent="0.25">
      <c r="A112" t="s">
        <v>50</v>
      </c>
      <c r="B112">
        <v>1206551.8500000001</v>
      </c>
      <c r="C112">
        <v>-13360839.9</v>
      </c>
      <c r="D112">
        <v>517472.5</v>
      </c>
      <c r="E112">
        <v>6580816.8499999996</v>
      </c>
      <c r="F112">
        <v>1935432.56</v>
      </c>
      <c r="G112">
        <v>4956661.12</v>
      </c>
      <c r="H112">
        <v>577008.74</v>
      </c>
    </row>
    <row r="113" spans="1:13" x14ac:dyDescent="0.25">
      <c r="A113" t="s">
        <v>51</v>
      </c>
      <c r="B113">
        <v>-60000</v>
      </c>
      <c r="C113">
        <v>-60000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13" x14ac:dyDescent="0.25">
      <c r="A114" t="s">
        <v>52</v>
      </c>
      <c r="B114">
        <v>1146551.8500000001</v>
      </c>
      <c r="C114">
        <v>-13420839.9</v>
      </c>
      <c r="D114">
        <v>517472.5</v>
      </c>
      <c r="E114">
        <v>6580816.8499999996</v>
      </c>
      <c r="F114">
        <v>1935432.56</v>
      </c>
      <c r="G114">
        <v>4956661.12</v>
      </c>
      <c r="H114">
        <v>577008.74</v>
      </c>
    </row>
    <row r="115" spans="1:13" x14ac:dyDescent="0.25">
      <c r="A115" t="s">
        <v>53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9" spans="1:13" x14ac:dyDescent="0.25">
      <c r="A119" s="40" t="s">
        <v>174</v>
      </c>
      <c r="B119" s="56" t="s">
        <v>66</v>
      </c>
      <c r="C119" s="56"/>
      <c r="D119" s="56" t="s">
        <v>67</v>
      </c>
      <c r="E119" s="56"/>
      <c r="F119" s="56" t="s">
        <v>175</v>
      </c>
      <c r="G119" s="56"/>
      <c r="H119" s="56" t="s">
        <v>69</v>
      </c>
      <c r="I119" s="56"/>
      <c r="J119" s="56" t="s">
        <v>70</v>
      </c>
      <c r="K119" s="56"/>
      <c r="L119" s="56" t="s">
        <v>176</v>
      </c>
      <c r="M119" s="56"/>
    </row>
    <row r="120" spans="1:13" x14ac:dyDescent="0.25">
      <c r="A120" s="40" t="s">
        <v>127</v>
      </c>
      <c r="B120" s="45">
        <f>Empresa_05!B6</f>
        <v>289300.57</v>
      </c>
      <c r="C120" s="10">
        <f>B120/B122</f>
        <v>0.91657536309841281</v>
      </c>
      <c r="D120" s="45">
        <f>Empresa_05!C6</f>
        <v>522944.53</v>
      </c>
      <c r="E120" s="10">
        <f>D120/D122</f>
        <v>0.92027802946835169</v>
      </c>
      <c r="F120" s="45">
        <f>Empresa_05!D6</f>
        <v>693442.52</v>
      </c>
      <c r="G120" s="10">
        <f>F120/F122</f>
        <v>0.88973161147933855</v>
      </c>
      <c r="H120" s="45">
        <f>Empresa_05!E6</f>
        <v>532165.29</v>
      </c>
      <c r="I120" s="10">
        <f>H120/H122</f>
        <v>0.71406965837535497</v>
      </c>
      <c r="J120" s="45">
        <f>Empresa_05!F6</f>
        <v>1272615.07</v>
      </c>
      <c r="K120" s="10">
        <f>J120/J122</f>
        <v>0.64356893617827826</v>
      </c>
      <c r="L120" s="45">
        <f>Empresa_05!K6</f>
        <v>0</v>
      </c>
      <c r="M120" s="10" t="e">
        <f>L120/L122</f>
        <v>#DIV/0!</v>
      </c>
    </row>
    <row r="121" spans="1:13" x14ac:dyDescent="0.25">
      <c r="A121" s="40" t="s">
        <v>128</v>
      </c>
      <c r="B121" s="45">
        <f>Casaments_05!B8</f>
        <v>26331.49</v>
      </c>
      <c r="C121" s="10">
        <f>B121/B122</f>
        <v>8.3424636901587246E-2</v>
      </c>
      <c r="D121" s="45">
        <f>Casaments_05!C8</f>
        <v>45301.71</v>
      </c>
      <c r="E121" s="10">
        <f>D121/D122</f>
        <v>7.9721970531648395E-2</v>
      </c>
      <c r="F121" s="45">
        <f>Casaments_05!D8</f>
        <v>85941.41</v>
      </c>
      <c r="G121" s="10">
        <f>F121/F122</f>
        <v>0.11026838852066144</v>
      </c>
      <c r="H121" s="45">
        <f>Casaments_05!E8</f>
        <v>213091.54</v>
      </c>
      <c r="I121" s="10">
        <f>H121/H122</f>
        <v>0.28593034162464498</v>
      </c>
      <c r="J121" s="45">
        <f>Casaments_05!F8</f>
        <v>704818.89</v>
      </c>
      <c r="K121" s="10">
        <f>J121/J122</f>
        <v>0.35643106382172179</v>
      </c>
      <c r="L121" s="45">
        <f>Casaments_05!K8</f>
        <v>0</v>
      </c>
      <c r="M121" s="10" t="e">
        <f>L121/L122</f>
        <v>#DIV/0!</v>
      </c>
    </row>
    <row r="122" spans="1:13" x14ac:dyDescent="0.25">
      <c r="B122" s="45">
        <f>SUM(B120:B121)</f>
        <v>315632.06</v>
      </c>
      <c r="D122" s="45">
        <f>SUM(D120:D121)</f>
        <v>568246.24</v>
      </c>
      <c r="F122" s="45">
        <f>SUM(F120:F121)</f>
        <v>779383.93</v>
      </c>
      <c r="H122" s="45">
        <f>SUM(H120:H121)</f>
        <v>745256.83000000007</v>
      </c>
      <c r="J122" s="45">
        <f>SUM(J120:J121)</f>
        <v>1977433.96</v>
      </c>
      <c r="L122" s="45">
        <f>SUM(L120:L121)</f>
        <v>0</v>
      </c>
    </row>
    <row r="124" spans="1:13" x14ac:dyDescent="0.25">
      <c r="A124" s="40" t="s">
        <v>179</v>
      </c>
      <c r="B124" s="56" t="s">
        <v>66</v>
      </c>
      <c r="C124" s="56"/>
      <c r="D124" s="56" t="s">
        <v>67</v>
      </c>
      <c r="E124" s="56"/>
      <c r="F124" s="56" t="s">
        <v>175</v>
      </c>
      <c r="G124" s="56"/>
      <c r="H124" s="56" t="s">
        <v>69</v>
      </c>
      <c r="I124" s="56"/>
      <c r="J124" s="56" t="s">
        <v>70</v>
      </c>
      <c r="K124" s="56"/>
      <c r="L124" s="56" t="s">
        <v>176</v>
      </c>
      <c r="M124" s="56"/>
    </row>
    <row r="125" spans="1:13" x14ac:dyDescent="0.25">
      <c r="A125" s="40" t="s">
        <v>127</v>
      </c>
      <c r="B125" s="45">
        <f>Empresa_05!B6</f>
        <v>289300.57</v>
      </c>
      <c r="C125" s="10">
        <f>B125/B128</f>
        <v>0.33300266797574557</v>
      </c>
      <c r="D125" s="45">
        <f>Empresa_05!C6</f>
        <v>522944.53</v>
      </c>
      <c r="E125" s="10">
        <f>D125/D128</f>
        <v>0.48755846310865381</v>
      </c>
      <c r="F125" s="45">
        <f>Empresa_05!D6</f>
        <v>693442.52</v>
      </c>
      <c r="G125" s="10">
        <f>F125/F128</f>
        <v>0.52291427214981334</v>
      </c>
      <c r="H125" s="45">
        <f>Empresa_05!E6</f>
        <v>532165.29</v>
      </c>
      <c r="I125" s="10">
        <f>H125/H128</f>
        <v>0.4029124749338705</v>
      </c>
      <c r="J125" s="45">
        <f>Empresa_05!F6</f>
        <v>1272615.07</v>
      </c>
      <c r="K125" s="10">
        <f>J125/J128</f>
        <v>0.50366541071061144</v>
      </c>
      <c r="L125" s="45">
        <f>Empresa_05!K11</f>
        <v>0</v>
      </c>
      <c r="M125" s="10" t="e">
        <f>L125/L127</f>
        <v>#DIV/0!</v>
      </c>
    </row>
    <row r="126" spans="1:13" x14ac:dyDescent="0.25">
      <c r="A126" s="40" t="s">
        <v>128</v>
      </c>
      <c r="B126" s="45">
        <f>Casaments_05!B8</f>
        <v>26331.49</v>
      </c>
      <c r="C126" s="10">
        <f>B126/B128</f>
        <v>3.0309157087995593E-2</v>
      </c>
      <c r="D126" s="45">
        <f>Casaments_05!C8</f>
        <v>45301.71</v>
      </c>
      <c r="E126" s="10">
        <f>D126/D128</f>
        <v>4.2236280975716356E-2</v>
      </c>
      <c r="F126" s="45">
        <f>Casaments_05!D8</f>
        <v>85941.41</v>
      </c>
      <c r="G126" s="10">
        <f>F126/F128</f>
        <v>6.4807087194016733E-2</v>
      </c>
      <c r="H126" s="45">
        <f>Casaments_05!E8</f>
        <v>213091.54</v>
      </c>
      <c r="I126" s="10">
        <f>H126/H128</f>
        <v>0.16133566277663444</v>
      </c>
      <c r="J126" s="45">
        <f>Casaments_05!F8</f>
        <v>704818.89</v>
      </c>
      <c r="K126" s="10">
        <f>J126/J128</f>
        <v>0.27894758130472813</v>
      </c>
      <c r="L126" s="45">
        <f>Casaments_05!K13</f>
        <v>0</v>
      </c>
      <c r="M126" s="10" t="e">
        <f>L126/L127</f>
        <v>#DIV/0!</v>
      </c>
    </row>
    <row r="127" spans="1:13" x14ac:dyDescent="0.25">
      <c r="A127" s="40" t="s">
        <v>85</v>
      </c>
      <c r="B127" s="45">
        <f>Precuinats_05!B2</f>
        <v>553131.46</v>
      </c>
      <c r="C127" s="10">
        <f>B127/B128</f>
        <v>0.63668817493625873</v>
      </c>
      <c r="D127" s="45">
        <f>Precuinats_05!C2</f>
        <v>504331.86</v>
      </c>
      <c r="E127" s="10">
        <f>D127/D128</f>
        <v>0.47020525591562978</v>
      </c>
      <c r="F127" s="45">
        <f>Precuinats_05!D2</f>
        <v>546727.36</v>
      </c>
      <c r="G127" s="10">
        <f>F127/F128</f>
        <v>0.41227864065616993</v>
      </c>
      <c r="H127" s="45">
        <f>Precuinats_05!E2</f>
        <v>575539.43000000005</v>
      </c>
      <c r="I127" s="10">
        <f>H127/H128</f>
        <v>0.43575186228949492</v>
      </c>
      <c r="J127" s="45">
        <f>Precuinats_05!F2</f>
        <v>549273.34</v>
      </c>
      <c r="K127" s="10">
        <f>J127/J128</f>
        <v>0.21738700798466051</v>
      </c>
      <c r="L127" s="45">
        <f>SUM(L125:L126)</f>
        <v>0</v>
      </c>
    </row>
    <row r="128" spans="1:13" x14ac:dyDescent="0.25">
      <c r="B128" s="45">
        <f>SUM(B125:B127)</f>
        <v>868763.52</v>
      </c>
      <c r="D128" s="45">
        <f>SUM(D125:D127)</f>
        <v>1072578.1000000001</v>
      </c>
      <c r="F128" s="45">
        <f>SUM(F125:F127)</f>
        <v>1326111.29</v>
      </c>
      <c r="H128" s="45">
        <f>SUM(H125:H127)</f>
        <v>1320796.2600000002</v>
      </c>
      <c r="J128" s="45">
        <f>SUM(J125:J127)</f>
        <v>2526707.2999999998</v>
      </c>
    </row>
  </sheetData>
  <mergeCells count="12">
    <mergeCell ref="L124:M124"/>
    <mergeCell ref="B119:C119"/>
    <mergeCell ref="D119:E119"/>
    <mergeCell ref="F119:G119"/>
    <mergeCell ref="H119:I119"/>
    <mergeCell ref="J119:K119"/>
    <mergeCell ref="L119:M119"/>
    <mergeCell ref="B124:C124"/>
    <mergeCell ref="D124:E124"/>
    <mergeCell ref="F124:G124"/>
    <mergeCell ref="H124:I124"/>
    <mergeCell ref="J124:K1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523DB-28B0-49FB-9C8F-683F3B0CC501}">
  <dimension ref="A1:O37"/>
  <sheetViews>
    <sheetView topLeftCell="A16" zoomScaleNormal="100" workbookViewId="0">
      <selection activeCell="B36" sqref="B36"/>
    </sheetView>
  </sheetViews>
  <sheetFormatPr baseColWidth="10" defaultRowHeight="15" x14ac:dyDescent="0.25"/>
  <cols>
    <col min="1" max="1" width="45.140625" customWidth="1"/>
    <col min="2" max="14" width="15.7109375" customWidth="1"/>
  </cols>
  <sheetData>
    <row r="1" spans="1:15" x14ac:dyDescent="0.25">
      <c r="A1" s="5" t="s">
        <v>80</v>
      </c>
      <c r="B1" s="6" t="s">
        <v>66</v>
      </c>
      <c r="C1" s="6" t="s">
        <v>67</v>
      </c>
      <c r="D1" s="6" t="s">
        <v>68</v>
      </c>
      <c r="E1" s="6" t="s">
        <v>69</v>
      </c>
      <c r="F1" s="6" t="s">
        <v>70</v>
      </c>
      <c r="G1" s="6" t="s">
        <v>71</v>
      </c>
      <c r="H1" s="6" t="s">
        <v>72</v>
      </c>
      <c r="I1" s="6" t="s">
        <v>73</v>
      </c>
      <c r="J1" s="6" t="s">
        <v>74</v>
      </c>
      <c r="K1" s="6" t="s">
        <v>75</v>
      </c>
      <c r="L1" s="6" t="s">
        <v>76</v>
      </c>
      <c r="M1" s="6" t="s">
        <v>77</v>
      </c>
      <c r="N1" s="6" t="s">
        <v>3</v>
      </c>
    </row>
    <row r="2" spans="1:15" x14ac:dyDescent="0.25">
      <c r="A2" s="7" t="s">
        <v>12</v>
      </c>
      <c r="B2" s="1">
        <v>387044.54</v>
      </c>
      <c r="C2" s="1">
        <v>451350.88</v>
      </c>
      <c r="D2" s="1">
        <v>581201.05000000005</v>
      </c>
      <c r="E2" s="1">
        <v>570984.56999999995</v>
      </c>
      <c r="F2" s="1">
        <v>640094.54</v>
      </c>
      <c r="N2" s="1">
        <f>SUM(B2:M2)</f>
        <v>2630675.58</v>
      </c>
    </row>
    <row r="3" spans="1:15" x14ac:dyDescent="0.25">
      <c r="A3" s="7" t="s">
        <v>182</v>
      </c>
      <c r="B3" s="1">
        <v>1069</v>
      </c>
      <c r="C3" s="1">
        <v>18189</v>
      </c>
      <c r="D3" s="1">
        <v>1100</v>
      </c>
      <c r="E3" s="1">
        <v>17092</v>
      </c>
      <c r="F3" s="1">
        <v>2185.44</v>
      </c>
      <c r="N3" s="1">
        <f t="shared" ref="N3:N4" si="0">SUM(B3:M3)</f>
        <v>39635.440000000002</v>
      </c>
    </row>
    <row r="4" spans="1:15" x14ac:dyDescent="0.25">
      <c r="A4" s="7" t="s">
        <v>13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N4" s="1">
        <f t="shared" si="0"/>
        <v>0</v>
      </c>
    </row>
    <row r="5" spans="1:15" x14ac:dyDescent="0.25">
      <c r="A5" s="7" t="s">
        <v>14</v>
      </c>
      <c r="B5" s="1">
        <v>4617.95</v>
      </c>
      <c r="C5" s="1">
        <v>4617.95</v>
      </c>
      <c r="D5" s="1">
        <v>4617.95</v>
      </c>
      <c r="E5" s="1">
        <v>4617.95</v>
      </c>
      <c r="F5" s="1">
        <v>4617.95</v>
      </c>
      <c r="N5" s="1">
        <f t="shared" ref="N5:N36" si="1">SUM(B5:M5)</f>
        <v>23089.75</v>
      </c>
    </row>
    <row r="6" spans="1:15" x14ac:dyDescent="0.25">
      <c r="A6" s="7" t="s">
        <v>15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N6" s="1">
        <f t="shared" si="1"/>
        <v>0</v>
      </c>
    </row>
    <row r="7" spans="1:15" s="25" customFormat="1" x14ac:dyDescent="0.25">
      <c r="A7" s="8" t="s">
        <v>16</v>
      </c>
      <c r="B7" s="9">
        <f>SUM(B2:B6)</f>
        <v>392731.49</v>
      </c>
      <c r="C7" s="9">
        <f t="shared" ref="C7:M7" si="2">SUM(C2:C6)</f>
        <v>474157.83</v>
      </c>
      <c r="D7" s="9">
        <f t="shared" si="2"/>
        <v>586919</v>
      </c>
      <c r="E7" s="9">
        <f t="shared" si="2"/>
        <v>592694.5199999999</v>
      </c>
      <c r="F7" s="9">
        <f t="shared" si="2"/>
        <v>646897.92999999993</v>
      </c>
      <c r="G7" s="9">
        <f t="shared" si="2"/>
        <v>0</v>
      </c>
      <c r="H7" s="9">
        <f t="shared" si="2"/>
        <v>0</v>
      </c>
      <c r="I7" s="9">
        <f t="shared" si="2"/>
        <v>0</v>
      </c>
      <c r="J7" s="9">
        <f t="shared" si="2"/>
        <v>0</v>
      </c>
      <c r="K7" s="9">
        <f t="shared" si="2"/>
        <v>0</v>
      </c>
      <c r="L7" s="9">
        <f t="shared" si="2"/>
        <v>0</v>
      </c>
      <c r="M7" s="9">
        <f t="shared" si="2"/>
        <v>0</v>
      </c>
      <c r="N7" s="9">
        <f t="shared" si="1"/>
        <v>2693400.7699999996</v>
      </c>
    </row>
    <row r="8" spans="1:15" x14ac:dyDescent="0.25">
      <c r="A8" s="7" t="s">
        <v>17</v>
      </c>
      <c r="B8" s="1">
        <v>-83569.37</v>
      </c>
      <c r="C8" s="1">
        <v>-102354.42</v>
      </c>
      <c r="D8" s="1">
        <v>-119547.25</v>
      </c>
      <c r="E8" s="1">
        <v>-125816.95</v>
      </c>
      <c r="F8" s="1">
        <v>-129731.94</v>
      </c>
      <c r="N8" s="1">
        <f t="shared" si="1"/>
        <v>-561019.92999999993</v>
      </c>
    </row>
    <row r="9" spans="1:15" x14ac:dyDescent="0.25">
      <c r="A9" s="7" t="s">
        <v>18</v>
      </c>
      <c r="B9" s="1">
        <v>-8313.31</v>
      </c>
      <c r="C9" s="1">
        <v>-9250.5499999999993</v>
      </c>
      <c r="D9" s="1">
        <v>-9342.8700000000008</v>
      </c>
      <c r="E9" s="1">
        <v>-5630.13</v>
      </c>
      <c r="F9" s="1">
        <v>-8068.66</v>
      </c>
      <c r="N9" s="1">
        <f t="shared" si="1"/>
        <v>-40605.520000000004</v>
      </c>
    </row>
    <row r="10" spans="1:15" x14ac:dyDescent="0.25">
      <c r="A10" s="7"/>
      <c r="B10" s="1">
        <f>SUM(B8:B9)</f>
        <v>-91882.68</v>
      </c>
      <c r="C10" s="1">
        <f t="shared" ref="C10:F10" si="3">SUM(C8:C9)</f>
        <v>-111604.97</v>
      </c>
      <c r="D10" s="1">
        <f t="shared" si="3"/>
        <v>-128890.12</v>
      </c>
      <c r="E10" s="1">
        <f t="shared" si="3"/>
        <v>-131447.07999999999</v>
      </c>
      <c r="F10" s="1">
        <f t="shared" si="3"/>
        <v>-137800.6</v>
      </c>
      <c r="N10" s="1">
        <f t="shared" si="1"/>
        <v>-601625.44999999995</v>
      </c>
    </row>
    <row r="11" spans="1:15" x14ac:dyDescent="0.25">
      <c r="A11" s="7" t="s">
        <v>19</v>
      </c>
      <c r="B11" s="1">
        <v>-38863.39</v>
      </c>
      <c r="C11" s="1">
        <v>-37571.379999999997</v>
      </c>
      <c r="D11" s="1">
        <v>-53459.600000000006</v>
      </c>
      <c r="E11" s="1">
        <v>-68084.45</v>
      </c>
      <c r="F11" s="1">
        <v>-74144.710000000021</v>
      </c>
      <c r="N11" s="1">
        <f t="shared" si="1"/>
        <v>-272123.53000000003</v>
      </c>
      <c r="O11" s="10">
        <f>N11/N7</f>
        <v>-0.10103343439676825</v>
      </c>
    </row>
    <row r="12" spans="1:15" x14ac:dyDescent="0.25">
      <c r="A12" s="7" t="s">
        <v>20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N12" s="1">
        <f t="shared" si="1"/>
        <v>0</v>
      </c>
    </row>
    <row r="13" spans="1:15" s="25" customFormat="1" x14ac:dyDescent="0.25">
      <c r="A13" s="8" t="s">
        <v>21</v>
      </c>
      <c r="B13" s="9">
        <f>SUM(B10:B12)</f>
        <v>-130746.06999999999</v>
      </c>
      <c r="C13" s="9">
        <f t="shared" ref="C13:F13" si="4">SUM(C10:C12)</f>
        <v>-149176.35</v>
      </c>
      <c r="D13" s="9">
        <f t="shared" si="4"/>
        <v>-182349.72</v>
      </c>
      <c r="E13" s="9">
        <f t="shared" si="4"/>
        <v>-199531.52999999997</v>
      </c>
      <c r="F13" s="9">
        <f t="shared" si="4"/>
        <v>-211945.31000000003</v>
      </c>
      <c r="G13" s="9">
        <f t="shared" ref="G13:M13" si="5">SUM(G8:G12)</f>
        <v>0</v>
      </c>
      <c r="H13" s="9">
        <f t="shared" si="5"/>
        <v>0</v>
      </c>
      <c r="I13" s="9">
        <f t="shared" si="5"/>
        <v>0</v>
      </c>
      <c r="J13" s="9">
        <f t="shared" si="5"/>
        <v>0</v>
      </c>
      <c r="K13" s="9">
        <f t="shared" si="5"/>
        <v>0</v>
      </c>
      <c r="L13" s="9">
        <f t="shared" si="5"/>
        <v>0</v>
      </c>
      <c r="M13" s="9">
        <f t="shared" si="5"/>
        <v>0</v>
      </c>
      <c r="N13" s="9">
        <f t="shared" si="1"/>
        <v>-873748.98</v>
      </c>
      <c r="O13" s="30">
        <f>N13/$N$7</f>
        <v>-0.32440362746313467</v>
      </c>
    </row>
    <row r="14" spans="1:15" x14ac:dyDescent="0.25">
      <c r="A14" s="7" t="s">
        <v>78</v>
      </c>
      <c r="B14" s="1">
        <v>-20000</v>
      </c>
      <c r="C14" s="1">
        <v>-20000</v>
      </c>
      <c r="D14" s="1">
        <v>-20000</v>
      </c>
      <c r="E14" s="1">
        <v>-20000</v>
      </c>
      <c r="F14" s="1">
        <v>-20000</v>
      </c>
      <c r="G14" s="1"/>
      <c r="H14" s="1"/>
      <c r="I14" s="1"/>
      <c r="J14" s="1"/>
      <c r="K14" s="1"/>
      <c r="L14" s="1"/>
      <c r="M14" s="1"/>
      <c r="N14" s="1">
        <f t="shared" si="1"/>
        <v>-100000</v>
      </c>
    </row>
    <row r="15" spans="1:15" x14ac:dyDescent="0.25">
      <c r="A15" s="7" t="s">
        <v>23</v>
      </c>
      <c r="B15" s="1">
        <f>-240865.21</f>
        <v>-240865.21</v>
      </c>
      <c r="C15" s="1">
        <f>-229230.19</f>
        <v>-229230.19</v>
      </c>
      <c r="D15">
        <f>-253674.15</f>
        <v>-253674.15</v>
      </c>
      <c r="E15" s="1">
        <f>-256915.37</f>
        <v>-256915.37</v>
      </c>
      <c r="F15" s="1">
        <f>-253123.37</f>
        <v>-253123.37</v>
      </c>
      <c r="N15" s="1">
        <f t="shared" si="1"/>
        <v>-1233808.29</v>
      </c>
    </row>
    <row r="16" spans="1:15" x14ac:dyDescent="0.25">
      <c r="A16" s="7" t="s">
        <v>183</v>
      </c>
      <c r="B16" s="1">
        <v>-6442.71</v>
      </c>
      <c r="C16" s="1">
        <v>8493.25</v>
      </c>
      <c r="D16">
        <v>-8727.7099999999991</v>
      </c>
      <c r="E16" s="1">
        <v>-5870.32</v>
      </c>
      <c r="F16" s="1">
        <v>-4972.41</v>
      </c>
      <c r="N16" s="1">
        <f t="shared" si="1"/>
        <v>-17519.899999999998</v>
      </c>
    </row>
    <row r="17" spans="1:15" x14ac:dyDescent="0.25">
      <c r="A17" s="7" t="s">
        <v>24</v>
      </c>
      <c r="B17" s="1">
        <v>-2000</v>
      </c>
      <c r="C17" s="1">
        <v>-21000</v>
      </c>
      <c r="D17">
        <v>0</v>
      </c>
      <c r="E17" s="1">
        <v>0</v>
      </c>
      <c r="F17" s="1">
        <v>-2200</v>
      </c>
      <c r="N17" s="1">
        <f t="shared" si="1"/>
        <v>-25200</v>
      </c>
    </row>
    <row r="18" spans="1:15" x14ac:dyDescent="0.25">
      <c r="A18" s="7" t="s">
        <v>25</v>
      </c>
      <c r="B18" s="1">
        <v>-62895.34</v>
      </c>
      <c r="C18" s="1">
        <v>-64940.939999999995</v>
      </c>
      <c r="D18">
        <v>-67531.7</v>
      </c>
      <c r="E18" s="1">
        <v>-75595.64</v>
      </c>
      <c r="F18" s="1">
        <v>-75385.48</v>
      </c>
      <c r="N18" s="1">
        <f t="shared" si="1"/>
        <v>-346349.1</v>
      </c>
    </row>
    <row r="19" spans="1:15" x14ac:dyDescent="0.25">
      <c r="A19" s="7" t="s">
        <v>26</v>
      </c>
      <c r="B19" s="1">
        <v>-2425.7800000000002</v>
      </c>
      <c r="C19" s="1">
        <v>-1494.3999999999999</v>
      </c>
      <c r="D19">
        <v>-1480.31</v>
      </c>
      <c r="E19" s="1">
        <v>-2502.0499999999997</v>
      </c>
      <c r="F19" s="1">
        <v>-1778.57</v>
      </c>
      <c r="N19" s="1">
        <f t="shared" si="1"/>
        <v>-9681.1099999999988</v>
      </c>
    </row>
    <row r="20" spans="1:15" s="25" customFormat="1" x14ac:dyDescent="0.25">
      <c r="A20" s="8" t="s">
        <v>27</v>
      </c>
      <c r="B20" s="9">
        <f>SUM(B14:B19)</f>
        <v>-334629.04000000004</v>
      </c>
      <c r="C20" s="9">
        <f t="shared" ref="C20:M20" si="6">SUM(C14:C19)</f>
        <v>-328172.28000000003</v>
      </c>
      <c r="D20" s="9">
        <f t="shared" si="6"/>
        <v>-351413.87000000005</v>
      </c>
      <c r="E20" s="9">
        <f t="shared" si="6"/>
        <v>-360883.38</v>
      </c>
      <c r="F20" s="9">
        <f t="shared" si="6"/>
        <v>-357459.82999999996</v>
      </c>
      <c r="G20" s="9">
        <f t="shared" si="6"/>
        <v>0</v>
      </c>
      <c r="H20" s="9">
        <f t="shared" si="6"/>
        <v>0</v>
      </c>
      <c r="I20" s="9">
        <f t="shared" si="6"/>
        <v>0</v>
      </c>
      <c r="J20" s="9">
        <f t="shared" si="6"/>
        <v>0</v>
      </c>
      <c r="K20" s="9">
        <f t="shared" si="6"/>
        <v>0</v>
      </c>
      <c r="L20" s="9">
        <f t="shared" si="6"/>
        <v>0</v>
      </c>
      <c r="M20" s="9">
        <f t="shared" si="6"/>
        <v>0</v>
      </c>
      <c r="N20" s="9">
        <f t="shared" si="1"/>
        <v>-1732558.4000000004</v>
      </c>
      <c r="O20" s="30">
        <f>N20/$N$7</f>
        <v>-0.64326052747062989</v>
      </c>
    </row>
    <row r="21" spans="1:15" x14ac:dyDescent="0.25">
      <c r="A21" s="7" t="s">
        <v>28</v>
      </c>
      <c r="B21" s="1">
        <v>-24126.84</v>
      </c>
      <c r="C21" s="1">
        <v>-31160.25</v>
      </c>
      <c r="D21" s="1">
        <v>-34984.199999999997</v>
      </c>
      <c r="E21" s="1">
        <v>-45678.55</v>
      </c>
      <c r="F21" s="11">
        <v>-44091.64</v>
      </c>
      <c r="N21" s="1">
        <f t="shared" si="1"/>
        <v>-180041.47999999998</v>
      </c>
    </row>
    <row r="22" spans="1:15" x14ac:dyDescent="0.25">
      <c r="A22" s="7" t="s">
        <v>29</v>
      </c>
      <c r="B22" s="1">
        <v>-15891.89</v>
      </c>
      <c r="C22" s="1">
        <v>-11100.92</v>
      </c>
      <c r="D22" s="1">
        <v>-18424.79</v>
      </c>
      <c r="E22" s="1">
        <v>-18690.59</v>
      </c>
      <c r="F22" s="11">
        <v>-16432.73</v>
      </c>
      <c r="N22" s="1">
        <f t="shared" si="1"/>
        <v>-80540.92</v>
      </c>
    </row>
    <row r="23" spans="1:15" x14ac:dyDescent="0.25">
      <c r="A23" s="7" t="s">
        <v>30</v>
      </c>
      <c r="B23" s="1">
        <v>-1882.99</v>
      </c>
      <c r="C23" s="1">
        <v>-1712.87</v>
      </c>
      <c r="D23" s="1">
        <v>-2627.16</v>
      </c>
      <c r="E23" s="1">
        <v>-2317.08</v>
      </c>
      <c r="F23" s="11">
        <v>-6583.63</v>
      </c>
      <c r="N23" s="1">
        <f t="shared" si="1"/>
        <v>-15123.73</v>
      </c>
    </row>
    <row r="24" spans="1:15" x14ac:dyDescent="0.25">
      <c r="A24" s="7" t="s">
        <v>30</v>
      </c>
      <c r="B24" s="1"/>
      <c r="C24" s="1">
        <v>-415</v>
      </c>
      <c r="D24" s="1">
        <v>-710</v>
      </c>
      <c r="E24" s="1">
        <v>-280</v>
      </c>
      <c r="F24" s="11">
        <v>-200</v>
      </c>
      <c r="N24" s="1"/>
    </row>
    <row r="25" spans="1:15" x14ac:dyDescent="0.25">
      <c r="A25" s="7" t="s">
        <v>31</v>
      </c>
      <c r="B25" s="1">
        <v>-350</v>
      </c>
      <c r="C25" s="1">
        <v>0</v>
      </c>
      <c r="D25" s="1">
        <v>-25.2</v>
      </c>
      <c r="E25" s="1">
        <v>0</v>
      </c>
      <c r="F25">
        <v>0</v>
      </c>
      <c r="N25" s="1">
        <f t="shared" si="1"/>
        <v>-375.2</v>
      </c>
    </row>
    <row r="26" spans="1:15" x14ac:dyDescent="0.25">
      <c r="A26" s="7" t="s">
        <v>32</v>
      </c>
      <c r="B26" s="1">
        <v>-1513.17</v>
      </c>
      <c r="C26" s="1">
        <v>-1417.17</v>
      </c>
      <c r="D26" s="1">
        <v>-1417.17</v>
      </c>
      <c r="E26" s="1">
        <v>-1417.17</v>
      </c>
      <c r="F26" s="11">
        <v>-1417.17</v>
      </c>
      <c r="N26" s="1">
        <f t="shared" si="1"/>
        <v>-7181.85</v>
      </c>
    </row>
    <row r="27" spans="1:15" x14ac:dyDescent="0.25">
      <c r="A27" s="7" t="s">
        <v>33</v>
      </c>
      <c r="B27" s="1">
        <v>-1572.02</v>
      </c>
      <c r="C27" s="1">
        <v>-2033.07</v>
      </c>
      <c r="D27" s="1">
        <v>-2931.03</v>
      </c>
      <c r="E27" s="1">
        <v>-3147.63</v>
      </c>
      <c r="F27" s="11">
        <v>-2927.84</v>
      </c>
      <c r="N27" s="1">
        <f t="shared" si="1"/>
        <v>-12611.59</v>
      </c>
    </row>
    <row r="28" spans="1:15" x14ac:dyDescent="0.25">
      <c r="A28" s="7" t="s">
        <v>34</v>
      </c>
      <c r="B28" s="1">
        <v>-933.97</v>
      </c>
      <c r="C28" s="1">
        <v>-323.95999999999998</v>
      </c>
      <c r="D28" s="1">
        <v>-1628.25</v>
      </c>
      <c r="E28" s="1">
        <v>-1839.79</v>
      </c>
      <c r="F28" s="11">
        <v>-810.74</v>
      </c>
      <c r="N28" s="1">
        <f t="shared" si="1"/>
        <v>-5536.71</v>
      </c>
    </row>
    <row r="29" spans="1:15" x14ac:dyDescent="0.25">
      <c r="A29" s="7" t="s">
        <v>35</v>
      </c>
      <c r="B29" s="1">
        <v>-22044.31</v>
      </c>
      <c r="C29" s="1">
        <v>-17620.099999999999</v>
      </c>
      <c r="D29" s="1">
        <v>-18511.09</v>
      </c>
      <c r="E29" s="1">
        <v>-21222.18</v>
      </c>
      <c r="F29" s="11">
        <v>-18492.400000000001</v>
      </c>
      <c r="N29" s="1">
        <f t="shared" si="1"/>
        <v>-97890.079999999987</v>
      </c>
    </row>
    <row r="30" spans="1:15" x14ac:dyDescent="0.25">
      <c r="A30" s="7" t="s">
        <v>36</v>
      </c>
      <c r="B30" s="1">
        <v>-8766.98</v>
      </c>
      <c r="C30" s="1">
        <v>-16450.009999999998</v>
      </c>
      <c r="D30" s="1">
        <v>-18198.810000000001</v>
      </c>
      <c r="E30" s="1">
        <v>-12204.85</v>
      </c>
      <c r="F30" s="11">
        <v>-8652.39</v>
      </c>
      <c r="N30" s="1">
        <f t="shared" si="1"/>
        <v>-64273.04</v>
      </c>
    </row>
    <row r="31" spans="1:15" x14ac:dyDescent="0.25">
      <c r="A31" s="7" t="s">
        <v>37</v>
      </c>
      <c r="B31" s="1">
        <v>-3010.38</v>
      </c>
      <c r="C31" s="1">
        <v>-2533.33</v>
      </c>
      <c r="D31" s="1">
        <v>-2533.33</v>
      </c>
      <c r="E31" s="1">
        <v>-2879.9</v>
      </c>
      <c r="F31" s="11">
        <v>-2891.37</v>
      </c>
      <c r="N31" s="1">
        <f t="shared" si="1"/>
        <v>-13848.310000000001</v>
      </c>
    </row>
    <row r="32" spans="1:15" x14ac:dyDescent="0.25">
      <c r="A32" s="7" t="s">
        <v>38</v>
      </c>
      <c r="B32" s="1">
        <v>0</v>
      </c>
      <c r="C32" s="1">
        <v>0</v>
      </c>
      <c r="D32" s="1">
        <v>0</v>
      </c>
      <c r="E32" s="1">
        <v>0</v>
      </c>
      <c r="F32">
        <v>0</v>
      </c>
      <c r="N32" s="1">
        <f t="shared" si="1"/>
        <v>0</v>
      </c>
    </row>
    <row r="33" spans="1:15" x14ac:dyDescent="0.25">
      <c r="A33" s="7" t="s">
        <v>39</v>
      </c>
      <c r="B33" s="1">
        <v>0</v>
      </c>
      <c r="C33" s="1">
        <v>0</v>
      </c>
      <c r="D33" s="1">
        <v>0</v>
      </c>
      <c r="E33" s="1">
        <v>0</v>
      </c>
      <c r="F33">
        <v>0</v>
      </c>
      <c r="N33" s="1">
        <f t="shared" si="1"/>
        <v>0</v>
      </c>
    </row>
    <row r="34" spans="1:15" s="25" customFormat="1" x14ac:dyDescent="0.25">
      <c r="A34" s="8" t="s">
        <v>40</v>
      </c>
      <c r="B34" s="9">
        <f t="shared" ref="B34:M34" si="7">SUM(B21:B33)</f>
        <v>-80092.549999999988</v>
      </c>
      <c r="C34" s="9">
        <f t="shared" si="7"/>
        <v>-84766.68</v>
      </c>
      <c r="D34" s="9">
        <f t="shared" si="7"/>
        <v>-101991.02999999998</v>
      </c>
      <c r="E34" s="9">
        <f t="shared" si="7"/>
        <v>-109677.73999999999</v>
      </c>
      <c r="F34" s="9">
        <f t="shared" si="7"/>
        <v>-102499.90999999999</v>
      </c>
      <c r="G34" s="9">
        <f t="shared" si="7"/>
        <v>0</v>
      </c>
      <c r="H34" s="9">
        <f t="shared" si="7"/>
        <v>0</v>
      </c>
      <c r="I34" s="9">
        <f t="shared" si="7"/>
        <v>0</v>
      </c>
      <c r="J34" s="9">
        <f t="shared" si="7"/>
        <v>0</v>
      </c>
      <c r="K34" s="9">
        <f t="shared" si="7"/>
        <v>0</v>
      </c>
      <c r="L34" s="9">
        <f t="shared" si="7"/>
        <v>0</v>
      </c>
      <c r="M34" s="9">
        <f t="shared" si="7"/>
        <v>0</v>
      </c>
      <c r="N34" s="9">
        <f t="shared" si="1"/>
        <v>-479027.90999999992</v>
      </c>
      <c r="O34" s="30">
        <f>N34/$N$7</f>
        <v>-0.17785244414257742</v>
      </c>
    </row>
    <row r="35" spans="1:15" x14ac:dyDescent="0.25">
      <c r="A35" s="7" t="s">
        <v>41</v>
      </c>
      <c r="B35" s="1">
        <f t="shared" ref="B35:M35" si="8">B34+B20</f>
        <v>-414721.59</v>
      </c>
      <c r="C35" s="1">
        <f t="shared" si="8"/>
        <v>-412938.96</v>
      </c>
      <c r="D35" s="1">
        <f t="shared" si="8"/>
        <v>-453404.9</v>
      </c>
      <c r="E35" s="1">
        <f t="shared" si="8"/>
        <v>-470561.12</v>
      </c>
      <c r="F35" s="1">
        <f t="shared" si="8"/>
        <v>-459959.73999999993</v>
      </c>
      <c r="G35" s="1">
        <f t="shared" si="8"/>
        <v>0</v>
      </c>
      <c r="H35" s="1">
        <f t="shared" si="8"/>
        <v>0</v>
      </c>
      <c r="I35" s="1">
        <f t="shared" si="8"/>
        <v>0</v>
      </c>
      <c r="J35" s="1">
        <f t="shared" si="8"/>
        <v>0</v>
      </c>
      <c r="K35" s="1">
        <f t="shared" si="8"/>
        <v>0</v>
      </c>
      <c r="L35" s="1">
        <f t="shared" si="8"/>
        <v>0</v>
      </c>
      <c r="M35" s="1">
        <f t="shared" si="8"/>
        <v>0</v>
      </c>
      <c r="N35" s="1">
        <f t="shared" si="1"/>
        <v>-2211586.31</v>
      </c>
    </row>
    <row r="36" spans="1:15" s="25" customFormat="1" x14ac:dyDescent="0.25">
      <c r="A36" s="8" t="s">
        <v>42</v>
      </c>
      <c r="B36" s="9">
        <f t="shared" ref="B36:M36" si="9">B7+(B13+B20+B34)</f>
        <v>-152736.17000000004</v>
      </c>
      <c r="C36" s="9">
        <f t="shared" si="9"/>
        <v>-87957.48000000004</v>
      </c>
      <c r="D36" s="9">
        <f t="shared" si="9"/>
        <v>-48835.620000000112</v>
      </c>
      <c r="E36" s="9">
        <f t="shared" si="9"/>
        <v>-77398.13</v>
      </c>
      <c r="F36" s="9">
        <f t="shared" si="9"/>
        <v>-25007.120000000112</v>
      </c>
      <c r="G36" s="9">
        <f t="shared" si="9"/>
        <v>0</v>
      </c>
      <c r="H36" s="9">
        <f t="shared" si="9"/>
        <v>0</v>
      </c>
      <c r="I36" s="9">
        <f t="shared" si="9"/>
        <v>0</v>
      </c>
      <c r="J36" s="9">
        <f t="shared" si="9"/>
        <v>0</v>
      </c>
      <c r="K36" s="9">
        <f t="shared" si="9"/>
        <v>0</v>
      </c>
      <c r="L36" s="9">
        <f t="shared" si="9"/>
        <v>0</v>
      </c>
      <c r="M36" s="9">
        <f t="shared" si="9"/>
        <v>0</v>
      </c>
      <c r="N36" s="9">
        <f t="shared" si="1"/>
        <v>-391934.52000000031</v>
      </c>
    </row>
    <row r="37" spans="1:15" x14ac:dyDescent="0.25">
      <c r="A37" s="7" t="s">
        <v>79</v>
      </c>
      <c r="B37" s="10">
        <f>B36/B7</f>
        <v>-0.38890736772852119</v>
      </c>
      <c r="C37" s="10">
        <f>C36/C7</f>
        <v>-0.18550253614919748</v>
      </c>
      <c r="D37" s="10">
        <f>D36/D7</f>
        <v>-8.3206745734931239E-2</v>
      </c>
      <c r="E37" s="10">
        <f>E36/E7</f>
        <v>-0.13058688310463881</v>
      </c>
      <c r="F37" s="10">
        <f>F36/F7</f>
        <v>-3.8656979471243809E-2</v>
      </c>
      <c r="G37" s="10"/>
      <c r="H37" s="10"/>
      <c r="I37" s="10"/>
      <c r="J37" s="10"/>
      <c r="K37" s="10"/>
      <c r="L37" s="10"/>
      <c r="M37" s="10"/>
      <c r="N37" s="10">
        <f>N36/N7</f>
        <v>-0.14551659907634182</v>
      </c>
    </row>
  </sheetData>
  <conditionalFormatting sqref="B36:N36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E578F-EE10-43DC-954B-C1DF70B30F6B}">
  <dimension ref="A1:O60"/>
  <sheetViews>
    <sheetView topLeftCell="A13" zoomScale="90" zoomScaleNormal="90" workbookViewId="0">
      <selection activeCell="J43" sqref="J43"/>
    </sheetView>
  </sheetViews>
  <sheetFormatPr baseColWidth="10" defaultRowHeight="15" x14ac:dyDescent="0.25"/>
  <cols>
    <col min="1" max="1" width="45.140625" customWidth="1"/>
    <col min="2" max="2" width="15.7109375" customWidth="1"/>
    <col min="3" max="3" width="15.7109375" style="1" customWidth="1"/>
    <col min="4" max="14" width="15.7109375" customWidth="1"/>
  </cols>
  <sheetData>
    <row r="1" spans="1:15" x14ac:dyDescent="0.25">
      <c r="A1" s="5" t="s">
        <v>80</v>
      </c>
      <c r="B1" s="6" t="s">
        <v>66</v>
      </c>
      <c r="C1" s="6" t="s">
        <v>67</v>
      </c>
      <c r="D1" s="6" t="s">
        <v>68</v>
      </c>
      <c r="E1" s="6" t="s">
        <v>69</v>
      </c>
      <c r="F1" s="6" t="s">
        <v>70</v>
      </c>
      <c r="G1" s="6" t="s">
        <v>71</v>
      </c>
      <c r="H1" s="6" t="s">
        <v>72</v>
      </c>
      <c r="I1" s="6" t="s">
        <v>73</v>
      </c>
      <c r="J1" s="6" t="s">
        <v>74</v>
      </c>
      <c r="K1" s="6" t="s">
        <v>75</v>
      </c>
      <c r="L1" s="6" t="s">
        <v>76</v>
      </c>
      <c r="M1" s="6" t="s">
        <v>77</v>
      </c>
      <c r="N1" s="6" t="s">
        <v>3</v>
      </c>
    </row>
    <row r="2" spans="1:15" x14ac:dyDescent="0.25">
      <c r="A2" s="7" t="s">
        <v>12</v>
      </c>
      <c r="B2" s="1">
        <v>289300.57</v>
      </c>
      <c r="C2" s="1">
        <v>522944.53</v>
      </c>
      <c r="D2" s="1">
        <v>693442.52</v>
      </c>
      <c r="E2" s="1">
        <v>532165.29</v>
      </c>
      <c r="F2" s="1">
        <v>1272615.07</v>
      </c>
      <c r="N2" s="1">
        <f t="shared" ref="N2:N14" si="0">SUM(B2:M2)</f>
        <v>3310467.9800000004</v>
      </c>
    </row>
    <row r="3" spans="1:15" x14ac:dyDescent="0.25">
      <c r="A3" s="7" t="s">
        <v>13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N3" s="1">
        <f t="shared" si="0"/>
        <v>0</v>
      </c>
    </row>
    <row r="4" spans="1:15" x14ac:dyDescent="0.25">
      <c r="A4" s="7" t="s">
        <v>14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N4" s="1">
        <f t="shared" si="0"/>
        <v>0</v>
      </c>
    </row>
    <row r="5" spans="1:15" x14ac:dyDescent="0.25">
      <c r="A5" s="7" t="s">
        <v>15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N5" s="1">
        <f t="shared" si="0"/>
        <v>0</v>
      </c>
    </row>
    <row r="6" spans="1:15" x14ac:dyDescent="0.25">
      <c r="A6" s="36" t="s">
        <v>16</v>
      </c>
      <c r="B6" s="37">
        <f>SUM(B2:B5)</f>
        <v>289300.57</v>
      </c>
      <c r="C6" s="37">
        <f t="shared" ref="C6:M6" si="1">SUM(C2:C5)</f>
        <v>522944.53</v>
      </c>
      <c r="D6" s="37">
        <f t="shared" si="1"/>
        <v>693442.52</v>
      </c>
      <c r="E6" s="37">
        <f t="shared" si="1"/>
        <v>532165.29</v>
      </c>
      <c r="F6" s="37">
        <f t="shared" si="1"/>
        <v>1272615.07</v>
      </c>
      <c r="G6" s="37">
        <f t="shared" si="1"/>
        <v>0</v>
      </c>
      <c r="H6" s="37">
        <f t="shared" si="1"/>
        <v>0</v>
      </c>
      <c r="I6" s="37">
        <f t="shared" si="1"/>
        <v>0</v>
      </c>
      <c r="J6" s="37">
        <f t="shared" si="1"/>
        <v>0</v>
      </c>
      <c r="K6" s="37">
        <f t="shared" si="1"/>
        <v>0</v>
      </c>
      <c r="L6" s="37">
        <f t="shared" si="1"/>
        <v>0</v>
      </c>
      <c r="M6" s="37">
        <f t="shared" si="1"/>
        <v>0</v>
      </c>
      <c r="N6" s="37">
        <f t="shared" si="0"/>
        <v>3310467.9800000004</v>
      </c>
    </row>
    <row r="7" spans="1:15" x14ac:dyDescent="0.25">
      <c r="A7" s="7" t="s">
        <v>17</v>
      </c>
      <c r="B7" s="1">
        <v>-64</v>
      </c>
      <c r="C7" s="1">
        <v>0</v>
      </c>
      <c r="D7" s="1">
        <v>0</v>
      </c>
      <c r="E7" s="1">
        <v>-253.4</v>
      </c>
      <c r="F7" s="1">
        <v>-497.64</v>
      </c>
      <c r="N7" s="1">
        <f t="shared" si="0"/>
        <v>-815.04</v>
      </c>
    </row>
    <row r="8" spans="1:15" x14ac:dyDescent="0.25">
      <c r="A8" s="7" t="s">
        <v>18</v>
      </c>
      <c r="B8" s="1">
        <v>-1275.3</v>
      </c>
      <c r="C8" s="1">
        <v>-802.97</v>
      </c>
      <c r="D8" s="1">
        <v>-558.52</v>
      </c>
      <c r="E8" s="1">
        <v>-2165.52</v>
      </c>
      <c r="F8" s="1">
        <v>-478.97</v>
      </c>
      <c r="N8" s="1">
        <f t="shared" si="0"/>
        <v>-5281.28</v>
      </c>
    </row>
    <row r="9" spans="1:15" x14ac:dyDescent="0.25">
      <c r="A9" s="7" t="s">
        <v>90</v>
      </c>
      <c r="B9" s="1">
        <v>-408725.23</v>
      </c>
      <c r="C9" s="1">
        <v>-510110.91</v>
      </c>
      <c r="D9" s="1">
        <v>-622510.5</v>
      </c>
      <c r="E9" s="1">
        <v>-536165.77</v>
      </c>
      <c r="F9" s="1">
        <v>-727844.97</v>
      </c>
      <c r="N9" s="1">
        <f t="shared" si="0"/>
        <v>-2805357.38</v>
      </c>
    </row>
    <row r="10" spans="1:15" x14ac:dyDescent="0.25">
      <c r="A10" s="34" t="s">
        <v>85</v>
      </c>
      <c r="B10" s="1">
        <f>Precuinats_05!B11</f>
        <v>-248909.15699999998</v>
      </c>
      <c r="C10" s="1">
        <f>Precuinats_05!C11</f>
        <v>-226949.337</v>
      </c>
      <c r="D10" s="1">
        <f>Precuinats_05!D11</f>
        <v>-246027.31200000001</v>
      </c>
      <c r="E10" s="1">
        <f>Precuinats_05!E11</f>
        <v>-258992.74350000004</v>
      </c>
      <c r="F10" s="1">
        <f>Precuinats_05!F11</f>
        <v>-247173.003</v>
      </c>
      <c r="G10" s="1">
        <f>Precuinats_05!G11</f>
        <v>0</v>
      </c>
      <c r="H10" s="1">
        <f>Precuinats_05!H11</f>
        <v>0</v>
      </c>
      <c r="I10" s="1">
        <f>Precuinats_05!I11</f>
        <v>0</v>
      </c>
      <c r="J10" s="1">
        <f>Precuinats_05!J11</f>
        <v>0</v>
      </c>
      <c r="K10" s="1">
        <f>Precuinats_05!K11</f>
        <v>0</v>
      </c>
      <c r="L10" s="1">
        <f>Precuinats_05!L11</f>
        <v>0</v>
      </c>
      <c r="M10" s="1">
        <f>Precuinats_05!M11</f>
        <v>0</v>
      </c>
      <c r="N10" s="1">
        <f t="shared" si="0"/>
        <v>-1228051.5525</v>
      </c>
    </row>
    <row r="11" spans="1:15" x14ac:dyDescent="0.25">
      <c r="A11" s="34" t="s">
        <v>65</v>
      </c>
      <c r="B11" s="1">
        <f>'Green Vita_05'!B8</f>
        <v>-10867.987499999999</v>
      </c>
      <c r="C11" s="1">
        <f>'Green Vita_05'!C8</f>
        <v>-24849.577499999999</v>
      </c>
      <c r="D11" s="1">
        <f>'Green Vita_05'!D8</f>
        <v>-27767.547500000001</v>
      </c>
      <c r="E11" s="1">
        <f>'Green Vita_05'!E8</f>
        <v>-17762.685000000001</v>
      </c>
      <c r="F11" s="1">
        <f>'Green Vita_05'!F8</f>
        <v>-22083.3</v>
      </c>
      <c r="G11" s="1">
        <f>'Green Vita_05'!G8</f>
        <v>0</v>
      </c>
      <c r="H11" s="1">
        <f>'Green Vita_05'!H8</f>
        <v>0</v>
      </c>
      <c r="I11" s="1">
        <f>'Green Vita_05'!I8</f>
        <v>0</v>
      </c>
      <c r="J11" s="1">
        <f>'Green Vita_05'!J8</f>
        <v>0</v>
      </c>
      <c r="K11" s="1">
        <f>'Green Vita_05'!K8</f>
        <v>0</v>
      </c>
      <c r="L11" s="1">
        <f>'Green Vita_05'!L8</f>
        <v>0</v>
      </c>
      <c r="M11" s="1">
        <f>'Green Vita_05'!M8</f>
        <v>0</v>
      </c>
      <c r="N11" s="1">
        <f t="shared" si="0"/>
        <v>-103331.0975</v>
      </c>
    </row>
    <row r="12" spans="1:15" x14ac:dyDescent="0.25">
      <c r="A12" s="34" t="s">
        <v>164</v>
      </c>
      <c r="B12" s="1">
        <f>Agenda_05!B10</f>
        <v>-3566.5974999999999</v>
      </c>
      <c r="C12" s="1">
        <f>Agenda_05!C10</f>
        <v>-4024.3249999999998</v>
      </c>
      <c r="D12" s="1">
        <f>Agenda_05!D10</f>
        <v>-6430.88</v>
      </c>
      <c r="E12" s="1">
        <f>Agenda_05!E10</f>
        <v>-5552.2624999999998</v>
      </c>
      <c r="F12" s="1">
        <f>Agenda_05!F10</f>
        <v>-9478.3325000000004</v>
      </c>
      <c r="G12" s="1">
        <f>Agenda_05!G10</f>
        <v>0</v>
      </c>
      <c r="H12" s="1">
        <f>Agenda_05!H10</f>
        <v>0</v>
      </c>
      <c r="I12" s="1">
        <f>Agenda_05!I10</f>
        <v>0</v>
      </c>
      <c r="J12" s="1">
        <f>Agenda_05!J10</f>
        <v>0</v>
      </c>
      <c r="K12" s="1">
        <f>Agenda_05!K10</f>
        <v>0</v>
      </c>
      <c r="L12" s="1">
        <f>Agenda_05!L10</f>
        <v>0</v>
      </c>
      <c r="M12" s="1">
        <f>Agenda_05!M10</f>
        <v>0</v>
      </c>
      <c r="N12" s="1">
        <f t="shared" si="0"/>
        <v>-29052.397499999999</v>
      </c>
    </row>
    <row r="13" spans="1:15" x14ac:dyDescent="0.25">
      <c r="A13" s="34" t="s">
        <v>166</v>
      </c>
      <c r="B13" s="1">
        <f>Foodlovers_05!B7</f>
        <v>-267.12</v>
      </c>
      <c r="C13" s="1">
        <f>Foodlovers_05!C7</f>
        <v>-11688.171600000001</v>
      </c>
      <c r="D13" s="1">
        <f>Foodlovers_05!D7</f>
        <v>-16802.674000000003</v>
      </c>
      <c r="E13" s="1">
        <f>Foodlovers_05!E7</f>
        <v>-34620.921999999999</v>
      </c>
      <c r="F13" s="1">
        <f>Foodlovers_05!F7</f>
        <v>-47688.345600000001</v>
      </c>
      <c r="G13" s="1">
        <f>Foodlovers_05!G7</f>
        <v>0</v>
      </c>
      <c r="H13" s="1">
        <f>Foodlovers_05!H7</f>
        <v>0</v>
      </c>
      <c r="I13" s="1">
        <f>Foodlovers_05!I7</f>
        <v>0</v>
      </c>
      <c r="J13" s="1">
        <f>Foodlovers_05!J7</f>
        <v>0</v>
      </c>
      <c r="K13" s="1">
        <f>Foodlovers_05!K7</f>
        <v>0</v>
      </c>
      <c r="L13" s="1">
        <f>Foodlovers_05!L7</f>
        <v>0</v>
      </c>
      <c r="M13" s="1">
        <f>Foodlovers_05!M7</f>
        <v>0</v>
      </c>
      <c r="N13" s="1">
        <f t="shared" si="0"/>
        <v>-111067.2332</v>
      </c>
    </row>
    <row r="14" spans="1:15" x14ac:dyDescent="0.25">
      <c r="A14" s="34"/>
      <c r="B14" s="1">
        <f>B9-(B10+B11+B12+B13)</f>
        <v>-145114.36800000002</v>
      </c>
      <c r="C14" s="1">
        <f t="shared" ref="C14:M14" si="2">C9-(C10+C11+C12+C13)</f>
        <v>-242599.49889999995</v>
      </c>
      <c r="D14" s="1">
        <f t="shared" si="2"/>
        <v>-325482.08649999998</v>
      </c>
      <c r="E14" s="1">
        <f t="shared" si="2"/>
        <v>-219237.15699999995</v>
      </c>
      <c r="F14" s="1">
        <f t="shared" si="2"/>
        <v>-401421.98889999994</v>
      </c>
      <c r="G14" s="1">
        <f t="shared" si="2"/>
        <v>0</v>
      </c>
      <c r="H14" s="1">
        <f t="shared" si="2"/>
        <v>0</v>
      </c>
      <c r="I14" s="1">
        <f t="shared" si="2"/>
        <v>0</v>
      </c>
      <c r="J14" s="1">
        <f t="shared" si="2"/>
        <v>0</v>
      </c>
      <c r="K14" s="1">
        <f t="shared" si="2"/>
        <v>0</v>
      </c>
      <c r="L14" s="1">
        <f t="shared" si="2"/>
        <v>0</v>
      </c>
      <c r="M14" s="1">
        <f t="shared" si="2"/>
        <v>0</v>
      </c>
      <c r="N14" s="1">
        <f t="shared" si="0"/>
        <v>-1333855.0992999999</v>
      </c>
    </row>
    <row r="15" spans="1:15" x14ac:dyDescent="0.25">
      <c r="A15" s="29" t="s">
        <v>177</v>
      </c>
      <c r="B15" s="1">
        <f>B14*Dades!C120</f>
        <v>-133008.25454039671</v>
      </c>
      <c r="C15" s="1">
        <f>C14*Dades!E120</f>
        <v>-223258.98879770152</v>
      </c>
      <c r="D15" s="1">
        <f>D14*Dades!G120</f>
        <v>-289591.70132930245</v>
      </c>
      <c r="E15" s="1">
        <f>E14*Dades!I120</f>
        <v>-156550.60180217403</v>
      </c>
      <c r="F15" s="1">
        <f>F14*Dades!K120</f>
        <v>-258342.72235494159</v>
      </c>
      <c r="G15" s="1">
        <f>G14*Dades!L120</f>
        <v>0</v>
      </c>
      <c r="H15" s="1"/>
      <c r="I15" s="1">
        <f>I14*Dades!N120</f>
        <v>0</v>
      </c>
      <c r="J15" s="1">
        <f>J14*Dades!O120</f>
        <v>0</v>
      </c>
      <c r="K15" s="1">
        <f>K14*Dades!P120</f>
        <v>0</v>
      </c>
      <c r="L15" s="1">
        <f>L14*Dades!Q120</f>
        <v>0</v>
      </c>
      <c r="M15" s="1">
        <f>M14*Dades!R120</f>
        <v>0</v>
      </c>
      <c r="N15" s="1">
        <f>N14*Dades!S120</f>
        <v>0</v>
      </c>
    </row>
    <row r="16" spans="1:15" x14ac:dyDescent="0.25">
      <c r="A16" s="36" t="s">
        <v>21</v>
      </c>
      <c r="B16" s="37">
        <f>B7+B8+B15</f>
        <v>-134347.5545403967</v>
      </c>
      <c r="C16" s="37">
        <f t="shared" ref="C16:F16" si="3">C7+C8+C15</f>
        <v>-224061.95879770152</v>
      </c>
      <c r="D16" s="37">
        <f t="shared" si="3"/>
        <v>-290150.22132930247</v>
      </c>
      <c r="E16" s="37">
        <f t="shared" si="3"/>
        <v>-158969.52180217404</v>
      </c>
      <c r="F16" s="37">
        <f t="shared" si="3"/>
        <v>-259319.33235494158</v>
      </c>
      <c r="G16" s="37">
        <f t="shared" ref="G16:M16" si="4">SUM(G7:G15)</f>
        <v>0</v>
      </c>
      <c r="H16" s="37">
        <f t="shared" si="4"/>
        <v>0</v>
      </c>
      <c r="I16" s="37">
        <f t="shared" si="4"/>
        <v>0</v>
      </c>
      <c r="J16" s="37">
        <f t="shared" si="4"/>
        <v>0</v>
      </c>
      <c r="K16" s="37">
        <f t="shared" si="4"/>
        <v>0</v>
      </c>
      <c r="L16" s="37">
        <f t="shared" si="4"/>
        <v>0</v>
      </c>
      <c r="M16" s="37">
        <f t="shared" si="4"/>
        <v>0</v>
      </c>
      <c r="N16" s="37">
        <f t="shared" ref="N16:N29" si="5">SUM(B16:M16)</f>
        <v>-1066848.5888245162</v>
      </c>
      <c r="O16" s="30">
        <f>N16/$N$6</f>
        <v>-0.32226518887052219</v>
      </c>
    </row>
    <row r="17" spans="1:15" x14ac:dyDescent="0.25">
      <c r="A17" s="7" t="s">
        <v>83</v>
      </c>
      <c r="B17" s="1">
        <v>-532718.66</v>
      </c>
      <c r="C17" s="1">
        <v>-537228.61</v>
      </c>
      <c r="D17" s="1">
        <v>-580718.51</v>
      </c>
      <c r="E17" s="1">
        <v>-607883.80000000005</v>
      </c>
      <c r="F17" s="1">
        <v>-646229.82999999996</v>
      </c>
      <c r="G17" s="1"/>
      <c r="H17" s="1"/>
      <c r="I17" s="1"/>
      <c r="J17" s="1"/>
      <c r="K17" s="1"/>
      <c r="L17" s="1"/>
      <c r="M17" s="1"/>
      <c r="N17" s="1">
        <f t="shared" si="5"/>
        <v>-2904779.41</v>
      </c>
    </row>
    <row r="18" spans="1:15" x14ac:dyDescent="0.25">
      <c r="A18" s="33" t="s">
        <v>91</v>
      </c>
      <c r="B18" s="1">
        <v>-20000</v>
      </c>
      <c r="C18" s="1">
        <v>-20000</v>
      </c>
      <c r="D18" s="1">
        <v>-20000</v>
      </c>
      <c r="E18" s="1">
        <v>-20000</v>
      </c>
      <c r="F18" s="1">
        <v>-20000</v>
      </c>
      <c r="G18" s="1"/>
      <c r="H18" s="1"/>
      <c r="I18" s="1"/>
      <c r="J18" s="1"/>
      <c r="K18" s="1"/>
      <c r="L18" s="1"/>
      <c r="M18" s="1"/>
      <c r="N18" s="1">
        <f t="shared" si="5"/>
        <v>-100000</v>
      </c>
    </row>
    <row r="19" spans="1:15" x14ac:dyDescent="0.25">
      <c r="A19" s="33" t="s">
        <v>87</v>
      </c>
      <c r="B19" s="1">
        <f>'Green Vita_05'!B14</f>
        <v>-11520.7925</v>
      </c>
      <c r="C19" s="1">
        <f>'Green Vita_05'!C14</f>
        <v>-19909.746500000001</v>
      </c>
      <c r="D19" s="1">
        <f>'Green Vita_05'!D14</f>
        <v>-21660.5285</v>
      </c>
      <c r="E19" s="1">
        <f>'Green Vita_05'!E14</f>
        <v>-15657.611000000001</v>
      </c>
      <c r="F19" s="1">
        <f>'Green Vita_05'!F14</f>
        <v>-18249.98</v>
      </c>
      <c r="G19" s="1">
        <f>'Green Vita_05'!G14</f>
        <v>0</v>
      </c>
      <c r="H19" s="1">
        <f>'Green Vita_05'!H14</f>
        <v>0</v>
      </c>
      <c r="I19" s="1">
        <f>'Green Vita_05'!I14</f>
        <v>0</v>
      </c>
      <c r="J19" s="1">
        <f>'Green Vita_05'!J14</f>
        <v>0</v>
      </c>
      <c r="K19" s="1">
        <f>'Green Vita_05'!K14</f>
        <v>0</v>
      </c>
      <c r="L19" s="1">
        <f>'Green Vita_05'!L14</f>
        <v>0</v>
      </c>
      <c r="M19" s="1">
        <f>'Green Vita_05'!M14</f>
        <v>0</v>
      </c>
      <c r="N19" s="1">
        <f t="shared" si="5"/>
        <v>-86998.658500000005</v>
      </c>
    </row>
    <row r="20" spans="1:15" x14ac:dyDescent="0.25">
      <c r="A20" s="33" t="s">
        <v>166</v>
      </c>
      <c r="B20" s="1">
        <f>Foodlovers_05!B13</f>
        <v>-5162.18</v>
      </c>
      <c r="C20" s="1">
        <f>Foodlovers_05!C13</f>
        <v>-12096.389900000002</v>
      </c>
      <c r="D20" s="1">
        <f>Foodlovers_05!D13</f>
        <v>-15201.623500000002</v>
      </c>
      <c r="E20" s="1">
        <f>Foodlovers_05!E13</f>
        <v>-26019.845499999999</v>
      </c>
      <c r="F20" s="1">
        <f>Foodlovers_05!F13</f>
        <v>-33953.638399999996</v>
      </c>
      <c r="G20" s="1">
        <f>Foodlovers_05!G13</f>
        <v>0</v>
      </c>
      <c r="H20" s="1">
        <f>Foodlovers_05!H13</f>
        <v>0</v>
      </c>
      <c r="I20" s="1">
        <f>Foodlovers_05!I13</f>
        <v>0</v>
      </c>
      <c r="J20" s="1">
        <f>Foodlovers_05!J13</f>
        <v>0</v>
      </c>
      <c r="K20" s="1">
        <f>Foodlovers_05!K13</f>
        <v>0</v>
      </c>
      <c r="L20" s="1">
        <f>Foodlovers_05!L13</f>
        <v>0</v>
      </c>
      <c r="M20" s="1">
        <f>Foodlovers_05!M13</f>
        <v>0</v>
      </c>
      <c r="N20" s="1">
        <f t="shared" si="5"/>
        <v>-92433.677299999996</v>
      </c>
    </row>
    <row r="21" spans="1:15" x14ac:dyDescent="0.25">
      <c r="A21" s="33" t="s">
        <v>164</v>
      </c>
      <c r="B21" s="1">
        <f>Agenda_05!B17</f>
        <v>-7190.3585000000003</v>
      </c>
      <c r="C21" s="1">
        <f>Agenda_05!C17</f>
        <v>-7414.5949999999993</v>
      </c>
      <c r="D21" s="1">
        <f>Agenda_05!D17</f>
        <v>-8858.5280000000002</v>
      </c>
      <c r="E21" s="1">
        <f>Agenda_05!E17</f>
        <v>-8331.3575000000001</v>
      </c>
      <c r="F21" s="1">
        <f>Agenda_05!F17</f>
        <v>-10686.9995</v>
      </c>
      <c r="G21" s="1">
        <f>Agenda_05!G17</f>
        <v>0</v>
      </c>
      <c r="H21" s="1">
        <f>Agenda_05!H17</f>
        <v>0</v>
      </c>
      <c r="I21" s="1">
        <f>Agenda_05!I17</f>
        <v>0</v>
      </c>
      <c r="J21" s="1">
        <f>Agenda_05!J17</f>
        <v>0</v>
      </c>
      <c r="K21" s="1">
        <f>Agenda_05!K17</f>
        <v>0</v>
      </c>
      <c r="L21" s="1">
        <f>Agenda_05!L17</f>
        <v>0</v>
      </c>
      <c r="M21" s="1">
        <f>Agenda_05!M17</f>
        <v>0</v>
      </c>
      <c r="N21" s="1">
        <f t="shared" si="5"/>
        <v>-42481.838499999998</v>
      </c>
    </row>
    <row r="22" spans="1:15" x14ac:dyDescent="0.25">
      <c r="A22" s="33"/>
      <c r="B22" s="1">
        <f>B18+B19+B20+B21</f>
        <v>-43873.331000000006</v>
      </c>
      <c r="C22" s="1">
        <f t="shared" ref="C22:M22" si="6">C18+C19+C20+C21</f>
        <v>-59420.731400000004</v>
      </c>
      <c r="D22" s="1">
        <f t="shared" si="6"/>
        <v>-65720.680000000008</v>
      </c>
      <c r="E22" s="1">
        <f t="shared" si="6"/>
        <v>-70008.813999999998</v>
      </c>
      <c r="F22" s="1">
        <f t="shared" si="6"/>
        <v>-82890.617899999997</v>
      </c>
      <c r="G22" s="1">
        <f t="shared" si="6"/>
        <v>0</v>
      </c>
      <c r="H22" s="1">
        <f t="shared" si="6"/>
        <v>0</v>
      </c>
      <c r="I22" s="1">
        <f t="shared" si="6"/>
        <v>0</v>
      </c>
      <c r="J22" s="1">
        <f t="shared" si="6"/>
        <v>0</v>
      </c>
      <c r="K22" s="1">
        <f t="shared" si="6"/>
        <v>0</v>
      </c>
      <c r="L22" s="1">
        <f t="shared" si="6"/>
        <v>0</v>
      </c>
      <c r="M22" s="1">
        <f t="shared" si="6"/>
        <v>0</v>
      </c>
      <c r="N22" s="1">
        <f t="shared" si="5"/>
        <v>-321914.17430000001</v>
      </c>
    </row>
    <row r="23" spans="1:15" x14ac:dyDescent="0.25">
      <c r="A23" s="29" t="s">
        <v>177</v>
      </c>
      <c r="B23" s="1">
        <f>(B17-B22)*Dades!C125</f>
        <v>-162786.79878448113</v>
      </c>
      <c r="C23" s="1">
        <f>(C17-C22)*Dades!E125</f>
        <v>-232959.27495142224</v>
      </c>
      <c r="D23" s="1">
        <f>(D17-D22)*Dades!G125</f>
        <v>-269299.7154331833</v>
      </c>
      <c r="E23" s="1">
        <f>(E17-E22)*Dades!I125</f>
        <v>-216716.54181428096</v>
      </c>
      <c r="F23" s="1">
        <f>(F17-F22)*Dades!K125</f>
        <v>-283734.47563173878</v>
      </c>
      <c r="G23" s="1">
        <f>(G17-G22)*Dades!H125</f>
        <v>0</v>
      </c>
      <c r="H23" s="1">
        <f>(H17-H22)*Dades!I125</f>
        <v>0</v>
      </c>
      <c r="I23" s="1">
        <f>(I17-I22)*Dades!J125</f>
        <v>0</v>
      </c>
      <c r="J23" s="1">
        <f>(J17-J22)*Dades!K125</f>
        <v>0</v>
      </c>
      <c r="K23" s="1">
        <f>(K17-K22)*Dades!L125</f>
        <v>0</v>
      </c>
      <c r="L23" s="1"/>
      <c r="M23" s="1">
        <f>(M17-M22)*Dades!N125</f>
        <v>0</v>
      </c>
      <c r="N23" s="1">
        <f t="shared" si="5"/>
        <v>-1165496.8066151063</v>
      </c>
    </row>
    <row r="24" spans="1:15" x14ac:dyDescent="0.25">
      <c r="A24" s="7" t="s">
        <v>180</v>
      </c>
      <c r="B24" s="1">
        <v>-22116.05</v>
      </c>
      <c r="C24" s="1">
        <v>-18130.259999999998</v>
      </c>
      <c r="D24" s="1">
        <v>-22980.880000000001</v>
      </c>
      <c r="E24" s="1">
        <v>-23486.13</v>
      </c>
      <c r="F24" s="1">
        <v>-24690.799999999999</v>
      </c>
      <c r="N24" s="1">
        <f t="shared" si="5"/>
        <v>-111404.12000000001</v>
      </c>
    </row>
    <row r="25" spans="1:15" x14ac:dyDescent="0.25">
      <c r="A25" s="7"/>
      <c r="B25" s="1">
        <v>-2589.0500000000002</v>
      </c>
      <c r="C25" s="1">
        <v>-4174.93</v>
      </c>
      <c r="D25" s="1">
        <v>-8686.08</v>
      </c>
      <c r="E25" s="1">
        <v>-10808.41</v>
      </c>
      <c r="F25" s="1">
        <v>-25630.83</v>
      </c>
      <c r="N25" s="1">
        <f t="shared" si="5"/>
        <v>-51889.3</v>
      </c>
    </row>
    <row r="26" spans="1:15" x14ac:dyDescent="0.25">
      <c r="A26" s="29" t="s">
        <v>177</v>
      </c>
      <c r="B26" s="1">
        <f>B25*Dades!$C$120</f>
        <v>-2373.0594438299458</v>
      </c>
      <c r="C26" s="1">
        <f>C25*Dades!$E$120</f>
        <v>-3842.0963535683059</v>
      </c>
      <c r="D26" s="1">
        <f>D25*Dades!$G$120</f>
        <v>-7728.2799558384531</v>
      </c>
      <c r="E26" s="1">
        <f>E25*Dades!$I$120</f>
        <v>-7717.9576362807702</v>
      </c>
      <c r="F26" s="1">
        <f>F25*Dades!$K$120</f>
        <v>-16495.205996466302</v>
      </c>
      <c r="G26" s="1">
        <f>G25*Dades!$C$120</f>
        <v>0</v>
      </c>
      <c r="H26" s="1">
        <f>H25*Dades!$C$120</f>
        <v>0</v>
      </c>
      <c r="I26" s="1">
        <f>I25*Dades!$C$120</f>
        <v>0</v>
      </c>
      <c r="J26" s="1">
        <f>J25*Dades!$C$120</f>
        <v>0</v>
      </c>
      <c r="K26" s="1">
        <f>K25*Dades!$C$120</f>
        <v>0</v>
      </c>
      <c r="L26" s="1">
        <f>L25*Dades!$C$120</f>
        <v>0</v>
      </c>
      <c r="M26" s="1">
        <f>M25*Dades!$C$120</f>
        <v>0</v>
      </c>
      <c r="N26" s="1">
        <f t="shared" si="5"/>
        <v>-38156.599385983776</v>
      </c>
    </row>
    <row r="27" spans="1:15" x14ac:dyDescent="0.25">
      <c r="A27" s="7" t="s">
        <v>172</v>
      </c>
      <c r="N27" s="1">
        <f t="shared" si="5"/>
        <v>0</v>
      </c>
    </row>
    <row r="28" spans="1:15" x14ac:dyDescent="0.25">
      <c r="A28" s="7" t="s">
        <v>24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N28" s="1">
        <f t="shared" si="5"/>
        <v>0</v>
      </c>
    </row>
    <row r="29" spans="1:15" x14ac:dyDescent="0.25">
      <c r="A29" s="7" t="s">
        <v>25</v>
      </c>
      <c r="B29" s="1">
        <v>-7063.2</v>
      </c>
      <c r="C29" s="1">
        <v>-5963.44</v>
      </c>
      <c r="D29" s="1">
        <v>-7214.03</v>
      </c>
      <c r="E29" s="1">
        <v>-7630.44</v>
      </c>
      <c r="F29" s="1">
        <v>-7736.57</v>
      </c>
      <c r="N29" s="1">
        <f t="shared" si="5"/>
        <v>-35607.679999999993</v>
      </c>
    </row>
    <row r="30" spans="1:15" x14ac:dyDescent="0.25">
      <c r="A30" s="7" t="s">
        <v>26</v>
      </c>
      <c r="B30" s="1">
        <v>-329.83</v>
      </c>
      <c r="C30" s="1">
        <v>-375.09</v>
      </c>
      <c r="D30" s="1">
        <v>-52.52</v>
      </c>
      <c r="E30" s="1">
        <v>-218.24</v>
      </c>
      <c r="F30" s="1">
        <v>-238.9</v>
      </c>
      <c r="N30" s="1">
        <f>SUM(B30:M30)</f>
        <v>-1214.58</v>
      </c>
    </row>
    <row r="31" spans="1:15" x14ac:dyDescent="0.25">
      <c r="A31" s="36" t="s">
        <v>27</v>
      </c>
      <c r="B31" s="37">
        <f>B23+B24+B26+B29+B30</f>
        <v>-194668.93822831108</v>
      </c>
      <c r="C31" s="37">
        <f t="shared" ref="C31:M31" si="7">C23+C24+C26+C29+C30</f>
        <v>-261270.16130499056</v>
      </c>
      <c r="D31" s="37">
        <f t="shared" si="7"/>
        <v>-307275.42538902181</v>
      </c>
      <c r="E31" s="37">
        <f t="shared" si="7"/>
        <v>-255769.30945056173</v>
      </c>
      <c r="F31" s="37">
        <f t="shared" si="7"/>
        <v>-332895.95162820508</v>
      </c>
      <c r="G31" s="37">
        <f t="shared" si="7"/>
        <v>0</v>
      </c>
      <c r="H31" s="37">
        <f t="shared" si="7"/>
        <v>0</v>
      </c>
      <c r="I31" s="37">
        <f t="shared" si="7"/>
        <v>0</v>
      </c>
      <c r="J31" s="37">
        <f t="shared" si="7"/>
        <v>0</v>
      </c>
      <c r="K31" s="37">
        <f t="shared" si="7"/>
        <v>0</v>
      </c>
      <c r="L31" s="37">
        <f t="shared" si="7"/>
        <v>0</v>
      </c>
      <c r="M31" s="37">
        <f t="shared" si="7"/>
        <v>0</v>
      </c>
      <c r="N31" s="37">
        <f>SUM(B31:M31)</f>
        <v>-1351879.7860010902</v>
      </c>
      <c r="O31" s="30">
        <f>N31/$N$6</f>
        <v>-0.40836515990137745</v>
      </c>
    </row>
    <row r="32" spans="1:15" x14ac:dyDescent="0.25">
      <c r="A32" s="7" t="s">
        <v>84</v>
      </c>
      <c r="B32" s="24">
        <v>-79477.48</v>
      </c>
      <c r="C32" s="24">
        <v>-65034.81</v>
      </c>
      <c r="D32" s="24">
        <v>-100634.18</v>
      </c>
      <c r="E32" s="24">
        <v>-133354.73000000001</v>
      </c>
      <c r="F32" s="24">
        <v>-131629.54999999999</v>
      </c>
      <c r="G32" s="9"/>
      <c r="H32" s="9"/>
      <c r="I32" s="9"/>
      <c r="J32" s="9"/>
      <c r="K32" s="9"/>
      <c r="L32" s="9"/>
      <c r="M32" s="9"/>
      <c r="N32" s="9"/>
    </row>
    <row r="33" spans="1:15" x14ac:dyDescent="0.25">
      <c r="A33" s="29">
        <v>0.44</v>
      </c>
      <c r="B33" s="24">
        <f>$A$33*B32</f>
        <v>-34970.091199999995</v>
      </c>
      <c r="C33" s="24">
        <f t="shared" ref="C33:F33" si="8">$A$33*C32</f>
        <v>-28615.3164</v>
      </c>
      <c r="D33" s="24">
        <f t="shared" si="8"/>
        <v>-44279.039199999999</v>
      </c>
      <c r="E33" s="24">
        <f t="shared" si="8"/>
        <v>-58676.081200000008</v>
      </c>
      <c r="F33" s="24">
        <f t="shared" si="8"/>
        <v>-57917.001999999993</v>
      </c>
      <c r="G33" s="9"/>
      <c r="H33" s="9"/>
      <c r="I33" s="9"/>
      <c r="J33" s="9"/>
      <c r="K33" s="9"/>
      <c r="L33" s="9"/>
      <c r="M33" s="9"/>
      <c r="N33" s="9"/>
    </row>
    <row r="34" spans="1:15" x14ac:dyDescent="0.25">
      <c r="A34" s="7" t="s">
        <v>28</v>
      </c>
      <c r="B34" s="1">
        <v>-1857.14</v>
      </c>
      <c r="C34" s="1">
        <v>-12920.01</v>
      </c>
      <c r="D34" s="1">
        <v>-22596.34</v>
      </c>
      <c r="E34" s="1">
        <v>-24236.09</v>
      </c>
      <c r="F34" s="1">
        <v>-28175.89</v>
      </c>
      <c r="N34" s="1">
        <f t="shared" ref="N34:N48" si="9">SUM(B34:M34)</f>
        <v>-89785.47</v>
      </c>
    </row>
    <row r="35" spans="1:15" x14ac:dyDescent="0.25">
      <c r="A35" s="7" t="s">
        <v>29</v>
      </c>
      <c r="B35" s="1">
        <v>-520.83000000000004</v>
      </c>
      <c r="C35" s="1">
        <v>-4988.08</v>
      </c>
      <c r="D35" s="1">
        <v>-2969.32</v>
      </c>
      <c r="E35" s="1">
        <v>-3469.82</v>
      </c>
      <c r="F35" s="1">
        <v>-412.78</v>
      </c>
      <c r="N35" s="1">
        <f t="shared" si="9"/>
        <v>-12360.83</v>
      </c>
    </row>
    <row r="36" spans="1:15" x14ac:dyDescent="0.25">
      <c r="A36" s="7" t="s">
        <v>30</v>
      </c>
      <c r="B36" s="1">
        <v>-11590.09</v>
      </c>
      <c r="C36" s="1">
        <v>-34114.730000000003</v>
      </c>
      <c r="D36" s="1">
        <v>-52997.760000000002</v>
      </c>
      <c r="E36" s="1">
        <v>-21287.48</v>
      </c>
      <c r="F36" s="1">
        <v>-77626.679999999993</v>
      </c>
      <c r="N36" s="1">
        <f t="shared" si="9"/>
        <v>-197616.74</v>
      </c>
    </row>
    <row r="37" spans="1:15" x14ac:dyDescent="0.25">
      <c r="A37" s="7" t="s">
        <v>31</v>
      </c>
      <c r="B37" s="1">
        <v>-186.85</v>
      </c>
      <c r="C37" s="1">
        <v>-376.97</v>
      </c>
      <c r="D37" s="1">
        <v>-81.790000000000006</v>
      </c>
      <c r="E37" s="1">
        <v>-86.5</v>
      </c>
      <c r="F37" s="1">
        <v>-134.26</v>
      </c>
      <c r="N37" s="1">
        <f t="shared" si="9"/>
        <v>-866.37</v>
      </c>
    </row>
    <row r="38" spans="1:15" x14ac:dyDescent="0.25">
      <c r="A38" s="7" t="s">
        <v>32</v>
      </c>
      <c r="B38" s="1">
        <v>-96</v>
      </c>
      <c r="C38" s="1">
        <v>0</v>
      </c>
      <c r="D38" s="1">
        <v>0</v>
      </c>
      <c r="E38" s="1">
        <v>0</v>
      </c>
      <c r="F38" s="1">
        <v>0</v>
      </c>
      <c r="N38" s="1">
        <f t="shared" si="9"/>
        <v>-96</v>
      </c>
    </row>
    <row r="39" spans="1:15" x14ac:dyDescent="0.25">
      <c r="A39" s="7" t="s">
        <v>33</v>
      </c>
      <c r="B39" s="1">
        <v>-59.26</v>
      </c>
      <c r="C39" s="1">
        <v>-108.3</v>
      </c>
      <c r="D39" s="1">
        <v>-413.62</v>
      </c>
      <c r="E39" s="1">
        <v>-747.22</v>
      </c>
      <c r="F39" s="1">
        <v>-202.08</v>
      </c>
      <c r="N39" s="1">
        <f t="shared" si="9"/>
        <v>-1530.48</v>
      </c>
    </row>
    <row r="40" spans="1:15" x14ac:dyDescent="0.25">
      <c r="A40" s="7" t="s">
        <v>34</v>
      </c>
      <c r="B40" s="1">
        <v>-5629.55</v>
      </c>
      <c r="C40" s="1">
        <v>-1265.9100000000001</v>
      </c>
      <c r="D40" s="1">
        <v>-3506.86</v>
      </c>
      <c r="E40" s="1">
        <v>-5083.88</v>
      </c>
      <c r="F40" s="1">
        <v>-186.99</v>
      </c>
      <c r="N40" s="1">
        <f t="shared" si="9"/>
        <v>-15673.19</v>
      </c>
    </row>
    <row r="41" spans="1:15" x14ac:dyDescent="0.25">
      <c r="A41" s="7" t="s">
        <v>35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N41" s="1">
        <f t="shared" si="9"/>
        <v>0</v>
      </c>
    </row>
    <row r="42" spans="1:15" x14ac:dyDescent="0.25">
      <c r="A42" s="7" t="s">
        <v>36</v>
      </c>
      <c r="B42" s="1">
        <v>-11122.01</v>
      </c>
      <c r="C42" s="1">
        <v>-13364.27</v>
      </c>
      <c r="D42" s="1">
        <v>-18351.240000000002</v>
      </c>
      <c r="E42" s="1">
        <v>-44163.69</v>
      </c>
      <c r="F42" s="1">
        <v>-66576.72</v>
      </c>
      <c r="N42" s="1">
        <f t="shared" si="9"/>
        <v>-153577.93</v>
      </c>
    </row>
    <row r="43" spans="1:15" x14ac:dyDescent="0.25">
      <c r="A43" s="7" t="s">
        <v>36</v>
      </c>
      <c r="B43" s="1"/>
      <c r="C43" s="1">
        <v>-630</v>
      </c>
      <c r="D43" s="1">
        <v>-806</v>
      </c>
      <c r="E43" s="1"/>
      <c r="F43" s="1">
        <v>-1082</v>
      </c>
      <c r="N43" s="1"/>
    </row>
    <row r="44" spans="1:15" x14ac:dyDescent="0.25">
      <c r="A44" s="7" t="s">
        <v>38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N44" s="1">
        <f t="shared" si="9"/>
        <v>0</v>
      </c>
    </row>
    <row r="45" spans="1:15" x14ac:dyDescent="0.25">
      <c r="A45" s="7" t="s">
        <v>39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N45" s="1">
        <f t="shared" si="9"/>
        <v>0</v>
      </c>
    </row>
    <row r="46" spans="1:15" x14ac:dyDescent="0.25">
      <c r="A46" s="8" t="s">
        <v>40</v>
      </c>
      <c r="B46" s="9">
        <f>SUM(B33:B45)</f>
        <v>-66031.821199999991</v>
      </c>
      <c r="C46" s="9">
        <f>SUM(C33:C45)</f>
        <v>-96383.586400000015</v>
      </c>
      <c r="D46" s="9">
        <f>SUM(D33:D45)</f>
        <v>-146001.96919999999</v>
      </c>
      <c r="E46" s="9">
        <f>SUM(E33:E45)</f>
        <v>-157750.76120000001</v>
      </c>
      <c r="F46" s="9">
        <f>SUM(F33:F45)</f>
        <v>-232314.40199999997</v>
      </c>
      <c r="G46" s="9">
        <f t="shared" ref="G46:M46" si="10">SUM(G34:G45)</f>
        <v>0</v>
      </c>
      <c r="H46" s="9">
        <f t="shared" si="10"/>
        <v>0</v>
      </c>
      <c r="I46" s="9">
        <f t="shared" si="10"/>
        <v>0</v>
      </c>
      <c r="J46" s="9">
        <f t="shared" si="10"/>
        <v>0</v>
      </c>
      <c r="K46" s="9">
        <f t="shared" si="10"/>
        <v>0</v>
      </c>
      <c r="L46" s="9">
        <f t="shared" si="10"/>
        <v>0</v>
      </c>
      <c r="M46" s="9">
        <f t="shared" si="10"/>
        <v>0</v>
      </c>
      <c r="N46" s="9">
        <f t="shared" si="9"/>
        <v>-698482.53999999992</v>
      </c>
      <c r="O46" s="30">
        <f>N46/$N$6</f>
        <v>-0.21099208456926377</v>
      </c>
    </row>
    <row r="47" spans="1:15" x14ac:dyDescent="0.25">
      <c r="A47" s="7" t="s">
        <v>41</v>
      </c>
      <c r="B47" s="1">
        <f t="shared" ref="B47:M47" si="11">B46+B31</f>
        <v>-260700.75942831108</v>
      </c>
      <c r="C47" s="1">
        <f t="shared" si="11"/>
        <v>-357653.74770499056</v>
      </c>
      <c r="D47" s="1">
        <f t="shared" si="11"/>
        <v>-453277.3945890218</v>
      </c>
      <c r="E47" s="1">
        <f t="shared" si="11"/>
        <v>-413520.07065056171</v>
      </c>
      <c r="F47" s="1">
        <f t="shared" si="11"/>
        <v>-565210.35362820502</v>
      </c>
      <c r="G47" s="1">
        <f t="shared" si="11"/>
        <v>0</v>
      </c>
      <c r="H47" s="1">
        <f t="shared" si="11"/>
        <v>0</v>
      </c>
      <c r="I47" s="1">
        <f t="shared" si="11"/>
        <v>0</v>
      </c>
      <c r="J47" s="1">
        <f t="shared" si="11"/>
        <v>0</v>
      </c>
      <c r="K47" s="1">
        <f t="shared" si="11"/>
        <v>0</v>
      </c>
      <c r="L47" s="1">
        <f t="shared" si="11"/>
        <v>0</v>
      </c>
      <c r="M47" s="1">
        <f t="shared" si="11"/>
        <v>0</v>
      </c>
      <c r="N47" s="1">
        <f t="shared" si="9"/>
        <v>-2050362.32600109</v>
      </c>
    </row>
    <row r="48" spans="1:15" x14ac:dyDescent="0.25">
      <c r="A48" s="8" t="s">
        <v>42</v>
      </c>
      <c r="B48" s="9">
        <f t="shared" ref="B48:M48" si="12">B6+(B16+B31+B46)</f>
        <v>-105747.7439687078</v>
      </c>
      <c r="C48" s="9">
        <f t="shared" si="12"/>
        <v>-58771.176502692048</v>
      </c>
      <c r="D48" s="9">
        <f t="shared" si="12"/>
        <v>-49985.09591832431</v>
      </c>
      <c r="E48" s="9">
        <f t="shared" si="12"/>
        <v>-40324.302452735836</v>
      </c>
      <c r="F48" s="9">
        <f t="shared" si="12"/>
        <v>448085.38401685341</v>
      </c>
      <c r="G48" s="9">
        <f t="shared" si="12"/>
        <v>0</v>
      </c>
      <c r="H48" s="9">
        <f t="shared" si="12"/>
        <v>0</v>
      </c>
      <c r="I48" s="9">
        <f t="shared" si="12"/>
        <v>0</v>
      </c>
      <c r="J48" s="9">
        <f t="shared" si="12"/>
        <v>0</v>
      </c>
      <c r="K48" s="9">
        <f t="shared" si="12"/>
        <v>0</v>
      </c>
      <c r="L48" s="9">
        <f t="shared" si="12"/>
        <v>0</v>
      </c>
      <c r="M48" s="9">
        <f t="shared" si="12"/>
        <v>0</v>
      </c>
      <c r="N48" s="9">
        <f t="shared" si="9"/>
        <v>193257.06517439341</v>
      </c>
    </row>
    <row r="49" spans="1:14" x14ac:dyDescent="0.25">
      <c r="A49" t="s">
        <v>79</v>
      </c>
      <c r="B49" s="10">
        <f t="shared" ref="B49:N49" si="13">B48/B6</f>
        <v>-0.36552898588726529</v>
      </c>
      <c r="C49" s="10">
        <f t="shared" si="13"/>
        <v>-0.11238510612720636</v>
      </c>
      <c r="D49" s="10">
        <f t="shared" si="13"/>
        <v>-7.2082536730404573E-2</v>
      </c>
      <c r="E49" s="10">
        <f t="shared" si="13"/>
        <v>-7.5774018355717704E-2</v>
      </c>
      <c r="F49" s="10">
        <f t="shared" si="13"/>
        <v>0.35209812816129343</v>
      </c>
      <c r="G49" s="10"/>
      <c r="H49" s="10"/>
      <c r="I49" s="10"/>
      <c r="J49" s="10"/>
      <c r="K49" s="10"/>
      <c r="L49" s="10"/>
      <c r="M49" s="10"/>
      <c r="N49" s="10">
        <f t="shared" si="13"/>
        <v>5.8377566658836373E-2</v>
      </c>
    </row>
    <row r="50" spans="1:14" x14ac:dyDescent="0.25">
      <c r="D50" s="11"/>
    </row>
    <row r="51" spans="1:14" x14ac:dyDescent="0.25">
      <c r="D51" s="11"/>
    </row>
    <row r="55" spans="1:14" x14ac:dyDescent="0.25">
      <c r="D55" s="11"/>
    </row>
    <row r="56" spans="1:14" x14ac:dyDescent="0.25">
      <c r="D56" s="11"/>
    </row>
    <row r="58" spans="1:14" x14ac:dyDescent="0.25">
      <c r="D58" s="11"/>
    </row>
    <row r="60" spans="1:14" x14ac:dyDescent="0.25">
      <c r="D60" s="11"/>
    </row>
  </sheetData>
  <conditionalFormatting sqref="B48:N48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75C03-4452-4398-B2ED-A5DE621E4DB3}">
  <dimension ref="A1:O59"/>
  <sheetViews>
    <sheetView topLeftCell="A22" zoomScale="90" zoomScaleNormal="90" workbookViewId="0">
      <selection activeCell="I41" sqref="I41"/>
    </sheetView>
  </sheetViews>
  <sheetFormatPr baseColWidth="10" defaultRowHeight="15" x14ac:dyDescent="0.25"/>
  <cols>
    <col min="1" max="1" width="45.140625" customWidth="1"/>
    <col min="2" max="2" width="15.7109375" customWidth="1"/>
    <col min="3" max="3" width="15.7109375" style="1" customWidth="1"/>
    <col min="4" max="14" width="15.7109375" customWidth="1"/>
  </cols>
  <sheetData>
    <row r="1" spans="1:14" x14ac:dyDescent="0.25">
      <c r="A1" s="5" t="s">
        <v>80</v>
      </c>
      <c r="B1" s="6" t="s">
        <v>66</v>
      </c>
      <c r="C1" s="6" t="s">
        <v>67</v>
      </c>
      <c r="D1" s="6" t="s">
        <v>68</v>
      </c>
      <c r="E1" s="6" t="s">
        <v>69</v>
      </c>
      <c r="F1" s="6" t="s">
        <v>70</v>
      </c>
      <c r="G1" s="6" t="s">
        <v>71</v>
      </c>
      <c r="H1" s="6" t="s">
        <v>72</v>
      </c>
      <c r="I1" s="6" t="s">
        <v>73</v>
      </c>
      <c r="J1" s="6" t="s">
        <v>74</v>
      </c>
      <c r="K1" s="6" t="s">
        <v>75</v>
      </c>
      <c r="L1" s="6" t="s">
        <v>76</v>
      </c>
      <c r="M1" s="6" t="s">
        <v>77</v>
      </c>
      <c r="N1" s="6" t="s">
        <v>3</v>
      </c>
    </row>
    <row r="2" spans="1:14" x14ac:dyDescent="0.25">
      <c r="A2" s="7" t="s">
        <v>12</v>
      </c>
      <c r="B2" s="1">
        <v>19110.490000000002</v>
      </c>
      <c r="C2" s="1">
        <v>33824.11</v>
      </c>
      <c r="D2" s="1">
        <v>85941.41</v>
      </c>
      <c r="E2" s="1">
        <v>197120.54</v>
      </c>
      <c r="F2" s="1">
        <v>628068.27</v>
      </c>
      <c r="N2" s="1">
        <f>SUM(B2:M2)</f>
        <v>964064.82000000007</v>
      </c>
    </row>
    <row r="3" spans="1:14" x14ac:dyDescent="0.25">
      <c r="A3" s="7" t="s">
        <v>185</v>
      </c>
      <c r="B3" s="1">
        <v>7221</v>
      </c>
      <c r="C3" s="1">
        <v>11477.6</v>
      </c>
      <c r="D3" s="1"/>
      <c r="E3" s="1">
        <v>14471</v>
      </c>
      <c r="F3" s="1">
        <v>68830.62</v>
      </c>
      <c r="N3" s="1">
        <f t="shared" ref="N3:N4" si="0">SUM(B3:M3)</f>
        <v>102000.22</v>
      </c>
    </row>
    <row r="4" spans="1:14" x14ac:dyDescent="0.25">
      <c r="A4" s="7" t="s">
        <v>13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N4" s="1">
        <f t="shared" si="0"/>
        <v>0</v>
      </c>
    </row>
    <row r="5" spans="1:14" x14ac:dyDescent="0.25">
      <c r="A5" s="7" t="s">
        <v>14</v>
      </c>
      <c r="B5" s="1">
        <v>0</v>
      </c>
      <c r="C5" s="1">
        <v>0</v>
      </c>
      <c r="D5" s="1">
        <v>0</v>
      </c>
      <c r="E5" s="1">
        <v>1500</v>
      </c>
      <c r="F5" s="1">
        <v>3870</v>
      </c>
      <c r="N5" s="1">
        <f t="shared" ref="N5:N50" si="1">SUM(B5:M5)</f>
        <v>5370</v>
      </c>
    </row>
    <row r="6" spans="1:14" x14ac:dyDescent="0.25">
      <c r="A6" s="7" t="s">
        <v>186</v>
      </c>
      <c r="B6" s="1"/>
      <c r="D6" s="1"/>
      <c r="E6" s="1"/>
      <c r="F6" s="55">
        <v>4050</v>
      </c>
      <c r="N6" s="1">
        <f t="shared" si="1"/>
        <v>4050</v>
      </c>
    </row>
    <row r="7" spans="1:14" x14ac:dyDescent="0.25">
      <c r="A7" s="7" t="s">
        <v>15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N7" s="1">
        <f t="shared" si="1"/>
        <v>0</v>
      </c>
    </row>
    <row r="8" spans="1:14" x14ac:dyDescent="0.25">
      <c r="A8" s="8" t="s">
        <v>16</v>
      </c>
      <c r="B8" s="9">
        <f>SUM(B2:B7)</f>
        <v>26331.49</v>
      </c>
      <c r="C8" s="9">
        <f t="shared" ref="C8:M8" si="2">SUM(C2:C7)</f>
        <v>45301.71</v>
      </c>
      <c r="D8" s="9">
        <f t="shared" si="2"/>
        <v>85941.41</v>
      </c>
      <c r="E8" s="9">
        <f t="shared" si="2"/>
        <v>213091.54</v>
      </c>
      <c r="F8" s="9">
        <f t="shared" si="2"/>
        <v>704818.89</v>
      </c>
      <c r="G8" s="9">
        <f t="shared" si="2"/>
        <v>0</v>
      </c>
      <c r="H8" s="9">
        <f t="shared" si="2"/>
        <v>0</v>
      </c>
      <c r="I8" s="9">
        <f t="shared" si="2"/>
        <v>0</v>
      </c>
      <c r="J8" s="9">
        <f t="shared" si="2"/>
        <v>0</v>
      </c>
      <c r="K8" s="9">
        <f t="shared" si="2"/>
        <v>0</v>
      </c>
      <c r="L8" s="9">
        <f t="shared" si="2"/>
        <v>0</v>
      </c>
      <c r="M8" s="9">
        <f t="shared" si="2"/>
        <v>0</v>
      </c>
      <c r="N8" s="9">
        <f t="shared" si="1"/>
        <v>1075485.04</v>
      </c>
    </row>
    <row r="9" spans="1:14" x14ac:dyDescent="0.25">
      <c r="A9" s="7" t="s">
        <v>82</v>
      </c>
      <c r="B9" s="1">
        <v>-408725.23</v>
      </c>
      <c r="C9" s="1">
        <v>-510110.91</v>
      </c>
      <c r="D9" s="1">
        <v>-622510.5</v>
      </c>
      <c r="E9" s="1">
        <v>-536165.77</v>
      </c>
      <c r="F9" s="1">
        <v>-727844.97</v>
      </c>
      <c r="G9" s="9"/>
      <c r="H9" s="9"/>
      <c r="I9" s="9"/>
      <c r="J9" s="9"/>
      <c r="K9" s="9"/>
      <c r="L9" s="9"/>
      <c r="M9" s="9"/>
      <c r="N9" s="24">
        <f t="shared" si="1"/>
        <v>-2805357.38</v>
      </c>
    </row>
    <row r="10" spans="1:14" x14ac:dyDescent="0.25">
      <c r="A10" s="34" t="s">
        <v>85</v>
      </c>
      <c r="B10" s="1">
        <f>Precuinats_05!B11</f>
        <v>-248909.15699999998</v>
      </c>
      <c r="C10" s="1">
        <f>Precuinats_05!C11</f>
        <v>-226949.337</v>
      </c>
      <c r="D10" s="1">
        <f>Precuinats_05!D11</f>
        <v>-246027.31200000001</v>
      </c>
      <c r="E10" s="1">
        <f>Precuinats_05!E11</f>
        <v>-258992.74350000004</v>
      </c>
      <c r="F10" s="1">
        <f>Precuinats_05!F11</f>
        <v>-247173.003</v>
      </c>
      <c r="G10" s="1">
        <f>Precuinats_05!G11</f>
        <v>0</v>
      </c>
      <c r="H10" s="1">
        <f>Precuinats_05!H11</f>
        <v>0</v>
      </c>
      <c r="I10" s="1">
        <f>Precuinats_05!I11</f>
        <v>0</v>
      </c>
      <c r="J10" s="1">
        <f>Precuinats_05!J11</f>
        <v>0</v>
      </c>
      <c r="K10" s="1">
        <f>Precuinats_05!K11</f>
        <v>0</v>
      </c>
      <c r="L10" s="1">
        <f>Precuinats_05!L11</f>
        <v>0</v>
      </c>
      <c r="M10" s="1">
        <f>Precuinats_05!M11</f>
        <v>0</v>
      </c>
      <c r="N10" s="24">
        <f t="shared" si="1"/>
        <v>-1228051.5525</v>
      </c>
    </row>
    <row r="11" spans="1:14" x14ac:dyDescent="0.25">
      <c r="A11" s="34" t="s">
        <v>65</v>
      </c>
      <c r="B11" s="1">
        <f>'Green Vita_05'!B8</f>
        <v>-10867.987499999999</v>
      </c>
      <c r="C11" s="1">
        <f>'Green Vita_05'!C8</f>
        <v>-24849.577499999999</v>
      </c>
      <c r="D11" s="1">
        <f>'Green Vita_05'!D8</f>
        <v>-27767.547500000001</v>
      </c>
      <c r="E11" s="1">
        <f>'Green Vita_05'!E8</f>
        <v>-17762.685000000001</v>
      </c>
      <c r="F11" s="1">
        <f>'Green Vita_05'!F8</f>
        <v>-22083.3</v>
      </c>
      <c r="G11" s="1">
        <f>'Green Vita_05'!G8</f>
        <v>0</v>
      </c>
      <c r="H11" s="1">
        <f>'Green Vita_05'!H8</f>
        <v>0</v>
      </c>
      <c r="I11" s="1">
        <f>'Green Vita_05'!I8</f>
        <v>0</v>
      </c>
      <c r="J11" s="1">
        <f>'Green Vita_05'!J8</f>
        <v>0</v>
      </c>
      <c r="K11" s="1">
        <f>'Green Vita_05'!K8</f>
        <v>0</v>
      </c>
      <c r="L11" s="1">
        <f>'Green Vita_05'!L8</f>
        <v>0</v>
      </c>
      <c r="M11" s="1">
        <f>'Green Vita_05'!M8</f>
        <v>0</v>
      </c>
      <c r="N11" s="24">
        <f t="shared" si="1"/>
        <v>-103331.0975</v>
      </c>
    </row>
    <row r="12" spans="1:14" x14ac:dyDescent="0.25">
      <c r="A12" s="34" t="s">
        <v>164</v>
      </c>
      <c r="B12" s="1">
        <f>Agenda_05!B10</f>
        <v>-3566.5974999999999</v>
      </c>
      <c r="C12" s="1">
        <f>Agenda_05!C10</f>
        <v>-4024.3249999999998</v>
      </c>
      <c r="D12" s="1">
        <f>Agenda_05!D10</f>
        <v>-6430.88</v>
      </c>
      <c r="E12" s="1">
        <f>Agenda_05!E10</f>
        <v>-5552.2624999999998</v>
      </c>
      <c r="F12" s="1">
        <f>Agenda_05!F10</f>
        <v>-9478.3325000000004</v>
      </c>
      <c r="G12" s="1">
        <f>Agenda_05!G10</f>
        <v>0</v>
      </c>
      <c r="H12" s="1">
        <f>Agenda_05!H10</f>
        <v>0</v>
      </c>
      <c r="I12" s="1">
        <f>Agenda_05!I10</f>
        <v>0</v>
      </c>
      <c r="J12" s="1">
        <f>Agenda_05!J10</f>
        <v>0</v>
      </c>
      <c r="K12" s="1">
        <f>Agenda_05!K10</f>
        <v>0</v>
      </c>
      <c r="L12" s="1">
        <f>Agenda_05!L10</f>
        <v>0</v>
      </c>
      <c r="M12" s="1">
        <f>Agenda_05!M10</f>
        <v>0</v>
      </c>
      <c r="N12" s="24">
        <f t="shared" si="1"/>
        <v>-29052.397499999999</v>
      </c>
    </row>
    <row r="13" spans="1:14" x14ac:dyDescent="0.25">
      <c r="A13" s="34" t="s">
        <v>166</v>
      </c>
      <c r="B13" s="1">
        <f>Foodlovers_05!B7</f>
        <v>-267.12</v>
      </c>
      <c r="C13" s="1">
        <f>Foodlovers_05!C7</f>
        <v>-11688.171600000001</v>
      </c>
      <c r="D13" s="1">
        <f>Foodlovers_05!D7</f>
        <v>-16802.674000000003</v>
      </c>
      <c r="E13" s="1">
        <f>Foodlovers_05!E7</f>
        <v>-34620.921999999999</v>
      </c>
      <c r="F13" s="1">
        <f>Foodlovers_05!F7</f>
        <v>-47688.345600000001</v>
      </c>
      <c r="G13" s="1">
        <f>Foodlovers_05!G7</f>
        <v>0</v>
      </c>
      <c r="H13" s="1">
        <f>Foodlovers_05!H7</f>
        <v>0</v>
      </c>
      <c r="I13" s="1">
        <f>Foodlovers_05!I7</f>
        <v>0</v>
      </c>
      <c r="J13" s="1">
        <f>Foodlovers_05!J7</f>
        <v>0</v>
      </c>
      <c r="K13" s="1">
        <f>Foodlovers_05!K7</f>
        <v>0</v>
      </c>
      <c r="L13" s="1">
        <f>Foodlovers_05!L7</f>
        <v>0</v>
      </c>
      <c r="M13" s="1">
        <f>Foodlovers_05!M7</f>
        <v>0</v>
      </c>
      <c r="N13" s="24">
        <f t="shared" si="1"/>
        <v>-111067.2332</v>
      </c>
    </row>
    <row r="14" spans="1:14" x14ac:dyDescent="0.25">
      <c r="A14" s="34"/>
      <c r="B14" s="1">
        <f>B9-(B10+B11+B12+B13)</f>
        <v>-145114.36800000002</v>
      </c>
      <c r="C14" s="1">
        <f t="shared" ref="C14:M14" si="3">C9-(C10+C11+C12+C13)</f>
        <v>-242599.49889999995</v>
      </c>
      <c r="D14" s="1">
        <f t="shared" si="3"/>
        <v>-325482.08649999998</v>
      </c>
      <c r="E14" s="1">
        <f t="shared" si="3"/>
        <v>-219237.15699999995</v>
      </c>
      <c r="F14" s="1">
        <f t="shared" si="3"/>
        <v>-401421.98889999994</v>
      </c>
      <c r="G14" s="1">
        <f t="shared" si="3"/>
        <v>0</v>
      </c>
      <c r="H14" s="1">
        <f t="shared" si="3"/>
        <v>0</v>
      </c>
      <c r="I14" s="1">
        <f t="shared" si="3"/>
        <v>0</v>
      </c>
      <c r="J14" s="1">
        <f t="shared" si="3"/>
        <v>0</v>
      </c>
      <c r="K14" s="1">
        <f t="shared" si="3"/>
        <v>0</v>
      </c>
      <c r="L14" s="1">
        <f t="shared" si="3"/>
        <v>0</v>
      </c>
      <c r="M14" s="1">
        <f t="shared" si="3"/>
        <v>0</v>
      </c>
      <c r="N14" s="24">
        <f t="shared" si="1"/>
        <v>-1333855.0992999999</v>
      </c>
    </row>
    <row r="15" spans="1:14" x14ac:dyDescent="0.25">
      <c r="A15" s="29" t="s">
        <v>177</v>
      </c>
      <c r="B15" s="1">
        <f>Dades!C121*B14</f>
        <v>-12106.113459603313</v>
      </c>
      <c r="C15" s="1">
        <f>Dades!E121*C14</f>
        <v>-19340.510102298464</v>
      </c>
      <c r="D15" s="1">
        <f>Dades!G121*D14</f>
        <v>-35890.385170697533</v>
      </c>
      <c r="E15" s="1">
        <f>Dades!I121*E14</f>
        <v>-62686.55519782591</v>
      </c>
      <c r="F15" s="1">
        <f>Dades!K121*F14</f>
        <v>-143079.26654505837</v>
      </c>
      <c r="G15" s="1">
        <f>Dades!L121*G14</f>
        <v>0</v>
      </c>
      <c r="H15" s="1"/>
      <c r="I15" s="1">
        <f>Dades!N121*I14</f>
        <v>0</v>
      </c>
      <c r="J15" s="1">
        <f>Dades!O121*J14</f>
        <v>0</v>
      </c>
      <c r="K15" s="1">
        <f>Dades!P121*K14</f>
        <v>0</v>
      </c>
      <c r="L15" s="1">
        <f>Dades!Q121*L14</f>
        <v>0</v>
      </c>
      <c r="M15" s="1">
        <f>Dades!R121*M14</f>
        <v>0</v>
      </c>
      <c r="N15" s="24">
        <f t="shared" si="1"/>
        <v>-273102.83047548356</v>
      </c>
    </row>
    <row r="16" spans="1:14" x14ac:dyDescent="0.25">
      <c r="A16" s="7" t="s">
        <v>17</v>
      </c>
      <c r="B16" s="1">
        <v>-35</v>
      </c>
      <c r="C16" s="1">
        <v>0</v>
      </c>
      <c r="D16" s="1">
        <v>0</v>
      </c>
      <c r="E16" s="1">
        <v>0</v>
      </c>
      <c r="F16" s="1">
        <v>-1472.78</v>
      </c>
      <c r="N16" s="24">
        <f t="shared" si="1"/>
        <v>-1507.78</v>
      </c>
    </row>
    <row r="17" spans="1:15" x14ac:dyDescent="0.25">
      <c r="A17" s="7" t="s">
        <v>18</v>
      </c>
      <c r="B17" s="1">
        <v>-494.07</v>
      </c>
      <c r="C17" s="1">
        <v>-70.69</v>
      </c>
      <c r="D17" s="1">
        <v>-700.47</v>
      </c>
      <c r="E17" s="1">
        <v>-1110.0999999999999</v>
      </c>
      <c r="F17" s="1">
        <v>-352.88</v>
      </c>
      <c r="N17" s="24">
        <f t="shared" si="1"/>
        <v>-2728.21</v>
      </c>
    </row>
    <row r="18" spans="1:15" x14ac:dyDescent="0.25">
      <c r="A18" s="7" t="s">
        <v>187</v>
      </c>
      <c r="B18" s="1"/>
      <c r="D18" s="1"/>
      <c r="E18" s="1">
        <v>-53.52</v>
      </c>
      <c r="F18" s="1"/>
      <c r="N18" s="24"/>
    </row>
    <row r="19" spans="1:15" x14ac:dyDescent="0.25">
      <c r="A19" s="8" t="s">
        <v>21</v>
      </c>
      <c r="B19" s="9">
        <f>SUM(B15:B17)</f>
        <v>-12635.183459603313</v>
      </c>
      <c r="C19" s="9">
        <f t="shared" ref="C19:F19" si="4">SUM(C15:C17)</f>
        <v>-19411.200102298462</v>
      </c>
      <c r="D19" s="9">
        <f t="shared" si="4"/>
        <v>-36590.855170697534</v>
      </c>
      <c r="E19" s="9">
        <f>SUM(E15:E18)</f>
        <v>-63850.175197825905</v>
      </c>
      <c r="F19" s="9">
        <f t="shared" si="4"/>
        <v>-144904.92654505838</v>
      </c>
      <c r="G19" s="9">
        <f t="shared" ref="G19:M19" si="5">SUM(G16:G17)</f>
        <v>0</v>
      </c>
      <c r="H19" s="9">
        <f t="shared" si="5"/>
        <v>0</v>
      </c>
      <c r="I19" s="9">
        <f t="shared" si="5"/>
        <v>0</v>
      </c>
      <c r="J19" s="9">
        <f t="shared" si="5"/>
        <v>0</v>
      </c>
      <c r="K19" s="9">
        <f t="shared" si="5"/>
        <v>0</v>
      </c>
      <c r="L19" s="9">
        <f t="shared" si="5"/>
        <v>0</v>
      </c>
      <c r="M19" s="9">
        <f t="shared" si="5"/>
        <v>0</v>
      </c>
      <c r="N19" s="9">
        <f t="shared" si="1"/>
        <v>-277392.34047548356</v>
      </c>
      <c r="O19" s="30">
        <f>N19/$N$8</f>
        <v>-0.25792301162597625</v>
      </c>
    </row>
    <row r="20" spans="1:15" x14ac:dyDescent="0.25">
      <c r="A20" s="7" t="s">
        <v>83</v>
      </c>
      <c r="B20" s="1">
        <v>-532718.66</v>
      </c>
      <c r="C20" s="1">
        <v>-537228.61</v>
      </c>
      <c r="D20" s="1">
        <v>-580718.51</v>
      </c>
      <c r="E20" s="1">
        <v>-607883.80000000005</v>
      </c>
      <c r="F20" s="1">
        <v>-646229.82999999996</v>
      </c>
      <c r="G20" s="1"/>
      <c r="H20" s="1"/>
      <c r="I20" s="1"/>
      <c r="J20" s="1"/>
      <c r="K20" s="1"/>
      <c r="L20" s="1"/>
      <c r="M20" s="1"/>
      <c r="N20" s="1">
        <f t="shared" si="1"/>
        <v>-2904779.41</v>
      </c>
    </row>
    <row r="21" spans="1:15" x14ac:dyDescent="0.25">
      <c r="A21" s="33" t="s">
        <v>91</v>
      </c>
      <c r="B21" s="1">
        <v>-20000</v>
      </c>
      <c r="C21" s="1">
        <v>-20000</v>
      </c>
      <c r="D21" s="1">
        <v>-20000</v>
      </c>
      <c r="E21" s="1">
        <v>-20000</v>
      </c>
      <c r="F21" s="1">
        <v>-20000</v>
      </c>
      <c r="G21" s="1"/>
      <c r="H21" s="1"/>
      <c r="I21" s="1"/>
      <c r="J21" s="1"/>
      <c r="K21" s="1"/>
      <c r="L21" s="1"/>
      <c r="M21" s="1"/>
      <c r="N21" s="1">
        <f t="shared" si="1"/>
        <v>-100000</v>
      </c>
    </row>
    <row r="22" spans="1:15" x14ac:dyDescent="0.25">
      <c r="A22" s="33" t="s">
        <v>87</v>
      </c>
      <c r="B22" s="1">
        <f>'Green Vita_05'!B20</f>
        <v>-24563.584999999999</v>
      </c>
      <c r="C22" s="1">
        <f>'Green Vita_05'!C20</f>
        <v>-43419.493000000002</v>
      </c>
      <c r="D22" s="1">
        <f>'Green Vita_05'!D20</f>
        <v>-46702.057000000001</v>
      </c>
      <c r="E22" s="1">
        <f>'Green Vita_05'!E20</f>
        <v>-32602.222000000002</v>
      </c>
      <c r="F22" s="1">
        <f>'Green Vita_05'!F20</f>
        <v>-48606.810000000005</v>
      </c>
      <c r="G22" s="1">
        <f>'Green Vita_05'!G20</f>
        <v>0</v>
      </c>
      <c r="H22" s="1">
        <f>'Green Vita_05'!H20</f>
        <v>0</v>
      </c>
      <c r="I22" s="1">
        <f>'Green Vita_05'!I20</f>
        <v>0</v>
      </c>
      <c r="J22" s="1">
        <f>'Green Vita_05'!J20</f>
        <v>0</v>
      </c>
      <c r="K22" s="1">
        <f>'Green Vita_05'!K20</f>
        <v>0</v>
      </c>
      <c r="L22" s="1">
        <f>'Green Vita_05'!L20</f>
        <v>0</v>
      </c>
      <c r="M22" s="1">
        <f>'Green Vita_05'!M20</f>
        <v>0</v>
      </c>
      <c r="N22" s="1">
        <f t="shared" si="1"/>
        <v>-195894.16700000002</v>
      </c>
    </row>
    <row r="23" spans="1:15" x14ac:dyDescent="0.25">
      <c r="A23" s="33" t="s">
        <v>166</v>
      </c>
      <c r="B23" s="1">
        <f>Foodlovers_05!B20</f>
        <v>-14082.14</v>
      </c>
      <c r="C23" s="1">
        <f>Foodlovers_05!C20</f>
        <v>-24870.009900000005</v>
      </c>
      <c r="D23" s="1">
        <f>Foodlovers_05!D20</f>
        <v>-28128.893500000002</v>
      </c>
      <c r="E23" s="1">
        <f>Foodlovers_05!E20</f>
        <v>-43343.765500000001</v>
      </c>
      <c r="F23" s="1">
        <f>Foodlovers_05!F20</f>
        <v>-48756.348400000003</v>
      </c>
      <c r="G23" s="1">
        <f>Foodlovers_05!G20</f>
        <v>0</v>
      </c>
      <c r="H23" s="1">
        <f>Foodlovers_05!H20</f>
        <v>0</v>
      </c>
      <c r="I23" s="1">
        <f>Foodlovers_05!I20</f>
        <v>0</v>
      </c>
      <c r="J23" s="1">
        <f>Foodlovers_05!J20</f>
        <v>0</v>
      </c>
      <c r="K23" s="1">
        <f>Foodlovers_05!K20</f>
        <v>0</v>
      </c>
      <c r="L23" s="1">
        <f>Foodlovers_05!L20</f>
        <v>0</v>
      </c>
      <c r="M23" s="1">
        <f>Foodlovers_05!M20</f>
        <v>0</v>
      </c>
      <c r="N23" s="1">
        <f t="shared" si="1"/>
        <v>-159181.15730000002</v>
      </c>
    </row>
    <row r="24" spans="1:15" x14ac:dyDescent="0.25">
      <c r="A24" s="33" t="s">
        <v>164</v>
      </c>
      <c r="B24" s="1">
        <f>Agenda_05!B17</f>
        <v>-7190.3585000000003</v>
      </c>
      <c r="C24" s="1">
        <f>Agenda_05!C17</f>
        <v>-7414.5949999999993</v>
      </c>
      <c r="D24" s="1">
        <f>Agenda_05!D17</f>
        <v>-8858.5280000000002</v>
      </c>
      <c r="E24" s="1">
        <f>Agenda_05!E17</f>
        <v>-8331.3575000000001</v>
      </c>
      <c r="F24" s="1">
        <f>Agenda_05!F17</f>
        <v>-10686.9995</v>
      </c>
      <c r="G24" s="1">
        <f>Agenda_05!G17</f>
        <v>0</v>
      </c>
      <c r="H24" s="1">
        <f>Agenda_05!H17</f>
        <v>0</v>
      </c>
      <c r="I24" s="1">
        <f>Agenda_05!I17</f>
        <v>0</v>
      </c>
      <c r="J24" s="1">
        <f>Agenda_05!J17</f>
        <v>0</v>
      </c>
      <c r="K24" s="1">
        <f>Agenda_05!K17</f>
        <v>0</v>
      </c>
      <c r="L24" s="1">
        <f>Agenda_05!L17</f>
        <v>0</v>
      </c>
      <c r="M24" s="1">
        <f>Agenda_05!M17</f>
        <v>0</v>
      </c>
      <c r="N24" s="1">
        <f t="shared" si="1"/>
        <v>-42481.838499999998</v>
      </c>
    </row>
    <row r="25" spans="1:15" x14ac:dyDescent="0.25">
      <c r="A25" s="33"/>
      <c r="B25" s="1">
        <f>B21+B22+B23+B24</f>
        <v>-65836.083499999993</v>
      </c>
      <c r="C25" s="1">
        <f t="shared" ref="C25:M25" si="6">C21+C22+C23+C24</f>
        <v>-95704.097900000008</v>
      </c>
      <c r="D25" s="1">
        <f t="shared" si="6"/>
        <v>-103689.47850000001</v>
      </c>
      <c r="E25" s="1">
        <f t="shared" si="6"/>
        <v>-104277.345</v>
      </c>
      <c r="F25" s="1">
        <f t="shared" si="6"/>
        <v>-128050.15790000001</v>
      </c>
      <c r="G25" s="1">
        <f t="shared" si="6"/>
        <v>0</v>
      </c>
      <c r="H25" s="1">
        <f t="shared" si="6"/>
        <v>0</v>
      </c>
      <c r="I25" s="1">
        <f t="shared" si="6"/>
        <v>0</v>
      </c>
      <c r="J25" s="1">
        <f t="shared" si="6"/>
        <v>0</v>
      </c>
      <c r="K25" s="1">
        <f t="shared" si="6"/>
        <v>0</v>
      </c>
      <c r="L25" s="1">
        <f t="shared" si="6"/>
        <v>0</v>
      </c>
      <c r="M25" s="1">
        <f t="shared" si="6"/>
        <v>0</v>
      </c>
      <c r="N25" s="1">
        <f t="shared" si="1"/>
        <v>-497557.16280000005</v>
      </c>
    </row>
    <row r="26" spans="1:15" x14ac:dyDescent="0.25">
      <c r="A26" s="29" t="s">
        <v>177</v>
      </c>
      <c r="B26" s="1">
        <f>(B20-B25)*Dades!C126</f>
        <v>-14150.81735278662</v>
      </c>
      <c r="C26" s="1">
        <f>(C20-C25)*Dades!E126</f>
        <v>-18648.353350721674</v>
      </c>
      <c r="D26" s="1">
        <f>(D20-D25)*Dades!G126</f>
        <v>-30914.862038497853</v>
      </c>
      <c r="E26" s="1">
        <f>(E20-E25)*Dades!I126</f>
        <v>-81249.681196016347</v>
      </c>
      <c r="F26" s="1">
        <f>(F20-F25)*Dades!K126</f>
        <v>-144544.9662135721</v>
      </c>
      <c r="G26" s="1">
        <f>(G20-G25)*Dades!H126</f>
        <v>0</v>
      </c>
      <c r="H26" s="1">
        <f>(H20-H25)*Dades!I126</f>
        <v>0</v>
      </c>
      <c r="I26" s="1">
        <f>(I20-I25)*Dades!J126</f>
        <v>0</v>
      </c>
      <c r="J26" s="1">
        <f>(J20-J25)*Dades!K126</f>
        <v>0</v>
      </c>
      <c r="K26" s="1">
        <f>(K20-K25)*Dades!L126</f>
        <v>0</v>
      </c>
      <c r="L26" s="1"/>
      <c r="M26" s="1">
        <f>(M20-M25)*Dades!N126</f>
        <v>0</v>
      </c>
      <c r="N26" s="1">
        <f t="shared" si="1"/>
        <v>-289508.68015159457</v>
      </c>
    </row>
    <row r="27" spans="1:15" x14ac:dyDescent="0.25">
      <c r="A27" s="7" t="s">
        <v>180</v>
      </c>
      <c r="B27" s="1">
        <v>-14593.57</v>
      </c>
      <c r="C27" s="1">
        <v>-14965.37</v>
      </c>
      <c r="D27" s="1">
        <v>-15581.39</v>
      </c>
      <c r="E27" s="1">
        <v>-16901.53</v>
      </c>
      <c r="F27" s="1">
        <v>-18629.55</v>
      </c>
      <c r="N27" s="1">
        <f t="shared" si="1"/>
        <v>-80671.41</v>
      </c>
    </row>
    <row r="28" spans="1:15" x14ac:dyDescent="0.25">
      <c r="A28" s="7"/>
      <c r="B28" s="1">
        <v>-2589.0500000000002</v>
      </c>
      <c r="C28" s="1">
        <v>-4174.93</v>
      </c>
      <c r="D28" s="1">
        <v>-8686.08</v>
      </c>
      <c r="E28" s="1">
        <v>-10808.41</v>
      </c>
      <c r="F28" s="1">
        <v>-25630.83</v>
      </c>
      <c r="N28" s="1">
        <f t="shared" si="1"/>
        <v>-51889.3</v>
      </c>
    </row>
    <row r="29" spans="1:15" x14ac:dyDescent="0.25">
      <c r="A29" s="29" t="s">
        <v>177</v>
      </c>
      <c r="B29" s="1">
        <f>B28*Dades!C121</f>
        <v>-215.99055617005448</v>
      </c>
      <c r="C29" s="1">
        <f>C28*Dades!$E$121</f>
        <v>-332.83364643169483</v>
      </c>
      <c r="D29" s="1">
        <f>D28*Dades!$G$121</f>
        <v>-957.80004416154691</v>
      </c>
      <c r="E29" s="1">
        <f>E28*Dades!$I$121</f>
        <v>-3090.4523637192292</v>
      </c>
      <c r="F29" s="1">
        <f>F28*Dades!$K$121</f>
        <v>-9135.6240035337014</v>
      </c>
      <c r="G29" s="1">
        <f>G28*Dades!$C$121</f>
        <v>0</v>
      </c>
      <c r="H29" s="1">
        <f>H28*Dades!$C$121</f>
        <v>0</v>
      </c>
      <c r="I29" s="1">
        <f>I28*Dades!$C$121</f>
        <v>0</v>
      </c>
      <c r="J29" s="1">
        <f>J28*Dades!$C$121</f>
        <v>0</v>
      </c>
      <c r="K29" s="1">
        <f>K28*Dades!$C$121</f>
        <v>0</v>
      </c>
      <c r="L29" s="1">
        <f>L28*Dades!$C$121</f>
        <v>0</v>
      </c>
      <c r="M29" s="1">
        <f>M28*Dades!$C$121</f>
        <v>0</v>
      </c>
      <c r="N29" s="1">
        <f t="shared" si="1"/>
        <v>-13732.700614016227</v>
      </c>
    </row>
    <row r="30" spans="1:15" x14ac:dyDescent="0.25">
      <c r="A30" s="7" t="s">
        <v>24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N30" s="1">
        <f t="shared" si="1"/>
        <v>0</v>
      </c>
    </row>
    <row r="31" spans="1:15" x14ac:dyDescent="0.25">
      <c r="A31" s="7" t="s">
        <v>25</v>
      </c>
      <c r="B31" s="1">
        <v>-4626.1499999999996</v>
      </c>
      <c r="C31" s="1">
        <v>-4451.84</v>
      </c>
      <c r="D31" s="1">
        <v>-4671.13</v>
      </c>
      <c r="E31" s="1">
        <v>-5328.14</v>
      </c>
      <c r="F31" s="1">
        <v>-5253.39</v>
      </c>
      <c r="N31" s="1">
        <f t="shared" si="1"/>
        <v>-24330.649999999998</v>
      </c>
    </row>
    <row r="32" spans="1:15" x14ac:dyDescent="0.25">
      <c r="A32" s="7" t="s">
        <v>26</v>
      </c>
      <c r="B32" s="1">
        <v>0</v>
      </c>
      <c r="C32" s="1">
        <v>-126</v>
      </c>
      <c r="D32" s="1">
        <v>-517.12</v>
      </c>
      <c r="E32" s="1">
        <v>-199.96</v>
      </c>
      <c r="F32" s="1">
        <v>-202.5</v>
      </c>
      <c r="N32" s="1">
        <f t="shared" si="1"/>
        <v>-1045.58</v>
      </c>
    </row>
    <row r="33" spans="1:15" x14ac:dyDescent="0.25">
      <c r="A33" s="8" t="s">
        <v>27</v>
      </c>
      <c r="B33" s="9">
        <f>B26+B27+B29+B31+B32+B30</f>
        <v>-33586.527908956676</v>
      </c>
      <c r="C33" s="9">
        <f t="shared" ref="C33:M33" si="7">C26+C27+C29+C31+C32+C30</f>
        <v>-38524.396997153366</v>
      </c>
      <c r="D33" s="9">
        <f t="shared" si="7"/>
        <v>-52642.3020826594</v>
      </c>
      <c r="E33" s="9">
        <f t="shared" si="7"/>
        <v>-106769.76355973558</v>
      </c>
      <c r="F33" s="9">
        <f t="shared" si="7"/>
        <v>-177766.03021710581</v>
      </c>
      <c r="G33" s="9">
        <f t="shared" si="7"/>
        <v>0</v>
      </c>
      <c r="H33" s="9">
        <f t="shared" si="7"/>
        <v>0</v>
      </c>
      <c r="I33" s="9">
        <f t="shared" si="7"/>
        <v>0</v>
      </c>
      <c r="J33" s="9">
        <f t="shared" si="7"/>
        <v>0</v>
      </c>
      <c r="K33" s="9">
        <f t="shared" si="7"/>
        <v>0</v>
      </c>
      <c r="L33" s="9">
        <f t="shared" si="7"/>
        <v>0</v>
      </c>
      <c r="M33" s="9">
        <f t="shared" si="7"/>
        <v>0</v>
      </c>
      <c r="N33" s="9">
        <f>SUM(B33:M33)</f>
        <v>-409289.02076561085</v>
      </c>
      <c r="O33" s="30">
        <f>N33/$N$8</f>
        <v>-0.38056226311210323</v>
      </c>
    </row>
    <row r="34" spans="1:15" x14ac:dyDescent="0.25">
      <c r="A34" s="7" t="s">
        <v>84</v>
      </c>
      <c r="B34" s="24">
        <v>-79477.48</v>
      </c>
      <c r="C34" s="24">
        <v>-65034.81</v>
      </c>
      <c r="D34" s="24">
        <v>-100634.18</v>
      </c>
      <c r="E34" s="24">
        <v>-133354.73000000001</v>
      </c>
      <c r="F34" s="24">
        <v>-131629.54999999999</v>
      </c>
      <c r="G34" s="9"/>
      <c r="H34" s="9"/>
      <c r="I34" s="9"/>
      <c r="J34" s="9"/>
      <c r="K34" s="9"/>
      <c r="L34" s="9"/>
      <c r="M34" s="9"/>
      <c r="N34" s="9"/>
    </row>
    <row r="35" spans="1:15" x14ac:dyDescent="0.25">
      <c r="A35" s="29">
        <f>Dades!R77</f>
        <v>0.14000000000000001</v>
      </c>
      <c r="B35" s="24">
        <f>$A$35*B34</f>
        <v>-11126.8472</v>
      </c>
      <c r="C35" s="24">
        <f t="shared" ref="C35:F35" si="8">$A$35*C34</f>
        <v>-9104.8734000000004</v>
      </c>
      <c r="D35" s="24">
        <f t="shared" si="8"/>
        <v>-14088.7852</v>
      </c>
      <c r="E35" s="24">
        <f t="shared" si="8"/>
        <v>-18669.662200000002</v>
      </c>
      <c r="F35" s="24">
        <f t="shared" si="8"/>
        <v>-18428.136999999999</v>
      </c>
      <c r="G35" s="9"/>
      <c r="H35" s="9"/>
      <c r="I35" s="9"/>
      <c r="J35" s="9"/>
      <c r="K35" s="9"/>
      <c r="L35" s="9"/>
      <c r="M35" s="9"/>
      <c r="N35" s="9"/>
    </row>
    <row r="36" spans="1:15" x14ac:dyDescent="0.25">
      <c r="A36" s="7" t="s">
        <v>28</v>
      </c>
      <c r="B36" s="1">
        <v>-24238.12</v>
      </c>
      <c r="C36" s="1">
        <v>-25118.02</v>
      </c>
      <c r="D36" s="1">
        <v>-26499.01</v>
      </c>
      <c r="E36" s="1">
        <v>-26682.33</v>
      </c>
      <c r="F36" s="1">
        <v>-25826.93</v>
      </c>
      <c r="N36" s="1">
        <f t="shared" si="1"/>
        <v>-128364.41</v>
      </c>
    </row>
    <row r="37" spans="1:15" x14ac:dyDescent="0.25">
      <c r="A37" s="7" t="s">
        <v>29</v>
      </c>
      <c r="B37" s="1">
        <v>-299.81</v>
      </c>
      <c r="C37" s="1">
        <v>0</v>
      </c>
      <c r="D37" s="1">
        <v>-485.07</v>
      </c>
      <c r="E37" s="1">
        <v>-670.45</v>
      </c>
      <c r="F37" s="1">
        <v>-669.71</v>
      </c>
      <c r="N37" s="1">
        <f t="shared" si="1"/>
        <v>-2125.04</v>
      </c>
    </row>
    <row r="38" spans="1:15" x14ac:dyDescent="0.25">
      <c r="A38" s="7" t="s">
        <v>30</v>
      </c>
      <c r="B38" s="1">
        <v>0</v>
      </c>
      <c r="C38" s="1">
        <v>-2286.08</v>
      </c>
      <c r="D38" s="1">
        <v>-2322.8000000000002</v>
      </c>
      <c r="E38" s="1">
        <v>-8013.02</v>
      </c>
      <c r="F38" s="1">
        <v>-18171.29</v>
      </c>
      <c r="N38" s="1">
        <f t="shared" si="1"/>
        <v>-30793.190000000002</v>
      </c>
    </row>
    <row r="39" spans="1:15" x14ac:dyDescent="0.25">
      <c r="A39" s="7" t="s">
        <v>30</v>
      </c>
      <c r="B39" s="1"/>
      <c r="D39" s="1">
        <v>-175</v>
      </c>
      <c r="E39" s="1">
        <v>-630</v>
      </c>
      <c r="F39" s="1">
        <v>-1830</v>
      </c>
      <c r="N39" s="1"/>
    </row>
    <row r="40" spans="1:15" x14ac:dyDescent="0.25">
      <c r="A40" s="7" t="s">
        <v>31</v>
      </c>
      <c r="B40" s="1">
        <v>0</v>
      </c>
      <c r="C40" s="1">
        <v>-1.2</v>
      </c>
      <c r="D40" s="1">
        <v>0</v>
      </c>
      <c r="E40" s="1">
        <v>0</v>
      </c>
      <c r="F40" s="1">
        <v>0</v>
      </c>
      <c r="N40" s="1">
        <f t="shared" si="1"/>
        <v>-1.2</v>
      </c>
    </row>
    <row r="41" spans="1:15" x14ac:dyDescent="0.25">
      <c r="A41" s="7" t="s">
        <v>32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N41" s="1">
        <f t="shared" si="1"/>
        <v>0</v>
      </c>
    </row>
    <row r="42" spans="1:15" x14ac:dyDescent="0.25">
      <c r="A42" s="7" t="s">
        <v>33</v>
      </c>
      <c r="B42" s="1">
        <v>-35.1</v>
      </c>
      <c r="C42" s="1">
        <v>-74.91</v>
      </c>
      <c r="D42" s="1">
        <v>-90.6</v>
      </c>
      <c r="E42" s="1">
        <v>-39.450000000000003</v>
      </c>
      <c r="F42" s="1">
        <v>-220.92</v>
      </c>
      <c r="N42" s="1">
        <f t="shared" si="1"/>
        <v>-460.98</v>
      </c>
    </row>
    <row r="43" spans="1:15" x14ac:dyDescent="0.25">
      <c r="A43" s="7" t="s">
        <v>34</v>
      </c>
      <c r="B43" s="1">
        <v>-1610</v>
      </c>
      <c r="C43" s="1">
        <v>-1946.92</v>
      </c>
      <c r="D43" s="1">
        <v>-1937.19</v>
      </c>
      <c r="E43" s="1">
        <v>-3922.8</v>
      </c>
      <c r="F43" s="1">
        <v>-2809.07</v>
      </c>
      <c r="N43" s="1">
        <f t="shared" si="1"/>
        <v>-12225.98</v>
      </c>
    </row>
    <row r="44" spans="1:15" x14ac:dyDescent="0.25">
      <c r="A44" s="7" t="s">
        <v>35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N44" s="1">
        <f t="shared" si="1"/>
        <v>0</v>
      </c>
    </row>
    <row r="45" spans="1:15" x14ac:dyDescent="0.25">
      <c r="A45" s="7" t="s">
        <v>36</v>
      </c>
      <c r="B45" s="1">
        <v>-2584.84</v>
      </c>
      <c r="C45" s="1">
        <v>-1682.4</v>
      </c>
      <c r="D45" s="1">
        <v>-3442.4</v>
      </c>
      <c r="E45" s="1">
        <v>-3319.28</v>
      </c>
      <c r="F45" s="1">
        <v>-13107.19</v>
      </c>
      <c r="N45" s="1">
        <f t="shared" si="1"/>
        <v>-24136.11</v>
      </c>
    </row>
    <row r="46" spans="1:15" x14ac:dyDescent="0.25">
      <c r="A46" s="7" t="s">
        <v>38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N46" s="1">
        <f t="shared" si="1"/>
        <v>0</v>
      </c>
    </row>
    <row r="47" spans="1:15" x14ac:dyDescent="0.25">
      <c r="A47" s="7" t="s">
        <v>39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N47" s="1">
        <f t="shared" si="1"/>
        <v>0</v>
      </c>
    </row>
    <row r="48" spans="1:15" x14ac:dyDescent="0.25">
      <c r="A48" s="8" t="s">
        <v>40</v>
      </c>
      <c r="B48" s="9">
        <f>SUM(B35:B47)</f>
        <v>-39894.717199999999</v>
      </c>
      <c r="C48" s="9">
        <f t="shared" ref="C48:F48" si="9">SUM(C35:C47)</f>
        <v>-40214.403400000003</v>
      </c>
      <c r="D48" s="9">
        <f t="shared" si="9"/>
        <v>-49040.855200000005</v>
      </c>
      <c r="E48" s="9">
        <f t="shared" si="9"/>
        <v>-61946.992200000008</v>
      </c>
      <c r="F48" s="9">
        <f t="shared" si="9"/>
        <v>-81063.247000000003</v>
      </c>
      <c r="G48" s="9">
        <f t="shared" ref="G48:M48" si="10">SUM(G36:G47)</f>
        <v>0</v>
      </c>
      <c r="H48" s="9">
        <f t="shared" si="10"/>
        <v>0</v>
      </c>
      <c r="I48" s="9">
        <f t="shared" si="10"/>
        <v>0</v>
      </c>
      <c r="J48" s="9">
        <f t="shared" si="10"/>
        <v>0</v>
      </c>
      <c r="K48" s="9">
        <f t="shared" si="10"/>
        <v>0</v>
      </c>
      <c r="L48" s="9">
        <f t="shared" si="10"/>
        <v>0</v>
      </c>
      <c r="M48" s="9">
        <f t="shared" si="10"/>
        <v>0</v>
      </c>
      <c r="N48" s="9">
        <f t="shared" si="1"/>
        <v>-272160.21499999997</v>
      </c>
      <c r="O48" s="30">
        <f>N48/$N$8</f>
        <v>-0.25305811320257876</v>
      </c>
    </row>
    <row r="49" spans="1:14" x14ac:dyDescent="0.25">
      <c r="A49" s="7" t="s">
        <v>41</v>
      </c>
      <c r="B49" s="1">
        <f>B48+B33</f>
        <v>-73481.245108956675</v>
      </c>
      <c r="C49" s="1">
        <f t="shared" ref="C49:M49" si="11">C48+C33</f>
        <v>-78738.800397153362</v>
      </c>
      <c r="D49" s="1">
        <f t="shared" si="11"/>
        <v>-101683.15728265941</v>
      </c>
      <c r="E49" s="1">
        <f t="shared" si="11"/>
        <v>-168716.75575973559</v>
      </c>
      <c r="F49" s="1">
        <f t="shared" si="11"/>
        <v>-258829.27721710582</v>
      </c>
      <c r="G49" s="1">
        <f t="shared" si="11"/>
        <v>0</v>
      </c>
      <c r="H49" s="1">
        <f t="shared" si="11"/>
        <v>0</v>
      </c>
      <c r="I49" s="1">
        <f t="shared" si="11"/>
        <v>0</v>
      </c>
      <c r="J49" s="1">
        <f t="shared" si="11"/>
        <v>0</v>
      </c>
      <c r="K49" s="1">
        <f t="shared" si="11"/>
        <v>0</v>
      </c>
      <c r="L49" s="1">
        <f t="shared" si="11"/>
        <v>0</v>
      </c>
      <c r="M49" s="1">
        <f t="shared" si="11"/>
        <v>0</v>
      </c>
      <c r="N49" s="1">
        <f t="shared" si="1"/>
        <v>-681449.23576561082</v>
      </c>
    </row>
    <row r="50" spans="1:14" x14ac:dyDescent="0.25">
      <c r="A50" s="8" t="s">
        <v>42</v>
      </c>
      <c r="B50" s="9">
        <f t="shared" ref="B50:M50" si="12">B8+(B19+B33+B48)</f>
        <v>-59784.938568559985</v>
      </c>
      <c r="C50" s="9">
        <f t="shared" si="12"/>
        <v>-52848.290499451825</v>
      </c>
      <c r="D50" s="9">
        <f t="shared" si="12"/>
        <v>-52332.602453356929</v>
      </c>
      <c r="E50" s="9">
        <f t="shared" si="12"/>
        <v>-19475.390957561496</v>
      </c>
      <c r="F50" s="9">
        <f t="shared" si="12"/>
        <v>301084.68623783579</v>
      </c>
      <c r="G50" s="9">
        <f t="shared" si="12"/>
        <v>0</v>
      </c>
      <c r="H50" s="9">
        <f t="shared" si="12"/>
        <v>0</v>
      </c>
      <c r="I50" s="9">
        <f t="shared" si="12"/>
        <v>0</v>
      </c>
      <c r="J50" s="9">
        <f t="shared" si="12"/>
        <v>0</v>
      </c>
      <c r="K50" s="9">
        <f t="shared" si="12"/>
        <v>0</v>
      </c>
      <c r="L50" s="9">
        <f t="shared" si="12"/>
        <v>0</v>
      </c>
      <c r="M50" s="9">
        <f t="shared" si="12"/>
        <v>0</v>
      </c>
      <c r="N50" s="9">
        <f t="shared" si="1"/>
        <v>116643.46375890556</v>
      </c>
    </row>
    <row r="51" spans="1:14" x14ac:dyDescent="0.25">
      <c r="A51" t="s">
        <v>79</v>
      </c>
      <c r="B51" s="10">
        <f t="shared" ref="B51:N51" si="13">B50/B8</f>
        <v>-2.2704730559706259</v>
      </c>
      <c r="C51" s="10">
        <f t="shared" si="13"/>
        <v>-1.1665848926994549</v>
      </c>
      <c r="D51" s="10">
        <f t="shared" si="13"/>
        <v>-0.60893348681801851</v>
      </c>
      <c r="E51" s="10">
        <f t="shared" si="13"/>
        <v>-9.1394482190900184E-2</v>
      </c>
      <c r="F51" s="10">
        <f t="shared" si="13"/>
        <v>0.42718021680411516</v>
      </c>
      <c r="G51" s="10"/>
      <c r="H51" s="10"/>
      <c r="I51" s="10"/>
      <c r="J51" s="10"/>
      <c r="K51" s="10"/>
      <c r="L51" s="10"/>
      <c r="M51" s="10"/>
      <c r="N51" s="10">
        <f t="shared" si="13"/>
        <v>0.10845661205934166</v>
      </c>
    </row>
    <row r="54" spans="1:14" x14ac:dyDescent="0.25">
      <c r="D54" s="11"/>
    </row>
    <row r="55" spans="1:14" x14ac:dyDescent="0.25">
      <c r="D55" s="11"/>
    </row>
    <row r="57" spans="1:14" x14ac:dyDescent="0.25">
      <c r="D57" s="11"/>
    </row>
    <row r="59" spans="1:14" x14ac:dyDescent="0.25">
      <c r="D59" s="11"/>
    </row>
  </sheetData>
  <conditionalFormatting sqref="B50:N50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37CF1-56C5-4FA8-93E7-7F00AF1CBC6A}">
  <dimension ref="A1:O40"/>
  <sheetViews>
    <sheetView workbookViewId="0">
      <selection activeCell="B28" sqref="B28"/>
    </sheetView>
  </sheetViews>
  <sheetFormatPr baseColWidth="10" defaultRowHeight="15" x14ac:dyDescent="0.25"/>
  <cols>
    <col min="1" max="1" width="45.140625" customWidth="1"/>
    <col min="2" max="5" width="15.7109375" customWidth="1"/>
    <col min="6" max="6" width="15.7109375" style="1" customWidth="1"/>
    <col min="7" max="14" width="15.7109375" customWidth="1"/>
  </cols>
  <sheetData>
    <row r="1" spans="1:15" x14ac:dyDescent="0.25">
      <c r="A1" s="5" t="s">
        <v>80</v>
      </c>
      <c r="B1" s="6" t="s">
        <v>66</v>
      </c>
      <c r="C1" s="6" t="s">
        <v>67</v>
      </c>
      <c r="D1" s="6" t="s">
        <v>68</v>
      </c>
      <c r="E1" s="6" t="s">
        <v>69</v>
      </c>
      <c r="F1" s="6" t="s">
        <v>70</v>
      </c>
      <c r="G1" s="6" t="s">
        <v>71</v>
      </c>
      <c r="H1" s="6" t="s">
        <v>72</v>
      </c>
      <c r="I1" s="6" t="s">
        <v>73</v>
      </c>
      <c r="J1" s="6" t="s">
        <v>74</v>
      </c>
      <c r="K1" s="6" t="s">
        <v>75</v>
      </c>
      <c r="L1" s="6" t="s">
        <v>76</v>
      </c>
      <c r="M1" s="6" t="s">
        <v>77</v>
      </c>
      <c r="N1" s="6" t="s">
        <v>3</v>
      </c>
    </row>
    <row r="2" spans="1:15" x14ac:dyDescent="0.25">
      <c r="A2" s="7" t="s">
        <v>12</v>
      </c>
      <c r="B2" s="11">
        <v>553131.46</v>
      </c>
      <c r="C2" s="11">
        <v>504331.86</v>
      </c>
      <c r="D2" s="11">
        <v>546727.36</v>
      </c>
      <c r="E2" s="11">
        <v>575539.43000000005</v>
      </c>
      <c r="F2" s="11">
        <v>549273.34</v>
      </c>
      <c r="N2" s="1">
        <f>SUM(B2:M2)</f>
        <v>2729003.4499999997</v>
      </c>
    </row>
    <row r="3" spans="1:15" x14ac:dyDescent="0.25">
      <c r="A3" s="7" t="s">
        <v>81</v>
      </c>
      <c r="B3" s="1">
        <f>-B2*0.02</f>
        <v>-11062.629199999999</v>
      </c>
      <c r="C3" s="1">
        <f t="shared" ref="C3:F3" si="0">-C2*0.02</f>
        <v>-10086.637199999999</v>
      </c>
      <c r="D3" s="1">
        <f t="shared" si="0"/>
        <v>-10934.547199999999</v>
      </c>
      <c r="E3" s="1">
        <f t="shared" si="0"/>
        <v>-11510.788600000002</v>
      </c>
      <c r="F3" s="1">
        <f t="shared" si="0"/>
        <v>-10985.4668</v>
      </c>
      <c r="N3" s="1">
        <f t="shared" ref="N3:N39" si="1">SUM(B3:M3)</f>
        <v>-54580.069000000003</v>
      </c>
    </row>
    <row r="4" spans="1:15" x14ac:dyDescent="0.25">
      <c r="A4" s="7" t="s">
        <v>14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N4" s="1">
        <f t="shared" si="1"/>
        <v>0</v>
      </c>
    </row>
    <row r="5" spans="1:15" x14ac:dyDescent="0.25">
      <c r="A5" s="7" t="s">
        <v>15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N5" s="1">
        <f t="shared" si="1"/>
        <v>0</v>
      </c>
    </row>
    <row r="6" spans="1:15" s="25" customFormat="1" x14ac:dyDescent="0.25">
      <c r="A6" s="8" t="s">
        <v>16</v>
      </c>
      <c r="B6" s="9">
        <f>SUM(B2:B5)</f>
        <v>542068.8308</v>
      </c>
      <c r="C6" s="9">
        <f t="shared" ref="C6:M6" si="2">SUM(C2:C5)</f>
        <v>494245.22279999999</v>
      </c>
      <c r="D6" s="9">
        <f t="shared" si="2"/>
        <v>535792.81279999996</v>
      </c>
      <c r="E6" s="9">
        <f t="shared" si="2"/>
        <v>564028.64140000008</v>
      </c>
      <c r="F6" s="9">
        <f t="shared" si="2"/>
        <v>538287.87319999991</v>
      </c>
      <c r="G6" s="9">
        <f t="shared" si="2"/>
        <v>0</v>
      </c>
      <c r="H6" s="9">
        <f t="shared" si="2"/>
        <v>0</v>
      </c>
      <c r="I6" s="9">
        <f t="shared" si="2"/>
        <v>0</v>
      </c>
      <c r="J6" s="9">
        <f t="shared" si="2"/>
        <v>0</v>
      </c>
      <c r="K6" s="9">
        <f t="shared" si="2"/>
        <v>0</v>
      </c>
      <c r="L6" s="9">
        <f t="shared" si="2"/>
        <v>0</v>
      </c>
      <c r="M6" s="9">
        <f t="shared" si="2"/>
        <v>0</v>
      </c>
      <c r="N6" s="9">
        <f t="shared" si="1"/>
        <v>2674423.3809999996</v>
      </c>
    </row>
    <row r="7" spans="1:15" x14ac:dyDescent="0.25">
      <c r="A7" s="7" t="s">
        <v>17</v>
      </c>
      <c r="B7" s="1"/>
      <c r="C7" s="1"/>
      <c r="D7" s="1"/>
      <c r="E7" s="1"/>
      <c r="F7" s="1">
        <f>SUM(G7:I7)</f>
        <v>0</v>
      </c>
      <c r="N7" s="1">
        <f t="shared" si="1"/>
        <v>0</v>
      </c>
    </row>
    <row r="8" spans="1:15" x14ac:dyDescent="0.25">
      <c r="A8" s="7" t="s">
        <v>18</v>
      </c>
      <c r="B8" s="1"/>
      <c r="C8" s="1"/>
      <c r="D8" s="1"/>
      <c r="F8" s="1">
        <v>0</v>
      </c>
      <c r="N8" s="1">
        <f t="shared" si="1"/>
        <v>0</v>
      </c>
    </row>
    <row r="9" spans="1:15" x14ac:dyDescent="0.25">
      <c r="A9" s="29">
        <v>0.45</v>
      </c>
      <c r="B9" s="26">
        <f>-B2*$A$9</f>
        <v>-248909.15699999998</v>
      </c>
      <c r="C9" s="26">
        <f t="shared" ref="C9:M9" si="3">-C2*$A$9</f>
        <v>-226949.337</v>
      </c>
      <c r="D9" s="26">
        <f t="shared" si="3"/>
        <v>-246027.31200000001</v>
      </c>
      <c r="E9" s="26">
        <f t="shared" si="3"/>
        <v>-258992.74350000004</v>
      </c>
      <c r="F9" s="26">
        <f t="shared" si="3"/>
        <v>-247173.003</v>
      </c>
      <c r="G9" s="26">
        <f t="shared" si="3"/>
        <v>0</v>
      </c>
      <c r="H9" s="26">
        <f t="shared" si="3"/>
        <v>0</v>
      </c>
      <c r="I9" s="26">
        <f t="shared" si="3"/>
        <v>0</v>
      </c>
      <c r="J9" s="26">
        <f t="shared" si="3"/>
        <v>0</v>
      </c>
      <c r="K9" s="26">
        <f t="shared" si="3"/>
        <v>0</v>
      </c>
      <c r="L9" s="26">
        <f t="shared" si="3"/>
        <v>0</v>
      </c>
      <c r="M9" s="26">
        <f t="shared" si="3"/>
        <v>0</v>
      </c>
      <c r="N9" s="26">
        <f t="shared" si="1"/>
        <v>-1228051.5525</v>
      </c>
    </row>
    <row r="10" spans="1:15" x14ac:dyDescent="0.25">
      <c r="A10" s="7" t="s">
        <v>20</v>
      </c>
      <c r="B10" s="1"/>
      <c r="C10" s="1"/>
      <c r="D10" s="1"/>
      <c r="F10" s="1">
        <v>0</v>
      </c>
      <c r="N10" s="1">
        <f t="shared" si="1"/>
        <v>0</v>
      </c>
    </row>
    <row r="11" spans="1:15" s="25" customFormat="1" x14ac:dyDescent="0.25">
      <c r="A11" s="8" t="s">
        <v>21</v>
      </c>
      <c r="B11" s="9">
        <f>SUM(B7:B10)</f>
        <v>-248909.15699999998</v>
      </c>
      <c r="C11" s="9">
        <f t="shared" ref="C11:M11" si="4">SUM(C7:C10)</f>
        <v>-226949.337</v>
      </c>
      <c r="D11" s="9">
        <f t="shared" si="4"/>
        <v>-246027.31200000001</v>
      </c>
      <c r="E11" s="9">
        <f t="shared" si="4"/>
        <v>-258992.74350000004</v>
      </c>
      <c r="F11" s="9">
        <f t="shared" si="4"/>
        <v>-247173.003</v>
      </c>
      <c r="G11" s="9">
        <f t="shared" si="4"/>
        <v>0</v>
      </c>
      <c r="H11" s="9">
        <f t="shared" si="4"/>
        <v>0</v>
      </c>
      <c r="I11" s="9">
        <f t="shared" si="4"/>
        <v>0</v>
      </c>
      <c r="J11" s="9">
        <f t="shared" si="4"/>
        <v>0</v>
      </c>
      <c r="K11" s="9">
        <f t="shared" si="4"/>
        <v>0</v>
      </c>
      <c r="L11" s="9">
        <f t="shared" si="4"/>
        <v>0</v>
      </c>
      <c r="M11" s="9">
        <f t="shared" si="4"/>
        <v>0</v>
      </c>
      <c r="N11" s="9">
        <f t="shared" si="1"/>
        <v>-1228051.5525</v>
      </c>
      <c r="O11" s="30">
        <f>N11/$N$6</f>
        <v>-0.45918367346938782</v>
      </c>
    </row>
    <row r="12" spans="1:15" x14ac:dyDescent="0.25">
      <c r="A12" s="7" t="s">
        <v>83</v>
      </c>
      <c r="B12" s="26">
        <v>-532718.66</v>
      </c>
      <c r="C12" s="26">
        <v>-537228.61</v>
      </c>
      <c r="D12" s="26">
        <v>-580718.51</v>
      </c>
      <c r="E12" s="26">
        <v>-607883.80000000005</v>
      </c>
      <c r="F12" s="26">
        <v>-646229.82999999996</v>
      </c>
      <c r="N12" s="26">
        <f>SUM(B12:M12)</f>
        <v>-2904779.41</v>
      </c>
    </row>
    <row r="13" spans="1:15" x14ac:dyDescent="0.25">
      <c r="A13" s="33" t="s">
        <v>91</v>
      </c>
      <c r="B13" s="26">
        <v>-20000</v>
      </c>
      <c r="C13" s="26">
        <v>-20000</v>
      </c>
      <c r="D13" s="26">
        <v>-20000</v>
      </c>
      <c r="E13" s="26">
        <v>-20000</v>
      </c>
      <c r="F13" s="26">
        <v>-20000</v>
      </c>
      <c r="N13" s="26">
        <f t="shared" ref="N13:N22" si="5">SUM(B13:M13)</f>
        <v>-100000</v>
      </c>
    </row>
    <row r="14" spans="1:15" x14ac:dyDescent="0.25">
      <c r="A14" s="33" t="s">
        <v>87</v>
      </c>
      <c r="B14" s="1">
        <f>'Green Vita_05'!B20</f>
        <v>-24563.584999999999</v>
      </c>
      <c r="C14" s="1">
        <f>'Green Vita_05'!C20</f>
        <v>-43419.493000000002</v>
      </c>
      <c r="D14" s="1">
        <f>'Green Vita_05'!D20</f>
        <v>-46702.057000000001</v>
      </c>
      <c r="E14" s="1">
        <f>'Green Vita_05'!E20</f>
        <v>-32602.222000000002</v>
      </c>
      <c r="F14" s="1">
        <f>'Green Vita_05'!F20</f>
        <v>-48606.810000000005</v>
      </c>
      <c r="G14" s="1">
        <f>'Green Vita_05'!G20</f>
        <v>0</v>
      </c>
      <c r="H14" s="1">
        <f>'Green Vita_05'!H20</f>
        <v>0</v>
      </c>
      <c r="I14" s="1">
        <f>'Green Vita_05'!I20</f>
        <v>0</v>
      </c>
      <c r="J14" s="1">
        <f>'Green Vita_05'!J20</f>
        <v>0</v>
      </c>
      <c r="K14" s="1">
        <f>'Green Vita_05'!K20</f>
        <v>0</v>
      </c>
      <c r="L14" s="1">
        <f>'Green Vita_05'!L20</f>
        <v>0</v>
      </c>
      <c r="M14" s="1">
        <f>'Green Vita_05'!M20</f>
        <v>0</v>
      </c>
      <c r="N14" s="26">
        <f t="shared" si="5"/>
        <v>-195894.16700000002</v>
      </c>
    </row>
    <row r="15" spans="1:15" x14ac:dyDescent="0.25">
      <c r="A15" s="33" t="s">
        <v>166</v>
      </c>
      <c r="B15" s="1">
        <f>Foodlovers_05!B20</f>
        <v>-14082.14</v>
      </c>
      <c r="C15" s="1">
        <f>Foodlovers_05!C20</f>
        <v>-24870.009900000005</v>
      </c>
      <c r="D15" s="1">
        <f>Foodlovers_05!D20</f>
        <v>-28128.893500000002</v>
      </c>
      <c r="E15" s="1">
        <f>Foodlovers_05!E20</f>
        <v>-43343.765500000001</v>
      </c>
      <c r="F15" s="1">
        <f>Foodlovers_05!F20</f>
        <v>-48756.348400000003</v>
      </c>
      <c r="G15" s="1">
        <f>Foodlovers_05!G20</f>
        <v>0</v>
      </c>
      <c r="H15" s="1">
        <f>Foodlovers_05!H20</f>
        <v>0</v>
      </c>
      <c r="I15" s="1">
        <f>Foodlovers_05!I20</f>
        <v>0</v>
      </c>
      <c r="J15" s="1">
        <f>Foodlovers_05!J20</f>
        <v>0</v>
      </c>
      <c r="K15" s="1">
        <f>Foodlovers_05!K20</f>
        <v>0</v>
      </c>
      <c r="L15" s="1">
        <f>Foodlovers_05!L20</f>
        <v>0</v>
      </c>
      <c r="M15" s="1">
        <f>Foodlovers_05!M20</f>
        <v>0</v>
      </c>
      <c r="N15" s="26">
        <f t="shared" si="5"/>
        <v>-159181.15730000002</v>
      </c>
    </row>
    <row r="16" spans="1:15" x14ac:dyDescent="0.25">
      <c r="A16" s="33" t="s">
        <v>164</v>
      </c>
      <c r="B16" s="1">
        <f>Agenda_05!B17</f>
        <v>-7190.3585000000003</v>
      </c>
      <c r="C16" s="1">
        <f>Agenda_05!C17</f>
        <v>-7414.5949999999993</v>
      </c>
      <c r="D16" s="1">
        <f>Agenda_05!D17</f>
        <v>-8858.5280000000002</v>
      </c>
      <c r="E16" s="1">
        <f>Agenda_05!E17</f>
        <v>-8331.3575000000001</v>
      </c>
      <c r="F16" s="1">
        <f>Agenda_05!F17</f>
        <v>-10686.9995</v>
      </c>
      <c r="G16" s="1">
        <f>Agenda_05!G17</f>
        <v>0</v>
      </c>
      <c r="H16" s="1">
        <f>Agenda_05!H17</f>
        <v>0</v>
      </c>
      <c r="I16" s="1">
        <f>Agenda_05!I17</f>
        <v>0</v>
      </c>
      <c r="J16" s="1">
        <f>Agenda_05!J17</f>
        <v>0</v>
      </c>
      <c r="K16" s="1">
        <f>Agenda_05!K17</f>
        <v>0</v>
      </c>
      <c r="L16" s="1">
        <f>Agenda_05!L17</f>
        <v>0</v>
      </c>
      <c r="M16" s="1">
        <f>Agenda_05!M17</f>
        <v>0</v>
      </c>
      <c r="N16" s="26">
        <f t="shared" si="5"/>
        <v>-42481.838499999998</v>
      </c>
    </row>
    <row r="17" spans="1:15" x14ac:dyDescent="0.25">
      <c r="A17" s="33"/>
      <c r="B17" s="1">
        <f>SUM(B13:B16)</f>
        <v>-65836.083499999993</v>
      </c>
      <c r="C17" s="1">
        <f t="shared" ref="C17:G17" si="6">SUM(C13:C16)</f>
        <v>-95704.097900000008</v>
      </c>
      <c r="D17" s="1">
        <f t="shared" si="6"/>
        <v>-103689.47850000001</v>
      </c>
      <c r="E17" s="1">
        <f t="shared" si="6"/>
        <v>-104277.345</v>
      </c>
      <c r="F17" s="1">
        <f t="shared" si="6"/>
        <v>-128050.15790000001</v>
      </c>
      <c r="G17" s="1">
        <f t="shared" si="6"/>
        <v>0</v>
      </c>
      <c r="H17" s="1">
        <f t="shared" ref="H17" si="7">SUM(H13:H16)</f>
        <v>0</v>
      </c>
      <c r="I17" s="1">
        <f t="shared" ref="I17" si="8">SUM(I13:I16)</f>
        <v>0</v>
      </c>
      <c r="J17" s="1">
        <f t="shared" ref="J17" si="9">SUM(J13:J16)</f>
        <v>0</v>
      </c>
      <c r="K17" s="1">
        <f t="shared" ref="K17:L17" si="10">SUM(K13:K16)</f>
        <v>0</v>
      </c>
      <c r="L17" s="1">
        <f t="shared" si="10"/>
        <v>0</v>
      </c>
      <c r="M17" s="1">
        <f t="shared" ref="M17" si="11">SUM(M13:M16)</f>
        <v>0</v>
      </c>
      <c r="N17" s="26">
        <f t="shared" si="5"/>
        <v>-497557.16280000005</v>
      </c>
    </row>
    <row r="18" spans="1:15" x14ac:dyDescent="0.25">
      <c r="A18" s="29" t="s">
        <v>177</v>
      </c>
      <c r="B18" s="1">
        <f>(B12-B17)*Dades!C127</f>
        <v>-297258.6155413232</v>
      </c>
      <c r="C18" s="1">
        <f>(C12-C17)*Dades!E127</f>
        <v>-207607.14620500407</v>
      </c>
      <c r="D18" s="1">
        <f>(D12-D17)*Dades!G127</f>
        <v>-196668.88066034927</v>
      </c>
      <c r="E18" s="1">
        <f>(E12-E17)*Dades!I127</f>
        <v>-219447.45062726075</v>
      </c>
      <c r="F18" s="1">
        <f>(F12-F17)*Dades!K127</f>
        <v>-112645.52851629147</v>
      </c>
      <c r="G18" s="1">
        <f>(G12-G17)*Dades!H127</f>
        <v>0</v>
      </c>
      <c r="H18" s="1">
        <f>(H12-H17)*Dades!I127</f>
        <v>0</v>
      </c>
      <c r="I18" s="1">
        <f>(I12-I17)*Dades!J127</f>
        <v>0</v>
      </c>
      <c r="J18" s="1">
        <f>(J12-J17)*Dades!K127</f>
        <v>0</v>
      </c>
      <c r="K18" s="1">
        <f>(K12-K17)*Dades!L127</f>
        <v>0</v>
      </c>
      <c r="L18" s="1">
        <f>(L12-L17)*Dades!M127</f>
        <v>0</v>
      </c>
      <c r="M18" s="1">
        <f>(M12-M17)*Dades!N127</f>
        <v>0</v>
      </c>
      <c r="N18" s="26">
        <f t="shared" si="5"/>
        <v>-1033627.6215502287</v>
      </c>
    </row>
    <row r="19" spans="1:15" x14ac:dyDescent="0.25">
      <c r="A19" s="7" t="s">
        <v>180</v>
      </c>
      <c r="B19" s="26">
        <v>-50301.51</v>
      </c>
      <c r="C19" s="26">
        <v>-51584.76</v>
      </c>
      <c r="D19" s="26">
        <v>-58122.77</v>
      </c>
      <c r="E19" s="27">
        <v>-58505.599999999999</v>
      </c>
      <c r="F19" s="26">
        <v>-61890.8</v>
      </c>
      <c r="N19" s="26">
        <f t="shared" si="5"/>
        <v>-280405.44</v>
      </c>
    </row>
    <row r="20" spans="1:15" x14ac:dyDescent="0.25">
      <c r="A20" s="7" t="s">
        <v>24</v>
      </c>
      <c r="B20" s="26">
        <v>0</v>
      </c>
      <c r="C20" s="26">
        <v>0</v>
      </c>
      <c r="D20" s="26">
        <v>-28100</v>
      </c>
      <c r="E20" s="26">
        <v>0</v>
      </c>
      <c r="F20" s="26">
        <v>0</v>
      </c>
      <c r="N20" s="26">
        <f t="shared" si="5"/>
        <v>-28100</v>
      </c>
    </row>
    <row r="21" spans="1:15" x14ac:dyDescent="0.25">
      <c r="A21" s="7" t="s">
        <v>25</v>
      </c>
      <c r="B21" s="26">
        <v>-10903.14</v>
      </c>
      <c r="C21" s="26">
        <v>-13495.5</v>
      </c>
      <c r="D21" s="26">
        <v>-16003.53</v>
      </c>
      <c r="E21" s="26">
        <v>-16541.71</v>
      </c>
      <c r="F21" s="26">
        <v>-17869.29</v>
      </c>
      <c r="N21" s="26">
        <f t="shared" si="5"/>
        <v>-74813.17</v>
      </c>
    </row>
    <row r="22" spans="1:15" x14ac:dyDescent="0.25">
      <c r="A22" s="7" t="s">
        <v>26</v>
      </c>
      <c r="B22" s="26">
        <v>-437.49</v>
      </c>
      <c r="C22" s="26">
        <v>-397.2</v>
      </c>
      <c r="D22" s="26">
        <v>-852.13</v>
      </c>
      <c r="E22" s="26">
        <v>-589.11</v>
      </c>
      <c r="F22" s="26">
        <v>-289.8</v>
      </c>
      <c r="N22" s="26">
        <f t="shared" si="5"/>
        <v>-2565.7300000000005</v>
      </c>
    </row>
    <row r="23" spans="1:15" s="25" customFormat="1" x14ac:dyDescent="0.25">
      <c r="A23" s="8" t="s">
        <v>27</v>
      </c>
      <c r="B23" s="28">
        <f>SUM(B18:B22)</f>
        <v>-358900.75554132322</v>
      </c>
      <c r="C23" s="28">
        <f t="shared" ref="C23:F23" si="12">SUM(C18:C22)</f>
        <v>-273084.60620500409</v>
      </c>
      <c r="D23" s="28">
        <f t="shared" si="12"/>
        <v>-299747.31066034932</v>
      </c>
      <c r="E23" s="28">
        <f t="shared" si="12"/>
        <v>-295083.87062726077</v>
      </c>
      <c r="F23" s="28">
        <f t="shared" si="12"/>
        <v>-192695.41851629145</v>
      </c>
      <c r="G23" s="28">
        <f t="shared" ref="G23" si="13">SUM(G18:G22)</f>
        <v>0</v>
      </c>
      <c r="H23" s="28">
        <f t="shared" ref="H23" si="14">SUM(H18:H22)</f>
        <v>0</v>
      </c>
      <c r="I23" s="28">
        <f t="shared" ref="I23" si="15">SUM(I18:I22)</f>
        <v>0</v>
      </c>
      <c r="J23" s="28">
        <f t="shared" ref="J23" si="16">SUM(J18:J22)</f>
        <v>0</v>
      </c>
      <c r="K23" s="28">
        <f t="shared" ref="K23" si="17">SUM(K18:K22)</f>
        <v>0</v>
      </c>
      <c r="L23" s="28">
        <f t="shared" ref="L23" si="18">SUM(L18:L22)</f>
        <v>0</v>
      </c>
      <c r="M23" s="28">
        <f t="shared" ref="M23" si="19">SUM(M18:M22)</f>
        <v>0</v>
      </c>
      <c r="N23" s="28">
        <f t="shared" si="1"/>
        <v>-1419511.961550229</v>
      </c>
      <c r="O23" s="30">
        <f>N23/$N$6</f>
        <v>-0.5307730898686116</v>
      </c>
    </row>
    <row r="24" spans="1:15" s="25" customFormat="1" x14ac:dyDescent="0.25">
      <c r="A24" s="7" t="s">
        <v>84</v>
      </c>
      <c r="B24" s="24">
        <v>-79477.48</v>
      </c>
      <c r="C24" s="24">
        <v>-65034.81</v>
      </c>
      <c r="D24" s="24">
        <v>-100634.18</v>
      </c>
      <c r="E24" s="24">
        <v>-133354.73000000001</v>
      </c>
      <c r="F24" s="24">
        <v>-131629.54999999999</v>
      </c>
      <c r="G24" s="28"/>
      <c r="H24" s="28"/>
      <c r="I24" s="28"/>
      <c r="J24" s="28"/>
      <c r="K24" s="28"/>
      <c r="L24" s="28"/>
      <c r="N24" s="28"/>
    </row>
    <row r="25" spans="1:15" s="25" customFormat="1" x14ac:dyDescent="0.25">
      <c r="A25" s="29">
        <v>0.3</v>
      </c>
      <c r="B25" s="24">
        <f>$A$25*B24</f>
        <v>-23843.243999999999</v>
      </c>
      <c r="C25" s="24">
        <f t="shared" ref="C25:L25" si="20">$A$25*C24</f>
        <v>-19510.442999999999</v>
      </c>
      <c r="D25" s="24">
        <f t="shared" si="20"/>
        <v>-30190.253999999997</v>
      </c>
      <c r="E25" s="24">
        <f t="shared" si="20"/>
        <v>-40006.419000000002</v>
      </c>
      <c r="F25" s="24">
        <f t="shared" si="20"/>
        <v>-39488.864999999998</v>
      </c>
      <c r="G25" s="24">
        <f t="shared" si="20"/>
        <v>0</v>
      </c>
      <c r="H25" s="24">
        <f t="shared" si="20"/>
        <v>0</v>
      </c>
      <c r="I25" s="24">
        <f t="shared" si="20"/>
        <v>0</v>
      </c>
      <c r="J25" s="24">
        <f t="shared" si="20"/>
        <v>0</v>
      </c>
      <c r="K25" s="24">
        <f t="shared" si="20"/>
        <v>0</v>
      </c>
      <c r="L25" s="24">
        <f t="shared" si="20"/>
        <v>0</v>
      </c>
      <c r="N25" s="28"/>
    </row>
    <row r="26" spans="1:15" x14ac:dyDescent="0.25">
      <c r="A26" s="7" t="s">
        <v>28</v>
      </c>
      <c r="B26" s="26">
        <v>-651</v>
      </c>
      <c r="C26" s="26">
        <v>-588</v>
      </c>
      <c r="D26" s="26">
        <v>-651</v>
      </c>
      <c r="E26" s="26">
        <v>-630</v>
      </c>
      <c r="F26" s="26">
        <v>0</v>
      </c>
      <c r="N26" s="26">
        <f t="shared" si="1"/>
        <v>-2520</v>
      </c>
    </row>
    <row r="27" spans="1:15" x14ac:dyDescent="0.25">
      <c r="A27" s="7" t="s">
        <v>29</v>
      </c>
      <c r="B27" s="26">
        <v>-4139.51</v>
      </c>
      <c r="C27" s="26">
        <v>-6150.86</v>
      </c>
      <c r="D27" s="26">
        <v>-3917.62</v>
      </c>
      <c r="E27" s="26">
        <v>-3576.16</v>
      </c>
      <c r="F27" s="26">
        <v>-3301.79</v>
      </c>
      <c r="N27" s="26">
        <f t="shared" si="1"/>
        <v>-21085.94</v>
      </c>
    </row>
    <row r="28" spans="1:15" x14ac:dyDescent="0.25">
      <c r="A28" s="7" t="s">
        <v>30</v>
      </c>
      <c r="B28" s="26">
        <v>0</v>
      </c>
      <c r="C28" s="26">
        <v>0</v>
      </c>
      <c r="D28" s="26">
        <v>0</v>
      </c>
      <c r="E28" s="26">
        <v>0</v>
      </c>
      <c r="F28" s="26">
        <v>0</v>
      </c>
      <c r="N28" s="26">
        <f t="shared" si="1"/>
        <v>0</v>
      </c>
    </row>
    <row r="29" spans="1:15" x14ac:dyDescent="0.25">
      <c r="A29" s="7" t="s">
        <v>31</v>
      </c>
      <c r="B29" s="26">
        <v>-739.5</v>
      </c>
      <c r="C29" s="26">
        <v>-876.61</v>
      </c>
      <c r="D29" s="26">
        <v>-901</v>
      </c>
      <c r="E29" s="26">
        <v>-831.5</v>
      </c>
      <c r="F29" s="26">
        <v>0</v>
      </c>
      <c r="N29" s="26">
        <f t="shared" si="1"/>
        <v>-3348.61</v>
      </c>
    </row>
    <row r="30" spans="1:15" x14ac:dyDescent="0.25">
      <c r="A30" s="7" t="s">
        <v>32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N30" s="26">
        <f t="shared" si="1"/>
        <v>0</v>
      </c>
    </row>
    <row r="31" spans="1:15" x14ac:dyDescent="0.25">
      <c r="A31" s="7" t="s">
        <v>33</v>
      </c>
      <c r="B31" s="26">
        <v>0</v>
      </c>
      <c r="C31" s="26">
        <v>0</v>
      </c>
      <c r="D31" s="26">
        <v>0</v>
      </c>
      <c r="E31" s="26">
        <v>0</v>
      </c>
      <c r="F31" s="26">
        <v>0</v>
      </c>
      <c r="N31" s="26">
        <f t="shared" si="1"/>
        <v>0</v>
      </c>
    </row>
    <row r="32" spans="1:15" x14ac:dyDescent="0.25">
      <c r="A32" s="7" t="s">
        <v>34</v>
      </c>
      <c r="B32" s="26">
        <v>0</v>
      </c>
      <c r="C32" s="26">
        <v>-1000</v>
      </c>
      <c r="D32" s="26">
        <v>0</v>
      </c>
      <c r="E32" s="26">
        <v>0</v>
      </c>
      <c r="F32" s="26">
        <v>0</v>
      </c>
      <c r="N32" s="26">
        <f t="shared" si="1"/>
        <v>-1000</v>
      </c>
    </row>
    <row r="33" spans="1:15" x14ac:dyDescent="0.25">
      <c r="A33" s="7" t="s">
        <v>35</v>
      </c>
      <c r="B33" s="26">
        <v>-6018.27</v>
      </c>
      <c r="C33" s="26">
        <v>-5218.8500000000004</v>
      </c>
      <c r="D33" s="26">
        <v>-5349.47</v>
      </c>
      <c r="E33" s="26">
        <v>-4620.58</v>
      </c>
      <c r="F33" s="26">
        <v>-6679.36</v>
      </c>
      <c r="N33" s="26">
        <f t="shared" si="1"/>
        <v>-27886.53</v>
      </c>
    </row>
    <row r="34" spans="1:15" x14ac:dyDescent="0.25">
      <c r="A34" s="7" t="s">
        <v>36</v>
      </c>
      <c r="B34" s="26">
        <v>-281.94</v>
      </c>
      <c r="C34" s="26">
        <v>0</v>
      </c>
      <c r="D34" s="26">
        <v>-157.16</v>
      </c>
      <c r="E34" s="26">
        <v>-604.92999999999995</v>
      </c>
      <c r="F34" s="26">
        <v>-1690</v>
      </c>
      <c r="N34" s="26">
        <f t="shared" si="1"/>
        <v>-2734.0299999999997</v>
      </c>
    </row>
    <row r="35" spans="1:15" x14ac:dyDescent="0.25">
      <c r="A35" s="7" t="s">
        <v>38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N35" s="1">
        <f t="shared" si="1"/>
        <v>0</v>
      </c>
    </row>
    <row r="36" spans="1:15" x14ac:dyDescent="0.25">
      <c r="A36" s="7" t="s">
        <v>39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N36" s="1">
        <f t="shared" si="1"/>
        <v>0</v>
      </c>
    </row>
    <row r="37" spans="1:15" s="25" customFormat="1" x14ac:dyDescent="0.25">
      <c r="A37" s="8" t="s">
        <v>40</v>
      </c>
      <c r="B37" s="9">
        <f>SUM(B25:B36)</f>
        <v>-35673.464000000007</v>
      </c>
      <c r="C37" s="9">
        <f t="shared" ref="C37:M37" si="21">SUM(C25:C36)</f>
        <v>-33344.762999999999</v>
      </c>
      <c r="D37" s="9">
        <f t="shared" si="21"/>
        <v>-41166.504000000001</v>
      </c>
      <c r="E37" s="9">
        <f t="shared" si="21"/>
        <v>-50269.589</v>
      </c>
      <c r="F37" s="9">
        <f t="shared" si="21"/>
        <v>-51160.014999999999</v>
      </c>
      <c r="G37" s="9">
        <f t="shared" si="21"/>
        <v>0</v>
      </c>
      <c r="H37" s="9">
        <f t="shared" si="21"/>
        <v>0</v>
      </c>
      <c r="I37" s="9">
        <f t="shared" si="21"/>
        <v>0</v>
      </c>
      <c r="J37" s="9">
        <f t="shared" si="21"/>
        <v>0</v>
      </c>
      <c r="K37" s="9">
        <f t="shared" si="21"/>
        <v>0</v>
      </c>
      <c r="L37" s="9">
        <f t="shared" si="21"/>
        <v>0</v>
      </c>
      <c r="M37" s="9">
        <f t="shared" si="21"/>
        <v>0</v>
      </c>
      <c r="N37" s="9">
        <f t="shared" si="1"/>
        <v>-211614.33500000002</v>
      </c>
      <c r="O37" s="30">
        <f>N37/$N$6</f>
        <v>-7.9125218730653951E-2</v>
      </c>
    </row>
    <row r="38" spans="1:15" x14ac:dyDescent="0.25">
      <c r="A38" s="7" t="s">
        <v>41</v>
      </c>
      <c r="B38" s="1">
        <f>B37+B23</f>
        <v>-394574.21954132325</v>
      </c>
      <c r="C38" s="1">
        <f>C37+C23</f>
        <v>-306429.36920500407</v>
      </c>
      <c r="D38" s="1">
        <f>D37+D23</f>
        <v>-340913.81466034934</v>
      </c>
      <c r="E38" s="1">
        <f>E37+E23</f>
        <v>-345353.45962726075</v>
      </c>
      <c r="F38" s="1">
        <f>F37+F23</f>
        <v>-243855.43351629144</v>
      </c>
      <c r="G38" s="1">
        <f t="shared" ref="G38:M38" si="22">G37+G23</f>
        <v>0</v>
      </c>
      <c r="H38" s="1">
        <f t="shared" si="22"/>
        <v>0</v>
      </c>
      <c r="I38" s="1">
        <f t="shared" si="22"/>
        <v>0</v>
      </c>
      <c r="J38" s="1">
        <f t="shared" si="22"/>
        <v>0</v>
      </c>
      <c r="K38" s="1">
        <f t="shared" si="22"/>
        <v>0</v>
      </c>
      <c r="L38" s="1">
        <f t="shared" si="22"/>
        <v>0</v>
      </c>
      <c r="M38" s="1">
        <f t="shared" si="22"/>
        <v>0</v>
      </c>
      <c r="N38" s="1">
        <f t="shared" si="1"/>
        <v>-1631126.2965502287</v>
      </c>
    </row>
    <row r="39" spans="1:15" x14ac:dyDescent="0.25">
      <c r="A39" s="8" t="s">
        <v>42</v>
      </c>
      <c r="B39" s="9">
        <f t="shared" ref="B39:M39" si="23">B6+(B11+B23+B37)</f>
        <v>-101414.54574132327</v>
      </c>
      <c r="C39" s="9">
        <f t="shared" si="23"/>
        <v>-39133.483405004139</v>
      </c>
      <c r="D39" s="9">
        <f t="shared" si="23"/>
        <v>-51148.313860349357</v>
      </c>
      <c r="E39" s="9">
        <f t="shared" si="23"/>
        <v>-40317.561727260821</v>
      </c>
      <c r="F39" s="9">
        <f t="shared" si="23"/>
        <v>47259.436683708453</v>
      </c>
      <c r="G39" s="9">
        <f t="shared" si="23"/>
        <v>0</v>
      </c>
      <c r="H39" s="9">
        <f t="shared" si="23"/>
        <v>0</v>
      </c>
      <c r="I39" s="9">
        <f t="shared" si="23"/>
        <v>0</v>
      </c>
      <c r="J39" s="9">
        <f t="shared" si="23"/>
        <v>0</v>
      </c>
      <c r="K39" s="9">
        <f t="shared" si="23"/>
        <v>0</v>
      </c>
      <c r="L39" s="9">
        <f t="shared" si="23"/>
        <v>0</v>
      </c>
      <c r="M39" s="9">
        <f t="shared" si="23"/>
        <v>0</v>
      </c>
      <c r="N39" s="9">
        <f t="shared" si="1"/>
        <v>-184754.46805022913</v>
      </c>
    </row>
    <row r="40" spans="1:15" x14ac:dyDescent="0.25">
      <c r="A40" t="s">
        <v>79</v>
      </c>
      <c r="B40" s="10">
        <f>B39/B6</f>
        <v>-0.18708794894488381</v>
      </c>
      <c r="C40" s="10">
        <f>C39/C6</f>
        <v>-7.9178273455644085E-2</v>
      </c>
      <c r="D40" s="10">
        <f>D39/D6</f>
        <v>-9.5462859221745355E-2</v>
      </c>
      <c r="E40" s="10">
        <f>E39/E6</f>
        <v>-7.1481408510012626E-2</v>
      </c>
      <c r="F40" s="10">
        <f>F39/F6</f>
        <v>8.7795841289832088E-2</v>
      </c>
      <c r="G40" s="10"/>
      <c r="H40" s="10"/>
      <c r="I40" s="10"/>
      <c r="J40" s="10"/>
      <c r="K40" s="10"/>
      <c r="L40" s="10"/>
      <c r="M40" s="10"/>
      <c r="N40" s="10">
        <f>N39/N6</f>
        <v>-6.9081982068653305E-2</v>
      </c>
    </row>
  </sheetData>
  <conditionalFormatting sqref="B39:N39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C918F-F440-4AF7-884F-64F1CA5DA7AD}">
  <dimension ref="A1:O45"/>
  <sheetViews>
    <sheetView tabSelected="1" workbookViewId="0">
      <selection activeCell="H29" sqref="H29"/>
    </sheetView>
  </sheetViews>
  <sheetFormatPr baseColWidth="10" defaultRowHeight="15" x14ac:dyDescent="0.25"/>
  <cols>
    <col min="1" max="1" width="45.140625" customWidth="1"/>
    <col min="2" max="2" width="15.7109375" customWidth="1"/>
    <col min="3" max="3" width="15.7109375" style="1" customWidth="1"/>
    <col min="4" max="14" width="15.7109375" customWidth="1"/>
  </cols>
  <sheetData>
    <row r="1" spans="1:15" x14ac:dyDescent="0.25">
      <c r="A1" s="5" t="s">
        <v>80</v>
      </c>
      <c r="B1" s="6" t="s">
        <v>66</v>
      </c>
      <c r="C1" s="6" t="s">
        <v>67</v>
      </c>
      <c r="D1" s="6" t="s">
        <v>68</v>
      </c>
      <c r="E1" s="6" t="s">
        <v>69</v>
      </c>
      <c r="F1" s="6" t="s">
        <v>70</v>
      </c>
      <c r="G1" s="6" t="s">
        <v>71</v>
      </c>
      <c r="H1" s="6" t="s">
        <v>72</v>
      </c>
      <c r="I1" s="6" t="s">
        <v>73</v>
      </c>
      <c r="J1" s="6" t="s">
        <v>74</v>
      </c>
      <c r="K1" s="6" t="s">
        <v>75</v>
      </c>
      <c r="L1" s="6" t="s">
        <v>76</v>
      </c>
      <c r="M1" s="6" t="s">
        <v>77</v>
      </c>
      <c r="N1" s="6" t="s">
        <v>3</v>
      </c>
    </row>
    <row r="2" spans="1:15" x14ac:dyDescent="0.25">
      <c r="A2" s="7" t="s">
        <v>12</v>
      </c>
      <c r="B2" s="1">
        <v>954</v>
      </c>
      <c r="C2" s="1">
        <v>41743.47</v>
      </c>
      <c r="D2" s="1">
        <v>60009.55</v>
      </c>
      <c r="E2" s="1">
        <v>123646.15</v>
      </c>
      <c r="F2" s="1">
        <v>170315.51999999999</v>
      </c>
      <c r="N2" s="1">
        <f>SUM(B2:M2)</f>
        <v>396668.68999999994</v>
      </c>
    </row>
    <row r="3" spans="1:15" x14ac:dyDescent="0.25">
      <c r="A3" s="7" t="s">
        <v>13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N3" s="1">
        <f t="shared" ref="N3:N36" si="0">SUM(B3:M3)</f>
        <v>0</v>
      </c>
    </row>
    <row r="4" spans="1:15" x14ac:dyDescent="0.25">
      <c r="A4" s="7" t="s">
        <v>14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N4" s="1">
        <f t="shared" si="0"/>
        <v>0</v>
      </c>
    </row>
    <row r="5" spans="1:15" x14ac:dyDescent="0.25">
      <c r="A5" s="7" t="s">
        <v>15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N5" s="1">
        <f t="shared" si="0"/>
        <v>0</v>
      </c>
    </row>
    <row r="6" spans="1:15" x14ac:dyDescent="0.25">
      <c r="A6" s="8" t="s">
        <v>16</v>
      </c>
      <c r="B6" s="9">
        <f>SUM(B2:B5)</f>
        <v>954</v>
      </c>
      <c r="C6" s="9">
        <f t="shared" ref="C6:M6" si="1">SUM(C2:C5)</f>
        <v>41743.47</v>
      </c>
      <c r="D6" s="9">
        <f t="shared" si="1"/>
        <v>60009.55</v>
      </c>
      <c r="E6" s="9">
        <f t="shared" si="1"/>
        <v>123646.15</v>
      </c>
      <c r="F6" s="9">
        <f t="shared" si="1"/>
        <v>170315.51999999999</v>
      </c>
      <c r="G6" s="9">
        <f t="shared" si="1"/>
        <v>0</v>
      </c>
      <c r="H6" s="9">
        <f t="shared" si="1"/>
        <v>0</v>
      </c>
      <c r="I6" s="9">
        <f t="shared" si="1"/>
        <v>0</v>
      </c>
      <c r="J6" s="9">
        <f t="shared" si="1"/>
        <v>0</v>
      </c>
      <c r="K6" s="9">
        <f t="shared" si="1"/>
        <v>0</v>
      </c>
      <c r="L6" s="9">
        <f t="shared" si="1"/>
        <v>0</v>
      </c>
      <c r="M6" s="9">
        <f t="shared" si="1"/>
        <v>0</v>
      </c>
      <c r="N6" s="9">
        <f t="shared" si="0"/>
        <v>396668.68999999994</v>
      </c>
    </row>
    <row r="7" spans="1:15" x14ac:dyDescent="0.25">
      <c r="A7" s="29">
        <v>0.28000000000000003</v>
      </c>
      <c r="B7" s="1">
        <f t="shared" ref="B7:M7" si="2">-$A$7*B6</f>
        <v>-267.12</v>
      </c>
      <c r="C7" s="1">
        <f t="shared" si="2"/>
        <v>-11688.171600000001</v>
      </c>
      <c r="D7" s="1">
        <f t="shared" si="2"/>
        <v>-16802.674000000003</v>
      </c>
      <c r="E7" s="1">
        <f t="shared" si="2"/>
        <v>-34620.921999999999</v>
      </c>
      <c r="F7" s="1">
        <f t="shared" si="2"/>
        <v>-47688.345600000001</v>
      </c>
      <c r="G7" s="1">
        <f t="shared" si="2"/>
        <v>0</v>
      </c>
      <c r="H7" s="1">
        <f t="shared" si="2"/>
        <v>0</v>
      </c>
      <c r="I7" s="1">
        <f t="shared" si="2"/>
        <v>0</v>
      </c>
      <c r="J7" s="1">
        <f t="shared" si="2"/>
        <v>0</v>
      </c>
      <c r="K7" s="1">
        <f t="shared" si="2"/>
        <v>0</v>
      </c>
      <c r="L7" s="1">
        <f t="shared" si="2"/>
        <v>0</v>
      </c>
      <c r="M7" s="1">
        <f t="shared" si="2"/>
        <v>0</v>
      </c>
      <c r="N7" s="1"/>
    </row>
    <row r="8" spans="1:15" x14ac:dyDescent="0.25">
      <c r="A8" s="29"/>
      <c r="B8" s="1">
        <v>-8528.89</v>
      </c>
      <c r="C8" s="1">
        <v>-5084.08</v>
      </c>
      <c r="D8" s="1">
        <v>-1316.73</v>
      </c>
      <c r="E8" s="1">
        <v>-15787.2</v>
      </c>
      <c r="F8" s="1">
        <v>-532.89</v>
      </c>
      <c r="G8" s="1"/>
      <c r="H8" s="1"/>
      <c r="I8" s="1"/>
      <c r="J8" s="1"/>
      <c r="K8" s="1"/>
      <c r="L8" s="1"/>
      <c r="M8" s="1"/>
      <c r="N8" s="1"/>
    </row>
    <row r="9" spans="1:15" ht="14.25" customHeight="1" x14ac:dyDescent="0.25">
      <c r="A9" s="7" t="s">
        <v>18</v>
      </c>
      <c r="B9" s="1">
        <v>-384.3</v>
      </c>
      <c r="C9" s="1">
        <v>-1422.11</v>
      </c>
      <c r="D9" s="1">
        <v>-1176.8</v>
      </c>
      <c r="E9" s="1">
        <v>-278.62</v>
      </c>
      <c r="F9" s="1">
        <v>0</v>
      </c>
      <c r="N9" s="1">
        <f t="shared" si="0"/>
        <v>-3261.83</v>
      </c>
    </row>
    <row r="10" spans="1:15" x14ac:dyDescent="0.25">
      <c r="A10" s="8" t="s">
        <v>21</v>
      </c>
      <c r="B10" s="9">
        <f t="shared" ref="B10:M10" si="3">SUM(B7:B9)</f>
        <v>-9180.31</v>
      </c>
      <c r="C10" s="9">
        <f t="shared" si="3"/>
        <v>-18194.361600000004</v>
      </c>
      <c r="D10" s="9">
        <f t="shared" si="3"/>
        <v>-19296.204000000002</v>
      </c>
      <c r="E10" s="9">
        <f t="shared" si="3"/>
        <v>-50686.742000000006</v>
      </c>
      <c r="F10" s="9">
        <f t="shared" si="3"/>
        <v>-48221.2356</v>
      </c>
      <c r="G10" s="9">
        <f t="shared" si="3"/>
        <v>0</v>
      </c>
      <c r="H10" s="9">
        <f t="shared" si="3"/>
        <v>0</v>
      </c>
      <c r="I10" s="9">
        <f t="shared" si="3"/>
        <v>0</v>
      </c>
      <c r="J10" s="9">
        <f t="shared" si="3"/>
        <v>0</v>
      </c>
      <c r="K10" s="9">
        <f t="shared" si="3"/>
        <v>0</v>
      </c>
      <c r="L10" s="9">
        <f t="shared" si="3"/>
        <v>0</v>
      </c>
      <c r="M10" s="9">
        <f t="shared" si="3"/>
        <v>0</v>
      </c>
      <c r="N10" s="9">
        <f t="shared" si="0"/>
        <v>-145578.85320000001</v>
      </c>
      <c r="O10" s="30">
        <f>N10/$N$6</f>
        <v>-0.36700364024193599</v>
      </c>
    </row>
    <row r="11" spans="1:15" x14ac:dyDescent="0.25">
      <c r="A11" s="7" t="s">
        <v>168</v>
      </c>
      <c r="B11" s="1">
        <v>-5000</v>
      </c>
      <c r="C11" s="1">
        <v>-5000</v>
      </c>
      <c r="D11" s="1">
        <v>-5000</v>
      </c>
      <c r="E11" s="1">
        <v>-5000</v>
      </c>
      <c r="F11" s="1">
        <v>-5000</v>
      </c>
      <c r="G11" s="1"/>
      <c r="H11" s="1"/>
      <c r="I11" s="1"/>
      <c r="J11" s="1"/>
      <c r="K11" s="1"/>
      <c r="L11" s="1"/>
      <c r="M11" s="1"/>
      <c r="N11" s="1">
        <f t="shared" si="0"/>
        <v>-25000</v>
      </c>
    </row>
    <row r="12" spans="1:15" x14ac:dyDescent="0.25">
      <c r="A12" s="50">
        <v>0.17</v>
      </c>
      <c r="B12" s="1">
        <f>-$A$12*B6</f>
        <v>-162.18</v>
      </c>
      <c r="C12" s="1">
        <f>-$A$12*C6</f>
        <v>-7096.389900000001</v>
      </c>
      <c r="D12" s="1">
        <f>-$A$12*D6</f>
        <v>-10201.623500000002</v>
      </c>
      <c r="E12" s="1">
        <f>-$A$12*E6</f>
        <v>-21019.845499999999</v>
      </c>
      <c r="F12" s="1">
        <f>-$A$12*F6</f>
        <v>-28953.6384</v>
      </c>
      <c r="G12" s="1"/>
      <c r="H12" s="1"/>
      <c r="I12" s="1"/>
      <c r="J12" s="1"/>
      <c r="K12" s="1"/>
      <c r="L12" s="1"/>
      <c r="M12" s="1"/>
      <c r="N12" s="1">
        <f t="shared" si="0"/>
        <v>-67433.677299999996</v>
      </c>
    </row>
    <row r="13" spans="1:15" x14ac:dyDescent="0.25">
      <c r="A13" s="50"/>
      <c r="B13" s="1">
        <f>SUM(B11:B12)</f>
        <v>-5162.18</v>
      </c>
      <c r="C13" s="1">
        <f t="shared" ref="C13:M13" si="4">SUM(C11:C12)</f>
        <v>-12096.389900000002</v>
      </c>
      <c r="D13" s="1">
        <f t="shared" si="4"/>
        <v>-15201.623500000002</v>
      </c>
      <c r="E13" s="1">
        <f t="shared" si="4"/>
        <v>-26019.845499999999</v>
      </c>
      <c r="F13" s="1">
        <f t="shared" si="4"/>
        <v>-33953.638399999996</v>
      </c>
      <c r="G13" s="1">
        <f t="shared" si="4"/>
        <v>0</v>
      </c>
      <c r="H13" s="1">
        <f t="shared" si="4"/>
        <v>0</v>
      </c>
      <c r="I13" s="1">
        <f t="shared" si="4"/>
        <v>0</v>
      </c>
      <c r="J13" s="1">
        <f t="shared" si="4"/>
        <v>0</v>
      </c>
      <c r="K13" s="1">
        <f t="shared" si="4"/>
        <v>0</v>
      </c>
      <c r="L13" s="1">
        <f t="shared" si="4"/>
        <v>0</v>
      </c>
      <c r="M13" s="1">
        <f t="shared" si="4"/>
        <v>0</v>
      </c>
      <c r="N13" s="1">
        <f t="shared" si="0"/>
        <v>-92433.677299999996</v>
      </c>
    </row>
    <row r="14" spans="1:15" x14ac:dyDescent="0.25">
      <c r="A14" s="7" t="s">
        <v>180</v>
      </c>
      <c r="B14" s="1">
        <v>-6809.58</v>
      </c>
      <c r="C14" s="1">
        <v>-8658.4699999999993</v>
      </c>
      <c r="D14" s="1">
        <v>-9486.11</v>
      </c>
      <c r="E14" s="1">
        <v>-12134.68</v>
      </c>
      <c r="F14" s="1">
        <v>-10741.55</v>
      </c>
      <c r="N14" s="1">
        <f t="shared" si="0"/>
        <v>-47830.39</v>
      </c>
    </row>
    <row r="15" spans="1:15" x14ac:dyDescent="0.25">
      <c r="A15" s="7" t="s">
        <v>184</v>
      </c>
      <c r="B15" s="1">
        <v>70</v>
      </c>
      <c r="C15" s="1">
        <v>-1324.57</v>
      </c>
      <c r="D15" s="1">
        <v>-317.75</v>
      </c>
      <c r="E15" s="1">
        <v>-1038.5</v>
      </c>
      <c r="F15" s="1">
        <v>-505</v>
      </c>
      <c r="N15" s="1">
        <f t="shared" si="0"/>
        <v>-3115.8199999999997</v>
      </c>
    </row>
    <row r="16" spans="1:15" x14ac:dyDescent="0.25">
      <c r="A16" s="7" t="s">
        <v>24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N16" s="1">
        <f t="shared" si="0"/>
        <v>0</v>
      </c>
    </row>
    <row r="17" spans="1:15" x14ac:dyDescent="0.25">
      <c r="A17" s="7" t="s">
        <v>25</v>
      </c>
      <c r="B17" s="1">
        <v>-2180.38</v>
      </c>
      <c r="C17" s="1">
        <v>-2790.58</v>
      </c>
      <c r="D17" s="1">
        <v>-3070.89</v>
      </c>
      <c r="E17" s="1">
        <v>-4150.74</v>
      </c>
      <c r="F17" s="1">
        <v>-3556.16</v>
      </c>
      <c r="N17" s="1">
        <f t="shared" si="0"/>
        <v>-15748.75</v>
      </c>
    </row>
    <row r="18" spans="1:15" x14ac:dyDescent="0.25">
      <c r="A18" s="7" t="s">
        <v>26</v>
      </c>
      <c r="B18" s="1">
        <v>0</v>
      </c>
      <c r="C18" s="1">
        <v>0</v>
      </c>
      <c r="D18" s="1">
        <v>-52.52</v>
      </c>
      <c r="E18" s="1">
        <v>0</v>
      </c>
      <c r="F18" s="1">
        <v>0</v>
      </c>
      <c r="N18" s="1">
        <f t="shared" si="0"/>
        <v>-52.52</v>
      </c>
    </row>
    <row r="19" spans="1:15" x14ac:dyDescent="0.25">
      <c r="A19" s="7" t="s">
        <v>173</v>
      </c>
      <c r="B19" s="1"/>
      <c r="D19" s="1"/>
      <c r="E19" s="1"/>
      <c r="F19" s="1"/>
      <c r="N19" s="1"/>
    </row>
    <row r="20" spans="1:15" x14ac:dyDescent="0.25">
      <c r="A20" s="8" t="s">
        <v>27</v>
      </c>
      <c r="B20" s="9">
        <f>SUM(B13:B18)</f>
        <v>-14082.14</v>
      </c>
      <c r="C20" s="9">
        <f t="shared" ref="C20:M20" si="5">SUM(C13:C18)</f>
        <v>-24870.009900000005</v>
      </c>
      <c r="D20" s="9">
        <f t="shared" si="5"/>
        <v>-28128.893500000002</v>
      </c>
      <c r="E20" s="9">
        <f t="shared" si="5"/>
        <v>-43343.765500000001</v>
      </c>
      <c r="F20" s="9">
        <f t="shared" si="5"/>
        <v>-48756.348400000003</v>
      </c>
      <c r="G20" s="9">
        <f t="shared" si="5"/>
        <v>0</v>
      </c>
      <c r="H20" s="9">
        <f t="shared" si="5"/>
        <v>0</v>
      </c>
      <c r="I20" s="9">
        <f t="shared" si="5"/>
        <v>0</v>
      </c>
      <c r="J20" s="9">
        <f t="shared" si="5"/>
        <v>0</v>
      </c>
      <c r="K20" s="9">
        <f t="shared" si="5"/>
        <v>0</v>
      </c>
      <c r="L20" s="9">
        <f t="shared" si="5"/>
        <v>0</v>
      </c>
      <c r="M20" s="9">
        <f t="shared" si="5"/>
        <v>0</v>
      </c>
      <c r="N20" s="9">
        <f t="shared" si="0"/>
        <v>-159181.15730000002</v>
      </c>
      <c r="O20" s="30">
        <f>N20/$N$6</f>
        <v>-0.4012949882684213</v>
      </c>
    </row>
    <row r="21" spans="1:15" x14ac:dyDescent="0.25">
      <c r="A21" s="7" t="s">
        <v>84</v>
      </c>
      <c r="B21" s="24">
        <v>-79477.48</v>
      </c>
      <c r="C21" s="24">
        <v>-65034.81</v>
      </c>
      <c r="D21" s="24">
        <v>-100634.18</v>
      </c>
      <c r="E21" s="24">
        <v>-133354.73000000001</v>
      </c>
      <c r="F21" s="24">
        <v>-131629.54999999999</v>
      </c>
      <c r="G21" s="9"/>
      <c r="H21" s="9"/>
      <c r="I21" s="9"/>
      <c r="J21" s="9"/>
      <c r="K21" s="9"/>
      <c r="L21" s="9"/>
      <c r="M21" s="9"/>
      <c r="N21" s="9"/>
    </row>
    <row r="22" spans="1:15" x14ac:dyDescent="0.25">
      <c r="A22" s="29">
        <v>0.08</v>
      </c>
      <c r="B22" s="24">
        <f>$A$22*B21</f>
        <v>-6358.1984000000002</v>
      </c>
      <c r="C22" s="24">
        <f t="shared" ref="C22:F22" si="6">$A$22*C21</f>
        <v>-5202.7848000000004</v>
      </c>
      <c r="D22" s="24">
        <f t="shared" si="6"/>
        <v>-8050.7343999999994</v>
      </c>
      <c r="E22" s="24">
        <f t="shared" si="6"/>
        <v>-10668.378400000001</v>
      </c>
      <c r="F22" s="24">
        <f t="shared" si="6"/>
        <v>-10530.364</v>
      </c>
      <c r="G22" s="9"/>
      <c r="H22" s="9"/>
      <c r="I22" s="9"/>
      <c r="J22" s="9"/>
      <c r="K22" s="9"/>
      <c r="L22" s="9"/>
      <c r="M22" s="9"/>
      <c r="N22" s="9"/>
    </row>
    <row r="23" spans="1:15" x14ac:dyDescent="0.25">
      <c r="A23" s="7" t="s">
        <v>28</v>
      </c>
      <c r="B23" s="11">
        <v>-9514.67</v>
      </c>
      <c r="C23" s="11">
        <v>-13247.72</v>
      </c>
      <c r="D23" s="11">
        <v>-16195.92</v>
      </c>
      <c r="E23" s="11">
        <v>-34991.26</v>
      </c>
      <c r="F23" s="11">
        <v>-17280.98</v>
      </c>
      <c r="N23" s="1">
        <f t="shared" si="0"/>
        <v>-91230.55</v>
      </c>
    </row>
    <row r="24" spans="1:15" x14ac:dyDescent="0.25">
      <c r="A24" s="7" t="s">
        <v>29</v>
      </c>
      <c r="B24">
        <v>-697.57</v>
      </c>
      <c r="C24">
        <v>-594.98</v>
      </c>
      <c r="D24">
        <v>-593.01</v>
      </c>
      <c r="E24" s="11">
        <v>-1005.81</v>
      </c>
      <c r="F24">
        <v>-567.37</v>
      </c>
      <c r="N24" s="1">
        <f t="shared" si="0"/>
        <v>-3458.74</v>
      </c>
    </row>
    <row r="25" spans="1:15" x14ac:dyDescent="0.25">
      <c r="A25" s="7" t="s">
        <v>30</v>
      </c>
      <c r="B25">
        <v>-42</v>
      </c>
      <c r="C25" s="11">
        <v>-1106.54</v>
      </c>
      <c r="D25">
        <v>0</v>
      </c>
      <c r="E25" s="11">
        <v>-4526.66</v>
      </c>
      <c r="F25" s="11">
        <v>-1619.27</v>
      </c>
      <c r="N25" s="1">
        <f t="shared" si="0"/>
        <v>-7294.4699999999993</v>
      </c>
    </row>
    <row r="26" spans="1:15" x14ac:dyDescent="0.25">
      <c r="A26" s="7" t="s">
        <v>31</v>
      </c>
      <c r="B26">
        <v>0</v>
      </c>
      <c r="C26">
        <v>0</v>
      </c>
      <c r="D26">
        <v>0</v>
      </c>
      <c r="E26">
        <v>-31.8</v>
      </c>
      <c r="F26">
        <v>0</v>
      </c>
      <c r="N26" s="1">
        <f t="shared" si="0"/>
        <v>-31.8</v>
      </c>
    </row>
    <row r="27" spans="1:15" x14ac:dyDescent="0.25">
      <c r="A27" s="7" t="s">
        <v>32</v>
      </c>
      <c r="B27">
        <v>0</v>
      </c>
      <c r="C27">
        <v>0</v>
      </c>
      <c r="D27">
        <v>0</v>
      </c>
      <c r="E27">
        <v>0</v>
      </c>
      <c r="F27">
        <v>0</v>
      </c>
      <c r="N27" s="1">
        <f t="shared" si="0"/>
        <v>0</v>
      </c>
    </row>
    <row r="28" spans="1:15" x14ac:dyDescent="0.25">
      <c r="A28" s="7" t="s">
        <v>33</v>
      </c>
      <c r="B28">
        <v>1.1000000000000001</v>
      </c>
      <c r="C28">
        <v>-243.43</v>
      </c>
      <c r="D28">
        <v>-77.849999999999994</v>
      </c>
      <c r="E28" s="11">
        <v>-1036.19</v>
      </c>
      <c r="F28">
        <v>-9.24</v>
      </c>
      <c r="N28" s="1">
        <f t="shared" si="0"/>
        <v>-1365.6100000000001</v>
      </c>
    </row>
    <row r="29" spans="1:15" x14ac:dyDescent="0.25">
      <c r="A29" s="7" t="s">
        <v>34</v>
      </c>
      <c r="B29">
        <v>0</v>
      </c>
      <c r="C29">
        <v>-160</v>
      </c>
      <c r="D29">
        <v>-87</v>
      </c>
      <c r="E29">
        <v>-682</v>
      </c>
      <c r="F29">
        <v>-112.93</v>
      </c>
      <c r="N29" s="1">
        <f t="shared" si="0"/>
        <v>-1041.93</v>
      </c>
    </row>
    <row r="30" spans="1:15" x14ac:dyDescent="0.25">
      <c r="A30" s="7" t="s">
        <v>35</v>
      </c>
      <c r="B30">
        <v>0</v>
      </c>
      <c r="C30">
        <v>-257.85000000000002</v>
      </c>
      <c r="D30">
        <v>0</v>
      </c>
      <c r="E30">
        <v>0</v>
      </c>
      <c r="F30">
        <v>-380</v>
      </c>
      <c r="N30" s="1">
        <f t="shared" si="0"/>
        <v>-637.85</v>
      </c>
    </row>
    <row r="31" spans="1:15" x14ac:dyDescent="0.25">
      <c r="A31" s="7" t="s">
        <v>36</v>
      </c>
      <c r="B31" s="11">
        <v>-1999.65</v>
      </c>
      <c r="C31">
        <v>-738.04</v>
      </c>
      <c r="D31">
        <v>-49</v>
      </c>
      <c r="E31" s="11">
        <v>-3416.85</v>
      </c>
      <c r="F31">
        <v>-208</v>
      </c>
      <c r="N31" s="1">
        <f t="shared" si="0"/>
        <v>-6411.54</v>
      </c>
    </row>
    <row r="32" spans="1:15" x14ac:dyDescent="0.25">
      <c r="A32" s="7" t="s">
        <v>38</v>
      </c>
      <c r="B32">
        <v>0</v>
      </c>
      <c r="C32">
        <v>0</v>
      </c>
      <c r="D32">
        <v>0</v>
      </c>
      <c r="E32">
        <v>0</v>
      </c>
      <c r="F32">
        <v>0</v>
      </c>
      <c r="N32" s="1">
        <f t="shared" si="0"/>
        <v>0</v>
      </c>
    </row>
    <row r="33" spans="1:15" x14ac:dyDescent="0.25">
      <c r="A33" s="7" t="s">
        <v>39</v>
      </c>
      <c r="B33">
        <v>0</v>
      </c>
      <c r="C33">
        <v>0</v>
      </c>
      <c r="D33">
        <v>0</v>
      </c>
      <c r="E33">
        <v>0</v>
      </c>
      <c r="F33">
        <v>0</v>
      </c>
      <c r="N33" s="1">
        <f t="shared" si="0"/>
        <v>0</v>
      </c>
    </row>
    <row r="34" spans="1:15" x14ac:dyDescent="0.25">
      <c r="A34" s="8" t="s">
        <v>40</v>
      </c>
      <c r="B34" s="9">
        <f>SUM(B22:B33)</f>
        <v>-18610.988400000002</v>
      </c>
      <c r="C34" s="9">
        <f t="shared" ref="C34:F34" si="7">SUM(C22:C33)</f>
        <v>-21551.344799999999</v>
      </c>
      <c r="D34" s="9">
        <f t="shared" si="7"/>
        <v>-25053.514399999996</v>
      </c>
      <c r="E34" s="9">
        <f t="shared" si="7"/>
        <v>-56358.948400000001</v>
      </c>
      <c r="F34" s="9">
        <f t="shared" si="7"/>
        <v>-30708.153999999999</v>
      </c>
      <c r="G34" s="9">
        <f t="shared" ref="G34:M34" si="8">SUM(G23:G33)</f>
        <v>0</v>
      </c>
      <c r="H34" s="9">
        <f t="shared" si="8"/>
        <v>0</v>
      </c>
      <c r="I34" s="9">
        <f t="shared" si="8"/>
        <v>0</v>
      </c>
      <c r="J34" s="9">
        <f t="shared" si="8"/>
        <v>0</v>
      </c>
      <c r="K34" s="9">
        <f t="shared" si="8"/>
        <v>0</v>
      </c>
      <c r="L34" s="9">
        <f t="shared" si="8"/>
        <v>0</v>
      </c>
      <c r="M34" s="9">
        <f t="shared" si="8"/>
        <v>0</v>
      </c>
      <c r="N34" s="9">
        <f t="shared" si="0"/>
        <v>-152282.95000000001</v>
      </c>
      <c r="O34" s="30">
        <f>N34/$N$6</f>
        <v>-0.38390463840239075</v>
      </c>
    </row>
    <row r="35" spans="1:15" x14ac:dyDescent="0.25">
      <c r="A35" s="7" t="s">
        <v>41</v>
      </c>
      <c r="B35" s="1">
        <f t="shared" ref="B35:M35" si="9">B34+B20</f>
        <v>-32693.128400000001</v>
      </c>
      <c r="C35" s="1">
        <f t="shared" si="9"/>
        <v>-46421.354700000004</v>
      </c>
      <c r="D35" s="1">
        <f t="shared" si="9"/>
        <v>-53182.407899999998</v>
      </c>
      <c r="E35" s="1">
        <f t="shared" si="9"/>
        <v>-99702.713900000002</v>
      </c>
      <c r="F35" s="1">
        <f t="shared" si="9"/>
        <v>-79464.502399999998</v>
      </c>
      <c r="G35" s="1">
        <f t="shared" si="9"/>
        <v>0</v>
      </c>
      <c r="H35" s="1">
        <f t="shared" si="9"/>
        <v>0</v>
      </c>
      <c r="I35" s="1">
        <f t="shared" si="9"/>
        <v>0</v>
      </c>
      <c r="J35" s="1">
        <f t="shared" si="9"/>
        <v>0</v>
      </c>
      <c r="K35" s="1">
        <f t="shared" si="9"/>
        <v>0</v>
      </c>
      <c r="L35" s="1">
        <f t="shared" si="9"/>
        <v>0</v>
      </c>
      <c r="M35" s="1">
        <f t="shared" si="9"/>
        <v>0</v>
      </c>
      <c r="N35" s="1">
        <f t="shared" si="0"/>
        <v>-311464.10730000003</v>
      </c>
    </row>
    <row r="36" spans="1:15" x14ac:dyDescent="0.25">
      <c r="A36" s="8" t="s">
        <v>42</v>
      </c>
      <c r="B36" s="9">
        <f t="shared" ref="B36:M36" si="10">B6+(B10+B20+B34)</f>
        <v>-40919.438399999999</v>
      </c>
      <c r="C36" s="9">
        <f t="shared" si="10"/>
        <v>-22872.246300000006</v>
      </c>
      <c r="D36" s="9">
        <f t="shared" si="10"/>
        <v>-12469.061900000001</v>
      </c>
      <c r="E36" s="9">
        <f t="shared" si="10"/>
        <v>-26743.305900000007</v>
      </c>
      <c r="F36" s="9">
        <f t="shared" si="10"/>
        <v>42629.781999999992</v>
      </c>
      <c r="G36" s="9">
        <f t="shared" si="10"/>
        <v>0</v>
      </c>
      <c r="H36" s="9">
        <f t="shared" si="10"/>
        <v>0</v>
      </c>
      <c r="I36" s="9">
        <f t="shared" si="10"/>
        <v>0</v>
      </c>
      <c r="J36" s="9">
        <f t="shared" si="10"/>
        <v>0</v>
      </c>
      <c r="K36" s="9">
        <f t="shared" si="10"/>
        <v>0</v>
      </c>
      <c r="L36" s="9">
        <f t="shared" si="10"/>
        <v>0</v>
      </c>
      <c r="M36" s="9">
        <f t="shared" si="10"/>
        <v>0</v>
      </c>
      <c r="N36" s="9">
        <f t="shared" si="0"/>
        <v>-60374.270500000028</v>
      </c>
    </row>
    <row r="37" spans="1:15" x14ac:dyDescent="0.25">
      <c r="A37" t="s">
        <v>79</v>
      </c>
      <c r="B37" s="10">
        <f>B36/B6</f>
        <v>-42.892493081761003</v>
      </c>
      <c r="C37" s="10">
        <f>C36/C6</f>
        <v>-0.54792393397099004</v>
      </c>
      <c r="D37" s="10">
        <f>D36/D6</f>
        <v>-0.20778462594703676</v>
      </c>
      <c r="E37" s="10">
        <f>E36/E6</f>
        <v>-0.21628903043078987</v>
      </c>
      <c r="F37" s="10">
        <f>F36/F6</f>
        <v>0.25029886882886537</v>
      </c>
      <c r="G37" s="10"/>
      <c r="H37" s="10"/>
      <c r="I37" s="10"/>
      <c r="J37" s="10"/>
      <c r="K37" s="10"/>
      <c r="L37" s="10"/>
      <c r="M37" s="10"/>
      <c r="N37" s="10">
        <f>N36/N6</f>
        <v>-0.15220326691274785</v>
      </c>
    </row>
    <row r="40" spans="1:15" x14ac:dyDescent="0.25">
      <c r="D40" s="11"/>
    </row>
    <row r="41" spans="1:15" x14ac:dyDescent="0.25">
      <c r="D41" s="11"/>
    </row>
    <row r="43" spans="1:15" x14ac:dyDescent="0.25">
      <c r="D43" s="11"/>
    </row>
    <row r="45" spans="1:15" x14ac:dyDescent="0.25">
      <c r="D45" s="11"/>
    </row>
  </sheetData>
  <conditionalFormatting sqref="B36:N36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8422A-7A6F-4BFF-B015-970433F4BF0F}">
  <dimension ref="A1:O45"/>
  <sheetViews>
    <sheetView topLeftCell="A7" workbookViewId="0">
      <selection activeCell="E18" sqref="E18"/>
    </sheetView>
  </sheetViews>
  <sheetFormatPr baseColWidth="10" defaultRowHeight="15" x14ac:dyDescent="0.25"/>
  <cols>
    <col min="1" max="1" width="45.140625" customWidth="1"/>
    <col min="2" max="2" width="15.7109375" customWidth="1"/>
    <col min="3" max="3" width="15.7109375" style="1" customWidth="1"/>
    <col min="4" max="14" width="15.7109375" customWidth="1"/>
  </cols>
  <sheetData>
    <row r="1" spans="1:15" x14ac:dyDescent="0.25">
      <c r="A1" s="5" t="s">
        <v>80</v>
      </c>
      <c r="B1" s="6" t="s">
        <v>66</v>
      </c>
      <c r="C1" s="6" t="s">
        <v>67</v>
      </c>
      <c r="D1" s="6" t="s">
        <v>68</v>
      </c>
      <c r="E1" s="6" t="s">
        <v>69</v>
      </c>
      <c r="F1" s="6" t="s">
        <v>70</v>
      </c>
      <c r="G1" s="6" t="s">
        <v>71</v>
      </c>
      <c r="H1" s="6" t="s">
        <v>72</v>
      </c>
      <c r="I1" s="6" t="s">
        <v>73</v>
      </c>
      <c r="J1" s="6" t="s">
        <v>74</v>
      </c>
      <c r="K1" s="6" t="s">
        <v>75</v>
      </c>
      <c r="L1" s="6" t="s">
        <v>76</v>
      </c>
      <c r="M1" s="6" t="s">
        <v>77</v>
      </c>
      <c r="N1" s="6" t="s">
        <v>3</v>
      </c>
    </row>
    <row r="2" spans="1:15" x14ac:dyDescent="0.25">
      <c r="A2" s="7" t="s">
        <v>12</v>
      </c>
      <c r="B2" s="1">
        <v>43471.95</v>
      </c>
      <c r="C2" s="1">
        <v>99398.31</v>
      </c>
      <c r="D2" s="1">
        <v>111070.19</v>
      </c>
      <c r="E2" s="1">
        <v>71050.740000000005</v>
      </c>
      <c r="F2" s="1">
        <v>88333.2</v>
      </c>
      <c r="N2" s="1">
        <f>SUM(B2:M2)</f>
        <v>413324.39</v>
      </c>
    </row>
    <row r="3" spans="1:15" x14ac:dyDescent="0.25">
      <c r="A3" s="7" t="s">
        <v>13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N3" s="1">
        <f t="shared" ref="N3:N36" si="0">SUM(B3:M3)</f>
        <v>0</v>
      </c>
    </row>
    <row r="4" spans="1:15" x14ac:dyDescent="0.25">
      <c r="A4" s="7" t="s">
        <v>14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N4" s="1">
        <f t="shared" si="0"/>
        <v>0</v>
      </c>
    </row>
    <row r="5" spans="1:15" x14ac:dyDescent="0.25">
      <c r="A5" s="7" t="s">
        <v>15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N5" s="1">
        <f t="shared" si="0"/>
        <v>0</v>
      </c>
    </row>
    <row r="6" spans="1:15" x14ac:dyDescent="0.25">
      <c r="A6" s="8" t="s">
        <v>16</v>
      </c>
      <c r="B6" s="9">
        <f>SUM(B2:B5)</f>
        <v>43471.95</v>
      </c>
      <c r="C6" s="9">
        <f t="shared" ref="C6:M6" si="1">SUM(C2:C5)</f>
        <v>99398.31</v>
      </c>
      <c r="D6" s="9">
        <f t="shared" si="1"/>
        <v>111070.19</v>
      </c>
      <c r="E6" s="9">
        <f t="shared" si="1"/>
        <v>71050.740000000005</v>
      </c>
      <c r="F6" s="9">
        <f t="shared" si="1"/>
        <v>88333.2</v>
      </c>
      <c r="G6" s="9">
        <f t="shared" si="1"/>
        <v>0</v>
      </c>
      <c r="H6" s="9">
        <f t="shared" si="1"/>
        <v>0</v>
      </c>
      <c r="I6" s="9">
        <f t="shared" si="1"/>
        <v>0</v>
      </c>
      <c r="J6" s="9">
        <f t="shared" si="1"/>
        <v>0</v>
      </c>
      <c r="K6" s="9">
        <f t="shared" si="1"/>
        <v>0</v>
      </c>
      <c r="L6" s="9">
        <f t="shared" si="1"/>
        <v>0</v>
      </c>
      <c r="M6" s="9">
        <f t="shared" si="1"/>
        <v>0</v>
      </c>
      <c r="N6" s="9">
        <f t="shared" si="0"/>
        <v>413324.39</v>
      </c>
    </row>
    <row r="7" spans="1:15" x14ac:dyDescent="0.25">
      <c r="A7" s="7"/>
      <c r="B7" s="1"/>
      <c r="D7" s="1"/>
      <c r="E7" s="1"/>
      <c r="F7" s="1"/>
      <c r="N7" s="1">
        <f>SUM(B7:M7)</f>
        <v>0</v>
      </c>
    </row>
    <row r="8" spans="1:15" x14ac:dyDescent="0.25">
      <c r="A8" s="29">
        <v>0.25</v>
      </c>
      <c r="B8" s="1">
        <f>-B6*$A$8</f>
        <v>-10867.987499999999</v>
      </c>
      <c r="C8" s="1">
        <f t="shared" ref="C8:F8" si="2">-C6*$A$8</f>
        <v>-24849.577499999999</v>
      </c>
      <c r="D8" s="1">
        <f t="shared" si="2"/>
        <v>-27767.547500000001</v>
      </c>
      <c r="E8" s="1">
        <f t="shared" si="2"/>
        <v>-17762.685000000001</v>
      </c>
      <c r="F8" s="1">
        <f t="shared" si="2"/>
        <v>-22083.3</v>
      </c>
      <c r="N8" s="1"/>
    </row>
    <row r="9" spans="1:15" x14ac:dyDescent="0.25">
      <c r="A9" s="7" t="s">
        <v>17</v>
      </c>
      <c r="B9" s="1">
        <v>0</v>
      </c>
      <c r="C9" s="1">
        <v>0</v>
      </c>
      <c r="D9" s="1">
        <v>0</v>
      </c>
      <c r="E9" s="1">
        <v>-1790.1</v>
      </c>
      <c r="F9" s="1">
        <v>-1643.31</v>
      </c>
      <c r="N9" s="1">
        <f t="shared" si="0"/>
        <v>-3433.41</v>
      </c>
    </row>
    <row r="10" spans="1:15" x14ac:dyDescent="0.25">
      <c r="A10" s="7" t="s">
        <v>18</v>
      </c>
      <c r="B10" s="1">
        <v>0</v>
      </c>
      <c r="C10" s="1">
        <v>0</v>
      </c>
      <c r="D10" s="1">
        <v>0</v>
      </c>
      <c r="E10" s="1">
        <v>-533.85</v>
      </c>
      <c r="F10" s="1">
        <v>-581.74</v>
      </c>
      <c r="N10" s="1">
        <f t="shared" si="0"/>
        <v>-1115.5900000000001</v>
      </c>
    </row>
    <row r="11" spans="1:15" x14ac:dyDescent="0.25">
      <c r="A11" s="8" t="s">
        <v>21</v>
      </c>
      <c r="B11" s="9">
        <f>B9+B10+B8</f>
        <v>-10867.987499999999</v>
      </c>
      <c r="C11" s="9">
        <f>C9+C10+C8</f>
        <v>-24849.577499999999</v>
      </c>
      <c r="D11" s="9">
        <f>D9+D10+D8</f>
        <v>-27767.547500000001</v>
      </c>
      <c r="E11" s="9">
        <f>E9+E10+E8</f>
        <v>-20086.635000000002</v>
      </c>
      <c r="F11" s="9">
        <f>F9+F10+F8</f>
        <v>-24308.35</v>
      </c>
      <c r="G11" s="9">
        <f t="shared" ref="G11:M11" si="3">SUM(G9:G10)</f>
        <v>0</v>
      </c>
      <c r="H11" s="9">
        <f t="shared" si="3"/>
        <v>0</v>
      </c>
      <c r="I11" s="9">
        <f t="shared" si="3"/>
        <v>0</v>
      </c>
      <c r="J11" s="9">
        <f t="shared" si="3"/>
        <v>0</v>
      </c>
      <c r="K11" s="9">
        <f t="shared" si="3"/>
        <v>0</v>
      </c>
      <c r="L11" s="9">
        <f t="shared" si="3"/>
        <v>0</v>
      </c>
      <c r="M11" s="9">
        <f t="shared" si="3"/>
        <v>0</v>
      </c>
      <c r="N11" s="9">
        <f t="shared" si="0"/>
        <v>-107880.0975</v>
      </c>
      <c r="O11" s="30">
        <f>N11/$N$6</f>
        <v>-0.26100588329665231</v>
      </c>
    </row>
    <row r="12" spans="1:15" x14ac:dyDescent="0.25">
      <c r="A12" s="7" t="s">
        <v>167</v>
      </c>
      <c r="B12" s="24">
        <v>-5000</v>
      </c>
      <c r="C12" s="24">
        <v>-5000</v>
      </c>
      <c r="D12" s="24">
        <v>-5000</v>
      </c>
      <c r="E12" s="24">
        <v>-5000</v>
      </c>
      <c r="F12" s="24">
        <v>-5000</v>
      </c>
      <c r="G12" s="9"/>
      <c r="H12" s="9"/>
      <c r="I12" s="9"/>
      <c r="J12" s="9"/>
      <c r="K12" s="9"/>
      <c r="L12" s="9"/>
      <c r="M12" s="9"/>
      <c r="N12" s="1">
        <f t="shared" si="0"/>
        <v>-25000</v>
      </c>
      <c r="O12" s="30"/>
    </row>
    <row r="13" spans="1:15" x14ac:dyDescent="0.25">
      <c r="A13" s="29">
        <v>0.15</v>
      </c>
      <c r="B13" s="1">
        <f>$A$13*-B6</f>
        <v>-6520.7924999999996</v>
      </c>
      <c r="C13" s="1">
        <f>$A$13*-C6</f>
        <v>-14909.746499999999</v>
      </c>
      <c r="D13" s="1">
        <f>$A$13*-D6</f>
        <v>-16660.5285</v>
      </c>
      <c r="E13" s="1">
        <f>$A$13*-E6</f>
        <v>-10657.611000000001</v>
      </c>
      <c r="F13" s="1">
        <f>$A$13*-F6</f>
        <v>-13249.98</v>
      </c>
      <c r="G13" s="1"/>
      <c r="H13" s="1"/>
      <c r="I13" s="1"/>
      <c r="J13" s="1"/>
      <c r="K13" s="1"/>
      <c r="L13" s="1"/>
      <c r="M13" s="1"/>
      <c r="N13" s="1">
        <f t="shared" si="0"/>
        <v>-61998.65849999999</v>
      </c>
    </row>
    <row r="14" spans="1:15" x14ac:dyDescent="0.25">
      <c r="A14" s="29"/>
      <c r="B14" s="1">
        <f>SUM(B12:B13)</f>
        <v>-11520.7925</v>
      </c>
      <c r="C14" s="1">
        <f t="shared" ref="C14:M14" si="4">SUM(C12:C13)</f>
        <v>-19909.746500000001</v>
      </c>
      <c r="D14" s="1">
        <f t="shared" si="4"/>
        <v>-21660.5285</v>
      </c>
      <c r="E14" s="1">
        <f t="shared" si="4"/>
        <v>-15657.611000000001</v>
      </c>
      <c r="F14" s="1">
        <f t="shared" si="4"/>
        <v>-18249.98</v>
      </c>
      <c r="G14" s="1">
        <f t="shared" si="4"/>
        <v>0</v>
      </c>
      <c r="H14" s="1">
        <f t="shared" si="4"/>
        <v>0</v>
      </c>
      <c r="I14" s="1">
        <f t="shared" si="4"/>
        <v>0</v>
      </c>
      <c r="J14" s="1">
        <f t="shared" si="4"/>
        <v>0</v>
      </c>
      <c r="K14" s="1">
        <f t="shared" si="4"/>
        <v>0</v>
      </c>
      <c r="L14" s="1">
        <f t="shared" si="4"/>
        <v>0</v>
      </c>
      <c r="M14" s="1">
        <f t="shared" si="4"/>
        <v>0</v>
      </c>
      <c r="N14" s="1">
        <f t="shared" si="0"/>
        <v>-86998.658500000005</v>
      </c>
    </row>
    <row r="15" spans="1:15" x14ac:dyDescent="0.25">
      <c r="A15" s="7" t="s">
        <v>180</v>
      </c>
      <c r="B15" s="1">
        <v>0</v>
      </c>
      <c r="C15" s="1">
        <v>0</v>
      </c>
      <c r="D15" s="1">
        <v>0</v>
      </c>
      <c r="E15" s="1">
        <v>0</v>
      </c>
      <c r="F15" s="1">
        <v>-9291.48</v>
      </c>
      <c r="N15" s="1">
        <f t="shared" si="0"/>
        <v>-9291.48</v>
      </c>
    </row>
    <row r="16" spans="1:15" x14ac:dyDescent="0.25">
      <c r="A16" s="7" t="s">
        <v>24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N16" s="1">
        <f t="shared" si="0"/>
        <v>0</v>
      </c>
    </row>
    <row r="17" spans="1:15" x14ac:dyDescent="0.25">
      <c r="A17" s="7" t="s">
        <v>25</v>
      </c>
      <c r="B17" s="1">
        <v>0</v>
      </c>
      <c r="C17" s="1">
        <v>0</v>
      </c>
      <c r="D17" s="1">
        <v>0</v>
      </c>
      <c r="E17" s="1">
        <v>0</v>
      </c>
      <c r="F17" s="1">
        <v>-2815.37</v>
      </c>
      <c r="N17" s="1">
        <f t="shared" si="0"/>
        <v>-2815.37</v>
      </c>
    </row>
    <row r="18" spans="1:15" x14ac:dyDescent="0.25">
      <c r="A18" s="7" t="s">
        <v>26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N18" s="1">
        <f t="shared" si="0"/>
        <v>0</v>
      </c>
    </row>
    <row r="19" spans="1:15" x14ac:dyDescent="0.25">
      <c r="A19" s="7" t="s">
        <v>173</v>
      </c>
      <c r="B19" s="1">
        <v>-1522</v>
      </c>
      <c r="C19" s="1">
        <v>-3600</v>
      </c>
      <c r="D19" s="1">
        <v>-3381</v>
      </c>
      <c r="E19" s="1">
        <v>-1287</v>
      </c>
      <c r="F19" s="1"/>
      <c r="G19" s="1"/>
      <c r="H19" s="1"/>
      <c r="I19" s="1"/>
      <c r="J19" s="1"/>
      <c r="K19" s="1"/>
      <c r="L19" s="1"/>
      <c r="M19" s="1"/>
      <c r="N19" s="1">
        <f t="shared" si="0"/>
        <v>-9790</v>
      </c>
    </row>
    <row r="20" spans="1:15" x14ac:dyDescent="0.25">
      <c r="A20" s="8" t="s">
        <v>27</v>
      </c>
      <c r="B20" s="9">
        <f>SUM(B12:B19)</f>
        <v>-24563.584999999999</v>
      </c>
      <c r="C20" s="9">
        <f>SUM(C12:C19)</f>
        <v>-43419.493000000002</v>
      </c>
      <c r="D20" s="9">
        <f>SUM(D12:D19)</f>
        <v>-46702.057000000001</v>
      </c>
      <c r="E20" s="9">
        <f>SUM(E12:E19)</f>
        <v>-32602.222000000002</v>
      </c>
      <c r="F20" s="9">
        <f>SUM(F12:F19)</f>
        <v>-48606.810000000005</v>
      </c>
      <c r="G20" s="9">
        <f t="shared" ref="G20:M20" si="5">SUM(G12:G18)</f>
        <v>0</v>
      </c>
      <c r="H20" s="9">
        <f t="shared" si="5"/>
        <v>0</v>
      </c>
      <c r="I20" s="9">
        <f t="shared" si="5"/>
        <v>0</v>
      </c>
      <c r="J20" s="9">
        <f t="shared" si="5"/>
        <v>0</v>
      </c>
      <c r="K20" s="9">
        <f t="shared" si="5"/>
        <v>0</v>
      </c>
      <c r="L20" s="9">
        <f t="shared" si="5"/>
        <v>0</v>
      </c>
      <c r="M20" s="9">
        <f t="shared" si="5"/>
        <v>0</v>
      </c>
      <c r="N20" s="9">
        <f t="shared" si="0"/>
        <v>-195894.16700000002</v>
      </c>
      <c r="O20" s="30">
        <f>N20/$N$6</f>
        <v>-0.47394775565990677</v>
      </c>
    </row>
    <row r="21" spans="1:15" x14ac:dyDescent="0.25">
      <c r="A21" s="7" t="s">
        <v>84</v>
      </c>
      <c r="B21" s="24">
        <v>-79477.48</v>
      </c>
      <c r="C21" s="24">
        <v>-65034.81</v>
      </c>
      <c r="D21" s="24">
        <v>-100634.18</v>
      </c>
      <c r="E21" s="24">
        <v>-133354.73000000001</v>
      </c>
      <c r="F21" s="24">
        <v>-131629.54999999999</v>
      </c>
      <c r="G21" s="9"/>
      <c r="H21" s="9"/>
      <c r="I21" s="9"/>
      <c r="J21" s="9"/>
      <c r="K21" s="9"/>
      <c r="L21" s="9"/>
      <c r="M21" s="9"/>
      <c r="N21" s="9"/>
    </row>
    <row r="22" spans="1:15" x14ac:dyDescent="0.25">
      <c r="A22" s="29">
        <v>0.04</v>
      </c>
      <c r="B22" s="24">
        <f>$A$22*B21</f>
        <v>-3179.0992000000001</v>
      </c>
      <c r="C22" s="24">
        <f t="shared" ref="C22:F22" si="6">$A$22*C21</f>
        <v>-2601.3924000000002</v>
      </c>
      <c r="D22" s="24">
        <f t="shared" si="6"/>
        <v>-4025.3671999999997</v>
      </c>
      <c r="E22" s="24">
        <f t="shared" si="6"/>
        <v>-5334.1892000000007</v>
      </c>
      <c r="F22" s="24">
        <f t="shared" si="6"/>
        <v>-5265.1819999999998</v>
      </c>
      <c r="G22" s="9"/>
      <c r="H22" s="9"/>
      <c r="I22" s="9"/>
      <c r="J22" s="9"/>
      <c r="K22" s="9"/>
      <c r="L22" s="9"/>
      <c r="M22" s="9"/>
      <c r="N22" s="9"/>
    </row>
    <row r="23" spans="1:15" x14ac:dyDescent="0.25">
      <c r="A23" s="7" t="s">
        <v>28</v>
      </c>
      <c r="B23" s="11">
        <v>-6967.35</v>
      </c>
      <c r="C23" s="11">
        <v>-19408.740000000002</v>
      </c>
      <c r="D23" s="11">
        <v>-14214.11</v>
      </c>
      <c r="E23" s="11">
        <v>-6327.02</v>
      </c>
      <c r="F23" s="11">
        <v>0</v>
      </c>
      <c r="G23" s="27"/>
      <c r="H23" s="27"/>
      <c r="N23" s="1">
        <f t="shared" si="0"/>
        <v>-46917.22</v>
      </c>
    </row>
    <row r="24" spans="1:15" x14ac:dyDescent="0.25">
      <c r="A24" s="7" t="s">
        <v>29</v>
      </c>
      <c r="B24">
        <v>0</v>
      </c>
      <c r="C24">
        <v>0</v>
      </c>
      <c r="D24">
        <v>0</v>
      </c>
      <c r="E24" s="11">
        <v>0</v>
      </c>
      <c r="F24">
        <v>-40</v>
      </c>
      <c r="N24" s="1">
        <f t="shared" si="0"/>
        <v>-40</v>
      </c>
    </row>
    <row r="25" spans="1:15" x14ac:dyDescent="0.25">
      <c r="A25" s="7" t="s">
        <v>30</v>
      </c>
      <c r="B25">
        <v>0</v>
      </c>
      <c r="C25" s="11">
        <v>0</v>
      </c>
      <c r="D25">
        <v>0</v>
      </c>
      <c r="E25" s="11">
        <v>0</v>
      </c>
      <c r="F25" s="11">
        <v>0</v>
      </c>
      <c r="N25" s="1">
        <f t="shared" si="0"/>
        <v>0</v>
      </c>
    </row>
    <row r="26" spans="1:15" x14ac:dyDescent="0.25">
      <c r="A26" s="7" t="s">
        <v>31</v>
      </c>
      <c r="B26">
        <v>0</v>
      </c>
      <c r="C26">
        <v>0</v>
      </c>
      <c r="D26">
        <v>0</v>
      </c>
      <c r="E26">
        <v>0</v>
      </c>
      <c r="F26">
        <v>0</v>
      </c>
      <c r="N26" s="1">
        <f t="shared" si="0"/>
        <v>0</v>
      </c>
    </row>
    <row r="27" spans="1:15" x14ac:dyDescent="0.25">
      <c r="A27" s="7" t="s">
        <v>32</v>
      </c>
      <c r="B27">
        <v>0</v>
      </c>
      <c r="C27">
        <v>0</v>
      </c>
      <c r="D27">
        <v>0</v>
      </c>
      <c r="E27">
        <v>0</v>
      </c>
      <c r="F27">
        <v>0</v>
      </c>
      <c r="N27" s="1">
        <f t="shared" si="0"/>
        <v>0</v>
      </c>
    </row>
    <row r="28" spans="1:15" x14ac:dyDescent="0.25">
      <c r="A28" s="7" t="s">
        <v>33</v>
      </c>
      <c r="B28">
        <v>0</v>
      </c>
      <c r="C28">
        <v>0</v>
      </c>
      <c r="D28">
        <v>0</v>
      </c>
      <c r="E28" s="11">
        <v>0</v>
      </c>
      <c r="F28">
        <v>0</v>
      </c>
      <c r="N28" s="1">
        <f t="shared" si="0"/>
        <v>0</v>
      </c>
    </row>
    <row r="29" spans="1:15" x14ac:dyDescent="0.25">
      <c r="A29" s="7" t="s">
        <v>34</v>
      </c>
      <c r="B29">
        <v>0</v>
      </c>
      <c r="C29">
        <v>-1991.16</v>
      </c>
      <c r="D29">
        <v>0</v>
      </c>
      <c r="E29">
        <v>0</v>
      </c>
      <c r="F29">
        <v>0</v>
      </c>
      <c r="N29" s="1">
        <f t="shared" si="0"/>
        <v>-1991.16</v>
      </c>
    </row>
    <row r="30" spans="1:15" x14ac:dyDescent="0.25">
      <c r="A30" s="7" t="s">
        <v>35</v>
      </c>
      <c r="B30">
        <v>0</v>
      </c>
      <c r="C30">
        <v>0</v>
      </c>
      <c r="D30">
        <v>0</v>
      </c>
      <c r="E30">
        <v>0</v>
      </c>
      <c r="F30">
        <v>0</v>
      </c>
      <c r="N30" s="1">
        <f t="shared" si="0"/>
        <v>0</v>
      </c>
    </row>
    <row r="31" spans="1:15" x14ac:dyDescent="0.25">
      <c r="A31" s="7" t="s">
        <v>36</v>
      </c>
      <c r="B31" s="11">
        <v>0</v>
      </c>
      <c r="C31">
        <v>0</v>
      </c>
      <c r="D31">
        <v>-2588.09</v>
      </c>
      <c r="E31" s="11">
        <v>-1974.45</v>
      </c>
      <c r="F31">
        <v>-21911.7</v>
      </c>
      <c r="G31" s="27"/>
      <c r="N31" s="1">
        <f t="shared" si="0"/>
        <v>-26474.240000000002</v>
      </c>
    </row>
    <row r="32" spans="1:15" x14ac:dyDescent="0.25">
      <c r="A32" s="7" t="s">
        <v>38</v>
      </c>
      <c r="B32">
        <v>0</v>
      </c>
      <c r="C32">
        <v>0</v>
      </c>
      <c r="D32">
        <v>-733.14</v>
      </c>
      <c r="E32">
        <v>0</v>
      </c>
      <c r="F32">
        <v>0</v>
      </c>
      <c r="N32" s="1">
        <f t="shared" si="0"/>
        <v>-733.14</v>
      </c>
    </row>
    <row r="33" spans="1:15" x14ac:dyDescent="0.25">
      <c r="A33" s="7" t="s">
        <v>39</v>
      </c>
      <c r="B33">
        <v>0</v>
      </c>
      <c r="C33">
        <v>0</v>
      </c>
      <c r="D33">
        <v>0</v>
      </c>
      <c r="E33">
        <v>0</v>
      </c>
      <c r="F33">
        <v>0</v>
      </c>
      <c r="N33" s="1">
        <f t="shared" si="0"/>
        <v>0</v>
      </c>
    </row>
    <row r="34" spans="1:15" x14ac:dyDescent="0.25">
      <c r="A34" s="8" t="s">
        <v>40</v>
      </c>
      <c r="B34" s="9">
        <f>SUM(B22:B33)</f>
        <v>-10146.449200000001</v>
      </c>
      <c r="C34" s="9">
        <f t="shared" ref="C34:F34" si="7">SUM(C22:C33)</f>
        <v>-24001.292400000002</v>
      </c>
      <c r="D34" s="9">
        <f t="shared" si="7"/>
        <v>-21560.707200000001</v>
      </c>
      <c r="E34" s="9">
        <f t="shared" si="7"/>
        <v>-13635.659200000002</v>
      </c>
      <c r="F34" s="9">
        <f t="shared" si="7"/>
        <v>-27216.882000000001</v>
      </c>
      <c r="G34" s="9">
        <f t="shared" ref="G34:M34" si="8">SUM(G23:G33)</f>
        <v>0</v>
      </c>
      <c r="H34" s="9">
        <f t="shared" si="8"/>
        <v>0</v>
      </c>
      <c r="I34" s="9">
        <f t="shared" si="8"/>
        <v>0</v>
      </c>
      <c r="J34" s="9">
        <f t="shared" si="8"/>
        <v>0</v>
      </c>
      <c r="K34" s="9">
        <f t="shared" si="8"/>
        <v>0</v>
      </c>
      <c r="L34" s="9">
        <f t="shared" si="8"/>
        <v>0</v>
      </c>
      <c r="M34" s="9">
        <f t="shared" si="8"/>
        <v>0</v>
      </c>
      <c r="N34" s="9">
        <f t="shared" si="0"/>
        <v>-96560.99</v>
      </c>
      <c r="O34" s="30">
        <f>N34/$N$6</f>
        <v>-0.23362035325328853</v>
      </c>
    </row>
    <row r="35" spans="1:15" x14ac:dyDescent="0.25">
      <c r="A35" s="7" t="s">
        <v>41</v>
      </c>
      <c r="B35" s="1">
        <f t="shared" ref="B35:M35" si="9">B34+B20</f>
        <v>-34710.034200000002</v>
      </c>
      <c r="C35" s="1">
        <f t="shared" si="9"/>
        <v>-67420.785400000008</v>
      </c>
      <c r="D35" s="1">
        <f t="shared" si="9"/>
        <v>-68262.764200000005</v>
      </c>
      <c r="E35" s="1">
        <f t="shared" si="9"/>
        <v>-46237.881200000003</v>
      </c>
      <c r="F35" s="1">
        <f t="shared" si="9"/>
        <v>-75823.69200000001</v>
      </c>
      <c r="G35" s="1">
        <f t="shared" si="9"/>
        <v>0</v>
      </c>
      <c r="H35" s="1">
        <f t="shared" si="9"/>
        <v>0</v>
      </c>
      <c r="I35" s="1">
        <f t="shared" si="9"/>
        <v>0</v>
      </c>
      <c r="J35" s="1">
        <f t="shared" si="9"/>
        <v>0</v>
      </c>
      <c r="K35" s="1">
        <f t="shared" si="9"/>
        <v>0</v>
      </c>
      <c r="L35" s="1">
        <f t="shared" si="9"/>
        <v>0</v>
      </c>
      <c r="M35" s="1">
        <f t="shared" si="9"/>
        <v>0</v>
      </c>
      <c r="N35" s="1">
        <f t="shared" si="0"/>
        <v>-292455.15700000001</v>
      </c>
    </row>
    <row r="36" spans="1:15" x14ac:dyDescent="0.25">
      <c r="A36" s="8" t="s">
        <v>42</v>
      </c>
      <c r="B36" s="9">
        <f t="shared" ref="B36:M36" si="10">B6+(B11+B20+B34)</f>
        <v>-2106.0717000000004</v>
      </c>
      <c r="C36" s="9">
        <f t="shared" si="10"/>
        <v>7127.9470999999903</v>
      </c>
      <c r="D36" s="9">
        <f t="shared" si="10"/>
        <v>15039.878299999997</v>
      </c>
      <c r="E36" s="9">
        <f t="shared" si="10"/>
        <v>4726.2237999999925</v>
      </c>
      <c r="F36" s="9">
        <f t="shared" si="10"/>
        <v>-11798.842000000004</v>
      </c>
      <c r="G36" s="9">
        <f t="shared" si="10"/>
        <v>0</v>
      </c>
      <c r="H36" s="9">
        <f t="shared" si="10"/>
        <v>0</v>
      </c>
      <c r="I36" s="9">
        <f t="shared" si="10"/>
        <v>0</v>
      </c>
      <c r="J36" s="9">
        <f t="shared" si="10"/>
        <v>0</v>
      </c>
      <c r="K36" s="9">
        <f t="shared" si="10"/>
        <v>0</v>
      </c>
      <c r="L36" s="9">
        <f t="shared" si="10"/>
        <v>0</v>
      </c>
      <c r="M36" s="9">
        <f t="shared" si="10"/>
        <v>0</v>
      </c>
      <c r="N36" s="9">
        <f t="shared" si="0"/>
        <v>12989.135499999975</v>
      </c>
    </row>
    <row r="37" spans="1:15" x14ac:dyDescent="0.25">
      <c r="A37" t="s">
        <v>79</v>
      </c>
      <c r="B37" s="10">
        <f>B36/B6</f>
        <v>-4.8446681135766868E-2</v>
      </c>
      <c r="C37" s="10">
        <f>C36/C6</f>
        <v>7.171094860667139E-2</v>
      </c>
      <c r="D37" s="10">
        <f>D36/D6</f>
        <v>0.13540877439752283</v>
      </c>
      <c r="E37" s="10">
        <f>E36/E6</f>
        <v>6.6518994735311587E-2</v>
      </c>
      <c r="F37" s="10">
        <f>F36/F6</f>
        <v>-0.13357199784452509</v>
      </c>
      <c r="G37" s="10"/>
      <c r="H37" s="10"/>
      <c r="I37" s="10"/>
      <c r="J37" s="10"/>
      <c r="K37" s="10"/>
      <c r="L37" s="10"/>
      <c r="M37" s="10"/>
      <c r="N37" s="10">
        <f>N36/N6</f>
        <v>3.1426007790152366E-2</v>
      </c>
    </row>
    <row r="40" spans="1:15" x14ac:dyDescent="0.25">
      <c r="D40" s="11"/>
    </row>
    <row r="41" spans="1:15" x14ac:dyDescent="0.25">
      <c r="D41" s="11"/>
    </row>
    <row r="43" spans="1:15" x14ac:dyDescent="0.25">
      <c r="D43" s="11"/>
    </row>
    <row r="45" spans="1:15" x14ac:dyDescent="0.25">
      <c r="D45" s="11"/>
    </row>
  </sheetData>
  <conditionalFormatting sqref="B36:N36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66EE5-F82A-45CB-BCE4-6B32C7E04B70}">
  <dimension ref="A1:V33"/>
  <sheetViews>
    <sheetView topLeftCell="A2" workbookViewId="0">
      <selection activeCell="D28" sqref="D28"/>
    </sheetView>
  </sheetViews>
  <sheetFormatPr baseColWidth="10" defaultRowHeight="15" x14ac:dyDescent="0.25"/>
  <cols>
    <col min="1" max="1" width="37.140625" customWidth="1"/>
    <col min="2" max="14" width="15.7109375" customWidth="1"/>
    <col min="15" max="15" width="14" bestFit="1" customWidth="1"/>
    <col min="18" max="18" width="14.28515625" bestFit="1" customWidth="1"/>
  </cols>
  <sheetData>
    <row r="1" spans="1:22" x14ac:dyDescent="0.25">
      <c r="A1" s="5" t="s">
        <v>80</v>
      </c>
      <c r="B1" s="6" t="s">
        <v>66</v>
      </c>
      <c r="C1" s="6" t="s">
        <v>67</v>
      </c>
      <c r="D1" s="6" t="s">
        <v>68</v>
      </c>
      <c r="E1" s="6" t="s">
        <v>69</v>
      </c>
      <c r="F1" s="6" t="s">
        <v>70</v>
      </c>
      <c r="G1" s="6" t="s">
        <v>71</v>
      </c>
      <c r="H1" s="6" t="s">
        <v>72</v>
      </c>
      <c r="I1" s="6" t="s">
        <v>73</v>
      </c>
      <c r="J1" s="6" t="s">
        <v>74</v>
      </c>
      <c r="K1" s="6" t="s">
        <v>75</v>
      </c>
      <c r="L1" s="6" t="s">
        <v>76</v>
      </c>
      <c r="M1" s="6" t="s">
        <v>77</v>
      </c>
      <c r="N1" s="6" t="s">
        <v>3</v>
      </c>
    </row>
    <row r="2" spans="1:22" x14ac:dyDescent="0.25">
      <c r="A2" s="7" t="s">
        <v>12</v>
      </c>
      <c r="C2" s="1"/>
      <c r="D2" s="1"/>
      <c r="E2" s="1"/>
      <c r="F2" s="1"/>
      <c r="N2" s="1">
        <f>SUM(B2:M2)</f>
        <v>0</v>
      </c>
    </row>
    <row r="3" spans="1:22" x14ac:dyDescent="0.25">
      <c r="A3" s="7" t="s">
        <v>13</v>
      </c>
      <c r="B3" s="1"/>
      <c r="C3" s="1"/>
      <c r="D3" s="1"/>
      <c r="E3" s="1"/>
      <c r="F3" s="1"/>
      <c r="N3" s="1">
        <f t="shared" ref="N3:N31" si="0">SUM(B3:M3)</f>
        <v>0</v>
      </c>
    </row>
    <row r="4" spans="1:22" x14ac:dyDescent="0.25">
      <c r="A4" s="7" t="s">
        <v>14</v>
      </c>
      <c r="B4" s="1"/>
      <c r="C4" s="1"/>
      <c r="D4" s="1"/>
      <c r="E4" s="1"/>
      <c r="F4" s="1"/>
      <c r="N4" s="1">
        <f t="shared" si="0"/>
        <v>0</v>
      </c>
    </row>
    <row r="5" spans="1:22" x14ac:dyDescent="0.25">
      <c r="A5" s="7" t="s">
        <v>15</v>
      </c>
      <c r="B5" s="1"/>
      <c r="C5" s="1"/>
      <c r="D5" s="1"/>
      <c r="E5" s="1"/>
      <c r="F5" s="1"/>
      <c r="N5" s="1">
        <f t="shared" si="0"/>
        <v>0</v>
      </c>
    </row>
    <row r="6" spans="1:22" s="25" customFormat="1" x14ac:dyDescent="0.25">
      <c r="A6" s="8" t="s">
        <v>16</v>
      </c>
      <c r="B6" s="9">
        <f>Precuinats_05!B6+Empresa_05!B6+Casaments_05!B8+Foodlovers_05!B6+'Green Vita_05'!B6+Restaurants_05!B7+Agenda_05!B6</f>
        <v>1309460.7207999998</v>
      </c>
      <c r="C6" s="9">
        <f>Precuinats_05!C6+Empresa_05!C6+Casaments_05!C8+Foodlovers_05!C6+'Green Vita_05'!C6+Restaurants_05!C7+Agenda_05!C6</f>
        <v>1693888.3728000002</v>
      </c>
      <c r="D6" s="9">
        <f>Precuinats_05!D6+Empresa_05!D6+Casaments_05!D8+Foodlovers_05!D6+'Green Vita_05'!D6+Restaurants_05!D7+Agenda_05!D6</f>
        <v>2098899.0027999999</v>
      </c>
      <c r="E6" s="9">
        <f>Precuinats_05!E6+Empresa_05!E6+Casaments_05!E8+Foodlovers_05!E6+'Green Vita_05'!E6+Restaurants_05!E7+Agenda_05!E6</f>
        <v>2118885.9313999997</v>
      </c>
      <c r="F6" s="9">
        <f>Precuinats_05!F6+Empresa_05!F6+Casaments_05!F8+Foodlovers_05!F6+'Green Vita_05'!F6+Restaurants_05!F7+Agenda_05!F6</f>
        <v>3459181.8132000007</v>
      </c>
      <c r="G6" s="9">
        <f>Precuinats_05!G6+Empresa_05!G6+Casaments_05!G8+Foodlovers_05!G6+'Green Vita_05'!G6+Restaurants_05!G7+Agenda_05!G6</f>
        <v>0</v>
      </c>
      <c r="H6" s="9">
        <f>Precuinats_05!H6+Empresa_05!H6+Casaments_05!H8+Foodlovers_05!H6+'Green Vita_05'!H6+Restaurants_05!H7+Agenda_05!H6</f>
        <v>0</v>
      </c>
      <c r="I6" s="9">
        <f>Precuinats_05!I6+Empresa_05!I6+Casaments_05!I8+Foodlovers_05!I6+'Green Vita_05'!I6+Restaurants_05!I7+Agenda_05!I6</f>
        <v>0</v>
      </c>
      <c r="J6" s="9">
        <f>Precuinats_05!J6+Empresa_05!J6+Casaments_05!J8+Foodlovers_05!J6+'Green Vita_05'!J6+Restaurants_05!J7+Agenda_05!J6</f>
        <v>0</v>
      </c>
      <c r="K6" s="9">
        <f>Precuinats_05!K6+Empresa_05!K6+Casaments_05!K8+Foodlovers_05!K6+'Green Vita_05'!K6+Restaurants_05!K7+Agenda_05!K6</f>
        <v>0</v>
      </c>
      <c r="L6" s="9">
        <f>Precuinats_05!L6+Empresa_05!L6+Casaments_05!L8+Foodlovers_05!L6+'Green Vita_05'!L6+Restaurants_05!L7+Agenda_05!L6</f>
        <v>0</v>
      </c>
      <c r="M6" s="9">
        <f>Precuinats_05!M6+Empresa_05!M6+Casaments_05!M8+Foodlovers_05!M6+'Green Vita_05'!M6+Restaurants_05!M7+Agenda_05!M6</f>
        <v>0</v>
      </c>
      <c r="N6" s="9">
        <f>SUM(B6:M6)+REAL_05!D5</f>
        <v>10683320.051000001</v>
      </c>
      <c r="O6" s="31">
        <f>N6+(Precuinats_05!N3*-1)</f>
        <v>10737900.120000001</v>
      </c>
      <c r="P6" s="32"/>
    </row>
    <row r="7" spans="1:22" x14ac:dyDescent="0.25">
      <c r="A7" s="7" t="s">
        <v>17</v>
      </c>
      <c r="B7" s="24"/>
      <c r="C7" s="24"/>
      <c r="D7" s="24"/>
      <c r="E7" s="24"/>
      <c r="F7" s="24"/>
      <c r="G7" s="24">
        <f>Precuinats_05!G11+Empresa_05!G16+Casaments_05!G19+Foodlovers_05!G10+'Green Vita_05'!G11+Restaurants_05!G13+Agenda_05!G10</f>
        <v>0</v>
      </c>
      <c r="H7" s="24">
        <f>Precuinats_05!H11+Empresa_05!H16+Casaments_05!H19+Foodlovers_05!H10+'Green Vita_05'!H11+Restaurants_05!H13+Agenda_05!H10</f>
        <v>0</v>
      </c>
      <c r="I7" s="24">
        <f>Precuinats_05!I11+Empresa_05!I16+Casaments_05!I19+Foodlovers_05!I10+'Green Vita_05'!I11+Restaurants_05!I13+Agenda_05!I10</f>
        <v>0</v>
      </c>
      <c r="J7" s="24">
        <f>Precuinats_05!J11+Empresa_05!J16+Casaments_05!J19+Foodlovers_05!J10+'Green Vita_05'!J11+Restaurants_05!J13+Agenda_05!J10</f>
        <v>0</v>
      </c>
      <c r="K7" s="24">
        <f>Precuinats_05!K11+Empresa_05!K16+Casaments_05!K19+Foodlovers_05!K10+'Green Vita_05'!K11+Restaurants_05!K13+Agenda_05!K10</f>
        <v>0</v>
      </c>
      <c r="L7" s="24">
        <f>Precuinats_05!L11+Empresa_05!L16+Casaments_05!L19+Foodlovers_05!L10+'Green Vita_05'!L11+Restaurants_05!L13+Agenda_05!L10</f>
        <v>0</v>
      </c>
      <c r="M7" s="24">
        <f>Precuinats_05!M11+Empresa_05!M16+Casaments_05!M19+Foodlovers_05!M10+'Green Vita_05'!M11+Restaurants_05!M13+Agenda_05!M10</f>
        <v>0</v>
      </c>
      <c r="N7" s="1">
        <f>SUM(B7:M7)</f>
        <v>0</v>
      </c>
    </row>
    <row r="8" spans="1:22" x14ac:dyDescent="0.25">
      <c r="A8" s="7" t="s">
        <v>18</v>
      </c>
      <c r="B8" s="1"/>
      <c r="C8" s="1"/>
      <c r="D8" s="1"/>
      <c r="E8" s="1"/>
      <c r="F8" s="1"/>
      <c r="N8" s="1">
        <f t="shared" si="0"/>
        <v>0</v>
      </c>
    </row>
    <row r="9" spans="1:22" x14ac:dyDescent="0.25">
      <c r="A9" s="7" t="s">
        <v>19</v>
      </c>
      <c r="B9" s="1"/>
      <c r="C9" s="1"/>
      <c r="D9" s="1"/>
      <c r="E9" s="1"/>
      <c r="F9" s="1"/>
      <c r="N9" s="1">
        <f t="shared" si="0"/>
        <v>0</v>
      </c>
    </row>
    <row r="10" spans="1:22" x14ac:dyDescent="0.25">
      <c r="A10" s="7" t="s">
        <v>20</v>
      </c>
      <c r="B10" s="1"/>
      <c r="C10" s="1"/>
      <c r="D10" s="1"/>
      <c r="E10" s="1"/>
      <c r="F10" s="1"/>
      <c r="N10" s="1">
        <f t="shared" si="0"/>
        <v>0</v>
      </c>
      <c r="R10" s="11"/>
      <c r="S10" s="11"/>
      <c r="V10" s="11"/>
    </row>
    <row r="11" spans="1:22" s="25" customFormat="1" x14ac:dyDescent="0.25">
      <c r="A11" s="8" t="s">
        <v>21</v>
      </c>
      <c r="B11" s="9">
        <f>Agenda_05!B10+Restaurants_05!B10+Empresa_05!B16+Casaments_05!B19+Precuinats_05!B11+Foodlovers_05!B10+'Green Vita_05'!B11</f>
        <v>-511389.47</v>
      </c>
      <c r="C11" s="9">
        <f>Agenda_05!C10+Restaurants_05!C10+Empresa_05!C16+Casaments_05!C19+Precuinats_05!C11+Foodlovers_05!C10+'Green Vita_05'!C11</f>
        <v>-629095.72999999986</v>
      </c>
      <c r="D11" s="9">
        <f>Agenda_05!D10+Restaurants_05!D10+Empresa_05!D16+Casaments_05!D19+Precuinats_05!D11+Foodlovers_05!D10+'Green Vita_05'!D11</f>
        <v>-755153.14</v>
      </c>
      <c r="E11" s="9">
        <f>Agenda_05!E10+Restaurants_05!E10+Empresa_05!E16+Casaments_05!E19+Precuinats_05!E11+Foodlovers_05!E10+'Green Vita_05'!E11</f>
        <v>-689585.16</v>
      </c>
      <c r="F11" s="9">
        <f>Agenda_05!F10+Restaurants_05!F10+Empresa_05!F16+Casaments_05!F19+Precuinats_05!F11+Foodlovers_05!F10+'Green Vita_05'!F11</f>
        <v>-871205.77999999991</v>
      </c>
      <c r="G11" s="9">
        <f>Agenda_05!G10+Restaurants_05!G10+Empresa_05!G16+Casaments_05!G19+Precuinats_05!G11+Foodlovers_05!G10+'Green Vita_05'!G11</f>
        <v>0</v>
      </c>
      <c r="H11" s="9">
        <f>Agenda_05!H10+Restaurants_05!H10+Empresa_05!H16+Casaments_05!H19+Precuinats_05!H11+Foodlovers_05!H10+'Green Vita_05'!H11</f>
        <v>0</v>
      </c>
      <c r="I11" s="9">
        <f>Agenda_05!I10+Restaurants_05!I10+Empresa_05!I16+Casaments_05!I19+Precuinats_05!I11+Foodlovers_05!I10+'Green Vita_05'!I11</f>
        <v>0</v>
      </c>
      <c r="J11" s="9">
        <f>Agenda_05!J10+Restaurants_05!J10+Empresa_05!J16+Casaments_05!J19+Precuinats_05!J11+Foodlovers_05!J10+'Green Vita_05'!J11</f>
        <v>0</v>
      </c>
      <c r="K11" s="9">
        <f>Agenda_05!K10+Restaurants_05!K10+Empresa_05!K16+Casaments_05!K19+Precuinats_05!K11+Foodlovers_05!K10+'Green Vita_05'!K11</f>
        <v>0</v>
      </c>
      <c r="L11" s="9">
        <f>Agenda_05!L10+Restaurants_05!L10+Empresa_05!L16+Casaments_05!L19+Precuinats_05!L11+Foodlovers_05!L10+'Green Vita_05'!L11</f>
        <v>0</v>
      </c>
      <c r="M11" s="9">
        <f>Agenda_05!M10+Restaurants_05!M10+Empresa_05!M16+Casaments_05!M19+Precuinats_05!M11+Foodlovers_05!M10+'Green Vita_05'!M11</f>
        <v>0</v>
      </c>
      <c r="N11" s="9">
        <f t="shared" si="0"/>
        <v>-3456429.28</v>
      </c>
      <c r="O11" s="30">
        <f>N11/$O$6</f>
        <v>-0.32189061561135096</v>
      </c>
    </row>
    <row r="12" spans="1:22" x14ac:dyDescent="0.25">
      <c r="A12" s="7" t="s">
        <v>78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>
        <f t="shared" si="0"/>
        <v>0</v>
      </c>
    </row>
    <row r="13" spans="1:22" x14ac:dyDescent="0.25">
      <c r="A13" s="7" t="s">
        <v>23</v>
      </c>
      <c r="B13" s="1"/>
      <c r="C13" s="1"/>
      <c r="D13" s="1"/>
      <c r="E13" s="1"/>
      <c r="F13" s="1"/>
      <c r="N13" s="1">
        <f t="shared" si="0"/>
        <v>0</v>
      </c>
      <c r="R13" s="11"/>
    </row>
    <row r="14" spans="1:22" x14ac:dyDescent="0.25">
      <c r="A14" s="7" t="s">
        <v>24</v>
      </c>
      <c r="B14" s="1"/>
      <c r="C14" s="1"/>
      <c r="D14" s="1"/>
      <c r="E14" s="1"/>
      <c r="F14" s="1"/>
      <c r="N14" s="1">
        <f t="shared" si="0"/>
        <v>0</v>
      </c>
      <c r="R14" s="27"/>
    </row>
    <row r="15" spans="1:22" x14ac:dyDescent="0.25">
      <c r="A15" s="7" t="s">
        <v>25</v>
      </c>
      <c r="B15" s="1"/>
      <c r="C15" s="1"/>
      <c r="D15" s="1"/>
      <c r="E15" s="1"/>
      <c r="F15" s="1"/>
      <c r="N15" s="1">
        <f t="shared" si="0"/>
        <v>0</v>
      </c>
    </row>
    <row r="16" spans="1:22" x14ac:dyDescent="0.25">
      <c r="A16" s="7" t="s">
        <v>26</v>
      </c>
      <c r="B16" s="1"/>
      <c r="C16" s="1"/>
      <c r="D16" s="1"/>
      <c r="E16" s="1"/>
      <c r="F16" s="1"/>
      <c r="N16" s="1">
        <f t="shared" si="0"/>
        <v>0</v>
      </c>
    </row>
    <row r="17" spans="1:15" x14ac:dyDescent="0.25">
      <c r="A17" s="8" t="s">
        <v>27</v>
      </c>
      <c r="B17" s="9">
        <f>Precuinats_05!B23+Empresa_05!B31+Casaments_05!B33+Foodlovers_05!B20+'Green Vita_05'!B20+Restaurants_05!B20+Agenda_05!B17</f>
        <v>-967621.34517859085</v>
      </c>
      <c r="C17" s="9">
        <f>Precuinats_05!C23+Empresa_05!C31+Casaments_05!C33+Foodlovers_05!C20+'Green Vita_05'!C20+Restaurants_05!C20+Agenda_05!C17</f>
        <v>-976755.54240714805</v>
      </c>
      <c r="D17" s="9">
        <f>Precuinats_05!D23+Empresa_05!D31+Casaments_05!D33+Foodlovers_05!D20+'Green Vita_05'!D20+Restaurants_05!D20+Agenda_05!D17</f>
        <v>-1094768.3866320306</v>
      </c>
      <c r="E17" s="9">
        <f>Precuinats_05!E23+Empresa_05!E31+Casaments_05!E33+Foodlovers_05!E20+'Green Vita_05'!E20+Restaurants_05!E20+Agenda_05!E17</f>
        <v>-1102783.6686375579</v>
      </c>
      <c r="F17" s="9">
        <f>Precuinats_05!F23+Empresa_05!F31+Casaments_05!F33+Foodlovers_05!F20+'Green Vita_05'!F20+Restaurants_05!F20+Agenda_05!F17</f>
        <v>-1168867.3882616023</v>
      </c>
      <c r="G17" s="9">
        <f>Precuinats_05!G23+Empresa_05!G31+Casaments_05!G33+Foodlovers_05!G20+'Green Vita_05'!G20+Restaurants_05!G20+Agenda_05!G17</f>
        <v>0</v>
      </c>
      <c r="H17" s="9">
        <f>Precuinats_05!H23+Empresa_05!H31+Casaments_05!H33+Foodlovers_05!H20+'Green Vita_05'!H20+Restaurants_05!H20+Agenda_05!H17</f>
        <v>0</v>
      </c>
      <c r="I17" s="9">
        <f>Precuinats_05!I23+Empresa_05!I31+Casaments_05!I33+Foodlovers_05!I20+'Green Vita_05'!I20+Restaurants_05!I20+Agenda_05!I17</f>
        <v>0</v>
      </c>
      <c r="J17" s="9">
        <f>Precuinats_05!J23+Empresa_05!J31+Casaments_05!J33+Foodlovers_05!J20+'Green Vita_05'!J20+Restaurants_05!J20+Agenda_05!J17</f>
        <v>0</v>
      </c>
      <c r="K17" s="9">
        <f>Precuinats_05!K23+Empresa_05!K31+Casaments_05!K33+Foodlovers_05!K20+'Green Vita_05'!K20+Restaurants_05!K20+Agenda_05!K17</f>
        <v>0</v>
      </c>
      <c r="L17" s="9">
        <f>Precuinats_05!L23+Empresa_05!L31+Casaments_05!L33+Foodlovers_05!L20+'Green Vita_05'!L20+Restaurants_05!L20+Agenda_05!L17</f>
        <v>0</v>
      </c>
      <c r="M17" s="9">
        <f>Precuinats_05!M23+Empresa_05!M31+Casaments_05!M33+Foodlovers_05!M20+'Green Vita_05'!M20+Restaurants_05!M20+Agenda_05!M17</f>
        <v>0</v>
      </c>
      <c r="N17" s="9">
        <f t="shared" si="0"/>
        <v>-5310796.3311169297</v>
      </c>
      <c r="O17" s="30">
        <f>N17/$O$6</f>
        <v>-0.49458425500021591</v>
      </c>
    </row>
    <row r="18" spans="1:15" x14ac:dyDescent="0.25">
      <c r="A18" s="7" t="s">
        <v>28</v>
      </c>
      <c r="B18" s="1"/>
      <c r="C18" s="1"/>
      <c r="D18" s="1"/>
      <c r="E18" s="1"/>
      <c r="F18" s="1"/>
      <c r="N18" s="1"/>
    </row>
    <row r="19" spans="1:15" x14ac:dyDescent="0.25">
      <c r="A19" s="7" t="s">
        <v>29</v>
      </c>
      <c r="B19" s="1"/>
      <c r="C19" s="1"/>
      <c r="D19" s="1"/>
      <c r="E19" s="1"/>
      <c r="F19" s="1"/>
      <c r="N19" s="1"/>
    </row>
    <row r="20" spans="1:15" x14ac:dyDescent="0.25">
      <c r="A20" s="7" t="s">
        <v>30</v>
      </c>
      <c r="B20" s="1"/>
      <c r="C20" s="1"/>
      <c r="D20" s="1"/>
      <c r="E20" s="1"/>
      <c r="F20" s="1"/>
      <c r="N20" s="1"/>
    </row>
    <row r="21" spans="1:15" x14ac:dyDescent="0.25">
      <c r="A21" s="7" t="s">
        <v>31</v>
      </c>
      <c r="B21" s="1"/>
      <c r="C21" s="1"/>
      <c r="D21" s="1"/>
      <c r="E21" s="1"/>
      <c r="F21" s="1"/>
      <c r="N21" s="1"/>
    </row>
    <row r="22" spans="1:15" x14ac:dyDescent="0.25">
      <c r="A22" s="7" t="s">
        <v>32</v>
      </c>
      <c r="B22" s="1"/>
      <c r="C22" s="1"/>
      <c r="D22" s="1"/>
      <c r="E22" s="1"/>
      <c r="F22" s="1"/>
      <c r="N22" s="1"/>
    </row>
    <row r="23" spans="1:15" x14ac:dyDescent="0.25">
      <c r="A23" s="7" t="s">
        <v>33</v>
      </c>
      <c r="B23" s="1"/>
      <c r="C23" s="1"/>
      <c r="D23" s="1"/>
      <c r="E23" s="1"/>
      <c r="F23" s="1"/>
      <c r="N23" s="1"/>
    </row>
    <row r="24" spans="1:15" x14ac:dyDescent="0.25">
      <c r="A24" s="7" t="s">
        <v>34</v>
      </c>
      <c r="B24" s="1"/>
      <c r="C24" s="1"/>
      <c r="D24" s="1"/>
      <c r="E24" s="1"/>
      <c r="F24" s="1"/>
      <c r="N24" s="1"/>
    </row>
    <row r="25" spans="1:15" x14ac:dyDescent="0.25">
      <c r="A25" s="7" t="s">
        <v>35</v>
      </c>
      <c r="B25" s="1"/>
      <c r="C25" s="1"/>
      <c r="D25" s="1"/>
      <c r="E25" s="1"/>
      <c r="F25" s="1"/>
      <c r="N25" s="1"/>
    </row>
    <row r="26" spans="1:15" x14ac:dyDescent="0.25">
      <c r="A26" s="7" t="s">
        <v>36</v>
      </c>
      <c r="B26" s="1"/>
      <c r="C26" s="1"/>
      <c r="D26" s="1"/>
      <c r="E26" s="1"/>
      <c r="F26" s="1"/>
      <c r="N26" s="1"/>
    </row>
    <row r="27" spans="1:15" x14ac:dyDescent="0.25">
      <c r="A27" s="7" t="s">
        <v>37</v>
      </c>
      <c r="B27" s="1"/>
      <c r="C27" s="1"/>
      <c r="D27" s="1"/>
      <c r="E27" s="1"/>
      <c r="F27" s="1"/>
      <c r="N27" s="1"/>
    </row>
    <row r="28" spans="1:15" x14ac:dyDescent="0.25">
      <c r="A28" s="7" t="s">
        <v>38</v>
      </c>
      <c r="B28" s="1"/>
      <c r="C28" s="1"/>
      <c r="D28" s="1"/>
      <c r="E28" s="1"/>
      <c r="F28" s="1"/>
      <c r="N28" s="1"/>
    </row>
    <row r="29" spans="1:15" x14ac:dyDescent="0.25">
      <c r="A29" s="7" t="s">
        <v>39</v>
      </c>
      <c r="B29" s="1"/>
      <c r="C29" s="1"/>
      <c r="D29" s="1"/>
      <c r="E29" s="1"/>
      <c r="F29" s="1"/>
      <c r="N29" s="1"/>
    </row>
    <row r="30" spans="1:15" x14ac:dyDescent="0.25">
      <c r="A30" s="8" t="s">
        <v>40</v>
      </c>
      <c r="B30" s="9">
        <f>Restaurants_05!B34+Empresa_05!B46+Casaments_05!B48+Precuinats_05!B37+Foodlovers_05!B34+'Green Vita_05'!B34</f>
        <v>-250449.99000000002</v>
      </c>
      <c r="C30" s="9">
        <f>Restaurants_05!C34+Empresa_05!C46+Casaments_05!C48+Precuinats_05!C37+Foodlovers_05!C34+'Green Vita_05'!C34</f>
        <v>-300262.07</v>
      </c>
      <c r="D30" s="9">
        <f>Restaurants_05!D34+Empresa_05!D46+Casaments_05!D48+Precuinats_05!D37+Foodlovers_05!D34+'Green Vita_05'!D34</f>
        <v>-384814.57999999996</v>
      </c>
      <c r="E30" s="9">
        <f>Restaurants_05!E34+Empresa_05!E46+Casaments_05!E48+Precuinats_05!E37+Foodlovers_05!E34+'Green Vita_05'!E34</f>
        <v>-449639.69</v>
      </c>
      <c r="F30" s="9">
        <f>Restaurants_05!F34+Empresa_05!F46+Casaments_05!F48+Precuinats_05!F37+Foodlovers_05!F34+'Green Vita_05'!F34</f>
        <v>-524962.61</v>
      </c>
      <c r="G30" s="9">
        <f>Restaurants_05!G34+Empresa_05!G46+Casaments_05!G48+Precuinats_05!G37+Foodlovers_05!G34+'Green Vita_05'!G34</f>
        <v>0</v>
      </c>
      <c r="H30" s="9">
        <f>Restaurants_05!H34+Empresa_05!H46+Casaments_05!H48+Precuinats_05!H37+Foodlovers_05!H34+'Green Vita_05'!H34</f>
        <v>0</v>
      </c>
      <c r="I30" s="9">
        <f>Restaurants_05!I34+Empresa_05!I46+Casaments_05!I48+Precuinats_05!I37+Foodlovers_05!I34+'Green Vita_05'!I34</f>
        <v>0</v>
      </c>
      <c r="J30" s="9">
        <f>Restaurants_05!J34+Empresa_05!J46+Casaments_05!J48+Precuinats_05!J37+Foodlovers_05!J34+'Green Vita_05'!J34</f>
        <v>0</v>
      </c>
      <c r="K30" s="9">
        <f>Restaurants_05!K34+Empresa_05!K46+Casaments_05!K48+Precuinats_05!K37+Foodlovers_05!K34+'Green Vita_05'!K34</f>
        <v>0</v>
      </c>
      <c r="L30" s="9">
        <f>Restaurants_05!L34+Empresa_05!L46+Casaments_05!L48+Precuinats_05!L37+Foodlovers_05!L34+'Green Vita_05'!L34</f>
        <v>0</v>
      </c>
      <c r="M30" s="9">
        <f>Restaurants_05!M34+Empresa_05!M46+Casaments_05!M48+Precuinats_05!M37+Foodlovers_05!M34+'Green Vita_05'!M34</f>
        <v>0</v>
      </c>
      <c r="N30" s="9">
        <f t="shared" si="0"/>
        <v>-1910128.94</v>
      </c>
      <c r="O30" s="30">
        <f>N30/$O$6</f>
        <v>-0.17788663692655018</v>
      </c>
    </row>
    <row r="31" spans="1:15" x14ac:dyDescent="0.25">
      <c r="A31" s="7" t="s">
        <v>41</v>
      </c>
      <c r="B31" s="1">
        <f>B30+B17</f>
        <v>-1218071.3351785908</v>
      </c>
      <c r="C31" s="1">
        <f t="shared" ref="C31:M31" si="1">C30+C17</f>
        <v>-1277017.6124071481</v>
      </c>
      <c r="D31" s="1">
        <f t="shared" si="1"/>
        <v>-1479582.9666320304</v>
      </c>
      <c r="E31" s="1">
        <f t="shared" si="1"/>
        <v>-1552423.3586375578</v>
      </c>
      <c r="F31" s="1">
        <f t="shared" si="1"/>
        <v>-1693829.9982616021</v>
      </c>
      <c r="G31" s="1">
        <f t="shared" si="1"/>
        <v>0</v>
      </c>
      <c r="H31" s="1">
        <f t="shared" si="1"/>
        <v>0</v>
      </c>
      <c r="I31" s="1">
        <f t="shared" si="1"/>
        <v>0</v>
      </c>
      <c r="J31" s="1">
        <f t="shared" si="1"/>
        <v>0</v>
      </c>
      <c r="K31" s="1">
        <f t="shared" si="1"/>
        <v>0</v>
      </c>
      <c r="L31" s="1">
        <f t="shared" si="1"/>
        <v>0</v>
      </c>
      <c r="M31" s="1">
        <f t="shared" si="1"/>
        <v>0</v>
      </c>
      <c r="N31" s="1">
        <f t="shared" si="0"/>
        <v>-7220925.2711169291</v>
      </c>
    </row>
    <row r="32" spans="1:15" x14ac:dyDescent="0.25">
      <c r="A32" s="8" t="s">
        <v>42</v>
      </c>
      <c r="B32" s="9">
        <f>B6+(B11+B17+B30)</f>
        <v>-420000.08437859104</v>
      </c>
      <c r="C32" s="9">
        <f t="shared" ref="C32:M32" si="2">C6+(C11+C17+C30)</f>
        <v>-212224.96960714785</v>
      </c>
      <c r="D32" s="9">
        <f t="shared" si="2"/>
        <v>-135837.10383203067</v>
      </c>
      <c r="E32" s="9">
        <f t="shared" si="2"/>
        <v>-123122.58723755833</v>
      </c>
      <c r="F32" s="9">
        <f t="shared" si="2"/>
        <v>894146.03493839875</v>
      </c>
      <c r="G32" s="9">
        <f t="shared" si="2"/>
        <v>0</v>
      </c>
      <c r="H32" s="9">
        <f t="shared" si="2"/>
        <v>0</v>
      </c>
      <c r="I32" s="9">
        <f t="shared" si="2"/>
        <v>0</v>
      </c>
      <c r="J32" s="9">
        <f t="shared" si="2"/>
        <v>0</v>
      </c>
      <c r="K32" s="9">
        <f t="shared" si="2"/>
        <v>0</v>
      </c>
      <c r="L32" s="9">
        <f t="shared" si="2"/>
        <v>0</v>
      </c>
      <c r="M32" s="9">
        <f t="shared" si="2"/>
        <v>0</v>
      </c>
      <c r="N32" s="9">
        <f>O6+(N11+N17+N30)</f>
        <v>60545.568883072585</v>
      </c>
    </row>
    <row r="33" spans="1:14" x14ac:dyDescent="0.25">
      <c r="A33" s="7" t="s">
        <v>79</v>
      </c>
      <c r="B33" s="10">
        <f t="shared" ref="B33:F33" si="3">B32/B6</f>
        <v>-0.32074278953705221</v>
      </c>
      <c r="C33" s="10">
        <f t="shared" si="3"/>
        <v>-0.12528863944932783</v>
      </c>
      <c r="D33" s="10">
        <f t="shared" si="3"/>
        <v>-6.4718265934101418E-2</v>
      </c>
      <c r="E33" s="10">
        <f t="shared" si="3"/>
        <v>-5.8107227677050191E-2</v>
      </c>
      <c r="F33" s="10">
        <f t="shared" si="3"/>
        <v>0.25848483347316376</v>
      </c>
      <c r="G33" s="10"/>
      <c r="H33" s="10"/>
      <c r="I33" s="10"/>
      <c r="J33" s="10"/>
      <c r="K33" s="10"/>
      <c r="L33" s="10"/>
      <c r="M33" s="10"/>
      <c r="N33" s="10">
        <f>N32/N6</f>
        <v>5.6672989851507148E-3</v>
      </c>
    </row>
  </sheetData>
  <conditionalFormatting sqref="B32:N32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54E44-FDFD-4A53-BF4E-6283DD625E5A}">
  <dimension ref="A1:K44"/>
  <sheetViews>
    <sheetView workbookViewId="0">
      <selection activeCell="C18" sqref="C18"/>
    </sheetView>
  </sheetViews>
  <sheetFormatPr baseColWidth="10" defaultRowHeight="15" x14ac:dyDescent="0.25"/>
  <cols>
    <col min="2" max="2" width="28.7109375" customWidth="1"/>
    <col min="3" max="11" width="15.7109375" customWidth="1"/>
  </cols>
  <sheetData>
    <row r="1" spans="1:1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92</v>
      </c>
    </row>
    <row r="2" spans="1:11" x14ac:dyDescent="0.25">
      <c r="A2">
        <v>1</v>
      </c>
      <c r="B2" t="s">
        <v>11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>
        <v>2</v>
      </c>
      <c r="B3" t="s">
        <v>12</v>
      </c>
      <c r="C3" s="11">
        <f>SUM(D3:J3)+71792.57</f>
        <v>3455401.63</v>
      </c>
      <c r="D3" s="11">
        <v>34909.120000000003</v>
      </c>
      <c r="E3" s="11">
        <v>640094.54</v>
      </c>
      <c r="F3" s="11">
        <v>1272615.07</v>
      </c>
      <c r="G3" s="11">
        <v>628068.27</v>
      </c>
      <c r="H3" s="11">
        <v>549273.34</v>
      </c>
      <c r="I3" s="11">
        <v>170315.51999999999</v>
      </c>
      <c r="J3" s="11">
        <v>88333.2</v>
      </c>
      <c r="K3">
        <v>0</v>
      </c>
    </row>
    <row r="4" spans="1:11" x14ac:dyDescent="0.25">
      <c r="A4">
        <v>3</v>
      </c>
      <c r="B4" t="s">
        <v>13</v>
      </c>
      <c r="C4" s="11">
        <f t="shared" ref="C4:C6" si="0">SUM(D4:J4)</f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>
        <v>4</v>
      </c>
      <c r="B5" t="s">
        <v>14</v>
      </c>
      <c r="C5" s="11">
        <f>SUM(D5:J5)+4800</f>
        <v>16292.16</v>
      </c>
      <c r="D5" s="11">
        <v>3004.21</v>
      </c>
      <c r="E5" s="11">
        <v>4617.95</v>
      </c>
      <c r="F5">
        <v>0</v>
      </c>
      <c r="G5" s="11">
        <v>3870</v>
      </c>
      <c r="H5">
        <v>0</v>
      </c>
      <c r="I5">
        <v>0</v>
      </c>
      <c r="J5">
        <v>0</v>
      </c>
      <c r="K5">
        <v>0</v>
      </c>
    </row>
    <row r="6" spans="1:11" x14ac:dyDescent="0.25">
      <c r="A6">
        <v>5</v>
      </c>
      <c r="B6" t="s">
        <v>15</v>
      </c>
      <c r="C6" s="11">
        <f t="shared" si="0"/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>
        <v>6</v>
      </c>
      <c r="B7" t="s">
        <v>16</v>
      </c>
      <c r="C7" s="11">
        <f>SUM(C3:C6)</f>
        <v>3471693.79</v>
      </c>
      <c r="D7" s="11">
        <f t="shared" ref="D7:J7" si="1">SUM(D3:D6)</f>
        <v>37913.33</v>
      </c>
      <c r="E7" s="11">
        <f t="shared" si="1"/>
        <v>644712.49</v>
      </c>
      <c r="F7" s="11">
        <f t="shared" si="1"/>
        <v>1272615.07</v>
      </c>
      <c r="G7" s="11">
        <f t="shared" si="1"/>
        <v>631938.27</v>
      </c>
      <c r="H7" s="11">
        <f t="shared" si="1"/>
        <v>549273.34</v>
      </c>
      <c r="I7" s="11">
        <f t="shared" si="1"/>
        <v>170315.51999999999</v>
      </c>
      <c r="J7" s="11">
        <f t="shared" si="1"/>
        <v>88333.2</v>
      </c>
      <c r="K7">
        <v>0</v>
      </c>
    </row>
    <row r="8" spans="1:11" x14ac:dyDescent="0.25">
      <c r="A8">
        <v>7</v>
      </c>
      <c r="B8" t="s">
        <v>17</v>
      </c>
      <c r="C8" s="11">
        <f t="shared" ref="C8:C11" si="2">SUM(D8:J8)</f>
        <v>-756705.33000000007</v>
      </c>
      <c r="D8" s="11">
        <v>-622826.77</v>
      </c>
      <c r="E8" s="11">
        <v>-129731.94</v>
      </c>
      <c r="F8">
        <v>-497.64</v>
      </c>
      <c r="G8" s="11">
        <v>-1472.78</v>
      </c>
      <c r="H8">
        <v>0</v>
      </c>
      <c r="I8" s="11">
        <v>-532.89</v>
      </c>
      <c r="J8" s="11">
        <v>-1643.31</v>
      </c>
      <c r="K8">
        <v>0</v>
      </c>
    </row>
    <row r="9" spans="1:11" x14ac:dyDescent="0.25">
      <c r="A9">
        <v>8</v>
      </c>
      <c r="B9" t="s">
        <v>18</v>
      </c>
      <c r="C9" s="11">
        <f t="shared" si="2"/>
        <v>-114500.45000000001</v>
      </c>
      <c r="D9" s="11">
        <v>-105018.2</v>
      </c>
      <c r="E9" s="11">
        <v>-8068.66</v>
      </c>
      <c r="F9" s="11">
        <v>-478.97</v>
      </c>
      <c r="G9" s="11">
        <v>-352.88</v>
      </c>
      <c r="H9">
        <v>0</v>
      </c>
      <c r="I9" s="11">
        <v>0</v>
      </c>
      <c r="J9" s="11">
        <v>-581.74</v>
      </c>
      <c r="K9">
        <v>0</v>
      </c>
    </row>
    <row r="10" spans="1:11" x14ac:dyDescent="0.25">
      <c r="A10">
        <v>9</v>
      </c>
      <c r="B10" t="s">
        <v>19</v>
      </c>
      <c r="C10" s="11">
        <f t="shared" si="2"/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>
        <v>10</v>
      </c>
      <c r="B11" t="s">
        <v>20</v>
      </c>
      <c r="C11" s="11">
        <f t="shared" si="2"/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>
        <v>11</v>
      </c>
      <c r="B12" t="s">
        <v>21</v>
      </c>
      <c r="C12" s="11">
        <f>SUM(C8:C11)</f>
        <v>-871205.78</v>
      </c>
      <c r="D12" s="11">
        <f t="shared" ref="D12:J12" si="3">SUM(D8:D11)</f>
        <v>-727844.97</v>
      </c>
      <c r="E12" s="11">
        <f t="shared" si="3"/>
        <v>-137800.6</v>
      </c>
      <c r="F12" s="11">
        <f t="shared" si="3"/>
        <v>-976.61</v>
      </c>
      <c r="G12" s="11">
        <f t="shared" si="3"/>
        <v>-1825.6599999999999</v>
      </c>
      <c r="H12" s="11">
        <f t="shared" si="3"/>
        <v>0</v>
      </c>
      <c r="I12" s="11">
        <f t="shared" si="3"/>
        <v>-532.89</v>
      </c>
      <c r="J12" s="11">
        <f t="shared" si="3"/>
        <v>-2225.0500000000002</v>
      </c>
      <c r="K12">
        <v>0</v>
      </c>
    </row>
    <row r="13" spans="1:11" x14ac:dyDescent="0.25">
      <c r="A13">
        <v>12</v>
      </c>
      <c r="B13" t="s">
        <v>22</v>
      </c>
      <c r="C13" s="11">
        <v>2523895.44</v>
      </c>
      <c r="D13" s="11">
        <v>-689931.64</v>
      </c>
      <c r="E13" s="11">
        <v>506911.89</v>
      </c>
      <c r="F13" s="11">
        <v>1271638.46</v>
      </c>
      <c r="G13" s="11">
        <v>630112.61</v>
      </c>
      <c r="H13" s="11">
        <v>549273.34</v>
      </c>
      <c r="I13" s="11">
        <v>169782.63</v>
      </c>
      <c r="J13" s="11">
        <v>86108.15</v>
      </c>
      <c r="K13">
        <v>0</v>
      </c>
    </row>
    <row r="14" spans="1:11" x14ac:dyDescent="0.25">
      <c r="A14">
        <v>13</v>
      </c>
      <c r="B14" t="s">
        <v>23</v>
      </c>
      <c r="C14" s="11">
        <f>SUM(D14:J14)-47110.02</f>
        <v>-926239.01000000024</v>
      </c>
      <c r="D14" s="11">
        <v>-495789.03</v>
      </c>
      <c r="E14" s="11">
        <f>-253123.37-4972.41</f>
        <v>-258095.78</v>
      </c>
      <c r="F14" s="11">
        <v>-24690.799999999999</v>
      </c>
      <c r="G14" s="11">
        <v>-18629.55</v>
      </c>
      <c r="H14" s="11">
        <v>-61890.8</v>
      </c>
      <c r="I14" s="11">
        <v>-10741.55</v>
      </c>
      <c r="J14" s="11">
        <v>-9291.48</v>
      </c>
      <c r="K14">
        <v>0</v>
      </c>
    </row>
    <row r="15" spans="1:11" x14ac:dyDescent="0.25">
      <c r="A15">
        <v>14</v>
      </c>
      <c r="B15" t="s">
        <v>24</v>
      </c>
      <c r="C15" s="11">
        <f t="shared" ref="C15:C30" si="4">SUM(D15:J15)</f>
        <v>-4200</v>
      </c>
      <c r="D15" s="11">
        <v>-2000</v>
      </c>
      <c r="E15" s="11">
        <v>-2200</v>
      </c>
      <c r="F15">
        <v>0</v>
      </c>
      <c r="G15">
        <v>0</v>
      </c>
      <c r="H15" s="11">
        <v>0</v>
      </c>
      <c r="I15">
        <v>0</v>
      </c>
      <c r="J15">
        <v>0</v>
      </c>
      <c r="K15">
        <v>0</v>
      </c>
    </row>
    <row r="16" spans="1:11" x14ac:dyDescent="0.25">
      <c r="A16">
        <v>15</v>
      </c>
      <c r="B16" t="s">
        <v>25</v>
      </c>
      <c r="C16" s="11">
        <f t="shared" si="4"/>
        <v>-252422.23000000004</v>
      </c>
      <c r="D16" s="11">
        <v>-139805.97</v>
      </c>
      <c r="E16" s="11">
        <v>-75385.48</v>
      </c>
      <c r="F16" s="11">
        <v>-7736.57</v>
      </c>
      <c r="G16" s="11">
        <v>-5253.39</v>
      </c>
      <c r="H16" s="11">
        <v>-17869.29</v>
      </c>
      <c r="I16" s="11">
        <v>-3556.16</v>
      </c>
      <c r="J16" s="11">
        <v>-2815.37</v>
      </c>
      <c r="K16">
        <v>0</v>
      </c>
    </row>
    <row r="17" spans="1:11" x14ac:dyDescent="0.25">
      <c r="A17">
        <v>16</v>
      </c>
      <c r="B17" t="s">
        <v>26</v>
      </c>
      <c r="C17" s="11">
        <f t="shared" si="4"/>
        <v>-11144.599999999999</v>
      </c>
      <c r="D17" s="11">
        <v>-8634.83</v>
      </c>
      <c r="E17" s="11">
        <v>-1778.57</v>
      </c>
      <c r="F17" s="11">
        <v>-238.9</v>
      </c>
      <c r="G17" s="11">
        <v>-202.5</v>
      </c>
      <c r="H17" s="11">
        <v>-289.8</v>
      </c>
      <c r="I17">
        <v>0</v>
      </c>
      <c r="J17">
        <v>0</v>
      </c>
      <c r="K17">
        <v>0</v>
      </c>
    </row>
    <row r="18" spans="1:11" x14ac:dyDescent="0.25">
      <c r="A18">
        <v>17</v>
      </c>
      <c r="B18" t="s">
        <v>27</v>
      </c>
      <c r="C18" s="11">
        <f>SUM(C14:C17)</f>
        <v>-1194005.8400000003</v>
      </c>
      <c r="D18" s="11">
        <f t="shared" ref="D18:J18" si="5">SUM(D14:D17)</f>
        <v>-646229.82999999996</v>
      </c>
      <c r="E18" s="11">
        <f t="shared" si="5"/>
        <v>-337459.83</v>
      </c>
      <c r="F18" s="11">
        <f t="shared" si="5"/>
        <v>-32666.27</v>
      </c>
      <c r="G18" s="11">
        <f t="shared" si="5"/>
        <v>-24085.439999999999</v>
      </c>
      <c r="H18" s="11">
        <f t="shared" si="5"/>
        <v>-80049.89</v>
      </c>
      <c r="I18" s="11">
        <f t="shared" si="5"/>
        <v>-14297.71</v>
      </c>
      <c r="J18" s="11">
        <f t="shared" si="5"/>
        <v>-12106.849999999999</v>
      </c>
      <c r="K18">
        <v>0</v>
      </c>
    </row>
    <row r="19" spans="1:11" x14ac:dyDescent="0.25">
      <c r="A19">
        <v>18</v>
      </c>
      <c r="B19" t="s">
        <v>28</v>
      </c>
      <c r="C19" s="11">
        <f t="shared" si="4"/>
        <v>-123870.14999999998</v>
      </c>
      <c r="D19" s="11">
        <v>-7843.71</v>
      </c>
      <c r="E19" s="11">
        <v>-44091.64</v>
      </c>
      <c r="F19" s="11">
        <v>-28175.89</v>
      </c>
      <c r="G19" s="11">
        <v>-25826.93</v>
      </c>
      <c r="H19" s="11">
        <v>-651</v>
      </c>
      <c r="I19" s="11">
        <v>-17280.98</v>
      </c>
      <c r="J19" s="11">
        <v>0</v>
      </c>
      <c r="K19">
        <v>0</v>
      </c>
    </row>
    <row r="20" spans="1:11" x14ac:dyDescent="0.25">
      <c r="A20">
        <v>19</v>
      </c>
      <c r="B20" t="s">
        <v>29</v>
      </c>
      <c r="C20" s="11">
        <f t="shared" si="4"/>
        <v>-56019.12</v>
      </c>
      <c r="D20" s="11">
        <v>-34594.74</v>
      </c>
      <c r="E20" s="11">
        <v>-16432.73</v>
      </c>
      <c r="F20" s="11">
        <v>-412.78</v>
      </c>
      <c r="G20" s="11">
        <v>-669.71</v>
      </c>
      <c r="H20" s="11">
        <v>-3301.79</v>
      </c>
      <c r="I20" s="11">
        <v>-567.37</v>
      </c>
      <c r="J20">
        <v>-40</v>
      </c>
      <c r="K20">
        <v>0</v>
      </c>
    </row>
    <row r="21" spans="1:11" x14ac:dyDescent="0.25">
      <c r="A21">
        <v>20</v>
      </c>
      <c r="B21" t="s">
        <v>30</v>
      </c>
      <c r="C21" s="11">
        <f>SUM(D21:J21)-2030</f>
        <v>-112074.46</v>
      </c>
      <c r="D21" s="11">
        <v>-5922.29</v>
      </c>
      <c r="E21" s="11">
        <v>-6583.63</v>
      </c>
      <c r="F21" s="11">
        <v>-77747.98</v>
      </c>
      <c r="G21" s="11">
        <v>-18171.29</v>
      </c>
      <c r="H21">
        <v>0</v>
      </c>
      <c r="I21" s="11">
        <v>-1619.27</v>
      </c>
      <c r="J21">
        <v>0</v>
      </c>
      <c r="K21">
        <v>0</v>
      </c>
    </row>
    <row r="22" spans="1:11" x14ac:dyDescent="0.25">
      <c r="A22">
        <v>21</v>
      </c>
      <c r="B22" t="s">
        <v>31</v>
      </c>
      <c r="C22" s="11">
        <f t="shared" si="4"/>
        <v>-14353.35</v>
      </c>
      <c r="D22" s="11">
        <v>-14219.09</v>
      </c>
      <c r="E22">
        <v>0</v>
      </c>
      <c r="F22">
        <v>-134.26</v>
      </c>
      <c r="G22">
        <v>0</v>
      </c>
      <c r="H22" s="11">
        <v>0</v>
      </c>
      <c r="I22">
        <v>0</v>
      </c>
      <c r="J22">
        <v>0</v>
      </c>
      <c r="K22">
        <v>0</v>
      </c>
    </row>
    <row r="23" spans="1:11" x14ac:dyDescent="0.25">
      <c r="A23">
        <v>22</v>
      </c>
      <c r="B23" t="s">
        <v>32</v>
      </c>
      <c r="C23" s="11">
        <f t="shared" si="4"/>
        <v>-4797.1900000000005</v>
      </c>
      <c r="D23" s="11">
        <v>-3380.02</v>
      </c>
      <c r="E23" s="11">
        <v>-1417.17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23</v>
      </c>
      <c r="B24" t="s">
        <v>33</v>
      </c>
      <c r="C24" s="11">
        <f t="shared" si="4"/>
        <v>-4335.28</v>
      </c>
      <c r="D24" s="11">
        <v>-975.2</v>
      </c>
      <c r="E24" s="11">
        <v>-2927.84</v>
      </c>
      <c r="F24" s="11">
        <v>-202.08</v>
      </c>
      <c r="G24">
        <v>-220.92</v>
      </c>
      <c r="H24">
        <v>0</v>
      </c>
      <c r="I24" s="11">
        <v>-9.24</v>
      </c>
      <c r="J24">
        <v>0</v>
      </c>
      <c r="K24">
        <v>0</v>
      </c>
    </row>
    <row r="25" spans="1:11" x14ac:dyDescent="0.25">
      <c r="A25">
        <v>24</v>
      </c>
      <c r="B25" t="s">
        <v>34</v>
      </c>
      <c r="C25" s="11">
        <f>SUM(D25:J25)-100</f>
        <v>-9923.33</v>
      </c>
      <c r="D25" s="11">
        <v>-5903.6</v>
      </c>
      <c r="E25" s="11">
        <v>-810.74</v>
      </c>
      <c r="F25" s="11">
        <v>-186.99</v>
      </c>
      <c r="G25" s="11">
        <v>-2809.07</v>
      </c>
      <c r="H25" s="11">
        <v>0</v>
      </c>
      <c r="I25" s="11">
        <v>-112.93</v>
      </c>
      <c r="J25" s="11">
        <v>0</v>
      </c>
      <c r="K25">
        <v>0</v>
      </c>
    </row>
    <row r="26" spans="1:11" x14ac:dyDescent="0.25">
      <c r="A26">
        <v>25</v>
      </c>
      <c r="B26" t="s">
        <v>35</v>
      </c>
      <c r="C26" s="11">
        <f t="shared" si="4"/>
        <v>-40702.980000000003</v>
      </c>
      <c r="D26" s="11">
        <v>-15151.22</v>
      </c>
      <c r="E26" s="11">
        <v>-18492.400000000001</v>
      </c>
      <c r="F26">
        <v>0</v>
      </c>
      <c r="G26">
        <v>0</v>
      </c>
      <c r="H26" s="11">
        <v>-6679.36</v>
      </c>
      <c r="I26">
        <v>-380</v>
      </c>
      <c r="J26">
        <v>0</v>
      </c>
      <c r="K26">
        <v>0</v>
      </c>
    </row>
    <row r="27" spans="1:11" x14ac:dyDescent="0.25">
      <c r="A27">
        <v>26</v>
      </c>
      <c r="B27" t="s">
        <v>36</v>
      </c>
      <c r="C27" s="11">
        <f>SUM(D27:J27)-14735.55</f>
        <v>-169492.57</v>
      </c>
      <c r="D27" s="11">
        <v>-42611.02</v>
      </c>
      <c r="E27" s="11">
        <v>-8652.39</v>
      </c>
      <c r="F27" s="11">
        <v>-66576.72</v>
      </c>
      <c r="G27" s="11">
        <v>-13107.19</v>
      </c>
      <c r="H27" s="11">
        <v>-1690</v>
      </c>
      <c r="I27" s="11">
        <v>-208</v>
      </c>
      <c r="J27" s="11">
        <v>-21911.7</v>
      </c>
      <c r="K27">
        <v>0</v>
      </c>
    </row>
    <row r="28" spans="1:11" x14ac:dyDescent="0.25">
      <c r="A28">
        <v>27</v>
      </c>
      <c r="B28" t="s">
        <v>37</v>
      </c>
      <c r="C28" s="11">
        <f>SUM(D28:J28)-433.15</f>
        <v>-4353.1799999999994</v>
      </c>
      <c r="D28" s="11">
        <v>-1028.6600000000001</v>
      </c>
      <c r="E28" s="11">
        <v>-2891.37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>
        <v>28</v>
      </c>
      <c r="B29" t="s">
        <v>38</v>
      </c>
      <c r="C29" s="11">
        <f t="shared" si="4"/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29</v>
      </c>
      <c r="B30" t="s">
        <v>39</v>
      </c>
      <c r="C30" s="11">
        <f t="shared" si="4"/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5">
      <c r="A31">
        <v>30</v>
      </c>
      <c r="B31" t="s">
        <v>40</v>
      </c>
      <c r="C31" s="11">
        <f>SUM(C19:C30)</f>
        <v>-539921.61</v>
      </c>
      <c r="D31" s="11">
        <f t="shared" ref="D31:J31" si="6">SUM(D19:D30)</f>
        <v>-131629.55000000002</v>
      </c>
      <c r="E31" s="11">
        <f t="shared" si="6"/>
        <v>-102299.90999999999</v>
      </c>
      <c r="F31" s="11">
        <f t="shared" si="6"/>
        <v>-173436.7</v>
      </c>
      <c r="G31" s="11">
        <f t="shared" si="6"/>
        <v>-60805.11</v>
      </c>
      <c r="H31" s="11">
        <f t="shared" si="6"/>
        <v>-12322.15</v>
      </c>
      <c r="I31" s="11">
        <f t="shared" si="6"/>
        <v>-20177.79</v>
      </c>
      <c r="J31" s="11">
        <f t="shared" si="6"/>
        <v>-21951.7</v>
      </c>
      <c r="K31">
        <v>0</v>
      </c>
    </row>
    <row r="32" spans="1:11" x14ac:dyDescent="0.25">
      <c r="A32">
        <v>31</v>
      </c>
      <c r="B32" t="s">
        <v>41</v>
      </c>
      <c r="C32" s="11">
        <v>-1664546.32</v>
      </c>
      <c r="D32" s="11">
        <v>-777859.38</v>
      </c>
      <c r="E32" s="11">
        <v>-434787.33</v>
      </c>
      <c r="F32" s="11">
        <v>-206102.97</v>
      </c>
      <c r="G32" s="11">
        <v>-84890.55</v>
      </c>
      <c r="H32" s="11">
        <v>-92372.04</v>
      </c>
      <c r="I32" s="11">
        <v>-34475.5</v>
      </c>
      <c r="J32" s="11">
        <v>-34058.550000000003</v>
      </c>
      <c r="K32">
        <v>0</v>
      </c>
    </row>
    <row r="33" spans="1:11" x14ac:dyDescent="0.25">
      <c r="A33">
        <v>32</v>
      </c>
      <c r="B33" t="s">
        <v>42</v>
      </c>
      <c r="C33" s="11">
        <f>C7+(C12+C18+C31)</f>
        <v>866560.55999999959</v>
      </c>
      <c r="D33" s="11">
        <v>-1467791.02</v>
      </c>
      <c r="E33" s="11">
        <v>72124.56</v>
      </c>
      <c r="F33" s="11">
        <v>1065535.49</v>
      </c>
      <c r="G33" s="11">
        <v>545222.06000000006</v>
      </c>
      <c r="H33" s="11">
        <v>456901.3</v>
      </c>
      <c r="I33" s="11">
        <v>135307.13</v>
      </c>
      <c r="J33" s="11">
        <v>52049.599999999999</v>
      </c>
      <c r="K33">
        <v>0</v>
      </c>
    </row>
    <row r="34" spans="1:11" x14ac:dyDescent="0.25">
      <c r="A34">
        <v>33</v>
      </c>
      <c r="B34" t="s">
        <v>43</v>
      </c>
      <c r="C34" s="11">
        <v>1365.43</v>
      </c>
      <c r="D34" s="11">
        <v>1365.43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5">
      <c r="A35">
        <v>34</v>
      </c>
      <c r="B35" t="s">
        <v>44</v>
      </c>
      <c r="C35" s="11">
        <v>-10097.120000000001</v>
      </c>
      <c r="D35" s="11">
        <v>-10097.120000000001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5">
      <c r="A36">
        <v>35</v>
      </c>
      <c r="B36" t="s">
        <v>45</v>
      </c>
      <c r="C36" s="11">
        <v>-8731.69</v>
      </c>
      <c r="D36" s="11">
        <v>-8731.69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>
        <v>36</v>
      </c>
      <c r="B37" t="s">
        <v>46</v>
      </c>
      <c r="C37" s="11">
        <v>3544.18</v>
      </c>
      <c r="D37" s="11">
        <v>16.68</v>
      </c>
      <c r="E37" s="11">
        <v>969.6</v>
      </c>
      <c r="F37">
        <v>0</v>
      </c>
      <c r="G37">
        <v>0</v>
      </c>
      <c r="H37">
        <v>0</v>
      </c>
      <c r="I37" s="11">
        <v>112.98</v>
      </c>
      <c r="J37" s="11">
        <v>2444.92</v>
      </c>
      <c r="K37">
        <v>0</v>
      </c>
    </row>
    <row r="38" spans="1:11" x14ac:dyDescent="0.25">
      <c r="A38">
        <v>37</v>
      </c>
      <c r="B38" t="s">
        <v>47</v>
      </c>
      <c r="C38" s="11">
        <v>-123.64</v>
      </c>
      <c r="D38" s="11">
        <v>-123.64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>
        <v>38</v>
      </c>
      <c r="B39" t="s">
        <v>48</v>
      </c>
      <c r="C39" s="11">
        <v>3420.54</v>
      </c>
      <c r="D39" s="11">
        <v>-106.96</v>
      </c>
      <c r="E39" s="11">
        <v>969.6</v>
      </c>
      <c r="F39">
        <v>0</v>
      </c>
      <c r="G39">
        <v>0</v>
      </c>
      <c r="H39">
        <v>0</v>
      </c>
      <c r="I39" s="11">
        <v>112.98</v>
      </c>
      <c r="J39" s="11">
        <v>2444.92</v>
      </c>
      <c r="K39">
        <v>0</v>
      </c>
    </row>
    <row r="40" spans="1:11" x14ac:dyDescent="0.25">
      <c r="A40">
        <v>39</v>
      </c>
      <c r="B40" t="s">
        <v>49</v>
      </c>
      <c r="C40" s="11">
        <v>-71644.160000000003</v>
      </c>
      <c r="D40" s="11">
        <v>-53371.4</v>
      </c>
      <c r="E40" s="11">
        <v>-10975.33</v>
      </c>
      <c r="F40" s="11">
        <v>-6069.09</v>
      </c>
      <c r="G40">
        <v>-194.57</v>
      </c>
      <c r="H40">
        <v>-68.2</v>
      </c>
      <c r="I40" s="11">
        <v>-965.57</v>
      </c>
      <c r="J40">
        <v>0</v>
      </c>
      <c r="K40">
        <v>0</v>
      </c>
    </row>
    <row r="41" spans="1:11" x14ac:dyDescent="0.25">
      <c r="A41">
        <v>40</v>
      </c>
      <c r="B41" t="s">
        <v>50</v>
      </c>
      <c r="C41" s="11">
        <v>782393.81</v>
      </c>
      <c r="D41" s="11">
        <v>-1530001.07</v>
      </c>
      <c r="E41" s="11">
        <v>62118.83</v>
      </c>
      <c r="F41" s="11">
        <v>1059466.3999999999</v>
      </c>
      <c r="G41" s="11">
        <v>545027.49</v>
      </c>
      <c r="H41" s="11">
        <v>456833.1</v>
      </c>
      <c r="I41" s="11">
        <v>134454.54</v>
      </c>
      <c r="J41" s="11">
        <v>54494.52</v>
      </c>
      <c r="K41">
        <v>0</v>
      </c>
    </row>
    <row r="42" spans="1:11" x14ac:dyDescent="0.25">
      <c r="A42">
        <v>41</v>
      </c>
      <c r="B42" t="s">
        <v>51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5">
      <c r="A43">
        <v>42</v>
      </c>
      <c r="B43" t="s">
        <v>52</v>
      </c>
      <c r="C43" s="11">
        <v>782393.81</v>
      </c>
      <c r="D43" s="11">
        <v>-1530001.07</v>
      </c>
      <c r="E43" s="11">
        <v>62118.83</v>
      </c>
      <c r="F43" s="11">
        <v>1059466.3999999999</v>
      </c>
      <c r="G43" s="11">
        <v>545027.49</v>
      </c>
      <c r="H43" s="11">
        <v>456833.1</v>
      </c>
      <c r="I43" s="11">
        <v>134454.54</v>
      </c>
      <c r="J43" s="11">
        <v>54494.52</v>
      </c>
      <c r="K43">
        <v>0</v>
      </c>
    </row>
    <row r="44" spans="1:11" x14ac:dyDescent="0.25">
      <c r="A44">
        <v>43</v>
      </c>
      <c r="B44" t="s">
        <v>53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604C1-B02F-4A4C-8262-0C8A25C3F119}">
  <dimension ref="A1:K45"/>
  <sheetViews>
    <sheetView workbookViewId="0">
      <selection activeCell="H15" sqref="H15"/>
    </sheetView>
  </sheetViews>
  <sheetFormatPr baseColWidth="10" defaultRowHeight="15" x14ac:dyDescent="0.25"/>
  <cols>
    <col min="2" max="2" width="34.42578125" customWidth="1"/>
    <col min="3" max="10" width="15.7109375" customWidth="1"/>
  </cols>
  <sheetData>
    <row r="1" spans="1:1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92</v>
      </c>
    </row>
    <row r="2" spans="1:11" x14ac:dyDescent="0.25">
      <c r="A2">
        <v>1</v>
      </c>
      <c r="B2" t="s">
        <v>11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>
        <v>2</v>
      </c>
      <c r="B3" t="s">
        <v>12</v>
      </c>
      <c r="C3" s="11">
        <v>10545729.449999999</v>
      </c>
      <c r="D3" s="11">
        <v>101524.54</v>
      </c>
      <c r="E3" s="11">
        <v>2630675.58</v>
      </c>
      <c r="F3" s="11">
        <v>3310467.98</v>
      </c>
      <c r="G3" s="11">
        <v>964064.82</v>
      </c>
      <c r="H3" s="11">
        <v>2729003.45</v>
      </c>
      <c r="I3" s="11">
        <v>396668.69</v>
      </c>
      <c r="J3" s="11">
        <v>413324.39</v>
      </c>
      <c r="K3">
        <v>0</v>
      </c>
    </row>
    <row r="4" spans="1:11" x14ac:dyDescent="0.25">
      <c r="A4">
        <v>3</v>
      </c>
      <c r="B4" t="s">
        <v>13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>
        <v>4</v>
      </c>
      <c r="B5" t="s">
        <v>14</v>
      </c>
      <c r="C5" s="11">
        <v>43480.800000000003</v>
      </c>
      <c r="D5" s="11">
        <v>15021.05</v>
      </c>
      <c r="E5" s="11">
        <v>23089.75</v>
      </c>
      <c r="F5">
        <v>0</v>
      </c>
      <c r="G5" s="11">
        <v>5370</v>
      </c>
      <c r="H5">
        <v>0</v>
      </c>
      <c r="I5">
        <v>0</v>
      </c>
      <c r="J5">
        <v>0</v>
      </c>
      <c r="K5">
        <v>0</v>
      </c>
    </row>
    <row r="6" spans="1:11" x14ac:dyDescent="0.25">
      <c r="A6">
        <v>5</v>
      </c>
      <c r="B6" t="s">
        <v>15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>
        <v>6</v>
      </c>
      <c r="B7" t="s">
        <v>16</v>
      </c>
      <c r="C7" s="11">
        <v>10589210.25</v>
      </c>
      <c r="D7" s="11">
        <v>116545.59</v>
      </c>
      <c r="E7" s="11">
        <v>2653765.33</v>
      </c>
      <c r="F7" s="11">
        <v>3310467.98</v>
      </c>
      <c r="G7" s="11">
        <v>969434.82</v>
      </c>
      <c r="H7" s="11">
        <v>2729003.45</v>
      </c>
      <c r="I7" s="11">
        <v>396668.69</v>
      </c>
      <c r="J7" s="11">
        <v>413324.39</v>
      </c>
      <c r="K7">
        <v>0</v>
      </c>
    </row>
    <row r="8" spans="1:11" x14ac:dyDescent="0.25">
      <c r="A8">
        <v>7</v>
      </c>
      <c r="B8" t="s">
        <v>17</v>
      </c>
      <c r="C8" s="11">
        <v>-2929405.38</v>
      </c>
      <c r="D8" s="11">
        <v>-2331379.4300000002</v>
      </c>
      <c r="E8" s="11">
        <v>-561019.93000000005</v>
      </c>
      <c r="F8">
        <v>-815.04</v>
      </c>
      <c r="G8" s="11">
        <v>-1507.78</v>
      </c>
      <c r="H8">
        <v>0</v>
      </c>
      <c r="I8" s="11">
        <v>-31249.79</v>
      </c>
      <c r="J8" s="11">
        <v>-3433.41</v>
      </c>
      <c r="K8">
        <v>0</v>
      </c>
    </row>
    <row r="9" spans="1:11" x14ac:dyDescent="0.25">
      <c r="A9">
        <v>8</v>
      </c>
      <c r="B9" t="s">
        <v>18</v>
      </c>
      <c r="C9" s="11">
        <v>-526970.38</v>
      </c>
      <c r="D9" s="11">
        <v>-473977.95</v>
      </c>
      <c r="E9" s="11">
        <v>-40605.519999999997</v>
      </c>
      <c r="F9" s="11">
        <v>-5281.28</v>
      </c>
      <c r="G9" s="11">
        <v>-2728.21</v>
      </c>
      <c r="H9">
        <v>0</v>
      </c>
      <c r="I9" s="11">
        <v>-3261.83</v>
      </c>
      <c r="J9" s="11">
        <v>-1115.5899999999999</v>
      </c>
      <c r="K9">
        <v>0</v>
      </c>
    </row>
    <row r="10" spans="1:11" x14ac:dyDescent="0.25">
      <c r="A10">
        <v>9</v>
      </c>
      <c r="B10" t="s">
        <v>19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>
        <v>10</v>
      </c>
      <c r="B11" t="s">
        <v>20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>
        <v>11</v>
      </c>
      <c r="B12" t="s">
        <v>21</v>
      </c>
      <c r="C12" s="11">
        <v>-3456375.76</v>
      </c>
      <c r="D12" s="11">
        <v>-2805357.38</v>
      </c>
      <c r="E12" s="11">
        <v>-601625.44999999995</v>
      </c>
      <c r="F12" s="11">
        <v>-6096.32</v>
      </c>
      <c r="G12" s="11">
        <v>-4235.99</v>
      </c>
      <c r="H12">
        <v>0</v>
      </c>
      <c r="I12" s="11">
        <v>-34511.620000000003</v>
      </c>
      <c r="J12" s="11">
        <v>-4549</v>
      </c>
      <c r="K12">
        <v>0</v>
      </c>
    </row>
    <row r="13" spans="1:11" x14ac:dyDescent="0.25">
      <c r="A13">
        <v>12</v>
      </c>
      <c r="B13" t="s">
        <v>22</v>
      </c>
      <c r="C13" s="11">
        <v>7132834.4900000002</v>
      </c>
      <c r="D13" s="11">
        <v>-2688811.79</v>
      </c>
      <c r="E13" s="11">
        <v>2052139.88</v>
      </c>
      <c r="F13" s="11">
        <v>3304371.66</v>
      </c>
      <c r="G13" s="11">
        <v>965198.83</v>
      </c>
      <c r="H13" s="11">
        <v>2729003.45</v>
      </c>
      <c r="I13" s="11">
        <v>362157.07</v>
      </c>
      <c r="J13" s="11">
        <v>408775.39</v>
      </c>
      <c r="K13">
        <v>0</v>
      </c>
    </row>
    <row r="14" spans="1:11" x14ac:dyDescent="0.25">
      <c r="A14">
        <v>13</v>
      </c>
      <c r="B14" t="s">
        <v>23</v>
      </c>
      <c r="C14" s="11">
        <v>-3934360.53</v>
      </c>
      <c r="D14" s="11">
        <v>-2210519.25</v>
      </c>
      <c r="E14" s="11">
        <v>-1194238.44</v>
      </c>
      <c r="F14" s="11">
        <v>-111404.12</v>
      </c>
      <c r="G14" s="11">
        <v>-80671.41</v>
      </c>
      <c r="H14" s="11">
        <v>-280405.44</v>
      </c>
      <c r="I14" s="11">
        <v>-47830.39</v>
      </c>
      <c r="J14" s="11">
        <v>-9291.48</v>
      </c>
      <c r="K14">
        <v>0</v>
      </c>
    </row>
    <row r="15" spans="1:11" x14ac:dyDescent="0.25">
      <c r="A15">
        <v>14</v>
      </c>
      <c r="B15" t="s">
        <v>24</v>
      </c>
      <c r="C15" s="11">
        <v>-86398.84</v>
      </c>
      <c r="D15" s="11">
        <v>-33098.839999999997</v>
      </c>
      <c r="E15" s="11">
        <v>-25200</v>
      </c>
      <c r="F15">
        <v>0</v>
      </c>
      <c r="G15">
        <v>0</v>
      </c>
      <c r="H15" s="11">
        <v>-28100</v>
      </c>
      <c r="I15">
        <v>0</v>
      </c>
      <c r="J15">
        <v>0</v>
      </c>
      <c r="K15">
        <v>0</v>
      </c>
    </row>
    <row r="16" spans="1:11" x14ac:dyDescent="0.25">
      <c r="A16">
        <v>15</v>
      </c>
      <c r="B16" t="s">
        <v>25</v>
      </c>
      <c r="C16" s="11">
        <v>-1123425.67</v>
      </c>
      <c r="D16" s="11">
        <v>-609560.16</v>
      </c>
      <c r="E16" s="11">
        <v>-360549.89</v>
      </c>
      <c r="F16" s="11">
        <v>-35607.68</v>
      </c>
      <c r="G16" s="11">
        <v>-24330.65</v>
      </c>
      <c r="H16" s="11">
        <v>-74813.17</v>
      </c>
      <c r="I16" s="11">
        <v>-15748.75</v>
      </c>
      <c r="J16" s="11">
        <v>-2815.37</v>
      </c>
      <c r="K16">
        <v>0</v>
      </c>
    </row>
    <row r="17" spans="1:11" x14ac:dyDescent="0.25">
      <c r="A17">
        <v>16</v>
      </c>
      <c r="B17" t="s">
        <v>26</v>
      </c>
      <c r="C17" s="11">
        <v>-66160.679999999993</v>
      </c>
      <c r="D17" s="11">
        <v>-51601.16</v>
      </c>
      <c r="E17" s="11">
        <v>-9681.11</v>
      </c>
      <c r="F17" s="11">
        <v>-1214.58</v>
      </c>
      <c r="G17" s="11">
        <v>-1045.58</v>
      </c>
      <c r="H17" s="11">
        <v>-2565.73</v>
      </c>
      <c r="I17">
        <v>-52.52</v>
      </c>
      <c r="J17">
        <v>0</v>
      </c>
      <c r="K17">
        <v>0</v>
      </c>
    </row>
    <row r="18" spans="1:11" x14ac:dyDescent="0.25">
      <c r="A18">
        <v>17</v>
      </c>
      <c r="B18" t="s">
        <v>27</v>
      </c>
      <c r="C18" s="11">
        <v>-5210345.72</v>
      </c>
      <c r="D18" s="11">
        <v>-2904779.41</v>
      </c>
      <c r="E18" s="11">
        <v>-1589669.44</v>
      </c>
      <c r="F18" s="11">
        <v>-148226.38</v>
      </c>
      <c r="G18" s="11">
        <v>-106047.64</v>
      </c>
      <c r="H18" s="11">
        <v>-385884.34</v>
      </c>
      <c r="I18" s="11">
        <v>-63631.66</v>
      </c>
      <c r="J18" s="11">
        <v>-12106.85</v>
      </c>
      <c r="K18">
        <v>0</v>
      </c>
    </row>
    <row r="19" spans="1:11" x14ac:dyDescent="0.25">
      <c r="A19">
        <v>18</v>
      </c>
      <c r="B19" t="s">
        <v>28</v>
      </c>
      <c r="C19" s="11">
        <v>-577705.21</v>
      </c>
      <c r="D19" s="11">
        <v>-38195.08</v>
      </c>
      <c r="E19" s="11">
        <v>-180041.48</v>
      </c>
      <c r="F19" s="11">
        <v>-89785.47</v>
      </c>
      <c r="G19" s="11">
        <v>-128364.41</v>
      </c>
      <c r="H19" s="11">
        <v>-3171</v>
      </c>
      <c r="I19" s="11">
        <v>-91230.55</v>
      </c>
      <c r="J19" s="11">
        <v>-46917.22</v>
      </c>
      <c r="K19">
        <v>0</v>
      </c>
    </row>
    <row r="20" spans="1:11" x14ac:dyDescent="0.25">
      <c r="A20">
        <v>19</v>
      </c>
      <c r="B20" t="s">
        <v>29</v>
      </c>
      <c r="C20" s="11">
        <v>-254699.51</v>
      </c>
      <c r="D20" s="11">
        <v>-135088.04</v>
      </c>
      <c r="E20" s="11">
        <v>-80540.92</v>
      </c>
      <c r="F20" s="11">
        <v>-12360.83</v>
      </c>
      <c r="G20" s="11">
        <v>-2125.04</v>
      </c>
      <c r="H20" s="11">
        <v>-21085.94</v>
      </c>
      <c r="I20" s="11">
        <v>-3458.74</v>
      </c>
      <c r="J20">
        <v>-40</v>
      </c>
      <c r="K20">
        <v>0</v>
      </c>
    </row>
    <row r="21" spans="1:11" x14ac:dyDescent="0.25">
      <c r="A21">
        <v>20</v>
      </c>
      <c r="B21" t="s">
        <v>30</v>
      </c>
      <c r="C21" s="11">
        <v>-290471.64</v>
      </c>
      <c r="D21" s="11">
        <v>-39522.21</v>
      </c>
      <c r="E21" s="11">
        <v>-15123.73</v>
      </c>
      <c r="F21" s="11">
        <v>-197738.04</v>
      </c>
      <c r="G21" s="11">
        <v>-30793.19</v>
      </c>
      <c r="H21">
        <v>0</v>
      </c>
      <c r="I21" s="11">
        <v>-7294.47</v>
      </c>
      <c r="J21">
        <v>0</v>
      </c>
      <c r="K21">
        <v>0</v>
      </c>
    </row>
    <row r="22" spans="1:11" x14ac:dyDescent="0.25">
      <c r="A22">
        <v>21</v>
      </c>
      <c r="B22" t="s">
        <v>31</v>
      </c>
      <c r="C22" s="11">
        <v>-56502.78</v>
      </c>
      <c r="D22" s="11">
        <v>-51879.6</v>
      </c>
      <c r="E22">
        <v>-375.2</v>
      </c>
      <c r="F22">
        <v>-866.37</v>
      </c>
      <c r="G22">
        <v>-1.2</v>
      </c>
      <c r="H22" s="11">
        <v>-3348.61</v>
      </c>
      <c r="I22">
        <v>-31.8</v>
      </c>
      <c r="J22">
        <v>0</v>
      </c>
      <c r="K22">
        <v>0</v>
      </c>
    </row>
    <row r="23" spans="1:11" x14ac:dyDescent="0.25">
      <c r="A23">
        <v>22</v>
      </c>
      <c r="B23" t="s">
        <v>32</v>
      </c>
      <c r="C23" s="11">
        <v>-24177.95</v>
      </c>
      <c r="D23" s="11">
        <v>-16900.099999999999</v>
      </c>
      <c r="E23" s="11">
        <v>-7181.85</v>
      </c>
      <c r="F23">
        <v>-96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23</v>
      </c>
      <c r="B24" t="s">
        <v>33</v>
      </c>
      <c r="C24" s="11">
        <v>-22051.33</v>
      </c>
      <c r="D24" s="11">
        <v>-6082.67</v>
      </c>
      <c r="E24" s="11">
        <v>-12611.59</v>
      </c>
      <c r="F24" s="11">
        <v>-1530.48</v>
      </c>
      <c r="G24">
        <v>-460.98</v>
      </c>
      <c r="H24">
        <v>0</v>
      </c>
      <c r="I24" s="11">
        <v>-1365.61</v>
      </c>
      <c r="J24">
        <v>0</v>
      </c>
      <c r="K24">
        <v>0</v>
      </c>
    </row>
    <row r="25" spans="1:11" x14ac:dyDescent="0.25">
      <c r="A25">
        <v>24</v>
      </c>
      <c r="B25" t="s">
        <v>34</v>
      </c>
      <c r="C25" s="11">
        <v>-49286.31</v>
      </c>
      <c r="D25" s="11">
        <v>-11817.34</v>
      </c>
      <c r="E25" s="11">
        <v>-5536.71</v>
      </c>
      <c r="F25" s="11">
        <v>-15673.19</v>
      </c>
      <c r="G25" s="11">
        <v>-12225.98</v>
      </c>
      <c r="H25" s="11">
        <v>-1000</v>
      </c>
      <c r="I25" s="11">
        <v>-1041.93</v>
      </c>
      <c r="J25" s="11">
        <v>-1991.16</v>
      </c>
      <c r="K25">
        <v>0</v>
      </c>
    </row>
    <row r="26" spans="1:11" x14ac:dyDescent="0.25">
      <c r="A26">
        <v>25</v>
      </c>
      <c r="B26" t="s">
        <v>35</v>
      </c>
      <c r="C26" s="11">
        <v>-188488.95</v>
      </c>
      <c r="D26" s="11">
        <v>-62074.49</v>
      </c>
      <c r="E26" s="11">
        <v>-97890.08</v>
      </c>
      <c r="F26">
        <v>0</v>
      </c>
      <c r="G26">
        <v>0</v>
      </c>
      <c r="H26" s="11">
        <v>-27886.53</v>
      </c>
      <c r="I26">
        <v>-637.85</v>
      </c>
      <c r="J26">
        <v>0</v>
      </c>
      <c r="K26">
        <v>0</v>
      </c>
    </row>
    <row r="27" spans="1:11" x14ac:dyDescent="0.25">
      <c r="A27">
        <v>26</v>
      </c>
      <c r="B27" t="s">
        <v>36</v>
      </c>
      <c r="C27" s="11">
        <v>-393152.51</v>
      </c>
      <c r="D27" s="11">
        <v>-115545.62</v>
      </c>
      <c r="E27" s="11">
        <v>-64273.04</v>
      </c>
      <c r="F27" s="11">
        <v>-153577.93</v>
      </c>
      <c r="G27" s="11">
        <v>-24136.11</v>
      </c>
      <c r="H27" s="11">
        <v>-2734.03</v>
      </c>
      <c r="I27" s="11">
        <v>-6411.54</v>
      </c>
      <c r="J27" s="11">
        <v>-26474.240000000002</v>
      </c>
      <c r="K27">
        <v>0</v>
      </c>
    </row>
    <row r="28" spans="1:11" x14ac:dyDescent="0.25">
      <c r="A28">
        <v>27</v>
      </c>
      <c r="B28" t="s">
        <v>37</v>
      </c>
      <c r="C28" s="11">
        <v>-47607.05</v>
      </c>
      <c r="D28" s="11">
        <v>-33025.599999999999</v>
      </c>
      <c r="E28" s="11">
        <v>-13848.31</v>
      </c>
      <c r="F28">
        <v>0</v>
      </c>
      <c r="G28">
        <v>0</v>
      </c>
      <c r="H28">
        <v>0</v>
      </c>
      <c r="I28">
        <v>0</v>
      </c>
      <c r="J28">
        <v>-733.14</v>
      </c>
      <c r="K28">
        <v>0</v>
      </c>
    </row>
    <row r="29" spans="1:11" x14ac:dyDescent="0.25">
      <c r="A29">
        <v>28</v>
      </c>
      <c r="B29" t="s">
        <v>38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29</v>
      </c>
      <c r="B30" t="s">
        <v>39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5">
      <c r="A31">
        <v>30</v>
      </c>
      <c r="B31" t="s">
        <v>40</v>
      </c>
      <c r="C31" s="11">
        <v>-1904143.24</v>
      </c>
      <c r="D31" s="11">
        <v>-510130.75</v>
      </c>
      <c r="E31" s="11">
        <v>-477422.91</v>
      </c>
      <c r="F31" s="11">
        <v>-471628.31</v>
      </c>
      <c r="G31" s="11">
        <v>-198106.91</v>
      </c>
      <c r="H31" s="11">
        <v>-59226.11</v>
      </c>
      <c r="I31" s="11">
        <v>-111472.49</v>
      </c>
      <c r="J31" s="11">
        <v>-76155.759999999995</v>
      </c>
      <c r="K31">
        <v>0</v>
      </c>
    </row>
    <row r="32" spans="1:11" x14ac:dyDescent="0.25">
      <c r="A32">
        <v>31</v>
      </c>
      <c r="B32" t="s">
        <v>41</v>
      </c>
      <c r="C32" s="11">
        <v>-7114488.96</v>
      </c>
      <c r="D32" s="11">
        <v>-3414910.16</v>
      </c>
      <c r="E32" s="11">
        <v>-2067092.35</v>
      </c>
      <c r="F32" s="11">
        <v>-619854.68999999994</v>
      </c>
      <c r="G32" s="11">
        <v>-304154.55</v>
      </c>
      <c r="H32" s="11">
        <v>-445110.45</v>
      </c>
      <c r="I32" s="11">
        <v>-175104.15</v>
      </c>
      <c r="J32" s="11">
        <v>-88262.61</v>
      </c>
      <c r="K32">
        <v>0</v>
      </c>
    </row>
    <row r="33" spans="1:11" x14ac:dyDescent="0.25">
      <c r="A33">
        <v>32</v>
      </c>
      <c r="B33" t="s">
        <v>42</v>
      </c>
      <c r="C33" s="11">
        <v>18345.53</v>
      </c>
      <c r="D33" s="11">
        <v>-6103721.9500000002</v>
      </c>
      <c r="E33" s="11">
        <v>-14952.47</v>
      </c>
      <c r="F33" s="11">
        <v>2684516.97</v>
      </c>
      <c r="G33" s="11">
        <v>661044.28</v>
      </c>
      <c r="H33" s="11">
        <v>2283893</v>
      </c>
      <c r="I33" s="11">
        <v>187052.92</v>
      </c>
      <c r="J33" s="11">
        <v>320512.78000000003</v>
      </c>
      <c r="K33">
        <v>0</v>
      </c>
    </row>
    <row r="34" spans="1:11" x14ac:dyDescent="0.25">
      <c r="A34">
        <v>33</v>
      </c>
      <c r="B34" t="s">
        <v>43</v>
      </c>
      <c r="C34" s="11">
        <v>9813.3799999999992</v>
      </c>
      <c r="D34" s="11">
        <v>9813.3799999999992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5">
      <c r="A35">
        <v>34</v>
      </c>
      <c r="B35" t="s">
        <v>44</v>
      </c>
      <c r="C35" s="11">
        <v>-104524.51</v>
      </c>
      <c r="D35" s="11">
        <v>-104524.51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5">
      <c r="A36">
        <v>35</v>
      </c>
      <c r="B36" t="s">
        <v>45</v>
      </c>
      <c r="C36" s="11">
        <v>-94711.13</v>
      </c>
      <c r="D36" s="11">
        <v>-94711.13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>
        <v>36</v>
      </c>
      <c r="B37" t="s">
        <v>46</v>
      </c>
      <c r="C37" s="11">
        <v>122221.08</v>
      </c>
      <c r="D37" s="11">
        <v>102390.58</v>
      </c>
      <c r="E37" s="11">
        <v>8768.17</v>
      </c>
      <c r="F37">
        <v>861.73</v>
      </c>
      <c r="G37">
        <v>0</v>
      </c>
      <c r="H37">
        <v>0</v>
      </c>
      <c r="I37" s="11">
        <v>6293.37</v>
      </c>
      <c r="J37" s="11">
        <v>3907.23</v>
      </c>
      <c r="K37">
        <v>0</v>
      </c>
    </row>
    <row r="38" spans="1:11" x14ac:dyDescent="0.25">
      <c r="A38">
        <v>37</v>
      </c>
      <c r="B38" t="s">
        <v>47</v>
      </c>
      <c r="C38" s="11">
        <v>-189854.18</v>
      </c>
      <c r="D38" s="11">
        <v>-189643.28</v>
      </c>
      <c r="E38">
        <v>-100</v>
      </c>
      <c r="F38">
        <v>0</v>
      </c>
      <c r="G38">
        <v>0</v>
      </c>
      <c r="H38">
        <v>0</v>
      </c>
      <c r="I38">
        <v>-110.9</v>
      </c>
      <c r="J38">
        <v>0</v>
      </c>
      <c r="K38">
        <v>0</v>
      </c>
    </row>
    <row r="39" spans="1:11" x14ac:dyDescent="0.25">
      <c r="A39">
        <v>38</v>
      </c>
      <c r="B39" t="s">
        <v>48</v>
      </c>
      <c r="C39" s="11">
        <v>-67633.100000000006</v>
      </c>
      <c r="D39" s="11">
        <v>-87252.7</v>
      </c>
      <c r="E39" s="11">
        <v>8668.17</v>
      </c>
      <c r="F39">
        <v>861.73</v>
      </c>
      <c r="G39">
        <v>0</v>
      </c>
      <c r="H39">
        <v>0</v>
      </c>
      <c r="I39" s="11">
        <v>6182.47</v>
      </c>
      <c r="J39" s="11">
        <v>3907.23</v>
      </c>
      <c r="K39">
        <v>0</v>
      </c>
    </row>
    <row r="40" spans="1:11" x14ac:dyDescent="0.25">
      <c r="A40">
        <v>39</v>
      </c>
      <c r="B40" t="s">
        <v>49</v>
      </c>
      <c r="C40" s="11">
        <v>-336830.71</v>
      </c>
      <c r="D40" s="11">
        <v>-248427.89</v>
      </c>
      <c r="E40" s="11">
        <v>-53005.39</v>
      </c>
      <c r="F40" s="11">
        <v>-29428.04</v>
      </c>
      <c r="G40">
        <v>-883.04</v>
      </c>
      <c r="H40">
        <v>-332.19</v>
      </c>
      <c r="I40" s="11">
        <v>-4754.16</v>
      </c>
      <c r="J40">
        <v>0</v>
      </c>
      <c r="K40">
        <v>0</v>
      </c>
    </row>
    <row r="41" spans="1:11" x14ac:dyDescent="0.25">
      <c r="A41">
        <v>40</v>
      </c>
      <c r="B41" t="s">
        <v>50</v>
      </c>
      <c r="C41" s="11">
        <v>-480829.41</v>
      </c>
      <c r="D41" s="11">
        <v>-6534113.6699999999</v>
      </c>
      <c r="E41" s="11">
        <v>-59289.69</v>
      </c>
      <c r="F41" s="11">
        <v>2655950.66</v>
      </c>
      <c r="G41" s="11">
        <v>660161.24</v>
      </c>
      <c r="H41" s="11">
        <v>2283560.81</v>
      </c>
      <c r="I41" s="11">
        <v>188481.23</v>
      </c>
      <c r="J41" s="11">
        <v>324420.01</v>
      </c>
      <c r="K41">
        <v>0</v>
      </c>
    </row>
    <row r="42" spans="1:11" x14ac:dyDescent="0.25">
      <c r="A42">
        <v>41</v>
      </c>
      <c r="B42" t="s">
        <v>51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5">
      <c r="A43">
        <v>42</v>
      </c>
      <c r="B43" t="s">
        <v>52</v>
      </c>
      <c r="C43" s="11">
        <v>-480829.41</v>
      </c>
      <c r="D43" s="11">
        <v>-6534113.6699999999</v>
      </c>
      <c r="E43" s="11">
        <v>-59289.69</v>
      </c>
      <c r="F43" s="11">
        <v>2655950.66</v>
      </c>
      <c r="G43" s="11">
        <v>660161.24</v>
      </c>
      <c r="H43" s="11">
        <v>2283560.81</v>
      </c>
      <c r="I43" s="11">
        <v>188481.23</v>
      </c>
      <c r="J43" s="11">
        <v>324420.01</v>
      </c>
      <c r="K43">
        <v>0</v>
      </c>
    </row>
    <row r="44" spans="1:11" x14ac:dyDescent="0.25">
      <c r="A44">
        <v>43</v>
      </c>
      <c r="B44" t="s">
        <v>53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5">
      <c r="A45">
        <v>999</v>
      </c>
      <c r="B45" t="s">
        <v>54</v>
      </c>
      <c r="C45" s="11">
        <v>-4658.75</v>
      </c>
      <c r="D45" s="11">
        <v>-4658.75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3291C-E608-43B9-A0AD-8A83153635A6}">
  <dimension ref="B1:M45"/>
  <sheetViews>
    <sheetView workbookViewId="0">
      <selection activeCell="J22" sqref="J22"/>
    </sheetView>
  </sheetViews>
  <sheetFormatPr baseColWidth="10" defaultRowHeight="15" x14ac:dyDescent="0.25"/>
  <cols>
    <col min="1" max="1" width="6.42578125" customWidth="1"/>
    <col min="2" max="2" width="33" style="41" customWidth="1"/>
    <col min="3" max="7" width="15.7109375" customWidth="1"/>
  </cols>
  <sheetData>
    <row r="1" spans="2:13" x14ac:dyDescent="0.25">
      <c r="B1" s="51" t="s">
        <v>11</v>
      </c>
      <c r="C1" s="6" t="s">
        <v>66</v>
      </c>
      <c r="D1" s="6" t="s">
        <v>67</v>
      </c>
      <c r="E1" s="6" t="s">
        <v>175</v>
      </c>
      <c r="F1" s="6" t="s">
        <v>69</v>
      </c>
      <c r="G1" s="6" t="s">
        <v>70</v>
      </c>
    </row>
    <row r="2" spans="2:13" x14ac:dyDescent="0.25">
      <c r="C2">
        <v>0</v>
      </c>
      <c r="D2">
        <v>0</v>
      </c>
      <c r="E2">
        <v>0</v>
      </c>
      <c r="F2">
        <v>0</v>
      </c>
      <c r="G2">
        <v>0</v>
      </c>
    </row>
    <row r="3" spans="2:13" x14ac:dyDescent="0.25">
      <c r="B3" s="52" t="s">
        <v>12</v>
      </c>
      <c r="C3" s="11">
        <v>1304611.19</v>
      </c>
      <c r="D3" s="11">
        <v>1666686.25</v>
      </c>
      <c r="E3" s="11">
        <v>2101111.39</v>
      </c>
      <c r="F3" s="11">
        <v>2089711.56</v>
      </c>
      <c r="G3" s="11">
        <v>3383609.06</v>
      </c>
    </row>
    <row r="4" spans="2:13" x14ac:dyDescent="0.25">
      <c r="B4" s="52" t="s">
        <v>13</v>
      </c>
      <c r="C4">
        <v>0</v>
      </c>
      <c r="D4">
        <v>0</v>
      </c>
      <c r="E4">
        <v>0</v>
      </c>
      <c r="F4">
        <v>0</v>
      </c>
      <c r="G4">
        <v>0</v>
      </c>
    </row>
    <row r="5" spans="2:13" x14ac:dyDescent="0.25">
      <c r="B5" s="52" t="s">
        <v>14</v>
      </c>
      <c r="C5" s="11">
        <v>7622.16</v>
      </c>
      <c r="D5" s="11">
        <v>7622.16</v>
      </c>
      <c r="E5" s="11">
        <v>7622.16</v>
      </c>
      <c r="F5" s="11">
        <v>9122.16</v>
      </c>
      <c r="G5" s="11">
        <v>11492.16</v>
      </c>
    </row>
    <row r="6" spans="2:13" x14ac:dyDescent="0.25">
      <c r="B6" s="52" t="s">
        <v>15</v>
      </c>
      <c r="C6">
        <v>0</v>
      </c>
      <c r="D6">
        <v>0</v>
      </c>
      <c r="E6">
        <v>0</v>
      </c>
      <c r="F6">
        <v>0</v>
      </c>
      <c r="G6">
        <v>0</v>
      </c>
    </row>
    <row r="7" spans="2:13" x14ac:dyDescent="0.25">
      <c r="B7" s="52" t="s">
        <v>16</v>
      </c>
      <c r="C7" s="53">
        <v>1312233.3500000001</v>
      </c>
      <c r="D7" s="53">
        <v>1674308.41</v>
      </c>
      <c r="E7" s="53">
        <v>2108733.5499999998</v>
      </c>
      <c r="F7" s="53">
        <v>2098833.7200000002</v>
      </c>
      <c r="G7" s="53">
        <v>3395101.22</v>
      </c>
      <c r="I7" s="1"/>
      <c r="J7" s="1"/>
      <c r="K7" s="1"/>
      <c r="L7" s="1"/>
      <c r="M7" s="1"/>
    </row>
    <row r="8" spans="2:13" x14ac:dyDescent="0.25">
      <c r="B8" s="52" t="s">
        <v>17</v>
      </c>
      <c r="C8" s="11">
        <v>-416007.42</v>
      </c>
      <c r="D8" s="11">
        <v>-558253.64</v>
      </c>
      <c r="E8" s="11">
        <v>-635013.24</v>
      </c>
      <c r="F8" s="11">
        <v>-563425.75</v>
      </c>
      <c r="G8" s="11">
        <v>-756705.33</v>
      </c>
    </row>
    <row r="9" spans="2:13" x14ac:dyDescent="0.25">
      <c r="B9" s="52" t="s">
        <v>18</v>
      </c>
      <c r="C9" s="11">
        <v>-95382.05</v>
      </c>
      <c r="D9" s="11">
        <v>-70842.09</v>
      </c>
      <c r="E9" s="11">
        <v>-120139.9</v>
      </c>
      <c r="F9" s="11">
        <v>-126105.89</v>
      </c>
      <c r="G9" s="11">
        <v>-114500.45</v>
      </c>
    </row>
    <row r="10" spans="2:13" x14ac:dyDescent="0.25">
      <c r="B10" s="52" t="s">
        <v>19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2:13" x14ac:dyDescent="0.25">
      <c r="B11" s="52" t="s">
        <v>20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2:13" x14ac:dyDescent="0.25">
      <c r="B12" s="52" t="s">
        <v>21</v>
      </c>
      <c r="C12" s="53">
        <v>-511389.47</v>
      </c>
      <c r="D12" s="53">
        <v>-629095.73</v>
      </c>
      <c r="E12" s="53">
        <v>-755153.14</v>
      </c>
      <c r="F12" s="53">
        <v>-689531.64</v>
      </c>
      <c r="G12" s="53">
        <v>-871205.78</v>
      </c>
    </row>
    <row r="13" spans="2:13" x14ac:dyDescent="0.25">
      <c r="B13" s="52" t="s">
        <v>22</v>
      </c>
      <c r="C13" s="11">
        <v>800843.88</v>
      </c>
      <c r="D13" s="11">
        <v>1045212.68</v>
      </c>
      <c r="E13" s="11">
        <v>1353580.41</v>
      </c>
      <c r="F13" s="11">
        <v>1409302.08</v>
      </c>
      <c r="G13" s="11">
        <v>2523895.44</v>
      </c>
    </row>
    <row r="14" spans="2:13" x14ac:dyDescent="0.25">
      <c r="B14" s="52" t="s">
        <v>23</v>
      </c>
      <c r="C14" s="11">
        <v>-744640.26</v>
      </c>
      <c r="D14" s="11">
        <v>-733187.02</v>
      </c>
      <c r="E14" s="11">
        <v>-783828.69</v>
      </c>
      <c r="F14" s="11">
        <v>-798547.98</v>
      </c>
      <c r="G14" s="11">
        <v>-874156.58</v>
      </c>
    </row>
    <row r="15" spans="2:13" x14ac:dyDescent="0.25">
      <c r="B15" s="52" t="s">
        <v>24</v>
      </c>
      <c r="C15" s="11">
        <v>-2000</v>
      </c>
      <c r="D15" s="11">
        <v>-21000</v>
      </c>
      <c r="E15" s="11">
        <v>-28100</v>
      </c>
      <c r="F15" s="11">
        <v>-31098.84</v>
      </c>
      <c r="G15" s="11">
        <v>-4200</v>
      </c>
    </row>
    <row r="16" spans="2:13" x14ac:dyDescent="0.25">
      <c r="B16" s="52" t="s">
        <v>25</v>
      </c>
      <c r="C16" s="11">
        <v>-204967.57</v>
      </c>
      <c r="D16" s="11">
        <v>-207819.37</v>
      </c>
      <c r="E16" s="11">
        <v>-224758.46</v>
      </c>
      <c r="F16" s="11">
        <v>-233458.04</v>
      </c>
      <c r="G16" s="11">
        <v>-252422.23</v>
      </c>
    </row>
    <row r="17" spans="2:7" x14ac:dyDescent="0.25">
      <c r="B17" s="52" t="s">
        <v>26</v>
      </c>
      <c r="C17" s="11">
        <v>-10770.67</v>
      </c>
      <c r="D17" s="11">
        <v>-12330.35</v>
      </c>
      <c r="E17" s="11">
        <v>-19235.48</v>
      </c>
      <c r="F17" s="11">
        <v>-12679.58</v>
      </c>
      <c r="G17" s="11">
        <v>-11144.6</v>
      </c>
    </row>
    <row r="18" spans="2:7" x14ac:dyDescent="0.25">
      <c r="B18" s="52" t="s">
        <v>27</v>
      </c>
      <c r="C18" s="53">
        <v>-962378.5</v>
      </c>
      <c r="D18" s="53">
        <v>-974336.74</v>
      </c>
      <c r="E18" s="53">
        <v>-1055922.6299999999</v>
      </c>
      <c r="F18" s="53">
        <v>-1075784.44</v>
      </c>
      <c r="G18" s="53">
        <v>-1141923.4099999999</v>
      </c>
    </row>
    <row r="19" spans="2:7" x14ac:dyDescent="0.25">
      <c r="B19" s="52" t="s">
        <v>28</v>
      </c>
      <c r="C19" s="11">
        <v>-75039.820000000007</v>
      </c>
      <c r="D19" s="11">
        <v>-111224.48</v>
      </c>
      <c r="E19" s="11">
        <v>-122048.88</v>
      </c>
      <c r="F19" s="11">
        <v>-145521.88</v>
      </c>
      <c r="G19" s="11">
        <v>-123870.15</v>
      </c>
    </row>
    <row r="20" spans="2:7" x14ac:dyDescent="0.25">
      <c r="B20" s="52" t="s">
        <v>29</v>
      </c>
      <c r="C20" s="11">
        <v>-39018.559999999998</v>
      </c>
      <c r="D20" s="11">
        <v>-37441.71</v>
      </c>
      <c r="E20" s="11">
        <v>-54972.47</v>
      </c>
      <c r="F20" s="11">
        <v>-67247.649999999994</v>
      </c>
      <c r="G20" s="11">
        <v>-56019.12</v>
      </c>
    </row>
    <row r="21" spans="2:7" x14ac:dyDescent="0.25">
      <c r="B21" s="52" t="s">
        <v>30</v>
      </c>
      <c r="C21" s="11">
        <v>-15977.71</v>
      </c>
      <c r="D21" s="11">
        <v>-44370.239999999998</v>
      </c>
      <c r="E21" s="11">
        <v>-70919.19</v>
      </c>
      <c r="F21" s="11">
        <v>-49160.04</v>
      </c>
      <c r="G21" s="11">
        <v>-110044.46</v>
      </c>
    </row>
    <row r="22" spans="2:7" x14ac:dyDescent="0.25">
      <c r="B22" s="52" t="s">
        <v>31</v>
      </c>
      <c r="C22" s="11">
        <v>-12471.4</v>
      </c>
      <c r="D22" s="11">
        <v>-6760.18</v>
      </c>
      <c r="E22" s="11">
        <v>-13211.42</v>
      </c>
      <c r="F22" s="11">
        <v>-9706.43</v>
      </c>
      <c r="G22" s="11">
        <v>-14353.35</v>
      </c>
    </row>
    <row r="23" spans="2:7" x14ac:dyDescent="0.25">
      <c r="B23" s="52" t="s">
        <v>32</v>
      </c>
      <c r="C23" s="11">
        <v>-4989.1899999999996</v>
      </c>
      <c r="D23" s="11">
        <v>-4797.1899999999996</v>
      </c>
      <c r="E23" s="11">
        <v>-4797.1899999999996</v>
      </c>
      <c r="F23" s="11">
        <v>-4797.1899999999996</v>
      </c>
      <c r="G23" s="11">
        <v>-4797.1899999999996</v>
      </c>
    </row>
    <row r="24" spans="2:7" x14ac:dyDescent="0.25">
      <c r="B24" s="52" t="s">
        <v>33</v>
      </c>
      <c r="C24" s="11">
        <v>-3520.51</v>
      </c>
      <c r="D24" s="11">
        <v>-3138.13</v>
      </c>
      <c r="E24" s="11">
        <v>-4183.8599999999997</v>
      </c>
      <c r="F24" s="11">
        <v>-6873.55</v>
      </c>
      <c r="G24" s="11">
        <v>-4335.28</v>
      </c>
    </row>
    <row r="25" spans="2:7" x14ac:dyDescent="0.25">
      <c r="B25" s="52" t="s">
        <v>34</v>
      </c>
      <c r="C25" s="11">
        <v>-9801.2999999999993</v>
      </c>
      <c r="D25" s="11">
        <v>-7790.01</v>
      </c>
      <c r="E25" s="11">
        <v>-9100.19</v>
      </c>
      <c r="F25" s="11">
        <v>-12771.48</v>
      </c>
      <c r="G25" s="11">
        <v>-9823.33</v>
      </c>
    </row>
    <row r="26" spans="2:7" x14ac:dyDescent="0.25">
      <c r="B26" s="52" t="s">
        <v>35</v>
      </c>
      <c r="C26" s="11">
        <v>-41939.620000000003</v>
      </c>
      <c r="D26" s="11">
        <v>-34464.769999999997</v>
      </c>
      <c r="E26" s="11">
        <v>-35625.89</v>
      </c>
      <c r="F26" s="11">
        <v>-35755.69</v>
      </c>
      <c r="G26" s="11">
        <v>-40702.980000000003</v>
      </c>
    </row>
    <row r="27" spans="2:7" x14ac:dyDescent="0.25">
      <c r="B27" s="52" t="s">
        <v>36</v>
      </c>
      <c r="C27" s="11">
        <v>-43943.199999999997</v>
      </c>
      <c r="D27" s="11">
        <v>-45561.85</v>
      </c>
      <c r="E27" s="11">
        <v>-64189.46</v>
      </c>
      <c r="F27" s="11">
        <v>-84700.98</v>
      </c>
      <c r="G27" s="11">
        <v>-154757.01999999999</v>
      </c>
    </row>
    <row r="28" spans="2:7" x14ac:dyDescent="0.25">
      <c r="B28" s="52" t="s">
        <v>37</v>
      </c>
      <c r="C28" s="11">
        <v>-3748.68</v>
      </c>
      <c r="D28" s="11">
        <v>-3668.51</v>
      </c>
      <c r="E28" s="11">
        <v>-4075.03</v>
      </c>
      <c r="F28" s="11">
        <v>-32194.799999999999</v>
      </c>
      <c r="G28" s="11">
        <v>-3920.03</v>
      </c>
    </row>
    <row r="29" spans="2:7" x14ac:dyDescent="0.25">
      <c r="B29" s="52" t="s">
        <v>38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2:7" x14ac:dyDescent="0.25">
      <c r="B30" s="52" t="s">
        <v>39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2:7" x14ac:dyDescent="0.25">
      <c r="B31" s="52" t="s">
        <v>40</v>
      </c>
      <c r="C31" s="53">
        <v>-250449.99</v>
      </c>
      <c r="D31" s="53">
        <v>-299217.07</v>
      </c>
      <c r="E31" s="53">
        <v>-383123.58</v>
      </c>
      <c r="F31" s="53">
        <v>-448729.69</v>
      </c>
      <c r="G31" s="53">
        <v>-522622.91</v>
      </c>
    </row>
    <row r="32" spans="2:7" x14ac:dyDescent="0.25">
      <c r="B32" s="52" t="s">
        <v>41</v>
      </c>
      <c r="C32" s="11">
        <v>-1212828.49</v>
      </c>
      <c r="D32" s="11">
        <v>-1273553.81</v>
      </c>
      <c r="E32" s="11">
        <v>-1439046.21</v>
      </c>
      <c r="F32" s="11">
        <v>-1524514.13</v>
      </c>
      <c r="G32" s="11">
        <v>-1664546.32</v>
      </c>
    </row>
    <row r="33" spans="2:7" x14ac:dyDescent="0.25">
      <c r="B33" s="52" t="s">
        <v>42</v>
      </c>
      <c r="C33" s="53">
        <v>-411984.61</v>
      </c>
      <c r="D33" s="53">
        <v>-228341.13</v>
      </c>
      <c r="E33" s="53">
        <v>-85465.8</v>
      </c>
      <c r="F33" s="53">
        <v>-115212.05</v>
      </c>
      <c r="G33" s="53">
        <v>859349.12</v>
      </c>
    </row>
    <row r="34" spans="2:7" x14ac:dyDescent="0.25">
      <c r="B34" s="52" t="s">
        <v>181</v>
      </c>
      <c r="C34" s="54">
        <f>C33</f>
        <v>-411984.61</v>
      </c>
      <c r="D34" s="54">
        <f>C34+D33</f>
        <v>-640325.74</v>
      </c>
      <c r="E34" s="54">
        <f t="shared" ref="E34:G34" si="0">D34+E33</f>
        <v>-725791.54</v>
      </c>
      <c r="F34" s="54">
        <f t="shared" si="0"/>
        <v>-841003.59000000008</v>
      </c>
      <c r="G34" s="54">
        <f t="shared" si="0"/>
        <v>18345.529999999912</v>
      </c>
    </row>
    <row r="35" spans="2:7" x14ac:dyDescent="0.25">
      <c r="B35" s="52" t="s">
        <v>43</v>
      </c>
      <c r="C35" s="11">
        <v>1311.3</v>
      </c>
      <c r="D35" s="11">
        <v>4565.62</v>
      </c>
      <c r="E35" s="11">
        <v>1290.7</v>
      </c>
      <c r="F35" s="11">
        <v>1280.33</v>
      </c>
      <c r="G35" s="11">
        <v>1365.43</v>
      </c>
    </row>
    <row r="36" spans="2:7" x14ac:dyDescent="0.25">
      <c r="B36" s="52" t="s">
        <v>44</v>
      </c>
      <c r="C36" s="11">
        <v>-9204.31</v>
      </c>
      <c r="D36" s="11">
        <v>-66031.03</v>
      </c>
      <c r="E36" s="11">
        <v>-9316.2099999999991</v>
      </c>
      <c r="F36" s="11">
        <v>-9875.84</v>
      </c>
      <c r="G36" s="11">
        <v>-10097.120000000001</v>
      </c>
    </row>
    <row r="37" spans="2:7" x14ac:dyDescent="0.25">
      <c r="B37" s="52" t="s">
        <v>45</v>
      </c>
      <c r="C37" s="53">
        <v>-7893.01</v>
      </c>
      <c r="D37" s="53">
        <v>-61465.41</v>
      </c>
      <c r="E37" s="53">
        <v>-8025.51</v>
      </c>
      <c r="F37" s="53">
        <v>-8595.51</v>
      </c>
      <c r="G37" s="53">
        <v>-8731.69</v>
      </c>
    </row>
    <row r="38" spans="2:7" x14ac:dyDescent="0.25">
      <c r="B38" s="52" t="s">
        <v>46</v>
      </c>
      <c r="C38" s="11">
        <v>2327.63</v>
      </c>
      <c r="D38" s="11">
        <v>6659.98</v>
      </c>
      <c r="E38" s="11">
        <v>10118.58</v>
      </c>
      <c r="F38" s="11">
        <v>99570.71</v>
      </c>
      <c r="G38" s="11">
        <v>3544.18</v>
      </c>
    </row>
    <row r="39" spans="2:7" x14ac:dyDescent="0.25">
      <c r="B39" s="52" t="s">
        <v>47</v>
      </c>
      <c r="C39">
        <v>-100.07</v>
      </c>
      <c r="D39" s="11">
        <v>-185465.38</v>
      </c>
      <c r="E39" s="11">
        <v>-3181.19</v>
      </c>
      <c r="F39">
        <v>-983.9</v>
      </c>
      <c r="G39" s="11">
        <v>-123.64</v>
      </c>
    </row>
    <row r="40" spans="2:7" x14ac:dyDescent="0.25">
      <c r="B40" s="52" t="s">
        <v>48</v>
      </c>
      <c r="C40" s="53">
        <v>2227.56</v>
      </c>
      <c r="D40" s="53">
        <v>-178805.4</v>
      </c>
      <c r="E40" s="53">
        <v>6937.39</v>
      </c>
      <c r="F40" s="53">
        <v>98586.81</v>
      </c>
      <c r="G40" s="25">
        <v>3420.54</v>
      </c>
    </row>
    <row r="41" spans="2:7" x14ac:dyDescent="0.25">
      <c r="B41" s="52" t="s">
        <v>49</v>
      </c>
      <c r="C41" s="11">
        <v>-67141.91</v>
      </c>
      <c r="D41" s="11">
        <v>-60586.62</v>
      </c>
      <c r="E41" s="11">
        <v>-68192.009999999995</v>
      </c>
      <c r="F41" s="11">
        <v>-69266.009999999995</v>
      </c>
      <c r="G41" s="11">
        <v>-71644.160000000003</v>
      </c>
    </row>
    <row r="42" spans="2:7" x14ac:dyDescent="0.25">
      <c r="B42" s="52" t="s">
        <v>50</v>
      </c>
      <c r="C42" s="53">
        <v>-484791.97</v>
      </c>
      <c r="D42" s="53">
        <v>-529198.56000000006</v>
      </c>
      <c r="E42" s="53">
        <v>-154745.93</v>
      </c>
      <c r="F42" s="53">
        <v>-94486.76</v>
      </c>
      <c r="G42" s="53">
        <v>782393.81</v>
      </c>
    </row>
    <row r="43" spans="2:7" x14ac:dyDescent="0.25">
      <c r="B43" s="52" t="s">
        <v>51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2:7" x14ac:dyDescent="0.25">
      <c r="B44" s="52" t="s">
        <v>52</v>
      </c>
      <c r="C44" s="11">
        <v>-484791.97</v>
      </c>
      <c r="D44" s="11">
        <v>-529198.56000000006</v>
      </c>
      <c r="E44" s="11">
        <v>-154745.93</v>
      </c>
      <c r="F44" s="11">
        <v>-94486.76</v>
      </c>
      <c r="G44" s="1">
        <v>782393.81</v>
      </c>
    </row>
    <row r="45" spans="2:7" x14ac:dyDescent="0.25">
      <c r="B45" s="52" t="s">
        <v>53</v>
      </c>
      <c r="C45" s="54">
        <f>C44</f>
        <v>-484791.97</v>
      </c>
      <c r="D45" s="54">
        <f>C45+D44</f>
        <v>-1013990.53</v>
      </c>
      <c r="E45" s="54">
        <f t="shared" ref="E45:G45" si="1">D45+E44</f>
        <v>-1168736.46</v>
      </c>
      <c r="F45" s="54">
        <f t="shared" si="1"/>
        <v>-1263223.22</v>
      </c>
      <c r="G45" s="54">
        <f t="shared" si="1"/>
        <v>-480829.40999999992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B5784-4470-4072-BC52-121AC3DDB836}">
  <dimension ref="A3:N52"/>
  <sheetViews>
    <sheetView topLeftCell="A4" workbookViewId="0">
      <selection activeCell="F8" sqref="F8"/>
    </sheetView>
  </sheetViews>
  <sheetFormatPr baseColWidth="10" defaultRowHeight="15" x14ac:dyDescent="0.25"/>
  <cols>
    <col min="1" max="1" width="16.5703125" bestFit="1" customWidth="1"/>
    <col min="2" max="13" width="12.7109375" customWidth="1"/>
    <col min="14" max="14" width="12.5703125" bestFit="1" customWidth="1"/>
    <col min="15" max="15" width="29.42578125" bestFit="1" customWidth="1"/>
    <col min="16" max="16" width="18.7109375" bestFit="1" customWidth="1"/>
    <col min="17" max="17" width="29.42578125" bestFit="1" customWidth="1"/>
    <col min="18" max="18" width="18.7109375" bestFit="1" customWidth="1"/>
    <col min="19" max="19" width="29.42578125" bestFit="1" customWidth="1"/>
    <col min="20" max="20" width="18.7109375" bestFit="1" customWidth="1"/>
    <col min="21" max="21" width="29.42578125" bestFit="1" customWidth="1"/>
    <col min="22" max="22" width="18.7109375" bestFit="1" customWidth="1"/>
    <col min="23" max="23" width="29.42578125" bestFit="1" customWidth="1"/>
    <col min="24" max="24" width="18.7109375" bestFit="1" customWidth="1"/>
    <col min="25" max="25" width="29.42578125" bestFit="1" customWidth="1"/>
    <col min="26" max="26" width="23.7109375" bestFit="1" customWidth="1"/>
    <col min="27" max="27" width="34.42578125" bestFit="1" customWidth="1"/>
  </cols>
  <sheetData>
    <row r="3" spans="1:14" x14ac:dyDescent="0.25">
      <c r="A3" s="46" t="s">
        <v>149</v>
      </c>
      <c r="B3" s="46" t="s">
        <v>150</v>
      </c>
    </row>
    <row r="4" spans="1:14" x14ac:dyDescent="0.25">
      <c r="B4" t="s">
        <v>136</v>
      </c>
      <c r="C4" t="s">
        <v>137</v>
      </c>
      <c r="D4" t="s">
        <v>138</v>
      </c>
      <c r="E4" t="s">
        <v>139</v>
      </c>
      <c r="F4" t="s">
        <v>140</v>
      </c>
      <c r="G4" t="s">
        <v>141</v>
      </c>
      <c r="H4" t="s">
        <v>142</v>
      </c>
      <c r="I4" t="s">
        <v>144</v>
      </c>
      <c r="J4" t="s">
        <v>145</v>
      </c>
      <c r="K4" t="s">
        <v>146</v>
      </c>
      <c r="L4" t="s">
        <v>147</v>
      </c>
      <c r="M4" t="s">
        <v>148</v>
      </c>
      <c r="N4" t="s">
        <v>132</v>
      </c>
    </row>
    <row r="6" spans="1:14" x14ac:dyDescent="0.25">
      <c r="A6" s="46" t="s">
        <v>150</v>
      </c>
    </row>
    <row r="7" spans="1:14" x14ac:dyDescent="0.25">
      <c r="A7" s="48" t="s">
        <v>128</v>
      </c>
      <c r="B7" s="11">
        <v>19110.490000000002</v>
      </c>
      <c r="C7" s="11">
        <v>33824.11</v>
      </c>
      <c r="D7" s="11">
        <v>85941.41</v>
      </c>
      <c r="E7" s="11">
        <v>198620.54</v>
      </c>
      <c r="F7" s="11">
        <v>631938.27</v>
      </c>
      <c r="G7" s="11"/>
      <c r="H7" s="11"/>
      <c r="I7" s="11"/>
      <c r="J7" s="11"/>
      <c r="K7" s="11"/>
      <c r="L7" s="11"/>
      <c r="M7" s="11"/>
      <c r="N7" s="11">
        <v>969434.82000000007</v>
      </c>
    </row>
    <row r="8" spans="1:14" x14ac:dyDescent="0.25">
      <c r="A8" s="48" t="s">
        <v>127</v>
      </c>
      <c r="B8" s="11">
        <v>289300.57</v>
      </c>
      <c r="C8" s="11">
        <v>522944.53</v>
      </c>
      <c r="D8" s="11">
        <v>693442.52</v>
      </c>
      <c r="E8" s="11">
        <v>532165.29</v>
      </c>
      <c r="F8" s="11">
        <v>1373718.07</v>
      </c>
      <c r="G8" s="11"/>
      <c r="H8" s="11"/>
      <c r="I8" s="11"/>
      <c r="J8" s="11"/>
      <c r="K8" s="11"/>
      <c r="L8" s="11"/>
      <c r="M8" s="11"/>
      <c r="N8" s="11">
        <v>3411570.9800000004</v>
      </c>
    </row>
    <row r="9" spans="1:14" x14ac:dyDescent="0.25">
      <c r="A9" s="48" t="s">
        <v>129</v>
      </c>
      <c r="B9" s="11">
        <v>954</v>
      </c>
      <c r="C9" s="11">
        <v>41743.47</v>
      </c>
      <c r="D9" s="11">
        <v>60009.55</v>
      </c>
      <c r="E9" s="11">
        <v>123646.15</v>
      </c>
      <c r="F9" s="11">
        <v>170315.51999999999</v>
      </c>
      <c r="G9" s="11"/>
      <c r="H9" s="11"/>
      <c r="I9" s="11"/>
      <c r="J9" s="11"/>
      <c r="K9" s="11"/>
      <c r="L9" s="11"/>
      <c r="M9" s="11"/>
      <c r="N9" s="11">
        <v>396668.68999999994</v>
      </c>
    </row>
    <row r="10" spans="1:14" x14ac:dyDescent="0.25">
      <c r="A10" s="48" t="s">
        <v>65</v>
      </c>
      <c r="B10" s="11">
        <v>43471.95</v>
      </c>
      <c r="C10" s="11">
        <v>99398.31</v>
      </c>
      <c r="D10" s="11">
        <v>111070.19</v>
      </c>
      <c r="E10" s="11">
        <v>71050.740000000005</v>
      </c>
      <c r="F10" s="11">
        <v>88333.2</v>
      </c>
      <c r="G10" s="11"/>
      <c r="H10" s="11"/>
      <c r="I10" s="11"/>
      <c r="J10" s="11"/>
      <c r="K10" s="11"/>
      <c r="L10" s="11"/>
      <c r="M10" s="11"/>
      <c r="N10" s="11">
        <v>413324.39</v>
      </c>
    </row>
    <row r="11" spans="1:14" x14ac:dyDescent="0.25">
      <c r="A11" s="48" t="s">
        <v>85</v>
      </c>
      <c r="B11" s="11">
        <v>542068.8308</v>
      </c>
      <c r="C11" s="11">
        <v>494245.22279999999</v>
      </c>
      <c r="D11" s="11">
        <v>535792.81279999996</v>
      </c>
      <c r="E11" s="11">
        <v>564028.64140000008</v>
      </c>
      <c r="F11" s="11">
        <v>538287.87319999991</v>
      </c>
      <c r="G11" s="11"/>
      <c r="H11" s="11"/>
      <c r="I11" s="11"/>
      <c r="J11" s="11"/>
      <c r="K11" s="11"/>
      <c r="L11" s="11"/>
      <c r="M11" s="11"/>
      <c r="N11" s="11">
        <v>2674423.3809999996</v>
      </c>
    </row>
    <row r="12" spans="1:14" x14ac:dyDescent="0.25">
      <c r="A12" s="48" t="s">
        <v>126</v>
      </c>
      <c r="B12" s="11">
        <v>391662.49</v>
      </c>
      <c r="C12" s="11">
        <v>455968.83</v>
      </c>
      <c r="D12" s="11">
        <v>585819</v>
      </c>
      <c r="E12" s="11">
        <v>575602.5199999999</v>
      </c>
      <c r="F12" s="11">
        <v>644712.49</v>
      </c>
      <c r="G12" s="11"/>
      <c r="H12" s="11"/>
      <c r="I12" s="11"/>
      <c r="J12" s="11"/>
      <c r="K12" s="11"/>
      <c r="L12" s="11"/>
      <c r="M12" s="11"/>
      <c r="N12" s="11">
        <v>2653765.33</v>
      </c>
    </row>
    <row r="13" spans="1:14" x14ac:dyDescent="0.25">
      <c r="A13" s="47" t="s">
        <v>132</v>
      </c>
      <c r="B13" s="11">
        <v>1286568.3308000001</v>
      </c>
      <c r="C13" s="11">
        <v>1648124.4728000001</v>
      </c>
      <c r="D13" s="11">
        <v>2072075.4828000001</v>
      </c>
      <c r="E13" s="11">
        <v>2065113.8814000003</v>
      </c>
      <c r="F13" s="11">
        <v>3447305.4232000001</v>
      </c>
      <c r="G13" s="11"/>
      <c r="H13" s="11"/>
      <c r="I13" s="11"/>
      <c r="J13" s="11"/>
      <c r="K13" s="11"/>
      <c r="L13" s="11"/>
      <c r="M13" s="11"/>
      <c r="N13" s="11">
        <v>10519187.591</v>
      </c>
    </row>
    <row r="16" spans="1:14" x14ac:dyDescent="0.25">
      <c r="A16" s="46" t="s">
        <v>151</v>
      </c>
      <c r="B16" s="46" t="s">
        <v>150</v>
      </c>
    </row>
    <row r="17" spans="1:14" x14ac:dyDescent="0.25">
      <c r="B17" t="s">
        <v>136</v>
      </c>
      <c r="C17" t="s">
        <v>137</v>
      </c>
      <c r="D17" t="s">
        <v>138</v>
      </c>
      <c r="E17" t="s">
        <v>139</v>
      </c>
      <c r="F17" t="s">
        <v>140</v>
      </c>
      <c r="G17" t="s">
        <v>141</v>
      </c>
      <c r="H17" t="s">
        <v>142</v>
      </c>
      <c r="I17" t="s">
        <v>144</v>
      </c>
      <c r="J17" t="s">
        <v>145</v>
      </c>
      <c r="K17" t="s">
        <v>146</v>
      </c>
      <c r="L17" t="s">
        <v>147</v>
      </c>
      <c r="M17" t="s">
        <v>148</v>
      </c>
      <c r="N17" t="s">
        <v>132</v>
      </c>
    </row>
    <row r="19" spans="1:14" x14ac:dyDescent="0.25">
      <c r="A19" s="46" t="s">
        <v>150</v>
      </c>
    </row>
    <row r="20" spans="1:14" x14ac:dyDescent="0.25">
      <c r="A20" s="48" t="s">
        <v>128</v>
      </c>
      <c r="B20" s="11">
        <v>-95345.0239</v>
      </c>
      <c r="C20" s="11">
        <v>-95338.331919999982</v>
      </c>
      <c r="D20" s="11">
        <v>-102878.15307999999</v>
      </c>
      <c r="E20" s="11">
        <v>-109333.28668</v>
      </c>
      <c r="F20" s="11">
        <v>-98180.598899999997</v>
      </c>
      <c r="G20" s="11"/>
      <c r="H20" s="11"/>
      <c r="I20" s="11"/>
      <c r="J20" s="11"/>
      <c r="K20" s="11"/>
      <c r="L20" s="11"/>
      <c r="M20" s="11"/>
      <c r="N20" s="11">
        <v>-501075.39448000002</v>
      </c>
    </row>
    <row r="21" spans="1:14" x14ac:dyDescent="0.25">
      <c r="A21" s="48" t="s">
        <v>127</v>
      </c>
      <c r="B21" s="11">
        <v>-257884.99169999998</v>
      </c>
      <c r="C21" s="11">
        <v>-251854.15575999999</v>
      </c>
      <c r="D21" s="11">
        <v>-276572.96924000001</v>
      </c>
      <c r="E21" s="11">
        <v>-292045.78003999998</v>
      </c>
      <c r="F21" s="11">
        <v>-254133.08669999999</v>
      </c>
      <c r="G21" s="11"/>
      <c r="H21" s="11"/>
      <c r="I21" s="11"/>
      <c r="J21" s="11"/>
      <c r="K21" s="11"/>
      <c r="L21" s="11"/>
      <c r="M21" s="11"/>
      <c r="N21" s="11">
        <v>-1332490.9834400001</v>
      </c>
    </row>
    <row r="22" spans="1:14" x14ac:dyDescent="0.25">
      <c r="A22" s="48" t="s">
        <v>129</v>
      </c>
      <c r="B22" s="11">
        <v>-54665.142339999999</v>
      </c>
      <c r="C22" s="11">
        <v>-56926.123152</v>
      </c>
      <c r="D22" s="11">
        <v>-61874.627847999989</v>
      </c>
      <c r="E22" s="11">
        <v>-68427.614008000004</v>
      </c>
      <c r="F22" s="11">
        <v>-58432.195339999991</v>
      </c>
      <c r="G22" s="11"/>
      <c r="H22" s="11"/>
      <c r="I22" s="11"/>
      <c r="J22" s="11"/>
      <c r="K22" s="11"/>
      <c r="L22" s="11"/>
      <c r="M22" s="11"/>
      <c r="N22" s="11">
        <v>-300325.70268799999</v>
      </c>
    </row>
    <row r="23" spans="1:14" x14ac:dyDescent="0.25">
      <c r="A23" s="48" t="s">
        <v>65</v>
      </c>
      <c r="B23" s="11">
        <v>-5216.6339999999991</v>
      </c>
      <c r="C23" s="11">
        <v>-11927.797199999999</v>
      </c>
      <c r="D23" s="11">
        <v>-13328.4228</v>
      </c>
      <c r="E23" s="11">
        <v>-8526.0887999999995</v>
      </c>
      <c r="F23" s="11">
        <v>-22706.833999999999</v>
      </c>
      <c r="G23" s="11"/>
      <c r="H23" s="11"/>
      <c r="I23" s="11"/>
      <c r="J23" s="11"/>
      <c r="K23" s="11"/>
      <c r="L23" s="11"/>
      <c r="M23" s="11"/>
      <c r="N23" s="11">
        <v>-61705.776799999992</v>
      </c>
    </row>
    <row r="24" spans="1:14" x14ac:dyDescent="0.25">
      <c r="A24" s="48" t="s">
        <v>85</v>
      </c>
      <c r="B24" s="11">
        <v>-218967.76806000003</v>
      </c>
      <c r="C24" s="11">
        <v>-222120.71196800002</v>
      </c>
      <c r="D24" s="11">
        <v>-272769.35703199997</v>
      </c>
      <c r="E24" s="11">
        <v>-255237.31047199998</v>
      </c>
      <c r="F24" s="11">
        <v>-220142.76505999998</v>
      </c>
      <c r="G24" s="11"/>
      <c r="H24" s="11"/>
      <c r="I24" s="11"/>
      <c r="J24" s="11"/>
      <c r="K24" s="11"/>
      <c r="L24" s="11"/>
      <c r="M24" s="11"/>
      <c r="N24" s="11">
        <v>-1189237.9125919999</v>
      </c>
    </row>
    <row r="25" spans="1:14" x14ac:dyDescent="0.25">
      <c r="A25" s="48" t="s">
        <v>126</v>
      </c>
      <c r="B25" s="11">
        <v>-330298.94</v>
      </c>
      <c r="C25" s="11">
        <v>-336169.62000000005</v>
      </c>
      <c r="D25" s="11">
        <v>-328499.09999999998</v>
      </c>
      <c r="E25" s="11">
        <v>-342214.36000000004</v>
      </c>
      <c r="F25" s="11">
        <v>-329435.84999999998</v>
      </c>
      <c r="G25" s="11"/>
      <c r="H25" s="11"/>
      <c r="I25" s="11"/>
      <c r="J25" s="11"/>
      <c r="K25" s="11"/>
      <c r="L25" s="11"/>
      <c r="M25" s="11"/>
      <c r="N25" s="11">
        <v>-1666617.87</v>
      </c>
    </row>
    <row r="26" spans="1:14" x14ac:dyDescent="0.25">
      <c r="A26" s="47" t="s">
        <v>132</v>
      </c>
      <c r="B26" s="11">
        <v>-962378.5</v>
      </c>
      <c r="C26" s="11">
        <v>-974336.74</v>
      </c>
      <c r="D26" s="11">
        <v>-1055922.6299999999</v>
      </c>
      <c r="E26" s="11">
        <v>-1075784.4400000002</v>
      </c>
      <c r="F26" s="11">
        <v>-983031.32999999984</v>
      </c>
      <c r="G26" s="11"/>
      <c r="H26" s="11"/>
      <c r="I26" s="11"/>
      <c r="J26" s="11"/>
      <c r="K26" s="11"/>
      <c r="L26" s="11"/>
      <c r="M26" s="11"/>
      <c r="N26" s="11">
        <v>-5051453.6400000006</v>
      </c>
    </row>
    <row r="29" spans="1:14" x14ac:dyDescent="0.25">
      <c r="A29" s="46" t="s">
        <v>152</v>
      </c>
      <c r="B29" s="46" t="s">
        <v>150</v>
      </c>
    </row>
    <row r="30" spans="1:14" x14ac:dyDescent="0.25">
      <c r="B30" t="s">
        <v>136</v>
      </c>
      <c r="C30" t="s">
        <v>137</v>
      </c>
      <c r="D30" t="s">
        <v>138</v>
      </c>
      <c r="E30" t="s">
        <v>139</v>
      </c>
      <c r="F30" t="s">
        <v>140</v>
      </c>
      <c r="G30" t="s">
        <v>141</v>
      </c>
      <c r="H30" t="s">
        <v>142</v>
      </c>
      <c r="I30" t="s">
        <v>144</v>
      </c>
      <c r="J30" t="s">
        <v>145</v>
      </c>
      <c r="K30" t="s">
        <v>146</v>
      </c>
      <c r="L30" t="s">
        <v>147</v>
      </c>
      <c r="M30" t="s">
        <v>148</v>
      </c>
      <c r="N30" t="s">
        <v>132</v>
      </c>
    </row>
    <row r="32" spans="1:14" x14ac:dyDescent="0.25">
      <c r="A32" s="46" t="s">
        <v>150</v>
      </c>
    </row>
    <row r="33" spans="1:14" x14ac:dyDescent="0.25">
      <c r="A33" s="48" t="s">
        <v>128</v>
      </c>
      <c r="B33" s="11">
        <v>-42165.9033414</v>
      </c>
      <c r="C33" s="11">
        <v>-66210.235977399992</v>
      </c>
      <c r="D33" s="11">
        <v>-88198.410297400012</v>
      </c>
      <c r="E33" s="11">
        <v>-68452.174541200002</v>
      </c>
      <c r="F33" s="11">
        <v>-114628.35976560002</v>
      </c>
      <c r="G33" s="11"/>
      <c r="H33" s="11"/>
      <c r="I33" s="11"/>
      <c r="J33" s="11"/>
      <c r="K33" s="11"/>
      <c r="L33" s="11"/>
      <c r="M33" s="11"/>
      <c r="N33" s="11">
        <v>-379655.08392300003</v>
      </c>
    </row>
    <row r="34" spans="1:14" x14ac:dyDescent="0.25">
      <c r="A34" s="48" t="s">
        <v>127</v>
      </c>
      <c r="B34" s="11">
        <v>-117198.31451520001</v>
      </c>
      <c r="C34" s="11">
        <v>-184843.44576319997</v>
      </c>
      <c r="D34" s="11">
        <v>-244031.04952320002</v>
      </c>
      <c r="E34" s="11">
        <v>-189805.56220160003</v>
      </c>
      <c r="F34" s="11">
        <v>-314862.38326080004</v>
      </c>
      <c r="G34" s="11"/>
      <c r="H34" s="11"/>
      <c r="I34" s="11"/>
      <c r="J34" s="11"/>
      <c r="K34" s="11"/>
      <c r="L34" s="11"/>
      <c r="M34" s="11"/>
      <c r="N34" s="11">
        <v>-1050740.755264</v>
      </c>
    </row>
    <row r="35" spans="1:14" x14ac:dyDescent="0.25">
      <c r="A35" s="48" t="s">
        <v>129</v>
      </c>
      <c r="B35" s="11">
        <v>-32447.052323399999</v>
      </c>
      <c r="C35" s="11">
        <v>-43889.411639399994</v>
      </c>
      <c r="D35" s="11">
        <v>-51948.887559400006</v>
      </c>
      <c r="E35" s="11">
        <v>-54128.731697200004</v>
      </c>
      <c r="F35" s="11">
        <v>-64290.937693600004</v>
      </c>
      <c r="G35" s="11"/>
      <c r="H35" s="11"/>
      <c r="I35" s="11"/>
      <c r="J35" s="11"/>
      <c r="K35" s="11"/>
      <c r="L35" s="11"/>
      <c r="M35" s="11"/>
      <c r="N35" s="11">
        <v>-246705.02091299999</v>
      </c>
    </row>
    <row r="36" spans="1:14" x14ac:dyDescent="0.25">
      <c r="A36" s="48" t="s">
        <v>65</v>
      </c>
      <c r="B36" s="11">
        <v>-10867.987499999999</v>
      </c>
      <c r="C36" s="11">
        <v>-24849.577499999999</v>
      </c>
      <c r="D36" s="11">
        <v>-27767.547500000001</v>
      </c>
      <c r="E36" s="11">
        <v>-20086.635000000002</v>
      </c>
      <c r="F36" s="11">
        <v>-24308.35</v>
      </c>
      <c r="G36" s="11"/>
      <c r="H36" s="11"/>
      <c r="I36" s="11"/>
      <c r="J36" s="11"/>
      <c r="K36" s="11"/>
      <c r="L36" s="11"/>
      <c r="M36" s="11"/>
      <c r="N36" s="11">
        <v>-107880.0975</v>
      </c>
    </row>
    <row r="37" spans="1:14" x14ac:dyDescent="0.25">
      <c r="A37" s="48" t="s">
        <v>85</v>
      </c>
      <c r="B37" s="11">
        <v>-216827.53232</v>
      </c>
      <c r="C37" s="11">
        <v>-197698.08912000002</v>
      </c>
      <c r="D37" s="11">
        <v>-214317.12511999998</v>
      </c>
      <c r="E37" s="11">
        <v>-225611.45656000005</v>
      </c>
      <c r="F37" s="11">
        <v>-215315.14927999998</v>
      </c>
      <c r="G37" s="11"/>
      <c r="H37" s="11"/>
      <c r="I37" s="11"/>
      <c r="J37" s="11"/>
      <c r="K37" s="11"/>
      <c r="L37" s="11"/>
      <c r="M37" s="11"/>
      <c r="N37" s="11">
        <v>-1069769.3524</v>
      </c>
    </row>
    <row r="38" spans="1:14" x14ac:dyDescent="0.25">
      <c r="A38" s="48" t="s">
        <v>126</v>
      </c>
      <c r="B38" s="11">
        <v>-120748.20551299999</v>
      </c>
      <c r="C38" s="11">
        <v>-145209.87277099999</v>
      </c>
      <c r="D38" s="11">
        <v>-182349.72</v>
      </c>
      <c r="E38" s="11">
        <v>-199531.52999999997</v>
      </c>
      <c r="F38" s="11">
        <v>-211945.31000000003</v>
      </c>
      <c r="G38" s="11"/>
      <c r="H38" s="11"/>
      <c r="I38" s="11"/>
      <c r="J38" s="11"/>
      <c r="K38" s="11"/>
      <c r="L38" s="11"/>
      <c r="M38" s="11"/>
      <c r="N38" s="11">
        <v>-859784.6382840001</v>
      </c>
    </row>
    <row r="39" spans="1:14" x14ac:dyDescent="0.25">
      <c r="A39" s="47" t="s">
        <v>132</v>
      </c>
      <c r="B39" s="11">
        <v>-540254.99551299994</v>
      </c>
      <c r="C39" s="11">
        <v>-662700.63277100003</v>
      </c>
      <c r="D39" s="11">
        <v>-808612.74</v>
      </c>
      <c r="E39" s="11">
        <v>-757616.09000000008</v>
      </c>
      <c r="F39" s="11">
        <v>-945350.49000000011</v>
      </c>
      <c r="G39" s="11"/>
      <c r="H39" s="11"/>
      <c r="I39" s="11"/>
      <c r="J39" s="11"/>
      <c r="K39" s="11"/>
      <c r="L39" s="11"/>
      <c r="M39" s="11"/>
      <c r="N39" s="11">
        <v>-3714534.9482839997</v>
      </c>
    </row>
    <row r="42" spans="1:14" x14ac:dyDescent="0.25">
      <c r="A42" s="46" t="s">
        <v>153</v>
      </c>
      <c r="B42" s="46" t="s">
        <v>150</v>
      </c>
    </row>
    <row r="43" spans="1:14" x14ac:dyDescent="0.25">
      <c r="B43" t="s">
        <v>136</v>
      </c>
      <c r="C43" t="s">
        <v>137</v>
      </c>
      <c r="D43" t="s">
        <v>138</v>
      </c>
      <c r="E43" t="s">
        <v>139</v>
      </c>
      <c r="F43" t="s">
        <v>140</v>
      </c>
      <c r="G43" t="s">
        <v>141</v>
      </c>
      <c r="H43" t="s">
        <v>142</v>
      </c>
      <c r="I43" t="s">
        <v>144</v>
      </c>
      <c r="J43" t="s">
        <v>145</v>
      </c>
      <c r="K43" t="s">
        <v>146</v>
      </c>
      <c r="L43" t="s">
        <v>147</v>
      </c>
      <c r="M43" t="s">
        <v>148</v>
      </c>
      <c r="N43" t="s">
        <v>132</v>
      </c>
    </row>
    <row r="45" spans="1:14" x14ac:dyDescent="0.25">
      <c r="A45" s="46" t="s">
        <v>150</v>
      </c>
    </row>
    <row r="46" spans="1:14" x14ac:dyDescent="0.25">
      <c r="A46" s="48" t="s">
        <v>128</v>
      </c>
      <c r="B46" s="11">
        <v>-39894.717199999999</v>
      </c>
      <c r="C46" s="11">
        <v>-40214.403400000003</v>
      </c>
      <c r="D46" s="11">
        <v>-48865.855200000005</v>
      </c>
      <c r="E46" s="11">
        <v>-61316.992200000008</v>
      </c>
      <c r="F46" s="11">
        <v>-79233.247000000003</v>
      </c>
      <c r="G46" s="11"/>
      <c r="H46" s="11"/>
      <c r="I46" s="11"/>
      <c r="J46" s="11"/>
      <c r="K46" s="11"/>
      <c r="L46" s="11"/>
      <c r="M46" s="11"/>
      <c r="N46" s="11">
        <v>-269525.21499999997</v>
      </c>
    </row>
    <row r="47" spans="1:14" x14ac:dyDescent="0.25">
      <c r="A47" s="48" t="s">
        <v>127</v>
      </c>
      <c r="B47" s="11">
        <v>-66031.821199999991</v>
      </c>
      <c r="C47" s="11">
        <v>-95753.586400000015</v>
      </c>
      <c r="D47" s="11">
        <v>-145195.96919999999</v>
      </c>
      <c r="E47" s="11">
        <v>-157750.76120000001</v>
      </c>
      <c r="F47" s="11">
        <v>-231232.40199999997</v>
      </c>
      <c r="G47" s="11"/>
      <c r="H47" s="11"/>
      <c r="I47" s="11"/>
      <c r="J47" s="11"/>
      <c r="K47" s="11"/>
      <c r="L47" s="11"/>
      <c r="M47" s="11"/>
      <c r="N47" s="11">
        <v>-695964.53999999992</v>
      </c>
    </row>
    <row r="48" spans="1:14" x14ac:dyDescent="0.25">
      <c r="A48" s="48" t="s">
        <v>129</v>
      </c>
      <c r="B48" s="11">
        <v>-18610.988400000002</v>
      </c>
      <c r="C48" s="11">
        <v>-21551.344799999999</v>
      </c>
      <c r="D48" s="11">
        <v>-25053.514399999996</v>
      </c>
      <c r="E48" s="11">
        <v>-56358.948400000001</v>
      </c>
      <c r="F48" s="11">
        <v>-30708.153999999999</v>
      </c>
      <c r="G48" s="11"/>
      <c r="H48" s="11"/>
      <c r="I48" s="11"/>
      <c r="J48" s="11"/>
      <c r="K48" s="11"/>
      <c r="L48" s="11"/>
      <c r="M48" s="11"/>
      <c r="N48" s="11">
        <v>-152282.95000000001</v>
      </c>
    </row>
    <row r="49" spans="1:14" x14ac:dyDescent="0.25">
      <c r="A49" s="48" t="s">
        <v>65</v>
      </c>
      <c r="B49" s="11">
        <v>-10146.449200000001</v>
      </c>
      <c r="C49" s="11">
        <v>-24001.292400000002</v>
      </c>
      <c r="D49" s="11">
        <v>-21560.707200000001</v>
      </c>
      <c r="E49" s="11">
        <v>-13635.659200000002</v>
      </c>
      <c r="F49" s="11">
        <v>-27216.882000000001</v>
      </c>
      <c r="G49" s="11"/>
      <c r="H49" s="11"/>
      <c r="I49" s="11"/>
      <c r="J49" s="11"/>
      <c r="K49" s="11"/>
      <c r="L49" s="11"/>
      <c r="M49" s="11"/>
      <c r="N49" s="11">
        <v>-96560.99</v>
      </c>
    </row>
    <row r="50" spans="1:14" x14ac:dyDescent="0.25">
      <c r="A50" s="48" t="s">
        <v>85</v>
      </c>
      <c r="B50" s="11">
        <v>-35673.464000000007</v>
      </c>
      <c r="C50" s="11">
        <v>-33344.762999999999</v>
      </c>
      <c r="D50" s="11">
        <v>-41166.504000000001</v>
      </c>
      <c r="E50" s="11">
        <v>-50269.589</v>
      </c>
      <c r="F50" s="11">
        <v>-51160.014999999999</v>
      </c>
      <c r="G50" s="11"/>
      <c r="H50" s="11"/>
      <c r="I50" s="11"/>
      <c r="J50" s="11"/>
      <c r="K50" s="11"/>
      <c r="L50" s="11"/>
      <c r="M50" s="11"/>
      <c r="N50" s="11">
        <v>-211614.33500000002</v>
      </c>
    </row>
    <row r="51" spans="1:14" x14ac:dyDescent="0.25">
      <c r="A51" s="48" t="s">
        <v>126</v>
      </c>
      <c r="B51" s="11">
        <v>-80092.549999999988</v>
      </c>
      <c r="C51" s="11">
        <v>-84351.679999999993</v>
      </c>
      <c r="D51" s="11">
        <v>-101281.02999999998</v>
      </c>
      <c r="E51" s="11">
        <v>-109397.73999999999</v>
      </c>
      <c r="F51" s="11">
        <v>-102299.90999999999</v>
      </c>
      <c r="G51" s="11"/>
      <c r="H51" s="11"/>
      <c r="I51" s="11"/>
      <c r="J51" s="11"/>
      <c r="K51" s="11"/>
      <c r="L51" s="11"/>
      <c r="M51" s="11"/>
      <c r="N51" s="11">
        <v>-477422.90999999992</v>
      </c>
    </row>
    <row r="52" spans="1:14" x14ac:dyDescent="0.25">
      <c r="A52" s="47" t="s">
        <v>132</v>
      </c>
      <c r="B52" s="11">
        <v>-250449.99</v>
      </c>
      <c r="C52" s="11">
        <v>-299217.07</v>
      </c>
      <c r="D52" s="11">
        <v>-383123.57999999996</v>
      </c>
      <c r="E52" s="11">
        <v>-448729.69</v>
      </c>
      <c r="F52" s="11">
        <v>-521850.60999999993</v>
      </c>
      <c r="G52" s="11"/>
      <c r="H52" s="11"/>
      <c r="I52" s="11"/>
      <c r="J52" s="11"/>
      <c r="K52" s="11"/>
      <c r="L52" s="11"/>
      <c r="M52" s="11"/>
      <c r="N52" s="11">
        <v>-1903370.9399999997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FBCE5-EF6D-45F0-AD5C-888ABD873428}">
  <dimension ref="B2:H74"/>
  <sheetViews>
    <sheetView topLeftCell="A2" workbookViewId="0">
      <selection activeCell="J8" sqref="J8"/>
    </sheetView>
  </sheetViews>
  <sheetFormatPr baseColWidth="10" defaultRowHeight="15" x14ac:dyDescent="0.25"/>
  <cols>
    <col min="2" max="2" width="14.7109375" customWidth="1"/>
    <col min="3" max="3" width="11.7109375" bestFit="1" customWidth="1"/>
    <col min="4" max="4" width="20.28515625" customWidth="1"/>
    <col min="5" max="5" width="18.28515625" customWidth="1"/>
    <col min="6" max="6" width="23" customWidth="1"/>
    <col min="7" max="7" width="25.7109375" customWidth="1"/>
    <col min="8" max="8" width="14.7109375" customWidth="1"/>
  </cols>
  <sheetData>
    <row r="2" spans="2:8" s="42" customFormat="1" ht="96.75" x14ac:dyDescent="0.25">
      <c r="B2" s="43" t="s">
        <v>124</v>
      </c>
      <c r="C2" s="43" t="s">
        <v>125</v>
      </c>
      <c r="D2" s="43" t="s">
        <v>130</v>
      </c>
      <c r="E2" s="43" t="s">
        <v>21</v>
      </c>
      <c r="F2" s="43" t="s">
        <v>27</v>
      </c>
      <c r="G2" s="43" t="s">
        <v>40</v>
      </c>
      <c r="H2" s="43" t="s">
        <v>42</v>
      </c>
    </row>
    <row r="3" spans="2:8" x14ac:dyDescent="0.25">
      <c r="B3" t="s">
        <v>126</v>
      </c>
      <c r="C3" s="44">
        <f>DATE(2025,1+INT((ROW(A1)-1)/6),1)</f>
        <v>45658</v>
      </c>
      <c r="D3" s="45" cm="1">
        <f t="array" aca="1" ref="D3" ca="1">INDEX(INDIRECT("'"&amp;$B3&amp;"_05'!$B$6:$M$6"),1,MONTH($C3))</f>
        <v>0</v>
      </c>
      <c r="E3" s="45" cm="1">
        <f t="array" aca="1" ref="E3" ca="1">INDEX(INDIRECT("'"&amp;$B3&amp;"_05'!$B$11:$M$11"),1,MONTH($C3))</f>
        <v>-38863.39</v>
      </c>
      <c r="F3" s="45" cm="1">
        <f t="array" aca="1" ref="F3" ca="1">INDEX(INDIRECT("'"&amp;$B3&amp;"_05'!$B$17:$M$17"),1,MONTH($C3))</f>
        <v>-2000</v>
      </c>
      <c r="G3" s="45" cm="1">
        <f t="array" aca="1" ref="G3" ca="1">INDEX(INDIRECT("'"&amp;$B3&amp;"_05'!$B$30:$M$30"),1,MONTH($C3))</f>
        <v>-8766.98</v>
      </c>
      <c r="H3" s="45" cm="1">
        <f t="array" aca="1" ref="H3" ca="1">INDEX(INDIRECT("'"&amp;$B3&amp;"_05'!$B$32:$M$32"),1,MONTH($C3))</f>
        <v>0</v>
      </c>
    </row>
    <row r="4" spans="2:8" x14ac:dyDescent="0.25">
      <c r="B4" t="s">
        <v>127</v>
      </c>
      <c r="C4" s="44">
        <f t="shared" ref="C4:C67" si="0">DATE(2025,1+INT((ROW(A2)-1)/6),1)</f>
        <v>45658</v>
      </c>
      <c r="D4" s="45" cm="1">
        <f t="array" aca="1" ref="D4" ca="1">INDEX(INDIRECT("'"&amp;$B4&amp;"_05'!$B$6:$M$6"),1,MONTH($C4))</f>
        <v>289300.57</v>
      </c>
      <c r="E4" s="45" cm="1">
        <f t="array" aca="1" ref="E4" ca="1">INDEX(INDIRECT("'"&amp;$B4&amp;"_05'!$B$14:$M$14"),1,MONTH($C4))</f>
        <v>-145114.36800000002</v>
      </c>
      <c r="F4" s="45" cm="1">
        <f t="array" aca="1" ref="F4" ca="1">INDEX(INDIRECT("'"&amp;$B4&amp;"_05'!$B$24:$M$24"),1,MONTH($C4))</f>
        <v>-22116.05</v>
      </c>
      <c r="G4" s="45" cm="1">
        <f t="array" aca="1" ref="G4" ca="1">INDEX(INDIRECT("'"&amp;$B4&amp;"_05'!$B$38:$M$38"),1,MONTH($C4))</f>
        <v>-96</v>
      </c>
      <c r="H4" s="45" cm="1">
        <f t="array" aca="1" ref="H4" ca="1">INDEX(INDIRECT("'"&amp;$B4&amp;"_05'!$B$40:$M$40"),1,MONTH($C4))</f>
        <v>-5629.55</v>
      </c>
    </row>
    <row r="5" spans="2:8" x14ac:dyDescent="0.25">
      <c r="B5" t="s">
        <v>128</v>
      </c>
      <c r="C5" s="44">
        <f t="shared" si="0"/>
        <v>45658</v>
      </c>
      <c r="D5" s="45" cm="1">
        <f t="array" aca="1" ref="D5" ca="1">INDEX(INDIRECT("'"&amp;$B5&amp;"_05'!$B$6:$M$6"),1,MONTH($C5))</f>
        <v>0</v>
      </c>
      <c r="E5" s="45" cm="1">
        <f t="array" aca="1" ref="E5" ca="1">INDEX(INDIRECT("'"&amp;$B5&amp;"_05'!$B$14:$M$14"),1,MONTH($C5))</f>
        <v>-145114.36800000002</v>
      </c>
      <c r="F5" s="45" cm="1">
        <f t="array" aca="1" ref="F5" ca="1">INDEX(INDIRECT("'"&amp;$B5&amp;"_05'!$B$24:$M$24"),1,MONTH($C5))</f>
        <v>-7190.3585000000003</v>
      </c>
      <c r="G5" s="45" cm="1">
        <f t="array" aca="1" ref="G5" ca="1">INDEX(INDIRECT("'"&amp;$B5&amp;"_05'!$B$38:$M$38"),1,MONTH($C5))</f>
        <v>0</v>
      </c>
      <c r="H5" s="45" cm="1">
        <f t="array" aca="1" ref="H5" ca="1">INDEX(INDIRECT("'"&amp;$B5&amp;"_05'!$B$40:$M$40"),1,MONTH($C5))</f>
        <v>0</v>
      </c>
    </row>
    <row r="6" spans="2:8" x14ac:dyDescent="0.25">
      <c r="B6" t="s">
        <v>85</v>
      </c>
      <c r="C6" s="44">
        <f t="shared" si="0"/>
        <v>45658</v>
      </c>
      <c r="D6" s="45" cm="1">
        <f t="array" aca="1" ref="D6" ca="1">INDEX(INDIRECT("'"&amp;$B6&amp;"_05'!$B$6:$M$6"),1,MONTH($C6))</f>
        <v>542068.8308</v>
      </c>
      <c r="E6" s="45" cm="1">
        <f t="array" aca="1" ref="E6" ca="1">INDEX(INDIRECT("'"&amp;$B6&amp;"_05'!$B$11:$M$11"),1,MONTH($C6))</f>
        <v>-248909.15699999998</v>
      </c>
      <c r="F6" s="45" cm="1">
        <f t="array" aca="1" ref="F6" ca="1">INDEX(INDIRECT("'"&amp;$B6&amp;"_05'!$B$21:$M$21"),1,MONTH($C6))</f>
        <v>-10903.14</v>
      </c>
      <c r="G6" s="45" cm="1">
        <f t="array" aca="1" ref="G6" ca="1">INDEX(INDIRECT("'"&amp;$B6&amp;"_05'!$B$35:$M$35"),1,MONTH($C6))</f>
        <v>0</v>
      </c>
      <c r="H6" s="45" cm="1">
        <f t="array" aca="1" ref="H6" ca="1">INDEX(INDIRECT("'"&amp;$B6&amp;"_05'!$B$37:$M$37"),1,MONTH($C6))</f>
        <v>-35673.464000000007</v>
      </c>
    </row>
    <row r="7" spans="2:8" x14ac:dyDescent="0.25">
      <c r="B7" t="s">
        <v>129</v>
      </c>
      <c r="C7" s="44">
        <f t="shared" si="0"/>
        <v>45658</v>
      </c>
      <c r="D7" s="45" cm="1">
        <f t="array" aca="1" ref="D7" ca="1">INDEX(INDIRECT("'"&amp;$B7&amp;"_05'!$B$6:$M$6"),1,MONTH($C7))</f>
        <v>954</v>
      </c>
      <c r="E7" s="45" cm="1">
        <f t="array" aca="1" ref="E7" ca="1">INDEX(INDIRECT("'"&amp;$B7&amp;"_05'!$B$14:$M$14"),1,MONTH($C7))</f>
        <v>-6809.58</v>
      </c>
      <c r="F7" s="45" cm="1">
        <f t="array" aca="1" ref="F7" ca="1">INDEX(INDIRECT("'"&amp;$B7&amp;"_05'!$B$24:$M$24"),1,MONTH($C7))</f>
        <v>-697.57</v>
      </c>
      <c r="G7" s="45" cm="1">
        <f t="array" aca="1" ref="G7" ca="1">INDEX(INDIRECT("'"&amp;$B7&amp;"_05'!$B$38:$M$38"),1,MONTH($C7))</f>
        <v>0</v>
      </c>
      <c r="H7" s="45" cm="1">
        <f t="array" aca="1" ref="H7" ca="1">INDEX(INDIRECT("'"&amp;$B7&amp;"_05'!$B$40:$M$40"),1,MONTH($C7))</f>
        <v>0</v>
      </c>
    </row>
    <row r="8" spans="2:8" x14ac:dyDescent="0.25">
      <c r="B8" t="s">
        <v>65</v>
      </c>
      <c r="C8" s="44">
        <f t="shared" si="0"/>
        <v>45658</v>
      </c>
      <c r="D8" s="45" cm="1">
        <f t="array" aca="1" ref="D8" ca="1">INDEX(INDIRECT("'"&amp;$B8&amp;"_05'!$B$6:$M$6"),1,MONTH($C8))</f>
        <v>43471.95</v>
      </c>
      <c r="E8" s="45" cm="1">
        <f t="array" aca="1" ref="E8" ca="1">INDEX(INDIRECT("'"&amp;$B8&amp;"_05'!$B$11:$M$11"),1,MONTH($C8))</f>
        <v>-10867.987499999999</v>
      </c>
      <c r="F8" s="45" cm="1">
        <f t="array" aca="1" ref="F8" ca="1">INDEX(INDIRECT("'"&amp;$B8&amp;"_05'!$B$17:$M$17"),1,MONTH($C8))</f>
        <v>0</v>
      </c>
      <c r="G8" s="45" cm="1">
        <f t="array" aca="1" ref="G8" ca="1">INDEX(INDIRECT("'"&amp;$B8&amp;"_05'!$B$31:$M$31"),1,MONTH($C8))</f>
        <v>0</v>
      </c>
      <c r="H8" s="45" cm="1">
        <f t="array" aca="1" ref="H8" ca="1">INDEX(INDIRECT("'"&amp;$B8&amp;"_05'!$B$33:$M$33"),1,MONTH($C8))</f>
        <v>0</v>
      </c>
    </row>
    <row r="9" spans="2:8" x14ac:dyDescent="0.25">
      <c r="B9" t="s">
        <v>126</v>
      </c>
      <c r="C9" s="44">
        <f t="shared" si="0"/>
        <v>45689</v>
      </c>
      <c r="D9" s="45" cm="1">
        <f t="array" aca="1" ref="D9" ca="1">INDEX(INDIRECT("'"&amp;$B9&amp;"_05'!$B$6:$M$6"),1,MONTH($C9))</f>
        <v>0</v>
      </c>
      <c r="E9" s="45" cm="1">
        <f t="array" aca="1" ref="E9" ca="1">INDEX(INDIRECT("'"&amp;$B9&amp;"_05'!$B$11:$M$11"),1,MONTH($C9))</f>
        <v>-37571.379999999997</v>
      </c>
      <c r="F9" s="45" cm="1">
        <f t="array" aca="1" ref="F9" ca="1">INDEX(INDIRECT("'"&amp;$B9&amp;"_05'!$B$17:$M$17"),1,MONTH($C9))</f>
        <v>-21000</v>
      </c>
      <c r="G9" s="45" cm="1">
        <f t="array" aca="1" ref="G9" ca="1">INDEX(INDIRECT("'"&amp;$B9&amp;"_05'!$B$30:$M$30"),1,MONTH($C9))</f>
        <v>-16450.009999999998</v>
      </c>
      <c r="H9" s="45" cm="1">
        <f t="array" aca="1" ref="H9" ca="1">INDEX(INDIRECT("'"&amp;$B9&amp;"_05'!$B$32:$M$32"),1,MONTH($C9))</f>
        <v>0</v>
      </c>
    </row>
    <row r="10" spans="2:8" x14ac:dyDescent="0.25">
      <c r="B10" t="s">
        <v>127</v>
      </c>
      <c r="C10" s="44">
        <f t="shared" si="0"/>
        <v>45689</v>
      </c>
      <c r="D10" s="45" cm="1">
        <f t="array" aca="1" ref="D10" ca="1">INDEX(INDIRECT("'"&amp;$B10&amp;"_05'!$B$6:$M$6"),1,MONTH($C10))</f>
        <v>522944.53</v>
      </c>
      <c r="E10" s="45" cm="1">
        <f t="array" aca="1" ref="E10" ca="1">INDEX(INDIRECT("'"&amp;$B10&amp;"_05'!$B$14:$M$14"),1,MONTH($C10))</f>
        <v>-242599.49889999995</v>
      </c>
      <c r="F10" s="45" cm="1">
        <f t="array" aca="1" ref="F10" ca="1">INDEX(INDIRECT("'"&amp;$B10&amp;"_05'!$B$24:$M$24"),1,MONTH($C10))</f>
        <v>-18130.259999999998</v>
      </c>
      <c r="G10" s="45" cm="1">
        <f t="array" aca="1" ref="G10" ca="1">INDEX(INDIRECT("'"&amp;$B10&amp;"_05'!$B$38:$M$38"),1,MONTH($C10))</f>
        <v>0</v>
      </c>
      <c r="H10" s="45" cm="1">
        <f t="array" aca="1" ref="H10" ca="1">INDEX(INDIRECT("'"&amp;$B10&amp;"_05'!$B$40:$M$40"),1,MONTH($C10))</f>
        <v>-1265.9100000000001</v>
      </c>
    </row>
    <row r="11" spans="2:8" x14ac:dyDescent="0.25">
      <c r="B11" t="s">
        <v>128</v>
      </c>
      <c r="C11" s="44">
        <f t="shared" si="0"/>
        <v>45689</v>
      </c>
      <c r="D11" s="45" cm="1">
        <f t="array" aca="1" ref="D11" ca="1">INDEX(INDIRECT("'"&amp;$B11&amp;"_05'!$B$6:$M$6"),1,MONTH($C11))</f>
        <v>0</v>
      </c>
      <c r="E11" s="45" cm="1">
        <f t="array" aca="1" ref="E11" ca="1">INDEX(INDIRECT("'"&amp;$B11&amp;"_05'!$B$14:$M$14"),1,MONTH($C11))</f>
        <v>-242599.49889999995</v>
      </c>
      <c r="F11" s="45" cm="1">
        <f t="array" aca="1" ref="F11" ca="1">INDEX(INDIRECT("'"&amp;$B11&amp;"_05'!$B$24:$M$24"),1,MONTH($C11))</f>
        <v>-7414.5949999999993</v>
      </c>
      <c r="G11" s="45" cm="1">
        <f t="array" aca="1" ref="G11" ca="1">INDEX(INDIRECT("'"&amp;$B11&amp;"_05'!$B$38:$M$38"),1,MONTH($C11))</f>
        <v>-2286.08</v>
      </c>
      <c r="H11" s="45" cm="1">
        <f t="array" aca="1" ref="H11" ca="1">INDEX(INDIRECT("'"&amp;$B11&amp;"_05'!$B$40:$M$40"),1,MONTH($C11))</f>
        <v>-1.2</v>
      </c>
    </row>
    <row r="12" spans="2:8" x14ac:dyDescent="0.25">
      <c r="B12" t="s">
        <v>85</v>
      </c>
      <c r="C12" s="44">
        <f t="shared" si="0"/>
        <v>45689</v>
      </c>
      <c r="D12" s="45" cm="1">
        <f t="array" aca="1" ref="D12" ca="1">INDEX(INDIRECT("'"&amp;$B12&amp;"_05'!$B$6:$M$6"),1,MONTH($C12))</f>
        <v>494245.22279999999</v>
      </c>
      <c r="E12" s="45" cm="1">
        <f t="array" aca="1" ref="E12" ca="1">INDEX(INDIRECT("'"&amp;$B12&amp;"_05'!$B$11:$M$11"),1,MONTH($C12))</f>
        <v>-226949.337</v>
      </c>
      <c r="F12" s="45" cm="1">
        <f t="array" aca="1" ref="F12" ca="1">INDEX(INDIRECT("'"&amp;$B12&amp;"_05'!$B$21:$M$21"),1,MONTH($C12))</f>
        <v>-13495.5</v>
      </c>
      <c r="G12" s="45" cm="1">
        <f t="array" aca="1" ref="G12" ca="1">INDEX(INDIRECT("'"&amp;$B12&amp;"_05'!$B$35:$M$35"),1,MONTH($C12))</f>
        <v>0</v>
      </c>
      <c r="H12" s="45" cm="1">
        <f t="array" aca="1" ref="H12" ca="1">INDEX(INDIRECT("'"&amp;$B12&amp;"_05'!$B$37:$M$37"),1,MONTH($C12))</f>
        <v>-33344.762999999999</v>
      </c>
    </row>
    <row r="13" spans="2:8" x14ac:dyDescent="0.25">
      <c r="B13" t="s">
        <v>129</v>
      </c>
      <c r="C13" s="44">
        <f t="shared" si="0"/>
        <v>45689</v>
      </c>
      <c r="D13" s="45" cm="1">
        <f t="array" aca="1" ref="D13" ca="1">INDEX(INDIRECT("'"&amp;$B13&amp;"_05'!$B$6:$M$6"),1,MONTH($C13))</f>
        <v>41743.47</v>
      </c>
      <c r="E13" s="45" cm="1">
        <f t="array" aca="1" ref="E13" ca="1">INDEX(INDIRECT("'"&amp;$B13&amp;"_05'!$B$14:$M$14"),1,MONTH($C13))</f>
        <v>-8658.4699999999993</v>
      </c>
      <c r="F13" s="45" cm="1">
        <f t="array" aca="1" ref="F13" ca="1">INDEX(INDIRECT("'"&amp;$B13&amp;"_05'!$B$24:$M$24"),1,MONTH($C13))</f>
        <v>-594.98</v>
      </c>
      <c r="G13" s="45" cm="1">
        <f t="array" aca="1" ref="G13" ca="1">INDEX(INDIRECT("'"&amp;$B13&amp;"_05'!$B$38:$M$38"),1,MONTH($C13))</f>
        <v>0</v>
      </c>
      <c r="H13" s="45" cm="1">
        <f t="array" aca="1" ref="H13" ca="1">INDEX(INDIRECT("'"&amp;$B13&amp;"_05'!$B$40:$M$40"),1,MONTH($C13))</f>
        <v>0</v>
      </c>
    </row>
    <row r="14" spans="2:8" x14ac:dyDescent="0.25">
      <c r="B14" t="s">
        <v>65</v>
      </c>
      <c r="C14" s="44">
        <f t="shared" si="0"/>
        <v>45689</v>
      </c>
      <c r="D14" s="45" cm="1">
        <f t="array" aca="1" ref="D14" ca="1">INDEX(INDIRECT("'"&amp;$B14&amp;"_05'!$B$6:$M$6"),1,MONTH($C14))</f>
        <v>99398.31</v>
      </c>
      <c r="E14" s="45" cm="1">
        <f t="array" aca="1" ref="E14" ca="1">INDEX(INDIRECT("'"&amp;$B14&amp;"_05'!$B$11:$M$11"),1,MONTH($C14))</f>
        <v>-24849.577499999999</v>
      </c>
      <c r="F14" s="45" cm="1">
        <f t="array" aca="1" ref="F14" ca="1">INDEX(INDIRECT("'"&amp;$B14&amp;"_05'!$B$17:$M$17"),1,MONTH($C14))</f>
        <v>0</v>
      </c>
      <c r="G14" s="45" cm="1">
        <f t="array" aca="1" ref="G14" ca="1">INDEX(INDIRECT("'"&amp;$B14&amp;"_05'!$B$31:$M$31"),1,MONTH($C14))</f>
        <v>0</v>
      </c>
      <c r="H14" s="45" cm="1">
        <f t="array" aca="1" ref="H14" ca="1">INDEX(INDIRECT("'"&amp;$B14&amp;"_05'!$B$33:$M$33"),1,MONTH($C14))</f>
        <v>0</v>
      </c>
    </row>
    <row r="15" spans="2:8" x14ac:dyDescent="0.25">
      <c r="B15" t="s">
        <v>126</v>
      </c>
      <c r="C15" s="44">
        <f t="shared" si="0"/>
        <v>45717</v>
      </c>
      <c r="D15" s="45" cm="1">
        <f t="array" aca="1" ref="D15" ca="1">INDEX(INDIRECT("'"&amp;$B15&amp;"_05'!$B$6:$M$6"),1,MONTH($C15))</f>
        <v>0</v>
      </c>
      <c r="E15" s="45" cm="1">
        <f t="array" aca="1" ref="E15" ca="1">INDEX(INDIRECT("'"&amp;$B15&amp;"_05'!$B$11:$M$11"),1,MONTH($C15))</f>
        <v>-53459.600000000006</v>
      </c>
      <c r="F15" s="45" cm="1">
        <f t="array" aca="1" ref="F15" ca="1">INDEX(INDIRECT("'"&amp;$B15&amp;"_05'!$B$17:$M$17"),1,MONTH($C15))</f>
        <v>0</v>
      </c>
      <c r="G15" s="45" cm="1">
        <f t="array" aca="1" ref="G15" ca="1">INDEX(INDIRECT("'"&amp;$B15&amp;"_05'!$B$30:$M$30"),1,MONTH($C15))</f>
        <v>-18198.810000000001</v>
      </c>
      <c r="H15" s="45" cm="1">
        <f t="array" aca="1" ref="H15" ca="1">INDEX(INDIRECT("'"&amp;$B15&amp;"_05'!$B$32:$M$32"),1,MONTH($C15))</f>
        <v>0</v>
      </c>
    </row>
    <row r="16" spans="2:8" x14ac:dyDescent="0.25">
      <c r="B16" t="s">
        <v>127</v>
      </c>
      <c r="C16" s="44">
        <f t="shared" si="0"/>
        <v>45717</v>
      </c>
      <c r="D16" s="45" cm="1">
        <f t="array" aca="1" ref="D16" ca="1">INDEX(INDIRECT("'"&amp;$B16&amp;"_05'!$B$6:$M$6"),1,MONTH($C16))</f>
        <v>693442.52</v>
      </c>
      <c r="E16" s="45" cm="1">
        <f t="array" aca="1" ref="E16" ca="1">INDEX(INDIRECT("'"&amp;$B16&amp;"_05'!$B$14:$M$14"),1,MONTH($C16))</f>
        <v>-325482.08649999998</v>
      </c>
      <c r="F16" s="45" cm="1">
        <f t="array" aca="1" ref="F16" ca="1">INDEX(INDIRECT("'"&amp;$B16&amp;"_05'!$B$24:$M$24"),1,MONTH($C16))</f>
        <v>-22980.880000000001</v>
      </c>
      <c r="G16" s="45" cm="1">
        <f t="array" aca="1" ref="G16" ca="1">INDEX(INDIRECT("'"&amp;$B16&amp;"_05'!$B$38:$M$38"),1,MONTH($C16))</f>
        <v>0</v>
      </c>
      <c r="H16" s="45" cm="1">
        <f t="array" aca="1" ref="H16" ca="1">INDEX(INDIRECT("'"&amp;$B16&amp;"_05'!$B$40:$M$40"),1,MONTH($C16))</f>
        <v>-3506.86</v>
      </c>
    </row>
    <row r="17" spans="2:8" x14ac:dyDescent="0.25">
      <c r="B17" t="s">
        <v>128</v>
      </c>
      <c r="C17" s="44">
        <f t="shared" si="0"/>
        <v>45717</v>
      </c>
      <c r="D17" s="45" cm="1">
        <f t="array" aca="1" ref="D17" ca="1">INDEX(INDIRECT("'"&amp;$B17&amp;"_05'!$B$6:$M$6"),1,MONTH($C17))</f>
        <v>0</v>
      </c>
      <c r="E17" s="45" cm="1">
        <f t="array" aca="1" ref="E17" ca="1">INDEX(INDIRECT("'"&amp;$B17&amp;"_05'!$B$14:$M$14"),1,MONTH($C17))</f>
        <v>-325482.08649999998</v>
      </c>
      <c r="F17" s="45" cm="1">
        <f t="array" aca="1" ref="F17" ca="1">INDEX(INDIRECT("'"&amp;$B17&amp;"_05'!$B$24:$M$24"),1,MONTH($C17))</f>
        <v>-8858.5280000000002</v>
      </c>
      <c r="G17" s="45" cm="1">
        <f t="array" aca="1" ref="G17" ca="1">INDEX(INDIRECT("'"&amp;$B17&amp;"_05'!$B$38:$M$38"),1,MONTH($C17))</f>
        <v>-2322.8000000000002</v>
      </c>
      <c r="H17" s="45" cm="1">
        <f t="array" aca="1" ref="H17" ca="1">INDEX(INDIRECT("'"&amp;$B17&amp;"_05'!$B$40:$M$40"),1,MONTH($C17))</f>
        <v>0</v>
      </c>
    </row>
    <row r="18" spans="2:8" x14ac:dyDescent="0.25">
      <c r="B18" t="s">
        <v>85</v>
      </c>
      <c r="C18" s="44">
        <f t="shared" si="0"/>
        <v>45717</v>
      </c>
      <c r="D18" s="45" cm="1">
        <f t="array" aca="1" ref="D18" ca="1">INDEX(INDIRECT("'"&amp;$B18&amp;"_05'!$B$6:$M$6"),1,MONTH($C18))</f>
        <v>535792.81279999996</v>
      </c>
      <c r="E18" s="45" cm="1">
        <f t="array" aca="1" ref="E18" ca="1">INDEX(INDIRECT("'"&amp;$B18&amp;"_05'!$B$11:$M$11"),1,MONTH($C18))</f>
        <v>-246027.31200000001</v>
      </c>
      <c r="F18" s="45" cm="1">
        <f t="array" aca="1" ref="F18" ca="1">INDEX(INDIRECT("'"&amp;$B18&amp;"_05'!$B$21:$M$21"),1,MONTH($C18))</f>
        <v>-16003.53</v>
      </c>
      <c r="G18" s="45" cm="1">
        <f t="array" aca="1" ref="G18" ca="1">INDEX(INDIRECT("'"&amp;$B18&amp;"_05'!$B$35:$M$35"),1,MONTH($C18))</f>
        <v>0</v>
      </c>
      <c r="H18" s="45" cm="1">
        <f t="array" aca="1" ref="H18" ca="1">INDEX(INDIRECT("'"&amp;$B18&amp;"_05'!$B$37:$M$37"),1,MONTH($C18))</f>
        <v>-41166.504000000001</v>
      </c>
    </row>
    <row r="19" spans="2:8" x14ac:dyDescent="0.25">
      <c r="B19" t="s">
        <v>129</v>
      </c>
      <c r="C19" s="44">
        <f t="shared" si="0"/>
        <v>45717</v>
      </c>
      <c r="D19" s="45" cm="1">
        <f t="array" aca="1" ref="D19" ca="1">INDEX(INDIRECT("'"&amp;$B19&amp;"_05'!$B$6:$M$6"),1,MONTH($C19))</f>
        <v>60009.55</v>
      </c>
      <c r="E19" s="45" cm="1">
        <f t="array" aca="1" ref="E19" ca="1">INDEX(INDIRECT("'"&amp;$B19&amp;"_05'!$B$14:$M$14"),1,MONTH($C19))</f>
        <v>-9486.11</v>
      </c>
      <c r="F19" s="45" cm="1">
        <f t="array" aca="1" ref="F19" ca="1">INDEX(INDIRECT("'"&amp;$B19&amp;"_05'!$B$24:$M$24"),1,MONTH($C19))</f>
        <v>-593.01</v>
      </c>
      <c r="G19" s="45" cm="1">
        <f t="array" aca="1" ref="G19" ca="1">INDEX(INDIRECT("'"&amp;$B19&amp;"_05'!$B$38:$M$38"),1,MONTH($C19))</f>
        <v>0</v>
      </c>
      <c r="H19" s="45" cm="1">
        <f t="array" aca="1" ref="H19" ca="1">INDEX(INDIRECT("'"&amp;$B19&amp;"_05'!$B$40:$M$40"),1,MONTH($C19))</f>
        <v>0</v>
      </c>
    </row>
    <row r="20" spans="2:8" x14ac:dyDescent="0.25">
      <c r="B20" t="s">
        <v>65</v>
      </c>
      <c r="C20" s="44">
        <f t="shared" si="0"/>
        <v>45717</v>
      </c>
      <c r="D20" s="45" cm="1">
        <f t="array" aca="1" ref="D20" ca="1">INDEX(INDIRECT("'"&amp;$B20&amp;"_05'!$B$6:$M$6"),1,MONTH($C20))</f>
        <v>111070.19</v>
      </c>
      <c r="E20" s="45" cm="1">
        <f t="array" aca="1" ref="E20" ca="1">INDEX(INDIRECT("'"&amp;$B20&amp;"_05'!$B$11:$M$11"),1,MONTH($C20))</f>
        <v>-27767.547500000001</v>
      </c>
      <c r="F20" s="45" cm="1">
        <f t="array" aca="1" ref="F20" ca="1">INDEX(INDIRECT("'"&amp;$B20&amp;"_05'!$B$17:$M$17"),1,MONTH($C20))</f>
        <v>0</v>
      </c>
      <c r="G20" s="45" cm="1">
        <f t="array" aca="1" ref="G20" ca="1">INDEX(INDIRECT("'"&amp;$B20&amp;"_05'!$B$31:$M$31"),1,MONTH($C20))</f>
        <v>-2588.09</v>
      </c>
      <c r="H20" s="45" cm="1">
        <f t="array" aca="1" ref="H20" ca="1">INDEX(INDIRECT("'"&amp;$B20&amp;"_05'!$B$33:$M$33"),1,MONTH($C20))</f>
        <v>0</v>
      </c>
    </row>
    <row r="21" spans="2:8" x14ac:dyDescent="0.25">
      <c r="B21" t="s">
        <v>126</v>
      </c>
      <c r="C21" s="44">
        <f t="shared" si="0"/>
        <v>45748</v>
      </c>
      <c r="D21" s="45" cm="1">
        <f t="array" aca="1" ref="D21" ca="1">INDEX(INDIRECT("'"&amp;$B21&amp;"_05'!$B$6:$M$6"),1,MONTH($C21))</f>
        <v>0</v>
      </c>
      <c r="E21" s="45" cm="1">
        <f t="array" aca="1" ref="E21" ca="1">INDEX(INDIRECT("'"&amp;$B21&amp;"_05'!$B$11:$M$11"),1,MONTH($C21))</f>
        <v>-68084.45</v>
      </c>
      <c r="F21" s="45" cm="1">
        <f t="array" aca="1" ref="F21" ca="1">INDEX(INDIRECT("'"&amp;$B21&amp;"_05'!$B$17:$M$17"),1,MONTH($C21))</f>
        <v>0</v>
      </c>
      <c r="G21" s="45" cm="1">
        <f t="array" aca="1" ref="G21" ca="1">INDEX(INDIRECT("'"&amp;$B21&amp;"_05'!$B$30:$M$30"),1,MONTH($C21))</f>
        <v>-12204.85</v>
      </c>
      <c r="H21" s="45" cm="1">
        <f t="array" aca="1" ref="H21" ca="1">INDEX(INDIRECT("'"&amp;$B21&amp;"_05'!$B$32:$M$32"),1,MONTH($C21))</f>
        <v>0</v>
      </c>
    </row>
    <row r="22" spans="2:8" x14ac:dyDescent="0.25">
      <c r="B22" t="s">
        <v>127</v>
      </c>
      <c r="C22" s="44">
        <f t="shared" si="0"/>
        <v>45748</v>
      </c>
      <c r="D22" s="45" cm="1">
        <f t="array" aca="1" ref="D22" ca="1">INDEX(INDIRECT("'"&amp;$B22&amp;"_05'!$B$6:$M$6"),1,MONTH($C22))</f>
        <v>532165.29</v>
      </c>
      <c r="E22" s="45" cm="1">
        <f t="array" aca="1" ref="E22" ca="1">INDEX(INDIRECT("'"&amp;$B22&amp;"_05'!$B$14:$M$14"),1,MONTH($C22))</f>
        <v>-219237.15699999995</v>
      </c>
      <c r="F22" s="45" cm="1">
        <f t="array" aca="1" ref="F22" ca="1">INDEX(INDIRECT("'"&amp;$B22&amp;"_05'!$B$24:$M$24"),1,MONTH($C22))</f>
        <v>-23486.13</v>
      </c>
      <c r="G22" s="45" cm="1">
        <f t="array" aca="1" ref="G22" ca="1">INDEX(INDIRECT("'"&amp;$B22&amp;"_05'!$B$38:$M$38"),1,MONTH($C22))</f>
        <v>0</v>
      </c>
      <c r="H22" s="45" cm="1">
        <f t="array" aca="1" ref="H22" ca="1">INDEX(INDIRECT("'"&amp;$B22&amp;"_05'!$B$40:$M$40"),1,MONTH($C22))</f>
        <v>-5083.88</v>
      </c>
    </row>
    <row r="23" spans="2:8" x14ac:dyDescent="0.25">
      <c r="B23" t="s">
        <v>128</v>
      </c>
      <c r="C23" s="44">
        <f t="shared" si="0"/>
        <v>45748</v>
      </c>
      <c r="D23" s="45" cm="1">
        <f t="array" aca="1" ref="D23" ca="1">INDEX(INDIRECT("'"&amp;$B23&amp;"_05'!$B$6:$M$6"),1,MONTH($C23))</f>
        <v>0</v>
      </c>
      <c r="E23" s="45" cm="1">
        <f t="array" aca="1" ref="E23" ca="1">INDEX(INDIRECT("'"&amp;$B23&amp;"_05'!$B$14:$M$14"),1,MONTH($C23))</f>
        <v>-219237.15699999995</v>
      </c>
      <c r="F23" s="45" cm="1">
        <f t="array" aca="1" ref="F23" ca="1">INDEX(INDIRECT("'"&amp;$B23&amp;"_05'!$B$24:$M$24"),1,MONTH($C23))</f>
        <v>-8331.3575000000001</v>
      </c>
      <c r="G23" s="45" cm="1">
        <f t="array" aca="1" ref="G23" ca="1">INDEX(INDIRECT("'"&amp;$B23&amp;"_05'!$B$38:$M$38"),1,MONTH($C23))</f>
        <v>-8013.02</v>
      </c>
      <c r="H23" s="45" cm="1">
        <f t="array" aca="1" ref="H23" ca="1">INDEX(INDIRECT("'"&amp;$B23&amp;"_05'!$B$40:$M$40"),1,MONTH($C23))</f>
        <v>0</v>
      </c>
    </row>
    <row r="24" spans="2:8" x14ac:dyDescent="0.25">
      <c r="B24" t="s">
        <v>85</v>
      </c>
      <c r="C24" s="44">
        <f t="shared" si="0"/>
        <v>45748</v>
      </c>
      <c r="D24" s="45" cm="1">
        <f t="array" aca="1" ref="D24" ca="1">INDEX(INDIRECT("'"&amp;$B24&amp;"_05'!$B$6:$M$6"),1,MONTH($C24))</f>
        <v>564028.64140000008</v>
      </c>
      <c r="E24" s="45" cm="1">
        <f t="array" aca="1" ref="E24" ca="1">INDEX(INDIRECT("'"&amp;$B24&amp;"_05'!$B$11:$M$11"),1,MONTH($C24))</f>
        <v>-258992.74350000004</v>
      </c>
      <c r="F24" s="45" cm="1">
        <f t="array" aca="1" ref="F24" ca="1">INDEX(INDIRECT("'"&amp;$B24&amp;"_05'!$B$21:$M$21"),1,MONTH($C24))</f>
        <v>-16541.71</v>
      </c>
      <c r="G24" s="45" cm="1">
        <f t="array" aca="1" ref="G24" ca="1">INDEX(INDIRECT("'"&amp;$B24&amp;"_05'!$B$35:$M$35"),1,MONTH($C24))</f>
        <v>0</v>
      </c>
      <c r="H24" s="45" cm="1">
        <f t="array" aca="1" ref="H24" ca="1">INDEX(INDIRECT("'"&amp;$B24&amp;"_05'!$B$37:$M$37"),1,MONTH($C24))</f>
        <v>-50269.589</v>
      </c>
    </row>
    <row r="25" spans="2:8" x14ac:dyDescent="0.25">
      <c r="B25" t="s">
        <v>129</v>
      </c>
      <c r="C25" s="44">
        <f t="shared" si="0"/>
        <v>45748</v>
      </c>
      <c r="D25" s="45" cm="1">
        <f t="array" aca="1" ref="D25" ca="1">INDEX(INDIRECT("'"&amp;$B25&amp;"_05'!$B$6:$M$6"),1,MONTH($C25))</f>
        <v>123646.15</v>
      </c>
      <c r="E25" s="45" cm="1">
        <f t="array" aca="1" ref="E25" ca="1">INDEX(INDIRECT("'"&amp;$B25&amp;"_05'!$B$14:$M$14"),1,MONTH($C25))</f>
        <v>-12134.68</v>
      </c>
      <c r="F25" s="45" cm="1">
        <f t="array" aca="1" ref="F25" ca="1">INDEX(INDIRECT("'"&amp;$B25&amp;"_05'!$B$24:$M$24"),1,MONTH($C25))</f>
        <v>-1005.81</v>
      </c>
      <c r="G25" s="45" cm="1">
        <f t="array" aca="1" ref="G25" ca="1">INDEX(INDIRECT("'"&amp;$B25&amp;"_05'!$B$38:$M$38"),1,MONTH($C25))</f>
        <v>0</v>
      </c>
      <c r="H25" s="45" cm="1">
        <f t="array" aca="1" ref="H25" ca="1">INDEX(INDIRECT("'"&amp;$B25&amp;"_05'!$B$40:$M$40"),1,MONTH($C25))</f>
        <v>0</v>
      </c>
    </row>
    <row r="26" spans="2:8" x14ac:dyDescent="0.25">
      <c r="B26" t="s">
        <v>65</v>
      </c>
      <c r="C26" s="44">
        <f t="shared" si="0"/>
        <v>45748</v>
      </c>
      <c r="D26" s="45" cm="1">
        <f t="array" aca="1" ref="D26" ca="1">INDEX(INDIRECT("'"&amp;$B26&amp;"_05'!$B$6:$M$6"),1,MONTH($C26))</f>
        <v>71050.740000000005</v>
      </c>
      <c r="E26" s="45" cm="1">
        <f t="array" aca="1" ref="E26" ca="1">INDEX(INDIRECT("'"&amp;$B26&amp;"_05'!$B$11:$M$11"),1,MONTH($C26))</f>
        <v>-20086.635000000002</v>
      </c>
      <c r="F26" s="45" cm="1">
        <f t="array" aca="1" ref="F26" ca="1">INDEX(INDIRECT("'"&amp;$B26&amp;"_05'!$B$17:$M$17"),1,MONTH($C26))</f>
        <v>0</v>
      </c>
      <c r="G26" s="45" cm="1">
        <f t="array" aca="1" ref="G26" ca="1">INDEX(INDIRECT("'"&amp;$B26&amp;"_05'!$B$31:$M$31"),1,MONTH($C26))</f>
        <v>-1974.45</v>
      </c>
      <c r="H26" s="45" cm="1">
        <f t="array" aca="1" ref="H26" ca="1">INDEX(INDIRECT("'"&amp;$B26&amp;"_05'!$B$33:$M$33"),1,MONTH($C26))</f>
        <v>0</v>
      </c>
    </row>
    <row r="27" spans="2:8" x14ac:dyDescent="0.25">
      <c r="B27" t="s">
        <v>126</v>
      </c>
      <c r="C27" s="44">
        <f t="shared" si="0"/>
        <v>45778</v>
      </c>
      <c r="D27" s="45" cm="1">
        <f t="array" aca="1" ref="D27" ca="1">INDEX(INDIRECT("'"&amp;$B27&amp;"_05'!$B$6:$M$6"),1,MONTH($C27))</f>
        <v>0</v>
      </c>
      <c r="E27" s="45" cm="1">
        <f t="array" aca="1" ref="E27" ca="1">INDEX(INDIRECT("'"&amp;$B27&amp;"_05'!$B$11:$M$11"),1,MONTH($C27))</f>
        <v>-74144.710000000021</v>
      </c>
      <c r="F27" s="45" cm="1">
        <f t="array" aca="1" ref="F27" ca="1">INDEX(INDIRECT("'"&amp;$B27&amp;"_05'!$B$17:$M$17"),1,MONTH($C27))</f>
        <v>-2200</v>
      </c>
      <c r="G27" s="45" cm="1">
        <f t="array" aca="1" ref="G27" ca="1">INDEX(INDIRECT("'"&amp;$B27&amp;"_05'!$B$30:$M$30"),1,MONTH($C27))</f>
        <v>-8652.39</v>
      </c>
      <c r="H27" s="45" cm="1">
        <f t="array" aca="1" ref="H27" ca="1">INDEX(INDIRECT("'"&amp;$B27&amp;"_05'!$B$32:$M$32"),1,MONTH($C27))</f>
        <v>0</v>
      </c>
    </row>
    <row r="28" spans="2:8" x14ac:dyDescent="0.25">
      <c r="B28" t="s">
        <v>127</v>
      </c>
      <c r="C28" s="44">
        <f t="shared" si="0"/>
        <v>45778</v>
      </c>
      <c r="D28" s="45" cm="1">
        <f t="array" aca="1" ref="D28" ca="1">INDEX(INDIRECT("'"&amp;$B28&amp;"_05'!$B$6:$M$6"),1,MONTH($C28))</f>
        <v>1272615.07</v>
      </c>
      <c r="E28" s="45" cm="1">
        <f t="array" aca="1" ref="E28" ca="1">INDEX(INDIRECT("'"&amp;$B28&amp;"_05'!$B$14:$M$14"),1,MONTH($C28))</f>
        <v>-401421.98889999994</v>
      </c>
      <c r="F28" s="45" cm="1">
        <f t="array" aca="1" ref="F28" ca="1">INDEX(INDIRECT("'"&amp;$B28&amp;"_05'!$B$24:$M$24"),1,MONTH($C28))</f>
        <v>-24690.799999999999</v>
      </c>
      <c r="G28" s="45" cm="1">
        <f t="array" aca="1" ref="G28" ca="1">INDEX(INDIRECT("'"&amp;$B28&amp;"_05'!$B$38:$M$38"),1,MONTH($C28))</f>
        <v>0</v>
      </c>
      <c r="H28" s="45" cm="1">
        <f t="array" aca="1" ref="H28" ca="1">INDEX(INDIRECT("'"&amp;$B28&amp;"_05'!$B$40:$M$40"),1,MONTH($C28))</f>
        <v>-186.99</v>
      </c>
    </row>
    <row r="29" spans="2:8" x14ac:dyDescent="0.25">
      <c r="B29" t="s">
        <v>128</v>
      </c>
      <c r="C29" s="44">
        <f t="shared" si="0"/>
        <v>45778</v>
      </c>
      <c r="D29" s="45" cm="1">
        <f t="array" aca="1" ref="D29" ca="1">INDEX(INDIRECT("'"&amp;$B29&amp;"_05'!$B$6:$M$6"),1,MONTH($C29))</f>
        <v>4050</v>
      </c>
      <c r="E29" s="45" cm="1">
        <f t="array" aca="1" ref="E29" ca="1">INDEX(INDIRECT("'"&amp;$B29&amp;"_05'!$B$14:$M$14"),1,MONTH($C29))</f>
        <v>-401421.98889999994</v>
      </c>
      <c r="F29" s="45" cm="1">
        <f t="array" aca="1" ref="F29" ca="1">INDEX(INDIRECT("'"&amp;$B29&amp;"_05'!$B$24:$M$24"),1,MONTH($C29))</f>
        <v>-10686.9995</v>
      </c>
      <c r="G29" s="45" cm="1">
        <f t="array" aca="1" ref="G29" ca="1">INDEX(INDIRECT("'"&amp;$B29&amp;"_05'!$B$38:$M$38"),1,MONTH($C29))</f>
        <v>-18171.29</v>
      </c>
      <c r="H29" s="45" cm="1">
        <f t="array" aca="1" ref="H29" ca="1">INDEX(INDIRECT("'"&amp;$B29&amp;"_05'!$B$40:$M$40"),1,MONTH($C29))</f>
        <v>0</v>
      </c>
    </row>
    <row r="30" spans="2:8" x14ac:dyDescent="0.25">
      <c r="B30" t="s">
        <v>85</v>
      </c>
      <c r="C30" s="44">
        <f t="shared" si="0"/>
        <v>45778</v>
      </c>
      <c r="D30" s="45" cm="1">
        <f t="array" aca="1" ref="D30" ca="1">INDEX(INDIRECT("'"&amp;$B30&amp;"_05'!$B$6:$M$6"),1,MONTH($C30))</f>
        <v>538287.87319999991</v>
      </c>
      <c r="E30" s="45" cm="1">
        <f t="array" aca="1" ref="E30" ca="1">INDEX(INDIRECT("'"&amp;$B30&amp;"_05'!$B$11:$M$11"),1,MONTH($C30))</f>
        <v>-247173.003</v>
      </c>
      <c r="F30" s="45" cm="1">
        <f t="array" aca="1" ref="F30" ca="1">INDEX(INDIRECT("'"&amp;$B30&amp;"_05'!$B$21:$M$21"),1,MONTH($C30))</f>
        <v>-17869.29</v>
      </c>
      <c r="G30" s="45" cm="1">
        <f t="array" aca="1" ref="G30" ca="1">INDEX(INDIRECT("'"&amp;$B30&amp;"_05'!$B$35:$M$35"),1,MONTH($C30))</f>
        <v>0</v>
      </c>
      <c r="H30" s="45" cm="1">
        <f t="array" aca="1" ref="H30" ca="1">INDEX(INDIRECT("'"&amp;$B30&amp;"_05'!$B$37:$M$37"),1,MONTH($C30))</f>
        <v>-51160.014999999999</v>
      </c>
    </row>
    <row r="31" spans="2:8" x14ac:dyDescent="0.25">
      <c r="B31" t="s">
        <v>129</v>
      </c>
      <c r="C31" s="44">
        <f t="shared" si="0"/>
        <v>45778</v>
      </c>
      <c r="D31" s="45" cm="1">
        <f t="array" aca="1" ref="D31" ca="1">INDEX(INDIRECT("'"&amp;$B31&amp;"_05'!$B$6:$M$6"),1,MONTH($C31))</f>
        <v>170315.51999999999</v>
      </c>
      <c r="E31" s="45" cm="1">
        <f t="array" aca="1" ref="E31" ca="1">INDEX(INDIRECT("'"&amp;$B31&amp;"_05'!$B$14:$M$14"),1,MONTH($C31))</f>
        <v>-10741.55</v>
      </c>
      <c r="F31" s="45" cm="1">
        <f t="array" aca="1" ref="F31" ca="1">INDEX(INDIRECT("'"&amp;$B31&amp;"_05'!$B$24:$M$24"),1,MONTH($C31))</f>
        <v>-567.37</v>
      </c>
      <c r="G31" s="45" cm="1">
        <f t="array" aca="1" ref="G31" ca="1">INDEX(INDIRECT("'"&amp;$B31&amp;"_05'!$B$38:$M$38"),1,MONTH($C31))</f>
        <v>0</v>
      </c>
      <c r="H31" s="45" cm="1">
        <f t="array" aca="1" ref="H31" ca="1">INDEX(INDIRECT("'"&amp;$B31&amp;"_05'!$B$40:$M$40"),1,MONTH($C31))</f>
        <v>0</v>
      </c>
    </row>
    <row r="32" spans="2:8" x14ac:dyDescent="0.25">
      <c r="B32" t="s">
        <v>65</v>
      </c>
      <c r="C32" s="44">
        <f t="shared" si="0"/>
        <v>45778</v>
      </c>
      <c r="D32" s="45" cm="1">
        <f t="array" aca="1" ref="D32" ca="1">INDEX(INDIRECT("'"&amp;$B32&amp;"_05'!$B$6:$M$6"),1,MONTH($C32))</f>
        <v>88333.2</v>
      </c>
      <c r="E32" s="45" cm="1">
        <f t="array" aca="1" ref="E32" ca="1">INDEX(INDIRECT("'"&amp;$B32&amp;"_05'!$B$11:$M$11"),1,MONTH($C32))</f>
        <v>-24308.35</v>
      </c>
      <c r="F32" s="45" cm="1">
        <f t="array" aca="1" ref="F32" ca="1">INDEX(INDIRECT("'"&amp;$B32&amp;"_05'!$B$17:$M$17"),1,MONTH($C32))</f>
        <v>-2815.37</v>
      </c>
      <c r="G32" s="45" cm="1">
        <f t="array" aca="1" ref="G32" ca="1">INDEX(INDIRECT("'"&amp;$B32&amp;"_05'!$B$31:$M$31"),1,MONTH($C32))</f>
        <v>-21911.7</v>
      </c>
      <c r="H32" s="45" cm="1">
        <f t="array" aca="1" ref="H32" ca="1">INDEX(INDIRECT("'"&amp;$B32&amp;"_05'!$B$33:$M$33"),1,MONTH($C32))</f>
        <v>0</v>
      </c>
    </row>
    <row r="33" spans="2:8" x14ac:dyDescent="0.25">
      <c r="B33" t="s">
        <v>126</v>
      </c>
      <c r="C33" s="44">
        <f t="shared" si="0"/>
        <v>45809</v>
      </c>
      <c r="D33" s="45"/>
      <c r="E33" s="45"/>
      <c r="F33" s="45"/>
      <c r="G33" s="45"/>
      <c r="H33" s="45"/>
    </row>
    <row r="34" spans="2:8" x14ac:dyDescent="0.25">
      <c r="B34" t="s">
        <v>127</v>
      </c>
      <c r="C34" s="44">
        <f t="shared" si="0"/>
        <v>45809</v>
      </c>
      <c r="D34" s="45"/>
      <c r="E34" s="45"/>
      <c r="F34" s="45"/>
      <c r="G34" s="45"/>
      <c r="H34" s="45"/>
    </row>
    <row r="35" spans="2:8" x14ac:dyDescent="0.25">
      <c r="B35" t="s">
        <v>128</v>
      </c>
      <c r="C35" s="44">
        <f t="shared" si="0"/>
        <v>45809</v>
      </c>
      <c r="D35" s="45"/>
      <c r="E35" s="45"/>
      <c r="F35" s="45"/>
      <c r="G35" s="45"/>
      <c r="H35" s="45"/>
    </row>
    <row r="36" spans="2:8" x14ac:dyDescent="0.25">
      <c r="B36" t="s">
        <v>85</v>
      </c>
      <c r="C36" s="44">
        <f t="shared" si="0"/>
        <v>45809</v>
      </c>
      <c r="D36" s="45"/>
      <c r="E36" s="45"/>
      <c r="F36" s="45"/>
      <c r="G36" s="45"/>
      <c r="H36" s="45"/>
    </row>
    <row r="37" spans="2:8" x14ac:dyDescent="0.25">
      <c r="B37" t="s">
        <v>129</v>
      </c>
      <c r="C37" s="44">
        <f t="shared" si="0"/>
        <v>45809</v>
      </c>
      <c r="D37" s="45"/>
      <c r="E37" s="45"/>
      <c r="F37" s="45"/>
      <c r="G37" s="45"/>
      <c r="H37" s="45"/>
    </row>
    <row r="38" spans="2:8" x14ac:dyDescent="0.25">
      <c r="B38" t="s">
        <v>65</v>
      </c>
      <c r="C38" s="44">
        <f t="shared" si="0"/>
        <v>45809</v>
      </c>
      <c r="D38" s="45"/>
      <c r="E38" s="45"/>
      <c r="F38" s="45"/>
      <c r="G38" s="45"/>
      <c r="H38" s="45"/>
    </row>
    <row r="39" spans="2:8" x14ac:dyDescent="0.25">
      <c r="B39" t="s">
        <v>126</v>
      </c>
      <c r="C39" s="44">
        <f t="shared" si="0"/>
        <v>45839</v>
      </c>
      <c r="D39" s="45"/>
      <c r="E39" s="45"/>
      <c r="F39" s="45"/>
      <c r="G39" s="45"/>
      <c r="H39" s="45"/>
    </row>
    <row r="40" spans="2:8" x14ac:dyDescent="0.25">
      <c r="B40" t="s">
        <v>127</v>
      </c>
      <c r="C40" s="44">
        <f t="shared" si="0"/>
        <v>45839</v>
      </c>
      <c r="D40" s="45"/>
      <c r="E40" s="45"/>
      <c r="F40" s="45"/>
      <c r="G40" s="45"/>
      <c r="H40" s="45"/>
    </row>
    <row r="41" spans="2:8" x14ac:dyDescent="0.25">
      <c r="B41" t="s">
        <v>128</v>
      </c>
      <c r="C41" s="44">
        <f t="shared" si="0"/>
        <v>45839</v>
      </c>
      <c r="D41" s="45"/>
      <c r="E41" s="45"/>
      <c r="F41" s="45"/>
      <c r="G41" s="45"/>
      <c r="H41" s="45"/>
    </row>
    <row r="42" spans="2:8" x14ac:dyDescent="0.25">
      <c r="B42" t="s">
        <v>85</v>
      </c>
      <c r="C42" s="44">
        <f t="shared" si="0"/>
        <v>45839</v>
      </c>
      <c r="D42" s="45"/>
      <c r="E42" s="45"/>
      <c r="F42" s="45"/>
      <c r="G42" s="45"/>
      <c r="H42" s="45"/>
    </row>
    <row r="43" spans="2:8" x14ac:dyDescent="0.25">
      <c r="B43" t="s">
        <v>129</v>
      </c>
      <c r="C43" s="44">
        <f t="shared" si="0"/>
        <v>45839</v>
      </c>
      <c r="D43" s="45"/>
      <c r="E43" s="45"/>
      <c r="F43" s="45"/>
      <c r="G43" s="45"/>
      <c r="H43" s="45"/>
    </row>
    <row r="44" spans="2:8" x14ac:dyDescent="0.25">
      <c r="B44" t="s">
        <v>65</v>
      </c>
      <c r="C44" s="44">
        <f t="shared" si="0"/>
        <v>45839</v>
      </c>
      <c r="D44" s="45"/>
      <c r="E44" s="45"/>
      <c r="F44" s="45"/>
      <c r="G44" s="45"/>
      <c r="H44" s="45"/>
    </row>
    <row r="45" spans="2:8" x14ac:dyDescent="0.25">
      <c r="B45" t="s">
        <v>126</v>
      </c>
      <c r="C45" s="44">
        <f t="shared" si="0"/>
        <v>45870</v>
      </c>
      <c r="D45" s="45"/>
      <c r="E45" s="45"/>
      <c r="F45" s="45"/>
      <c r="G45" s="45"/>
      <c r="H45" s="45"/>
    </row>
    <row r="46" spans="2:8" x14ac:dyDescent="0.25">
      <c r="B46" t="s">
        <v>127</v>
      </c>
      <c r="C46" s="44">
        <f t="shared" si="0"/>
        <v>45870</v>
      </c>
      <c r="D46" s="45"/>
      <c r="E46" s="45"/>
      <c r="F46" s="45"/>
      <c r="G46" s="45"/>
      <c r="H46" s="45"/>
    </row>
    <row r="47" spans="2:8" x14ac:dyDescent="0.25">
      <c r="B47" t="s">
        <v>128</v>
      </c>
      <c r="C47" s="44">
        <f t="shared" si="0"/>
        <v>45870</v>
      </c>
      <c r="D47" s="45"/>
      <c r="E47" s="45"/>
      <c r="F47" s="45"/>
      <c r="G47" s="45"/>
      <c r="H47" s="45"/>
    </row>
    <row r="48" spans="2:8" x14ac:dyDescent="0.25">
      <c r="B48" t="s">
        <v>85</v>
      </c>
      <c r="C48" s="44">
        <f t="shared" si="0"/>
        <v>45870</v>
      </c>
      <c r="D48" s="45"/>
      <c r="E48" s="45"/>
      <c r="F48" s="45"/>
      <c r="G48" s="45"/>
      <c r="H48" s="45"/>
    </row>
    <row r="49" spans="2:8" x14ac:dyDescent="0.25">
      <c r="B49" t="s">
        <v>129</v>
      </c>
      <c r="C49" s="44">
        <f t="shared" si="0"/>
        <v>45870</v>
      </c>
      <c r="D49" s="45"/>
      <c r="E49" s="45"/>
      <c r="F49" s="45"/>
      <c r="G49" s="45"/>
      <c r="H49" s="45"/>
    </row>
    <row r="50" spans="2:8" x14ac:dyDescent="0.25">
      <c r="B50" t="s">
        <v>65</v>
      </c>
      <c r="C50" s="44">
        <f t="shared" si="0"/>
        <v>45870</v>
      </c>
      <c r="D50" s="45"/>
      <c r="E50" s="45"/>
      <c r="F50" s="45"/>
      <c r="G50" s="45"/>
      <c r="H50" s="45"/>
    </row>
    <row r="51" spans="2:8" x14ac:dyDescent="0.25">
      <c r="B51" t="s">
        <v>126</v>
      </c>
      <c r="C51" s="44">
        <f t="shared" si="0"/>
        <v>45901</v>
      </c>
      <c r="D51" s="45"/>
      <c r="E51" s="45"/>
      <c r="F51" s="45"/>
      <c r="G51" s="45"/>
      <c r="H51" s="45"/>
    </row>
    <row r="52" spans="2:8" x14ac:dyDescent="0.25">
      <c r="B52" t="s">
        <v>127</v>
      </c>
      <c r="C52" s="44">
        <f t="shared" si="0"/>
        <v>45901</v>
      </c>
      <c r="D52" s="45"/>
      <c r="E52" s="45"/>
      <c r="F52" s="45"/>
      <c r="G52" s="45"/>
      <c r="H52" s="45"/>
    </row>
    <row r="53" spans="2:8" x14ac:dyDescent="0.25">
      <c r="B53" t="s">
        <v>128</v>
      </c>
      <c r="C53" s="44">
        <f t="shared" si="0"/>
        <v>45901</v>
      </c>
      <c r="D53" s="45"/>
      <c r="E53" s="45"/>
      <c r="F53" s="45"/>
      <c r="G53" s="45"/>
      <c r="H53" s="45"/>
    </row>
    <row r="54" spans="2:8" x14ac:dyDescent="0.25">
      <c r="B54" t="s">
        <v>85</v>
      </c>
      <c r="C54" s="44">
        <f t="shared" si="0"/>
        <v>45901</v>
      </c>
      <c r="D54" s="45"/>
      <c r="E54" s="45"/>
      <c r="F54" s="45"/>
      <c r="G54" s="45"/>
      <c r="H54" s="45"/>
    </row>
    <row r="55" spans="2:8" x14ac:dyDescent="0.25">
      <c r="B55" t="s">
        <v>129</v>
      </c>
      <c r="C55" s="44">
        <f t="shared" si="0"/>
        <v>45901</v>
      </c>
      <c r="D55" s="45"/>
      <c r="E55" s="45"/>
      <c r="F55" s="45"/>
      <c r="G55" s="45"/>
      <c r="H55" s="45"/>
    </row>
    <row r="56" spans="2:8" x14ac:dyDescent="0.25">
      <c r="B56" t="s">
        <v>65</v>
      </c>
      <c r="C56" s="44">
        <f t="shared" si="0"/>
        <v>45901</v>
      </c>
      <c r="D56" s="45"/>
      <c r="E56" s="45"/>
      <c r="F56" s="45"/>
      <c r="G56" s="45"/>
      <c r="H56" s="45"/>
    </row>
    <row r="57" spans="2:8" x14ac:dyDescent="0.25">
      <c r="B57" t="s">
        <v>126</v>
      </c>
      <c r="C57" s="44">
        <f t="shared" si="0"/>
        <v>45931</v>
      </c>
      <c r="D57" s="45"/>
      <c r="E57" s="45"/>
      <c r="F57" s="45"/>
      <c r="G57" s="45"/>
      <c r="H57" s="45"/>
    </row>
    <row r="58" spans="2:8" x14ac:dyDescent="0.25">
      <c r="B58" t="s">
        <v>127</v>
      </c>
      <c r="C58" s="44">
        <f t="shared" si="0"/>
        <v>45931</v>
      </c>
      <c r="D58" s="45"/>
      <c r="E58" s="45"/>
      <c r="F58" s="45"/>
      <c r="G58" s="45"/>
      <c r="H58" s="45"/>
    </row>
    <row r="59" spans="2:8" x14ac:dyDescent="0.25">
      <c r="B59" t="s">
        <v>128</v>
      </c>
      <c r="C59" s="44">
        <f t="shared" si="0"/>
        <v>45931</v>
      </c>
      <c r="D59" s="45"/>
      <c r="E59" s="45"/>
      <c r="F59" s="45"/>
      <c r="G59" s="45"/>
      <c r="H59" s="45"/>
    </row>
    <row r="60" spans="2:8" x14ac:dyDescent="0.25">
      <c r="B60" t="s">
        <v>85</v>
      </c>
      <c r="C60" s="44">
        <f t="shared" si="0"/>
        <v>45931</v>
      </c>
      <c r="D60" s="45"/>
      <c r="E60" s="45"/>
      <c r="F60" s="45"/>
      <c r="G60" s="45"/>
      <c r="H60" s="45"/>
    </row>
    <row r="61" spans="2:8" x14ac:dyDescent="0.25">
      <c r="B61" t="s">
        <v>129</v>
      </c>
      <c r="C61" s="44">
        <f t="shared" si="0"/>
        <v>45931</v>
      </c>
      <c r="D61" s="45"/>
      <c r="E61" s="45"/>
      <c r="F61" s="45"/>
      <c r="G61" s="45"/>
      <c r="H61" s="45"/>
    </row>
    <row r="62" spans="2:8" x14ac:dyDescent="0.25">
      <c r="B62" t="s">
        <v>65</v>
      </c>
      <c r="C62" s="44">
        <f t="shared" si="0"/>
        <v>45931</v>
      </c>
      <c r="D62" s="45"/>
      <c r="E62" s="45"/>
      <c r="F62" s="45"/>
      <c r="G62" s="45"/>
      <c r="H62" s="45"/>
    </row>
    <row r="63" spans="2:8" x14ac:dyDescent="0.25">
      <c r="B63" t="s">
        <v>126</v>
      </c>
      <c r="C63" s="44">
        <f t="shared" si="0"/>
        <v>45962</v>
      </c>
      <c r="D63" s="45"/>
      <c r="E63" s="45"/>
      <c r="F63" s="45"/>
      <c r="G63" s="45"/>
      <c r="H63" s="45"/>
    </row>
    <row r="64" spans="2:8" x14ac:dyDescent="0.25">
      <c r="B64" t="s">
        <v>127</v>
      </c>
      <c r="C64" s="44">
        <f t="shared" si="0"/>
        <v>45962</v>
      </c>
      <c r="D64" s="45"/>
      <c r="E64" s="45"/>
      <c r="F64" s="45"/>
      <c r="G64" s="45"/>
      <c r="H64" s="45"/>
    </row>
    <row r="65" spans="2:8" x14ac:dyDescent="0.25">
      <c r="B65" t="s">
        <v>128</v>
      </c>
      <c r="C65" s="44">
        <f t="shared" si="0"/>
        <v>45962</v>
      </c>
      <c r="D65" s="45"/>
      <c r="E65" s="45"/>
      <c r="F65" s="45"/>
      <c r="G65" s="45"/>
      <c r="H65" s="45"/>
    </row>
    <row r="66" spans="2:8" x14ac:dyDescent="0.25">
      <c r="B66" t="s">
        <v>85</v>
      </c>
      <c r="C66" s="44">
        <f t="shared" si="0"/>
        <v>45962</v>
      </c>
      <c r="D66" s="45"/>
      <c r="E66" s="45"/>
      <c r="F66" s="45"/>
      <c r="G66" s="45"/>
      <c r="H66" s="45"/>
    </row>
    <row r="67" spans="2:8" x14ac:dyDescent="0.25">
      <c r="B67" t="s">
        <v>129</v>
      </c>
      <c r="C67" s="44">
        <f t="shared" si="0"/>
        <v>45962</v>
      </c>
      <c r="D67" s="45"/>
      <c r="E67" s="45"/>
      <c r="F67" s="45"/>
      <c r="G67" s="45"/>
      <c r="H67" s="45"/>
    </row>
    <row r="68" spans="2:8" x14ac:dyDescent="0.25">
      <c r="B68" t="s">
        <v>65</v>
      </c>
      <c r="C68" s="44">
        <f t="shared" ref="C68:C74" si="1">DATE(2025,1+INT((ROW(A66)-1)/6),1)</f>
        <v>45962</v>
      </c>
      <c r="D68" s="45"/>
      <c r="E68" s="45"/>
      <c r="F68" s="45"/>
      <c r="G68" s="45"/>
      <c r="H68" s="45"/>
    </row>
    <row r="69" spans="2:8" x14ac:dyDescent="0.25">
      <c r="B69" t="s">
        <v>126</v>
      </c>
      <c r="C69" s="44">
        <f t="shared" si="1"/>
        <v>45992</v>
      </c>
      <c r="D69" s="45"/>
      <c r="E69" s="45"/>
      <c r="F69" s="45"/>
      <c r="G69" s="45"/>
      <c r="H69" s="45"/>
    </row>
    <row r="70" spans="2:8" x14ac:dyDescent="0.25">
      <c r="B70" t="s">
        <v>127</v>
      </c>
      <c r="C70" s="44">
        <f t="shared" si="1"/>
        <v>45992</v>
      </c>
      <c r="D70" s="45"/>
      <c r="E70" s="45"/>
      <c r="F70" s="45"/>
      <c r="G70" s="45"/>
      <c r="H70" s="45"/>
    </row>
    <row r="71" spans="2:8" x14ac:dyDescent="0.25">
      <c r="B71" t="s">
        <v>128</v>
      </c>
      <c r="C71" s="44">
        <f t="shared" si="1"/>
        <v>45992</v>
      </c>
      <c r="D71" s="45"/>
      <c r="E71" s="45"/>
      <c r="F71" s="45"/>
      <c r="G71" s="45"/>
      <c r="H71" s="45"/>
    </row>
    <row r="72" spans="2:8" x14ac:dyDescent="0.25">
      <c r="B72" t="s">
        <v>85</v>
      </c>
      <c r="C72" s="44">
        <f t="shared" si="1"/>
        <v>45992</v>
      </c>
      <c r="D72" s="45"/>
      <c r="E72" s="45"/>
      <c r="F72" s="45"/>
      <c r="G72" s="45"/>
      <c r="H72" s="45"/>
    </row>
    <row r="73" spans="2:8" x14ac:dyDescent="0.25">
      <c r="B73" t="s">
        <v>129</v>
      </c>
      <c r="C73" s="44">
        <f t="shared" si="1"/>
        <v>45992</v>
      </c>
      <c r="D73" s="45"/>
      <c r="E73" s="45"/>
      <c r="F73" s="45"/>
      <c r="G73" s="45"/>
      <c r="H73" s="45"/>
    </row>
    <row r="74" spans="2:8" x14ac:dyDescent="0.25">
      <c r="B74" t="s">
        <v>65</v>
      </c>
      <c r="C74" s="44">
        <f t="shared" si="1"/>
        <v>45992</v>
      </c>
      <c r="D74" s="45"/>
      <c r="E74" s="45"/>
      <c r="F74" s="45"/>
      <c r="G74" s="45"/>
      <c r="H74" s="45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6C999-59AF-4B72-B386-3EE8C29B3350}">
  <dimension ref="A3:K33"/>
  <sheetViews>
    <sheetView workbookViewId="0">
      <selection activeCell="D3" sqref="D3"/>
    </sheetView>
  </sheetViews>
  <sheetFormatPr baseColWidth="10" defaultRowHeight="15" x14ac:dyDescent="0.25"/>
  <cols>
    <col min="1" max="1" width="17.85546875" bestFit="1" customWidth="1"/>
    <col min="2" max="3" width="27.5703125" bestFit="1" customWidth="1"/>
    <col min="4" max="4" width="26.7109375" bestFit="1" customWidth="1"/>
    <col min="5" max="5" width="22.85546875" bestFit="1" customWidth="1"/>
    <col min="6" max="8" width="11.5703125" bestFit="1" customWidth="1"/>
    <col min="9" max="9" width="13.140625" bestFit="1" customWidth="1"/>
    <col min="10" max="10" width="5.7109375" bestFit="1" customWidth="1"/>
    <col min="11" max="11" width="13.140625" bestFit="1" customWidth="1"/>
    <col min="12" max="12" width="10.5703125" bestFit="1" customWidth="1"/>
    <col min="13" max="31" width="11.5703125" bestFit="1" customWidth="1"/>
    <col min="32" max="32" width="13.140625" bestFit="1" customWidth="1"/>
    <col min="33" max="33" width="14" bestFit="1" customWidth="1"/>
  </cols>
  <sheetData>
    <row r="3" spans="1:5" x14ac:dyDescent="0.25">
      <c r="A3" s="46" t="s">
        <v>131</v>
      </c>
      <c r="B3" t="s">
        <v>134</v>
      </c>
      <c r="D3" s="46" t="s">
        <v>131</v>
      </c>
      <c r="E3" t="s">
        <v>155</v>
      </c>
    </row>
    <row r="4" spans="1:5" x14ac:dyDescent="0.25">
      <c r="A4" s="47" t="s">
        <v>136</v>
      </c>
      <c r="B4" s="45">
        <v>289300.57</v>
      </c>
      <c r="D4" s="47" t="s">
        <v>127</v>
      </c>
      <c r="E4">
        <v>1050740.755264</v>
      </c>
    </row>
    <row r="5" spans="1:5" x14ac:dyDescent="0.25">
      <c r="A5" s="47" t="s">
        <v>137</v>
      </c>
      <c r="B5" s="45">
        <v>522944.53</v>
      </c>
      <c r="D5" s="49">
        <v>45658</v>
      </c>
      <c r="E5">
        <v>117198.31451520001</v>
      </c>
    </row>
    <row r="6" spans="1:5" x14ac:dyDescent="0.25">
      <c r="A6" s="47" t="s">
        <v>138</v>
      </c>
      <c r="B6" s="45">
        <v>693442.52</v>
      </c>
      <c r="D6" s="49">
        <v>45689</v>
      </c>
      <c r="E6">
        <v>184843.44576319997</v>
      </c>
    </row>
    <row r="7" spans="1:5" x14ac:dyDescent="0.25">
      <c r="A7" s="47" t="s">
        <v>139</v>
      </c>
      <c r="B7" s="45">
        <v>532165.29</v>
      </c>
      <c r="D7" s="49">
        <v>45717</v>
      </c>
      <c r="E7">
        <v>244031.04952320002</v>
      </c>
    </row>
    <row r="8" spans="1:5" x14ac:dyDescent="0.25">
      <c r="A8" s="47" t="s">
        <v>140</v>
      </c>
      <c r="B8" s="45">
        <v>1373718.07</v>
      </c>
      <c r="D8" s="49">
        <v>45748</v>
      </c>
      <c r="E8">
        <v>189805.56220160003</v>
      </c>
    </row>
    <row r="9" spans="1:5" x14ac:dyDescent="0.25">
      <c r="A9" s="47" t="s">
        <v>141</v>
      </c>
      <c r="B9" s="45"/>
      <c r="D9" s="49">
        <v>45778</v>
      </c>
      <c r="E9">
        <v>314862.38326080004</v>
      </c>
    </row>
    <row r="10" spans="1:5" x14ac:dyDescent="0.25">
      <c r="A10" s="47" t="s">
        <v>132</v>
      </c>
      <c r="B10" s="45">
        <v>3411570.9800000004</v>
      </c>
      <c r="D10" s="49">
        <v>45809</v>
      </c>
      <c r="E10">
        <v>0</v>
      </c>
    </row>
    <row r="11" spans="1:5" x14ac:dyDescent="0.25">
      <c r="D11" s="47" t="s">
        <v>132</v>
      </c>
      <c r="E11">
        <v>1050740.755264</v>
      </c>
    </row>
    <row r="16" spans="1:5" x14ac:dyDescent="0.25">
      <c r="B16" t="s">
        <v>154</v>
      </c>
      <c r="D16" s="46" t="s">
        <v>131</v>
      </c>
      <c r="E16" t="s">
        <v>135</v>
      </c>
    </row>
    <row r="17" spans="1:11" x14ac:dyDescent="0.25">
      <c r="A17" s="47" t="s">
        <v>127</v>
      </c>
      <c r="B17" s="45">
        <v>332374.7012960001</v>
      </c>
      <c r="D17" s="47" t="s">
        <v>136</v>
      </c>
      <c r="E17" s="45">
        <v>-66031.821199999991</v>
      </c>
    </row>
    <row r="18" spans="1:11" x14ac:dyDescent="0.25">
      <c r="A18" s="40" t="s">
        <v>136</v>
      </c>
      <c r="B18" s="45">
        <v>-151814.55741519999</v>
      </c>
      <c r="D18" s="47" t="s">
        <v>137</v>
      </c>
      <c r="E18" s="45">
        <v>-95753.586400000015</v>
      </c>
    </row>
    <row r="19" spans="1:11" x14ac:dyDescent="0.25">
      <c r="A19" s="40" t="s">
        <v>137</v>
      </c>
      <c r="B19" s="45">
        <v>-9506.6579231999349</v>
      </c>
      <c r="D19" s="47" t="s">
        <v>138</v>
      </c>
      <c r="E19" s="45">
        <v>-145195.96919999999</v>
      </c>
    </row>
    <row r="20" spans="1:11" x14ac:dyDescent="0.25">
      <c r="A20" s="40" t="s">
        <v>138</v>
      </c>
      <c r="B20" s="45">
        <v>27642.532036799937</v>
      </c>
      <c r="D20" s="47" t="s">
        <v>139</v>
      </c>
      <c r="E20" s="45">
        <v>-157750.76120000001</v>
      </c>
    </row>
    <row r="21" spans="1:11" x14ac:dyDescent="0.25">
      <c r="A21" s="40" t="s">
        <v>139</v>
      </c>
      <c r="B21" s="45">
        <v>-107436.81344159995</v>
      </c>
      <c r="D21" s="47" t="s">
        <v>140</v>
      </c>
      <c r="E21" s="45">
        <v>-231232.40199999997</v>
      </c>
    </row>
    <row r="22" spans="1:11" x14ac:dyDescent="0.25">
      <c r="A22" s="40" t="s">
        <v>140</v>
      </c>
      <c r="B22" s="45">
        <v>573490.19803920004</v>
      </c>
      <c r="D22" s="47" t="s">
        <v>141</v>
      </c>
      <c r="E22" s="45"/>
    </row>
    <row r="23" spans="1:11" x14ac:dyDescent="0.25">
      <c r="A23" s="40" t="s">
        <v>141</v>
      </c>
      <c r="B23" s="45"/>
      <c r="D23" s="47" t="s">
        <v>132</v>
      </c>
      <c r="E23" s="45">
        <v>-695964.53999999992</v>
      </c>
    </row>
    <row r="24" spans="1:11" x14ac:dyDescent="0.25">
      <c r="A24" s="47" t="s">
        <v>132</v>
      </c>
      <c r="B24" s="45">
        <v>332374.7012960001</v>
      </c>
    </row>
    <row r="25" spans="1:11" x14ac:dyDescent="0.25">
      <c r="D25" s="46" t="s">
        <v>134</v>
      </c>
      <c r="E25" s="46" t="s">
        <v>133</v>
      </c>
    </row>
    <row r="26" spans="1:11" x14ac:dyDescent="0.25">
      <c r="A26" s="46" t="s">
        <v>131</v>
      </c>
      <c r="B26" t="s">
        <v>143</v>
      </c>
      <c r="E26" t="s">
        <v>136</v>
      </c>
      <c r="F26" t="s">
        <v>137</v>
      </c>
      <c r="G26" t="s">
        <v>138</v>
      </c>
      <c r="H26" t="s">
        <v>139</v>
      </c>
      <c r="I26" t="s">
        <v>140</v>
      </c>
      <c r="J26" t="s">
        <v>141</v>
      </c>
      <c r="K26" t="s">
        <v>132</v>
      </c>
    </row>
    <row r="27" spans="1:11" x14ac:dyDescent="0.25">
      <c r="A27" s="47" t="s">
        <v>136</v>
      </c>
      <c r="B27" s="45">
        <v>257884.99169999998</v>
      </c>
    </row>
    <row r="28" spans="1:11" x14ac:dyDescent="0.25">
      <c r="A28" s="47" t="s">
        <v>137</v>
      </c>
      <c r="B28" s="45">
        <v>251854.15575999999</v>
      </c>
      <c r="D28" s="46" t="s">
        <v>131</v>
      </c>
    </row>
    <row r="29" spans="1:11" x14ac:dyDescent="0.25">
      <c r="A29" s="47" t="s">
        <v>138</v>
      </c>
      <c r="B29" s="45">
        <v>276572.96924000001</v>
      </c>
      <c r="D29" s="47" t="s">
        <v>127</v>
      </c>
      <c r="E29" s="45">
        <v>289300.57</v>
      </c>
      <c r="F29" s="45">
        <v>522944.53</v>
      </c>
      <c r="G29" s="45">
        <v>693442.52</v>
      </c>
      <c r="H29" s="45">
        <v>532165.29</v>
      </c>
      <c r="I29" s="45">
        <v>1373718.07</v>
      </c>
      <c r="J29" s="45"/>
      <c r="K29" s="45">
        <v>3411570.9800000004</v>
      </c>
    </row>
    <row r="30" spans="1:11" x14ac:dyDescent="0.25">
      <c r="A30" s="47" t="s">
        <v>139</v>
      </c>
      <c r="B30" s="45">
        <v>292045.78003999998</v>
      </c>
      <c r="D30" s="47" t="s">
        <v>132</v>
      </c>
      <c r="E30" s="45">
        <v>289300.57</v>
      </c>
      <c r="F30" s="45">
        <v>522944.53</v>
      </c>
      <c r="G30" s="45">
        <v>693442.52</v>
      </c>
      <c r="H30" s="45">
        <v>532165.29</v>
      </c>
      <c r="I30" s="45">
        <v>1373718.07</v>
      </c>
      <c r="J30" s="45"/>
      <c r="K30" s="45">
        <v>3411570.9800000004</v>
      </c>
    </row>
    <row r="31" spans="1:11" x14ac:dyDescent="0.25">
      <c r="A31" s="47" t="s">
        <v>140</v>
      </c>
      <c r="B31" s="45">
        <v>254133.08669999999</v>
      </c>
    </row>
    <row r="32" spans="1:11" x14ac:dyDescent="0.25">
      <c r="A32" s="47" t="s">
        <v>141</v>
      </c>
      <c r="B32" s="45">
        <v>0</v>
      </c>
    </row>
    <row r="33" spans="1:2" x14ac:dyDescent="0.25">
      <c r="A33" s="47" t="s">
        <v>132</v>
      </c>
      <c r="B33" s="45">
        <v>1332490.9834400001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EA40F-9955-42DC-9EC2-499E744E8A2C}">
  <dimension ref="A1"/>
  <sheetViews>
    <sheetView showGridLines="0" zoomScale="89" zoomScaleNormal="89" workbookViewId="0">
      <selection activeCell="Z7" sqref="Z7"/>
    </sheetView>
  </sheetViews>
  <sheetFormatPr baseColWidth="10" defaultRowHeight="15" x14ac:dyDescent="0.25"/>
  <sheetData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A104D55A57FD4BB228111F19EBDAD6" ma:contentTypeVersion="11" ma:contentTypeDescription="Create a new document." ma:contentTypeScope="" ma:versionID="b3df30c5f1cc746f25c031926574679f">
  <xsd:schema xmlns:xsd="http://www.w3.org/2001/XMLSchema" xmlns:xs="http://www.w3.org/2001/XMLSchema" xmlns:p="http://schemas.microsoft.com/office/2006/metadata/properties" xmlns:ns3="bfc65d4e-cafc-4c54-97a9-8827d3370f16" targetNamespace="http://schemas.microsoft.com/office/2006/metadata/properties" ma:root="true" ma:fieldsID="a36705ee8834f6149006b7ca24f61eba" ns3:_="">
    <xsd:import namespace="bfc65d4e-cafc-4c54-97a9-8827d3370f1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c65d4e-cafc-4c54-97a9-8827d3370f1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fc65d4e-cafc-4c54-97a9-8827d3370f16" xsi:nil="true"/>
  </documentManagement>
</p:properties>
</file>

<file path=customXml/itemProps1.xml><?xml version="1.0" encoding="utf-8"?>
<ds:datastoreItem xmlns:ds="http://schemas.openxmlformats.org/officeDocument/2006/customXml" ds:itemID="{DBBB0892-D583-4AFC-B00A-E265D47E53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c65d4e-cafc-4c54-97a9-8827d3370f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1175C0-B315-4825-96FF-6D71093B85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C096A8-3A2B-4492-B3A7-E66A491105E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bfc65d4e-cafc-4c54-97a9-8827d3370f1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Agenda_05</vt:lpstr>
      <vt:lpstr>Dades</vt:lpstr>
      <vt:lpstr>Restaurants_05</vt:lpstr>
      <vt:lpstr>Empresa_05</vt:lpstr>
      <vt:lpstr>Casaments_05</vt:lpstr>
      <vt:lpstr>Precuinats_05</vt:lpstr>
      <vt:lpstr>Foodlovers_05</vt:lpstr>
      <vt:lpstr>Green Vita_05</vt:lpstr>
      <vt:lpstr>TOTAL</vt:lpstr>
      <vt:lpstr>REAL_05</vt:lpstr>
      <vt:lpstr>ANUAL</vt:lpstr>
      <vt:lpstr>REAL mes</vt:lpstr>
      <vt:lpstr>C.Explotacio Rsum</vt:lpstr>
      <vt:lpstr>Resum</vt:lpstr>
      <vt:lpstr>TDatos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Oriol Puig - CAL BLAY</dc:creator>
  <cp:lastModifiedBy>Oriol Puig - CAL BLAY</cp:lastModifiedBy>
  <cp:lastPrinted>2026-04-24T09:22:49Z</cp:lastPrinted>
  <dcterms:created xsi:type="dcterms:W3CDTF">2026-04-24T08:55:45Z</dcterms:created>
  <dcterms:modified xsi:type="dcterms:W3CDTF">2026-06-29T15:45:51Z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0x01010014A104D55A57FD4BB228111F19EBDAD6</vt:lpwstr>
  </property>
</Properties>
</file>