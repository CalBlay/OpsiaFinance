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"/>
    </mc:Choice>
  </mc:AlternateContent>
  <xr:revisionPtr revIDLastSave="0" documentId="8_{EBA94B86-0E82-4277-96F6-DE0060A69684}" xr6:coauthVersionLast="47" xr6:coauthVersionMax="47" xr10:uidLastSave="{00000000-0000-0000-0000-000000000000}"/>
  <bookViews>
    <workbookView xWindow="-120" yWindow="-120" windowWidth="29040" windowHeight="15720" activeTab="10" xr2:uid="{7721B4A0-5FF4-4174-A6E6-E9D1605522F6}"/>
  </bookViews>
  <sheets>
    <sheet name="Origens" sheetId="1" r:id="rId1"/>
    <sheet name="Nautic" sheetId="2" r:id="rId2"/>
    <sheet name="Masia" sheetId="3" r:id="rId3"/>
    <sheet name="Camp Nou" sheetId="4" r:id="rId4"/>
    <sheet name="Tarraco" sheetId="5" r:id="rId5"/>
    <sheet name="Mirador" sheetId="6" r:id="rId6"/>
    <sheet name="Juno" sheetId="7" r:id="rId7"/>
    <sheet name="FDLC" sheetId="8" r:id="rId8"/>
    <sheet name="Plural" sheetId="9" r:id="rId9"/>
    <sheet name="Soliver" sheetId="10" r:id="rId10"/>
    <sheet name="REST" sheetId="17" r:id="rId11"/>
    <sheet name="Departament" sheetId="1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8" l="1"/>
  <c r="C14" i="18"/>
  <c r="D18" i="18" l="1"/>
  <c r="D33" i="18" s="1"/>
  <c r="E18" i="18"/>
  <c r="E33" i="18" s="1"/>
  <c r="F18" i="18"/>
  <c r="F33" i="18" s="1"/>
  <c r="G18" i="18"/>
  <c r="G33" i="18" s="1"/>
  <c r="H18" i="18"/>
  <c r="H33" i="18" s="1"/>
  <c r="I18" i="18"/>
  <c r="I33" i="18" s="1"/>
  <c r="J18" i="18"/>
  <c r="K18" i="18"/>
  <c r="L18" i="18"/>
  <c r="M18" i="18"/>
  <c r="N18" i="18"/>
  <c r="N32" i="18" s="1"/>
  <c r="C18" i="18"/>
  <c r="J32" i="18"/>
  <c r="K32" i="18"/>
  <c r="L32" i="18"/>
  <c r="M32" i="18"/>
  <c r="J33" i="18"/>
  <c r="K33" i="18"/>
  <c r="L33" i="18"/>
  <c r="M33" i="18"/>
  <c r="N33" i="18"/>
  <c r="C33" i="18"/>
  <c r="C34" i="18" s="1"/>
  <c r="C32" i="18"/>
  <c r="D31" i="18"/>
  <c r="E31" i="18"/>
  <c r="F31" i="18"/>
  <c r="G31" i="18"/>
  <c r="H31" i="18"/>
  <c r="I31" i="18"/>
  <c r="J31" i="18"/>
  <c r="K31" i="18"/>
  <c r="L31" i="18"/>
  <c r="M31" i="18"/>
  <c r="N31" i="18"/>
  <c r="C31" i="18"/>
  <c r="D34" i="18" l="1"/>
  <c r="E34" i="18" s="1"/>
  <c r="F34" i="18" s="1"/>
  <c r="G34" i="18" s="1"/>
  <c r="I32" i="18"/>
  <c r="H32" i="18"/>
  <c r="G32" i="18"/>
  <c r="F32" i="18"/>
  <c r="E32" i="18"/>
  <c r="D32" i="18"/>
  <c r="O32" i="18" l="1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7" i="18"/>
  <c r="O16" i="18"/>
  <c r="O15" i="18"/>
  <c r="O14" i="18"/>
  <c r="O13" i="18"/>
  <c r="N12" i="18"/>
  <c r="M12" i="18"/>
  <c r="L12" i="18"/>
  <c r="K12" i="18"/>
  <c r="J12" i="18"/>
  <c r="I12" i="18"/>
  <c r="H12" i="18"/>
  <c r="O11" i="18"/>
  <c r="O10" i="18"/>
  <c r="O9" i="18"/>
  <c r="O8" i="18"/>
  <c r="O7" i="18"/>
  <c r="O6" i="18"/>
  <c r="O5" i="18"/>
  <c r="O4" i="18"/>
  <c r="O3" i="18"/>
  <c r="D3" i="17"/>
  <c r="E3" i="17"/>
  <c r="F3" i="17"/>
  <c r="G3" i="17"/>
  <c r="H3" i="17"/>
  <c r="I3" i="17"/>
  <c r="J3" i="17"/>
  <c r="K3" i="17"/>
  <c r="L3" i="17"/>
  <c r="M3" i="17"/>
  <c r="N3" i="17"/>
  <c r="D4" i="17"/>
  <c r="E4" i="17"/>
  <c r="F4" i="17"/>
  <c r="G4" i="17"/>
  <c r="H4" i="17"/>
  <c r="I4" i="17"/>
  <c r="J4" i="17"/>
  <c r="K4" i="17"/>
  <c r="L4" i="17"/>
  <c r="M4" i="17"/>
  <c r="N4" i="17"/>
  <c r="D5" i="17"/>
  <c r="E5" i="17"/>
  <c r="F5" i="17"/>
  <c r="G5" i="17"/>
  <c r="H5" i="17"/>
  <c r="I5" i="17"/>
  <c r="J5" i="17"/>
  <c r="K5" i="17"/>
  <c r="L5" i="17"/>
  <c r="M5" i="17"/>
  <c r="N5" i="17"/>
  <c r="D6" i="17"/>
  <c r="E6" i="17"/>
  <c r="F6" i="17"/>
  <c r="G6" i="17"/>
  <c r="H6" i="17"/>
  <c r="I6" i="17"/>
  <c r="J6" i="17"/>
  <c r="K6" i="17"/>
  <c r="L6" i="17"/>
  <c r="M6" i="17"/>
  <c r="N6" i="17"/>
  <c r="D7" i="17"/>
  <c r="E7" i="17"/>
  <c r="E33" i="17" s="1"/>
  <c r="F7" i="17"/>
  <c r="F33" i="17" s="1"/>
  <c r="G7" i="17"/>
  <c r="G33" i="17" s="1"/>
  <c r="H7" i="17"/>
  <c r="I7" i="17"/>
  <c r="J7" i="17"/>
  <c r="K7" i="17"/>
  <c r="L7" i="17"/>
  <c r="M7" i="17"/>
  <c r="N7" i="17"/>
  <c r="D8" i="17"/>
  <c r="E8" i="17"/>
  <c r="F8" i="17"/>
  <c r="G8" i="17"/>
  <c r="H8" i="17"/>
  <c r="I8" i="17"/>
  <c r="J8" i="17"/>
  <c r="K8" i="17"/>
  <c r="L8" i="17"/>
  <c r="M8" i="17"/>
  <c r="N8" i="17"/>
  <c r="D9" i="17"/>
  <c r="E9" i="17"/>
  <c r="F9" i="17"/>
  <c r="G9" i="17"/>
  <c r="H9" i="17"/>
  <c r="I9" i="17"/>
  <c r="J9" i="17"/>
  <c r="K9" i="17"/>
  <c r="L9" i="17"/>
  <c r="M9" i="17"/>
  <c r="N9" i="17"/>
  <c r="D10" i="17"/>
  <c r="E10" i="17"/>
  <c r="F10" i="17"/>
  <c r="G10" i="17"/>
  <c r="H10" i="17"/>
  <c r="I10" i="17"/>
  <c r="J10" i="17"/>
  <c r="K10" i="17"/>
  <c r="L10" i="17"/>
  <c r="M10" i="17"/>
  <c r="N10" i="17"/>
  <c r="D11" i="17"/>
  <c r="E11" i="17"/>
  <c r="F11" i="17"/>
  <c r="G11" i="17"/>
  <c r="H11" i="17"/>
  <c r="I11" i="17"/>
  <c r="J11" i="17"/>
  <c r="K11" i="17"/>
  <c r="L11" i="17"/>
  <c r="M11" i="17"/>
  <c r="N11" i="17"/>
  <c r="D12" i="17"/>
  <c r="E12" i="17"/>
  <c r="F12" i="17"/>
  <c r="G12" i="17"/>
  <c r="H12" i="17"/>
  <c r="I12" i="17"/>
  <c r="J12" i="17"/>
  <c r="K12" i="17"/>
  <c r="L12" i="17"/>
  <c r="L33" i="17" s="1"/>
  <c r="M12" i="17"/>
  <c r="M33" i="17" s="1"/>
  <c r="N12" i="17"/>
  <c r="N33" i="17" s="1"/>
  <c r="D13" i="17"/>
  <c r="O13" i="17" s="1"/>
  <c r="E13" i="17"/>
  <c r="F13" i="17"/>
  <c r="G13" i="17"/>
  <c r="H13" i="17"/>
  <c r="I13" i="17"/>
  <c r="J13" i="17"/>
  <c r="K13" i="17"/>
  <c r="L13" i="17"/>
  <c r="M13" i="17"/>
  <c r="N13" i="17"/>
  <c r="D14" i="17"/>
  <c r="O14" i="17" s="1"/>
  <c r="E14" i="17"/>
  <c r="F14" i="17"/>
  <c r="G14" i="17"/>
  <c r="H14" i="17"/>
  <c r="I14" i="17"/>
  <c r="J14" i="17"/>
  <c r="K14" i="17"/>
  <c r="L14" i="17"/>
  <c r="M14" i="17"/>
  <c r="N14" i="17"/>
  <c r="D15" i="17"/>
  <c r="E15" i="17"/>
  <c r="F15" i="17"/>
  <c r="G15" i="17"/>
  <c r="H15" i="17"/>
  <c r="I15" i="17"/>
  <c r="J15" i="17"/>
  <c r="K15" i="17"/>
  <c r="L15" i="17"/>
  <c r="M15" i="17"/>
  <c r="N15" i="17"/>
  <c r="D16" i="17"/>
  <c r="E16" i="17"/>
  <c r="F16" i="17"/>
  <c r="G16" i="17"/>
  <c r="H16" i="17"/>
  <c r="I16" i="17"/>
  <c r="J16" i="17"/>
  <c r="K16" i="17"/>
  <c r="L16" i="17"/>
  <c r="M16" i="17"/>
  <c r="N16" i="17"/>
  <c r="D17" i="17"/>
  <c r="O17" i="17" s="1"/>
  <c r="E17" i="17"/>
  <c r="F17" i="17"/>
  <c r="G17" i="17"/>
  <c r="H17" i="17"/>
  <c r="I17" i="17"/>
  <c r="J17" i="17"/>
  <c r="K17" i="17"/>
  <c r="L17" i="17"/>
  <c r="M17" i="17"/>
  <c r="N17" i="17"/>
  <c r="D18" i="17"/>
  <c r="E18" i="17"/>
  <c r="F18" i="17"/>
  <c r="G18" i="17"/>
  <c r="H18" i="17"/>
  <c r="H33" i="17" s="1"/>
  <c r="I18" i="17"/>
  <c r="J18" i="17"/>
  <c r="K18" i="17"/>
  <c r="L18" i="17"/>
  <c r="M18" i="17"/>
  <c r="N18" i="17"/>
  <c r="D19" i="17"/>
  <c r="E19" i="17"/>
  <c r="F19" i="17"/>
  <c r="G19" i="17"/>
  <c r="H19" i="17"/>
  <c r="I19" i="17"/>
  <c r="J19" i="17"/>
  <c r="K19" i="17"/>
  <c r="L19" i="17"/>
  <c r="M19" i="17"/>
  <c r="N19" i="17"/>
  <c r="D20" i="17"/>
  <c r="E20" i="17"/>
  <c r="F20" i="17"/>
  <c r="G20" i="17"/>
  <c r="H20" i="17"/>
  <c r="I20" i="17"/>
  <c r="J20" i="17"/>
  <c r="K20" i="17"/>
  <c r="L20" i="17"/>
  <c r="M20" i="17"/>
  <c r="N20" i="17"/>
  <c r="D21" i="17"/>
  <c r="E21" i="17"/>
  <c r="F21" i="17"/>
  <c r="G21" i="17"/>
  <c r="H21" i="17"/>
  <c r="I21" i="17"/>
  <c r="J21" i="17"/>
  <c r="K21" i="17"/>
  <c r="L21" i="17"/>
  <c r="M21" i="17"/>
  <c r="N21" i="17"/>
  <c r="D22" i="17"/>
  <c r="E22" i="17"/>
  <c r="F22" i="17"/>
  <c r="G22" i="17"/>
  <c r="H22" i="17"/>
  <c r="I22" i="17"/>
  <c r="J22" i="17"/>
  <c r="K22" i="17"/>
  <c r="L22" i="17"/>
  <c r="M22" i="17"/>
  <c r="N22" i="17"/>
  <c r="D23" i="17"/>
  <c r="O23" i="17" s="1"/>
  <c r="E23" i="17"/>
  <c r="F23" i="17"/>
  <c r="G23" i="17"/>
  <c r="H23" i="17"/>
  <c r="I23" i="17"/>
  <c r="J23" i="17"/>
  <c r="K23" i="17"/>
  <c r="L23" i="17"/>
  <c r="M23" i="17"/>
  <c r="N23" i="17"/>
  <c r="D24" i="17"/>
  <c r="O24" i="17" s="1"/>
  <c r="E24" i="17"/>
  <c r="F24" i="17"/>
  <c r="G24" i="17"/>
  <c r="H24" i="17"/>
  <c r="I24" i="17"/>
  <c r="J24" i="17"/>
  <c r="K24" i="17"/>
  <c r="L24" i="17"/>
  <c r="M24" i="17"/>
  <c r="N24" i="17"/>
  <c r="D25" i="17"/>
  <c r="E25" i="17"/>
  <c r="O25" i="17" s="1"/>
  <c r="F25" i="17"/>
  <c r="G25" i="17"/>
  <c r="H25" i="17"/>
  <c r="I25" i="17"/>
  <c r="J25" i="17"/>
  <c r="K25" i="17"/>
  <c r="L25" i="17"/>
  <c r="M25" i="17"/>
  <c r="N25" i="17"/>
  <c r="D26" i="17"/>
  <c r="E26" i="17"/>
  <c r="F26" i="17"/>
  <c r="G26" i="17"/>
  <c r="H26" i="17"/>
  <c r="I26" i="17"/>
  <c r="J26" i="17"/>
  <c r="K26" i="17"/>
  <c r="L26" i="17"/>
  <c r="M26" i="17"/>
  <c r="N26" i="17"/>
  <c r="D27" i="17"/>
  <c r="E27" i="17"/>
  <c r="F27" i="17"/>
  <c r="G27" i="17"/>
  <c r="H27" i="17"/>
  <c r="I27" i="17"/>
  <c r="J27" i="17"/>
  <c r="K27" i="17"/>
  <c r="L27" i="17"/>
  <c r="M27" i="17"/>
  <c r="N27" i="17"/>
  <c r="D28" i="17"/>
  <c r="O28" i="17" s="1"/>
  <c r="E28" i="17"/>
  <c r="F28" i="17"/>
  <c r="G28" i="17"/>
  <c r="H28" i="17"/>
  <c r="I28" i="17"/>
  <c r="J28" i="17"/>
  <c r="K28" i="17"/>
  <c r="L28" i="17"/>
  <c r="M28" i="17"/>
  <c r="N28" i="17"/>
  <c r="D29" i="17"/>
  <c r="O29" i="17" s="1"/>
  <c r="E29" i="17"/>
  <c r="F29" i="17"/>
  <c r="G29" i="17"/>
  <c r="H29" i="17"/>
  <c r="I29" i="17"/>
  <c r="J29" i="17"/>
  <c r="K29" i="17"/>
  <c r="L29" i="17"/>
  <c r="M29" i="17"/>
  <c r="N29" i="17"/>
  <c r="D30" i="17"/>
  <c r="E30" i="17"/>
  <c r="F30" i="17"/>
  <c r="G30" i="17"/>
  <c r="H30" i="17"/>
  <c r="I30" i="17"/>
  <c r="J30" i="17"/>
  <c r="O30" i="17" s="1"/>
  <c r="K30" i="17"/>
  <c r="L30" i="17"/>
  <c r="M30" i="17"/>
  <c r="N30" i="17"/>
  <c r="D31" i="17"/>
  <c r="E31" i="17"/>
  <c r="F31" i="17"/>
  <c r="G31" i="17"/>
  <c r="H31" i="17"/>
  <c r="I31" i="17"/>
  <c r="J31" i="17"/>
  <c r="K31" i="17"/>
  <c r="L31" i="17"/>
  <c r="M31" i="17"/>
  <c r="N31" i="17"/>
  <c r="D32" i="17"/>
  <c r="O32" i="17" s="1"/>
  <c r="E32" i="17"/>
  <c r="F32" i="17"/>
  <c r="G32" i="17"/>
  <c r="H32" i="17"/>
  <c r="I32" i="17"/>
  <c r="J32" i="17"/>
  <c r="K32" i="17"/>
  <c r="L32" i="17"/>
  <c r="M32" i="17"/>
  <c r="N32" i="17"/>
  <c r="C4" i="17"/>
  <c r="C5" i="17"/>
  <c r="C6" i="17"/>
  <c r="O6" i="17" s="1"/>
  <c r="C7" i="17"/>
  <c r="C8" i="17"/>
  <c r="C9" i="17"/>
  <c r="O9" i="17" s="1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O22" i="17" s="1"/>
  <c r="C23" i="17"/>
  <c r="C24" i="17"/>
  <c r="C25" i="17"/>
  <c r="C26" i="17"/>
  <c r="C27" i="17"/>
  <c r="C28" i="17"/>
  <c r="C29" i="17"/>
  <c r="C30" i="17"/>
  <c r="C31" i="17"/>
  <c r="C32" i="17"/>
  <c r="C3" i="17"/>
  <c r="D33" i="17"/>
  <c r="O31" i="17"/>
  <c r="C33" i="17"/>
  <c r="D12" i="1"/>
  <c r="D33" i="1" s="1"/>
  <c r="E12" i="1"/>
  <c r="E33" i="1" s="1"/>
  <c r="F12" i="1"/>
  <c r="F33" i="1" s="1"/>
  <c r="G12" i="1"/>
  <c r="H12" i="1"/>
  <c r="I12" i="1"/>
  <c r="J12" i="1"/>
  <c r="K12" i="1"/>
  <c r="L12" i="1"/>
  <c r="M12" i="1"/>
  <c r="N12" i="1"/>
  <c r="C12" i="1"/>
  <c r="D18" i="1"/>
  <c r="E18" i="1"/>
  <c r="F18" i="1"/>
  <c r="G18" i="1"/>
  <c r="H18" i="1"/>
  <c r="H33" i="1" s="1"/>
  <c r="I18" i="1"/>
  <c r="I33" i="1" s="1"/>
  <c r="J18" i="1"/>
  <c r="J33" i="1" s="1"/>
  <c r="K18" i="1"/>
  <c r="L18" i="1"/>
  <c r="M18" i="1"/>
  <c r="N18" i="1"/>
  <c r="C18" i="1"/>
  <c r="D31" i="1"/>
  <c r="E31" i="1"/>
  <c r="F31" i="1"/>
  <c r="G31" i="1"/>
  <c r="H31" i="1"/>
  <c r="I31" i="1"/>
  <c r="J31" i="1"/>
  <c r="K31" i="1"/>
  <c r="L31" i="1"/>
  <c r="M31" i="1"/>
  <c r="N31" i="1"/>
  <c r="C31" i="1"/>
  <c r="C33" i="1" s="1"/>
  <c r="D32" i="1"/>
  <c r="E32" i="1"/>
  <c r="F32" i="1"/>
  <c r="G32" i="1"/>
  <c r="G33" i="1"/>
  <c r="D12" i="2"/>
  <c r="E12" i="2"/>
  <c r="F12" i="2"/>
  <c r="G12" i="2"/>
  <c r="H12" i="2"/>
  <c r="I12" i="2"/>
  <c r="J12" i="2"/>
  <c r="K12" i="2"/>
  <c r="L12" i="2"/>
  <c r="M12" i="2"/>
  <c r="N12" i="2"/>
  <c r="C12" i="2"/>
  <c r="D18" i="2"/>
  <c r="E18" i="2"/>
  <c r="F18" i="2"/>
  <c r="G18" i="2"/>
  <c r="H18" i="2"/>
  <c r="H33" i="2" s="1"/>
  <c r="I18" i="2"/>
  <c r="I33" i="2" s="1"/>
  <c r="J18" i="2"/>
  <c r="K18" i="2"/>
  <c r="L18" i="2"/>
  <c r="M18" i="2"/>
  <c r="N18" i="2"/>
  <c r="C18" i="2"/>
  <c r="D33" i="2"/>
  <c r="F33" i="2"/>
  <c r="G33" i="2"/>
  <c r="C33" i="2"/>
  <c r="D31" i="2"/>
  <c r="E31" i="2"/>
  <c r="E33" i="2" s="1"/>
  <c r="F31" i="2"/>
  <c r="G31" i="2"/>
  <c r="H31" i="2"/>
  <c r="H32" i="2" s="1"/>
  <c r="I31" i="2"/>
  <c r="I32" i="2" s="1"/>
  <c r="J31" i="2"/>
  <c r="J32" i="2" s="1"/>
  <c r="K31" i="2"/>
  <c r="K32" i="2" s="1"/>
  <c r="L31" i="2"/>
  <c r="M31" i="2"/>
  <c r="N31" i="2"/>
  <c r="C31" i="2"/>
  <c r="C32" i="2" s="1"/>
  <c r="D32" i="2"/>
  <c r="F32" i="2"/>
  <c r="G32" i="2"/>
  <c r="D32" i="3"/>
  <c r="E32" i="3"/>
  <c r="F32" i="3"/>
  <c r="G32" i="3"/>
  <c r="H32" i="3"/>
  <c r="I32" i="3"/>
  <c r="J32" i="3"/>
  <c r="K32" i="3"/>
  <c r="L32" i="3"/>
  <c r="M32" i="3"/>
  <c r="N32" i="3"/>
  <c r="C32" i="3"/>
  <c r="D32" i="4"/>
  <c r="E32" i="4"/>
  <c r="F32" i="4"/>
  <c r="G32" i="4"/>
  <c r="H32" i="4"/>
  <c r="I32" i="4"/>
  <c r="J32" i="4"/>
  <c r="K32" i="4"/>
  <c r="L32" i="4"/>
  <c r="M32" i="4"/>
  <c r="N32" i="4"/>
  <c r="C32" i="4"/>
  <c r="D32" i="5"/>
  <c r="E32" i="5"/>
  <c r="F32" i="5"/>
  <c r="G32" i="5"/>
  <c r="H32" i="5"/>
  <c r="I32" i="5"/>
  <c r="J32" i="5"/>
  <c r="K32" i="5"/>
  <c r="L32" i="5"/>
  <c r="M32" i="5"/>
  <c r="N32" i="5"/>
  <c r="C32" i="5"/>
  <c r="D32" i="6"/>
  <c r="E32" i="6"/>
  <c r="F32" i="6"/>
  <c r="G32" i="6"/>
  <c r="H32" i="6"/>
  <c r="I32" i="6"/>
  <c r="J32" i="6"/>
  <c r="K32" i="6"/>
  <c r="L32" i="6"/>
  <c r="M32" i="6"/>
  <c r="N32" i="6"/>
  <c r="C32" i="6"/>
  <c r="D32" i="7"/>
  <c r="E32" i="7"/>
  <c r="F32" i="7"/>
  <c r="G32" i="7"/>
  <c r="H32" i="7"/>
  <c r="I32" i="7"/>
  <c r="J32" i="7"/>
  <c r="K32" i="7"/>
  <c r="L32" i="7"/>
  <c r="M32" i="7"/>
  <c r="N32" i="7"/>
  <c r="C32" i="7"/>
  <c r="D32" i="9"/>
  <c r="E32" i="9"/>
  <c r="F32" i="9"/>
  <c r="G32" i="9"/>
  <c r="H32" i="9"/>
  <c r="I32" i="9"/>
  <c r="J32" i="9"/>
  <c r="K32" i="9"/>
  <c r="L32" i="9"/>
  <c r="M32" i="9"/>
  <c r="N32" i="9"/>
  <c r="C32" i="9"/>
  <c r="D32" i="10"/>
  <c r="E32" i="10"/>
  <c r="F32" i="10"/>
  <c r="G32" i="10"/>
  <c r="C32" i="10"/>
  <c r="D12" i="7"/>
  <c r="E12" i="7"/>
  <c r="F12" i="7"/>
  <c r="G12" i="7"/>
  <c r="G33" i="7" s="1"/>
  <c r="H12" i="7"/>
  <c r="H33" i="7" s="1"/>
  <c r="I12" i="7"/>
  <c r="J12" i="7"/>
  <c r="K12" i="7"/>
  <c r="L12" i="7"/>
  <c r="M12" i="7"/>
  <c r="N12" i="7"/>
  <c r="C12" i="7"/>
  <c r="C33" i="7" s="1"/>
  <c r="D18" i="7"/>
  <c r="E18" i="7"/>
  <c r="F18" i="7"/>
  <c r="G18" i="7"/>
  <c r="H18" i="7"/>
  <c r="I18" i="7"/>
  <c r="J18" i="7"/>
  <c r="K18" i="7"/>
  <c r="L18" i="7"/>
  <c r="M18" i="7"/>
  <c r="N18" i="7"/>
  <c r="C18" i="7"/>
  <c r="D31" i="7"/>
  <c r="E31" i="7"/>
  <c r="F31" i="7"/>
  <c r="G31" i="7"/>
  <c r="H31" i="7"/>
  <c r="I31" i="7"/>
  <c r="J31" i="7"/>
  <c r="K31" i="7"/>
  <c r="L31" i="7"/>
  <c r="M31" i="7"/>
  <c r="N31" i="7"/>
  <c r="C31" i="7"/>
  <c r="F33" i="7"/>
  <c r="I33" i="7"/>
  <c r="D33" i="9"/>
  <c r="F33" i="9"/>
  <c r="G33" i="9"/>
  <c r="H33" i="9"/>
  <c r="I33" i="9"/>
  <c r="J33" i="9"/>
  <c r="K33" i="9"/>
  <c r="L33" i="9"/>
  <c r="M33" i="9"/>
  <c r="N33" i="9"/>
  <c r="C33" i="9"/>
  <c r="D31" i="9"/>
  <c r="E31" i="9"/>
  <c r="E33" i="9" s="1"/>
  <c r="F31" i="9"/>
  <c r="G31" i="9"/>
  <c r="H31" i="9"/>
  <c r="I31" i="9"/>
  <c r="J31" i="9"/>
  <c r="K31" i="9"/>
  <c r="L31" i="9"/>
  <c r="M31" i="9"/>
  <c r="N31" i="9"/>
  <c r="C31" i="9"/>
  <c r="D18" i="9"/>
  <c r="E18" i="9"/>
  <c r="F18" i="9"/>
  <c r="G18" i="9"/>
  <c r="H18" i="9"/>
  <c r="I18" i="9"/>
  <c r="J18" i="9"/>
  <c r="K18" i="9"/>
  <c r="L18" i="9"/>
  <c r="M18" i="9"/>
  <c r="N18" i="9"/>
  <c r="C18" i="9"/>
  <c r="D12" i="9"/>
  <c r="E12" i="9"/>
  <c r="F12" i="9"/>
  <c r="G12" i="9"/>
  <c r="H12" i="9"/>
  <c r="I12" i="9"/>
  <c r="J12" i="9"/>
  <c r="K12" i="9"/>
  <c r="L12" i="9"/>
  <c r="M12" i="9"/>
  <c r="N12" i="9"/>
  <c r="C12" i="9"/>
  <c r="D12" i="10"/>
  <c r="E12" i="10"/>
  <c r="F12" i="10"/>
  <c r="G12" i="10"/>
  <c r="H12" i="10"/>
  <c r="I12" i="10"/>
  <c r="J12" i="10"/>
  <c r="K12" i="10"/>
  <c r="L12" i="10"/>
  <c r="M12" i="10"/>
  <c r="N12" i="10"/>
  <c r="C12" i="10"/>
  <c r="D18" i="10"/>
  <c r="D33" i="10" s="1"/>
  <c r="E18" i="10"/>
  <c r="E33" i="10" s="1"/>
  <c r="F18" i="10"/>
  <c r="G18" i="10"/>
  <c r="H18" i="10"/>
  <c r="I18" i="10"/>
  <c r="J18" i="10"/>
  <c r="K18" i="10"/>
  <c r="L18" i="10"/>
  <c r="M18" i="10"/>
  <c r="N18" i="10"/>
  <c r="C18" i="10"/>
  <c r="D31" i="10"/>
  <c r="E31" i="10"/>
  <c r="F31" i="10"/>
  <c r="G31" i="10"/>
  <c r="H31" i="10"/>
  <c r="H33" i="10" s="1"/>
  <c r="I31" i="10"/>
  <c r="I33" i="10" s="1"/>
  <c r="J31" i="10"/>
  <c r="K31" i="10"/>
  <c r="L31" i="10"/>
  <c r="M31" i="10"/>
  <c r="N31" i="10"/>
  <c r="C31" i="10"/>
  <c r="C33" i="10" s="1"/>
  <c r="F33" i="10"/>
  <c r="G33" i="10"/>
  <c r="D12" i="5"/>
  <c r="E12" i="5"/>
  <c r="F12" i="5"/>
  <c r="G12" i="5"/>
  <c r="H12" i="5"/>
  <c r="I12" i="5"/>
  <c r="J12" i="5"/>
  <c r="K12" i="5"/>
  <c r="L12" i="5"/>
  <c r="M12" i="5"/>
  <c r="N12" i="5"/>
  <c r="C12" i="5"/>
  <c r="D18" i="5"/>
  <c r="E18" i="5"/>
  <c r="F18" i="5"/>
  <c r="G18" i="5"/>
  <c r="H18" i="5"/>
  <c r="I18" i="5"/>
  <c r="J18" i="5"/>
  <c r="K18" i="5"/>
  <c r="L18" i="5"/>
  <c r="M18" i="5"/>
  <c r="N18" i="5"/>
  <c r="C18" i="5"/>
  <c r="D31" i="5"/>
  <c r="E31" i="5"/>
  <c r="E33" i="5" s="1"/>
  <c r="F31" i="5"/>
  <c r="G31" i="5"/>
  <c r="H31" i="5"/>
  <c r="I31" i="5"/>
  <c r="J31" i="5"/>
  <c r="K31" i="5"/>
  <c r="L31" i="5"/>
  <c r="M31" i="5"/>
  <c r="N31" i="5"/>
  <c r="C31" i="5"/>
  <c r="C33" i="5" s="1"/>
  <c r="D33" i="5"/>
  <c r="F33" i="5"/>
  <c r="G33" i="5"/>
  <c r="D33" i="6"/>
  <c r="E33" i="6"/>
  <c r="F33" i="6"/>
  <c r="G33" i="6"/>
  <c r="H33" i="6"/>
  <c r="I33" i="6"/>
  <c r="J33" i="6"/>
  <c r="K33" i="6"/>
  <c r="L33" i="6"/>
  <c r="M33" i="6"/>
  <c r="N33" i="6"/>
  <c r="C33" i="6"/>
  <c r="D31" i="6"/>
  <c r="E31" i="6"/>
  <c r="F31" i="6"/>
  <c r="G31" i="6"/>
  <c r="H31" i="6"/>
  <c r="I31" i="6"/>
  <c r="J31" i="6"/>
  <c r="K31" i="6"/>
  <c r="L31" i="6"/>
  <c r="M31" i="6"/>
  <c r="N31" i="6"/>
  <c r="C31" i="6"/>
  <c r="D18" i="6"/>
  <c r="E18" i="6"/>
  <c r="F18" i="6"/>
  <c r="G18" i="6"/>
  <c r="H18" i="6"/>
  <c r="I18" i="6"/>
  <c r="J18" i="6"/>
  <c r="K18" i="6"/>
  <c r="L18" i="6"/>
  <c r="M18" i="6"/>
  <c r="N18" i="6"/>
  <c r="C18" i="6"/>
  <c r="D12" i="6"/>
  <c r="E12" i="6"/>
  <c r="F12" i="6"/>
  <c r="G12" i="6"/>
  <c r="H12" i="6"/>
  <c r="I12" i="6"/>
  <c r="J12" i="6"/>
  <c r="K12" i="6"/>
  <c r="L12" i="6"/>
  <c r="M12" i="6"/>
  <c r="N12" i="6"/>
  <c r="C12" i="6"/>
  <c r="D12" i="4"/>
  <c r="E12" i="4"/>
  <c r="F12" i="4"/>
  <c r="F33" i="4" s="1"/>
  <c r="G12" i="4"/>
  <c r="H12" i="4"/>
  <c r="I12" i="4"/>
  <c r="J12" i="4"/>
  <c r="K12" i="4"/>
  <c r="L12" i="4"/>
  <c r="M12" i="4"/>
  <c r="N12" i="4"/>
  <c r="C12" i="4"/>
  <c r="D18" i="4"/>
  <c r="D33" i="4" s="1"/>
  <c r="E18" i="4"/>
  <c r="F18" i="4"/>
  <c r="G18" i="4"/>
  <c r="H18" i="4"/>
  <c r="I18" i="4"/>
  <c r="J18" i="4"/>
  <c r="K18" i="4"/>
  <c r="K33" i="4" s="1"/>
  <c r="L18" i="4"/>
  <c r="M18" i="4"/>
  <c r="N18" i="4"/>
  <c r="C18" i="4"/>
  <c r="G33" i="4"/>
  <c r="H33" i="4"/>
  <c r="C33" i="4"/>
  <c r="H31" i="4"/>
  <c r="I31" i="4"/>
  <c r="J31" i="4"/>
  <c r="K31" i="4"/>
  <c r="L31" i="4"/>
  <c r="M31" i="4"/>
  <c r="N31" i="4"/>
  <c r="G31" i="4"/>
  <c r="F31" i="4"/>
  <c r="E31" i="4"/>
  <c r="E33" i="4" s="1"/>
  <c r="D31" i="4"/>
  <c r="C31" i="4"/>
  <c r="D33" i="3"/>
  <c r="E33" i="3"/>
  <c r="F33" i="3"/>
  <c r="G33" i="3"/>
  <c r="H33" i="3"/>
  <c r="I33" i="3"/>
  <c r="J33" i="3"/>
  <c r="K33" i="3"/>
  <c r="L33" i="3"/>
  <c r="M33" i="3"/>
  <c r="N33" i="3"/>
  <c r="D31" i="3"/>
  <c r="E31" i="3"/>
  <c r="F31" i="3"/>
  <c r="G31" i="3"/>
  <c r="H31" i="3"/>
  <c r="I31" i="3"/>
  <c r="J31" i="3"/>
  <c r="K31" i="3"/>
  <c r="L31" i="3"/>
  <c r="M31" i="3"/>
  <c r="N31" i="3"/>
  <c r="D12" i="3"/>
  <c r="E12" i="3"/>
  <c r="F12" i="3"/>
  <c r="G12" i="3"/>
  <c r="H12" i="3"/>
  <c r="I12" i="3"/>
  <c r="J12" i="3"/>
  <c r="K12" i="3"/>
  <c r="L12" i="3"/>
  <c r="M12" i="3"/>
  <c r="N12" i="3"/>
  <c r="C12" i="3"/>
  <c r="D18" i="3"/>
  <c r="E18" i="3"/>
  <c r="F18" i="3"/>
  <c r="G18" i="3"/>
  <c r="H18" i="3"/>
  <c r="I18" i="3"/>
  <c r="J18" i="3"/>
  <c r="K18" i="3"/>
  <c r="L18" i="3"/>
  <c r="M18" i="3"/>
  <c r="N18" i="3"/>
  <c r="C18" i="3"/>
  <c r="C31" i="3"/>
  <c r="O12" i="18" l="1"/>
  <c r="O18" i="18"/>
  <c r="O21" i="17"/>
  <c r="O20" i="17"/>
  <c r="O16" i="17"/>
  <c r="O8" i="17"/>
  <c r="O7" i="17"/>
  <c r="O5" i="17"/>
  <c r="O4" i="17"/>
  <c r="O19" i="17"/>
  <c r="O27" i="17"/>
  <c r="O11" i="17"/>
  <c r="O15" i="17"/>
  <c r="O26" i="17"/>
  <c r="O10" i="17"/>
  <c r="P31" i="17"/>
  <c r="O3" i="17"/>
  <c r="C34" i="17"/>
  <c r="D34" i="17" s="1"/>
  <c r="E34" i="17" s="1"/>
  <c r="F34" i="17" s="1"/>
  <c r="G34" i="17" s="1"/>
  <c r="O12" i="17"/>
  <c r="I33" i="17"/>
  <c r="O18" i="17"/>
  <c r="J33" i="17"/>
  <c r="K33" i="17"/>
  <c r="L33" i="1"/>
  <c r="K33" i="1"/>
  <c r="N33" i="1"/>
  <c r="M33" i="1"/>
  <c r="K32" i="1"/>
  <c r="L32" i="1"/>
  <c r="J32" i="1"/>
  <c r="I32" i="1"/>
  <c r="H32" i="1"/>
  <c r="N32" i="1"/>
  <c r="M32" i="1"/>
  <c r="C32" i="1"/>
  <c r="E32" i="2"/>
  <c r="N33" i="2"/>
  <c r="M33" i="2"/>
  <c r="L33" i="2"/>
  <c r="K33" i="2"/>
  <c r="J33" i="2"/>
  <c r="M32" i="2"/>
  <c r="N32" i="2"/>
  <c r="L32" i="2"/>
  <c r="E33" i="7"/>
  <c r="D33" i="7"/>
  <c r="N33" i="7"/>
  <c r="M33" i="7"/>
  <c r="L33" i="7"/>
  <c r="K33" i="7"/>
  <c r="J33" i="7"/>
  <c r="N33" i="10"/>
  <c r="M33" i="10"/>
  <c r="L33" i="10"/>
  <c r="K33" i="10"/>
  <c r="J33" i="10"/>
  <c r="M33" i="5"/>
  <c r="I33" i="5"/>
  <c r="N33" i="5"/>
  <c r="L33" i="5"/>
  <c r="K33" i="5"/>
  <c r="J33" i="5"/>
  <c r="H33" i="5"/>
  <c r="N33" i="4"/>
  <c r="M33" i="4"/>
  <c r="L33" i="4"/>
  <c r="I33" i="4"/>
  <c r="J33" i="4"/>
  <c r="C33" i="3"/>
  <c r="O33" i="18" l="1"/>
  <c r="P18" i="17"/>
  <c r="O33" i="17"/>
  <c r="P33" i="17" s="1"/>
  <c r="P12" i="17"/>
  <c r="O33" i="10"/>
  <c r="P33" i="10" s="1"/>
  <c r="O32" i="10"/>
  <c r="O31" i="10"/>
  <c r="P31" i="10" s="1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P18" i="10" s="1"/>
  <c r="O17" i="10"/>
  <c r="O16" i="10"/>
  <c r="O15" i="10"/>
  <c r="O14" i="10"/>
  <c r="O13" i="10"/>
  <c r="O12" i="10"/>
  <c r="P12" i="10" s="1"/>
  <c r="O11" i="10"/>
  <c r="O10" i="10"/>
  <c r="O9" i="10"/>
  <c r="O8" i="10"/>
  <c r="O7" i="10"/>
  <c r="O6" i="10"/>
  <c r="O5" i="10"/>
  <c r="O4" i="10"/>
  <c r="O3" i="10"/>
  <c r="O33" i="9"/>
  <c r="P33" i="9" s="1"/>
  <c r="O32" i="9"/>
  <c r="O31" i="9"/>
  <c r="P31" i="9" s="1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P18" i="9" s="1"/>
  <c r="O17" i="9"/>
  <c r="O16" i="9"/>
  <c r="O15" i="9"/>
  <c r="O14" i="9"/>
  <c r="O13" i="9"/>
  <c r="O12" i="9"/>
  <c r="P12" i="9" s="1"/>
  <c r="O11" i="9"/>
  <c r="O10" i="9"/>
  <c r="O9" i="9"/>
  <c r="O8" i="9"/>
  <c r="O7" i="9"/>
  <c r="O6" i="9"/>
  <c r="O5" i="9"/>
  <c r="O4" i="9"/>
  <c r="O3" i="9"/>
  <c r="O33" i="7"/>
  <c r="P33" i="7" s="1"/>
  <c r="O32" i="7"/>
  <c r="O31" i="7"/>
  <c r="P31" i="7" s="1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P18" i="7" s="1"/>
  <c r="O17" i="7"/>
  <c r="O16" i="7"/>
  <c r="O15" i="7"/>
  <c r="O14" i="7"/>
  <c r="O13" i="7"/>
  <c r="O12" i="7"/>
  <c r="O11" i="7"/>
  <c r="O10" i="7"/>
  <c r="O9" i="7"/>
  <c r="O8" i="7"/>
  <c r="O7" i="7"/>
  <c r="P12" i="7" s="1"/>
  <c r="O6" i="7"/>
  <c r="O5" i="7"/>
  <c r="O4" i="7"/>
  <c r="O3" i="7"/>
  <c r="O33" i="6"/>
  <c r="P33" i="6" s="1"/>
  <c r="O32" i="6"/>
  <c r="O31" i="6"/>
  <c r="P31" i="6" s="1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P18" i="6" s="1"/>
  <c r="O17" i="6"/>
  <c r="O16" i="6"/>
  <c r="O15" i="6"/>
  <c r="O14" i="6"/>
  <c r="O13" i="6"/>
  <c r="O12" i="6"/>
  <c r="P12" i="6" s="1"/>
  <c r="O11" i="6"/>
  <c r="O10" i="6"/>
  <c r="O9" i="6"/>
  <c r="O8" i="6"/>
  <c r="O7" i="6"/>
  <c r="O6" i="6"/>
  <c r="O5" i="6"/>
  <c r="O4" i="6"/>
  <c r="O3" i="6"/>
  <c r="O33" i="5"/>
  <c r="P33" i="5" s="1"/>
  <c r="O32" i="5"/>
  <c r="O31" i="5"/>
  <c r="P31" i="5" s="1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P18" i="5" s="1"/>
  <c r="O17" i="5"/>
  <c r="O16" i="5"/>
  <c r="O15" i="5"/>
  <c r="O14" i="5"/>
  <c r="O13" i="5"/>
  <c r="O12" i="5"/>
  <c r="P12" i="5" s="1"/>
  <c r="O11" i="5"/>
  <c r="O10" i="5"/>
  <c r="O9" i="5"/>
  <c r="O8" i="5"/>
  <c r="O7" i="5"/>
  <c r="O6" i="5"/>
  <c r="O5" i="5"/>
  <c r="O4" i="5"/>
  <c r="O3" i="5"/>
  <c r="O33" i="4"/>
  <c r="P33" i="4" s="1"/>
  <c r="O32" i="4"/>
  <c r="O31" i="4"/>
  <c r="P31" i="4" s="1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P18" i="4" s="1"/>
  <c r="O17" i="4"/>
  <c r="O16" i="4"/>
  <c r="O15" i="4"/>
  <c r="O14" i="4"/>
  <c r="O13" i="4"/>
  <c r="O12" i="4"/>
  <c r="P12" i="4" s="1"/>
  <c r="O11" i="4"/>
  <c r="O10" i="4"/>
  <c r="O9" i="4"/>
  <c r="O8" i="4"/>
  <c r="O7" i="4"/>
  <c r="O6" i="4"/>
  <c r="O5" i="4"/>
  <c r="O4" i="4"/>
  <c r="O3" i="4"/>
  <c r="O33" i="3"/>
  <c r="P33" i="3" s="1"/>
  <c r="O31" i="3"/>
  <c r="P31" i="3" s="1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P18" i="3" s="1"/>
  <c r="O17" i="3"/>
  <c r="O16" i="3"/>
  <c r="O15" i="3"/>
  <c r="O14" i="3"/>
  <c r="O13" i="3"/>
  <c r="O12" i="3"/>
  <c r="P12" i="3" s="1"/>
  <c r="O11" i="3"/>
  <c r="O10" i="3"/>
  <c r="O9" i="3"/>
  <c r="O8" i="3"/>
  <c r="O7" i="3"/>
  <c r="O6" i="3"/>
  <c r="O5" i="3"/>
  <c r="O4" i="3"/>
  <c r="O3" i="3"/>
  <c r="O33" i="2"/>
  <c r="P33" i="2" s="1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P12" i="2" s="1"/>
  <c r="O11" i="2"/>
  <c r="O10" i="2"/>
  <c r="O9" i="2"/>
  <c r="O8" i="2"/>
  <c r="O7" i="2"/>
  <c r="O6" i="2"/>
  <c r="O5" i="2"/>
  <c r="O4" i="2"/>
  <c r="O3" i="2"/>
  <c r="P1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P18" i="1" s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P31" i="1" s="1"/>
  <c r="O32" i="1"/>
  <c r="O33" i="1"/>
  <c r="P33" i="1" s="1"/>
  <c r="P18" i="2" l="1"/>
  <c r="P31" i="2"/>
  <c r="O32" i="3" l="1"/>
  <c r="C34" i="10"/>
  <c r="D34" i="10" s="1"/>
  <c r="E34" i="10" s="1"/>
  <c r="F34" i="10" s="1"/>
  <c r="G34" i="10" s="1"/>
  <c r="C34" i="9"/>
  <c r="D34" i="9" s="1"/>
  <c r="E34" i="9" s="1"/>
  <c r="F34" i="9" s="1"/>
  <c r="G34" i="9" s="1"/>
  <c r="C34" i="7"/>
  <c r="D34" i="7" s="1"/>
  <c r="E34" i="7" s="1"/>
  <c r="F34" i="7" s="1"/>
  <c r="G34" i="7" s="1"/>
  <c r="C34" i="6"/>
  <c r="D34" i="6" s="1"/>
  <c r="E34" i="6" s="1"/>
  <c r="F34" i="6" s="1"/>
  <c r="G34" i="6" s="1"/>
  <c r="C34" i="5"/>
  <c r="D34" i="5" s="1"/>
  <c r="E34" i="5" s="1"/>
  <c r="F34" i="5" s="1"/>
  <c r="G34" i="5" s="1"/>
  <c r="C34" i="4"/>
  <c r="D34" i="4" s="1"/>
  <c r="E34" i="4" s="1"/>
  <c r="F34" i="4" s="1"/>
  <c r="G34" i="4" s="1"/>
  <c r="C34" i="3"/>
  <c r="D34" i="3" s="1"/>
  <c r="E34" i="3" s="1"/>
  <c r="F34" i="3" s="1"/>
  <c r="G34" i="3" s="1"/>
  <c r="C34" i="2"/>
  <c r="D34" i="2" s="1"/>
  <c r="E34" i="2" s="1"/>
  <c r="F34" i="2" s="1"/>
  <c r="G34" i="2" s="1"/>
  <c r="C34" i="1"/>
  <c r="D34" i="1" s="1"/>
  <c r="E34" i="1" s="1"/>
  <c r="F34" i="1" s="1"/>
  <c r="G34" i="1" s="1"/>
</calcChain>
</file>

<file path=xl/sharedStrings.xml><?xml version="1.0" encoding="utf-8"?>
<sst xmlns="http://schemas.openxmlformats.org/spreadsheetml/2006/main" count="563" uniqueCount="56">
  <si>
    <t>COMPTE DE RESULTATS</t>
  </si>
  <si>
    <t>Gener</t>
  </si>
  <si>
    <t>Febrer</t>
  </si>
  <si>
    <t>Març</t>
  </si>
  <si>
    <t>Abril</t>
  </si>
  <si>
    <t>Maig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</si>
  <si>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</si>
  <si>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</si>
  <si>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</si>
  <si>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</si>
  <si>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</si>
  <si>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</si>
  <si>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</si>
  <si>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</si>
  <si>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</si>
  <si>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</si>
  <si>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</si>
  <si>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</si>
  <si>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</si>
  <si>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</si>
  <si>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</si>
  <si>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</si>
  <si>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</si>
  <si>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</si>
  <si>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</si>
  <si>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</si>
  <si>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</si>
  <si>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</si>
  <si>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</si>
  <si>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</si>
  <si>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</si>
  <si>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</si>
  <si>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</si>
  <si>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</si>
  <si>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</si>
  <si>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</si>
  <si>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</si>
  <si>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EBITDA ACUMULAT</t>
  </si>
  <si>
    <t>Juny</t>
  </si>
  <si>
    <t>Juliol</t>
  </si>
  <si>
    <t>Agost</t>
  </si>
  <si>
    <t>Setembre</t>
  </si>
  <si>
    <t>Octubre</t>
  </si>
  <si>
    <t>Novembre</t>
  </si>
  <si>
    <t>Desembre</t>
  </si>
  <si>
    <t>TOTAL</t>
  </si>
  <si>
    <t>JUNO HOUSE</t>
  </si>
  <si>
    <t>SOLIVER</t>
  </si>
  <si>
    <t>PLURAL</t>
  </si>
  <si>
    <t>MIRADOR DE LES CAVES</t>
  </si>
  <si>
    <t>TARRACO</t>
  </si>
  <si>
    <t>CAMP NOU SPOTIFY</t>
  </si>
  <si>
    <t>LA MASIA D'ESPLUGUES</t>
  </si>
  <si>
    <t>NAUTIC DE VILANOVA</t>
  </si>
  <si>
    <t>ORIGENS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</si>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</sst>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 indent="1"/>
    </xf>
    <xf numFmtId="0" fontId="3" fillId="2" borderId="0" xfId="0" applyFont="1" applyFill="1" applyAlignment="1">
      <alignment horizontal="left" indent="1"/>
    </xf>
    <xf numFmtId="4" fontId="0" fillId="0" borderId="0" xfId="0" applyNumberFormat="1"/>
    <xf numFmtId="4" fontId="3" fillId="0" borderId="0" xfId="0" applyNumberFormat="1" applyFont="1"/>
    <xf numFmtId="43" fontId="0" fillId="0" borderId="0" xfId="1" applyFont="1"/>
    <xf numFmtId="4" fontId="3" fillId="4" borderId="0" xfId="0" applyNumberFormat="1" applyFont="1" applyFill="1"/>
    <xf numFmtId="43" fontId="3" fillId="0" borderId="0" xfId="1" applyFont="1"/>
    <xf numFmtId="43" fontId="3" fillId="4" borderId="0" xfId="1" applyFont="1" applyFill="1"/>
    <xf numFmtId="4" fontId="0" fillId="0" borderId="0" xfId="0" applyNumberFormat="1" applyFill="1"/>
    <xf numFmtId="10" fontId="0" fillId="0" borderId="0" xfId="2" applyNumberFormat="1" applyFont="1"/>
    <xf numFmtId="43" fontId="0" fillId="0" borderId="0" xfId="1" applyFont="1" applyFill="1"/>
    <xf numFmtId="0" fontId="0" fillId="0" borderId="0" xfId="0" applyFill="1"/>
  </cellXfs>
  <cellStyles count="3">
    <cellStyle name="Millares" xfId="1" builtinId="3"/>
    <cellStyle name="Normal" xfId="0" builtinId="0"/>
    <cellStyle name="Porcentaje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CAB7-B977-4100-AF10-CCFD94D3186B}">
  <dimension ref="B1:P34"/>
  <sheetViews>
    <sheetView workbookViewId="0">
      <selection activeCell="B35" sqref="B35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  <col min="14" max="14" width="15.140625" customWidth="1"/>
    <col min="15" max="15" width="16" customWidth="1"/>
  </cols>
  <sheetData>
    <row r="1" spans="2:16" x14ac:dyDescent="0.25">
      <c r="B1" s="1" t="s">
        <v>54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2:16" x14ac:dyDescent="0.25">
      <c r="B3" s="4" t="s">
        <v>6</v>
      </c>
      <c r="C3" s="7">
        <v>18693.990000000002</v>
      </c>
      <c r="D3" s="7">
        <v>19741.34</v>
      </c>
      <c r="E3" s="7">
        <v>35815.300000000003</v>
      </c>
      <c r="F3" s="7">
        <v>28671.8</v>
      </c>
      <c r="G3" s="7">
        <v>33967.08</v>
      </c>
      <c r="H3" s="7"/>
      <c r="I3" s="7"/>
      <c r="J3" s="7"/>
      <c r="K3" s="7"/>
      <c r="L3" s="7"/>
      <c r="M3" s="7"/>
      <c r="N3" s="7"/>
      <c r="O3" s="7">
        <f t="shared" ref="O3:O34" si="0">SUM(C3:N3)</f>
        <v>136889.51</v>
      </c>
    </row>
    <row r="4" spans="2:16" x14ac:dyDescent="0.25">
      <c r="B4" s="4" t="s">
        <v>7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/>
      <c r="I4" s="7"/>
      <c r="J4" s="7"/>
      <c r="K4" s="7"/>
      <c r="L4" s="7"/>
      <c r="M4" s="7"/>
      <c r="N4" s="7"/>
      <c r="O4" s="7">
        <f t="shared" si="0"/>
        <v>0</v>
      </c>
    </row>
    <row r="5" spans="2:16" x14ac:dyDescent="0.25">
      <c r="B5" s="4" t="s">
        <v>8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/>
      <c r="I5" s="7"/>
      <c r="J5" s="7"/>
      <c r="K5" s="7"/>
      <c r="L5" s="7"/>
      <c r="M5" s="7"/>
      <c r="N5" s="7"/>
      <c r="O5" s="7">
        <f t="shared" si="0"/>
        <v>0</v>
      </c>
    </row>
    <row r="6" spans="2:16" x14ac:dyDescent="0.25">
      <c r="B6" s="4" t="s">
        <v>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/>
      <c r="I6" s="7"/>
      <c r="J6" s="7"/>
      <c r="K6" s="7"/>
      <c r="L6" s="7"/>
      <c r="M6" s="7"/>
      <c r="N6" s="7"/>
      <c r="O6" s="7">
        <f t="shared" si="0"/>
        <v>0</v>
      </c>
    </row>
    <row r="7" spans="2:16" x14ac:dyDescent="0.25">
      <c r="B7" s="4" t="s">
        <v>10</v>
      </c>
      <c r="C7" s="9">
        <v>18693.990000000002</v>
      </c>
      <c r="D7" s="9">
        <v>19741.34</v>
      </c>
      <c r="E7" s="9">
        <v>35815.300000000003</v>
      </c>
      <c r="F7" s="9">
        <v>28671.8</v>
      </c>
      <c r="G7" s="9">
        <v>33967.08</v>
      </c>
      <c r="H7" s="9"/>
      <c r="I7" s="9"/>
      <c r="J7" s="9"/>
      <c r="K7" s="9"/>
      <c r="L7" s="9"/>
      <c r="M7" s="9"/>
      <c r="N7" s="9"/>
      <c r="O7" s="9">
        <f t="shared" si="0"/>
        <v>136889.51</v>
      </c>
    </row>
    <row r="8" spans="2:16" x14ac:dyDescent="0.25">
      <c r="B8" s="4" t="s">
        <v>11</v>
      </c>
      <c r="C8" s="7">
        <v>-5048.8999999999996</v>
      </c>
      <c r="D8" s="7">
        <v>-4678.78</v>
      </c>
      <c r="E8" s="7">
        <v>-7125.8</v>
      </c>
      <c r="F8" s="7">
        <v>-8289.26</v>
      </c>
      <c r="G8" s="7">
        <v>-8643.92</v>
      </c>
      <c r="H8" s="7"/>
      <c r="I8" s="7"/>
      <c r="J8" s="7"/>
      <c r="K8" s="7"/>
      <c r="L8" s="7"/>
      <c r="M8" s="7"/>
      <c r="N8" s="7"/>
      <c r="O8" s="7">
        <f t="shared" si="0"/>
        <v>-33786.659999999996</v>
      </c>
    </row>
    <row r="9" spans="2:16" x14ac:dyDescent="0.25">
      <c r="B9" s="4" t="s">
        <v>12</v>
      </c>
      <c r="C9" s="7">
        <v>-467.42</v>
      </c>
      <c r="D9" s="7">
        <v>-430.14</v>
      </c>
      <c r="E9" s="7">
        <v>-183.65</v>
      </c>
      <c r="F9" s="7">
        <v>-735.07</v>
      </c>
      <c r="G9" s="7">
        <v>-436.94</v>
      </c>
      <c r="H9" s="7"/>
      <c r="I9" s="7"/>
      <c r="J9" s="7"/>
      <c r="K9" s="7"/>
      <c r="L9" s="7"/>
      <c r="M9" s="7"/>
      <c r="N9" s="7"/>
      <c r="O9" s="7">
        <f t="shared" si="0"/>
        <v>-2253.2200000000003</v>
      </c>
    </row>
    <row r="10" spans="2:16" x14ac:dyDescent="0.25">
      <c r="B10" s="4" t="s">
        <v>13</v>
      </c>
      <c r="C10" s="7">
        <v>-2572.4699999999998</v>
      </c>
      <c r="D10" s="7">
        <v>-2903.9</v>
      </c>
      <c r="E10" s="7">
        <v>-4619.8</v>
      </c>
      <c r="F10" s="7">
        <v>-4143.95</v>
      </c>
      <c r="G10" s="7">
        <v>-7297.03</v>
      </c>
      <c r="H10" s="7"/>
      <c r="I10" s="7"/>
      <c r="J10" s="7"/>
      <c r="K10" s="7"/>
      <c r="L10" s="7"/>
      <c r="M10" s="7"/>
      <c r="N10" s="7"/>
      <c r="O10" s="7">
        <f t="shared" si="0"/>
        <v>-21537.149999999998</v>
      </c>
    </row>
    <row r="11" spans="2:16" x14ac:dyDescent="0.25">
      <c r="B11" s="4" t="s">
        <v>14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/>
      <c r="I11" s="7"/>
      <c r="J11" s="7"/>
      <c r="K11" s="7"/>
      <c r="L11" s="7"/>
      <c r="M11" s="7"/>
      <c r="N11" s="7"/>
      <c r="O11" s="7">
        <f t="shared" si="0"/>
        <v>0</v>
      </c>
    </row>
    <row r="12" spans="2:16" x14ac:dyDescent="0.25">
      <c r="B12" s="4" t="s">
        <v>15</v>
      </c>
      <c r="C12" s="9">
        <f>SUM(C8:C11)</f>
        <v>-8088.7899999999991</v>
      </c>
      <c r="D12" s="9">
        <f t="shared" ref="D12:N12" si="1">SUM(D8:D11)</f>
        <v>-8012.82</v>
      </c>
      <c r="E12" s="9">
        <f t="shared" si="1"/>
        <v>-11929.25</v>
      </c>
      <c r="F12" s="9">
        <f t="shared" si="1"/>
        <v>-13168.279999999999</v>
      </c>
      <c r="G12" s="9">
        <f t="shared" si="1"/>
        <v>-16377.89</v>
      </c>
      <c r="H12" s="9">
        <f t="shared" si="1"/>
        <v>0</v>
      </c>
      <c r="I12" s="9">
        <f t="shared" si="1"/>
        <v>0</v>
      </c>
      <c r="J12" s="9">
        <f t="shared" si="1"/>
        <v>0</v>
      </c>
      <c r="K12" s="9">
        <f t="shared" si="1"/>
        <v>0</v>
      </c>
      <c r="L12" s="9">
        <f t="shared" si="1"/>
        <v>0</v>
      </c>
      <c r="M12" s="9">
        <f t="shared" si="1"/>
        <v>0</v>
      </c>
      <c r="N12" s="9">
        <f t="shared" si="1"/>
        <v>0</v>
      </c>
      <c r="O12" s="9">
        <f t="shared" si="0"/>
        <v>-57577.03</v>
      </c>
      <c r="P12" s="12">
        <f>O12/$O$7</f>
        <v>-0.42060951200716545</v>
      </c>
    </row>
    <row r="13" spans="2:16" x14ac:dyDescent="0.25">
      <c r="B13" s="4" t="s">
        <v>16</v>
      </c>
      <c r="C13" s="7">
        <v>13177.67</v>
      </c>
      <c r="D13" s="7">
        <v>14632.42</v>
      </c>
      <c r="E13" s="7">
        <v>27405.85</v>
      </c>
      <c r="F13" s="7">
        <v>19647.47</v>
      </c>
      <c r="G13" s="7">
        <v>25646.34</v>
      </c>
      <c r="H13" s="7"/>
      <c r="I13" s="7"/>
      <c r="J13" s="7"/>
      <c r="K13" s="7"/>
      <c r="L13" s="7"/>
      <c r="M13" s="7"/>
      <c r="N13" s="7"/>
      <c r="O13" s="7">
        <f t="shared" si="0"/>
        <v>100509.75</v>
      </c>
    </row>
    <row r="14" spans="2:16" x14ac:dyDescent="0.25">
      <c r="B14" s="4" t="s">
        <v>17</v>
      </c>
      <c r="C14" s="7">
        <v>-11714.42</v>
      </c>
      <c r="D14" s="7">
        <v>-12669.86</v>
      </c>
      <c r="E14" s="7">
        <v>-13398.3</v>
      </c>
      <c r="F14" s="7">
        <v>-14208.23</v>
      </c>
      <c r="G14" s="7">
        <v>-13870.79</v>
      </c>
      <c r="H14" s="7"/>
      <c r="I14" s="7"/>
      <c r="J14" s="7"/>
      <c r="K14" s="7"/>
      <c r="L14" s="7"/>
      <c r="M14" s="7"/>
      <c r="N14" s="7"/>
      <c r="O14" s="7">
        <f t="shared" si="0"/>
        <v>-65861.600000000006</v>
      </c>
    </row>
    <row r="15" spans="2:16" x14ac:dyDescent="0.25">
      <c r="B15" s="4" t="s">
        <v>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/>
      <c r="I15" s="7"/>
      <c r="J15" s="7"/>
      <c r="K15" s="7"/>
      <c r="L15" s="7"/>
      <c r="M15" s="7"/>
      <c r="N15" s="7"/>
      <c r="O15" s="7">
        <f t="shared" si="0"/>
        <v>0</v>
      </c>
    </row>
    <row r="16" spans="2:16" x14ac:dyDescent="0.25">
      <c r="B16" s="4" t="s">
        <v>19</v>
      </c>
      <c r="C16" s="7">
        <v>-3935.15</v>
      </c>
      <c r="D16" s="7">
        <v>-4606.24</v>
      </c>
      <c r="E16" s="7">
        <v>-4790.16</v>
      </c>
      <c r="F16" s="7">
        <v>-4731.84</v>
      </c>
      <c r="G16" s="7">
        <v>-4438.09</v>
      </c>
      <c r="H16" s="7"/>
      <c r="I16" s="7"/>
      <c r="J16" s="7"/>
      <c r="K16" s="7"/>
      <c r="L16" s="7"/>
      <c r="M16" s="7"/>
      <c r="N16" s="7"/>
      <c r="O16" s="7">
        <f t="shared" si="0"/>
        <v>-22501.48</v>
      </c>
    </row>
    <row r="17" spans="2:16" x14ac:dyDescent="0.25">
      <c r="B17" s="4" t="s">
        <v>20</v>
      </c>
      <c r="C17" s="7">
        <v>-56.98</v>
      </c>
      <c r="D17" s="7">
        <v>0</v>
      </c>
      <c r="E17" s="7">
        <v>0</v>
      </c>
      <c r="F17" s="7">
        <v>-35.950000000000003</v>
      </c>
      <c r="G17" s="7">
        <v>0</v>
      </c>
      <c r="H17" s="7"/>
      <c r="I17" s="7"/>
      <c r="J17" s="7"/>
      <c r="K17" s="7"/>
      <c r="L17" s="7"/>
      <c r="M17" s="7"/>
      <c r="N17" s="7"/>
      <c r="O17" s="7">
        <f t="shared" si="0"/>
        <v>-92.93</v>
      </c>
    </row>
    <row r="18" spans="2:16" x14ac:dyDescent="0.25">
      <c r="B18" s="4" t="s">
        <v>21</v>
      </c>
      <c r="C18" s="9">
        <f>SUM(C14:C17)</f>
        <v>-15706.55</v>
      </c>
      <c r="D18" s="9">
        <f t="shared" ref="D18:N18" si="2">SUM(D14:D17)</f>
        <v>-17276.099999999999</v>
      </c>
      <c r="E18" s="9">
        <f t="shared" si="2"/>
        <v>-18188.46</v>
      </c>
      <c r="F18" s="9">
        <f t="shared" si="2"/>
        <v>-18976.02</v>
      </c>
      <c r="G18" s="9">
        <f t="shared" si="2"/>
        <v>-18308.88</v>
      </c>
      <c r="H18" s="9">
        <f t="shared" si="2"/>
        <v>0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9">
        <f t="shared" si="0"/>
        <v>-88456.01</v>
      </c>
      <c r="P18" s="12">
        <f>O18/$O$7</f>
        <v>-0.6461854527786679</v>
      </c>
    </row>
    <row r="19" spans="2:16" x14ac:dyDescent="0.25">
      <c r="B19" s="4" t="s">
        <v>22</v>
      </c>
      <c r="C19" s="7">
        <v>-203.12</v>
      </c>
      <c r="D19" s="7">
        <v>0</v>
      </c>
      <c r="E19" s="7">
        <v>0</v>
      </c>
      <c r="F19" s="7">
        <v>0</v>
      </c>
      <c r="G19" s="7">
        <v>0</v>
      </c>
      <c r="H19" s="7"/>
      <c r="I19" s="7"/>
      <c r="J19" s="7"/>
      <c r="K19" s="7"/>
      <c r="L19" s="7"/>
      <c r="M19" s="7"/>
      <c r="N19" s="7"/>
      <c r="O19" s="7">
        <f t="shared" si="0"/>
        <v>-203.12</v>
      </c>
    </row>
    <row r="20" spans="2:16" x14ac:dyDescent="0.25">
      <c r="B20" s="4" t="s">
        <v>23</v>
      </c>
      <c r="C20" s="7">
        <v>-3254.51</v>
      </c>
      <c r="D20" s="7">
        <v>2145.21</v>
      </c>
      <c r="E20" s="7">
        <v>-538.53</v>
      </c>
      <c r="F20" s="7">
        <v>-1372.21</v>
      </c>
      <c r="G20" s="7">
        <v>-797.99</v>
      </c>
      <c r="H20" s="7"/>
      <c r="I20" s="7"/>
      <c r="J20" s="7"/>
      <c r="K20" s="7"/>
      <c r="L20" s="7"/>
      <c r="M20" s="7"/>
      <c r="N20" s="7"/>
      <c r="O20" s="7">
        <f t="shared" si="0"/>
        <v>-3818.0299999999997</v>
      </c>
    </row>
    <row r="21" spans="2:16" x14ac:dyDescent="0.25">
      <c r="B21" s="4" t="s">
        <v>24</v>
      </c>
      <c r="C21" s="7">
        <v>-233.12</v>
      </c>
      <c r="D21" s="7">
        <v>-270.41000000000003</v>
      </c>
      <c r="E21" s="7">
        <v>-242.36</v>
      </c>
      <c r="F21" s="7">
        <v>-303.56</v>
      </c>
      <c r="G21" s="7">
        <v>-260.20999999999998</v>
      </c>
      <c r="H21" s="7"/>
      <c r="I21" s="7"/>
      <c r="J21" s="7"/>
      <c r="K21" s="7"/>
      <c r="L21" s="7"/>
      <c r="M21" s="7"/>
      <c r="N21" s="7"/>
      <c r="O21" s="7">
        <f t="shared" si="0"/>
        <v>-1309.6600000000001</v>
      </c>
    </row>
    <row r="22" spans="2:16" x14ac:dyDescent="0.25">
      <c r="B22" s="4" t="s">
        <v>25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/>
      <c r="I22" s="7"/>
      <c r="J22" s="7"/>
      <c r="K22" s="7"/>
      <c r="L22" s="7"/>
      <c r="M22" s="7"/>
      <c r="N22" s="7"/>
      <c r="O22" s="7">
        <f t="shared" si="0"/>
        <v>0</v>
      </c>
    </row>
    <row r="23" spans="2:16" x14ac:dyDescent="0.25">
      <c r="B23" s="4" t="s">
        <v>26</v>
      </c>
      <c r="C23" s="7">
        <v>0</v>
      </c>
      <c r="D23" s="7">
        <v>-439.61</v>
      </c>
      <c r="E23" s="7">
        <v>-439.61</v>
      </c>
      <c r="F23" s="7">
        <v>-439.61</v>
      </c>
      <c r="G23" s="7">
        <v>-439.61</v>
      </c>
      <c r="H23" s="7"/>
      <c r="I23" s="7"/>
      <c r="J23" s="7"/>
      <c r="K23" s="7"/>
      <c r="L23" s="7"/>
      <c r="M23" s="7"/>
      <c r="N23" s="7"/>
      <c r="O23" s="7">
        <f t="shared" si="0"/>
        <v>-1758.44</v>
      </c>
    </row>
    <row r="24" spans="2:16" x14ac:dyDescent="0.25">
      <c r="B24" s="4" t="s">
        <v>27</v>
      </c>
      <c r="C24" s="7">
        <v>-78.930000000000007</v>
      </c>
      <c r="D24" s="7">
        <v>-76.510000000000005</v>
      </c>
      <c r="E24" s="7">
        <v>1813.05</v>
      </c>
      <c r="F24" s="7">
        <v>-98.49</v>
      </c>
      <c r="G24" s="7">
        <v>-148.58000000000001</v>
      </c>
      <c r="H24" s="7"/>
      <c r="I24" s="7"/>
      <c r="J24" s="7"/>
      <c r="K24" s="7"/>
      <c r="L24" s="7"/>
      <c r="M24" s="7"/>
      <c r="N24" s="7"/>
      <c r="O24" s="7">
        <f t="shared" si="0"/>
        <v>1410.54</v>
      </c>
    </row>
    <row r="25" spans="2:16" x14ac:dyDescent="0.25">
      <c r="B25" s="4" t="s">
        <v>28</v>
      </c>
      <c r="C25" s="7">
        <v>0</v>
      </c>
      <c r="D25" s="7">
        <v>0</v>
      </c>
      <c r="E25" s="7">
        <v>-138</v>
      </c>
      <c r="F25" s="7">
        <v>-216.95</v>
      </c>
      <c r="G25" s="7">
        <v>-10.74</v>
      </c>
      <c r="H25" s="7"/>
      <c r="I25" s="7"/>
      <c r="J25" s="7"/>
      <c r="K25" s="7"/>
      <c r="L25" s="7"/>
      <c r="M25" s="7"/>
      <c r="N25" s="7"/>
      <c r="O25" s="7">
        <f t="shared" si="0"/>
        <v>-365.69</v>
      </c>
    </row>
    <row r="26" spans="2:16" x14ac:dyDescent="0.25">
      <c r="B26" s="4" t="s">
        <v>29</v>
      </c>
      <c r="C26" s="7">
        <v>-4.5</v>
      </c>
      <c r="D26" s="7">
        <v>-1904.5</v>
      </c>
      <c r="E26" s="7">
        <v>-1900</v>
      </c>
      <c r="F26" s="7">
        <v>-1903</v>
      </c>
      <c r="G26" s="7">
        <v>-1591.65</v>
      </c>
      <c r="H26" s="7"/>
      <c r="I26" s="7"/>
      <c r="J26" s="7"/>
      <c r="K26" s="7"/>
      <c r="L26" s="7"/>
      <c r="M26" s="7"/>
      <c r="N26" s="7"/>
      <c r="O26" s="7">
        <f t="shared" si="0"/>
        <v>-7303.65</v>
      </c>
    </row>
    <row r="27" spans="2:16" x14ac:dyDescent="0.25">
      <c r="B27" s="4" t="s">
        <v>30</v>
      </c>
      <c r="C27" s="7">
        <v>-297.85000000000002</v>
      </c>
      <c r="D27" s="7">
        <v>-423.16</v>
      </c>
      <c r="E27" s="7">
        <v>-225.1</v>
      </c>
      <c r="F27" s="7">
        <v>-1165.83</v>
      </c>
      <c r="G27" s="7">
        <v>-672.77</v>
      </c>
      <c r="H27" s="7"/>
      <c r="I27" s="7"/>
      <c r="J27" s="7"/>
      <c r="K27" s="7"/>
      <c r="L27" s="7"/>
      <c r="M27" s="7"/>
      <c r="N27" s="7"/>
      <c r="O27" s="7">
        <f t="shared" si="0"/>
        <v>-2784.71</v>
      </c>
    </row>
    <row r="28" spans="2:16" x14ac:dyDescent="0.25">
      <c r="B28" s="4" t="s">
        <v>31</v>
      </c>
      <c r="C28" s="7">
        <v>0</v>
      </c>
      <c r="D28" s="7">
        <v>-1159.76</v>
      </c>
      <c r="E28" s="7">
        <v>-1159.76</v>
      </c>
      <c r="F28" s="7">
        <v>-1159.76</v>
      </c>
      <c r="G28" s="7">
        <v>-1159.76</v>
      </c>
      <c r="H28" s="7"/>
      <c r="I28" s="7"/>
      <c r="J28" s="7"/>
      <c r="K28" s="7"/>
      <c r="L28" s="7"/>
      <c r="M28" s="7"/>
      <c r="N28" s="7"/>
      <c r="O28" s="7">
        <f t="shared" si="0"/>
        <v>-4639.04</v>
      </c>
    </row>
    <row r="29" spans="2:16" x14ac:dyDescent="0.25">
      <c r="B29" s="4" t="s">
        <v>32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/>
      <c r="I29" s="7"/>
      <c r="J29" s="7"/>
      <c r="K29" s="7"/>
      <c r="L29" s="7"/>
      <c r="M29" s="7"/>
      <c r="N29" s="7"/>
      <c r="O29" s="7">
        <f t="shared" si="0"/>
        <v>0</v>
      </c>
    </row>
    <row r="30" spans="2:16" x14ac:dyDescent="0.25">
      <c r="B30" s="4" t="s">
        <v>33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/>
      <c r="I30" s="7"/>
      <c r="J30" s="7"/>
      <c r="K30" s="7"/>
      <c r="L30" s="7"/>
      <c r="M30" s="7"/>
      <c r="N30" s="7"/>
      <c r="O30" s="7">
        <f t="shared" si="0"/>
        <v>0</v>
      </c>
    </row>
    <row r="31" spans="2:16" x14ac:dyDescent="0.25">
      <c r="B31" s="4" t="s">
        <v>34</v>
      </c>
      <c r="C31" s="9">
        <f>SUM(C19:C30)</f>
        <v>-4072.0299999999997</v>
      </c>
      <c r="D31" s="9">
        <f t="shared" ref="D31:N31" si="3">SUM(D19:D30)</f>
        <v>-2128.7399999999998</v>
      </c>
      <c r="E31" s="9">
        <f t="shared" si="3"/>
        <v>-2830.31</v>
      </c>
      <c r="F31" s="9">
        <f t="shared" si="3"/>
        <v>-6659.41</v>
      </c>
      <c r="G31" s="9">
        <f t="shared" si="3"/>
        <v>-5081.3099999999995</v>
      </c>
      <c r="H31" s="9">
        <f t="shared" si="3"/>
        <v>0</v>
      </c>
      <c r="I31" s="9">
        <f t="shared" si="3"/>
        <v>0</v>
      </c>
      <c r="J31" s="9">
        <f t="shared" si="3"/>
        <v>0</v>
      </c>
      <c r="K31" s="9">
        <f t="shared" si="3"/>
        <v>0</v>
      </c>
      <c r="L31" s="9">
        <f t="shared" si="3"/>
        <v>0</v>
      </c>
      <c r="M31" s="9">
        <f t="shared" si="3"/>
        <v>0</v>
      </c>
      <c r="N31" s="9">
        <f t="shared" si="3"/>
        <v>0</v>
      </c>
      <c r="O31" s="9">
        <f t="shared" si="0"/>
        <v>-20771.8</v>
      </c>
      <c r="P31" s="12">
        <f>O31/$O$7</f>
        <v>-0.15174135695277161</v>
      </c>
    </row>
    <row r="32" spans="2:16" x14ac:dyDescent="0.25">
      <c r="B32" s="4" t="s">
        <v>35</v>
      </c>
      <c r="C32" s="7">
        <f>C31+C18</f>
        <v>-19778.579999999998</v>
      </c>
      <c r="D32" s="7">
        <f t="shared" ref="D32:N32" si="4">D31+D18</f>
        <v>-19404.839999999997</v>
      </c>
      <c r="E32" s="7">
        <f t="shared" si="4"/>
        <v>-21018.77</v>
      </c>
      <c r="F32" s="7">
        <f t="shared" si="4"/>
        <v>-25635.43</v>
      </c>
      <c r="G32" s="7">
        <f t="shared" si="4"/>
        <v>-23390.190000000002</v>
      </c>
      <c r="H32" s="7">
        <f t="shared" si="4"/>
        <v>0</v>
      </c>
      <c r="I32" s="7">
        <f t="shared" si="4"/>
        <v>0</v>
      </c>
      <c r="J32" s="7">
        <f t="shared" si="4"/>
        <v>0</v>
      </c>
      <c r="K32" s="7">
        <f t="shared" si="4"/>
        <v>0</v>
      </c>
      <c r="L32" s="7">
        <f t="shared" si="4"/>
        <v>0</v>
      </c>
      <c r="M32" s="7">
        <f t="shared" si="4"/>
        <v>0</v>
      </c>
      <c r="N32" s="7">
        <f t="shared" si="4"/>
        <v>0</v>
      </c>
      <c r="O32" s="7">
        <f t="shared" si="0"/>
        <v>-109227.81</v>
      </c>
    </row>
    <row r="33" spans="2:16" x14ac:dyDescent="0.25">
      <c r="B33" s="4" t="s">
        <v>36</v>
      </c>
      <c r="C33" s="9">
        <f>C7+(C12+C18+C31)</f>
        <v>-9173.3799999999937</v>
      </c>
      <c r="D33" s="9">
        <f t="shared" ref="D33:N33" si="5">D7+(D12+D18+D31)</f>
        <v>-7676.3199999999961</v>
      </c>
      <c r="E33" s="9">
        <f t="shared" si="5"/>
        <v>2867.2800000000061</v>
      </c>
      <c r="F33" s="9">
        <f t="shared" si="5"/>
        <v>-10131.91</v>
      </c>
      <c r="G33" s="9">
        <f t="shared" si="5"/>
        <v>-5801</v>
      </c>
      <c r="H33" s="9">
        <f t="shared" si="5"/>
        <v>0</v>
      </c>
      <c r="I33" s="9">
        <f t="shared" si="5"/>
        <v>0</v>
      </c>
      <c r="J33" s="9">
        <f t="shared" si="5"/>
        <v>0</v>
      </c>
      <c r="K33" s="9">
        <f t="shared" si="5"/>
        <v>0</v>
      </c>
      <c r="L33" s="9">
        <f t="shared" si="5"/>
        <v>0</v>
      </c>
      <c r="M33" s="9">
        <f t="shared" si="5"/>
        <v>0</v>
      </c>
      <c r="N33" s="9">
        <f t="shared" si="5"/>
        <v>0</v>
      </c>
      <c r="O33" s="6">
        <f t="shared" si="0"/>
        <v>-29915.329999999984</v>
      </c>
      <c r="P33" s="12">
        <f>O33/$O$7</f>
        <v>-0.21853632173860496</v>
      </c>
    </row>
    <row r="34" spans="2:16" x14ac:dyDescent="0.25">
      <c r="B34" s="4" t="s">
        <v>37</v>
      </c>
      <c r="C34" s="10">
        <f>C33</f>
        <v>-9173.3799999999937</v>
      </c>
      <c r="D34" s="10">
        <f>C34+D33</f>
        <v>-16849.69999999999</v>
      </c>
      <c r="E34" s="10">
        <f t="shared" ref="E34:G34" si="6">D34+E33</f>
        <v>-13982.419999999984</v>
      </c>
      <c r="F34" s="10">
        <f t="shared" si="6"/>
        <v>-24114.329999999984</v>
      </c>
      <c r="G34" s="10">
        <f t="shared" si="6"/>
        <v>-29915.329999999984</v>
      </c>
      <c r="H34" s="10"/>
      <c r="I34" s="10"/>
      <c r="J34" s="10"/>
      <c r="K34" s="10"/>
      <c r="L34" s="10"/>
      <c r="M34" s="10"/>
      <c r="N34" s="10"/>
      <c r="O34" s="10"/>
    </row>
  </sheetData>
  <conditionalFormatting sqref="O33">
    <cfRule type="cellIs" dxfId="42" priority="3" operator="lessThan">
      <formula>0</formula>
    </cfRule>
    <cfRule type="cellIs" dxfId="43" priority="4" operator="greaterThan">
      <formula>0</formula>
    </cfRule>
  </conditionalFormatting>
  <conditionalFormatting sqref="C33:N33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B235-DB58-49E2-8478-FC6811D3E082}">
  <dimension ref="B1:P34"/>
  <sheetViews>
    <sheetView workbookViewId="0">
      <selection activeCell="C12" sqref="C12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</cols>
  <sheetData>
    <row r="1" spans="2:16" x14ac:dyDescent="0.25">
      <c r="B1" s="1" t="s">
        <v>53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 s="7">
        <v>0</v>
      </c>
      <c r="D2" s="7">
        <v>0</v>
      </c>
      <c r="E2" s="7">
        <v>0</v>
      </c>
      <c r="F2" s="7">
        <v>0</v>
      </c>
      <c r="G2" s="7">
        <v>0</v>
      </c>
      <c r="H2" s="7"/>
      <c r="I2" s="7"/>
      <c r="J2" s="7"/>
      <c r="K2" s="7"/>
      <c r="L2" s="7"/>
      <c r="M2" s="7"/>
      <c r="N2" s="7"/>
      <c r="O2" s="7"/>
    </row>
    <row r="3" spans="2:16" x14ac:dyDescent="0.25">
      <c r="B3" s="4" t="s">
        <v>6</v>
      </c>
      <c r="C3" s="7">
        <v>51803.66</v>
      </c>
      <c r="D3" s="7">
        <v>96733.27</v>
      </c>
      <c r="E3" s="7">
        <v>100069.21</v>
      </c>
      <c r="F3" s="7">
        <v>126925.13</v>
      </c>
      <c r="G3" s="7">
        <v>136858.38</v>
      </c>
      <c r="H3" s="7"/>
      <c r="I3" s="7"/>
      <c r="J3" s="7"/>
      <c r="K3" s="7"/>
      <c r="L3" s="7"/>
      <c r="M3" s="7"/>
      <c r="N3" s="7"/>
      <c r="O3" s="7">
        <f t="shared" ref="O3:O33" si="0">SUM(C3:N3)</f>
        <v>512389.65</v>
      </c>
    </row>
    <row r="4" spans="2:16" x14ac:dyDescent="0.25">
      <c r="B4" s="4" t="s">
        <v>7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/>
      <c r="I4" s="7"/>
      <c r="J4" s="7"/>
      <c r="K4" s="7"/>
      <c r="L4" s="7"/>
      <c r="M4" s="7"/>
      <c r="N4" s="7"/>
      <c r="O4" s="7">
        <f t="shared" si="0"/>
        <v>0</v>
      </c>
    </row>
    <row r="5" spans="2:16" x14ac:dyDescent="0.25">
      <c r="B5" s="4" t="s">
        <v>8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/>
      <c r="I5" s="7"/>
      <c r="J5" s="7"/>
      <c r="K5" s="7"/>
      <c r="L5" s="7"/>
      <c r="M5" s="7"/>
      <c r="N5" s="7"/>
      <c r="O5" s="7">
        <f t="shared" si="0"/>
        <v>0</v>
      </c>
    </row>
    <row r="6" spans="2:16" x14ac:dyDescent="0.25">
      <c r="B6" s="4" t="s">
        <v>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/>
      <c r="I6" s="7"/>
      <c r="J6" s="7"/>
      <c r="K6" s="7"/>
      <c r="L6" s="7"/>
      <c r="M6" s="7"/>
      <c r="N6" s="7"/>
      <c r="O6" s="7">
        <f t="shared" si="0"/>
        <v>0</v>
      </c>
    </row>
    <row r="7" spans="2:16" x14ac:dyDescent="0.25">
      <c r="B7" s="4" t="s">
        <v>10</v>
      </c>
      <c r="C7" s="9">
        <v>51803.66</v>
      </c>
      <c r="D7" s="9">
        <v>96733.27</v>
      </c>
      <c r="E7" s="9">
        <v>100069.21</v>
      </c>
      <c r="F7" s="9">
        <v>126925.13</v>
      </c>
      <c r="G7" s="9">
        <v>136858.38</v>
      </c>
      <c r="H7" s="7"/>
      <c r="I7" s="7"/>
      <c r="J7" s="7"/>
      <c r="K7" s="7"/>
      <c r="L7" s="7"/>
      <c r="M7" s="7"/>
      <c r="N7" s="7"/>
      <c r="O7" s="9">
        <f t="shared" si="0"/>
        <v>512389.65</v>
      </c>
    </row>
    <row r="8" spans="2:16" x14ac:dyDescent="0.25">
      <c r="B8" s="4" t="s">
        <v>11</v>
      </c>
      <c r="C8" s="7">
        <v>-6473.87</v>
      </c>
      <c r="D8" s="7">
        <v>-22952.12</v>
      </c>
      <c r="E8" s="7">
        <v>-26112.02</v>
      </c>
      <c r="F8" s="7">
        <v>-32690.27</v>
      </c>
      <c r="G8" s="7">
        <v>-27957.1</v>
      </c>
      <c r="H8" s="7"/>
      <c r="I8" s="7"/>
      <c r="J8" s="7"/>
      <c r="K8" s="7"/>
      <c r="L8" s="7"/>
      <c r="M8" s="7"/>
      <c r="N8" s="7"/>
      <c r="O8" s="7">
        <f t="shared" si="0"/>
        <v>-116185.38</v>
      </c>
    </row>
    <row r="9" spans="2:16" x14ac:dyDescent="0.25">
      <c r="B9" s="4" t="s">
        <v>12</v>
      </c>
      <c r="C9" s="7">
        <v>-208.15</v>
      </c>
      <c r="D9" s="7">
        <v>-1241.5999999999999</v>
      </c>
      <c r="E9" s="7">
        <v>-1175.3399999999999</v>
      </c>
      <c r="F9" s="7">
        <v>-782.91</v>
      </c>
      <c r="G9" s="7">
        <v>-1180.3800000000001</v>
      </c>
      <c r="H9" s="7"/>
      <c r="I9" s="7"/>
      <c r="J9" s="7"/>
      <c r="K9" s="7"/>
      <c r="L9" s="7"/>
      <c r="M9" s="7"/>
      <c r="N9" s="7"/>
      <c r="O9" s="7">
        <f t="shared" si="0"/>
        <v>-4588.38</v>
      </c>
    </row>
    <row r="10" spans="2:16" x14ac:dyDescent="0.25">
      <c r="B10" s="4" t="s">
        <v>13</v>
      </c>
      <c r="C10" s="7">
        <v>0</v>
      </c>
      <c r="D10" s="7">
        <v>-7189.71</v>
      </c>
      <c r="E10" s="7">
        <v>-9766.8700000000008</v>
      </c>
      <c r="F10" s="7">
        <v>-12426.49</v>
      </c>
      <c r="G10" s="7">
        <v>-13640.979999999998</v>
      </c>
      <c r="H10" s="7"/>
      <c r="I10" s="7"/>
      <c r="J10" s="7"/>
      <c r="K10" s="7"/>
      <c r="L10" s="7"/>
      <c r="M10" s="7"/>
      <c r="N10" s="7"/>
      <c r="O10" s="7">
        <f t="shared" si="0"/>
        <v>-43024.049999999996</v>
      </c>
    </row>
    <row r="11" spans="2:16" x14ac:dyDescent="0.25">
      <c r="B11" s="4" t="s">
        <v>14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/>
      <c r="I11" s="7"/>
      <c r="J11" s="7"/>
      <c r="K11" s="7"/>
      <c r="L11" s="7"/>
      <c r="M11" s="7"/>
      <c r="N11" s="7"/>
      <c r="O11" s="7">
        <f t="shared" si="0"/>
        <v>0</v>
      </c>
    </row>
    <row r="12" spans="2:16" x14ac:dyDescent="0.25">
      <c r="B12" s="4" t="s">
        <v>15</v>
      </c>
      <c r="C12" s="9">
        <f>SUM(C8:C11)</f>
        <v>-6682.0199999999995</v>
      </c>
      <c r="D12" s="9">
        <f t="shared" ref="D12:N12" si="1">SUM(D8:D11)</f>
        <v>-31383.429999999997</v>
      </c>
      <c r="E12" s="9">
        <f t="shared" si="1"/>
        <v>-37054.230000000003</v>
      </c>
      <c r="F12" s="9">
        <f t="shared" si="1"/>
        <v>-45899.67</v>
      </c>
      <c r="G12" s="9">
        <f t="shared" si="1"/>
        <v>-42778.46</v>
      </c>
      <c r="H12" s="9">
        <f t="shared" si="1"/>
        <v>0</v>
      </c>
      <c r="I12" s="9">
        <f t="shared" si="1"/>
        <v>0</v>
      </c>
      <c r="J12" s="9">
        <f t="shared" si="1"/>
        <v>0</v>
      </c>
      <c r="K12" s="9">
        <f t="shared" si="1"/>
        <v>0</v>
      </c>
      <c r="L12" s="9">
        <f t="shared" si="1"/>
        <v>0</v>
      </c>
      <c r="M12" s="9">
        <f t="shared" si="1"/>
        <v>0</v>
      </c>
      <c r="N12" s="9">
        <f t="shared" si="1"/>
        <v>0</v>
      </c>
      <c r="O12" s="9">
        <f t="shared" si="0"/>
        <v>-163797.81</v>
      </c>
      <c r="P12" s="12">
        <f>O12/$O$7</f>
        <v>-0.31967431426454457</v>
      </c>
    </row>
    <row r="13" spans="2:16" x14ac:dyDescent="0.25">
      <c r="B13" s="4" t="s">
        <v>16</v>
      </c>
      <c r="C13" s="7">
        <v>45121.64</v>
      </c>
      <c r="D13" s="7">
        <v>58074.55</v>
      </c>
      <c r="E13" s="7">
        <v>72781.850000000006</v>
      </c>
      <c r="F13" s="7">
        <v>93451.95</v>
      </c>
      <c r="G13" s="7">
        <v>112653.34</v>
      </c>
      <c r="H13" s="7"/>
      <c r="I13" s="7"/>
      <c r="J13" s="7"/>
      <c r="K13" s="7"/>
      <c r="L13" s="7"/>
      <c r="M13" s="7"/>
      <c r="N13" s="7"/>
      <c r="O13" s="7">
        <f t="shared" si="0"/>
        <v>382083.32999999996</v>
      </c>
    </row>
    <row r="14" spans="2:16" x14ac:dyDescent="0.25">
      <c r="B14" s="4" t="s">
        <v>17</v>
      </c>
      <c r="C14" s="7">
        <v>-40891.360000000001</v>
      </c>
      <c r="D14" s="7">
        <v>-36125.61</v>
      </c>
      <c r="E14" s="7">
        <v>-46166.57</v>
      </c>
      <c r="F14" s="7">
        <v>-41215.89</v>
      </c>
      <c r="G14" s="7">
        <v>-49560.689999999995</v>
      </c>
      <c r="H14" s="7"/>
      <c r="I14" s="7"/>
      <c r="J14" s="7"/>
      <c r="K14" s="7"/>
      <c r="L14" s="7"/>
      <c r="M14" s="7"/>
      <c r="N14" s="7"/>
      <c r="O14" s="7">
        <f t="shared" si="0"/>
        <v>-213960.12</v>
      </c>
    </row>
    <row r="15" spans="2:16" x14ac:dyDescent="0.25">
      <c r="B15" s="4" t="s">
        <v>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/>
      <c r="I15" s="7"/>
      <c r="J15" s="7"/>
      <c r="K15" s="7"/>
      <c r="L15" s="7"/>
      <c r="M15" s="7"/>
      <c r="N15" s="7"/>
      <c r="O15" s="7">
        <f t="shared" si="0"/>
        <v>0</v>
      </c>
    </row>
    <row r="16" spans="2:16" x14ac:dyDescent="0.25">
      <c r="B16" s="4" t="s">
        <v>19</v>
      </c>
      <c r="C16" s="7">
        <v>-10685.37</v>
      </c>
      <c r="D16" s="7">
        <v>-10993.69</v>
      </c>
      <c r="E16" s="7">
        <v>-10982.44</v>
      </c>
      <c r="F16" s="7">
        <v>-11045.05</v>
      </c>
      <c r="G16" s="7">
        <v>-12436.82</v>
      </c>
      <c r="H16" s="7"/>
      <c r="I16" s="7"/>
      <c r="J16" s="7"/>
      <c r="K16" s="7"/>
      <c r="L16" s="7"/>
      <c r="M16" s="7"/>
      <c r="N16" s="7"/>
      <c r="O16" s="7">
        <f t="shared" si="0"/>
        <v>-56143.37</v>
      </c>
    </row>
    <row r="17" spans="2:16" x14ac:dyDescent="0.25">
      <c r="B17" s="4" t="s">
        <v>20</v>
      </c>
      <c r="C17" s="7">
        <v>-99.41</v>
      </c>
      <c r="D17" s="7">
        <v>-13.55</v>
      </c>
      <c r="E17" s="7">
        <v>0</v>
      </c>
      <c r="F17" s="7">
        <v>-163.72999999999999</v>
      </c>
      <c r="G17" s="7">
        <v>-22.2</v>
      </c>
      <c r="H17" s="7"/>
      <c r="I17" s="7"/>
      <c r="J17" s="7"/>
      <c r="K17" s="7"/>
      <c r="L17" s="7"/>
      <c r="M17" s="7"/>
      <c r="N17" s="7"/>
      <c r="O17" s="7">
        <f t="shared" si="0"/>
        <v>-298.89</v>
      </c>
    </row>
    <row r="18" spans="2:16" x14ac:dyDescent="0.25">
      <c r="B18" s="4" t="s">
        <v>21</v>
      </c>
      <c r="C18" s="9">
        <f>SUM(C14:C17)</f>
        <v>-51676.140000000007</v>
      </c>
      <c r="D18" s="9">
        <f t="shared" ref="D18:N18" si="2">SUM(D14:D17)</f>
        <v>-47132.850000000006</v>
      </c>
      <c r="E18" s="9">
        <f t="shared" si="2"/>
        <v>-57149.01</v>
      </c>
      <c r="F18" s="9">
        <f t="shared" si="2"/>
        <v>-52424.670000000006</v>
      </c>
      <c r="G18" s="9">
        <f t="shared" si="2"/>
        <v>-62019.709999999992</v>
      </c>
      <c r="H18" s="9">
        <f t="shared" si="2"/>
        <v>0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9">
        <f t="shared" si="0"/>
        <v>-270402.38</v>
      </c>
      <c r="P18" s="12">
        <f>O18/$O$7</f>
        <v>-0.52772802885460313</v>
      </c>
    </row>
    <row r="19" spans="2:16" x14ac:dyDescent="0.25">
      <c r="B19" s="4" t="s">
        <v>22</v>
      </c>
      <c r="C19" s="7">
        <v>-8527.52</v>
      </c>
      <c r="D19" s="7">
        <v>-4931.99</v>
      </c>
      <c r="E19" s="7">
        <v>-4832.99</v>
      </c>
      <c r="F19" s="7">
        <v>-5089.09</v>
      </c>
      <c r="G19" s="7">
        <v>-5131.99</v>
      </c>
      <c r="H19" s="7"/>
      <c r="I19" s="7"/>
      <c r="J19" s="7"/>
      <c r="K19" s="7"/>
      <c r="L19" s="7"/>
      <c r="M19" s="7"/>
      <c r="N19" s="7"/>
      <c r="O19" s="7">
        <f t="shared" si="0"/>
        <v>-28513.58</v>
      </c>
    </row>
    <row r="20" spans="2:16" x14ac:dyDescent="0.25">
      <c r="B20" s="4" t="s">
        <v>23</v>
      </c>
      <c r="C20" s="7">
        <v>-1050.96</v>
      </c>
      <c r="D20" s="7">
        <v>-543.62</v>
      </c>
      <c r="E20" s="7">
        <v>-542.24</v>
      </c>
      <c r="F20" s="7">
        <v>-3097.58</v>
      </c>
      <c r="G20" s="7">
        <v>-763.74</v>
      </c>
      <c r="H20" s="7"/>
      <c r="I20" s="7"/>
      <c r="J20" s="7"/>
      <c r="K20" s="7"/>
      <c r="L20" s="7"/>
      <c r="M20" s="7"/>
      <c r="N20" s="7"/>
      <c r="O20" s="7">
        <f t="shared" si="0"/>
        <v>-5998.1399999999994</v>
      </c>
    </row>
    <row r="21" spans="2:16" x14ac:dyDescent="0.25">
      <c r="B21" s="4" t="s">
        <v>24</v>
      </c>
      <c r="C21" s="7">
        <v>-649.45000000000005</v>
      </c>
      <c r="D21" s="7">
        <v>-512.66</v>
      </c>
      <c r="E21" s="7">
        <v>-749.81</v>
      </c>
      <c r="F21" s="7">
        <v>-915.56</v>
      </c>
      <c r="G21" s="7">
        <v>-1076.21</v>
      </c>
      <c r="H21" s="7"/>
      <c r="I21" s="7"/>
      <c r="J21" s="7"/>
      <c r="K21" s="7"/>
      <c r="L21" s="7"/>
      <c r="M21" s="7"/>
      <c r="N21" s="7"/>
      <c r="O21" s="7">
        <f t="shared" si="0"/>
        <v>-3903.69</v>
      </c>
    </row>
    <row r="22" spans="2:16" x14ac:dyDescent="0.25">
      <c r="B22" s="4" t="s">
        <v>25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/>
      <c r="I22" s="7"/>
      <c r="J22" s="7"/>
      <c r="K22" s="7"/>
      <c r="L22" s="7"/>
      <c r="M22" s="7"/>
      <c r="N22" s="7"/>
      <c r="O22" s="7">
        <f t="shared" si="0"/>
        <v>0</v>
      </c>
    </row>
    <row r="23" spans="2:16" x14ac:dyDescent="0.25">
      <c r="B23" s="4" t="s">
        <v>26</v>
      </c>
      <c r="C23" s="7">
        <v>-146.9</v>
      </c>
      <c r="D23" s="7">
        <v>-150.36000000000001</v>
      </c>
      <c r="E23" s="7">
        <v>-150.36000000000001</v>
      </c>
      <c r="F23" s="7">
        <v>-150.36000000000001</v>
      </c>
      <c r="G23" s="7">
        <v>-150.36000000000001</v>
      </c>
      <c r="H23" s="7"/>
      <c r="I23" s="7"/>
      <c r="J23" s="7"/>
      <c r="K23" s="7"/>
      <c r="L23" s="7"/>
      <c r="M23" s="7"/>
      <c r="N23" s="7"/>
      <c r="O23" s="7">
        <f t="shared" si="0"/>
        <v>-748.34</v>
      </c>
    </row>
    <row r="24" spans="2:16" x14ac:dyDescent="0.25">
      <c r="B24" s="4" t="s">
        <v>27</v>
      </c>
      <c r="C24" s="7">
        <v>-209.63</v>
      </c>
      <c r="D24" s="7">
        <v>-305.5</v>
      </c>
      <c r="E24" s="7">
        <v>-376.96</v>
      </c>
      <c r="F24" s="7">
        <v>-502.53</v>
      </c>
      <c r="G24" s="7">
        <v>-445.24</v>
      </c>
      <c r="H24" s="7"/>
      <c r="I24" s="7"/>
      <c r="J24" s="7"/>
      <c r="K24" s="7"/>
      <c r="L24" s="7"/>
      <c r="M24" s="7"/>
      <c r="N24" s="7"/>
      <c r="O24" s="7">
        <f t="shared" si="0"/>
        <v>-1839.86</v>
      </c>
    </row>
    <row r="25" spans="2:16" x14ac:dyDescent="0.25">
      <c r="B25" s="4" t="s">
        <v>28</v>
      </c>
      <c r="C25" s="7">
        <v>0</v>
      </c>
      <c r="D25" s="7">
        <v>0</v>
      </c>
      <c r="E25" s="7">
        <v>-48</v>
      </c>
      <c r="F25" s="7">
        <v>-736</v>
      </c>
      <c r="G25" s="7">
        <v>0</v>
      </c>
      <c r="H25" s="7"/>
      <c r="I25" s="7"/>
      <c r="J25" s="7"/>
      <c r="K25" s="7"/>
      <c r="L25" s="7"/>
      <c r="M25" s="7"/>
      <c r="N25" s="7"/>
      <c r="O25" s="7">
        <f t="shared" si="0"/>
        <v>-784</v>
      </c>
    </row>
    <row r="26" spans="2:16" x14ac:dyDescent="0.25">
      <c r="B26" s="4" t="s">
        <v>29</v>
      </c>
      <c r="C26" s="7">
        <v>-1502.44</v>
      </c>
      <c r="D26" s="7">
        <v>-1700</v>
      </c>
      <c r="E26" s="7">
        <v>-721.17</v>
      </c>
      <c r="F26" s="7">
        <v>-1700</v>
      </c>
      <c r="G26" s="7">
        <v>-1700</v>
      </c>
      <c r="H26" s="7"/>
      <c r="I26" s="7"/>
      <c r="J26" s="7"/>
      <c r="K26" s="7"/>
      <c r="L26" s="7"/>
      <c r="M26" s="7"/>
      <c r="N26" s="7"/>
      <c r="O26" s="7">
        <f t="shared" si="0"/>
        <v>-7323.6100000000006</v>
      </c>
    </row>
    <row r="27" spans="2:16" x14ac:dyDescent="0.25">
      <c r="B27" s="4" t="s">
        <v>30</v>
      </c>
      <c r="C27" s="7">
        <v>-1263.9100000000001</v>
      </c>
      <c r="D27" s="7">
        <v>-2692.5</v>
      </c>
      <c r="E27" s="7">
        <v>-1316.38</v>
      </c>
      <c r="F27" s="7">
        <v>-2941.29</v>
      </c>
      <c r="G27" s="7">
        <v>-965.93</v>
      </c>
      <c r="H27" s="7"/>
      <c r="I27" s="7"/>
      <c r="J27" s="7"/>
      <c r="K27" s="7"/>
      <c r="L27" s="7"/>
      <c r="M27" s="7"/>
      <c r="N27" s="7"/>
      <c r="O27" s="7">
        <f t="shared" si="0"/>
        <v>-9180.01</v>
      </c>
    </row>
    <row r="28" spans="2:16" x14ac:dyDescent="0.25">
      <c r="B28" s="4" t="s">
        <v>31</v>
      </c>
      <c r="C28" s="7">
        <v>-332.5</v>
      </c>
      <c r="D28" s="7">
        <v>-656.64</v>
      </c>
      <c r="E28" s="7">
        <v>-656.64</v>
      </c>
      <c r="F28" s="7">
        <v>-656.64</v>
      </c>
      <c r="G28" s="7">
        <v>-656.64</v>
      </c>
      <c r="H28" s="7"/>
      <c r="I28" s="7"/>
      <c r="J28" s="7"/>
      <c r="K28" s="7"/>
      <c r="L28" s="7"/>
      <c r="M28" s="7"/>
      <c r="N28" s="7"/>
      <c r="O28" s="7">
        <f t="shared" si="0"/>
        <v>-2959.06</v>
      </c>
    </row>
    <row r="29" spans="2:16" x14ac:dyDescent="0.25">
      <c r="B29" s="4" t="s">
        <v>32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/>
      <c r="I29" s="7"/>
      <c r="J29" s="7"/>
      <c r="K29" s="7"/>
      <c r="L29" s="7"/>
      <c r="M29" s="7"/>
      <c r="N29" s="7"/>
      <c r="O29" s="7">
        <f t="shared" si="0"/>
        <v>0</v>
      </c>
    </row>
    <row r="30" spans="2:16" x14ac:dyDescent="0.25">
      <c r="B30" s="4" t="s">
        <v>33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/>
      <c r="I30" s="7"/>
      <c r="J30" s="7"/>
      <c r="K30" s="7"/>
      <c r="L30" s="7"/>
      <c r="M30" s="7"/>
      <c r="N30" s="7"/>
      <c r="O30" s="7">
        <f t="shared" si="0"/>
        <v>0</v>
      </c>
    </row>
    <row r="31" spans="2:16" x14ac:dyDescent="0.25">
      <c r="B31" s="4" t="s">
        <v>34</v>
      </c>
      <c r="C31" s="9">
        <f>SUM(C19:C30)</f>
        <v>-13683.31</v>
      </c>
      <c r="D31" s="9">
        <f t="shared" ref="D31:N31" si="3">SUM(D19:D30)</f>
        <v>-11493.269999999999</v>
      </c>
      <c r="E31" s="9">
        <f t="shared" si="3"/>
        <v>-9394.5499999999993</v>
      </c>
      <c r="F31" s="9">
        <f t="shared" si="3"/>
        <v>-15789.05</v>
      </c>
      <c r="G31" s="9">
        <f t="shared" si="3"/>
        <v>-10890.109999999999</v>
      </c>
      <c r="H31" s="9">
        <f t="shared" si="3"/>
        <v>0</v>
      </c>
      <c r="I31" s="9">
        <f t="shared" si="3"/>
        <v>0</v>
      </c>
      <c r="J31" s="9">
        <f t="shared" si="3"/>
        <v>0</v>
      </c>
      <c r="K31" s="9">
        <f t="shared" si="3"/>
        <v>0</v>
      </c>
      <c r="L31" s="9">
        <f t="shared" si="3"/>
        <v>0</v>
      </c>
      <c r="M31" s="9">
        <f t="shared" si="3"/>
        <v>0</v>
      </c>
      <c r="N31" s="9">
        <f t="shared" si="3"/>
        <v>0</v>
      </c>
      <c r="O31" s="9">
        <f t="shared" si="0"/>
        <v>-61250.289999999994</v>
      </c>
      <c r="P31" s="12">
        <f>O31/$O$7</f>
        <v>-0.11953849965548678</v>
      </c>
    </row>
    <row r="32" spans="2:16" x14ac:dyDescent="0.25">
      <c r="B32" s="4" t="s">
        <v>35</v>
      </c>
      <c r="C32" s="7">
        <f>C31+C18</f>
        <v>-65359.450000000004</v>
      </c>
      <c r="D32" s="7">
        <f t="shared" ref="D32:N32" si="4">D31+D18</f>
        <v>-58626.12</v>
      </c>
      <c r="E32" s="7">
        <f t="shared" si="4"/>
        <v>-66543.56</v>
      </c>
      <c r="F32" s="7">
        <f t="shared" si="4"/>
        <v>-68213.72</v>
      </c>
      <c r="G32" s="7">
        <f t="shared" si="4"/>
        <v>-72909.819999999992</v>
      </c>
      <c r="H32" s="7">
        <f t="shared" si="4"/>
        <v>0</v>
      </c>
      <c r="I32" s="7">
        <f t="shared" si="4"/>
        <v>0</v>
      </c>
      <c r="J32" s="7">
        <f t="shared" si="4"/>
        <v>0</v>
      </c>
      <c r="K32" s="7">
        <f t="shared" si="4"/>
        <v>0</v>
      </c>
      <c r="L32" s="7">
        <f t="shared" si="4"/>
        <v>0</v>
      </c>
      <c r="M32" s="7">
        <f t="shared" si="4"/>
        <v>0</v>
      </c>
      <c r="N32" s="7">
        <f t="shared" si="4"/>
        <v>0</v>
      </c>
      <c r="O32" s="7">
        <f t="shared" si="0"/>
        <v>-331652.67</v>
      </c>
    </row>
    <row r="33" spans="2:16" x14ac:dyDescent="0.25">
      <c r="B33" s="4" t="s">
        <v>36</v>
      </c>
      <c r="C33" s="9">
        <f>C7+(C12+C18+C31)</f>
        <v>-20237.809999999998</v>
      </c>
      <c r="D33" s="9">
        <f t="shared" ref="D33:N33" si="5">D7+(D12+D18+D31)</f>
        <v>6723.7200000000012</v>
      </c>
      <c r="E33" s="9">
        <f t="shared" si="5"/>
        <v>-3528.5800000000017</v>
      </c>
      <c r="F33" s="9">
        <f t="shared" si="5"/>
        <v>12811.740000000005</v>
      </c>
      <c r="G33" s="9">
        <f t="shared" si="5"/>
        <v>21170.10000000002</v>
      </c>
      <c r="H33" s="9">
        <f t="shared" si="5"/>
        <v>0</v>
      </c>
      <c r="I33" s="9">
        <f t="shared" si="5"/>
        <v>0</v>
      </c>
      <c r="J33" s="9">
        <f t="shared" si="5"/>
        <v>0</v>
      </c>
      <c r="K33" s="9">
        <f t="shared" si="5"/>
        <v>0</v>
      </c>
      <c r="L33" s="9">
        <f t="shared" si="5"/>
        <v>0</v>
      </c>
      <c r="M33" s="9">
        <f t="shared" si="5"/>
        <v>0</v>
      </c>
      <c r="N33" s="9">
        <f t="shared" si="5"/>
        <v>0</v>
      </c>
      <c r="O33" s="6">
        <f t="shared" si="0"/>
        <v>16939.170000000027</v>
      </c>
      <c r="P33" s="12">
        <f>O33/$O$7</f>
        <v>3.3059157225365551E-2</v>
      </c>
    </row>
    <row r="34" spans="2:16" x14ac:dyDescent="0.25">
      <c r="B34" s="4" t="s">
        <v>37</v>
      </c>
      <c r="C34" s="10">
        <f>C33</f>
        <v>-20237.809999999998</v>
      </c>
      <c r="D34" s="10">
        <f>C34+D33</f>
        <v>-13514.089999999997</v>
      </c>
      <c r="E34" s="10">
        <f t="shared" ref="E34:G34" si="6">D34+E33</f>
        <v>-17042.669999999998</v>
      </c>
      <c r="F34" s="10">
        <f t="shared" si="6"/>
        <v>-4230.929999999993</v>
      </c>
      <c r="G34" s="10">
        <f t="shared" si="6"/>
        <v>16939.170000000027</v>
      </c>
      <c r="H34" s="7"/>
      <c r="I34" s="7"/>
      <c r="J34" s="7"/>
      <c r="K34" s="7"/>
      <c r="L34" s="7"/>
      <c r="M34" s="7"/>
      <c r="N34" s="7"/>
      <c r="O34" s="10"/>
    </row>
  </sheetData>
  <conditionalFormatting sqref="O33">
    <cfRule type="cellIs" dxfId="38" priority="3" operator="lessThan">
      <formula>0</formula>
    </cfRule>
    <cfRule type="cellIs" dxfId="39" priority="4" operator="greaterThan">
      <formula>0</formula>
    </cfRule>
  </conditionalFormatting>
  <conditionalFormatting sqref="C33:N33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552A-7FE8-4947-BE04-C166F9D63F5E}">
  <dimension ref="B1:P34"/>
  <sheetViews>
    <sheetView workbookViewId="0">
      <selection activeCell="C12" sqref="C12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</cols>
  <sheetData>
    <row r="1" spans="2:16" x14ac:dyDescent="0.25">
      <c r="B1" s="1" t="s">
        <v>52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 s="7">
        <v>0</v>
      </c>
      <c r="D2" s="7">
        <v>0</v>
      </c>
      <c r="E2" s="7">
        <v>0</v>
      </c>
      <c r="F2" s="7">
        <v>0</v>
      </c>
      <c r="G2" s="7">
        <v>0</v>
      </c>
      <c r="H2" s="7"/>
      <c r="I2" s="7"/>
      <c r="J2" s="7"/>
      <c r="K2" s="7"/>
      <c r="L2" s="7"/>
      <c r="M2" s="7"/>
      <c r="N2" s="7"/>
      <c r="O2" s="7"/>
    </row>
    <row r="3" spans="2:16" x14ac:dyDescent="0.25">
      <c r="B3" s="4" t="s">
        <v>6</v>
      </c>
      <c r="C3" s="7">
        <v>151918.26</v>
      </c>
      <c r="D3" s="7">
        <v>146360.25</v>
      </c>
      <c r="E3" s="7">
        <v>186639.53</v>
      </c>
      <c r="F3" s="7">
        <v>150292.65</v>
      </c>
      <c r="G3" s="7">
        <v>190133.71</v>
      </c>
      <c r="H3" s="7"/>
      <c r="I3" s="7"/>
      <c r="J3" s="7"/>
      <c r="K3" s="7"/>
      <c r="L3" s="7"/>
      <c r="M3" s="7"/>
      <c r="N3" s="7"/>
      <c r="O3" s="7">
        <f t="shared" ref="O3:O33" si="0">SUM(C3:N3)</f>
        <v>825344.4</v>
      </c>
    </row>
    <row r="4" spans="2:16" x14ac:dyDescent="0.25">
      <c r="B4" s="4" t="s">
        <v>7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/>
      <c r="I4" s="7"/>
      <c r="J4" s="7"/>
      <c r="K4" s="7"/>
      <c r="L4" s="7"/>
      <c r="M4" s="7"/>
      <c r="N4" s="7"/>
      <c r="O4" s="7">
        <f t="shared" si="0"/>
        <v>0</v>
      </c>
    </row>
    <row r="5" spans="2:16" x14ac:dyDescent="0.25">
      <c r="B5" s="4" t="s">
        <v>8</v>
      </c>
      <c r="C5" s="7">
        <v>317.95</v>
      </c>
      <c r="D5" s="7">
        <v>317.95</v>
      </c>
      <c r="E5" s="7">
        <v>317.95</v>
      </c>
      <c r="F5" s="7">
        <v>317.95</v>
      </c>
      <c r="G5" s="7">
        <v>317.95</v>
      </c>
      <c r="H5" s="7"/>
      <c r="I5" s="7"/>
      <c r="J5" s="7"/>
      <c r="K5" s="7"/>
      <c r="L5" s="7"/>
      <c r="M5" s="7"/>
      <c r="N5" s="7"/>
      <c r="O5" s="7">
        <f t="shared" si="0"/>
        <v>1589.75</v>
      </c>
    </row>
    <row r="6" spans="2:16" x14ac:dyDescent="0.25">
      <c r="B6" s="4" t="s">
        <v>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/>
      <c r="I6" s="7"/>
      <c r="J6" s="7"/>
      <c r="K6" s="7"/>
      <c r="L6" s="7"/>
      <c r="M6" s="7"/>
      <c r="N6" s="7"/>
      <c r="O6" s="7">
        <f t="shared" si="0"/>
        <v>0</v>
      </c>
    </row>
    <row r="7" spans="2:16" x14ac:dyDescent="0.25">
      <c r="B7" s="4" t="s">
        <v>10</v>
      </c>
      <c r="C7" s="9">
        <v>152236.21000000002</v>
      </c>
      <c r="D7" s="9">
        <v>146678.20000000001</v>
      </c>
      <c r="E7" s="9">
        <v>186957.48</v>
      </c>
      <c r="F7" s="9">
        <v>150610.6</v>
      </c>
      <c r="G7" s="9">
        <v>190451.66</v>
      </c>
      <c r="H7" s="7"/>
      <c r="I7" s="7"/>
      <c r="J7" s="7"/>
      <c r="K7" s="7"/>
      <c r="L7" s="7"/>
      <c r="M7" s="7"/>
      <c r="N7" s="7"/>
      <c r="O7" s="9">
        <f t="shared" si="0"/>
        <v>826934.15</v>
      </c>
    </row>
    <row r="8" spans="2:16" x14ac:dyDescent="0.25">
      <c r="B8" s="4" t="s">
        <v>11</v>
      </c>
      <c r="C8" s="7">
        <v>-33596.339999999997</v>
      </c>
      <c r="D8" s="7">
        <v>-30849.57</v>
      </c>
      <c r="E8" s="7">
        <v>-33967.97</v>
      </c>
      <c r="F8" s="7">
        <v>-27535.46</v>
      </c>
      <c r="G8" s="7">
        <v>-38115.440000000002</v>
      </c>
      <c r="H8" s="7"/>
      <c r="I8" s="7"/>
      <c r="J8" s="7"/>
      <c r="K8" s="7"/>
      <c r="L8" s="7"/>
      <c r="M8" s="7"/>
      <c r="N8" s="7"/>
      <c r="O8" s="7">
        <f t="shared" si="0"/>
        <v>-164064.78</v>
      </c>
    </row>
    <row r="9" spans="2:16" x14ac:dyDescent="0.25">
      <c r="B9" s="4" t="s">
        <v>12</v>
      </c>
      <c r="C9" s="7">
        <v>-3506.15</v>
      </c>
      <c r="D9" s="7">
        <v>-5252.69</v>
      </c>
      <c r="E9" s="7">
        <v>-4507.62</v>
      </c>
      <c r="F9" s="7">
        <v>-2217.81</v>
      </c>
      <c r="G9" s="7">
        <v>-2481.5</v>
      </c>
      <c r="H9" s="7"/>
      <c r="I9" s="7"/>
      <c r="J9" s="7"/>
      <c r="K9" s="7"/>
      <c r="L9" s="7"/>
      <c r="M9" s="7"/>
      <c r="N9" s="7"/>
      <c r="O9" s="7">
        <f t="shared" si="0"/>
        <v>-17965.769999999997</v>
      </c>
    </row>
    <row r="10" spans="2:16" x14ac:dyDescent="0.25">
      <c r="B10" s="4" t="s">
        <v>13</v>
      </c>
      <c r="C10" s="7">
        <v>-15776.51</v>
      </c>
      <c r="D10" s="7">
        <v>-10134.9</v>
      </c>
      <c r="E10" s="7">
        <v>-14430.12</v>
      </c>
      <c r="F10" s="7">
        <v>-18464.349999999999</v>
      </c>
      <c r="G10" s="7">
        <v>-20280.870000000006</v>
      </c>
      <c r="H10" s="7"/>
      <c r="I10" s="7"/>
      <c r="J10" s="7"/>
      <c r="K10" s="7"/>
      <c r="L10" s="7"/>
      <c r="M10" s="7"/>
      <c r="N10" s="7"/>
      <c r="O10" s="7">
        <f t="shared" si="0"/>
        <v>-79086.75</v>
      </c>
    </row>
    <row r="11" spans="2:16" x14ac:dyDescent="0.25">
      <c r="B11" s="4" t="s">
        <v>14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/>
      <c r="I11" s="7"/>
      <c r="J11" s="7"/>
      <c r="K11" s="7"/>
      <c r="L11" s="7"/>
      <c r="M11" s="7"/>
      <c r="N11" s="7"/>
      <c r="O11" s="7">
        <f t="shared" si="0"/>
        <v>0</v>
      </c>
    </row>
    <row r="12" spans="2:16" x14ac:dyDescent="0.25">
      <c r="B12" s="4" t="s">
        <v>15</v>
      </c>
      <c r="C12" s="9">
        <f>SUM(C8:C11)</f>
        <v>-52879</v>
      </c>
      <c r="D12" s="9">
        <f t="shared" ref="D12:N12" si="1">SUM(D8:D11)</f>
        <v>-46237.16</v>
      </c>
      <c r="E12" s="9">
        <f t="shared" si="1"/>
        <v>-52905.710000000006</v>
      </c>
      <c r="F12" s="9">
        <f t="shared" si="1"/>
        <v>-48217.619999999995</v>
      </c>
      <c r="G12" s="9">
        <f t="shared" si="1"/>
        <v>-60877.810000000012</v>
      </c>
      <c r="H12" s="9">
        <f t="shared" si="1"/>
        <v>0</v>
      </c>
      <c r="I12" s="9">
        <f t="shared" si="1"/>
        <v>0</v>
      </c>
      <c r="J12" s="9">
        <f t="shared" si="1"/>
        <v>0</v>
      </c>
      <c r="K12" s="9">
        <f t="shared" si="1"/>
        <v>0</v>
      </c>
      <c r="L12" s="9">
        <f t="shared" si="1"/>
        <v>0</v>
      </c>
      <c r="M12" s="9">
        <f t="shared" si="1"/>
        <v>0</v>
      </c>
      <c r="N12" s="9">
        <f t="shared" si="1"/>
        <v>0</v>
      </c>
      <c r="O12" s="9">
        <f t="shared" si="0"/>
        <v>-261117.3</v>
      </c>
      <c r="P12" s="12">
        <f>O12/$O$7</f>
        <v>-0.31576552981878908</v>
      </c>
    </row>
    <row r="13" spans="2:16" x14ac:dyDescent="0.25">
      <c r="B13" s="4" t="s">
        <v>16</v>
      </c>
      <c r="C13" s="7">
        <v>114064.72</v>
      </c>
      <c r="D13" s="7">
        <v>110575.94</v>
      </c>
      <c r="E13" s="7">
        <v>148481.89000000001</v>
      </c>
      <c r="F13" s="7">
        <v>103789.33</v>
      </c>
      <c r="G13" s="7">
        <v>152451.29</v>
      </c>
      <c r="H13" s="7"/>
      <c r="I13" s="7"/>
      <c r="J13" s="7"/>
      <c r="K13" s="7"/>
      <c r="L13" s="7"/>
      <c r="M13" s="7"/>
      <c r="N13" s="7"/>
      <c r="O13" s="7">
        <f t="shared" si="0"/>
        <v>629363.17000000004</v>
      </c>
    </row>
    <row r="14" spans="2:16" x14ac:dyDescent="0.25">
      <c r="B14" s="4" t="s">
        <v>17</v>
      </c>
      <c r="C14" s="7">
        <v>-46433.39</v>
      </c>
      <c r="D14" s="7">
        <v>-42435.38</v>
      </c>
      <c r="E14" s="7">
        <v>-46675.39</v>
      </c>
      <c r="F14" s="7">
        <v>-47996.51</v>
      </c>
      <c r="G14" s="7">
        <v>-55318.369999999995</v>
      </c>
      <c r="H14" s="7"/>
      <c r="I14" s="7"/>
      <c r="J14" s="7"/>
      <c r="K14" s="7"/>
      <c r="L14" s="7"/>
      <c r="M14" s="7"/>
      <c r="N14" s="7"/>
      <c r="O14" s="7">
        <f t="shared" si="0"/>
        <v>-238859.03999999998</v>
      </c>
    </row>
    <row r="15" spans="2:16" x14ac:dyDescent="0.25">
      <c r="B15" s="4" t="s">
        <v>18</v>
      </c>
      <c r="C15" s="7">
        <v>-2000</v>
      </c>
      <c r="D15" s="7">
        <v>-20000</v>
      </c>
      <c r="E15" s="7">
        <v>0</v>
      </c>
      <c r="F15" s="7">
        <v>0</v>
      </c>
      <c r="G15" s="7">
        <v>0</v>
      </c>
      <c r="H15" s="7"/>
      <c r="I15" s="7"/>
      <c r="J15" s="7"/>
      <c r="K15" s="7"/>
      <c r="L15" s="7"/>
      <c r="M15" s="7"/>
      <c r="N15" s="7"/>
      <c r="O15" s="7">
        <f t="shared" si="0"/>
        <v>-22000</v>
      </c>
    </row>
    <row r="16" spans="2:16" x14ac:dyDescent="0.25">
      <c r="B16" s="4" t="s">
        <v>19</v>
      </c>
      <c r="C16" s="7">
        <v>-11074.13</v>
      </c>
      <c r="D16" s="7">
        <v>-11238.02</v>
      </c>
      <c r="E16" s="7">
        <v>-14225.03</v>
      </c>
      <c r="F16" s="7">
        <v>-15657.56</v>
      </c>
      <c r="G16" s="7">
        <v>-16841.82</v>
      </c>
      <c r="H16" s="7"/>
      <c r="I16" s="7"/>
      <c r="J16" s="7"/>
      <c r="K16" s="7"/>
      <c r="L16" s="7"/>
      <c r="M16" s="7"/>
      <c r="N16" s="7"/>
      <c r="O16" s="7">
        <f t="shared" si="0"/>
        <v>-69036.56</v>
      </c>
    </row>
    <row r="17" spans="2:16" x14ac:dyDescent="0.25">
      <c r="B17" s="4" t="s">
        <v>20</v>
      </c>
      <c r="C17" s="7">
        <v>-256.11</v>
      </c>
      <c r="D17" s="7">
        <v>-274.45</v>
      </c>
      <c r="E17" s="7">
        <v>-23.55</v>
      </c>
      <c r="F17" s="7">
        <v>-205.46</v>
      </c>
      <c r="G17" s="7">
        <v>-31.8</v>
      </c>
      <c r="H17" s="7"/>
      <c r="I17" s="7"/>
      <c r="J17" s="7"/>
      <c r="K17" s="7"/>
      <c r="L17" s="7"/>
      <c r="M17" s="7"/>
      <c r="N17" s="7"/>
      <c r="O17" s="7">
        <f t="shared" si="0"/>
        <v>-791.36999999999989</v>
      </c>
    </row>
    <row r="18" spans="2:16" x14ac:dyDescent="0.25">
      <c r="B18" s="4" t="s">
        <v>21</v>
      </c>
      <c r="C18" s="9">
        <f>SUM(C14:C17)</f>
        <v>-59763.63</v>
      </c>
      <c r="D18" s="9">
        <f t="shared" ref="D18:N18" si="2">SUM(D14:D17)</f>
        <v>-73947.849999999991</v>
      </c>
      <c r="E18" s="9">
        <f t="shared" si="2"/>
        <v>-60923.97</v>
      </c>
      <c r="F18" s="9">
        <f t="shared" si="2"/>
        <v>-63859.53</v>
      </c>
      <c r="G18" s="9">
        <f t="shared" si="2"/>
        <v>-72191.990000000005</v>
      </c>
      <c r="H18" s="9">
        <f t="shared" si="2"/>
        <v>0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9">
        <f t="shared" si="0"/>
        <v>-330686.96999999997</v>
      </c>
      <c r="P18" s="12">
        <f>O18/$O$7</f>
        <v>-0.39989516698518252</v>
      </c>
    </row>
    <row r="19" spans="2:16" x14ac:dyDescent="0.25">
      <c r="B19" s="4" t="s">
        <v>22</v>
      </c>
      <c r="C19" s="7">
        <v>-267.58</v>
      </c>
      <c r="D19" s="7">
        <v>-267.58</v>
      </c>
      <c r="E19" s="7">
        <v>-267.58</v>
      </c>
      <c r="F19" s="7">
        <v>-267.58</v>
      </c>
      <c r="G19" s="7">
        <v>-267.58</v>
      </c>
      <c r="H19" s="7"/>
      <c r="I19" s="7"/>
      <c r="J19" s="7"/>
      <c r="K19" s="7"/>
      <c r="L19" s="7"/>
      <c r="M19" s="7"/>
      <c r="N19" s="7"/>
      <c r="O19" s="7">
        <f t="shared" si="0"/>
        <v>-1337.8999999999999</v>
      </c>
    </row>
    <row r="20" spans="2:16" x14ac:dyDescent="0.25">
      <c r="B20" s="4" t="s">
        <v>23</v>
      </c>
      <c r="C20" s="7">
        <v>-2711.7</v>
      </c>
      <c r="D20" s="7">
        <v>-6241.38</v>
      </c>
      <c r="E20" s="7">
        <v>-5604.76</v>
      </c>
      <c r="F20" s="7">
        <v>-5656.65</v>
      </c>
      <c r="G20" s="7">
        <v>-3403.34</v>
      </c>
      <c r="H20" s="7"/>
      <c r="I20" s="7"/>
      <c r="J20" s="7"/>
      <c r="K20" s="7"/>
      <c r="L20" s="7"/>
      <c r="M20" s="7"/>
      <c r="N20" s="7"/>
      <c r="O20" s="7">
        <f t="shared" si="0"/>
        <v>-23617.829999999998</v>
      </c>
    </row>
    <row r="21" spans="2:16" x14ac:dyDescent="0.25">
      <c r="B21" s="4" t="s">
        <v>24</v>
      </c>
      <c r="C21" s="7">
        <v>-385.6</v>
      </c>
      <c r="D21" s="7">
        <v>-471.26</v>
      </c>
      <c r="E21" s="7">
        <v>-980.3</v>
      </c>
      <c r="F21" s="7">
        <v>-329.06</v>
      </c>
      <c r="G21" s="7">
        <v>-1382.96</v>
      </c>
      <c r="H21" s="7"/>
      <c r="I21" s="7"/>
      <c r="J21" s="7"/>
      <c r="K21" s="7"/>
      <c r="L21" s="7"/>
      <c r="M21" s="7"/>
      <c r="N21" s="7"/>
      <c r="O21" s="7">
        <f t="shared" si="0"/>
        <v>-3549.18</v>
      </c>
    </row>
    <row r="22" spans="2:16" x14ac:dyDescent="0.25">
      <c r="B22" s="4" t="s">
        <v>25</v>
      </c>
      <c r="C22" s="7">
        <v>0</v>
      </c>
      <c r="D22" s="7">
        <v>0</v>
      </c>
      <c r="E22" s="7">
        <v>-25.2</v>
      </c>
      <c r="F22" s="7">
        <v>0</v>
      </c>
      <c r="G22" s="7">
        <v>0</v>
      </c>
      <c r="H22" s="7"/>
      <c r="I22" s="7"/>
      <c r="J22" s="7"/>
      <c r="K22" s="7"/>
      <c r="L22" s="7"/>
      <c r="M22" s="7"/>
      <c r="N22" s="7"/>
      <c r="O22" s="7">
        <f t="shared" si="0"/>
        <v>-25.2</v>
      </c>
    </row>
    <row r="23" spans="2:16" x14ac:dyDescent="0.25">
      <c r="B23" s="4" t="s">
        <v>26</v>
      </c>
      <c r="C23" s="7">
        <v>0</v>
      </c>
      <c r="D23" s="7">
        <v>-374.13</v>
      </c>
      <c r="E23" s="7">
        <v>-374.13</v>
      </c>
      <c r="F23" s="7">
        <v>-374.13</v>
      </c>
      <c r="G23" s="7">
        <v>-374.13</v>
      </c>
      <c r="H23" s="7"/>
      <c r="I23" s="7"/>
      <c r="J23" s="7"/>
      <c r="K23" s="7"/>
      <c r="L23" s="7"/>
      <c r="M23" s="7"/>
      <c r="N23" s="7"/>
      <c r="O23" s="7">
        <f t="shared" si="0"/>
        <v>-1496.52</v>
      </c>
    </row>
    <row r="24" spans="2:16" x14ac:dyDescent="0.25">
      <c r="B24" s="4" t="s">
        <v>27</v>
      </c>
      <c r="C24" s="7">
        <v>-441.85</v>
      </c>
      <c r="D24" s="7">
        <v>-554.9</v>
      </c>
      <c r="E24" s="13">
        <v>-684.75</v>
      </c>
      <c r="F24" s="7">
        <v>-486.82</v>
      </c>
      <c r="G24" s="7">
        <v>-473.9</v>
      </c>
      <c r="H24" s="7"/>
      <c r="I24" s="7"/>
      <c r="J24" s="7"/>
      <c r="K24" s="7"/>
      <c r="L24" s="7"/>
      <c r="M24" s="7"/>
      <c r="N24" s="7"/>
      <c r="O24" s="7">
        <f t="shared" si="0"/>
        <v>-2642.2200000000003</v>
      </c>
    </row>
    <row r="25" spans="2:16" x14ac:dyDescent="0.25">
      <c r="B25" s="4" t="s">
        <v>28</v>
      </c>
      <c r="C25" s="7">
        <v>-236.36</v>
      </c>
      <c r="D25" s="7">
        <v>-15</v>
      </c>
      <c r="E25" s="7">
        <v>-48</v>
      </c>
      <c r="F25" s="7">
        <v>-75</v>
      </c>
      <c r="G25" s="7">
        <v>0</v>
      </c>
      <c r="H25" s="7"/>
      <c r="I25" s="7"/>
      <c r="J25" s="7"/>
      <c r="K25" s="7"/>
      <c r="L25" s="7"/>
      <c r="M25" s="7"/>
      <c r="N25" s="7"/>
      <c r="O25" s="7">
        <f t="shared" si="0"/>
        <v>-374.36</v>
      </c>
    </row>
    <row r="26" spans="2:16" x14ac:dyDescent="0.25">
      <c r="B26" s="4" t="s">
        <v>29</v>
      </c>
      <c r="C26" s="7">
        <v>-286.12</v>
      </c>
      <c r="D26" s="7">
        <v>-4650</v>
      </c>
      <c r="E26" s="7">
        <v>-5635.62</v>
      </c>
      <c r="F26" s="7">
        <v>-4650</v>
      </c>
      <c r="G26" s="7">
        <v>-4936.12</v>
      </c>
      <c r="H26" s="7"/>
      <c r="I26" s="7"/>
      <c r="J26" s="7"/>
      <c r="K26" s="7"/>
      <c r="L26" s="7"/>
      <c r="M26" s="7"/>
      <c r="N26" s="7"/>
      <c r="O26" s="7">
        <f t="shared" si="0"/>
        <v>-20157.86</v>
      </c>
    </row>
    <row r="27" spans="2:16" x14ac:dyDescent="0.25">
      <c r="B27" s="4" t="s">
        <v>30</v>
      </c>
      <c r="C27" s="7">
        <v>-2777.96</v>
      </c>
      <c r="D27" s="7">
        <v>-3545.24</v>
      </c>
      <c r="E27" s="7">
        <v>-4179.8999999999996</v>
      </c>
      <c r="F27" s="7">
        <v>-4303.8599999999997</v>
      </c>
      <c r="G27" s="7">
        <v>-3689.8</v>
      </c>
      <c r="H27" s="7"/>
      <c r="I27" s="7"/>
      <c r="J27" s="7"/>
      <c r="K27" s="7"/>
      <c r="L27" s="7"/>
      <c r="M27" s="7"/>
      <c r="N27" s="7"/>
      <c r="O27" s="7">
        <f t="shared" si="0"/>
        <v>-18496.759999999998</v>
      </c>
    </row>
    <row r="28" spans="2:16" x14ac:dyDescent="0.25">
      <c r="B28" s="4" t="s">
        <v>31</v>
      </c>
      <c r="C28" s="7">
        <v>0</v>
      </c>
      <c r="D28" s="7">
        <v>-276.39</v>
      </c>
      <c r="E28" s="7">
        <v>-276.39</v>
      </c>
      <c r="F28" s="7">
        <v>-276.39</v>
      </c>
      <c r="G28" s="7">
        <v>-276.39</v>
      </c>
      <c r="H28" s="7"/>
      <c r="I28" s="7"/>
      <c r="J28" s="7"/>
      <c r="K28" s="7"/>
      <c r="L28" s="7"/>
      <c r="M28" s="7"/>
      <c r="N28" s="7"/>
      <c r="O28" s="7">
        <f t="shared" si="0"/>
        <v>-1105.56</v>
      </c>
    </row>
    <row r="29" spans="2:16" x14ac:dyDescent="0.25">
      <c r="B29" s="4" t="s">
        <v>32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/>
      <c r="I29" s="7"/>
      <c r="J29" s="7"/>
      <c r="K29" s="7"/>
      <c r="L29" s="7"/>
      <c r="M29" s="7"/>
      <c r="N29" s="7"/>
      <c r="O29" s="7">
        <f t="shared" si="0"/>
        <v>0</v>
      </c>
    </row>
    <row r="30" spans="2:16" x14ac:dyDescent="0.25">
      <c r="B30" s="4" t="s">
        <v>33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/>
      <c r="I30" s="7"/>
      <c r="J30" s="7"/>
      <c r="K30" s="7"/>
      <c r="L30" s="7"/>
      <c r="M30" s="7"/>
      <c r="N30" s="7"/>
      <c r="O30" s="7">
        <f t="shared" si="0"/>
        <v>0</v>
      </c>
    </row>
    <row r="31" spans="2:16" x14ac:dyDescent="0.25">
      <c r="B31" s="4" t="s">
        <v>34</v>
      </c>
      <c r="C31" s="9">
        <f>SUM(C19:C30)</f>
        <v>-7107.17</v>
      </c>
      <c r="D31" s="9">
        <f t="shared" ref="D31:N31" si="3">SUM(D19:D30)</f>
        <v>-16395.88</v>
      </c>
      <c r="E31" s="9">
        <f t="shared" si="3"/>
        <v>-18076.629999999997</v>
      </c>
      <c r="F31" s="9">
        <f t="shared" si="3"/>
        <v>-16419.489999999998</v>
      </c>
      <c r="G31" s="9">
        <f t="shared" si="3"/>
        <v>-14804.219999999998</v>
      </c>
      <c r="H31" s="9">
        <f t="shared" si="3"/>
        <v>0</v>
      </c>
      <c r="I31" s="9">
        <f t="shared" si="3"/>
        <v>0</v>
      </c>
      <c r="J31" s="9">
        <f t="shared" si="3"/>
        <v>0</v>
      </c>
      <c r="K31" s="9">
        <f t="shared" si="3"/>
        <v>0</v>
      </c>
      <c r="L31" s="9">
        <f t="shared" si="3"/>
        <v>0</v>
      </c>
      <c r="M31" s="9">
        <f t="shared" si="3"/>
        <v>0</v>
      </c>
      <c r="N31" s="9">
        <f t="shared" si="3"/>
        <v>0</v>
      </c>
      <c r="O31" s="9">
        <f t="shared" si="0"/>
        <v>-72803.39</v>
      </c>
      <c r="P31" s="12">
        <f>O31/$O$7</f>
        <v>-8.8040129918446342E-2</v>
      </c>
    </row>
    <row r="32" spans="2:16" x14ac:dyDescent="0.25">
      <c r="B32" s="4" t="s">
        <v>35</v>
      </c>
      <c r="C32" s="7">
        <f>C31+C18</f>
        <v>-66870.8</v>
      </c>
      <c r="D32" s="7">
        <f t="shared" ref="D32:N32" si="4">D31+D18</f>
        <v>-90343.73</v>
      </c>
      <c r="E32" s="7">
        <f t="shared" si="4"/>
        <v>-79000.600000000006</v>
      </c>
      <c r="F32" s="7">
        <f t="shared" si="4"/>
        <v>-80279.01999999999</v>
      </c>
      <c r="G32" s="7">
        <f t="shared" si="4"/>
        <v>-86996.21</v>
      </c>
      <c r="H32" s="7">
        <f t="shared" si="4"/>
        <v>0</v>
      </c>
      <c r="I32" s="7">
        <f t="shared" si="4"/>
        <v>0</v>
      </c>
      <c r="J32" s="7">
        <f t="shared" si="4"/>
        <v>0</v>
      </c>
      <c r="K32" s="7">
        <f t="shared" si="4"/>
        <v>0</v>
      </c>
      <c r="L32" s="7">
        <f t="shared" si="4"/>
        <v>0</v>
      </c>
      <c r="M32" s="7">
        <f t="shared" si="4"/>
        <v>0</v>
      </c>
      <c r="N32" s="7">
        <f t="shared" si="4"/>
        <v>0</v>
      </c>
      <c r="O32" s="7">
        <f t="shared" si="0"/>
        <v>-403490.36000000004</v>
      </c>
    </row>
    <row r="33" spans="2:16" x14ac:dyDescent="0.25">
      <c r="B33" s="4" t="s">
        <v>36</v>
      </c>
      <c r="C33" s="9">
        <f>C7+(C12+C18+C31)</f>
        <v>32486.410000000018</v>
      </c>
      <c r="D33" s="9">
        <f t="shared" ref="D33:N33" si="5">D7+(D12+D18+D31)</f>
        <v>10097.310000000027</v>
      </c>
      <c r="E33" s="9">
        <f t="shared" si="5"/>
        <v>55051.170000000013</v>
      </c>
      <c r="F33" s="9">
        <f t="shared" si="5"/>
        <v>22113.960000000021</v>
      </c>
      <c r="G33" s="9">
        <f t="shared" si="5"/>
        <v>42577.639999999985</v>
      </c>
      <c r="H33" s="9">
        <f t="shared" si="5"/>
        <v>0</v>
      </c>
      <c r="I33" s="9">
        <f t="shared" si="5"/>
        <v>0</v>
      </c>
      <c r="J33" s="9">
        <f t="shared" si="5"/>
        <v>0</v>
      </c>
      <c r="K33" s="9">
        <f t="shared" si="5"/>
        <v>0</v>
      </c>
      <c r="L33" s="9">
        <f t="shared" si="5"/>
        <v>0</v>
      </c>
      <c r="M33" s="9">
        <f t="shared" si="5"/>
        <v>0</v>
      </c>
      <c r="N33" s="9">
        <f t="shared" si="5"/>
        <v>0</v>
      </c>
      <c r="O33" s="6">
        <f t="shared" si="0"/>
        <v>162326.49000000005</v>
      </c>
      <c r="P33" s="12">
        <f>O33/$O$7</f>
        <v>0.19629917327758206</v>
      </c>
    </row>
    <row r="34" spans="2:16" x14ac:dyDescent="0.25">
      <c r="B34" s="4" t="s">
        <v>37</v>
      </c>
      <c r="C34" s="10">
        <f>C33</f>
        <v>32486.410000000018</v>
      </c>
      <c r="D34" s="10">
        <f>C34+D33</f>
        <v>42583.720000000045</v>
      </c>
      <c r="E34" s="10">
        <f t="shared" ref="E34:G34" si="6">D34+E33</f>
        <v>97634.890000000058</v>
      </c>
      <c r="F34" s="10">
        <f t="shared" si="6"/>
        <v>119748.85000000008</v>
      </c>
      <c r="G34" s="10">
        <f t="shared" si="6"/>
        <v>162326.49000000005</v>
      </c>
      <c r="H34" s="7"/>
      <c r="I34" s="7"/>
      <c r="J34" s="7"/>
      <c r="K34" s="7"/>
      <c r="L34" s="7"/>
      <c r="M34" s="7"/>
      <c r="N34" s="7"/>
      <c r="O34" s="10"/>
    </row>
  </sheetData>
  <conditionalFormatting sqref="C33:O33">
    <cfRule type="cellIs" dxfId="36" priority="1" operator="lessThan">
      <formula>0</formula>
    </cfRule>
    <cfRule type="cellIs" dxfId="37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8BFB-5E06-48B3-B139-5411851FA929}">
  <dimension ref="B1:P34"/>
  <sheetViews>
    <sheetView workbookViewId="0">
      <selection activeCell="C18" sqref="C18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</cols>
  <sheetData>
    <row r="1" spans="2:16" x14ac:dyDescent="0.25">
      <c r="B1" s="1" t="s">
        <v>51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 s="7">
        <v>0</v>
      </c>
      <c r="D2" s="7">
        <v>0</v>
      </c>
      <c r="E2" s="7">
        <v>0</v>
      </c>
      <c r="F2" s="7">
        <v>0</v>
      </c>
      <c r="G2" s="7">
        <v>0</v>
      </c>
    </row>
    <row r="3" spans="2:16" x14ac:dyDescent="0.25">
      <c r="B3" s="4" t="s">
        <v>6</v>
      </c>
      <c r="C3" s="7">
        <v>43870.36</v>
      </c>
      <c r="D3" s="7">
        <v>74656.850000000006</v>
      </c>
      <c r="E3" s="7">
        <v>99746.34</v>
      </c>
      <c r="F3" s="7">
        <v>136713.88</v>
      </c>
      <c r="G3" s="7">
        <v>121798.71</v>
      </c>
      <c r="O3" s="5">
        <f t="shared" ref="O3:O33" si="0">SUM(C3:N3)</f>
        <v>476786.14</v>
      </c>
    </row>
    <row r="4" spans="2:16" x14ac:dyDescent="0.25">
      <c r="B4" s="4" t="s">
        <v>7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O4">
        <f t="shared" si="0"/>
        <v>0</v>
      </c>
    </row>
    <row r="5" spans="2:16" x14ac:dyDescent="0.25">
      <c r="B5" s="4" t="s">
        <v>8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O5" s="5">
        <f t="shared" si="0"/>
        <v>0</v>
      </c>
    </row>
    <row r="6" spans="2:16" x14ac:dyDescent="0.25">
      <c r="B6" s="4" t="s">
        <v>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O6">
        <f t="shared" si="0"/>
        <v>0</v>
      </c>
    </row>
    <row r="7" spans="2:16" x14ac:dyDescent="0.25">
      <c r="B7" s="4" t="s">
        <v>10</v>
      </c>
      <c r="C7" s="9">
        <v>43870.36</v>
      </c>
      <c r="D7" s="9">
        <v>74656.850000000006</v>
      </c>
      <c r="E7" s="9">
        <v>99746.34</v>
      </c>
      <c r="F7" s="9">
        <v>136713.88</v>
      </c>
      <c r="G7" s="9">
        <v>121798.71</v>
      </c>
      <c r="I7" s="7"/>
      <c r="J7" s="7"/>
      <c r="K7" s="7"/>
      <c r="L7" s="7"/>
      <c r="M7" s="7"/>
      <c r="O7" s="6">
        <f t="shared" si="0"/>
        <v>476786.14</v>
      </c>
    </row>
    <row r="8" spans="2:16" x14ac:dyDescent="0.25">
      <c r="B8" s="4" t="s">
        <v>11</v>
      </c>
      <c r="C8" s="7">
        <v>-7205.9</v>
      </c>
      <c r="D8" s="7">
        <v>-13329.34</v>
      </c>
      <c r="E8" s="7">
        <v>-20937.830000000002</v>
      </c>
      <c r="F8" s="7">
        <v>-25255.55</v>
      </c>
      <c r="G8" s="7">
        <v>-22034.97</v>
      </c>
      <c r="O8" s="5">
        <f t="shared" si="0"/>
        <v>-88763.59</v>
      </c>
    </row>
    <row r="9" spans="2:16" x14ac:dyDescent="0.25">
      <c r="B9" s="4" t="s">
        <v>12</v>
      </c>
      <c r="C9" s="7">
        <v>-367.41</v>
      </c>
      <c r="D9" s="7">
        <v>-68.959999999999994</v>
      </c>
      <c r="E9" s="7">
        <v>-415.22</v>
      </c>
      <c r="F9" s="7">
        <v>-641.89</v>
      </c>
      <c r="G9" s="7">
        <v>-416.43</v>
      </c>
      <c r="O9" s="5">
        <f t="shared" si="0"/>
        <v>-1909.91</v>
      </c>
    </row>
    <row r="10" spans="2:16" x14ac:dyDescent="0.25">
      <c r="B10" s="4" t="s">
        <v>13</v>
      </c>
      <c r="C10" s="7">
        <v>-3167.41</v>
      </c>
      <c r="D10" s="7">
        <v>-5411.22</v>
      </c>
      <c r="E10" s="7">
        <v>-5023.9399999999996</v>
      </c>
      <c r="F10" s="7">
        <v>-8824.9699999999993</v>
      </c>
      <c r="G10" s="7">
        <v>-7562.8899999999994</v>
      </c>
      <c r="O10">
        <f t="shared" si="0"/>
        <v>-29990.43</v>
      </c>
    </row>
    <row r="11" spans="2:16" x14ac:dyDescent="0.25">
      <c r="B11" s="4" t="s">
        <v>14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O11">
        <f t="shared" si="0"/>
        <v>0</v>
      </c>
    </row>
    <row r="12" spans="2:16" x14ac:dyDescent="0.25">
      <c r="B12" s="4" t="s">
        <v>15</v>
      </c>
      <c r="C12" s="9">
        <f>SUM(C8:C11)</f>
        <v>-10740.72</v>
      </c>
      <c r="D12" s="9">
        <f t="shared" ref="D12:N12" si="1">SUM(D8:D11)</f>
        <v>-18809.52</v>
      </c>
      <c r="E12" s="9">
        <f t="shared" si="1"/>
        <v>-26376.99</v>
      </c>
      <c r="F12" s="9">
        <f t="shared" si="1"/>
        <v>-34722.409999999996</v>
      </c>
      <c r="G12" s="9">
        <f t="shared" si="1"/>
        <v>-30014.29</v>
      </c>
      <c r="H12" s="9">
        <f t="shared" si="1"/>
        <v>0</v>
      </c>
      <c r="I12" s="9">
        <f t="shared" si="1"/>
        <v>0</v>
      </c>
      <c r="J12" s="9">
        <f t="shared" si="1"/>
        <v>0</v>
      </c>
      <c r="K12" s="9">
        <f t="shared" si="1"/>
        <v>0</v>
      </c>
      <c r="L12" s="9">
        <f t="shared" si="1"/>
        <v>0</v>
      </c>
      <c r="M12" s="9">
        <f t="shared" si="1"/>
        <v>0</v>
      </c>
      <c r="N12" s="9">
        <f t="shared" si="1"/>
        <v>0</v>
      </c>
      <c r="O12" s="6">
        <f t="shared" si="0"/>
        <v>-120663.93</v>
      </c>
      <c r="P12" s="12">
        <f>O12/$O$7</f>
        <v>-0.25307767964899314</v>
      </c>
    </row>
    <row r="13" spans="2:16" x14ac:dyDescent="0.25">
      <c r="B13" s="4" t="s">
        <v>16</v>
      </c>
      <c r="C13" s="7">
        <v>36297.050000000003</v>
      </c>
      <c r="D13" s="7">
        <v>61258.55</v>
      </c>
      <c r="E13" s="7">
        <v>78393.289999999994</v>
      </c>
      <c r="F13" s="7">
        <v>110816.44</v>
      </c>
      <c r="G13" s="7">
        <v>99986.25</v>
      </c>
      <c r="O13" s="5">
        <f t="shared" si="0"/>
        <v>386751.58</v>
      </c>
    </row>
    <row r="14" spans="2:16" x14ac:dyDescent="0.25">
      <c r="B14" s="4" t="s">
        <v>17</v>
      </c>
      <c r="C14" s="7">
        <v>-23470.880000000001</v>
      </c>
      <c r="D14" s="7">
        <v>-24044.329999999998</v>
      </c>
      <c r="E14" s="7">
        <v>-26696.66</v>
      </c>
      <c r="F14" s="7">
        <v>-31475.15</v>
      </c>
      <c r="G14" s="7">
        <v>-30051.940000000002</v>
      </c>
      <c r="O14" s="5">
        <f t="shared" si="0"/>
        <v>-135738.96</v>
      </c>
    </row>
    <row r="15" spans="2:16" x14ac:dyDescent="0.25">
      <c r="B15" s="4" t="s">
        <v>18</v>
      </c>
      <c r="C15" s="7">
        <v>0</v>
      </c>
      <c r="D15" s="7">
        <v>-1000</v>
      </c>
      <c r="E15" s="7">
        <v>0</v>
      </c>
      <c r="F15" s="7">
        <v>0</v>
      </c>
      <c r="G15" s="7">
        <v>-2200</v>
      </c>
      <c r="O15" s="5">
        <f t="shared" si="0"/>
        <v>-3200</v>
      </c>
    </row>
    <row r="16" spans="2:16" x14ac:dyDescent="0.25">
      <c r="B16" s="4" t="s">
        <v>19</v>
      </c>
      <c r="C16" s="7">
        <v>-6168.37</v>
      </c>
      <c r="D16" s="7">
        <v>-6825.56</v>
      </c>
      <c r="E16" s="7">
        <v>-7826.67</v>
      </c>
      <c r="F16" s="7">
        <v>-9685.94</v>
      </c>
      <c r="G16" s="7">
        <v>-8926.75</v>
      </c>
      <c r="O16" s="5">
        <f t="shared" si="0"/>
        <v>-39433.29</v>
      </c>
    </row>
    <row r="17" spans="2:16" x14ac:dyDescent="0.25">
      <c r="B17" s="4" t="s">
        <v>20</v>
      </c>
      <c r="C17" s="7">
        <v>-949.95</v>
      </c>
      <c r="D17" s="7">
        <v>-310.04000000000002</v>
      </c>
      <c r="E17" s="7">
        <v>-294.52999999999997</v>
      </c>
      <c r="F17" s="7">
        <v>-586.24</v>
      </c>
      <c r="G17" s="7">
        <v>-476.58</v>
      </c>
      <c r="O17" s="5">
        <f t="shared" si="0"/>
        <v>-2617.34</v>
      </c>
    </row>
    <row r="18" spans="2:16" x14ac:dyDescent="0.25">
      <c r="B18" s="4" t="s">
        <v>21</v>
      </c>
      <c r="C18" s="9">
        <f>SUM(C14:C17)</f>
        <v>-30589.200000000001</v>
      </c>
      <c r="D18" s="9">
        <f t="shared" ref="D18:N18" si="2">SUM(D14:D17)</f>
        <v>-32179.93</v>
      </c>
      <c r="E18" s="9">
        <f t="shared" si="2"/>
        <v>-34817.86</v>
      </c>
      <c r="F18" s="9">
        <f t="shared" si="2"/>
        <v>-41747.33</v>
      </c>
      <c r="G18" s="9">
        <f t="shared" si="2"/>
        <v>-41655.270000000004</v>
      </c>
      <c r="H18" s="9">
        <f t="shared" si="2"/>
        <v>0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6">
        <f t="shared" si="0"/>
        <v>-180989.59000000003</v>
      </c>
      <c r="P18" s="12">
        <f>O18/$O$7</f>
        <v>-0.37960329551525979</v>
      </c>
    </row>
    <row r="19" spans="2:16" x14ac:dyDescent="0.25">
      <c r="B19" s="4" t="s">
        <v>22</v>
      </c>
      <c r="C19" s="7">
        <v>0</v>
      </c>
      <c r="D19" s="7">
        <v>-14930.94</v>
      </c>
      <c r="E19" s="13">
        <v>-19382.47</v>
      </c>
      <c r="F19" s="7">
        <v>-27342.18</v>
      </c>
      <c r="G19" s="7">
        <v>-24359.07</v>
      </c>
      <c r="O19" s="5">
        <f t="shared" si="0"/>
        <v>-86014.66</v>
      </c>
    </row>
    <row r="20" spans="2:16" x14ac:dyDescent="0.25">
      <c r="B20" s="4" t="s">
        <v>23</v>
      </c>
      <c r="C20" s="7">
        <v>-851.3</v>
      </c>
      <c r="D20" s="7">
        <v>-513.24</v>
      </c>
      <c r="E20" s="7">
        <v>-421.07</v>
      </c>
      <c r="F20" s="7">
        <v>-452.07</v>
      </c>
      <c r="G20" s="7">
        <v>-328.34</v>
      </c>
      <c r="O20" s="5">
        <f t="shared" si="0"/>
        <v>-2566.02</v>
      </c>
    </row>
    <row r="21" spans="2:16" x14ac:dyDescent="0.25">
      <c r="B21" s="4" t="s">
        <v>24</v>
      </c>
      <c r="C21" s="7">
        <v>-62</v>
      </c>
      <c r="D21" s="7">
        <v>-63.86</v>
      </c>
      <c r="E21" s="7">
        <v>-63.86</v>
      </c>
      <c r="F21" s="7">
        <v>-63.86</v>
      </c>
      <c r="G21" s="7">
        <v>-63.86</v>
      </c>
      <c r="O21" s="5">
        <f t="shared" si="0"/>
        <v>-317.44</v>
      </c>
    </row>
    <row r="22" spans="2:16" x14ac:dyDescent="0.25">
      <c r="B22" s="4" t="s">
        <v>25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O22" s="5">
        <f t="shared" si="0"/>
        <v>0</v>
      </c>
    </row>
    <row r="23" spans="2:16" x14ac:dyDescent="0.25">
      <c r="B23" s="4" t="s">
        <v>26</v>
      </c>
      <c r="C23" s="7">
        <v>0</v>
      </c>
      <c r="D23" s="7">
        <v>-40.81</v>
      </c>
      <c r="E23" s="7">
        <v>-40.81</v>
      </c>
      <c r="F23" s="7">
        <v>-40.81</v>
      </c>
      <c r="G23" s="7">
        <v>-40.81</v>
      </c>
      <c r="O23" s="5">
        <f t="shared" si="0"/>
        <v>-163.24</v>
      </c>
    </row>
    <row r="24" spans="2:16" x14ac:dyDescent="0.25">
      <c r="B24" s="4" t="s">
        <v>27</v>
      </c>
      <c r="C24" s="7">
        <v>-453.45</v>
      </c>
      <c r="D24" s="7">
        <v>-605.17999999999995</v>
      </c>
      <c r="E24" s="7">
        <v>-1034.05</v>
      </c>
      <c r="F24" s="7">
        <v>-1225.05</v>
      </c>
      <c r="G24" s="7">
        <v>-1249.49</v>
      </c>
      <c r="O24" s="5">
        <f t="shared" si="0"/>
        <v>-4567.2199999999993</v>
      </c>
    </row>
    <row r="25" spans="2:16" x14ac:dyDescent="0.25">
      <c r="B25" s="4" t="s">
        <v>28</v>
      </c>
      <c r="C25" s="7">
        <v>0</v>
      </c>
      <c r="D25" s="7">
        <v>-15</v>
      </c>
      <c r="E25" s="7">
        <v>0</v>
      </c>
      <c r="F25" s="7">
        <v>0</v>
      </c>
      <c r="G25" s="7">
        <v>0</v>
      </c>
      <c r="O25" s="5">
        <f t="shared" si="0"/>
        <v>-15</v>
      </c>
    </row>
    <row r="26" spans="2:16" x14ac:dyDescent="0.25">
      <c r="B26" s="4" t="s">
        <v>29</v>
      </c>
      <c r="C26" s="7">
        <v>0</v>
      </c>
      <c r="D26" s="7">
        <v>-1034</v>
      </c>
      <c r="E26" s="7">
        <v>-1034</v>
      </c>
      <c r="F26" s="7">
        <v>-1034</v>
      </c>
      <c r="G26" s="7">
        <v>-1034</v>
      </c>
      <c r="O26" s="5">
        <f t="shared" si="0"/>
        <v>-4136</v>
      </c>
    </row>
    <row r="27" spans="2:16" x14ac:dyDescent="0.25">
      <c r="B27" s="4" t="s">
        <v>30</v>
      </c>
      <c r="C27" s="7">
        <v>-615.34</v>
      </c>
      <c r="D27" s="7">
        <v>-585.16</v>
      </c>
      <c r="E27" s="7">
        <v>-1089.32</v>
      </c>
      <c r="F27" s="7">
        <v>-1059.3</v>
      </c>
      <c r="G27" s="7">
        <v>-967.62</v>
      </c>
      <c r="O27" s="5">
        <f t="shared" si="0"/>
        <v>-4316.74</v>
      </c>
    </row>
    <row r="28" spans="2:16" x14ac:dyDescent="0.25">
      <c r="B28" s="4" t="s">
        <v>31</v>
      </c>
      <c r="C28" s="7">
        <v>0</v>
      </c>
      <c r="D28" s="7">
        <v>-207.23</v>
      </c>
      <c r="E28" s="7">
        <v>-207.23</v>
      </c>
      <c r="F28" s="7">
        <v>-207.23</v>
      </c>
      <c r="G28" s="7">
        <v>-207.23</v>
      </c>
      <c r="O28" s="5">
        <f t="shared" si="0"/>
        <v>-828.92</v>
      </c>
    </row>
    <row r="29" spans="2:16" x14ac:dyDescent="0.25">
      <c r="B29" s="4" t="s">
        <v>32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O29">
        <f t="shared" si="0"/>
        <v>0</v>
      </c>
    </row>
    <row r="30" spans="2:16" x14ac:dyDescent="0.25">
      <c r="B30" s="4" t="s">
        <v>33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O30">
        <f t="shared" si="0"/>
        <v>0</v>
      </c>
    </row>
    <row r="31" spans="2:16" x14ac:dyDescent="0.25">
      <c r="B31" s="4" t="s">
        <v>34</v>
      </c>
      <c r="C31" s="9">
        <f>SUM(C19:C30)</f>
        <v>-1982.0900000000001</v>
      </c>
      <c r="D31" s="9">
        <f>SUM(D19:D30)</f>
        <v>-17995.419999999998</v>
      </c>
      <c r="E31" s="9">
        <f>SUM(E19:E30)</f>
        <v>-23272.81</v>
      </c>
      <c r="F31" s="9">
        <f>SUM(F19:F30)</f>
        <v>-31424.5</v>
      </c>
      <c r="G31" s="9">
        <f>SUM(G19:G30)</f>
        <v>-28250.420000000002</v>
      </c>
      <c r="H31" s="9">
        <f t="shared" ref="H31:N31" si="3">SUM(H19:H30)</f>
        <v>0</v>
      </c>
      <c r="I31" s="9">
        <f t="shared" si="3"/>
        <v>0</v>
      </c>
      <c r="J31" s="9">
        <f t="shared" si="3"/>
        <v>0</v>
      </c>
      <c r="K31" s="9">
        <f t="shared" si="3"/>
        <v>0</v>
      </c>
      <c r="L31" s="9">
        <f t="shared" si="3"/>
        <v>0</v>
      </c>
      <c r="M31" s="9">
        <f t="shared" si="3"/>
        <v>0</v>
      </c>
      <c r="N31" s="9">
        <f t="shared" si="3"/>
        <v>0</v>
      </c>
      <c r="O31" s="6">
        <f t="shared" si="0"/>
        <v>-102925.24</v>
      </c>
      <c r="P31" s="12">
        <f>O31/$O$7</f>
        <v>-0.21587296979731835</v>
      </c>
    </row>
    <row r="32" spans="2:16" x14ac:dyDescent="0.25">
      <c r="B32" s="4" t="s">
        <v>35</v>
      </c>
      <c r="C32" s="7">
        <f>C31+C18</f>
        <v>-32571.29</v>
      </c>
      <c r="D32" s="7">
        <f t="shared" ref="D32:N32" si="4">D31+D18</f>
        <v>-50175.35</v>
      </c>
      <c r="E32" s="7">
        <f t="shared" si="4"/>
        <v>-58090.67</v>
      </c>
      <c r="F32" s="7">
        <f t="shared" si="4"/>
        <v>-73171.83</v>
      </c>
      <c r="G32" s="7">
        <f t="shared" si="4"/>
        <v>-69905.69</v>
      </c>
      <c r="H32" s="7">
        <f t="shared" si="4"/>
        <v>0</v>
      </c>
      <c r="I32" s="7">
        <f t="shared" si="4"/>
        <v>0</v>
      </c>
      <c r="J32" s="7">
        <f t="shared" si="4"/>
        <v>0</v>
      </c>
      <c r="K32" s="7">
        <f t="shared" si="4"/>
        <v>0</v>
      </c>
      <c r="L32" s="7">
        <f t="shared" si="4"/>
        <v>0</v>
      </c>
      <c r="M32" s="7">
        <f t="shared" si="4"/>
        <v>0</v>
      </c>
      <c r="N32" s="7">
        <f t="shared" si="4"/>
        <v>0</v>
      </c>
      <c r="O32" s="5">
        <f t="shared" si="0"/>
        <v>-283914.83</v>
      </c>
    </row>
    <row r="33" spans="2:16" x14ac:dyDescent="0.25">
      <c r="B33" s="4" t="s">
        <v>36</v>
      </c>
      <c r="C33" s="9">
        <f>C7+(C12+C18+C31)</f>
        <v>558.35000000000582</v>
      </c>
      <c r="D33" s="9">
        <f t="shared" ref="D33:N33" si="5">D7+(D12+D18+D31)</f>
        <v>5671.9800000000105</v>
      </c>
      <c r="E33" s="9">
        <f t="shared" si="5"/>
        <v>15278.679999999993</v>
      </c>
      <c r="F33" s="9">
        <f t="shared" si="5"/>
        <v>28819.640000000014</v>
      </c>
      <c r="G33" s="9">
        <f t="shared" si="5"/>
        <v>21878.73000000001</v>
      </c>
      <c r="H33" s="9">
        <f t="shared" si="5"/>
        <v>0</v>
      </c>
      <c r="I33" s="9">
        <f t="shared" si="5"/>
        <v>0</v>
      </c>
      <c r="J33" s="9">
        <f t="shared" si="5"/>
        <v>0</v>
      </c>
      <c r="K33" s="9">
        <f t="shared" si="5"/>
        <v>0</v>
      </c>
      <c r="L33" s="9">
        <f t="shared" si="5"/>
        <v>0</v>
      </c>
      <c r="M33" s="9">
        <f t="shared" si="5"/>
        <v>0</v>
      </c>
      <c r="N33" s="9">
        <f t="shared" si="5"/>
        <v>0</v>
      </c>
      <c r="O33" s="6">
        <f t="shared" si="0"/>
        <v>72207.380000000034</v>
      </c>
      <c r="P33" s="12">
        <f>O33/$O$7</f>
        <v>0.15144605503842884</v>
      </c>
    </row>
    <row r="34" spans="2:16" x14ac:dyDescent="0.25">
      <c r="B34" s="4" t="s">
        <v>37</v>
      </c>
      <c r="C34" s="10">
        <f>C33</f>
        <v>558.35000000000582</v>
      </c>
      <c r="D34" s="10">
        <f>C34+D33</f>
        <v>6230.3300000000163</v>
      </c>
      <c r="E34" s="10">
        <f t="shared" ref="E34:G34" si="6">D34+E33</f>
        <v>21509.010000000009</v>
      </c>
      <c r="F34" s="10">
        <f t="shared" si="6"/>
        <v>50328.650000000023</v>
      </c>
      <c r="G34" s="10">
        <f t="shared" si="6"/>
        <v>72207.380000000034</v>
      </c>
      <c r="O34" s="8"/>
    </row>
  </sheetData>
  <conditionalFormatting sqref="C33:O33">
    <cfRule type="cellIs" dxfId="32" priority="1" operator="lessThan">
      <formula>0</formula>
    </cfRule>
    <cfRule type="cellIs" dxfId="33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3B54-BA6C-4201-A33E-5367F93083F3}">
  <dimension ref="B1:P34"/>
  <sheetViews>
    <sheetView workbookViewId="0">
      <selection activeCell="D34" sqref="D34:G34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</cols>
  <sheetData>
    <row r="1" spans="2:16" x14ac:dyDescent="0.25">
      <c r="B1" s="1" t="s">
        <v>50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>
        <v>0</v>
      </c>
      <c r="D2">
        <v>0</v>
      </c>
      <c r="E2">
        <v>0</v>
      </c>
      <c r="F2">
        <v>0</v>
      </c>
      <c r="G2">
        <v>0</v>
      </c>
    </row>
    <row r="3" spans="2:16" x14ac:dyDescent="0.25">
      <c r="B3" s="4" t="s">
        <v>6</v>
      </c>
      <c r="C3" s="5">
        <v>2719.86</v>
      </c>
      <c r="D3" s="5">
        <v>9232.34</v>
      </c>
      <c r="E3" s="5">
        <v>6572.48</v>
      </c>
      <c r="F3" s="5">
        <v>13678.02</v>
      </c>
      <c r="G3" s="5">
        <v>17474.96</v>
      </c>
      <c r="O3" s="5">
        <f t="shared" ref="O3:O33" si="0">SUM(C3:N3)</f>
        <v>49677.66</v>
      </c>
    </row>
    <row r="4" spans="2:16" x14ac:dyDescent="0.25">
      <c r="B4" s="4" t="s">
        <v>7</v>
      </c>
      <c r="C4">
        <v>0</v>
      </c>
      <c r="D4">
        <v>0</v>
      </c>
      <c r="E4">
        <v>0</v>
      </c>
      <c r="F4">
        <v>0</v>
      </c>
      <c r="G4">
        <v>0</v>
      </c>
      <c r="O4">
        <f t="shared" si="0"/>
        <v>0</v>
      </c>
    </row>
    <row r="5" spans="2:16" x14ac:dyDescent="0.25">
      <c r="B5" s="4" t="s">
        <v>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O5" s="5">
        <f t="shared" si="0"/>
        <v>0</v>
      </c>
    </row>
    <row r="6" spans="2:16" x14ac:dyDescent="0.25">
      <c r="B6" s="4" t="s">
        <v>9</v>
      </c>
      <c r="C6">
        <v>0</v>
      </c>
      <c r="D6">
        <v>0</v>
      </c>
      <c r="E6">
        <v>0</v>
      </c>
      <c r="F6">
        <v>0</v>
      </c>
      <c r="G6">
        <v>0</v>
      </c>
      <c r="O6">
        <f t="shared" si="0"/>
        <v>0</v>
      </c>
    </row>
    <row r="7" spans="2:16" x14ac:dyDescent="0.25">
      <c r="B7" s="4" t="s">
        <v>10</v>
      </c>
      <c r="C7" s="6">
        <v>2719.86</v>
      </c>
      <c r="D7" s="6">
        <v>9232.34</v>
      </c>
      <c r="E7" s="6">
        <v>6572.48</v>
      </c>
      <c r="F7" s="6">
        <v>13678.02</v>
      </c>
      <c r="G7" s="6">
        <v>17474.96</v>
      </c>
      <c r="I7" s="7"/>
      <c r="J7" s="7"/>
      <c r="K7" s="7"/>
      <c r="L7" s="7"/>
      <c r="M7" s="7"/>
      <c r="O7" s="6">
        <f t="shared" si="0"/>
        <v>49677.66</v>
      </c>
    </row>
    <row r="8" spans="2:16" x14ac:dyDescent="0.25">
      <c r="B8" s="4" t="s">
        <v>11</v>
      </c>
      <c r="C8" s="5">
        <v>-325.27</v>
      </c>
      <c r="D8" s="5">
        <v>-2131.7399999999998</v>
      </c>
      <c r="E8" s="5">
        <v>-2047.52</v>
      </c>
      <c r="F8" s="5">
        <v>-3775.03</v>
      </c>
      <c r="G8" s="5">
        <v>-4520</v>
      </c>
      <c r="O8" s="5">
        <f t="shared" si="0"/>
        <v>-12799.56</v>
      </c>
    </row>
    <row r="9" spans="2:16" x14ac:dyDescent="0.25">
      <c r="B9" s="4" t="s">
        <v>12</v>
      </c>
      <c r="C9" s="5">
        <v>-86.77</v>
      </c>
      <c r="D9" s="5">
        <v>-231.21</v>
      </c>
      <c r="E9" s="5">
        <v>-254.46</v>
      </c>
      <c r="F9" s="5">
        <v>-226.84</v>
      </c>
      <c r="G9" s="5">
        <v>-382.18</v>
      </c>
      <c r="O9" s="5">
        <f t="shared" si="0"/>
        <v>-1181.46</v>
      </c>
    </row>
    <row r="10" spans="2:16" x14ac:dyDescent="0.25">
      <c r="B10" s="4" t="s">
        <v>13</v>
      </c>
      <c r="C10">
        <v>-549.12</v>
      </c>
      <c r="D10">
        <v>-1503.55</v>
      </c>
      <c r="E10">
        <v>-1522.77</v>
      </c>
      <c r="F10">
        <v>-3636.52</v>
      </c>
      <c r="G10">
        <v>-3814.0599999999995</v>
      </c>
      <c r="O10">
        <f t="shared" si="0"/>
        <v>-11026.02</v>
      </c>
    </row>
    <row r="11" spans="2:16" x14ac:dyDescent="0.25">
      <c r="B11" s="4" t="s">
        <v>14</v>
      </c>
      <c r="C11">
        <v>0</v>
      </c>
      <c r="D11">
        <v>0</v>
      </c>
      <c r="E11">
        <v>0</v>
      </c>
      <c r="F11">
        <v>0</v>
      </c>
      <c r="G11">
        <v>0</v>
      </c>
      <c r="O11">
        <f t="shared" si="0"/>
        <v>0</v>
      </c>
    </row>
    <row r="12" spans="2:16" x14ac:dyDescent="0.25">
      <c r="B12" s="4" t="s">
        <v>15</v>
      </c>
      <c r="C12" s="9">
        <f>SUM(C8:C11)</f>
        <v>-961.16</v>
      </c>
      <c r="D12" s="9">
        <f t="shared" ref="D12:N12" si="1">SUM(D8:D11)</f>
        <v>-3866.5</v>
      </c>
      <c r="E12" s="9">
        <f t="shared" si="1"/>
        <v>-3824.75</v>
      </c>
      <c r="F12" s="9">
        <f t="shared" si="1"/>
        <v>-7638.39</v>
      </c>
      <c r="G12" s="9">
        <f t="shared" si="1"/>
        <v>-8716.24</v>
      </c>
      <c r="H12" s="9">
        <f t="shared" si="1"/>
        <v>0</v>
      </c>
      <c r="I12" s="9">
        <f t="shared" si="1"/>
        <v>0</v>
      </c>
      <c r="J12" s="9">
        <f t="shared" si="1"/>
        <v>0</v>
      </c>
      <c r="K12" s="9">
        <f t="shared" si="1"/>
        <v>0</v>
      </c>
      <c r="L12" s="9">
        <f t="shared" si="1"/>
        <v>0</v>
      </c>
      <c r="M12" s="9">
        <f t="shared" si="1"/>
        <v>0</v>
      </c>
      <c r="N12" s="9">
        <f t="shared" si="1"/>
        <v>0</v>
      </c>
      <c r="O12" s="6">
        <f t="shared" si="0"/>
        <v>-25007.040000000001</v>
      </c>
      <c r="P12" s="12">
        <f>O12/$O$7</f>
        <v>-0.50338602905209306</v>
      </c>
    </row>
    <row r="13" spans="2:16" x14ac:dyDescent="0.25">
      <c r="B13" s="4" t="s">
        <v>16</v>
      </c>
      <c r="C13" s="5">
        <v>2307.8200000000002</v>
      </c>
      <c r="D13" s="5">
        <v>6869.39</v>
      </c>
      <c r="E13" s="5">
        <v>4270.5</v>
      </c>
      <c r="F13" s="5">
        <v>9676.15</v>
      </c>
      <c r="G13" s="5">
        <v>13267.26</v>
      </c>
      <c r="O13" s="5">
        <f t="shared" si="0"/>
        <v>36391.120000000003</v>
      </c>
    </row>
    <row r="14" spans="2:16" x14ac:dyDescent="0.25">
      <c r="B14" s="4" t="s">
        <v>17</v>
      </c>
      <c r="C14" s="5">
        <v>-7356.03</v>
      </c>
      <c r="D14" s="5">
        <v>-8620.18</v>
      </c>
      <c r="E14" s="5">
        <v>-8018.64</v>
      </c>
      <c r="F14" s="5">
        <v>-9543.4700000000012</v>
      </c>
      <c r="G14" s="5">
        <v>-10005.279999999999</v>
      </c>
      <c r="O14" s="5">
        <f t="shared" si="0"/>
        <v>-43543.6</v>
      </c>
    </row>
    <row r="15" spans="2:16" x14ac:dyDescent="0.25">
      <c r="B15" s="4" t="s">
        <v>18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O15" s="5">
        <f t="shared" si="0"/>
        <v>0</v>
      </c>
    </row>
    <row r="16" spans="2:16" x14ac:dyDescent="0.25">
      <c r="B16" s="4" t="s">
        <v>19</v>
      </c>
      <c r="C16" s="5">
        <v>-2623.61</v>
      </c>
      <c r="D16" s="5">
        <v>-2609.91</v>
      </c>
      <c r="E16" s="5">
        <v>-2719.78</v>
      </c>
      <c r="F16" s="5">
        <v>-3044.27</v>
      </c>
      <c r="G16" s="5">
        <v>-2954.4</v>
      </c>
      <c r="O16" s="5">
        <f t="shared" si="0"/>
        <v>-13951.970000000001</v>
      </c>
    </row>
    <row r="17" spans="2:16" x14ac:dyDescent="0.25">
      <c r="B17" s="4" t="s">
        <v>20</v>
      </c>
      <c r="C17" s="5">
        <v>-290.89999999999998</v>
      </c>
      <c r="D17" s="5">
        <v>-207.8</v>
      </c>
      <c r="E17" s="5">
        <v>-401.38</v>
      </c>
      <c r="F17" s="5">
        <v>-392.75</v>
      </c>
      <c r="G17" s="5">
        <v>-486.57</v>
      </c>
      <c r="O17" s="5">
        <f t="shared" si="0"/>
        <v>-1779.3999999999999</v>
      </c>
    </row>
    <row r="18" spans="2:16" x14ac:dyDescent="0.25">
      <c r="B18" s="4" t="s">
        <v>21</v>
      </c>
      <c r="C18" s="9">
        <f>SUM(C14:C17)</f>
        <v>-10270.539999999999</v>
      </c>
      <c r="D18" s="9">
        <f t="shared" ref="D18:N18" si="2">SUM(D14:D17)</f>
        <v>-11437.89</v>
      </c>
      <c r="E18" s="9">
        <f t="shared" si="2"/>
        <v>-11139.8</v>
      </c>
      <c r="F18" s="9">
        <f t="shared" si="2"/>
        <v>-12980.490000000002</v>
      </c>
      <c r="G18" s="9">
        <f t="shared" si="2"/>
        <v>-13446.249999999998</v>
      </c>
      <c r="H18" s="9">
        <f t="shared" si="2"/>
        <v>0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6">
        <f t="shared" si="0"/>
        <v>-59274.97</v>
      </c>
      <c r="P18" s="12">
        <f>O18/$O$7</f>
        <v>-1.1931916680455561</v>
      </c>
    </row>
    <row r="19" spans="2:16" x14ac:dyDescent="0.25">
      <c r="B19" s="4" t="s">
        <v>22</v>
      </c>
      <c r="C19" s="5">
        <v>-1030</v>
      </c>
      <c r="D19" s="5">
        <v>-1500</v>
      </c>
      <c r="E19" s="5">
        <v>-1500</v>
      </c>
      <c r="F19" s="5">
        <v>-1500</v>
      </c>
      <c r="G19" s="5">
        <v>-1500</v>
      </c>
      <c r="O19" s="5">
        <f t="shared" si="0"/>
        <v>-7030</v>
      </c>
    </row>
    <row r="20" spans="2:16" x14ac:dyDescent="0.25">
      <c r="B20" s="4" t="s">
        <v>23</v>
      </c>
      <c r="C20" s="5">
        <v>-278.14999999999998</v>
      </c>
      <c r="D20" s="5">
        <v>-240.14</v>
      </c>
      <c r="E20" s="5">
        <v>-271.81</v>
      </c>
      <c r="F20" s="5">
        <v>-549.79</v>
      </c>
      <c r="G20" s="5">
        <v>-509.48</v>
      </c>
      <c r="O20" s="5">
        <f t="shared" si="0"/>
        <v>-1849.37</v>
      </c>
    </row>
    <row r="21" spans="2:16" x14ac:dyDescent="0.25">
      <c r="B21" s="4" t="s">
        <v>24</v>
      </c>
      <c r="C21" s="5">
        <v>-181.04</v>
      </c>
      <c r="D21" s="5">
        <v>-135.26</v>
      </c>
      <c r="E21" s="5">
        <v>-170.96</v>
      </c>
      <c r="F21" s="5">
        <v>-145.46</v>
      </c>
      <c r="G21" s="5">
        <v>-288.26</v>
      </c>
      <c r="O21" s="5">
        <f t="shared" si="0"/>
        <v>-920.98</v>
      </c>
    </row>
    <row r="22" spans="2:16" x14ac:dyDescent="0.25">
      <c r="B22" s="4" t="s">
        <v>25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O22" s="5">
        <f t="shared" si="0"/>
        <v>0</v>
      </c>
    </row>
    <row r="23" spans="2:16" x14ac:dyDescent="0.25">
      <c r="B23" s="4" t="s">
        <v>26</v>
      </c>
      <c r="C23" s="5">
        <v>0</v>
      </c>
      <c r="D23" s="5">
        <v>-96.37</v>
      </c>
      <c r="E23" s="5">
        <v>-96.37</v>
      </c>
      <c r="F23" s="5">
        <v>-96.37</v>
      </c>
      <c r="G23" s="5">
        <v>-96.37</v>
      </c>
      <c r="O23" s="5">
        <f t="shared" si="0"/>
        <v>-385.48</v>
      </c>
    </row>
    <row r="24" spans="2:16" x14ac:dyDescent="0.25">
      <c r="B24" s="4" t="s">
        <v>27</v>
      </c>
      <c r="C24" s="5">
        <v>-24.08</v>
      </c>
      <c r="D24" s="5">
        <v>-42.6</v>
      </c>
      <c r="E24" s="5">
        <v>-52.37</v>
      </c>
      <c r="F24" s="5">
        <v>-68.05</v>
      </c>
      <c r="G24" s="5">
        <v>-96.01</v>
      </c>
      <c r="O24" s="5">
        <f t="shared" si="0"/>
        <v>-283.11</v>
      </c>
    </row>
    <row r="25" spans="2:16" x14ac:dyDescent="0.25">
      <c r="B25" s="4" t="s">
        <v>28</v>
      </c>
      <c r="C25" s="5">
        <v>0</v>
      </c>
      <c r="D25" s="5">
        <v>0</v>
      </c>
      <c r="E25" s="5">
        <v>-50</v>
      </c>
      <c r="F25" s="5">
        <v>-225</v>
      </c>
      <c r="G25" s="5">
        <v>-800</v>
      </c>
      <c r="O25" s="5">
        <f t="shared" si="0"/>
        <v>-1075</v>
      </c>
    </row>
    <row r="26" spans="2:16" x14ac:dyDescent="0.25">
      <c r="B26" s="4" t="s">
        <v>29</v>
      </c>
      <c r="C26" s="5">
        <v>-640.91</v>
      </c>
      <c r="D26" s="5">
        <v>-50.45</v>
      </c>
      <c r="E26" s="5">
        <v>-77.260000000000005</v>
      </c>
      <c r="F26" s="5">
        <v>0</v>
      </c>
      <c r="G26" s="5">
        <v>0</v>
      </c>
      <c r="O26" s="5">
        <f t="shared" si="0"/>
        <v>-768.62</v>
      </c>
    </row>
    <row r="27" spans="2:16" x14ac:dyDescent="0.25">
      <c r="B27" s="4" t="s">
        <v>30</v>
      </c>
      <c r="C27" s="5">
        <v>0</v>
      </c>
      <c r="D27" s="5">
        <v>-118.72</v>
      </c>
      <c r="E27" s="5">
        <v>-118.78</v>
      </c>
      <c r="F27" s="5">
        <v>-118.78</v>
      </c>
      <c r="G27" s="5">
        <v>-118.78</v>
      </c>
      <c r="O27" s="5">
        <f t="shared" si="0"/>
        <v>-475.05999999999995</v>
      </c>
    </row>
    <row r="28" spans="2:16" x14ac:dyDescent="0.25">
      <c r="B28" s="4" t="s">
        <v>31</v>
      </c>
      <c r="C28" s="5">
        <v>-152.05000000000001</v>
      </c>
      <c r="D28" s="5">
        <v>-114</v>
      </c>
      <c r="E28" s="5">
        <v>-114</v>
      </c>
      <c r="F28" s="5">
        <v>-114</v>
      </c>
      <c r="G28" s="5">
        <v>-114</v>
      </c>
      <c r="O28" s="5">
        <f t="shared" si="0"/>
        <v>-608.04999999999995</v>
      </c>
    </row>
    <row r="29" spans="2:16" x14ac:dyDescent="0.25">
      <c r="B29" s="4" t="s">
        <v>32</v>
      </c>
      <c r="C29">
        <v>0</v>
      </c>
      <c r="D29">
        <v>0</v>
      </c>
      <c r="E29">
        <v>0</v>
      </c>
      <c r="F29">
        <v>0</v>
      </c>
      <c r="G29">
        <v>0</v>
      </c>
      <c r="O29">
        <f t="shared" si="0"/>
        <v>0</v>
      </c>
    </row>
    <row r="30" spans="2:16" x14ac:dyDescent="0.25">
      <c r="B30" s="4" t="s">
        <v>33</v>
      </c>
      <c r="C30">
        <v>0</v>
      </c>
      <c r="D30">
        <v>0</v>
      </c>
      <c r="E30">
        <v>0</v>
      </c>
      <c r="F30">
        <v>0</v>
      </c>
      <c r="G30">
        <v>0</v>
      </c>
      <c r="O30">
        <f t="shared" si="0"/>
        <v>0</v>
      </c>
    </row>
    <row r="31" spans="2:16" x14ac:dyDescent="0.25">
      <c r="B31" s="4" t="s">
        <v>34</v>
      </c>
      <c r="C31" s="9">
        <f>SUM(C19:C30)</f>
        <v>-2306.23</v>
      </c>
      <c r="D31" s="9">
        <f t="shared" ref="D31:N31" si="3">SUM(D19:D30)</f>
        <v>-2297.5399999999995</v>
      </c>
      <c r="E31" s="9">
        <f t="shared" si="3"/>
        <v>-2451.5500000000002</v>
      </c>
      <c r="F31" s="9">
        <f t="shared" si="3"/>
        <v>-2817.4500000000003</v>
      </c>
      <c r="G31" s="9">
        <f t="shared" si="3"/>
        <v>-3522.9</v>
      </c>
      <c r="H31" s="9">
        <f t="shared" si="3"/>
        <v>0</v>
      </c>
      <c r="I31" s="9">
        <f t="shared" si="3"/>
        <v>0</v>
      </c>
      <c r="J31" s="9">
        <f t="shared" si="3"/>
        <v>0</v>
      </c>
      <c r="K31" s="9">
        <f t="shared" si="3"/>
        <v>0</v>
      </c>
      <c r="L31" s="9">
        <f t="shared" si="3"/>
        <v>0</v>
      </c>
      <c r="M31" s="9">
        <f t="shared" si="3"/>
        <v>0</v>
      </c>
      <c r="N31" s="9">
        <f t="shared" si="3"/>
        <v>0</v>
      </c>
      <c r="O31" s="6">
        <f t="shared" si="0"/>
        <v>-13395.67</v>
      </c>
      <c r="P31" s="12">
        <f>O31/$O$7</f>
        <v>-0.26965179116729732</v>
      </c>
    </row>
    <row r="32" spans="2:16" x14ac:dyDescent="0.25">
      <c r="B32" s="4" t="s">
        <v>35</v>
      </c>
      <c r="C32" s="5">
        <f>C31+C18</f>
        <v>-12576.769999999999</v>
      </c>
      <c r="D32" s="5">
        <f t="shared" ref="D32:N32" si="4">D31+D18</f>
        <v>-13735.429999999998</v>
      </c>
      <c r="E32" s="5">
        <f t="shared" si="4"/>
        <v>-13591.349999999999</v>
      </c>
      <c r="F32" s="5">
        <f t="shared" si="4"/>
        <v>-15797.940000000002</v>
      </c>
      <c r="G32" s="5">
        <f t="shared" si="4"/>
        <v>-16969.149999999998</v>
      </c>
      <c r="H32" s="5">
        <f t="shared" si="4"/>
        <v>0</v>
      </c>
      <c r="I32" s="5">
        <f t="shared" si="4"/>
        <v>0</v>
      </c>
      <c r="J32" s="5">
        <f t="shared" si="4"/>
        <v>0</v>
      </c>
      <c r="K32" s="5">
        <f t="shared" si="4"/>
        <v>0</v>
      </c>
      <c r="L32" s="5">
        <f t="shared" si="4"/>
        <v>0</v>
      </c>
      <c r="M32" s="5">
        <f t="shared" si="4"/>
        <v>0</v>
      </c>
      <c r="N32" s="5">
        <f t="shared" si="4"/>
        <v>0</v>
      </c>
      <c r="O32" s="5">
        <f t="shared" si="0"/>
        <v>-72670.64</v>
      </c>
    </row>
    <row r="33" spans="2:16" x14ac:dyDescent="0.25">
      <c r="B33" s="4" t="s">
        <v>36</v>
      </c>
      <c r="C33" s="9">
        <f>C7+(C12+C18+C31)</f>
        <v>-10818.069999999998</v>
      </c>
      <c r="D33" s="9">
        <f t="shared" ref="D33:N33" si="5">D7+(D12+D18+D31)</f>
        <v>-8369.59</v>
      </c>
      <c r="E33" s="9">
        <f t="shared" si="5"/>
        <v>-10843.619999999999</v>
      </c>
      <c r="F33" s="9">
        <f t="shared" si="5"/>
        <v>-9758.3100000000013</v>
      </c>
      <c r="G33" s="9">
        <f t="shared" si="5"/>
        <v>-8210.43</v>
      </c>
      <c r="H33" s="9">
        <f t="shared" si="5"/>
        <v>0</v>
      </c>
      <c r="I33" s="9">
        <f t="shared" si="5"/>
        <v>0</v>
      </c>
      <c r="J33" s="9">
        <f t="shared" si="5"/>
        <v>0</v>
      </c>
      <c r="K33" s="9">
        <f t="shared" si="5"/>
        <v>0</v>
      </c>
      <c r="L33" s="9">
        <f t="shared" si="5"/>
        <v>0</v>
      </c>
      <c r="M33" s="9">
        <f t="shared" si="5"/>
        <v>0</v>
      </c>
      <c r="N33" s="9">
        <f t="shared" si="5"/>
        <v>0</v>
      </c>
      <c r="O33" s="6">
        <f t="shared" si="0"/>
        <v>-48000.02</v>
      </c>
      <c r="P33" s="12">
        <f>O33/$O$7</f>
        <v>-0.96622948826494637</v>
      </c>
    </row>
    <row r="34" spans="2:16" x14ac:dyDescent="0.25">
      <c r="B34" s="4" t="s">
        <v>37</v>
      </c>
      <c r="C34" s="8">
        <f>C33</f>
        <v>-10818.069999999998</v>
      </c>
      <c r="D34" s="8">
        <f>C34+D33</f>
        <v>-19187.659999999996</v>
      </c>
      <c r="E34" s="8">
        <f t="shared" ref="E34:G34" si="6">D34+E33</f>
        <v>-30031.279999999995</v>
      </c>
      <c r="F34" s="8">
        <f t="shared" si="6"/>
        <v>-39789.589999999997</v>
      </c>
      <c r="G34" s="8">
        <f t="shared" si="6"/>
        <v>-48000.02</v>
      </c>
      <c r="O34" s="8"/>
    </row>
  </sheetData>
  <conditionalFormatting sqref="C33:O33">
    <cfRule type="cellIs" dxfId="30" priority="1" operator="lessThan">
      <formula>0</formula>
    </cfRule>
    <cfRule type="cellIs" dxfId="31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F448-CAB6-4D57-9B36-6777242A375B}">
  <dimension ref="B1:P34"/>
  <sheetViews>
    <sheetView workbookViewId="0">
      <selection activeCell="M33" sqref="M33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</cols>
  <sheetData>
    <row r="1" spans="2:16" x14ac:dyDescent="0.25">
      <c r="B1" s="1" t="s">
        <v>49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>
        <v>0</v>
      </c>
      <c r="D2">
        <v>0</v>
      </c>
      <c r="E2">
        <v>0</v>
      </c>
      <c r="F2">
        <v>0</v>
      </c>
      <c r="G2">
        <v>0</v>
      </c>
    </row>
    <row r="3" spans="2:16" x14ac:dyDescent="0.25">
      <c r="B3" s="4" t="s">
        <v>6</v>
      </c>
      <c r="C3" s="5">
        <v>76714.09</v>
      </c>
      <c r="D3" s="5">
        <v>71218.509999999995</v>
      </c>
      <c r="E3" s="5">
        <v>87466.44</v>
      </c>
      <c r="F3" s="5">
        <v>77330.75</v>
      </c>
      <c r="G3" s="5">
        <v>96794.86</v>
      </c>
      <c r="O3" s="5">
        <f t="shared" ref="O3:O33" si="0">SUM(C3:N3)</f>
        <v>409524.64999999997</v>
      </c>
    </row>
    <row r="4" spans="2:16" x14ac:dyDescent="0.25">
      <c r="B4" s="4" t="s">
        <v>7</v>
      </c>
      <c r="C4">
        <v>0</v>
      </c>
      <c r="D4">
        <v>0</v>
      </c>
      <c r="E4">
        <v>0</v>
      </c>
      <c r="F4">
        <v>0</v>
      </c>
      <c r="G4">
        <v>0</v>
      </c>
      <c r="O4">
        <f t="shared" si="0"/>
        <v>0</v>
      </c>
    </row>
    <row r="5" spans="2:16" x14ac:dyDescent="0.25">
      <c r="B5" s="4" t="s">
        <v>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O5" s="5">
        <f t="shared" si="0"/>
        <v>0</v>
      </c>
    </row>
    <row r="6" spans="2:16" x14ac:dyDescent="0.25">
      <c r="B6" s="4" t="s">
        <v>9</v>
      </c>
      <c r="C6">
        <v>0</v>
      </c>
      <c r="D6">
        <v>0</v>
      </c>
      <c r="E6">
        <v>0</v>
      </c>
      <c r="F6">
        <v>0</v>
      </c>
      <c r="G6">
        <v>0</v>
      </c>
      <c r="O6">
        <f t="shared" si="0"/>
        <v>0</v>
      </c>
    </row>
    <row r="7" spans="2:16" x14ac:dyDescent="0.25">
      <c r="B7" s="4" t="s">
        <v>10</v>
      </c>
      <c r="C7" s="6">
        <v>76714.09</v>
      </c>
      <c r="D7" s="6">
        <v>71218.509999999995</v>
      </c>
      <c r="E7" s="6">
        <v>87466.44</v>
      </c>
      <c r="F7" s="6">
        <v>77330.75</v>
      </c>
      <c r="G7" s="6">
        <v>96794.86</v>
      </c>
      <c r="I7" s="7"/>
      <c r="J7" s="7"/>
      <c r="K7" s="7"/>
      <c r="L7" s="7"/>
      <c r="M7" s="7"/>
      <c r="O7" s="6">
        <f t="shared" si="0"/>
        <v>409524.64999999997</v>
      </c>
    </row>
    <row r="8" spans="2:16" x14ac:dyDescent="0.25">
      <c r="B8" s="4" t="s">
        <v>11</v>
      </c>
      <c r="C8" s="5">
        <v>-14758.52</v>
      </c>
      <c r="D8" s="5">
        <v>-19315.2</v>
      </c>
      <c r="E8" s="5">
        <v>-18747.32</v>
      </c>
      <c r="F8" s="5">
        <v>-18140.650000000001</v>
      </c>
      <c r="G8" s="5">
        <v>-20498.490000000002</v>
      </c>
      <c r="O8" s="5">
        <f t="shared" si="0"/>
        <v>-91460.180000000008</v>
      </c>
    </row>
    <row r="9" spans="2:16" x14ac:dyDescent="0.25">
      <c r="B9" s="4" t="s">
        <v>12</v>
      </c>
      <c r="C9" s="5">
        <v>-1659.16</v>
      </c>
      <c r="D9" s="5">
        <v>-737.81</v>
      </c>
      <c r="E9" s="5">
        <v>-1344.17</v>
      </c>
      <c r="F9" s="5">
        <v>-445.44</v>
      </c>
      <c r="G9" s="5">
        <v>-2577.15</v>
      </c>
      <c r="O9" s="5">
        <f t="shared" si="0"/>
        <v>-6763.73</v>
      </c>
    </row>
    <row r="10" spans="2:16" x14ac:dyDescent="0.25">
      <c r="B10" s="4" t="s">
        <v>13</v>
      </c>
      <c r="C10">
        <v>-8308.26</v>
      </c>
      <c r="D10">
        <v>-3113.2</v>
      </c>
      <c r="E10">
        <v>-11244.79</v>
      </c>
      <c r="F10">
        <v>-13194.01</v>
      </c>
      <c r="G10">
        <v>-11218.300000000001</v>
      </c>
      <c r="O10">
        <f t="shared" si="0"/>
        <v>-47078.560000000005</v>
      </c>
    </row>
    <row r="11" spans="2:16" x14ac:dyDescent="0.25">
      <c r="B11" s="4" t="s">
        <v>14</v>
      </c>
      <c r="C11">
        <v>0</v>
      </c>
      <c r="D11">
        <v>0</v>
      </c>
      <c r="E11">
        <v>0</v>
      </c>
      <c r="F11">
        <v>0</v>
      </c>
      <c r="G11">
        <v>0</v>
      </c>
      <c r="O11">
        <f t="shared" si="0"/>
        <v>0</v>
      </c>
    </row>
    <row r="12" spans="2:16" x14ac:dyDescent="0.25">
      <c r="B12" s="4" t="s">
        <v>15</v>
      </c>
      <c r="C12" s="9">
        <f>SUM(C8:C11)</f>
        <v>-24725.940000000002</v>
      </c>
      <c r="D12" s="9">
        <f t="shared" ref="D12:N12" si="1">SUM(D8:D11)</f>
        <v>-23166.210000000003</v>
      </c>
      <c r="E12" s="9">
        <f t="shared" si="1"/>
        <v>-31336.28</v>
      </c>
      <c r="F12" s="9">
        <f t="shared" si="1"/>
        <v>-31780.1</v>
      </c>
      <c r="G12" s="9">
        <f t="shared" si="1"/>
        <v>-34293.94</v>
      </c>
      <c r="H12" s="9">
        <f t="shared" si="1"/>
        <v>0</v>
      </c>
      <c r="I12" s="9">
        <f t="shared" si="1"/>
        <v>0</v>
      </c>
      <c r="J12" s="9">
        <f t="shared" si="1"/>
        <v>0</v>
      </c>
      <c r="K12" s="9">
        <f t="shared" si="1"/>
        <v>0</v>
      </c>
      <c r="L12" s="9">
        <f t="shared" si="1"/>
        <v>0</v>
      </c>
      <c r="M12" s="9">
        <f t="shared" si="1"/>
        <v>0</v>
      </c>
      <c r="N12" s="9">
        <f t="shared" si="1"/>
        <v>0</v>
      </c>
      <c r="O12" s="6">
        <f t="shared" si="0"/>
        <v>-145302.47</v>
      </c>
      <c r="P12" s="12">
        <f>O12/$O$7</f>
        <v>-0.35480762879597116</v>
      </c>
    </row>
    <row r="13" spans="2:16" x14ac:dyDescent="0.25">
      <c r="B13" s="4" t="s">
        <v>16</v>
      </c>
      <c r="C13" s="5">
        <v>60296.41</v>
      </c>
      <c r="D13" s="5">
        <v>51165.5</v>
      </c>
      <c r="E13" s="5">
        <v>67374.95</v>
      </c>
      <c r="F13" s="5">
        <v>58744.66</v>
      </c>
      <c r="G13" s="5">
        <v>76576.53</v>
      </c>
      <c r="O13" s="5">
        <f t="shared" si="0"/>
        <v>314158.05</v>
      </c>
    </row>
    <row r="14" spans="2:16" x14ac:dyDescent="0.25">
      <c r="B14" s="4" t="s">
        <v>17</v>
      </c>
      <c r="C14" s="5">
        <v>-29262.63</v>
      </c>
      <c r="D14" s="5">
        <v>-28850.87</v>
      </c>
      <c r="E14" s="5">
        <v>-32788.36</v>
      </c>
      <c r="F14" s="5">
        <v>-33943.320000000007</v>
      </c>
      <c r="G14" s="5">
        <v>-31447.149999999998</v>
      </c>
      <c r="O14" s="5">
        <f t="shared" si="0"/>
        <v>-156292.33000000002</v>
      </c>
    </row>
    <row r="15" spans="2:16" x14ac:dyDescent="0.25">
      <c r="B15" s="4" t="s">
        <v>18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O15" s="5">
        <f t="shared" si="0"/>
        <v>0</v>
      </c>
    </row>
    <row r="16" spans="2:16" x14ac:dyDescent="0.25">
      <c r="B16" s="4" t="s">
        <v>19</v>
      </c>
      <c r="C16" s="5">
        <v>-8016.9</v>
      </c>
      <c r="D16" s="5">
        <v>-7748.67</v>
      </c>
      <c r="E16" s="5">
        <v>-7445.6</v>
      </c>
      <c r="F16" s="5">
        <v>-9572.64</v>
      </c>
      <c r="G16" s="5">
        <v>-10112</v>
      </c>
      <c r="O16" s="5">
        <f t="shared" si="0"/>
        <v>-42895.81</v>
      </c>
    </row>
    <row r="17" spans="2:16" x14ac:dyDescent="0.25">
      <c r="B17" s="4" t="s">
        <v>20</v>
      </c>
      <c r="C17" s="5">
        <v>-113.98</v>
      </c>
      <c r="D17" s="5">
        <v>0</v>
      </c>
      <c r="E17" s="5">
        <v>-45.5</v>
      </c>
      <c r="F17" s="5">
        <v>-217.49</v>
      </c>
      <c r="G17" s="5">
        <v>0</v>
      </c>
      <c r="O17" s="5">
        <f t="shared" si="0"/>
        <v>-376.97</v>
      </c>
    </row>
    <row r="18" spans="2:16" x14ac:dyDescent="0.25">
      <c r="B18" s="4" t="s">
        <v>21</v>
      </c>
      <c r="C18" s="9">
        <f>SUM(C14:C17)</f>
        <v>-37393.51</v>
      </c>
      <c r="D18" s="9">
        <f t="shared" ref="D18:N18" si="2">SUM(D14:D17)</f>
        <v>-36599.54</v>
      </c>
      <c r="E18" s="9">
        <f t="shared" si="2"/>
        <v>-40279.46</v>
      </c>
      <c r="F18" s="9">
        <f t="shared" si="2"/>
        <v>-43733.450000000004</v>
      </c>
      <c r="G18" s="9">
        <f t="shared" si="2"/>
        <v>-41559.149999999994</v>
      </c>
      <c r="H18" s="9">
        <f t="shared" si="2"/>
        <v>0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6">
        <f t="shared" si="0"/>
        <v>-199565.11000000002</v>
      </c>
      <c r="P18" s="12">
        <f>O18/$O$7</f>
        <v>-0.48730915220854237</v>
      </c>
    </row>
    <row r="19" spans="2:16" x14ac:dyDescent="0.25">
      <c r="B19" s="4" t="s">
        <v>22</v>
      </c>
      <c r="C19" s="5">
        <v>-4220.3599999999997</v>
      </c>
      <c r="D19" s="5">
        <v>-4329.3599999999997</v>
      </c>
      <c r="E19" s="5">
        <v>-4220.3599999999997</v>
      </c>
      <c r="F19" s="5">
        <v>-4220.3599999999997</v>
      </c>
      <c r="G19" s="5">
        <v>-4220.3599999999997</v>
      </c>
      <c r="O19" s="5">
        <f t="shared" si="0"/>
        <v>-21210.799999999999</v>
      </c>
    </row>
    <row r="20" spans="2:16" x14ac:dyDescent="0.25">
      <c r="B20" s="4" t="s">
        <v>23</v>
      </c>
      <c r="C20" s="5">
        <v>-4241.75</v>
      </c>
      <c r="D20" s="5">
        <v>-3820.33</v>
      </c>
      <c r="E20" s="5">
        <v>-6295.59</v>
      </c>
      <c r="F20" s="5">
        <v>-3713.46</v>
      </c>
      <c r="G20" s="5">
        <v>-8521.2099999999991</v>
      </c>
      <c r="O20" s="5">
        <f t="shared" si="0"/>
        <v>-26592.34</v>
      </c>
    </row>
    <row r="21" spans="2:16" x14ac:dyDescent="0.25">
      <c r="B21" s="4" t="s">
        <v>24</v>
      </c>
      <c r="C21" s="5">
        <v>-248</v>
      </c>
      <c r="D21" s="5">
        <v>-201.56</v>
      </c>
      <c r="E21" s="5">
        <v>-170.96</v>
      </c>
      <c r="F21" s="5">
        <v>-285.70999999999998</v>
      </c>
      <c r="G21" s="5">
        <v>-250.01</v>
      </c>
      <c r="O21" s="5">
        <f t="shared" si="0"/>
        <v>-1156.24</v>
      </c>
    </row>
    <row r="22" spans="2:16" x14ac:dyDescent="0.25">
      <c r="B22" s="4" t="s">
        <v>25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O22" s="5">
        <f t="shared" si="0"/>
        <v>0</v>
      </c>
    </row>
    <row r="23" spans="2:16" x14ac:dyDescent="0.25">
      <c r="B23" s="4" t="s">
        <v>26</v>
      </c>
      <c r="C23" s="5">
        <v>-96</v>
      </c>
      <c r="D23" s="5">
        <v>-287.54000000000002</v>
      </c>
      <c r="E23" s="5">
        <v>-287.54000000000002</v>
      </c>
      <c r="F23" s="5">
        <v>-287.54000000000002</v>
      </c>
      <c r="G23" s="5">
        <v>-287.54000000000002</v>
      </c>
      <c r="O23" s="5">
        <f t="shared" si="0"/>
        <v>-1246.1600000000001</v>
      </c>
    </row>
    <row r="24" spans="2:16" x14ac:dyDescent="0.25">
      <c r="B24" s="4" t="s">
        <v>27</v>
      </c>
      <c r="C24" s="5">
        <v>-200.34</v>
      </c>
      <c r="D24" s="5">
        <v>-244.54</v>
      </c>
      <c r="E24" s="5">
        <v>-283.39</v>
      </c>
      <c r="F24" s="5">
        <v>-355.06</v>
      </c>
      <c r="G24" s="5">
        <v>-339.2</v>
      </c>
      <c r="O24" s="5">
        <f t="shared" si="0"/>
        <v>-1422.53</v>
      </c>
    </row>
    <row r="25" spans="2:16" x14ac:dyDescent="0.25">
      <c r="B25" s="4" t="s">
        <v>28</v>
      </c>
      <c r="C25" s="5">
        <v>-148.74</v>
      </c>
      <c r="D25" s="5">
        <v>-138.96</v>
      </c>
      <c r="E25" s="5">
        <v>-418.25</v>
      </c>
      <c r="F25" s="5">
        <v>-94.84</v>
      </c>
      <c r="G25" s="5">
        <v>0</v>
      </c>
      <c r="O25" s="5">
        <f t="shared" si="0"/>
        <v>-800.79000000000008</v>
      </c>
    </row>
    <row r="26" spans="2:16" x14ac:dyDescent="0.25">
      <c r="B26" s="4" t="s">
        <v>29</v>
      </c>
      <c r="C26" s="5">
        <v>0</v>
      </c>
      <c r="D26" s="5">
        <v>-2738.27</v>
      </c>
      <c r="E26" s="5">
        <v>-3654.54</v>
      </c>
      <c r="F26" s="5">
        <v>-8788.33</v>
      </c>
      <c r="G26" s="5">
        <v>-3099.2</v>
      </c>
      <c r="O26" s="5">
        <f t="shared" si="0"/>
        <v>-18280.34</v>
      </c>
    </row>
    <row r="27" spans="2:16" x14ac:dyDescent="0.25">
      <c r="B27" s="4" t="s">
        <v>30</v>
      </c>
      <c r="C27" s="5">
        <v>-529.66</v>
      </c>
      <c r="D27" s="5">
        <v>-1572.69</v>
      </c>
      <c r="E27" s="5">
        <v>-1596.49</v>
      </c>
      <c r="F27" s="5">
        <v>-1566.36</v>
      </c>
      <c r="G27" s="5">
        <v>-1386.57</v>
      </c>
      <c r="O27" s="5">
        <f t="shared" si="0"/>
        <v>-6651.7699999999995</v>
      </c>
    </row>
    <row r="28" spans="2:16" x14ac:dyDescent="0.25">
      <c r="B28" s="4" t="s">
        <v>31</v>
      </c>
      <c r="C28" s="5">
        <v>-325</v>
      </c>
      <c r="D28" s="5">
        <v>-68.650000000000006</v>
      </c>
      <c r="E28" s="5">
        <v>-68.650000000000006</v>
      </c>
      <c r="F28" s="5">
        <v>-245.67</v>
      </c>
      <c r="G28" s="5">
        <v>-161.44999999999999</v>
      </c>
      <c r="O28" s="5">
        <f t="shared" si="0"/>
        <v>-869.41999999999985</v>
      </c>
    </row>
    <row r="29" spans="2:16" x14ac:dyDescent="0.25">
      <c r="B29" s="4" t="s">
        <v>32</v>
      </c>
      <c r="C29">
        <v>0</v>
      </c>
      <c r="D29">
        <v>0</v>
      </c>
      <c r="E29">
        <v>0</v>
      </c>
      <c r="F29">
        <v>0</v>
      </c>
      <c r="G29">
        <v>0</v>
      </c>
      <c r="O29">
        <f t="shared" si="0"/>
        <v>0</v>
      </c>
    </row>
    <row r="30" spans="2:16" x14ac:dyDescent="0.25">
      <c r="B30" s="4" t="s">
        <v>33</v>
      </c>
      <c r="C30">
        <v>0</v>
      </c>
      <c r="D30">
        <v>0</v>
      </c>
      <c r="E30">
        <v>0</v>
      </c>
      <c r="F30">
        <v>0</v>
      </c>
      <c r="G30">
        <v>0</v>
      </c>
      <c r="O30">
        <f t="shared" si="0"/>
        <v>0</v>
      </c>
    </row>
    <row r="31" spans="2:16" x14ac:dyDescent="0.25">
      <c r="B31" s="4" t="s">
        <v>34</v>
      </c>
      <c r="C31" s="9">
        <f>SUM(C19:C30)</f>
        <v>-10009.85</v>
      </c>
      <c r="D31" s="9">
        <f t="shared" ref="D31:N31" si="3">SUM(D19:D30)</f>
        <v>-13401.900000000001</v>
      </c>
      <c r="E31" s="9">
        <f t="shared" si="3"/>
        <v>-16995.770000000004</v>
      </c>
      <c r="F31" s="9">
        <f t="shared" si="3"/>
        <v>-19557.329999999998</v>
      </c>
      <c r="G31" s="9">
        <f t="shared" si="3"/>
        <v>-18265.54</v>
      </c>
      <c r="H31" s="9">
        <f t="shared" si="3"/>
        <v>0</v>
      </c>
      <c r="I31" s="9">
        <f t="shared" si="3"/>
        <v>0</v>
      </c>
      <c r="J31" s="9">
        <f t="shared" si="3"/>
        <v>0</v>
      </c>
      <c r="K31" s="9">
        <f t="shared" si="3"/>
        <v>0</v>
      </c>
      <c r="L31" s="9">
        <f t="shared" si="3"/>
        <v>0</v>
      </c>
      <c r="M31" s="9">
        <f t="shared" si="3"/>
        <v>0</v>
      </c>
      <c r="N31" s="9">
        <f t="shared" si="3"/>
        <v>0</v>
      </c>
      <c r="O31" s="6">
        <f t="shared" si="0"/>
        <v>-78230.390000000014</v>
      </c>
      <c r="P31" s="12">
        <f>O31/$O$7</f>
        <v>-0.19102730446140426</v>
      </c>
    </row>
    <row r="32" spans="2:16" x14ac:dyDescent="0.25">
      <c r="B32" s="4" t="s">
        <v>35</v>
      </c>
      <c r="C32" s="5">
        <f>C31+C18</f>
        <v>-47403.360000000001</v>
      </c>
      <c r="D32" s="5">
        <f t="shared" ref="D32:N32" si="4">D31+D18</f>
        <v>-50001.440000000002</v>
      </c>
      <c r="E32" s="5">
        <f t="shared" si="4"/>
        <v>-57275.23</v>
      </c>
      <c r="F32" s="5">
        <f t="shared" si="4"/>
        <v>-63290.78</v>
      </c>
      <c r="G32" s="5">
        <f t="shared" si="4"/>
        <v>-59824.689999999995</v>
      </c>
      <c r="H32" s="5">
        <f t="shared" si="4"/>
        <v>0</v>
      </c>
      <c r="I32" s="5">
        <f t="shared" si="4"/>
        <v>0</v>
      </c>
      <c r="J32" s="5">
        <f t="shared" si="4"/>
        <v>0</v>
      </c>
      <c r="K32" s="5">
        <f t="shared" si="4"/>
        <v>0</v>
      </c>
      <c r="L32" s="5">
        <f t="shared" si="4"/>
        <v>0</v>
      </c>
      <c r="M32" s="5">
        <f t="shared" si="4"/>
        <v>0</v>
      </c>
      <c r="N32" s="5">
        <f t="shared" si="4"/>
        <v>0</v>
      </c>
      <c r="O32" s="5">
        <f t="shared" si="0"/>
        <v>-277795.5</v>
      </c>
    </row>
    <row r="33" spans="2:16" x14ac:dyDescent="0.25">
      <c r="B33" s="4" t="s">
        <v>36</v>
      </c>
      <c r="C33" s="9">
        <f>C7+(C12+C18+C31)</f>
        <v>4584.7899999999936</v>
      </c>
      <c r="D33" s="9">
        <f t="shared" ref="D33:N33" si="5">D7+(D12+D18+D31)</f>
        <v>-1949.1399999999994</v>
      </c>
      <c r="E33" s="9">
        <f t="shared" si="5"/>
        <v>-1145.0699999999924</v>
      </c>
      <c r="F33" s="9">
        <f t="shared" si="5"/>
        <v>-17740.130000000005</v>
      </c>
      <c r="G33" s="9">
        <f t="shared" si="5"/>
        <v>2676.2299999999959</v>
      </c>
      <c r="H33" s="9">
        <f t="shared" si="5"/>
        <v>0</v>
      </c>
      <c r="I33" s="9">
        <f t="shared" si="5"/>
        <v>0</v>
      </c>
      <c r="J33" s="9">
        <f t="shared" si="5"/>
        <v>0</v>
      </c>
      <c r="K33" s="9">
        <f t="shared" si="5"/>
        <v>0</v>
      </c>
      <c r="L33" s="9">
        <f t="shared" si="5"/>
        <v>0</v>
      </c>
      <c r="M33" s="9">
        <f t="shared" si="5"/>
        <v>0</v>
      </c>
      <c r="N33" s="9">
        <f t="shared" si="5"/>
        <v>0</v>
      </c>
      <c r="O33" s="6">
        <f t="shared" si="0"/>
        <v>-13573.320000000007</v>
      </c>
      <c r="P33" s="12">
        <f>O33/$O$7</f>
        <v>-3.3144085465917641E-2</v>
      </c>
    </row>
    <row r="34" spans="2:16" x14ac:dyDescent="0.25">
      <c r="B34" s="4" t="s">
        <v>37</v>
      </c>
      <c r="C34" s="8">
        <f>C33</f>
        <v>4584.7899999999936</v>
      </c>
      <c r="D34" s="8">
        <f>C34+D33</f>
        <v>2635.6499999999942</v>
      </c>
      <c r="E34" s="8">
        <f t="shared" ref="E34:G34" si="6">D34+E33</f>
        <v>1490.5800000000017</v>
      </c>
      <c r="F34" s="8">
        <f t="shared" si="6"/>
        <v>-16249.550000000003</v>
      </c>
      <c r="G34" s="8">
        <f t="shared" si="6"/>
        <v>-13573.320000000007</v>
      </c>
      <c r="O34" s="8"/>
    </row>
  </sheetData>
  <conditionalFormatting sqref="C33:O33">
    <cfRule type="cellIs" dxfId="44" priority="2" operator="greaterThan">
      <formula>0</formula>
    </cfRule>
    <cfRule type="cellIs" dxfId="45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3F73-6413-45DC-83EB-B5E90B14C603}">
  <dimension ref="B1:P34"/>
  <sheetViews>
    <sheetView workbookViewId="0">
      <selection activeCell="K30" sqref="K30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</cols>
  <sheetData>
    <row r="1" spans="2:16" x14ac:dyDescent="0.25">
      <c r="B1" s="1" t="s">
        <v>46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>
        <v>0</v>
      </c>
      <c r="D2">
        <v>0</v>
      </c>
      <c r="E2">
        <v>0</v>
      </c>
      <c r="F2">
        <v>0</v>
      </c>
      <c r="G2">
        <v>0</v>
      </c>
    </row>
    <row r="3" spans="2:16" x14ac:dyDescent="0.25">
      <c r="B3" s="4" t="s">
        <v>6</v>
      </c>
      <c r="C3" s="7">
        <v>11838.87</v>
      </c>
      <c r="D3" s="7">
        <v>21668.3</v>
      </c>
      <c r="E3" s="7">
        <v>30063.06</v>
      </c>
      <c r="F3" s="7">
        <v>18202.54</v>
      </c>
      <c r="G3" s="7">
        <v>19731.36</v>
      </c>
      <c r="H3" s="7"/>
      <c r="I3" s="7"/>
      <c r="J3" s="7"/>
      <c r="K3" s="7"/>
      <c r="L3" s="7"/>
      <c r="M3" s="7"/>
      <c r="N3" s="7"/>
      <c r="O3" s="7">
        <f t="shared" ref="O3:O33" si="0">SUM(C3:N3)</f>
        <v>101504.12999999999</v>
      </c>
    </row>
    <row r="4" spans="2:16" x14ac:dyDescent="0.25">
      <c r="B4" s="4" t="s">
        <v>7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/>
      <c r="I4" s="7"/>
      <c r="J4" s="7"/>
      <c r="K4" s="7"/>
      <c r="L4" s="7"/>
      <c r="M4" s="7"/>
      <c r="N4" s="7"/>
      <c r="O4" s="7">
        <f t="shared" si="0"/>
        <v>0</v>
      </c>
    </row>
    <row r="5" spans="2:16" x14ac:dyDescent="0.25">
      <c r="B5" s="4" t="s">
        <v>8</v>
      </c>
      <c r="C5" s="7">
        <v>4300</v>
      </c>
      <c r="D5" s="7">
        <v>4300</v>
      </c>
      <c r="E5" s="7">
        <v>4300</v>
      </c>
      <c r="F5" s="7">
        <v>4300</v>
      </c>
      <c r="G5" s="7">
        <v>4300</v>
      </c>
      <c r="H5" s="7"/>
      <c r="I5" s="7"/>
      <c r="J5" s="7"/>
      <c r="K5" s="7"/>
      <c r="L5" s="7"/>
      <c r="M5" s="7"/>
      <c r="N5" s="7"/>
      <c r="O5" s="7">
        <f t="shared" si="0"/>
        <v>21500</v>
      </c>
    </row>
    <row r="6" spans="2:16" x14ac:dyDescent="0.25">
      <c r="B6" s="4" t="s">
        <v>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/>
      <c r="I6" s="7"/>
      <c r="J6" s="7"/>
      <c r="K6" s="7"/>
      <c r="L6" s="7"/>
      <c r="M6" s="7"/>
      <c r="N6" s="7"/>
      <c r="O6" s="7">
        <f t="shared" si="0"/>
        <v>0</v>
      </c>
    </row>
    <row r="7" spans="2:16" x14ac:dyDescent="0.25">
      <c r="B7" s="4" t="s">
        <v>10</v>
      </c>
      <c r="C7" s="9">
        <v>16138.87</v>
      </c>
      <c r="D7" s="9">
        <v>25968.3</v>
      </c>
      <c r="E7" s="9">
        <v>34363.06</v>
      </c>
      <c r="F7" s="9">
        <v>22502.54</v>
      </c>
      <c r="G7" s="9">
        <v>24031.360000000001</v>
      </c>
      <c r="H7" s="7"/>
      <c r="I7" s="7"/>
      <c r="J7" s="7"/>
      <c r="K7" s="7"/>
      <c r="L7" s="7"/>
      <c r="M7" s="7"/>
      <c r="N7" s="7"/>
      <c r="O7" s="9">
        <f t="shared" si="0"/>
        <v>123004.12999999999</v>
      </c>
    </row>
    <row r="8" spans="2:16" x14ac:dyDescent="0.25">
      <c r="B8" s="4" t="s">
        <v>11</v>
      </c>
      <c r="C8" s="7">
        <v>-2323.58</v>
      </c>
      <c r="D8" s="7">
        <v>-2828.19</v>
      </c>
      <c r="E8" s="7">
        <v>-2782.84</v>
      </c>
      <c r="F8" s="7">
        <v>-2253.84</v>
      </c>
      <c r="G8" s="7">
        <v>-2164.37</v>
      </c>
      <c r="H8" s="7"/>
      <c r="I8" s="7"/>
      <c r="J8" s="7"/>
      <c r="K8" s="7"/>
      <c r="L8" s="7"/>
      <c r="M8" s="7"/>
      <c r="N8" s="7"/>
      <c r="O8" s="7">
        <f t="shared" si="0"/>
        <v>-12352.82</v>
      </c>
    </row>
    <row r="9" spans="2:16" x14ac:dyDescent="0.25">
      <c r="B9" s="4" t="s">
        <v>12</v>
      </c>
      <c r="C9" s="7">
        <v>-15.3</v>
      </c>
      <c r="D9" s="7">
        <v>-31.41</v>
      </c>
      <c r="E9" s="7">
        <v>-36.700000000000003</v>
      </c>
      <c r="F9" s="7">
        <v>-240.15</v>
      </c>
      <c r="G9" s="7">
        <v>-21.85</v>
      </c>
      <c r="H9" s="7"/>
      <c r="I9" s="7"/>
      <c r="J9" s="7"/>
      <c r="K9" s="7"/>
      <c r="L9" s="7"/>
      <c r="M9" s="7"/>
      <c r="N9" s="7"/>
      <c r="O9" s="7">
        <f t="shared" si="0"/>
        <v>-345.41</v>
      </c>
    </row>
    <row r="10" spans="2:16" x14ac:dyDescent="0.25">
      <c r="B10" s="4" t="s">
        <v>13</v>
      </c>
      <c r="C10" s="7">
        <v>-963.4</v>
      </c>
      <c r="D10" s="7">
        <v>-2609.91</v>
      </c>
      <c r="E10" s="7">
        <v>-2653.21</v>
      </c>
      <c r="F10" s="7">
        <v>-1061.99</v>
      </c>
      <c r="G10" s="7">
        <v>-2188.87</v>
      </c>
      <c r="H10" s="7"/>
      <c r="I10" s="7"/>
      <c r="J10" s="7"/>
      <c r="K10" s="7"/>
      <c r="L10" s="7"/>
      <c r="M10" s="7"/>
      <c r="N10" s="7"/>
      <c r="O10" s="7">
        <f t="shared" si="0"/>
        <v>-9477.380000000001</v>
      </c>
    </row>
    <row r="11" spans="2:16" x14ac:dyDescent="0.25">
      <c r="B11" s="4" t="s">
        <v>14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/>
      <c r="I11" s="7"/>
      <c r="J11" s="7"/>
      <c r="K11" s="7"/>
      <c r="L11" s="7"/>
      <c r="M11" s="7"/>
      <c r="N11" s="7"/>
      <c r="O11" s="7">
        <f t="shared" si="0"/>
        <v>0</v>
      </c>
    </row>
    <row r="12" spans="2:16" x14ac:dyDescent="0.25">
      <c r="B12" s="4" t="s">
        <v>15</v>
      </c>
      <c r="C12" s="9">
        <f>SUM(C8:C11)</f>
        <v>-3302.28</v>
      </c>
      <c r="D12" s="9">
        <f t="shared" ref="D12:N12" si="1">SUM(D8:D11)</f>
        <v>-5469.51</v>
      </c>
      <c r="E12" s="9">
        <f t="shared" si="1"/>
        <v>-5472.75</v>
      </c>
      <c r="F12" s="9">
        <f t="shared" si="1"/>
        <v>-3555.9800000000005</v>
      </c>
      <c r="G12" s="9">
        <f t="shared" si="1"/>
        <v>-4375.09</v>
      </c>
      <c r="H12" s="9">
        <f t="shared" si="1"/>
        <v>0</v>
      </c>
      <c r="I12" s="9">
        <f t="shared" si="1"/>
        <v>0</v>
      </c>
      <c r="J12" s="9">
        <f t="shared" si="1"/>
        <v>0</v>
      </c>
      <c r="K12" s="9">
        <f t="shared" si="1"/>
        <v>0</v>
      </c>
      <c r="L12" s="9">
        <f t="shared" si="1"/>
        <v>0</v>
      </c>
      <c r="M12" s="9">
        <f t="shared" si="1"/>
        <v>0</v>
      </c>
      <c r="N12" s="9">
        <f t="shared" si="1"/>
        <v>0</v>
      </c>
      <c r="O12" s="9">
        <f t="shared" si="0"/>
        <v>-22175.61</v>
      </c>
      <c r="P12" s="12">
        <f>O12/$O$7</f>
        <v>-0.18028345877492083</v>
      </c>
    </row>
    <row r="13" spans="2:16" x14ac:dyDescent="0.25">
      <c r="B13" s="4" t="s">
        <v>16</v>
      </c>
      <c r="C13" s="7">
        <v>13799.99</v>
      </c>
      <c r="D13" s="7">
        <v>23108.7</v>
      </c>
      <c r="E13" s="7">
        <v>31543.52</v>
      </c>
      <c r="F13" s="7">
        <v>20008.55</v>
      </c>
      <c r="G13" s="7">
        <v>21954.31</v>
      </c>
      <c r="H13" s="7"/>
      <c r="I13" s="7"/>
      <c r="J13" s="7"/>
      <c r="K13" s="7"/>
      <c r="L13" s="7"/>
      <c r="M13" s="7"/>
      <c r="N13" s="7"/>
      <c r="O13" s="7">
        <f t="shared" si="0"/>
        <v>110415.07</v>
      </c>
    </row>
    <row r="14" spans="2:16" x14ac:dyDescent="0.25">
      <c r="B14" s="4" t="s">
        <v>17</v>
      </c>
      <c r="C14" s="7">
        <v>-11197.31</v>
      </c>
      <c r="D14" s="7">
        <v>-13708.449999999999</v>
      </c>
      <c r="E14" s="7">
        <v>-11637.99</v>
      </c>
      <c r="F14" s="7">
        <v>-12249.41</v>
      </c>
      <c r="G14" s="7">
        <v>-13259.25</v>
      </c>
      <c r="H14" s="7"/>
      <c r="I14" s="7"/>
      <c r="J14" s="7"/>
      <c r="K14" s="7"/>
      <c r="L14" s="7"/>
      <c r="M14" s="7"/>
      <c r="N14" s="7"/>
      <c r="O14" s="7">
        <f t="shared" si="0"/>
        <v>-62052.41</v>
      </c>
    </row>
    <row r="15" spans="2:16" x14ac:dyDescent="0.25">
      <c r="B15" s="4" t="s">
        <v>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/>
      <c r="I15" s="7"/>
      <c r="J15" s="7"/>
      <c r="K15" s="7"/>
      <c r="L15" s="7"/>
      <c r="M15" s="7"/>
      <c r="N15" s="7"/>
      <c r="O15" s="7">
        <f t="shared" si="0"/>
        <v>0</v>
      </c>
    </row>
    <row r="16" spans="2:16" x14ac:dyDescent="0.25">
      <c r="B16" s="4" t="s">
        <v>19</v>
      </c>
      <c r="C16" s="7">
        <v>-2481.63</v>
      </c>
      <c r="D16" s="7">
        <v>-3914.99</v>
      </c>
      <c r="E16" s="7">
        <v>-3997.76</v>
      </c>
      <c r="F16" s="7">
        <v>-4167.63</v>
      </c>
      <c r="G16" s="7">
        <v>-3987</v>
      </c>
      <c r="H16" s="7"/>
      <c r="I16" s="7"/>
      <c r="J16" s="7"/>
      <c r="K16" s="7"/>
      <c r="L16" s="7"/>
      <c r="M16" s="7"/>
      <c r="N16" s="7"/>
      <c r="O16" s="7">
        <f t="shared" si="0"/>
        <v>-18549.010000000002</v>
      </c>
    </row>
    <row r="17" spans="2:16" x14ac:dyDescent="0.25">
      <c r="B17" s="4" t="s">
        <v>20</v>
      </c>
      <c r="C17" s="7">
        <v>-278.27999999999997</v>
      </c>
      <c r="D17" s="7">
        <v>-284.05</v>
      </c>
      <c r="E17" s="7">
        <v>-287.25</v>
      </c>
      <c r="F17" s="7">
        <v>-275.08</v>
      </c>
      <c r="G17" s="7">
        <v>-228.4</v>
      </c>
      <c r="H17" s="7"/>
      <c r="I17" s="7"/>
      <c r="J17" s="7"/>
      <c r="K17" s="7"/>
      <c r="L17" s="7"/>
      <c r="M17" s="7"/>
      <c r="N17" s="7"/>
      <c r="O17" s="7">
        <f t="shared" si="0"/>
        <v>-1353.06</v>
      </c>
    </row>
    <row r="18" spans="2:16" x14ac:dyDescent="0.25">
      <c r="B18" s="4" t="s">
        <v>21</v>
      </c>
      <c r="C18" s="9">
        <f>SUM(C14:C17)</f>
        <v>-13957.22</v>
      </c>
      <c r="D18" s="9">
        <f t="shared" ref="D18:N18" si="2">SUM(D14:D17)</f>
        <v>-17907.489999999998</v>
      </c>
      <c r="E18" s="9">
        <f t="shared" si="2"/>
        <v>-15923</v>
      </c>
      <c r="F18" s="9">
        <f t="shared" si="2"/>
        <v>-16692.120000000003</v>
      </c>
      <c r="G18" s="9">
        <f t="shared" si="2"/>
        <v>-17474.650000000001</v>
      </c>
      <c r="H18" s="9">
        <f t="shared" si="2"/>
        <v>0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9">
        <f t="shared" si="0"/>
        <v>-81954.48000000001</v>
      </c>
      <c r="P18" s="12">
        <f>O18/$O$7</f>
        <v>-0.66627421371949069</v>
      </c>
    </row>
    <row r="19" spans="2:16" x14ac:dyDescent="0.25">
      <c r="B19" s="4" t="s">
        <v>22</v>
      </c>
      <c r="C19" s="7">
        <v>0</v>
      </c>
      <c r="D19" s="7">
        <v>-200</v>
      </c>
      <c r="E19" s="7">
        <v>-50</v>
      </c>
      <c r="F19" s="7">
        <v>0</v>
      </c>
      <c r="G19" s="7">
        <v>0</v>
      </c>
      <c r="H19" s="7"/>
      <c r="I19" s="7"/>
      <c r="J19" s="7"/>
      <c r="K19" s="7"/>
      <c r="L19" s="7"/>
      <c r="M19" s="7"/>
      <c r="N19" s="7"/>
      <c r="O19" s="7">
        <f t="shared" si="0"/>
        <v>-250</v>
      </c>
    </row>
    <row r="20" spans="2:16" x14ac:dyDescent="0.25">
      <c r="B20" s="4" t="s">
        <v>23</v>
      </c>
      <c r="C20" s="7">
        <v>-933.29</v>
      </c>
      <c r="D20" s="7">
        <v>-44</v>
      </c>
      <c r="E20" s="7">
        <v>-74</v>
      </c>
      <c r="F20" s="7">
        <v>-398.53</v>
      </c>
      <c r="G20" s="7">
        <v>-422.49</v>
      </c>
      <c r="H20" s="7"/>
      <c r="I20" s="7"/>
      <c r="J20" s="7"/>
      <c r="K20" s="7"/>
      <c r="L20" s="7"/>
      <c r="M20" s="7"/>
      <c r="N20" s="7"/>
      <c r="O20" s="7">
        <f t="shared" si="0"/>
        <v>-1872.31</v>
      </c>
    </row>
    <row r="21" spans="2:16" x14ac:dyDescent="0.25">
      <c r="B21" s="4" t="s">
        <v>24</v>
      </c>
      <c r="C21" s="7">
        <v>-71.92</v>
      </c>
      <c r="D21" s="7">
        <v>-68.959999999999994</v>
      </c>
      <c r="E21" s="7">
        <v>-66.41</v>
      </c>
      <c r="F21" s="7">
        <v>-91.91</v>
      </c>
      <c r="G21" s="7">
        <v>-86.81</v>
      </c>
      <c r="H21" s="7"/>
      <c r="I21" s="7"/>
      <c r="J21" s="7"/>
      <c r="K21" s="7"/>
      <c r="L21" s="7"/>
      <c r="M21" s="7"/>
      <c r="N21" s="7"/>
      <c r="O21" s="7">
        <f t="shared" si="0"/>
        <v>-386.01</v>
      </c>
    </row>
    <row r="22" spans="2:16" x14ac:dyDescent="0.25">
      <c r="B22" s="4" t="s">
        <v>25</v>
      </c>
      <c r="C22" s="7">
        <v>-350</v>
      </c>
      <c r="D22" s="7">
        <v>0</v>
      </c>
      <c r="E22" s="7">
        <v>0</v>
      </c>
      <c r="F22" s="7">
        <v>0</v>
      </c>
      <c r="G22" s="7">
        <v>0</v>
      </c>
      <c r="H22" s="7"/>
      <c r="I22" s="7"/>
      <c r="J22" s="7"/>
      <c r="K22" s="7"/>
      <c r="L22" s="7"/>
      <c r="M22" s="7"/>
      <c r="N22" s="7"/>
      <c r="O22" s="7">
        <f t="shared" si="0"/>
        <v>-350</v>
      </c>
    </row>
    <row r="23" spans="2:16" x14ac:dyDescent="0.25">
      <c r="B23" s="4" t="s">
        <v>26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/>
      <c r="I23" s="7"/>
      <c r="J23" s="7"/>
      <c r="K23" s="7"/>
      <c r="L23" s="7"/>
      <c r="M23" s="7"/>
      <c r="N23" s="7"/>
      <c r="O23" s="7">
        <f t="shared" si="0"/>
        <v>0</v>
      </c>
    </row>
    <row r="24" spans="2:16" x14ac:dyDescent="0.25">
      <c r="B24" s="4" t="s">
        <v>27</v>
      </c>
      <c r="C24" s="7">
        <v>-71.569999999999993</v>
      </c>
      <c r="D24" s="7">
        <v>-78.459999999999994</v>
      </c>
      <c r="E24" s="13">
        <v>-88.85</v>
      </c>
      <c r="F24" s="7">
        <v>-73.37</v>
      </c>
      <c r="G24" s="7">
        <v>-67.010000000000005</v>
      </c>
      <c r="H24" s="7"/>
      <c r="I24" s="7"/>
      <c r="J24" s="7"/>
      <c r="K24" s="7"/>
      <c r="L24" s="7"/>
      <c r="M24" s="7"/>
      <c r="N24" s="7"/>
      <c r="O24" s="7">
        <f t="shared" si="0"/>
        <v>-379.26</v>
      </c>
    </row>
    <row r="25" spans="2:16" x14ac:dyDescent="0.25">
      <c r="B25" s="4" t="s">
        <v>28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/>
      <c r="I25" s="7"/>
      <c r="J25" s="7"/>
      <c r="K25" s="7"/>
      <c r="L25" s="7"/>
      <c r="M25" s="7"/>
      <c r="N25" s="7"/>
      <c r="O25" s="7">
        <f t="shared" si="0"/>
        <v>0</v>
      </c>
    </row>
    <row r="26" spans="2:16" x14ac:dyDescent="0.25">
      <c r="B26" s="4" t="s">
        <v>29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/>
      <c r="I26" s="7"/>
      <c r="J26" s="7"/>
      <c r="K26" s="7"/>
      <c r="L26" s="7"/>
      <c r="M26" s="7"/>
      <c r="N26" s="7"/>
      <c r="O26" s="7">
        <f t="shared" si="0"/>
        <v>0</v>
      </c>
    </row>
    <row r="27" spans="2:16" x14ac:dyDescent="0.25">
      <c r="B27" s="4" t="s">
        <v>30</v>
      </c>
      <c r="C27" s="7">
        <v>-796.71</v>
      </c>
      <c r="D27" s="7">
        <v>-124</v>
      </c>
      <c r="E27" s="7">
        <v>-1074.5</v>
      </c>
      <c r="F27" s="7">
        <v>-124</v>
      </c>
      <c r="G27" s="7">
        <v>-124</v>
      </c>
      <c r="H27" s="7"/>
      <c r="I27" s="7"/>
      <c r="J27" s="7"/>
      <c r="K27" s="7"/>
      <c r="L27" s="7"/>
      <c r="M27" s="7"/>
      <c r="N27" s="7"/>
      <c r="O27" s="7">
        <f t="shared" si="0"/>
        <v>-2243.21</v>
      </c>
    </row>
    <row r="28" spans="2:16" x14ac:dyDescent="0.25">
      <c r="B28" s="4" t="s">
        <v>31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/>
      <c r="I28" s="7"/>
      <c r="J28" s="7"/>
      <c r="K28" s="7"/>
      <c r="L28" s="7"/>
      <c r="M28" s="7"/>
      <c r="N28" s="7"/>
      <c r="O28" s="7">
        <f t="shared" si="0"/>
        <v>0</v>
      </c>
    </row>
    <row r="29" spans="2:16" x14ac:dyDescent="0.25">
      <c r="B29" s="4" t="s">
        <v>32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/>
      <c r="I29" s="7"/>
      <c r="J29" s="7"/>
      <c r="K29" s="7"/>
      <c r="L29" s="7"/>
      <c r="M29" s="7"/>
      <c r="N29" s="7"/>
      <c r="O29" s="7">
        <f t="shared" si="0"/>
        <v>0</v>
      </c>
    </row>
    <row r="30" spans="2:16" x14ac:dyDescent="0.25">
      <c r="B30" s="4" t="s">
        <v>33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/>
      <c r="I30" s="7"/>
      <c r="J30" s="7"/>
      <c r="K30" s="7"/>
      <c r="L30" s="7"/>
      <c r="M30" s="7"/>
      <c r="N30" s="7"/>
      <c r="O30" s="7">
        <f t="shared" si="0"/>
        <v>0</v>
      </c>
    </row>
    <row r="31" spans="2:16" x14ac:dyDescent="0.25">
      <c r="B31" s="4" t="s">
        <v>34</v>
      </c>
      <c r="C31" s="9">
        <f>SUM(C19:C30)</f>
        <v>-2223.4899999999998</v>
      </c>
      <c r="D31" s="9">
        <f t="shared" ref="D31:N31" si="3">SUM(D19:D30)</f>
        <v>-515.41999999999996</v>
      </c>
      <c r="E31" s="9">
        <f t="shared" si="3"/>
        <v>-1353.76</v>
      </c>
      <c r="F31" s="9">
        <f t="shared" si="3"/>
        <v>-687.81</v>
      </c>
      <c r="G31" s="9">
        <f t="shared" si="3"/>
        <v>-700.31000000000006</v>
      </c>
      <c r="H31" s="9">
        <f t="shared" si="3"/>
        <v>0</v>
      </c>
      <c r="I31" s="9">
        <f t="shared" si="3"/>
        <v>0</v>
      </c>
      <c r="J31" s="9">
        <f t="shared" si="3"/>
        <v>0</v>
      </c>
      <c r="K31" s="9">
        <f t="shared" si="3"/>
        <v>0</v>
      </c>
      <c r="L31" s="9">
        <f t="shared" si="3"/>
        <v>0</v>
      </c>
      <c r="M31" s="9">
        <f t="shared" si="3"/>
        <v>0</v>
      </c>
      <c r="N31" s="9">
        <f t="shared" si="3"/>
        <v>0</v>
      </c>
      <c r="O31" s="9">
        <f t="shared" si="0"/>
        <v>-5480.79</v>
      </c>
      <c r="P31" s="12">
        <f>O31/$O$7</f>
        <v>-4.4557772165861424E-2</v>
      </c>
    </row>
    <row r="32" spans="2:16" x14ac:dyDescent="0.25">
      <c r="B32" s="4" t="s">
        <v>35</v>
      </c>
      <c r="C32" s="7">
        <f>C31+C18</f>
        <v>-16180.71</v>
      </c>
      <c r="D32" s="7">
        <f t="shared" ref="D32:N32" si="4">D31+D18</f>
        <v>-18422.909999999996</v>
      </c>
      <c r="E32" s="7">
        <f t="shared" si="4"/>
        <v>-17276.759999999998</v>
      </c>
      <c r="F32" s="7">
        <f t="shared" si="4"/>
        <v>-17379.930000000004</v>
      </c>
      <c r="G32" s="7">
        <f t="shared" si="4"/>
        <v>-18174.960000000003</v>
      </c>
      <c r="H32" s="7">
        <f t="shared" si="4"/>
        <v>0</v>
      </c>
      <c r="I32" s="7">
        <f t="shared" si="4"/>
        <v>0</v>
      </c>
      <c r="J32" s="7">
        <f t="shared" si="4"/>
        <v>0</v>
      </c>
      <c r="K32" s="7">
        <f t="shared" si="4"/>
        <v>0</v>
      </c>
      <c r="L32" s="7">
        <f t="shared" si="4"/>
        <v>0</v>
      </c>
      <c r="M32" s="7">
        <f t="shared" si="4"/>
        <v>0</v>
      </c>
      <c r="N32" s="7">
        <f t="shared" si="4"/>
        <v>0</v>
      </c>
      <c r="O32" s="7">
        <f t="shared" si="0"/>
        <v>-87435.27</v>
      </c>
    </row>
    <row r="33" spans="2:16" x14ac:dyDescent="0.25">
      <c r="B33" s="4" t="s">
        <v>36</v>
      </c>
      <c r="C33" s="9">
        <f>C7+(C12+C18+C31)</f>
        <v>-3344.1199999999972</v>
      </c>
      <c r="D33" s="9">
        <f t="shared" ref="D33:N33" si="5">D7+(D12+D18+D31)</f>
        <v>2075.880000000001</v>
      </c>
      <c r="E33" s="9">
        <f t="shared" si="5"/>
        <v>11613.55</v>
      </c>
      <c r="F33" s="9">
        <f t="shared" si="5"/>
        <v>1566.6299999999974</v>
      </c>
      <c r="G33" s="9">
        <f t="shared" si="5"/>
        <v>1481.3099999999977</v>
      </c>
      <c r="H33" s="9">
        <f t="shared" si="5"/>
        <v>0</v>
      </c>
      <c r="I33" s="9">
        <f t="shared" si="5"/>
        <v>0</v>
      </c>
      <c r="J33" s="9">
        <f t="shared" si="5"/>
        <v>0</v>
      </c>
      <c r="K33" s="9">
        <f t="shared" si="5"/>
        <v>0</v>
      </c>
      <c r="L33" s="9">
        <f t="shared" si="5"/>
        <v>0</v>
      </c>
      <c r="M33" s="9">
        <f t="shared" si="5"/>
        <v>0</v>
      </c>
      <c r="N33" s="9">
        <f t="shared" si="5"/>
        <v>0</v>
      </c>
      <c r="O33" s="9">
        <f t="shared" si="0"/>
        <v>13393.249999999998</v>
      </c>
      <c r="P33" s="12">
        <f>O33/$O$7</f>
        <v>0.1088845553397272</v>
      </c>
    </row>
    <row r="34" spans="2:16" x14ac:dyDescent="0.25">
      <c r="B34" s="4" t="s">
        <v>37</v>
      </c>
      <c r="C34" s="10">
        <f>C33</f>
        <v>-3344.1199999999972</v>
      </c>
      <c r="D34" s="10">
        <f>C34+D33</f>
        <v>-1268.2399999999961</v>
      </c>
      <c r="E34" s="10">
        <f t="shared" ref="E34:G34" si="6">D34+E33</f>
        <v>10345.310000000003</v>
      </c>
      <c r="F34" s="10">
        <f t="shared" si="6"/>
        <v>11911.94</v>
      </c>
      <c r="G34" s="10">
        <f t="shared" si="6"/>
        <v>13393.249999999998</v>
      </c>
      <c r="H34" s="7"/>
      <c r="I34" s="7"/>
      <c r="J34" s="7"/>
      <c r="K34" s="7"/>
      <c r="L34" s="7"/>
      <c r="M34" s="7"/>
      <c r="N34" s="7"/>
      <c r="O34" s="10"/>
    </row>
  </sheetData>
  <phoneticPr fontId="4" type="noConversion"/>
  <conditionalFormatting sqref="O33">
    <cfRule type="cellIs" dxfId="28" priority="3" operator="lessThan">
      <formula>0</formula>
    </cfRule>
    <cfRule type="cellIs" dxfId="29" priority="4" operator="greaterThan">
      <formula>0</formula>
    </cfRule>
  </conditionalFormatting>
  <conditionalFormatting sqref="C33:N33">
    <cfRule type="cellIs" dxfId="18" priority="1" operator="lessThan">
      <formula>0</formula>
    </cfRule>
    <cfRule type="cellIs" dxfId="19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EF0F-4DC1-4129-9BCC-8F60CEAA2065}">
  <dimension ref="B1:O34"/>
  <sheetViews>
    <sheetView workbookViewId="0">
      <selection activeCell="N21" sqref="N21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</cols>
  <sheetData>
    <row r="1" spans="2:15" x14ac:dyDescent="0.2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</row>
    <row r="2" spans="2:15" x14ac:dyDescent="0.25">
      <c r="C2">
        <v>0</v>
      </c>
      <c r="D2">
        <v>0</v>
      </c>
      <c r="E2">
        <v>0</v>
      </c>
      <c r="F2">
        <v>0</v>
      </c>
      <c r="G2">
        <v>0</v>
      </c>
    </row>
    <row r="3" spans="2:15" x14ac:dyDescent="0.25">
      <c r="B3" s="4" t="s">
        <v>6</v>
      </c>
      <c r="C3" s="5"/>
      <c r="D3" s="5"/>
      <c r="E3" s="5"/>
      <c r="F3" s="5"/>
      <c r="G3" s="5"/>
    </row>
    <row r="4" spans="2:15" x14ac:dyDescent="0.25">
      <c r="B4" s="4" t="s">
        <v>7</v>
      </c>
    </row>
    <row r="5" spans="2:15" x14ac:dyDescent="0.25">
      <c r="B5" s="4" t="s">
        <v>8</v>
      </c>
      <c r="C5" s="5"/>
      <c r="D5" s="5"/>
      <c r="E5" s="5"/>
      <c r="F5" s="5"/>
      <c r="G5" s="5"/>
    </row>
    <row r="6" spans="2:15" x14ac:dyDescent="0.25">
      <c r="B6" s="4" t="s">
        <v>9</v>
      </c>
    </row>
    <row r="7" spans="2:15" x14ac:dyDescent="0.25">
      <c r="B7" s="4" t="s">
        <v>10</v>
      </c>
      <c r="C7" s="6"/>
      <c r="D7" s="6"/>
      <c r="E7" s="6"/>
      <c r="F7" s="6"/>
      <c r="G7" s="6"/>
      <c r="I7" s="7"/>
      <c r="J7" s="7"/>
      <c r="K7" s="7"/>
      <c r="L7" s="7"/>
      <c r="M7" s="7"/>
    </row>
    <row r="8" spans="2:15" x14ac:dyDescent="0.25">
      <c r="B8" s="4" t="s">
        <v>11</v>
      </c>
      <c r="C8" s="5"/>
      <c r="D8" s="5"/>
      <c r="E8" s="5"/>
      <c r="F8" s="5"/>
      <c r="G8" s="5"/>
    </row>
    <row r="9" spans="2:15" x14ac:dyDescent="0.25">
      <c r="B9" s="4" t="s">
        <v>12</v>
      </c>
      <c r="C9" s="5"/>
      <c r="D9" s="5"/>
      <c r="E9" s="5"/>
      <c r="F9" s="5"/>
      <c r="G9" s="5"/>
    </row>
    <row r="10" spans="2:15" x14ac:dyDescent="0.25">
      <c r="B10" s="4" t="s">
        <v>13</v>
      </c>
    </row>
    <row r="11" spans="2:15" x14ac:dyDescent="0.25">
      <c r="B11" s="4" t="s">
        <v>14</v>
      </c>
    </row>
    <row r="12" spans="2:15" x14ac:dyDescent="0.25">
      <c r="B12" s="4" t="s">
        <v>15</v>
      </c>
      <c r="C12" s="6"/>
      <c r="D12" s="6"/>
      <c r="E12" s="6"/>
      <c r="F12" s="6"/>
      <c r="G12" s="6"/>
    </row>
    <row r="13" spans="2:15" x14ac:dyDescent="0.25">
      <c r="B13" s="4" t="s">
        <v>16</v>
      </c>
      <c r="C13" s="5"/>
      <c r="D13" s="5"/>
      <c r="E13" s="5"/>
      <c r="F13" s="5"/>
      <c r="G13" s="5"/>
    </row>
    <row r="14" spans="2:15" x14ac:dyDescent="0.25">
      <c r="B14" s="4" t="s">
        <v>17</v>
      </c>
      <c r="C14" s="5"/>
      <c r="D14" s="5"/>
      <c r="E14" s="5"/>
      <c r="F14" s="5"/>
      <c r="G14" s="5"/>
    </row>
    <row r="15" spans="2:15" x14ac:dyDescent="0.25">
      <c r="B15" s="4" t="s">
        <v>18</v>
      </c>
      <c r="C15" s="5"/>
      <c r="D15" s="5"/>
      <c r="E15" s="5"/>
      <c r="F15" s="5"/>
      <c r="G15" s="5"/>
    </row>
    <row r="16" spans="2:15" x14ac:dyDescent="0.25">
      <c r="B16" s="4" t="s">
        <v>19</v>
      </c>
      <c r="C16" s="5"/>
      <c r="D16" s="5"/>
      <c r="E16" s="5"/>
      <c r="F16" s="5"/>
      <c r="G16" s="5"/>
    </row>
    <row r="17" spans="2:7" x14ac:dyDescent="0.25">
      <c r="B17" s="4" t="s">
        <v>20</v>
      </c>
      <c r="C17" s="5"/>
      <c r="D17" s="5"/>
      <c r="E17" s="5"/>
      <c r="F17" s="5"/>
      <c r="G17" s="5"/>
    </row>
    <row r="18" spans="2:7" x14ac:dyDescent="0.25">
      <c r="B18" s="4" t="s">
        <v>21</v>
      </c>
      <c r="C18" s="6"/>
      <c r="D18" s="6"/>
      <c r="E18" s="6"/>
      <c r="F18" s="6"/>
      <c r="G18" s="6"/>
    </row>
    <row r="19" spans="2:7" x14ac:dyDescent="0.25">
      <c r="B19" s="4" t="s">
        <v>22</v>
      </c>
      <c r="C19" s="5"/>
      <c r="D19" s="5"/>
      <c r="E19" s="5"/>
      <c r="F19" s="5"/>
      <c r="G19" s="5"/>
    </row>
    <row r="20" spans="2:7" x14ac:dyDescent="0.25">
      <c r="B20" s="4" t="s">
        <v>23</v>
      </c>
      <c r="C20" s="5"/>
      <c r="D20" s="5"/>
      <c r="E20" s="5"/>
      <c r="F20" s="5"/>
      <c r="G20" s="5"/>
    </row>
    <row r="21" spans="2:7" x14ac:dyDescent="0.25">
      <c r="B21" s="4" t="s">
        <v>24</v>
      </c>
      <c r="C21" s="5"/>
      <c r="D21" s="5"/>
      <c r="E21" s="5"/>
      <c r="F21" s="5"/>
      <c r="G21" s="5"/>
    </row>
    <row r="22" spans="2:7" x14ac:dyDescent="0.25">
      <c r="B22" s="4" t="s">
        <v>25</v>
      </c>
      <c r="C22" s="5"/>
      <c r="D22" s="5"/>
      <c r="E22" s="5"/>
      <c r="F22" s="5"/>
      <c r="G22" s="5"/>
    </row>
    <row r="23" spans="2:7" x14ac:dyDescent="0.25">
      <c r="B23" s="4" t="s">
        <v>26</v>
      </c>
      <c r="C23" s="5"/>
      <c r="D23" s="5"/>
      <c r="E23" s="5"/>
      <c r="F23" s="5"/>
      <c r="G23" s="5"/>
    </row>
    <row r="24" spans="2:7" x14ac:dyDescent="0.25">
      <c r="B24" s="4" t="s">
        <v>27</v>
      </c>
      <c r="C24" s="5"/>
      <c r="D24" s="5"/>
      <c r="E24" s="5"/>
      <c r="F24" s="5"/>
      <c r="G24" s="5"/>
    </row>
    <row r="25" spans="2:7" x14ac:dyDescent="0.25">
      <c r="B25" s="4" t="s">
        <v>28</v>
      </c>
      <c r="C25" s="5"/>
      <c r="D25" s="5"/>
      <c r="E25" s="5"/>
      <c r="F25" s="5"/>
      <c r="G25" s="5"/>
    </row>
    <row r="26" spans="2:7" x14ac:dyDescent="0.25">
      <c r="B26" s="4" t="s">
        <v>29</v>
      </c>
      <c r="C26" s="5"/>
      <c r="D26" s="5"/>
      <c r="E26" s="5"/>
      <c r="F26" s="5"/>
      <c r="G26" s="5"/>
    </row>
    <row r="27" spans="2:7" x14ac:dyDescent="0.25">
      <c r="B27" s="4" t="s">
        <v>30</v>
      </c>
      <c r="C27" s="5"/>
      <c r="D27" s="5"/>
      <c r="E27" s="5"/>
      <c r="F27" s="5"/>
      <c r="G27" s="5"/>
    </row>
    <row r="28" spans="2:7" x14ac:dyDescent="0.25">
      <c r="B28" s="4" t="s">
        <v>31</v>
      </c>
      <c r="C28" s="5"/>
      <c r="D28" s="5"/>
      <c r="E28" s="5"/>
      <c r="F28" s="5"/>
      <c r="G28" s="5"/>
    </row>
    <row r="29" spans="2:7" x14ac:dyDescent="0.25">
      <c r="B29" s="4" t="s">
        <v>32</v>
      </c>
    </row>
    <row r="30" spans="2:7" x14ac:dyDescent="0.25">
      <c r="B30" s="4" t="s">
        <v>33</v>
      </c>
    </row>
    <row r="31" spans="2:7" x14ac:dyDescent="0.25">
      <c r="B31" s="4" t="s">
        <v>34</v>
      </c>
      <c r="C31" s="6"/>
      <c r="D31" s="6"/>
      <c r="E31" s="6"/>
      <c r="F31" s="6"/>
      <c r="G31" s="6"/>
    </row>
    <row r="32" spans="2:7" x14ac:dyDescent="0.25">
      <c r="B32" s="4" t="s">
        <v>35</v>
      </c>
      <c r="C32" s="5"/>
      <c r="D32" s="5"/>
      <c r="E32" s="5"/>
      <c r="F32" s="5"/>
      <c r="G32" s="5"/>
    </row>
    <row r="33" spans="2:7" x14ac:dyDescent="0.25">
      <c r="B33" s="4" t="s">
        <v>36</v>
      </c>
      <c r="C33" s="6"/>
      <c r="D33" s="6"/>
      <c r="E33" s="6"/>
      <c r="F33" s="6"/>
      <c r="G33" s="6"/>
    </row>
    <row r="34" spans="2:7" x14ac:dyDescent="0.25">
      <c r="B34" s="4" t="s">
        <v>37</v>
      </c>
      <c r="C34" s="8"/>
      <c r="D34" s="8"/>
      <c r="E34" s="8"/>
      <c r="F34" s="8"/>
      <c r="G34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9278F-A200-4FBC-9BD5-4636E37E0F44}">
  <dimension ref="B1:P34"/>
  <sheetViews>
    <sheetView workbookViewId="0">
      <selection activeCell="I35" sqref="I35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</cols>
  <sheetData>
    <row r="1" spans="2:16" x14ac:dyDescent="0.25">
      <c r="B1" s="1" t="s">
        <v>48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>
        <v>0</v>
      </c>
      <c r="D2">
        <v>0</v>
      </c>
      <c r="E2">
        <v>0</v>
      </c>
      <c r="F2">
        <v>0</v>
      </c>
      <c r="G2">
        <v>0</v>
      </c>
    </row>
    <row r="3" spans="2:16" x14ac:dyDescent="0.25">
      <c r="B3" s="4" t="s">
        <v>6</v>
      </c>
      <c r="C3" s="5">
        <v>5396.3</v>
      </c>
      <c r="D3" s="5">
        <v>5326.24</v>
      </c>
      <c r="E3" s="5">
        <v>6486</v>
      </c>
      <c r="F3" s="5">
        <v>4970.7</v>
      </c>
      <c r="G3" s="5">
        <v>4375</v>
      </c>
      <c r="O3" s="5">
        <f t="shared" ref="O3:O33" si="0">SUM(C3:N3)</f>
        <v>26554.240000000002</v>
      </c>
    </row>
    <row r="4" spans="2:16" x14ac:dyDescent="0.25">
      <c r="B4" s="4" t="s">
        <v>7</v>
      </c>
      <c r="C4">
        <v>0</v>
      </c>
      <c r="D4">
        <v>0</v>
      </c>
      <c r="E4">
        <v>0</v>
      </c>
      <c r="F4">
        <v>0</v>
      </c>
      <c r="G4">
        <v>0</v>
      </c>
      <c r="O4">
        <f t="shared" si="0"/>
        <v>0</v>
      </c>
    </row>
    <row r="5" spans="2:16" x14ac:dyDescent="0.25">
      <c r="B5" s="4" t="s">
        <v>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O5" s="5">
        <f t="shared" si="0"/>
        <v>0</v>
      </c>
    </row>
    <row r="6" spans="2:16" x14ac:dyDescent="0.25">
      <c r="B6" s="4" t="s">
        <v>9</v>
      </c>
      <c r="C6">
        <v>0</v>
      </c>
      <c r="D6">
        <v>0</v>
      </c>
      <c r="E6">
        <v>0</v>
      </c>
      <c r="F6">
        <v>0</v>
      </c>
      <c r="G6">
        <v>0</v>
      </c>
      <c r="O6">
        <f t="shared" si="0"/>
        <v>0</v>
      </c>
    </row>
    <row r="7" spans="2:16" x14ac:dyDescent="0.25">
      <c r="B7" s="4" t="s">
        <v>10</v>
      </c>
      <c r="C7" s="6">
        <v>5396.3</v>
      </c>
      <c r="D7" s="6">
        <v>5326.24</v>
      </c>
      <c r="E7" s="6">
        <v>6486</v>
      </c>
      <c r="F7" s="6">
        <v>4970.7</v>
      </c>
      <c r="G7" s="6">
        <v>4375</v>
      </c>
      <c r="I7" s="7"/>
      <c r="J7" s="7"/>
      <c r="K7" s="7"/>
      <c r="L7" s="7"/>
      <c r="M7" s="7"/>
      <c r="O7" s="6">
        <f t="shared" si="0"/>
        <v>26554.240000000002</v>
      </c>
    </row>
    <row r="8" spans="2:16" x14ac:dyDescent="0.25">
      <c r="B8" s="4" t="s">
        <v>11</v>
      </c>
      <c r="C8" s="5">
        <v>-2203.1999999999998</v>
      </c>
      <c r="D8" s="5">
        <v>-1366.75</v>
      </c>
      <c r="E8" s="5">
        <v>-1332.28</v>
      </c>
      <c r="F8" s="5">
        <v>-1198.1600000000001</v>
      </c>
      <c r="G8" s="5">
        <v>-1272.26</v>
      </c>
      <c r="O8" s="5">
        <f t="shared" si="0"/>
        <v>-7372.65</v>
      </c>
    </row>
    <row r="9" spans="2:16" x14ac:dyDescent="0.25">
      <c r="B9" s="4" t="s">
        <v>12</v>
      </c>
      <c r="C9" s="5">
        <v>-219.22</v>
      </c>
      <c r="D9" s="5">
        <v>-34.22</v>
      </c>
      <c r="E9" s="5">
        <v>-286.56</v>
      </c>
      <c r="F9" s="5">
        <v>-198.7</v>
      </c>
      <c r="G9" s="5">
        <v>-7.72</v>
      </c>
      <c r="O9" s="5">
        <f t="shared" si="0"/>
        <v>-746.42000000000007</v>
      </c>
    </row>
    <row r="10" spans="2:16" x14ac:dyDescent="0.25">
      <c r="B10" s="4" t="s">
        <v>13</v>
      </c>
      <c r="C10">
        <v>-1249.7</v>
      </c>
      <c r="D10">
        <v>-2137.4699999999998</v>
      </c>
      <c r="E10">
        <v>-1229.44</v>
      </c>
      <c r="F10">
        <v>-1754.65</v>
      </c>
      <c r="G10">
        <v>-1085.24</v>
      </c>
      <c r="O10">
        <f t="shared" si="0"/>
        <v>-7456.5</v>
      </c>
    </row>
    <row r="11" spans="2:16" x14ac:dyDescent="0.25">
      <c r="B11" s="4" t="s">
        <v>14</v>
      </c>
      <c r="C11">
        <v>0</v>
      </c>
      <c r="D11">
        <v>0</v>
      </c>
      <c r="E11">
        <v>0</v>
      </c>
      <c r="F11">
        <v>0</v>
      </c>
      <c r="G11">
        <v>0</v>
      </c>
      <c r="O11">
        <f t="shared" si="0"/>
        <v>0</v>
      </c>
    </row>
    <row r="12" spans="2:16" x14ac:dyDescent="0.25">
      <c r="B12" s="4" t="s">
        <v>15</v>
      </c>
      <c r="C12" s="9">
        <f>SUM(C8:C11)</f>
        <v>-3672.12</v>
      </c>
      <c r="D12" s="9">
        <f t="shared" ref="D12:N12" si="1">SUM(D8:D11)</f>
        <v>-3538.4399999999996</v>
      </c>
      <c r="E12" s="9">
        <f t="shared" si="1"/>
        <v>-2848.2799999999997</v>
      </c>
      <c r="F12" s="9">
        <f t="shared" si="1"/>
        <v>-3151.51</v>
      </c>
      <c r="G12" s="9">
        <f t="shared" si="1"/>
        <v>-2365.2200000000003</v>
      </c>
      <c r="H12" s="9">
        <f t="shared" si="1"/>
        <v>0</v>
      </c>
      <c r="I12" s="9">
        <f t="shared" si="1"/>
        <v>0</v>
      </c>
      <c r="J12" s="9">
        <f t="shared" si="1"/>
        <v>0</v>
      </c>
      <c r="K12" s="9">
        <f t="shared" si="1"/>
        <v>0</v>
      </c>
      <c r="L12" s="9">
        <f t="shared" si="1"/>
        <v>0</v>
      </c>
      <c r="M12" s="9">
        <f t="shared" si="1"/>
        <v>0</v>
      </c>
      <c r="N12" s="9">
        <f t="shared" si="1"/>
        <v>0</v>
      </c>
      <c r="O12" s="6">
        <f t="shared" si="0"/>
        <v>-15575.57</v>
      </c>
      <c r="P12" s="12">
        <f>O12/$O$7</f>
        <v>-0.58655679846231712</v>
      </c>
    </row>
    <row r="13" spans="2:16" x14ac:dyDescent="0.25">
      <c r="B13" s="4" t="s">
        <v>16</v>
      </c>
      <c r="C13" s="5">
        <v>2973.88</v>
      </c>
      <c r="D13" s="5">
        <v>3925.27</v>
      </c>
      <c r="E13" s="5">
        <v>4867.16</v>
      </c>
      <c r="F13" s="5">
        <v>3573.84</v>
      </c>
      <c r="G13" s="5">
        <v>3135.43</v>
      </c>
      <c r="O13" s="5">
        <f t="shared" si="0"/>
        <v>18475.579999999998</v>
      </c>
    </row>
    <row r="14" spans="2:16" x14ac:dyDescent="0.25">
      <c r="B14" s="4" t="s">
        <v>17</v>
      </c>
      <c r="C14" s="5">
        <v>-6277.45</v>
      </c>
      <c r="D14" s="5">
        <v>-5122.38</v>
      </c>
      <c r="E14" s="5">
        <v>-4631.4299999999994</v>
      </c>
      <c r="F14" s="5">
        <v>-3719.6899999999996</v>
      </c>
      <c r="G14" s="5">
        <v>-1931.5200000000004</v>
      </c>
      <c r="O14" s="5">
        <f t="shared" si="0"/>
        <v>-21682.469999999998</v>
      </c>
    </row>
    <row r="15" spans="2:16" x14ac:dyDescent="0.25">
      <c r="B15" s="4" t="s">
        <v>18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O15" s="5">
        <f t="shared" si="0"/>
        <v>0</v>
      </c>
    </row>
    <row r="16" spans="2:16" x14ac:dyDescent="0.25">
      <c r="B16" s="4" t="s">
        <v>19</v>
      </c>
      <c r="C16" s="5">
        <v>-2327.6999999999998</v>
      </c>
      <c r="D16" s="5">
        <v>-2085.12</v>
      </c>
      <c r="E16" s="5">
        <v>-1909.98</v>
      </c>
      <c r="F16" s="5">
        <v>-1966.14</v>
      </c>
      <c r="G16" s="5">
        <v>-2099.85</v>
      </c>
      <c r="O16" s="5">
        <f t="shared" si="0"/>
        <v>-10388.789999999999</v>
      </c>
    </row>
    <row r="17" spans="2:16" x14ac:dyDescent="0.25">
      <c r="B17" s="4" t="s">
        <v>20</v>
      </c>
      <c r="C17" s="5">
        <v>0</v>
      </c>
      <c r="D17" s="5">
        <v>0</v>
      </c>
      <c r="E17" s="5">
        <v>0</v>
      </c>
      <c r="F17" s="5">
        <v>-20.6</v>
      </c>
      <c r="G17" s="5">
        <v>0</v>
      </c>
      <c r="O17" s="5">
        <f t="shared" si="0"/>
        <v>-20.6</v>
      </c>
    </row>
    <row r="18" spans="2:16" x14ac:dyDescent="0.25">
      <c r="B18" s="4" t="s">
        <v>21</v>
      </c>
      <c r="C18" s="9">
        <f>SUM(C14:C17)</f>
        <v>-8605.15</v>
      </c>
      <c r="D18" s="9">
        <f t="shared" ref="D18:N18" si="2">SUM(D14:D17)</f>
        <v>-7207.5</v>
      </c>
      <c r="E18" s="9">
        <f t="shared" si="2"/>
        <v>-6541.41</v>
      </c>
      <c r="F18" s="9">
        <f t="shared" si="2"/>
        <v>-5706.43</v>
      </c>
      <c r="G18" s="9">
        <f t="shared" si="2"/>
        <v>-4031.3700000000003</v>
      </c>
      <c r="H18" s="9">
        <f t="shared" si="2"/>
        <v>0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6">
        <f t="shared" si="0"/>
        <v>-32091.859999999997</v>
      </c>
      <c r="P18" s="12">
        <f>O18/$O$7</f>
        <v>-1.2085399544479525</v>
      </c>
    </row>
    <row r="19" spans="2:16" x14ac:dyDescent="0.25">
      <c r="B19" s="4" t="s">
        <v>22</v>
      </c>
      <c r="C19" s="5">
        <v>-1729.9</v>
      </c>
      <c r="D19" s="5">
        <v>-1729.9</v>
      </c>
      <c r="E19" s="5">
        <v>-1729.9</v>
      </c>
      <c r="F19" s="5">
        <v>-4069.1</v>
      </c>
      <c r="G19" s="5">
        <v>-1729.9</v>
      </c>
      <c r="O19" s="5">
        <f t="shared" si="0"/>
        <v>-10988.7</v>
      </c>
    </row>
    <row r="20" spans="2:16" x14ac:dyDescent="0.25">
      <c r="B20" s="4" t="s">
        <v>23</v>
      </c>
      <c r="C20" s="5">
        <v>-249</v>
      </c>
      <c r="D20" s="5">
        <v>-44</v>
      </c>
      <c r="E20" s="5">
        <v>-44</v>
      </c>
      <c r="F20" s="5">
        <v>-440.5</v>
      </c>
      <c r="G20" s="5">
        <v>-44</v>
      </c>
      <c r="O20" s="5">
        <f t="shared" si="0"/>
        <v>-821.5</v>
      </c>
    </row>
    <row r="21" spans="2:16" x14ac:dyDescent="0.25">
      <c r="B21" s="4" t="s">
        <v>24</v>
      </c>
      <c r="C21" s="5">
        <v>-92.86</v>
      </c>
      <c r="D21" s="5">
        <v>-69.44</v>
      </c>
      <c r="E21" s="5">
        <v>-89.28</v>
      </c>
      <c r="F21" s="5">
        <v>-62</v>
      </c>
      <c r="G21" s="5">
        <v>-62</v>
      </c>
      <c r="O21" s="5">
        <f t="shared" si="0"/>
        <v>-375.58000000000004</v>
      </c>
    </row>
    <row r="22" spans="2:16" x14ac:dyDescent="0.25">
      <c r="B22" s="4" t="s">
        <v>25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O22" s="5">
        <f t="shared" si="0"/>
        <v>0</v>
      </c>
    </row>
    <row r="23" spans="2:16" x14ac:dyDescent="0.25">
      <c r="B23" s="4" t="s">
        <v>26</v>
      </c>
      <c r="C23" s="5">
        <v>0</v>
      </c>
      <c r="D23" s="5">
        <v>-14.18</v>
      </c>
      <c r="E23" s="5">
        <v>-14.18</v>
      </c>
      <c r="F23" s="5">
        <v>-14.18</v>
      </c>
      <c r="G23" s="5">
        <v>-14.18</v>
      </c>
      <c r="O23" s="5">
        <f t="shared" si="0"/>
        <v>-56.72</v>
      </c>
    </row>
    <row r="24" spans="2:16" x14ac:dyDescent="0.25">
      <c r="B24" s="4" t="s">
        <v>27</v>
      </c>
      <c r="C24" s="5">
        <v>-60.3</v>
      </c>
      <c r="D24" s="5">
        <v>-52.93</v>
      </c>
      <c r="E24" s="5">
        <v>-63.17</v>
      </c>
      <c r="F24" s="5">
        <v>-39.909999999999997</v>
      </c>
      <c r="G24" s="5">
        <v>-38.69</v>
      </c>
      <c r="O24" s="5">
        <f t="shared" si="0"/>
        <v>-254.99999999999997</v>
      </c>
    </row>
    <row r="25" spans="2:16" x14ac:dyDescent="0.25">
      <c r="B25" s="4" t="s">
        <v>28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O25" s="5">
        <f t="shared" si="0"/>
        <v>0</v>
      </c>
    </row>
    <row r="26" spans="2:16" x14ac:dyDescent="0.25">
      <c r="B26" s="4" t="s">
        <v>29</v>
      </c>
      <c r="C26" s="5">
        <v>-174.35</v>
      </c>
      <c r="D26" s="5">
        <v>-2981.69</v>
      </c>
      <c r="E26" s="5">
        <v>-3143.92</v>
      </c>
      <c r="F26" s="5">
        <v>-2658.14</v>
      </c>
      <c r="G26" s="5">
        <v>-1770</v>
      </c>
      <c r="O26" s="5">
        <f t="shared" si="0"/>
        <v>-10728.1</v>
      </c>
    </row>
    <row r="27" spans="2:16" x14ac:dyDescent="0.25">
      <c r="B27" s="4" t="s">
        <v>30</v>
      </c>
      <c r="C27" s="5">
        <v>-53.37</v>
      </c>
      <c r="D27" s="5">
        <v>-42.8</v>
      </c>
      <c r="E27" s="5">
        <v>-25.14</v>
      </c>
      <c r="F27" s="5">
        <v>-142.71</v>
      </c>
      <c r="G27" s="5">
        <v>0</v>
      </c>
      <c r="O27" s="5">
        <f t="shared" si="0"/>
        <v>-264.02</v>
      </c>
    </row>
    <row r="28" spans="2:16" x14ac:dyDescent="0.25">
      <c r="B28" s="4" t="s">
        <v>31</v>
      </c>
      <c r="C28" s="5">
        <v>0</v>
      </c>
      <c r="D28" s="5">
        <v>-25.33</v>
      </c>
      <c r="E28" s="5">
        <v>-25.33</v>
      </c>
      <c r="F28" s="5">
        <v>-194.88</v>
      </c>
      <c r="G28" s="5">
        <v>-25.33</v>
      </c>
      <c r="O28" s="5">
        <f t="shared" si="0"/>
        <v>-270.87</v>
      </c>
    </row>
    <row r="29" spans="2:16" x14ac:dyDescent="0.25">
      <c r="B29" s="4" t="s">
        <v>32</v>
      </c>
      <c r="C29">
        <v>0</v>
      </c>
      <c r="D29">
        <v>0</v>
      </c>
      <c r="E29">
        <v>0</v>
      </c>
      <c r="F29">
        <v>0</v>
      </c>
      <c r="G29">
        <v>0</v>
      </c>
      <c r="O29">
        <f t="shared" si="0"/>
        <v>0</v>
      </c>
    </row>
    <row r="30" spans="2:16" x14ac:dyDescent="0.25">
      <c r="B30" s="4" t="s">
        <v>33</v>
      </c>
      <c r="C30">
        <v>0</v>
      </c>
      <c r="D30">
        <v>0</v>
      </c>
      <c r="E30">
        <v>0</v>
      </c>
      <c r="F30">
        <v>0</v>
      </c>
      <c r="G30">
        <v>0</v>
      </c>
      <c r="O30">
        <f t="shared" si="0"/>
        <v>0</v>
      </c>
    </row>
    <row r="31" spans="2:16" x14ac:dyDescent="0.25">
      <c r="B31" s="4" t="s">
        <v>34</v>
      </c>
      <c r="C31" s="9">
        <f>SUM(C19:C30)</f>
        <v>-2359.7800000000002</v>
      </c>
      <c r="D31" s="9">
        <f t="shared" ref="D31:N31" si="3">SUM(D19:D30)</f>
        <v>-4960.2700000000004</v>
      </c>
      <c r="E31" s="9">
        <f t="shared" si="3"/>
        <v>-5134.920000000001</v>
      </c>
      <c r="F31" s="9">
        <f t="shared" si="3"/>
        <v>-7621.42</v>
      </c>
      <c r="G31" s="9">
        <f t="shared" si="3"/>
        <v>-3684.1000000000004</v>
      </c>
      <c r="H31" s="9">
        <f t="shared" si="3"/>
        <v>0</v>
      </c>
      <c r="I31" s="9">
        <f t="shared" si="3"/>
        <v>0</v>
      </c>
      <c r="J31" s="9">
        <f t="shared" si="3"/>
        <v>0</v>
      </c>
      <c r="K31" s="9">
        <f t="shared" si="3"/>
        <v>0</v>
      </c>
      <c r="L31" s="9">
        <f t="shared" si="3"/>
        <v>0</v>
      </c>
      <c r="M31" s="9">
        <f t="shared" si="3"/>
        <v>0</v>
      </c>
      <c r="N31" s="9">
        <f t="shared" si="3"/>
        <v>0</v>
      </c>
      <c r="O31" s="6">
        <f t="shared" si="0"/>
        <v>-23760.489999999998</v>
      </c>
      <c r="P31" s="12">
        <f>O31/$O$7</f>
        <v>-0.8947908130678941</v>
      </c>
    </row>
    <row r="32" spans="2:16" x14ac:dyDescent="0.25">
      <c r="B32" s="4" t="s">
        <v>35</v>
      </c>
      <c r="C32" s="5">
        <f>C31+C18</f>
        <v>-10964.93</v>
      </c>
      <c r="D32" s="5">
        <f t="shared" ref="D32:N32" si="4">D31+D18</f>
        <v>-12167.77</v>
      </c>
      <c r="E32" s="5">
        <f t="shared" si="4"/>
        <v>-11676.330000000002</v>
      </c>
      <c r="F32" s="5">
        <f t="shared" si="4"/>
        <v>-13327.85</v>
      </c>
      <c r="G32" s="5">
        <f t="shared" si="4"/>
        <v>-7715.4700000000012</v>
      </c>
      <c r="H32" s="5">
        <f t="shared" si="4"/>
        <v>0</v>
      </c>
      <c r="I32" s="5">
        <f t="shared" si="4"/>
        <v>0</v>
      </c>
      <c r="J32" s="5">
        <f t="shared" si="4"/>
        <v>0</v>
      </c>
      <c r="K32" s="5">
        <f t="shared" si="4"/>
        <v>0</v>
      </c>
      <c r="L32" s="5">
        <f t="shared" si="4"/>
        <v>0</v>
      </c>
      <c r="M32" s="5">
        <f t="shared" si="4"/>
        <v>0</v>
      </c>
      <c r="N32" s="5">
        <f t="shared" si="4"/>
        <v>0</v>
      </c>
      <c r="O32" s="5">
        <f t="shared" si="0"/>
        <v>-55852.35</v>
      </c>
    </row>
    <row r="33" spans="2:16" x14ac:dyDescent="0.25">
      <c r="B33" s="4" t="s">
        <v>36</v>
      </c>
      <c r="C33" s="9">
        <f>C7+(C12+C18+C31)</f>
        <v>-9240.75</v>
      </c>
      <c r="D33" s="9">
        <f t="shared" ref="D33:N33" si="5">D7+(D12+D18+D31)</f>
        <v>-10379.969999999999</v>
      </c>
      <c r="E33" s="9">
        <f t="shared" si="5"/>
        <v>-8038.6100000000006</v>
      </c>
      <c r="F33" s="9">
        <f t="shared" si="5"/>
        <v>-11508.66</v>
      </c>
      <c r="G33" s="9">
        <f t="shared" si="5"/>
        <v>-5705.6900000000005</v>
      </c>
      <c r="H33" s="9">
        <f t="shared" si="5"/>
        <v>0</v>
      </c>
      <c r="I33" s="9">
        <f t="shared" si="5"/>
        <v>0</v>
      </c>
      <c r="J33" s="9">
        <f t="shared" si="5"/>
        <v>0</v>
      </c>
      <c r="K33" s="9">
        <f t="shared" si="5"/>
        <v>0</v>
      </c>
      <c r="L33" s="9">
        <f t="shared" si="5"/>
        <v>0</v>
      </c>
      <c r="M33" s="9">
        <f t="shared" si="5"/>
        <v>0</v>
      </c>
      <c r="N33" s="9">
        <f t="shared" si="5"/>
        <v>0</v>
      </c>
      <c r="O33" s="6">
        <f t="shared" si="0"/>
        <v>-44873.680000000008</v>
      </c>
      <c r="P33" s="12">
        <f>O33/$O$7</f>
        <v>-1.689887565978164</v>
      </c>
    </row>
    <row r="34" spans="2:16" x14ac:dyDescent="0.25">
      <c r="B34" s="4" t="s">
        <v>37</v>
      </c>
      <c r="C34" s="8">
        <f>C33</f>
        <v>-9240.75</v>
      </c>
      <c r="D34" s="8">
        <f>C34+D33</f>
        <v>-19620.72</v>
      </c>
      <c r="E34" s="8">
        <f t="shared" ref="E34:G34" si="6">D34+E33</f>
        <v>-27659.33</v>
      </c>
      <c r="F34" s="8">
        <f t="shared" si="6"/>
        <v>-39167.990000000005</v>
      </c>
      <c r="G34" s="8">
        <f t="shared" si="6"/>
        <v>-44873.680000000008</v>
      </c>
      <c r="O34" s="8"/>
    </row>
  </sheetData>
  <conditionalFormatting sqref="O33">
    <cfRule type="cellIs" dxfId="26" priority="3" operator="lessThan">
      <formula>0</formula>
    </cfRule>
    <cfRule type="cellIs" dxfId="27" priority="4" operator="greaterThan">
      <formula>0</formula>
    </cfRule>
  </conditionalFormatting>
  <conditionalFormatting sqref="C33:N33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60A3-C352-4414-8288-8431C97BACA7}">
  <dimension ref="B1:P34"/>
  <sheetViews>
    <sheetView workbookViewId="0">
      <selection activeCell="C32" sqref="C32:C34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</cols>
  <sheetData>
    <row r="1" spans="2:16" x14ac:dyDescent="0.25">
      <c r="B1" s="1" t="s">
        <v>47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>
        <v>0</v>
      </c>
      <c r="D2">
        <v>0</v>
      </c>
      <c r="E2">
        <v>0</v>
      </c>
      <c r="F2">
        <v>0</v>
      </c>
      <c r="G2">
        <v>0</v>
      </c>
    </row>
    <row r="3" spans="2:16" x14ac:dyDescent="0.25">
      <c r="B3" s="4" t="s">
        <v>6</v>
      </c>
      <c r="C3" s="5">
        <v>25536.29</v>
      </c>
      <c r="D3" s="5">
        <v>24602.78</v>
      </c>
      <c r="E3" s="5">
        <v>31685.85</v>
      </c>
      <c r="F3" s="5">
        <v>31597.1</v>
      </c>
      <c r="G3" s="5">
        <v>21145.919999999998</v>
      </c>
      <c r="O3" s="5">
        <f t="shared" ref="O3:O33" si="0">SUM(C3:N3)</f>
        <v>134567.94</v>
      </c>
    </row>
    <row r="4" spans="2:16" x14ac:dyDescent="0.25">
      <c r="B4" s="4" t="s">
        <v>7</v>
      </c>
      <c r="C4">
        <v>0</v>
      </c>
      <c r="D4">
        <v>0</v>
      </c>
      <c r="E4">
        <v>0</v>
      </c>
      <c r="F4">
        <v>0</v>
      </c>
      <c r="G4">
        <v>0</v>
      </c>
      <c r="O4">
        <f t="shared" si="0"/>
        <v>0</v>
      </c>
    </row>
    <row r="5" spans="2:16" x14ac:dyDescent="0.25">
      <c r="B5" s="4" t="s">
        <v>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O5" s="5">
        <f t="shared" si="0"/>
        <v>0</v>
      </c>
    </row>
    <row r="6" spans="2:16" x14ac:dyDescent="0.25">
      <c r="B6" s="4" t="s">
        <v>9</v>
      </c>
      <c r="C6">
        <v>0</v>
      </c>
      <c r="D6">
        <v>0</v>
      </c>
      <c r="E6">
        <v>0</v>
      </c>
      <c r="F6">
        <v>0</v>
      </c>
      <c r="G6">
        <v>0</v>
      </c>
      <c r="O6">
        <f t="shared" si="0"/>
        <v>0</v>
      </c>
    </row>
    <row r="7" spans="2:16" x14ac:dyDescent="0.25">
      <c r="B7" s="4" t="s">
        <v>10</v>
      </c>
      <c r="C7" s="6">
        <v>25536.29</v>
      </c>
      <c r="D7" s="6">
        <v>24602.78</v>
      </c>
      <c r="E7" s="6">
        <v>31685.85</v>
      </c>
      <c r="F7" s="6">
        <v>31597.1</v>
      </c>
      <c r="G7" s="6">
        <v>21145.919999999998</v>
      </c>
      <c r="I7" s="7"/>
      <c r="J7" s="7"/>
      <c r="K7" s="7"/>
      <c r="L7" s="7"/>
      <c r="M7" s="7"/>
      <c r="O7" s="6">
        <f t="shared" si="0"/>
        <v>134567.94</v>
      </c>
    </row>
    <row r="8" spans="2:16" x14ac:dyDescent="0.25">
      <c r="B8" s="4" t="s">
        <v>11</v>
      </c>
      <c r="C8" s="5">
        <v>-4429.43</v>
      </c>
      <c r="D8" s="5">
        <v>-4548.6899999999996</v>
      </c>
      <c r="E8" s="5">
        <v>-4815.2299999999996</v>
      </c>
      <c r="F8" s="5">
        <v>-5577.91</v>
      </c>
      <c r="G8" s="5">
        <v>-4923.24</v>
      </c>
      <c r="O8" s="5">
        <f t="shared" si="0"/>
        <v>-24294.5</v>
      </c>
    </row>
    <row r="9" spans="2:16" x14ac:dyDescent="0.25">
      <c r="B9" s="4" t="s">
        <v>12</v>
      </c>
      <c r="C9" s="5">
        <v>-1560.42</v>
      </c>
      <c r="D9" s="5">
        <v>-334.82</v>
      </c>
      <c r="E9" s="5">
        <v>-655.7</v>
      </c>
      <c r="F9" s="5">
        <v>-30.38</v>
      </c>
      <c r="G9" s="5">
        <v>-564.51</v>
      </c>
      <c r="O9" s="5">
        <f t="shared" si="0"/>
        <v>-3145.83</v>
      </c>
    </row>
    <row r="10" spans="2:16" x14ac:dyDescent="0.25">
      <c r="B10" s="4" t="s">
        <v>13</v>
      </c>
      <c r="C10">
        <v>-1475.24</v>
      </c>
      <c r="D10">
        <v>-2567.52</v>
      </c>
      <c r="E10">
        <v>-2968.66</v>
      </c>
      <c r="F10">
        <v>-4577.5200000000004</v>
      </c>
      <c r="G10">
        <v>-2829.74</v>
      </c>
      <c r="O10">
        <f t="shared" si="0"/>
        <v>-14418.68</v>
      </c>
    </row>
    <row r="11" spans="2:16" x14ac:dyDescent="0.25">
      <c r="B11" s="4" t="s">
        <v>14</v>
      </c>
      <c r="C11">
        <v>0</v>
      </c>
      <c r="D11">
        <v>0</v>
      </c>
      <c r="E11">
        <v>0</v>
      </c>
      <c r="F11">
        <v>0</v>
      </c>
      <c r="G11">
        <v>0</v>
      </c>
      <c r="O11">
        <f t="shared" si="0"/>
        <v>0</v>
      </c>
    </row>
    <row r="12" spans="2:16" x14ac:dyDescent="0.25">
      <c r="B12" s="4" t="s">
        <v>15</v>
      </c>
      <c r="C12" s="9">
        <f>SUM(C8:C11)</f>
        <v>-7465.09</v>
      </c>
      <c r="D12" s="9">
        <f t="shared" ref="D12:N12" si="1">SUM(D8:D11)</f>
        <v>-7451.0299999999988</v>
      </c>
      <c r="E12" s="9">
        <f t="shared" si="1"/>
        <v>-8439.59</v>
      </c>
      <c r="F12" s="9">
        <f t="shared" si="1"/>
        <v>-10185.810000000001</v>
      </c>
      <c r="G12" s="9">
        <f t="shared" si="1"/>
        <v>-8317.49</v>
      </c>
      <c r="H12" s="9">
        <f t="shared" si="1"/>
        <v>0</v>
      </c>
      <c r="I12" s="9">
        <f t="shared" si="1"/>
        <v>0</v>
      </c>
      <c r="J12" s="9">
        <f t="shared" si="1"/>
        <v>0</v>
      </c>
      <c r="K12" s="9">
        <f t="shared" si="1"/>
        <v>0</v>
      </c>
      <c r="L12" s="9">
        <f t="shared" si="1"/>
        <v>0</v>
      </c>
      <c r="M12" s="9">
        <f t="shared" si="1"/>
        <v>0</v>
      </c>
      <c r="N12" s="9">
        <f t="shared" si="1"/>
        <v>0</v>
      </c>
      <c r="O12" s="6">
        <f t="shared" si="0"/>
        <v>-41859.01</v>
      </c>
      <c r="P12" s="12">
        <f>O12/$O$7</f>
        <v>-0.31106227828114186</v>
      </c>
    </row>
    <row r="13" spans="2:16" x14ac:dyDescent="0.25">
      <c r="B13" s="4" t="s">
        <v>16</v>
      </c>
      <c r="C13" s="5">
        <v>19546.439999999999</v>
      </c>
      <c r="D13" s="5">
        <v>15995.27</v>
      </c>
      <c r="E13" s="5">
        <v>26214.92</v>
      </c>
      <c r="F13" s="5">
        <v>25964.81</v>
      </c>
      <c r="G13" s="5">
        <v>16115.78</v>
      </c>
      <c r="O13" s="5">
        <f t="shared" si="0"/>
        <v>103837.22</v>
      </c>
    </row>
    <row r="14" spans="2:16" x14ac:dyDescent="0.25">
      <c r="B14" s="4" t="s">
        <v>17</v>
      </c>
      <c r="C14" s="5">
        <v>-23255.91</v>
      </c>
      <c r="D14" s="5">
        <v>-19808.63</v>
      </c>
      <c r="E14" s="5">
        <v>-21778.6</v>
      </c>
      <c r="F14" s="5">
        <v>-22312.07</v>
      </c>
      <c r="G14" s="5">
        <v>-16669.78</v>
      </c>
      <c r="O14" s="5">
        <f t="shared" si="0"/>
        <v>-103824.98999999999</v>
      </c>
    </row>
    <row r="15" spans="2:16" x14ac:dyDescent="0.25">
      <c r="B15" s="4" t="s">
        <v>18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O15" s="5">
        <f t="shared" si="0"/>
        <v>0</v>
      </c>
    </row>
    <row r="16" spans="2:16" x14ac:dyDescent="0.25">
      <c r="B16" s="4" t="s">
        <v>19</v>
      </c>
      <c r="C16" s="5">
        <v>-7511.28</v>
      </c>
      <c r="D16" s="5">
        <v>-6385.15</v>
      </c>
      <c r="E16" s="5">
        <v>-6927.82</v>
      </c>
      <c r="F16" s="5">
        <v>-7678.69</v>
      </c>
      <c r="G16" s="5">
        <v>-6794.64</v>
      </c>
      <c r="O16" s="5">
        <f t="shared" si="0"/>
        <v>-35297.58</v>
      </c>
    </row>
    <row r="17" spans="2:16" x14ac:dyDescent="0.25">
      <c r="B17" s="4" t="s">
        <v>20</v>
      </c>
      <c r="C17" s="5">
        <v>0</v>
      </c>
      <c r="D17" s="5">
        <v>0</v>
      </c>
      <c r="E17" s="5">
        <v>0</v>
      </c>
      <c r="F17" s="5">
        <v>-105.91</v>
      </c>
      <c r="G17" s="5">
        <v>0</v>
      </c>
      <c r="O17" s="5">
        <f t="shared" si="0"/>
        <v>-105.91</v>
      </c>
    </row>
    <row r="18" spans="2:16" x14ac:dyDescent="0.25">
      <c r="B18" s="4" t="s">
        <v>21</v>
      </c>
      <c r="C18" s="9">
        <f>SUM(C14:C17)</f>
        <v>-30767.19</v>
      </c>
      <c r="D18" s="9">
        <f t="shared" ref="D18:N18" si="2">SUM(D14:D17)</f>
        <v>-26193.78</v>
      </c>
      <c r="E18" s="9">
        <f t="shared" si="2"/>
        <v>-28706.42</v>
      </c>
      <c r="F18" s="9">
        <f t="shared" si="2"/>
        <v>-30096.67</v>
      </c>
      <c r="G18" s="9">
        <f t="shared" si="2"/>
        <v>-23464.42</v>
      </c>
      <c r="H18" s="9">
        <f t="shared" si="2"/>
        <v>0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6">
        <f t="shared" si="0"/>
        <v>-139228.47999999998</v>
      </c>
      <c r="P18" s="12">
        <f>O18/$O$7</f>
        <v>-1.0346333606652518</v>
      </c>
    </row>
    <row r="19" spans="2:16" x14ac:dyDescent="0.25">
      <c r="B19" s="4" t="s">
        <v>22</v>
      </c>
      <c r="C19" s="5">
        <v>-2766.67</v>
      </c>
      <c r="D19" s="5">
        <v>-3270.48</v>
      </c>
      <c r="E19" s="11">
        <v>-2846.9</v>
      </c>
      <c r="F19" s="11">
        <v>-3190.24</v>
      </c>
      <c r="G19" s="5">
        <v>-3190.24</v>
      </c>
      <c r="O19" s="5">
        <f t="shared" si="0"/>
        <v>-15264.529999999999</v>
      </c>
    </row>
    <row r="20" spans="2:16" x14ac:dyDescent="0.25">
      <c r="B20" s="4" t="s">
        <v>23</v>
      </c>
      <c r="C20" s="5">
        <v>-1965.81</v>
      </c>
      <c r="D20" s="5">
        <v>-1799.42</v>
      </c>
      <c r="E20" s="11">
        <v>-4242.68</v>
      </c>
      <c r="F20" s="5">
        <v>-2963.8</v>
      </c>
      <c r="G20" s="5">
        <v>-1434.14</v>
      </c>
      <c r="O20" s="5">
        <f t="shared" si="0"/>
        <v>-12405.849999999999</v>
      </c>
    </row>
    <row r="21" spans="2:16" x14ac:dyDescent="0.25">
      <c r="B21" s="4" t="s">
        <v>24</v>
      </c>
      <c r="C21" s="5">
        <v>-100.05</v>
      </c>
      <c r="D21" s="5">
        <v>-334.46</v>
      </c>
      <c r="E21" s="11">
        <v>-93.22</v>
      </c>
      <c r="F21" s="5">
        <v>-399.96</v>
      </c>
      <c r="G21" s="5">
        <v>-3313.31</v>
      </c>
      <c r="O21" s="5">
        <f t="shared" si="0"/>
        <v>-4241</v>
      </c>
    </row>
    <row r="22" spans="2:16" x14ac:dyDescent="0.25">
      <c r="B22" s="4" t="s">
        <v>25</v>
      </c>
      <c r="C22" s="5">
        <v>0</v>
      </c>
      <c r="D22" s="5">
        <v>0</v>
      </c>
      <c r="E22" s="11">
        <v>0</v>
      </c>
      <c r="F22" s="5">
        <v>0</v>
      </c>
      <c r="G22" s="5">
        <v>0</v>
      </c>
      <c r="O22" s="5">
        <f t="shared" si="0"/>
        <v>0</v>
      </c>
    </row>
    <row r="23" spans="2:16" x14ac:dyDescent="0.25">
      <c r="B23" s="4" t="s">
        <v>26</v>
      </c>
      <c r="C23" s="5">
        <v>0</v>
      </c>
      <c r="D23" s="5">
        <v>-14.17</v>
      </c>
      <c r="E23" s="11">
        <v>-14.17</v>
      </c>
      <c r="F23" s="5">
        <v>-14.17</v>
      </c>
      <c r="G23" s="5">
        <v>-14.17</v>
      </c>
      <c r="O23" s="5">
        <f t="shared" si="0"/>
        <v>-56.68</v>
      </c>
    </row>
    <row r="24" spans="2:16" x14ac:dyDescent="0.25">
      <c r="B24" s="4" t="s">
        <v>27</v>
      </c>
      <c r="C24" s="5">
        <v>-77.63</v>
      </c>
      <c r="D24" s="5">
        <v>-72.45</v>
      </c>
      <c r="E24" s="11">
        <v>-87.76</v>
      </c>
      <c r="F24" s="5">
        <v>-298.35000000000002</v>
      </c>
      <c r="G24" s="5">
        <v>-69.72</v>
      </c>
      <c r="O24" s="5">
        <f t="shared" si="0"/>
        <v>-605.91000000000008</v>
      </c>
    </row>
    <row r="25" spans="2:16" x14ac:dyDescent="0.25">
      <c r="B25" s="4" t="s">
        <v>28</v>
      </c>
      <c r="C25" s="5">
        <v>-548.87</v>
      </c>
      <c r="D25" s="5">
        <v>-155</v>
      </c>
      <c r="E25" s="11">
        <v>-926</v>
      </c>
      <c r="F25" s="5">
        <v>-742</v>
      </c>
      <c r="G25" s="5">
        <v>-438</v>
      </c>
      <c r="O25" s="5">
        <f t="shared" si="0"/>
        <v>-2809.87</v>
      </c>
    </row>
    <row r="26" spans="2:16" x14ac:dyDescent="0.25">
      <c r="B26" s="4" t="s">
        <v>29</v>
      </c>
      <c r="C26" s="5">
        <v>0</v>
      </c>
      <c r="D26" s="5">
        <v>-3646.23</v>
      </c>
      <c r="E26" s="11">
        <v>-2353.08</v>
      </c>
      <c r="F26" s="5">
        <v>-3900</v>
      </c>
      <c r="G26" s="5">
        <v>-4361.43</v>
      </c>
      <c r="O26" s="5">
        <f t="shared" si="0"/>
        <v>-14260.74</v>
      </c>
    </row>
    <row r="27" spans="2:16" x14ac:dyDescent="0.25">
      <c r="B27" s="4" t="s">
        <v>30</v>
      </c>
      <c r="C27" s="5">
        <v>-2141</v>
      </c>
      <c r="D27" s="5">
        <v>-542.87</v>
      </c>
      <c r="E27" s="11">
        <v>-837</v>
      </c>
      <c r="F27" s="11">
        <v>-614.72</v>
      </c>
      <c r="G27" s="5">
        <v>-558.91999999999996</v>
      </c>
      <c r="O27" s="5">
        <f t="shared" si="0"/>
        <v>-4694.51</v>
      </c>
    </row>
    <row r="28" spans="2:16" x14ac:dyDescent="0.25">
      <c r="B28" s="4" t="s">
        <v>31</v>
      </c>
      <c r="C28" s="5">
        <v>0</v>
      </c>
      <c r="D28" s="5">
        <v>-25.33</v>
      </c>
      <c r="E28" s="11">
        <v>-25.33</v>
      </c>
      <c r="F28" s="5">
        <v>-25.33</v>
      </c>
      <c r="G28" s="5">
        <v>-290.57</v>
      </c>
      <c r="O28" s="5">
        <f t="shared" si="0"/>
        <v>-366.56</v>
      </c>
    </row>
    <row r="29" spans="2:16" x14ac:dyDescent="0.25">
      <c r="B29" s="4" t="s">
        <v>32</v>
      </c>
      <c r="C29">
        <v>0</v>
      </c>
      <c r="D29">
        <v>0</v>
      </c>
      <c r="E29" s="14">
        <v>0</v>
      </c>
      <c r="F29">
        <v>0</v>
      </c>
      <c r="G29">
        <v>0</v>
      </c>
      <c r="O29">
        <f t="shared" si="0"/>
        <v>0</v>
      </c>
    </row>
    <row r="30" spans="2:16" x14ac:dyDescent="0.25">
      <c r="B30" s="4" t="s">
        <v>33</v>
      </c>
      <c r="C30">
        <v>0</v>
      </c>
      <c r="D30">
        <v>0</v>
      </c>
      <c r="E30" s="14">
        <v>0</v>
      </c>
      <c r="F30">
        <v>0</v>
      </c>
      <c r="G30">
        <v>0</v>
      </c>
      <c r="O30">
        <f t="shared" si="0"/>
        <v>0</v>
      </c>
    </row>
    <row r="31" spans="2:16" x14ac:dyDescent="0.25">
      <c r="B31" s="4" t="s">
        <v>34</v>
      </c>
      <c r="C31" s="9">
        <f>SUM(C19:C30)</f>
        <v>-7600.03</v>
      </c>
      <c r="D31" s="9">
        <f t="shared" ref="D31:N31" si="3">SUM(D19:D30)</f>
        <v>-9860.41</v>
      </c>
      <c r="E31" s="9">
        <f t="shared" si="3"/>
        <v>-11426.14</v>
      </c>
      <c r="F31" s="9">
        <f t="shared" si="3"/>
        <v>-12148.57</v>
      </c>
      <c r="G31" s="9">
        <f t="shared" si="3"/>
        <v>-13670.500000000002</v>
      </c>
      <c r="H31" s="9">
        <f t="shared" si="3"/>
        <v>0</v>
      </c>
      <c r="I31" s="9">
        <f t="shared" si="3"/>
        <v>0</v>
      </c>
      <c r="J31" s="9">
        <f t="shared" si="3"/>
        <v>0</v>
      </c>
      <c r="K31" s="9">
        <f t="shared" si="3"/>
        <v>0</v>
      </c>
      <c r="L31" s="9">
        <f t="shared" si="3"/>
        <v>0</v>
      </c>
      <c r="M31" s="9">
        <f t="shared" si="3"/>
        <v>0</v>
      </c>
      <c r="N31" s="9">
        <f t="shared" si="3"/>
        <v>0</v>
      </c>
      <c r="O31" s="6">
        <f t="shared" si="0"/>
        <v>-54705.649999999994</v>
      </c>
      <c r="P31" s="12">
        <f>O31/$O$7</f>
        <v>-0.40652810766071024</v>
      </c>
    </row>
    <row r="32" spans="2:16" x14ac:dyDescent="0.25">
      <c r="B32" s="4" t="s">
        <v>35</v>
      </c>
      <c r="C32" s="5">
        <f>C31+C18</f>
        <v>-38367.22</v>
      </c>
      <c r="D32" s="5">
        <f t="shared" ref="D32:N32" si="4">D31+D18</f>
        <v>-36054.19</v>
      </c>
      <c r="E32" s="5">
        <f t="shared" si="4"/>
        <v>-40132.559999999998</v>
      </c>
      <c r="F32" s="5">
        <f t="shared" si="4"/>
        <v>-42245.24</v>
      </c>
      <c r="G32" s="5">
        <f t="shared" si="4"/>
        <v>-37134.92</v>
      </c>
      <c r="H32" s="5"/>
      <c r="I32" s="5"/>
      <c r="J32" s="5"/>
      <c r="K32" s="5"/>
      <c r="L32" s="5"/>
      <c r="M32" s="5"/>
      <c r="N32" s="5"/>
      <c r="O32" s="5">
        <f t="shared" si="0"/>
        <v>-193934.13</v>
      </c>
    </row>
    <row r="33" spans="2:16" x14ac:dyDescent="0.25">
      <c r="B33" s="4" t="s">
        <v>36</v>
      </c>
      <c r="C33" s="9">
        <f>C7+(C12+C18+C31)</f>
        <v>-20296.019999999997</v>
      </c>
      <c r="D33" s="9">
        <f t="shared" ref="D33:N33" si="5">D7+(D12+D18+D31)</f>
        <v>-18902.440000000002</v>
      </c>
      <c r="E33" s="9">
        <f t="shared" si="5"/>
        <v>-16886.299999999996</v>
      </c>
      <c r="F33" s="9">
        <f t="shared" si="5"/>
        <v>-20833.949999999997</v>
      </c>
      <c r="G33" s="9">
        <f t="shared" si="5"/>
        <v>-24306.489999999998</v>
      </c>
      <c r="H33" s="9">
        <f t="shared" si="5"/>
        <v>0</v>
      </c>
      <c r="I33" s="9">
        <f t="shared" si="5"/>
        <v>0</v>
      </c>
      <c r="J33" s="9">
        <f t="shared" si="5"/>
        <v>0</v>
      </c>
      <c r="K33" s="9">
        <f t="shared" si="5"/>
        <v>0</v>
      </c>
      <c r="L33" s="9">
        <f t="shared" si="5"/>
        <v>0</v>
      </c>
      <c r="M33" s="9">
        <f t="shared" si="5"/>
        <v>0</v>
      </c>
      <c r="N33" s="9">
        <f t="shared" si="5"/>
        <v>0</v>
      </c>
      <c r="O33" s="6">
        <f t="shared" si="0"/>
        <v>-101225.19999999998</v>
      </c>
      <c r="P33" s="12">
        <f>O33/$O$7</f>
        <v>-0.752223746607104</v>
      </c>
    </row>
    <row r="34" spans="2:16" x14ac:dyDescent="0.25">
      <c r="B34" s="4" t="s">
        <v>37</v>
      </c>
      <c r="C34" s="8">
        <f>C33</f>
        <v>-20296.019999999997</v>
      </c>
      <c r="D34" s="8">
        <f>C34+D33</f>
        <v>-39198.46</v>
      </c>
      <c r="E34" s="8">
        <f t="shared" ref="E34:G34" si="6">D34+E33</f>
        <v>-56084.759999999995</v>
      </c>
      <c r="F34" s="8">
        <f t="shared" si="6"/>
        <v>-76918.709999999992</v>
      </c>
      <c r="G34" s="8">
        <f t="shared" si="6"/>
        <v>-101225.19999999998</v>
      </c>
      <c r="O34" s="8"/>
    </row>
  </sheetData>
  <conditionalFormatting sqref="O33">
    <cfRule type="cellIs" dxfId="24" priority="3" operator="lessThan">
      <formula>0</formula>
    </cfRule>
    <cfRule type="cellIs" dxfId="25" priority="4" operator="greaterThan">
      <formula>0</formula>
    </cfRule>
  </conditionalFormatting>
  <conditionalFormatting sqref="C33:N33">
    <cfRule type="cellIs" dxfId="22" priority="1" operator="lessThan">
      <formula>0</formula>
    </cfRule>
    <cfRule type="cellIs" dxfId="23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7043-DA35-4B98-AF8C-187694196B9B}">
  <dimension ref="B1:P34"/>
  <sheetViews>
    <sheetView tabSelected="1" workbookViewId="0">
      <selection activeCell="M25" sqref="M25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  <col min="14" max="14" width="15.140625" customWidth="1"/>
    <col min="15" max="15" width="16" customWidth="1"/>
  </cols>
  <sheetData>
    <row r="1" spans="2:16" x14ac:dyDescent="0.25">
      <c r="B1" s="1" t="s">
        <v>54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2:16" x14ac:dyDescent="0.25">
      <c r="B3" s="4" t="s">
        <v>6</v>
      </c>
      <c r="C3" s="7">
        <f>Origens!C3+Nautic!C3+Masia!C3+'Camp Nou'!C3+Tarraco!C3+Mirador!C3+Juno!C3+Plural!C3+Soliver!C3</f>
        <v>388491.67999999993</v>
      </c>
      <c r="D3" s="7">
        <f>Origens!D3+Nautic!D3+Masia!D3+'Camp Nou'!D3+Tarraco!D3+Mirador!D3+Juno!D3+Plural!D3+Soliver!D3</f>
        <v>469539.88</v>
      </c>
      <c r="E3" s="7">
        <f>Origens!E3+Nautic!E3+Masia!E3+'Camp Nou'!E3+Tarraco!E3+Mirador!E3+Juno!E3+Plural!E3+Soliver!E3</f>
        <v>584544.21</v>
      </c>
      <c r="F3" s="7">
        <f>Origens!F3+Nautic!F3+Masia!F3+'Camp Nou'!F3+Tarraco!F3+Mirador!F3+Juno!F3+Plural!F3+Soliver!F3</f>
        <v>588382.56999999995</v>
      </c>
      <c r="G3" s="7">
        <f>Origens!G3+Nautic!G3+Masia!G3+'Camp Nou'!G3+Tarraco!G3+Mirador!G3+Juno!G3+Plural!G3+Soliver!G3</f>
        <v>642279.9800000001</v>
      </c>
      <c r="H3" s="7">
        <f>Origens!H3+Nautic!H3+Masia!H3+'Camp Nou'!H3+Tarraco!H3+Mirador!H3+Juno!H3+Plural!H3+Soliver!H3</f>
        <v>0</v>
      </c>
      <c r="I3" s="7">
        <f>Origens!I3+Nautic!I3+Masia!I3+'Camp Nou'!I3+Tarraco!I3+Mirador!I3+Juno!I3+Plural!I3+Soliver!I3</f>
        <v>0</v>
      </c>
      <c r="J3" s="7">
        <f>Origens!J3+Nautic!J3+Masia!J3+'Camp Nou'!J3+Tarraco!J3+Mirador!J3+Juno!J3+Plural!J3+Soliver!J3</f>
        <v>0</v>
      </c>
      <c r="K3" s="7">
        <f>Origens!K3+Nautic!K3+Masia!K3+'Camp Nou'!K3+Tarraco!K3+Mirador!K3+Juno!K3+Plural!K3+Soliver!K3</f>
        <v>0</v>
      </c>
      <c r="L3" s="7">
        <f>Origens!L3+Nautic!L3+Masia!L3+'Camp Nou'!L3+Tarraco!L3+Mirador!L3+Juno!L3+Plural!L3+Soliver!L3</f>
        <v>0</v>
      </c>
      <c r="M3" s="7">
        <f>Origens!M3+Nautic!M3+Masia!M3+'Camp Nou'!M3+Tarraco!M3+Mirador!M3+Juno!M3+Plural!M3+Soliver!M3</f>
        <v>0</v>
      </c>
      <c r="N3" s="7">
        <f>Origens!N3+Nautic!N3+Masia!N3+'Camp Nou'!N3+Tarraco!N3+Mirador!N3+Juno!N3+Plural!N3+Soliver!N3</f>
        <v>0</v>
      </c>
      <c r="O3" s="7">
        <f t="shared" ref="O3:O33" si="0">SUM(C3:N3)</f>
        <v>2673238.3199999998</v>
      </c>
    </row>
    <row r="4" spans="2:16" x14ac:dyDescent="0.25">
      <c r="B4" s="4" t="s">
        <v>7</v>
      </c>
      <c r="C4" s="7">
        <f>Origens!C4+Nautic!C4+Masia!C4+'Camp Nou'!C4+Tarraco!C4+Mirador!C4+Juno!C4+Plural!C4+Soliver!C4</f>
        <v>0</v>
      </c>
      <c r="D4" s="7">
        <f>Origens!D4+Nautic!D4+Masia!D4+'Camp Nou'!D4+Tarraco!D4+Mirador!D4+Juno!D4+Plural!D4+Soliver!D4</f>
        <v>0</v>
      </c>
      <c r="E4" s="7">
        <f>Origens!E4+Nautic!E4+Masia!E4+'Camp Nou'!E4+Tarraco!E4+Mirador!E4+Juno!E4+Plural!E4+Soliver!E4</f>
        <v>0</v>
      </c>
      <c r="F4" s="7">
        <f>Origens!F4+Nautic!F4+Masia!F4+'Camp Nou'!F4+Tarraco!F4+Mirador!F4+Juno!F4+Plural!F4+Soliver!F4</f>
        <v>0</v>
      </c>
      <c r="G4" s="7">
        <f>Origens!G4+Nautic!G4+Masia!G4+'Camp Nou'!G4+Tarraco!G4+Mirador!G4+Juno!G4+Plural!G4+Soliver!G4</f>
        <v>0</v>
      </c>
      <c r="H4" s="7">
        <f>Origens!H4+Nautic!H4+Masia!H4+'Camp Nou'!H4+Tarraco!H4+Mirador!H4+Juno!H4+Plural!H4+Soliver!H4</f>
        <v>0</v>
      </c>
      <c r="I4" s="7">
        <f>Origens!I4+Nautic!I4+Masia!I4+'Camp Nou'!I4+Tarraco!I4+Mirador!I4+Juno!I4+Plural!I4+Soliver!I4</f>
        <v>0</v>
      </c>
      <c r="J4" s="7">
        <f>Origens!J4+Nautic!J4+Masia!J4+'Camp Nou'!J4+Tarraco!J4+Mirador!J4+Juno!J4+Plural!J4+Soliver!J4</f>
        <v>0</v>
      </c>
      <c r="K4" s="7">
        <f>Origens!K4+Nautic!K4+Masia!K4+'Camp Nou'!K4+Tarraco!K4+Mirador!K4+Juno!K4+Plural!K4+Soliver!K4</f>
        <v>0</v>
      </c>
      <c r="L4" s="7">
        <f>Origens!L4+Nautic!L4+Masia!L4+'Camp Nou'!L4+Tarraco!L4+Mirador!L4+Juno!L4+Plural!L4+Soliver!L4</f>
        <v>0</v>
      </c>
      <c r="M4" s="7">
        <f>Origens!M4+Nautic!M4+Masia!M4+'Camp Nou'!M4+Tarraco!M4+Mirador!M4+Juno!M4+Plural!M4+Soliver!M4</f>
        <v>0</v>
      </c>
      <c r="N4" s="7">
        <f>Origens!N4+Nautic!N4+Masia!N4+'Camp Nou'!N4+Tarraco!N4+Mirador!N4+Juno!N4+Plural!N4+Soliver!N4</f>
        <v>0</v>
      </c>
      <c r="O4" s="7">
        <f t="shared" si="0"/>
        <v>0</v>
      </c>
    </row>
    <row r="5" spans="2:16" x14ac:dyDescent="0.25">
      <c r="B5" s="4" t="s">
        <v>8</v>
      </c>
      <c r="C5" s="7">
        <f>Origens!C5+Nautic!C5+Masia!C5+'Camp Nou'!C5+Tarraco!C5+Mirador!C5+Juno!C5+Plural!C5+Soliver!C5</f>
        <v>4617.95</v>
      </c>
      <c r="D5" s="7">
        <f>Origens!D5+Nautic!D5+Masia!D5+'Camp Nou'!D5+Tarraco!D5+Mirador!D5+Juno!D5+Plural!D5+Soliver!D5</f>
        <v>4617.95</v>
      </c>
      <c r="E5" s="7">
        <f>Origens!E5+Nautic!E5+Masia!E5+'Camp Nou'!E5+Tarraco!E5+Mirador!E5+Juno!E5+Plural!E5+Soliver!E5</f>
        <v>4617.95</v>
      </c>
      <c r="F5" s="7">
        <f>Origens!F5+Nautic!F5+Masia!F5+'Camp Nou'!F5+Tarraco!F5+Mirador!F5+Juno!F5+Plural!F5+Soliver!F5</f>
        <v>4617.95</v>
      </c>
      <c r="G5" s="7">
        <f>Origens!G5+Nautic!G5+Masia!G5+'Camp Nou'!G5+Tarraco!G5+Mirador!G5+Juno!G5+Plural!G5+Soliver!G5</f>
        <v>4617.95</v>
      </c>
      <c r="H5" s="7">
        <f>Origens!H5+Nautic!H5+Masia!H5+'Camp Nou'!H5+Tarraco!H5+Mirador!H5+Juno!H5+Plural!H5+Soliver!H5</f>
        <v>0</v>
      </c>
      <c r="I5" s="7">
        <f>Origens!I5+Nautic!I5+Masia!I5+'Camp Nou'!I5+Tarraco!I5+Mirador!I5+Juno!I5+Plural!I5+Soliver!I5</f>
        <v>0</v>
      </c>
      <c r="J5" s="7">
        <f>Origens!J5+Nautic!J5+Masia!J5+'Camp Nou'!J5+Tarraco!J5+Mirador!J5+Juno!J5+Plural!J5+Soliver!J5</f>
        <v>0</v>
      </c>
      <c r="K5" s="7">
        <f>Origens!K5+Nautic!K5+Masia!K5+'Camp Nou'!K5+Tarraco!K5+Mirador!K5+Juno!K5+Plural!K5+Soliver!K5</f>
        <v>0</v>
      </c>
      <c r="L5" s="7">
        <f>Origens!L5+Nautic!L5+Masia!L5+'Camp Nou'!L5+Tarraco!L5+Mirador!L5+Juno!L5+Plural!L5+Soliver!L5</f>
        <v>0</v>
      </c>
      <c r="M5" s="7">
        <f>Origens!M5+Nautic!M5+Masia!M5+'Camp Nou'!M5+Tarraco!M5+Mirador!M5+Juno!M5+Plural!M5+Soliver!M5</f>
        <v>0</v>
      </c>
      <c r="N5" s="7">
        <f>Origens!N5+Nautic!N5+Masia!N5+'Camp Nou'!N5+Tarraco!N5+Mirador!N5+Juno!N5+Plural!N5+Soliver!N5</f>
        <v>0</v>
      </c>
      <c r="O5" s="7">
        <f t="shared" si="0"/>
        <v>23089.75</v>
      </c>
    </row>
    <row r="6" spans="2:16" x14ac:dyDescent="0.25">
      <c r="B6" s="4" t="s">
        <v>9</v>
      </c>
      <c r="C6" s="7">
        <f>Origens!C6+Nautic!C6+Masia!C6+'Camp Nou'!C6+Tarraco!C6+Mirador!C6+Juno!C6+Plural!C6+Soliver!C6</f>
        <v>0</v>
      </c>
      <c r="D6" s="7">
        <f>Origens!D6+Nautic!D6+Masia!D6+'Camp Nou'!D6+Tarraco!D6+Mirador!D6+Juno!D6+Plural!D6+Soliver!D6</f>
        <v>0</v>
      </c>
      <c r="E6" s="7">
        <f>Origens!E6+Nautic!E6+Masia!E6+'Camp Nou'!E6+Tarraco!E6+Mirador!E6+Juno!E6+Plural!E6+Soliver!E6</f>
        <v>0</v>
      </c>
      <c r="F6" s="7">
        <f>Origens!F6+Nautic!F6+Masia!F6+'Camp Nou'!F6+Tarraco!F6+Mirador!F6+Juno!F6+Plural!F6+Soliver!F6</f>
        <v>0</v>
      </c>
      <c r="G6" s="7">
        <f>Origens!G6+Nautic!G6+Masia!G6+'Camp Nou'!G6+Tarraco!G6+Mirador!G6+Juno!G6+Plural!G6+Soliver!G6</f>
        <v>0</v>
      </c>
      <c r="H6" s="7">
        <f>Origens!H6+Nautic!H6+Masia!H6+'Camp Nou'!H6+Tarraco!H6+Mirador!H6+Juno!H6+Plural!H6+Soliver!H6</f>
        <v>0</v>
      </c>
      <c r="I6" s="7">
        <f>Origens!I6+Nautic!I6+Masia!I6+'Camp Nou'!I6+Tarraco!I6+Mirador!I6+Juno!I6+Plural!I6+Soliver!I6</f>
        <v>0</v>
      </c>
      <c r="J6" s="7">
        <f>Origens!J6+Nautic!J6+Masia!J6+'Camp Nou'!J6+Tarraco!J6+Mirador!J6+Juno!J6+Plural!J6+Soliver!J6</f>
        <v>0</v>
      </c>
      <c r="K6" s="7">
        <f>Origens!K6+Nautic!K6+Masia!K6+'Camp Nou'!K6+Tarraco!K6+Mirador!K6+Juno!K6+Plural!K6+Soliver!K6</f>
        <v>0</v>
      </c>
      <c r="L6" s="7">
        <f>Origens!L6+Nautic!L6+Masia!L6+'Camp Nou'!L6+Tarraco!L6+Mirador!L6+Juno!L6+Plural!L6+Soliver!L6</f>
        <v>0</v>
      </c>
      <c r="M6" s="7">
        <f>Origens!M6+Nautic!M6+Masia!M6+'Camp Nou'!M6+Tarraco!M6+Mirador!M6+Juno!M6+Plural!M6+Soliver!M6</f>
        <v>0</v>
      </c>
      <c r="N6" s="7">
        <f>Origens!N6+Nautic!N6+Masia!N6+'Camp Nou'!N6+Tarraco!N6+Mirador!N6+Juno!N6+Plural!N6+Soliver!N6</f>
        <v>0</v>
      </c>
      <c r="O6" s="7">
        <f t="shared" si="0"/>
        <v>0</v>
      </c>
    </row>
    <row r="7" spans="2:16" x14ac:dyDescent="0.25">
      <c r="B7" s="4" t="s">
        <v>10</v>
      </c>
      <c r="C7" s="9">
        <f>Origens!C7+Nautic!C7+Masia!C7+'Camp Nou'!C7+Tarraco!C7+Mirador!C7+Juno!C7+Plural!C7+Soliver!C7</f>
        <v>393109.63</v>
      </c>
      <c r="D7" s="9">
        <f>Origens!D7+Nautic!D7+Masia!D7+'Camp Nou'!D7+Tarraco!D7+Mirador!D7+Juno!D7+Plural!D7+Soliver!D7</f>
        <v>474157.83000000007</v>
      </c>
      <c r="E7" s="9">
        <f>Origens!E7+Nautic!E7+Masia!E7+'Camp Nou'!E7+Tarraco!E7+Mirador!E7+Juno!E7+Plural!E7+Soliver!E7</f>
        <v>589162.15999999992</v>
      </c>
      <c r="F7" s="9">
        <f>Origens!F7+Nautic!F7+Masia!F7+'Camp Nou'!F7+Tarraco!F7+Mirador!F7+Juno!F7+Plural!F7+Soliver!F7</f>
        <v>593000.52</v>
      </c>
      <c r="G7" s="9">
        <f>Origens!G7+Nautic!G7+Masia!G7+'Camp Nou'!G7+Tarraco!G7+Mirador!G7+Juno!G7+Plural!G7+Soliver!G7</f>
        <v>646897.93000000005</v>
      </c>
      <c r="H7" s="9">
        <f>Origens!H7+Nautic!H7+Masia!H7+'Camp Nou'!H7+Tarraco!H7+Mirador!H7+Juno!H7+Plural!H7+Soliver!H7</f>
        <v>0</v>
      </c>
      <c r="I7" s="9">
        <f>Origens!I7+Nautic!I7+Masia!I7+'Camp Nou'!I7+Tarraco!I7+Mirador!I7+Juno!I7+Plural!I7+Soliver!I7</f>
        <v>0</v>
      </c>
      <c r="J7" s="9">
        <f>Origens!J7+Nautic!J7+Masia!J7+'Camp Nou'!J7+Tarraco!J7+Mirador!J7+Juno!J7+Plural!J7+Soliver!J7</f>
        <v>0</v>
      </c>
      <c r="K7" s="9">
        <f>Origens!K7+Nautic!K7+Masia!K7+'Camp Nou'!K7+Tarraco!K7+Mirador!K7+Juno!K7+Plural!K7+Soliver!K7</f>
        <v>0</v>
      </c>
      <c r="L7" s="9">
        <f>Origens!L7+Nautic!L7+Masia!L7+'Camp Nou'!L7+Tarraco!L7+Mirador!L7+Juno!L7+Plural!L7+Soliver!L7</f>
        <v>0</v>
      </c>
      <c r="M7" s="9">
        <f>Origens!M7+Nautic!M7+Masia!M7+'Camp Nou'!M7+Tarraco!M7+Mirador!M7+Juno!M7+Plural!M7+Soliver!M7</f>
        <v>0</v>
      </c>
      <c r="N7" s="9">
        <f>Origens!N7+Nautic!N7+Masia!N7+'Camp Nou'!N7+Tarraco!N7+Mirador!N7+Juno!N7+Plural!N7+Soliver!N7</f>
        <v>0</v>
      </c>
      <c r="O7" s="9">
        <f t="shared" si="0"/>
        <v>2696328.0700000003</v>
      </c>
    </row>
    <row r="8" spans="2:16" x14ac:dyDescent="0.25">
      <c r="B8" s="4" t="s">
        <v>11</v>
      </c>
      <c r="C8" s="7">
        <f>Origens!C8+Nautic!C8+Masia!C8+'Camp Nou'!C8+Tarraco!C8+Mirador!C8+Juno!C8+Plural!C8+Soliver!C8</f>
        <v>-76365.010000000009</v>
      </c>
      <c r="D8" s="7">
        <f>Origens!D8+Nautic!D8+Masia!D8+'Camp Nou'!D8+Tarraco!D8+Mirador!D8+Juno!D8+Plural!D8+Soliver!D8</f>
        <v>-102000.38</v>
      </c>
      <c r="E8" s="7">
        <f>Origens!E8+Nautic!E8+Masia!E8+'Camp Nou'!E8+Tarraco!E8+Mirador!E8+Juno!E8+Plural!E8+Soliver!E8</f>
        <v>-117868.81000000001</v>
      </c>
      <c r="F8" s="7">
        <f>Origens!F8+Nautic!F8+Masia!F8+'Camp Nou'!F8+Tarraco!F8+Mirador!F8+Juno!F8+Plural!F8+Soliver!F8</f>
        <v>-124716.13</v>
      </c>
      <c r="G8" s="7">
        <f>Origens!G8+Nautic!G8+Masia!G8+'Camp Nou'!G8+Tarraco!G8+Mirador!G8+Juno!G8+Plural!G8+Soliver!G8</f>
        <v>-130129.79</v>
      </c>
      <c r="H8" s="7">
        <f>Origens!H8+Nautic!H8+Masia!H8+'Camp Nou'!H8+Tarraco!H8+Mirador!H8+Juno!H8+Plural!H8+Soliver!H8</f>
        <v>0</v>
      </c>
      <c r="I8" s="7">
        <f>Origens!I8+Nautic!I8+Masia!I8+'Camp Nou'!I8+Tarraco!I8+Mirador!I8+Juno!I8+Plural!I8+Soliver!I8</f>
        <v>0</v>
      </c>
      <c r="J8" s="7">
        <f>Origens!J8+Nautic!J8+Masia!J8+'Camp Nou'!J8+Tarraco!J8+Mirador!J8+Juno!J8+Plural!J8+Soliver!J8</f>
        <v>0</v>
      </c>
      <c r="K8" s="7">
        <f>Origens!K8+Nautic!K8+Masia!K8+'Camp Nou'!K8+Tarraco!K8+Mirador!K8+Juno!K8+Plural!K8+Soliver!K8</f>
        <v>0</v>
      </c>
      <c r="L8" s="7">
        <f>Origens!L8+Nautic!L8+Masia!L8+'Camp Nou'!L8+Tarraco!L8+Mirador!L8+Juno!L8+Plural!L8+Soliver!L8</f>
        <v>0</v>
      </c>
      <c r="M8" s="7">
        <f>Origens!M8+Nautic!M8+Masia!M8+'Camp Nou'!M8+Tarraco!M8+Mirador!M8+Juno!M8+Plural!M8+Soliver!M8</f>
        <v>0</v>
      </c>
      <c r="N8" s="7">
        <f>Origens!N8+Nautic!N8+Masia!N8+'Camp Nou'!N8+Tarraco!N8+Mirador!N8+Juno!N8+Plural!N8+Soliver!N8</f>
        <v>0</v>
      </c>
      <c r="O8" s="7">
        <f t="shared" si="0"/>
        <v>-551080.12</v>
      </c>
    </row>
    <row r="9" spans="2:16" x14ac:dyDescent="0.25">
      <c r="B9" s="4" t="s">
        <v>12</v>
      </c>
      <c r="C9" s="7">
        <f>Origens!C9+Nautic!C9+Masia!C9+'Camp Nou'!C9+Tarraco!C9+Mirador!C9+Juno!C9+Plural!C9+Soliver!C9</f>
        <v>-8090.0000000000009</v>
      </c>
      <c r="D9" s="7">
        <f>Origens!D9+Nautic!D9+Masia!D9+'Camp Nou'!D9+Tarraco!D9+Mirador!D9+Juno!D9+Plural!D9+Soliver!D9</f>
        <v>-8362.86</v>
      </c>
      <c r="E9" s="7">
        <f>Origens!E9+Nautic!E9+Masia!E9+'Camp Nou'!E9+Tarraco!E9+Mirador!E9+Juno!E9+Plural!E9+Soliver!E9</f>
        <v>-8859.42</v>
      </c>
      <c r="F9" s="7">
        <f>Origens!F9+Nautic!F9+Masia!F9+'Camp Nou'!F9+Tarraco!F9+Mirador!F9+Juno!F9+Plural!F9+Soliver!F9</f>
        <v>-5519.19</v>
      </c>
      <c r="G9" s="7">
        <f>Origens!G9+Nautic!G9+Masia!G9+'Camp Nou'!G9+Tarraco!G9+Mirador!G9+Juno!G9+Plural!G9+Soliver!G9</f>
        <v>-8068.6600000000008</v>
      </c>
      <c r="H9" s="7">
        <f>Origens!H9+Nautic!H9+Masia!H9+'Camp Nou'!H9+Tarraco!H9+Mirador!H9+Juno!H9+Plural!H9+Soliver!H9</f>
        <v>0</v>
      </c>
      <c r="I9" s="7">
        <f>Origens!I9+Nautic!I9+Masia!I9+'Camp Nou'!I9+Tarraco!I9+Mirador!I9+Juno!I9+Plural!I9+Soliver!I9</f>
        <v>0</v>
      </c>
      <c r="J9" s="7">
        <f>Origens!J9+Nautic!J9+Masia!J9+'Camp Nou'!J9+Tarraco!J9+Mirador!J9+Juno!J9+Plural!J9+Soliver!J9</f>
        <v>0</v>
      </c>
      <c r="K9" s="7">
        <f>Origens!K9+Nautic!K9+Masia!K9+'Camp Nou'!K9+Tarraco!K9+Mirador!K9+Juno!K9+Plural!K9+Soliver!K9</f>
        <v>0</v>
      </c>
      <c r="L9" s="7">
        <f>Origens!L9+Nautic!L9+Masia!L9+'Camp Nou'!L9+Tarraco!L9+Mirador!L9+Juno!L9+Plural!L9+Soliver!L9</f>
        <v>0</v>
      </c>
      <c r="M9" s="7">
        <f>Origens!M9+Nautic!M9+Masia!M9+'Camp Nou'!M9+Tarraco!M9+Mirador!M9+Juno!M9+Plural!M9+Soliver!M9</f>
        <v>0</v>
      </c>
      <c r="N9" s="7">
        <f>Origens!N9+Nautic!N9+Masia!N9+'Camp Nou'!N9+Tarraco!N9+Mirador!N9+Juno!N9+Plural!N9+Soliver!N9</f>
        <v>0</v>
      </c>
      <c r="O9" s="7">
        <f t="shared" si="0"/>
        <v>-38900.129999999997</v>
      </c>
    </row>
    <row r="10" spans="2:16" x14ac:dyDescent="0.25">
      <c r="B10" s="4" t="s">
        <v>13</v>
      </c>
      <c r="C10" s="7">
        <f>Origens!C10+Nautic!C10+Masia!C10+'Camp Nou'!C10+Tarraco!C10+Mirador!C10+Juno!C10+Plural!C10+Soliver!C10</f>
        <v>-34062.11</v>
      </c>
      <c r="D10" s="7">
        <f>Origens!D10+Nautic!D10+Masia!D10+'Camp Nou'!D10+Tarraco!D10+Mirador!D10+Juno!D10+Plural!D10+Soliver!D10</f>
        <v>-37571.379999999997</v>
      </c>
      <c r="E10" s="7">
        <f>Origens!E10+Nautic!E10+Masia!E10+'Camp Nou'!E10+Tarraco!E10+Mirador!E10+Juno!E10+Plural!E10+Soliver!E10</f>
        <v>-53459.600000000006</v>
      </c>
      <c r="F10" s="7">
        <f>Origens!F10+Nautic!F10+Masia!F10+'Camp Nou'!F10+Tarraco!F10+Mirador!F10+Juno!F10+Plural!F10+Soliver!F10</f>
        <v>-68084.45</v>
      </c>
      <c r="G10" s="7">
        <f>Origens!G10+Nautic!G10+Masia!G10+'Camp Nou'!G10+Tarraco!G10+Mirador!G10+Juno!G10+Plural!G10+Soliver!G10</f>
        <v>-69917.98000000001</v>
      </c>
      <c r="H10" s="7">
        <f>Origens!H10+Nautic!H10+Masia!H10+'Camp Nou'!H10+Tarraco!H10+Mirador!H10+Juno!H10+Plural!H10+Soliver!H10</f>
        <v>0</v>
      </c>
      <c r="I10" s="7">
        <f>Origens!I10+Nautic!I10+Masia!I10+'Camp Nou'!I10+Tarraco!I10+Mirador!I10+Juno!I10+Plural!I10+Soliver!I10</f>
        <v>0</v>
      </c>
      <c r="J10" s="7">
        <f>Origens!J10+Nautic!J10+Masia!J10+'Camp Nou'!J10+Tarraco!J10+Mirador!J10+Juno!J10+Plural!J10+Soliver!J10</f>
        <v>0</v>
      </c>
      <c r="K10" s="7">
        <f>Origens!K10+Nautic!K10+Masia!K10+'Camp Nou'!K10+Tarraco!K10+Mirador!K10+Juno!K10+Plural!K10+Soliver!K10</f>
        <v>0</v>
      </c>
      <c r="L10" s="7">
        <f>Origens!L10+Nautic!L10+Masia!L10+'Camp Nou'!L10+Tarraco!L10+Mirador!L10+Juno!L10+Plural!L10+Soliver!L10</f>
        <v>0</v>
      </c>
      <c r="M10" s="7">
        <f>Origens!M10+Nautic!M10+Masia!M10+'Camp Nou'!M10+Tarraco!M10+Mirador!M10+Juno!M10+Plural!M10+Soliver!M10</f>
        <v>0</v>
      </c>
      <c r="N10" s="7">
        <f>Origens!N10+Nautic!N10+Masia!N10+'Camp Nou'!N10+Tarraco!N10+Mirador!N10+Juno!N10+Plural!N10+Soliver!N10</f>
        <v>0</v>
      </c>
      <c r="O10" s="7">
        <f t="shared" si="0"/>
        <v>-263095.52</v>
      </c>
    </row>
    <row r="11" spans="2:16" x14ac:dyDescent="0.25">
      <c r="B11" s="4" t="s">
        <v>14</v>
      </c>
      <c r="C11" s="7">
        <f>Origens!C11+Nautic!C11+Masia!C11+'Camp Nou'!C11+Tarraco!C11+Mirador!C11+Juno!C11+Plural!C11+Soliver!C11</f>
        <v>0</v>
      </c>
      <c r="D11" s="7">
        <f>Origens!D11+Nautic!D11+Masia!D11+'Camp Nou'!D11+Tarraco!D11+Mirador!D11+Juno!D11+Plural!D11+Soliver!D11</f>
        <v>0</v>
      </c>
      <c r="E11" s="7">
        <f>Origens!E11+Nautic!E11+Masia!E11+'Camp Nou'!E11+Tarraco!E11+Mirador!E11+Juno!E11+Plural!E11+Soliver!E11</f>
        <v>0</v>
      </c>
      <c r="F11" s="7">
        <f>Origens!F11+Nautic!F11+Masia!F11+'Camp Nou'!F11+Tarraco!F11+Mirador!F11+Juno!F11+Plural!F11+Soliver!F11</f>
        <v>0</v>
      </c>
      <c r="G11" s="7">
        <f>Origens!G11+Nautic!G11+Masia!G11+'Camp Nou'!G11+Tarraco!G11+Mirador!G11+Juno!G11+Plural!G11+Soliver!G11</f>
        <v>0</v>
      </c>
      <c r="H11" s="7">
        <f>Origens!H11+Nautic!H11+Masia!H11+'Camp Nou'!H11+Tarraco!H11+Mirador!H11+Juno!H11+Plural!H11+Soliver!H11</f>
        <v>0</v>
      </c>
      <c r="I11" s="7">
        <f>Origens!I11+Nautic!I11+Masia!I11+'Camp Nou'!I11+Tarraco!I11+Mirador!I11+Juno!I11+Plural!I11+Soliver!I11</f>
        <v>0</v>
      </c>
      <c r="J11" s="7">
        <f>Origens!J11+Nautic!J11+Masia!J11+'Camp Nou'!J11+Tarraco!J11+Mirador!J11+Juno!J11+Plural!J11+Soliver!J11</f>
        <v>0</v>
      </c>
      <c r="K11" s="7">
        <f>Origens!K11+Nautic!K11+Masia!K11+'Camp Nou'!K11+Tarraco!K11+Mirador!K11+Juno!K11+Plural!K11+Soliver!K11</f>
        <v>0</v>
      </c>
      <c r="L11" s="7">
        <f>Origens!L11+Nautic!L11+Masia!L11+'Camp Nou'!L11+Tarraco!L11+Mirador!L11+Juno!L11+Plural!L11+Soliver!L11</f>
        <v>0</v>
      </c>
      <c r="M11" s="7">
        <f>Origens!M11+Nautic!M11+Masia!M11+'Camp Nou'!M11+Tarraco!M11+Mirador!M11+Juno!M11+Plural!M11+Soliver!M11</f>
        <v>0</v>
      </c>
      <c r="N11" s="7">
        <f>Origens!N11+Nautic!N11+Masia!N11+'Camp Nou'!N11+Tarraco!N11+Mirador!N11+Juno!N11+Plural!N11+Soliver!N11</f>
        <v>0</v>
      </c>
      <c r="O11" s="7">
        <f t="shared" si="0"/>
        <v>0</v>
      </c>
    </row>
    <row r="12" spans="2:16" x14ac:dyDescent="0.25">
      <c r="B12" s="4" t="s">
        <v>15</v>
      </c>
      <c r="C12" s="9">
        <f>Origens!C12+Nautic!C12+Masia!C12+'Camp Nou'!C12+Tarraco!C12+Mirador!C12+Juno!C12+Plural!C12+Soliver!C12</f>
        <v>-118517.12</v>
      </c>
      <c r="D12" s="9">
        <f>Origens!D12+Nautic!D12+Masia!D12+'Camp Nou'!D12+Tarraco!D12+Mirador!D12+Juno!D12+Plural!D12+Soliver!D12</f>
        <v>-147934.62000000002</v>
      </c>
      <c r="E12" s="9">
        <f>Origens!E12+Nautic!E12+Masia!E12+'Camp Nou'!E12+Tarraco!E12+Mirador!E12+Juno!E12+Plural!E12+Soliver!E12</f>
        <v>-180187.83</v>
      </c>
      <c r="F12" s="9">
        <f>Origens!F12+Nautic!F12+Masia!F12+'Camp Nou'!F12+Tarraco!F12+Mirador!F12+Juno!F12+Plural!F12+Soliver!F12</f>
        <v>-198319.77000000002</v>
      </c>
      <c r="G12" s="9">
        <f>Origens!G12+Nautic!G12+Masia!G12+'Camp Nou'!G12+Tarraco!G12+Mirador!G12+Juno!G12+Plural!G12+Soliver!G12</f>
        <v>-208116.43</v>
      </c>
      <c r="H12" s="9">
        <f>Origens!H12+Nautic!H12+Masia!H12+'Camp Nou'!H12+Tarraco!H12+Mirador!H12+Juno!H12+Plural!H12+Soliver!H12</f>
        <v>0</v>
      </c>
      <c r="I12" s="9">
        <f>Origens!I12+Nautic!I12+Masia!I12+'Camp Nou'!I12+Tarraco!I12+Mirador!I12+Juno!I12+Plural!I12+Soliver!I12</f>
        <v>0</v>
      </c>
      <c r="J12" s="9">
        <f>Origens!J12+Nautic!J12+Masia!J12+'Camp Nou'!J12+Tarraco!J12+Mirador!J12+Juno!J12+Plural!J12+Soliver!J12</f>
        <v>0</v>
      </c>
      <c r="K12" s="9">
        <f>Origens!K12+Nautic!K12+Masia!K12+'Camp Nou'!K12+Tarraco!K12+Mirador!K12+Juno!K12+Plural!K12+Soliver!K12</f>
        <v>0</v>
      </c>
      <c r="L12" s="9">
        <f>Origens!L12+Nautic!L12+Masia!L12+'Camp Nou'!L12+Tarraco!L12+Mirador!L12+Juno!L12+Plural!L12+Soliver!L12</f>
        <v>0</v>
      </c>
      <c r="M12" s="9">
        <f>Origens!M12+Nautic!M12+Masia!M12+'Camp Nou'!M12+Tarraco!M12+Mirador!M12+Juno!M12+Plural!M12+Soliver!M12</f>
        <v>0</v>
      </c>
      <c r="N12" s="9">
        <f>Origens!N12+Nautic!N12+Masia!N12+'Camp Nou'!N12+Tarraco!N12+Mirador!N12+Juno!N12+Plural!N12+Soliver!N12</f>
        <v>0</v>
      </c>
      <c r="O12" s="9">
        <f t="shared" si="0"/>
        <v>-853075.77</v>
      </c>
      <c r="P12" s="12">
        <f>O12/$O$7</f>
        <v>-0.31638426328440067</v>
      </c>
    </row>
    <row r="13" spans="2:16" x14ac:dyDescent="0.25">
      <c r="B13" s="4" t="s">
        <v>16</v>
      </c>
      <c r="C13" s="7">
        <f>Origens!C13+Nautic!C13+Masia!C13+'Camp Nou'!C13+Tarraco!C13+Mirador!C13+Juno!C13+Plural!C13+Soliver!C13</f>
        <v>307585.62000000005</v>
      </c>
      <c r="D13" s="7">
        <f>Origens!D13+Nautic!D13+Masia!D13+'Camp Nou'!D13+Tarraco!D13+Mirador!D13+Juno!D13+Plural!D13+Soliver!D13</f>
        <v>345605.59000000008</v>
      </c>
      <c r="E13" s="7">
        <f>Origens!E13+Nautic!E13+Masia!E13+'Camp Nou'!E13+Tarraco!E13+Mirador!E13+Juno!E13+Plural!E13+Soliver!E13</f>
        <v>461333.93</v>
      </c>
      <c r="F13" s="7">
        <f>Origens!F13+Nautic!F13+Masia!F13+'Camp Nou'!F13+Tarraco!F13+Mirador!F13+Juno!F13+Plural!F13+Soliver!F13</f>
        <v>445673.2</v>
      </c>
      <c r="G13" s="7">
        <f>Origens!G13+Nautic!G13+Masia!G13+'Camp Nou'!G13+Tarraco!G13+Mirador!G13+Juno!G13+Plural!G13+Soliver!G13</f>
        <v>521786.53</v>
      </c>
      <c r="H13" s="7">
        <f>Origens!H13+Nautic!H13+Masia!H13+'Camp Nou'!H13+Tarraco!H13+Mirador!H13+Juno!H13+Plural!H13+Soliver!H13</f>
        <v>0</v>
      </c>
      <c r="I13" s="7">
        <f>Origens!I13+Nautic!I13+Masia!I13+'Camp Nou'!I13+Tarraco!I13+Mirador!I13+Juno!I13+Plural!I13+Soliver!I13</f>
        <v>0</v>
      </c>
      <c r="J13" s="7">
        <f>Origens!J13+Nautic!J13+Masia!J13+'Camp Nou'!J13+Tarraco!J13+Mirador!J13+Juno!J13+Plural!J13+Soliver!J13</f>
        <v>0</v>
      </c>
      <c r="K13" s="7">
        <f>Origens!K13+Nautic!K13+Masia!K13+'Camp Nou'!K13+Tarraco!K13+Mirador!K13+Juno!K13+Plural!K13+Soliver!K13</f>
        <v>0</v>
      </c>
      <c r="L13" s="7">
        <f>Origens!L13+Nautic!L13+Masia!L13+'Camp Nou'!L13+Tarraco!L13+Mirador!L13+Juno!L13+Plural!L13+Soliver!L13</f>
        <v>0</v>
      </c>
      <c r="M13" s="7">
        <f>Origens!M13+Nautic!M13+Masia!M13+'Camp Nou'!M13+Tarraco!M13+Mirador!M13+Juno!M13+Plural!M13+Soliver!M13</f>
        <v>0</v>
      </c>
      <c r="N13" s="7">
        <f>Origens!N13+Nautic!N13+Masia!N13+'Camp Nou'!N13+Tarraco!N13+Mirador!N13+Juno!N13+Plural!N13+Soliver!N13</f>
        <v>0</v>
      </c>
      <c r="O13" s="7">
        <f t="shared" si="0"/>
        <v>2081984.87</v>
      </c>
    </row>
    <row r="14" spans="2:16" x14ac:dyDescent="0.25">
      <c r="B14" s="4" t="s">
        <v>17</v>
      </c>
      <c r="C14" s="7">
        <f>Origens!C14+Nautic!C14+Masia!C14+'Camp Nou'!C14+Tarraco!C14+Mirador!C14+Juno!C14+Plural!C14+Soliver!C14</f>
        <v>-199859.38</v>
      </c>
      <c r="D14" s="7">
        <f>Origens!D14+Nautic!D14+Masia!D14+'Camp Nou'!D14+Tarraco!D14+Mirador!D14+Juno!D14+Plural!D14+Soliver!D14</f>
        <v>-191385.69000000003</v>
      </c>
      <c r="E14" s="7">
        <f>Origens!E14+Nautic!E14+Masia!E14+'Camp Nou'!E14+Tarraco!E14+Mirador!E14+Juno!E14+Plural!E14+Soliver!E14</f>
        <v>-211791.93999999997</v>
      </c>
      <c r="F14" s="7">
        <f>Origens!F14+Nautic!F14+Masia!F14+'Camp Nou'!F14+Tarraco!F14+Mirador!F14+Juno!F14+Plural!F14+Soliver!F14</f>
        <v>-216663.74000000002</v>
      </c>
      <c r="G14" s="7">
        <f>Origens!G14+Nautic!G14+Masia!G14+'Camp Nou'!G14+Tarraco!G14+Mirador!G14+Juno!G14+Plural!G14+Soliver!G14</f>
        <v>-222114.76999999996</v>
      </c>
      <c r="H14" s="7">
        <f>Origens!H14+Nautic!H14+Masia!H14+'Camp Nou'!H14+Tarraco!H14+Mirador!H14+Juno!H14+Plural!H14+Soliver!H14</f>
        <v>0</v>
      </c>
      <c r="I14" s="7">
        <f>Origens!I14+Nautic!I14+Masia!I14+'Camp Nou'!I14+Tarraco!I14+Mirador!I14+Juno!I14+Plural!I14+Soliver!I14</f>
        <v>0</v>
      </c>
      <c r="J14" s="7">
        <f>Origens!J14+Nautic!J14+Masia!J14+'Camp Nou'!J14+Tarraco!J14+Mirador!J14+Juno!J14+Plural!J14+Soliver!J14</f>
        <v>0</v>
      </c>
      <c r="K14" s="7">
        <f>Origens!K14+Nautic!K14+Masia!K14+'Camp Nou'!K14+Tarraco!K14+Mirador!K14+Juno!K14+Plural!K14+Soliver!K14</f>
        <v>0</v>
      </c>
      <c r="L14" s="7">
        <f>Origens!L14+Nautic!L14+Masia!L14+'Camp Nou'!L14+Tarraco!L14+Mirador!L14+Juno!L14+Plural!L14+Soliver!L14</f>
        <v>0</v>
      </c>
      <c r="M14" s="7">
        <f>Origens!M14+Nautic!M14+Masia!M14+'Camp Nou'!M14+Tarraco!M14+Mirador!M14+Juno!M14+Plural!M14+Soliver!M14</f>
        <v>0</v>
      </c>
      <c r="N14" s="7">
        <f>Origens!N14+Nautic!N14+Masia!N14+'Camp Nou'!N14+Tarraco!N14+Mirador!N14+Juno!N14+Plural!N14+Soliver!N14</f>
        <v>0</v>
      </c>
      <c r="O14" s="7">
        <f t="shared" si="0"/>
        <v>-1041815.52</v>
      </c>
    </row>
    <row r="15" spans="2:16" x14ac:dyDescent="0.25">
      <c r="B15" s="4" t="s">
        <v>18</v>
      </c>
      <c r="C15" s="7">
        <f>Origens!C15+Nautic!C15+Masia!C15+'Camp Nou'!C15+Tarraco!C15+Mirador!C15+Juno!C15+Plural!C15+Soliver!C15</f>
        <v>-2000</v>
      </c>
      <c r="D15" s="7">
        <f>Origens!D15+Nautic!D15+Masia!D15+'Camp Nou'!D15+Tarraco!D15+Mirador!D15+Juno!D15+Plural!D15+Soliver!D15</f>
        <v>-21000</v>
      </c>
      <c r="E15" s="7">
        <f>Origens!E15+Nautic!E15+Masia!E15+'Camp Nou'!E15+Tarraco!E15+Mirador!E15+Juno!E15+Plural!E15+Soliver!E15</f>
        <v>0</v>
      </c>
      <c r="F15" s="7">
        <f>Origens!F15+Nautic!F15+Masia!F15+'Camp Nou'!F15+Tarraco!F15+Mirador!F15+Juno!F15+Plural!F15+Soliver!F15</f>
        <v>0</v>
      </c>
      <c r="G15" s="7">
        <f>Origens!G15+Nautic!G15+Masia!G15+'Camp Nou'!G15+Tarraco!G15+Mirador!G15+Juno!G15+Plural!G15+Soliver!G15</f>
        <v>-2200</v>
      </c>
      <c r="H15" s="7">
        <f>Origens!H15+Nautic!H15+Masia!H15+'Camp Nou'!H15+Tarraco!H15+Mirador!H15+Juno!H15+Plural!H15+Soliver!H15</f>
        <v>0</v>
      </c>
      <c r="I15" s="7">
        <f>Origens!I15+Nautic!I15+Masia!I15+'Camp Nou'!I15+Tarraco!I15+Mirador!I15+Juno!I15+Plural!I15+Soliver!I15</f>
        <v>0</v>
      </c>
      <c r="J15" s="7">
        <f>Origens!J15+Nautic!J15+Masia!J15+'Camp Nou'!J15+Tarraco!J15+Mirador!J15+Juno!J15+Plural!J15+Soliver!J15</f>
        <v>0</v>
      </c>
      <c r="K15" s="7">
        <f>Origens!K15+Nautic!K15+Masia!K15+'Camp Nou'!K15+Tarraco!K15+Mirador!K15+Juno!K15+Plural!K15+Soliver!K15</f>
        <v>0</v>
      </c>
      <c r="L15" s="7">
        <f>Origens!L15+Nautic!L15+Masia!L15+'Camp Nou'!L15+Tarraco!L15+Mirador!L15+Juno!L15+Plural!L15+Soliver!L15</f>
        <v>0</v>
      </c>
      <c r="M15" s="7">
        <f>Origens!M15+Nautic!M15+Masia!M15+'Camp Nou'!M15+Tarraco!M15+Mirador!M15+Juno!M15+Plural!M15+Soliver!M15</f>
        <v>0</v>
      </c>
      <c r="N15" s="7">
        <f>Origens!N15+Nautic!N15+Masia!N15+'Camp Nou'!N15+Tarraco!N15+Mirador!N15+Juno!N15+Plural!N15+Soliver!N15</f>
        <v>0</v>
      </c>
      <c r="O15" s="7">
        <f t="shared" si="0"/>
        <v>-25200</v>
      </c>
    </row>
    <row r="16" spans="2:16" x14ac:dyDescent="0.25">
      <c r="B16" s="4" t="s">
        <v>19</v>
      </c>
      <c r="C16" s="7">
        <f>Origens!C16+Nautic!C16+Masia!C16+'Camp Nou'!C16+Tarraco!C16+Mirador!C16+Juno!C16+Plural!C16+Soliver!C16</f>
        <v>-54824.139999999992</v>
      </c>
      <c r="D16" s="7">
        <f>Origens!D16+Nautic!D16+Masia!D16+'Camp Nou'!D16+Tarraco!D16+Mirador!D16+Juno!D16+Plural!D16+Soliver!D16</f>
        <v>-56407.35</v>
      </c>
      <c r="E16" s="7">
        <f>Origens!E16+Nautic!E16+Masia!E16+'Camp Nou'!E16+Tarraco!E16+Mirador!E16+Juno!E16+Plural!E16+Soliver!E16</f>
        <v>-60825.240000000005</v>
      </c>
      <c r="F16" s="7">
        <f>Origens!F16+Nautic!F16+Masia!F16+'Camp Nou'!F16+Tarraco!F16+Mirador!F16+Juno!F16+Plural!F16+Soliver!F16</f>
        <v>-67549.759999999995</v>
      </c>
      <c r="G16" s="7">
        <f>Origens!G16+Nautic!G16+Masia!G16+'Camp Nou'!G16+Tarraco!G16+Mirador!G16+Juno!G16+Plural!G16+Soliver!G16</f>
        <v>-68591.37</v>
      </c>
      <c r="H16" s="7">
        <f>Origens!H16+Nautic!H16+Masia!H16+'Camp Nou'!H16+Tarraco!H16+Mirador!H16+Juno!H16+Plural!H16+Soliver!H16</f>
        <v>0</v>
      </c>
      <c r="I16" s="7">
        <f>Origens!I16+Nautic!I16+Masia!I16+'Camp Nou'!I16+Tarraco!I16+Mirador!I16+Juno!I16+Plural!I16+Soliver!I16</f>
        <v>0</v>
      </c>
      <c r="J16" s="7">
        <f>Origens!J16+Nautic!J16+Masia!J16+'Camp Nou'!J16+Tarraco!J16+Mirador!J16+Juno!J16+Plural!J16+Soliver!J16</f>
        <v>0</v>
      </c>
      <c r="K16" s="7">
        <f>Origens!K16+Nautic!K16+Masia!K16+'Camp Nou'!K16+Tarraco!K16+Mirador!K16+Juno!K16+Plural!K16+Soliver!K16</f>
        <v>0</v>
      </c>
      <c r="L16" s="7">
        <f>Origens!L16+Nautic!L16+Masia!L16+'Camp Nou'!L16+Tarraco!L16+Mirador!L16+Juno!L16+Plural!L16+Soliver!L16</f>
        <v>0</v>
      </c>
      <c r="M16" s="7">
        <f>Origens!M16+Nautic!M16+Masia!M16+'Camp Nou'!M16+Tarraco!M16+Mirador!M16+Juno!M16+Plural!M16+Soliver!M16</f>
        <v>0</v>
      </c>
      <c r="N16" s="7">
        <f>Origens!N16+Nautic!N16+Masia!N16+'Camp Nou'!N16+Tarraco!N16+Mirador!N16+Juno!N16+Plural!N16+Soliver!N16</f>
        <v>0</v>
      </c>
      <c r="O16" s="7">
        <f t="shared" si="0"/>
        <v>-308197.86</v>
      </c>
    </row>
    <row r="17" spans="2:16" x14ac:dyDescent="0.25">
      <c r="B17" s="4" t="s">
        <v>20</v>
      </c>
      <c r="C17" s="7">
        <f>Origens!C17+Nautic!C17+Masia!C17+'Camp Nou'!C17+Tarraco!C17+Mirador!C17+Juno!C17+Plural!C17+Soliver!C17</f>
        <v>-2045.61</v>
      </c>
      <c r="D17" s="7">
        <f>Origens!D17+Nautic!D17+Masia!D17+'Camp Nou'!D17+Tarraco!D17+Mirador!D17+Juno!D17+Plural!D17+Soliver!D17</f>
        <v>-1089.8899999999999</v>
      </c>
      <c r="E17" s="7">
        <f>Origens!E17+Nautic!E17+Masia!E17+'Camp Nou'!E17+Tarraco!E17+Mirador!E17+Juno!E17+Plural!E17+Soliver!E17</f>
        <v>-1052.21</v>
      </c>
      <c r="F17" s="7">
        <f>Origens!F17+Nautic!F17+Masia!F17+'Camp Nou'!F17+Tarraco!F17+Mirador!F17+Juno!F17+Plural!F17+Soliver!F17</f>
        <v>-2003.21</v>
      </c>
      <c r="G17" s="7">
        <f>Origens!G17+Nautic!G17+Masia!G17+'Camp Nou'!G17+Tarraco!G17+Mirador!G17+Juno!G17+Plural!G17+Soliver!G17</f>
        <v>-1245.55</v>
      </c>
      <c r="H17" s="7">
        <f>Origens!H17+Nautic!H17+Masia!H17+'Camp Nou'!H17+Tarraco!H17+Mirador!H17+Juno!H17+Plural!H17+Soliver!H17</f>
        <v>0</v>
      </c>
      <c r="I17" s="7">
        <f>Origens!I17+Nautic!I17+Masia!I17+'Camp Nou'!I17+Tarraco!I17+Mirador!I17+Juno!I17+Plural!I17+Soliver!I17</f>
        <v>0</v>
      </c>
      <c r="J17" s="7">
        <f>Origens!J17+Nautic!J17+Masia!J17+'Camp Nou'!J17+Tarraco!J17+Mirador!J17+Juno!J17+Plural!J17+Soliver!J17</f>
        <v>0</v>
      </c>
      <c r="K17" s="7">
        <f>Origens!K17+Nautic!K17+Masia!K17+'Camp Nou'!K17+Tarraco!K17+Mirador!K17+Juno!K17+Plural!K17+Soliver!K17</f>
        <v>0</v>
      </c>
      <c r="L17" s="7">
        <f>Origens!L17+Nautic!L17+Masia!L17+'Camp Nou'!L17+Tarraco!L17+Mirador!L17+Juno!L17+Plural!L17+Soliver!L17</f>
        <v>0</v>
      </c>
      <c r="M17" s="7">
        <f>Origens!M17+Nautic!M17+Masia!M17+'Camp Nou'!M17+Tarraco!M17+Mirador!M17+Juno!M17+Plural!M17+Soliver!M17</f>
        <v>0</v>
      </c>
      <c r="N17" s="7">
        <f>Origens!N17+Nautic!N17+Masia!N17+'Camp Nou'!N17+Tarraco!N17+Mirador!N17+Juno!N17+Plural!N17+Soliver!N17</f>
        <v>0</v>
      </c>
      <c r="O17" s="7">
        <f t="shared" si="0"/>
        <v>-7436.47</v>
      </c>
    </row>
    <row r="18" spans="2:16" x14ac:dyDescent="0.25">
      <c r="B18" s="4" t="s">
        <v>21</v>
      </c>
      <c r="C18" s="9">
        <f>Origens!C18+Nautic!C18+Masia!C18+'Camp Nou'!C18+Tarraco!C18+Mirador!C18+Juno!C18+Plural!C18+Soliver!C18</f>
        <v>-258729.13000000003</v>
      </c>
      <c r="D18" s="9">
        <f>Origens!D18+Nautic!D18+Masia!D18+'Camp Nou'!D18+Tarraco!D18+Mirador!D18+Juno!D18+Plural!D18+Soliver!D18</f>
        <v>-269882.93</v>
      </c>
      <c r="E18" s="9">
        <f>Origens!E18+Nautic!E18+Masia!E18+'Camp Nou'!E18+Tarraco!E18+Mirador!E18+Juno!E18+Plural!E18+Soliver!E18</f>
        <v>-273669.38999999996</v>
      </c>
      <c r="F18" s="9">
        <f>Origens!F18+Nautic!F18+Masia!F18+'Camp Nou'!F18+Tarraco!F18+Mirador!F18+Juno!F18+Plural!F18+Soliver!F18</f>
        <v>-286216.70999999996</v>
      </c>
      <c r="G18" s="9">
        <f>Origens!G18+Nautic!G18+Masia!G18+'Camp Nou'!G18+Tarraco!G18+Mirador!G18+Juno!G18+Plural!G18+Soliver!G18</f>
        <v>-294151.69</v>
      </c>
      <c r="H18" s="9">
        <f>Origens!H18+Nautic!H18+Masia!H18+'Camp Nou'!H18+Tarraco!H18+Mirador!H18+Juno!H18+Plural!H18+Soliver!H18</f>
        <v>0</v>
      </c>
      <c r="I18" s="9">
        <f>Origens!I18+Nautic!I18+Masia!I18+'Camp Nou'!I18+Tarraco!I18+Mirador!I18+Juno!I18+Plural!I18+Soliver!I18</f>
        <v>0</v>
      </c>
      <c r="J18" s="9">
        <f>Origens!J18+Nautic!J18+Masia!J18+'Camp Nou'!J18+Tarraco!J18+Mirador!J18+Juno!J18+Plural!J18+Soliver!J18</f>
        <v>0</v>
      </c>
      <c r="K18" s="9">
        <f>Origens!K18+Nautic!K18+Masia!K18+'Camp Nou'!K18+Tarraco!K18+Mirador!K18+Juno!K18+Plural!K18+Soliver!K18</f>
        <v>0</v>
      </c>
      <c r="L18" s="9">
        <f>Origens!L18+Nautic!L18+Masia!L18+'Camp Nou'!L18+Tarraco!L18+Mirador!L18+Juno!L18+Plural!L18+Soliver!L18</f>
        <v>0</v>
      </c>
      <c r="M18" s="9">
        <f>Origens!M18+Nautic!M18+Masia!M18+'Camp Nou'!M18+Tarraco!M18+Mirador!M18+Juno!M18+Plural!M18+Soliver!M18</f>
        <v>0</v>
      </c>
      <c r="N18" s="9">
        <f>Origens!N18+Nautic!N18+Masia!N18+'Camp Nou'!N18+Tarraco!N18+Mirador!N18+Juno!N18+Plural!N18+Soliver!N18</f>
        <v>0</v>
      </c>
      <c r="O18" s="9">
        <f t="shared" si="0"/>
        <v>-1382649.8499999999</v>
      </c>
      <c r="P18" s="12">
        <f>O18/$O$7</f>
        <v>-0.51278991803100571</v>
      </c>
    </row>
    <row r="19" spans="2:16" x14ac:dyDescent="0.25">
      <c r="B19" s="4" t="s">
        <v>22</v>
      </c>
      <c r="C19" s="7">
        <f>Origens!C19+Nautic!C19+Masia!C19+'Camp Nou'!C19+Tarraco!C19+Mirador!C19+Juno!C19+Plural!C19+Soliver!C19</f>
        <v>-18745.150000000001</v>
      </c>
      <c r="D19" s="7">
        <f>Origens!D19+Nautic!D19+Masia!D19+'Camp Nou'!D19+Tarraco!D19+Mirador!D19+Juno!D19+Plural!D19+Soliver!D19</f>
        <v>-31160.250000000004</v>
      </c>
      <c r="E19" s="7">
        <f>Origens!E19+Nautic!E19+Masia!E19+'Camp Nou'!E19+Tarraco!E19+Mirador!E19+Juno!E19+Plural!E19+Soliver!E19</f>
        <v>-34830.200000000004</v>
      </c>
      <c r="F19" s="7">
        <f>Origens!F19+Nautic!F19+Masia!F19+'Camp Nou'!F19+Tarraco!F19+Mirador!F19+Juno!F19+Plural!F19+Soliver!F19</f>
        <v>-45678.549999999996</v>
      </c>
      <c r="G19" s="7">
        <f>Origens!G19+Nautic!G19+Masia!G19+'Camp Nou'!G19+Tarraco!G19+Mirador!G19+Juno!G19+Plural!G19+Soliver!G19</f>
        <v>-40399.14</v>
      </c>
      <c r="H19" s="7">
        <f>Origens!H19+Nautic!H19+Masia!H19+'Camp Nou'!H19+Tarraco!H19+Mirador!H19+Juno!H19+Plural!H19+Soliver!H19</f>
        <v>0</v>
      </c>
      <c r="I19" s="7">
        <f>Origens!I19+Nautic!I19+Masia!I19+'Camp Nou'!I19+Tarraco!I19+Mirador!I19+Juno!I19+Plural!I19+Soliver!I19</f>
        <v>0</v>
      </c>
      <c r="J19" s="7">
        <f>Origens!J19+Nautic!J19+Masia!J19+'Camp Nou'!J19+Tarraco!J19+Mirador!J19+Juno!J19+Plural!J19+Soliver!J19</f>
        <v>0</v>
      </c>
      <c r="K19" s="7">
        <f>Origens!K19+Nautic!K19+Masia!K19+'Camp Nou'!K19+Tarraco!K19+Mirador!K19+Juno!K19+Plural!K19+Soliver!K19</f>
        <v>0</v>
      </c>
      <c r="L19" s="7">
        <f>Origens!L19+Nautic!L19+Masia!L19+'Camp Nou'!L19+Tarraco!L19+Mirador!L19+Juno!L19+Plural!L19+Soliver!L19</f>
        <v>0</v>
      </c>
      <c r="M19" s="7">
        <f>Origens!M19+Nautic!M19+Masia!M19+'Camp Nou'!M19+Tarraco!M19+Mirador!M19+Juno!M19+Plural!M19+Soliver!M19</f>
        <v>0</v>
      </c>
      <c r="N19" s="7">
        <f>Origens!N19+Nautic!N19+Masia!N19+'Camp Nou'!N19+Tarraco!N19+Mirador!N19+Juno!N19+Plural!N19+Soliver!N19</f>
        <v>0</v>
      </c>
      <c r="O19" s="7">
        <f t="shared" si="0"/>
        <v>-170813.28999999998</v>
      </c>
    </row>
    <row r="20" spans="2:16" x14ac:dyDescent="0.25">
      <c r="B20" s="4" t="s">
        <v>23</v>
      </c>
      <c r="C20" s="7">
        <f>Origens!C20+Nautic!C20+Masia!C20+'Camp Nou'!C20+Tarraco!C20+Mirador!C20+Juno!C20+Plural!C20+Soliver!C20</f>
        <v>-15536.47</v>
      </c>
      <c r="D20" s="7">
        <f>Origens!D20+Nautic!D20+Masia!D20+'Camp Nou'!D20+Tarraco!D20+Mirador!D20+Juno!D20+Plural!D20+Soliver!D20</f>
        <v>-11100.92</v>
      </c>
      <c r="E20" s="7">
        <f>Origens!E20+Nautic!E20+Masia!E20+'Camp Nou'!E20+Tarraco!E20+Mirador!E20+Juno!E20+Plural!E20+Soliver!E20</f>
        <v>-18034.68</v>
      </c>
      <c r="F20" s="7">
        <f>Origens!F20+Nautic!F20+Masia!F20+'Camp Nou'!F20+Tarraco!F20+Mirador!F20+Juno!F20+Plural!F20+Soliver!F20</f>
        <v>-18644.59</v>
      </c>
      <c r="G20" s="7">
        <f>Origens!G20+Nautic!G20+Masia!G20+'Camp Nou'!G20+Tarraco!G20+Mirador!G20+Juno!G20+Plural!G20+Soliver!G20</f>
        <v>-16224.729999999998</v>
      </c>
      <c r="H20" s="7">
        <f>Origens!H20+Nautic!H20+Masia!H20+'Camp Nou'!H20+Tarraco!H20+Mirador!H20+Juno!H20+Plural!H20+Soliver!H20</f>
        <v>0</v>
      </c>
      <c r="I20" s="7">
        <f>Origens!I20+Nautic!I20+Masia!I20+'Camp Nou'!I20+Tarraco!I20+Mirador!I20+Juno!I20+Plural!I20+Soliver!I20</f>
        <v>0</v>
      </c>
      <c r="J20" s="7">
        <f>Origens!J20+Nautic!J20+Masia!J20+'Camp Nou'!J20+Tarraco!J20+Mirador!J20+Juno!J20+Plural!J20+Soliver!J20</f>
        <v>0</v>
      </c>
      <c r="K20" s="7">
        <f>Origens!K20+Nautic!K20+Masia!K20+'Camp Nou'!K20+Tarraco!K20+Mirador!K20+Juno!K20+Plural!K20+Soliver!K20</f>
        <v>0</v>
      </c>
      <c r="L20" s="7">
        <f>Origens!L20+Nautic!L20+Masia!L20+'Camp Nou'!L20+Tarraco!L20+Mirador!L20+Juno!L20+Plural!L20+Soliver!L20</f>
        <v>0</v>
      </c>
      <c r="M20" s="7">
        <f>Origens!M20+Nautic!M20+Masia!M20+'Camp Nou'!M20+Tarraco!M20+Mirador!M20+Juno!M20+Plural!M20+Soliver!M20</f>
        <v>0</v>
      </c>
      <c r="N20" s="7">
        <f>Origens!N20+Nautic!N20+Masia!N20+'Camp Nou'!N20+Tarraco!N20+Mirador!N20+Juno!N20+Plural!N20+Soliver!N20</f>
        <v>0</v>
      </c>
      <c r="O20" s="7">
        <f t="shared" si="0"/>
        <v>-79541.39</v>
      </c>
    </row>
    <row r="21" spans="2:16" x14ac:dyDescent="0.25">
      <c r="B21" s="4" t="s">
        <v>24</v>
      </c>
      <c r="C21" s="7">
        <f>Origens!C21+Nautic!C21+Masia!C21+'Camp Nou'!C21+Tarraco!C21+Mirador!C21+Juno!C21+Plural!C21+Soliver!C21</f>
        <v>-2024.04</v>
      </c>
      <c r="D21" s="7">
        <f>Origens!D21+Nautic!D21+Masia!D21+'Camp Nou'!D21+Tarraco!D21+Mirador!D21+Juno!D21+Plural!D21+Soliver!D21</f>
        <v>-2127.87</v>
      </c>
      <c r="E21" s="7">
        <f>Origens!E21+Nautic!E21+Masia!E21+'Camp Nou'!E21+Tarraco!E21+Mirador!E21+Juno!E21+Plural!E21+Soliver!E21</f>
        <v>-2627.1599999999994</v>
      </c>
      <c r="F21" s="7">
        <f>Origens!F21+Nautic!F21+Masia!F21+'Camp Nou'!F21+Tarraco!F21+Mirador!F21+Juno!F21+Plural!F21+Soliver!F21</f>
        <v>-2597.08</v>
      </c>
      <c r="G21" s="7">
        <f>Origens!G21+Nautic!G21+Masia!G21+'Camp Nou'!G21+Tarraco!G21+Mirador!G21+Juno!G21+Plural!G21+Soliver!G21</f>
        <v>-6783.63</v>
      </c>
      <c r="H21" s="7">
        <f>Origens!H21+Nautic!H21+Masia!H21+'Camp Nou'!H21+Tarraco!H21+Mirador!H21+Juno!H21+Plural!H21+Soliver!H21</f>
        <v>0</v>
      </c>
      <c r="I21" s="7">
        <f>Origens!I21+Nautic!I21+Masia!I21+'Camp Nou'!I21+Tarraco!I21+Mirador!I21+Juno!I21+Plural!I21+Soliver!I21</f>
        <v>0</v>
      </c>
      <c r="J21" s="7">
        <f>Origens!J21+Nautic!J21+Masia!J21+'Camp Nou'!J21+Tarraco!J21+Mirador!J21+Juno!J21+Plural!J21+Soliver!J21</f>
        <v>0</v>
      </c>
      <c r="K21" s="7">
        <f>Origens!K21+Nautic!K21+Masia!K21+'Camp Nou'!K21+Tarraco!K21+Mirador!K21+Juno!K21+Plural!K21+Soliver!K21</f>
        <v>0</v>
      </c>
      <c r="L21" s="7">
        <f>Origens!L21+Nautic!L21+Masia!L21+'Camp Nou'!L21+Tarraco!L21+Mirador!L21+Juno!L21+Plural!L21+Soliver!L21</f>
        <v>0</v>
      </c>
      <c r="M21" s="7">
        <f>Origens!M21+Nautic!M21+Masia!M21+'Camp Nou'!M21+Tarraco!M21+Mirador!M21+Juno!M21+Plural!M21+Soliver!M21</f>
        <v>0</v>
      </c>
      <c r="N21" s="7">
        <f>Origens!N21+Nautic!N21+Masia!N21+'Camp Nou'!N21+Tarraco!N21+Mirador!N21+Juno!N21+Plural!N21+Soliver!N21</f>
        <v>0</v>
      </c>
      <c r="O21" s="7">
        <f t="shared" si="0"/>
        <v>-16159.779999999999</v>
      </c>
    </row>
    <row r="22" spans="2:16" x14ac:dyDescent="0.25">
      <c r="B22" s="4" t="s">
        <v>25</v>
      </c>
      <c r="C22" s="7">
        <f>Origens!C22+Nautic!C22+Masia!C22+'Camp Nou'!C22+Tarraco!C22+Mirador!C22+Juno!C22+Plural!C22+Soliver!C22</f>
        <v>-350</v>
      </c>
      <c r="D22" s="7">
        <f>Origens!D22+Nautic!D22+Masia!D22+'Camp Nou'!D22+Tarraco!D22+Mirador!D22+Juno!D22+Plural!D22+Soliver!D22</f>
        <v>0</v>
      </c>
      <c r="E22" s="7">
        <f>Origens!E22+Nautic!E22+Masia!E22+'Camp Nou'!E22+Tarraco!E22+Mirador!E22+Juno!E22+Plural!E22+Soliver!E22</f>
        <v>-25.2</v>
      </c>
      <c r="F22" s="7">
        <f>Origens!F22+Nautic!F22+Masia!F22+'Camp Nou'!F22+Tarraco!F22+Mirador!F22+Juno!F22+Plural!F22+Soliver!F22</f>
        <v>0</v>
      </c>
      <c r="G22" s="7">
        <f>Origens!G22+Nautic!G22+Masia!G22+'Camp Nou'!G22+Tarraco!G22+Mirador!G22+Juno!G22+Plural!G22+Soliver!G22</f>
        <v>0</v>
      </c>
      <c r="H22" s="7">
        <f>Origens!H22+Nautic!H22+Masia!H22+'Camp Nou'!H22+Tarraco!H22+Mirador!H22+Juno!H22+Plural!H22+Soliver!H22</f>
        <v>0</v>
      </c>
      <c r="I22" s="7">
        <f>Origens!I22+Nautic!I22+Masia!I22+'Camp Nou'!I22+Tarraco!I22+Mirador!I22+Juno!I22+Plural!I22+Soliver!I22</f>
        <v>0</v>
      </c>
      <c r="J22" s="7">
        <f>Origens!J22+Nautic!J22+Masia!J22+'Camp Nou'!J22+Tarraco!J22+Mirador!J22+Juno!J22+Plural!J22+Soliver!J22</f>
        <v>0</v>
      </c>
      <c r="K22" s="7">
        <f>Origens!K22+Nautic!K22+Masia!K22+'Camp Nou'!K22+Tarraco!K22+Mirador!K22+Juno!K22+Plural!K22+Soliver!K22</f>
        <v>0</v>
      </c>
      <c r="L22" s="7">
        <f>Origens!L22+Nautic!L22+Masia!L22+'Camp Nou'!L22+Tarraco!L22+Mirador!L22+Juno!L22+Plural!L22+Soliver!L22</f>
        <v>0</v>
      </c>
      <c r="M22" s="7">
        <f>Origens!M22+Nautic!M22+Masia!M22+'Camp Nou'!M22+Tarraco!M22+Mirador!M22+Juno!M22+Plural!M22+Soliver!M22</f>
        <v>0</v>
      </c>
      <c r="N22" s="7">
        <f>Origens!N22+Nautic!N22+Masia!N22+'Camp Nou'!N22+Tarraco!N22+Mirador!N22+Juno!N22+Plural!N22+Soliver!N22</f>
        <v>0</v>
      </c>
      <c r="O22" s="7">
        <f t="shared" si="0"/>
        <v>-375.2</v>
      </c>
    </row>
    <row r="23" spans="2:16" x14ac:dyDescent="0.25">
      <c r="B23" s="4" t="s">
        <v>26</v>
      </c>
      <c r="C23" s="7">
        <f>Origens!C23+Nautic!C23+Masia!C23+'Camp Nou'!C23+Tarraco!C23+Mirador!C23+Juno!C23+Plural!C23+Soliver!C23</f>
        <v>-242.9</v>
      </c>
      <c r="D23" s="7">
        <f>Origens!D23+Nautic!D23+Masia!D23+'Camp Nou'!D23+Tarraco!D23+Mirador!D23+Juno!D23+Plural!D23+Soliver!D23</f>
        <v>-1417.1700000000003</v>
      </c>
      <c r="E23" s="7">
        <f>Origens!E23+Nautic!E23+Masia!E23+'Camp Nou'!E23+Tarraco!E23+Mirador!E23+Juno!E23+Plural!E23+Soliver!E23</f>
        <v>-1417.1700000000003</v>
      </c>
      <c r="F23" s="7">
        <f>Origens!F23+Nautic!F23+Masia!F23+'Camp Nou'!F23+Tarraco!F23+Mirador!F23+Juno!F23+Plural!F23+Soliver!F23</f>
        <v>-1417.1700000000003</v>
      </c>
      <c r="G23" s="7">
        <f>Origens!G23+Nautic!G23+Masia!G23+'Camp Nou'!G23+Tarraco!G23+Mirador!G23+Juno!G23+Plural!G23+Soliver!G23</f>
        <v>-1417.1700000000003</v>
      </c>
      <c r="H23" s="7">
        <f>Origens!H23+Nautic!H23+Masia!H23+'Camp Nou'!H23+Tarraco!H23+Mirador!H23+Juno!H23+Plural!H23+Soliver!H23</f>
        <v>0</v>
      </c>
      <c r="I23" s="7">
        <f>Origens!I23+Nautic!I23+Masia!I23+'Camp Nou'!I23+Tarraco!I23+Mirador!I23+Juno!I23+Plural!I23+Soliver!I23</f>
        <v>0</v>
      </c>
      <c r="J23" s="7">
        <f>Origens!J23+Nautic!J23+Masia!J23+'Camp Nou'!J23+Tarraco!J23+Mirador!J23+Juno!J23+Plural!J23+Soliver!J23</f>
        <v>0</v>
      </c>
      <c r="K23" s="7">
        <f>Origens!K23+Nautic!K23+Masia!K23+'Camp Nou'!K23+Tarraco!K23+Mirador!K23+Juno!K23+Plural!K23+Soliver!K23</f>
        <v>0</v>
      </c>
      <c r="L23" s="7">
        <f>Origens!L23+Nautic!L23+Masia!L23+'Camp Nou'!L23+Tarraco!L23+Mirador!L23+Juno!L23+Plural!L23+Soliver!L23</f>
        <v>0</v>
      </c>
      <c r="M23" s="7">
        <f>Origens!M23+Nautic!M23+Masia!M23+'Camp Nou'!M23+Tarraco!M23+Mirador!M23+Juno!M23+Plural!M23+Soliver!M23</f>
        <v>0</v>
      </c>
      <c r="N23" s="7">
        <f>Origens!N23+Nautic!N23+Masia!N23+'Camp Nou'!N23+Tarraco!N23+Mirador!N23+Juno!N23+Plural!N23+Soliver!N23</f>
        <v>0</v>
      </c>
      <c r="O23" s="7">
        <f t="shared" si="0"/>
        <v>-5911.5800000000008</v>
      </c>
    </row>
    <row r="24" spans="2:16" x14ac:dyDescent="0.25">
      <c r="B24" s="4" t="s">
        <v>27</v>
      </c>
      <c r="C24" s="7">
        <f>Origens!C24+Nautic!C24+Masia!C24+'Camp Nou'!C24+Tarraco!C24+Mirador!C24+Juno!C24+Plural!C24+Soliver!C24</f>
        <v>-1617.7799999999997</v>
      </c>
      <c r="D24" s="7">
        <f>Origens!D24+Nautic!D24+Masia!D24+'Camp Nou'!D24+Tarraco!D24+Mirador!D24+Juno!D24+Plural!D24+Soliver!D24</f>
        <v>-2033.07</v>
      </c>
      <c r="E24" s="7">
        <f>Origens!E24+Nautic!E24+Masia!E24+'Camp Nou'!E24+Tarraco!E24+Mirador!E24+Juno!E24+Plural!E24+Soliver!E24</f>
        <v>-858.25</v>
      </c>
      <c r="F24" s="7">
        <f>Origens!F24+Nautic!F24+Masia!F24+'Camp Nou'!F24+Tarraco!F24+Mirador!F24+Juno!F24+Plural!F24+Soliver!F24</f>
        <v>-3147.6299999999997</v>
      </c>
      <c r="G24" s="7">
        <f>Origens!G24+Nautic!G24+Masia!G24+'Camp Nou'!G24+Tarraco!G24+Mirador!G24+Juno!G24+Plural!G24+Soliver!G24</f>
        <v>-2927.84</v>
      </c>
      <c r="H24" s="7">
        <f>Origens!H24+Nautic!H24+Masia!H24+'Camp Nou'!H24+Tarraco!H24+Mirador!H24+Juno!H24+Plural!H24+Soliver!H24</f>
        <v>0</v>
      </c>
      <c r="I24" s="7">
        <f>Origens!I24+Nautic!I24+Masia!I24+'Camp Nou'!I24+Tarraco!I24+Mirador!I24+Juno!I24+Plural!I24+Soliver!I24</f>
        <v>0</v>
      </c>
      <c r="J24" s="7">
        <f>Origens!J24+Nautic!J24+Masia!J24+'Camp Nou'!J24+Tarraco!J24+Mirador!J24+Juno!J24+Plural!J24+Soliver!J24</f>
        <v>0</v>
      </c>
      <c r="K24" s="7">
        <f>Origens!K24+Nautic!K24+Masia!K24+'Camp Nou'!K24+Tarraco!K24+Mirador!K24+Juno!K24+Plural!K24+Soliver!K24</f>
        <v>0</v>
      </c>
      <c r="L24" s="7">
        <f>Origens!L24+Nautic!L24+Masia!L24+'Camp Nou'!L24+Tarraco!L24+Mirador!L24+Juno!L24+Plural!L24+Soliver!L24</f>
        <v>0</v>
      </c>
      <c r="M24" s="7">
        <f>Origens!M24+Nautic!M24+Masia!M24+'Camp Nou'!M24+Tarraco!M24+Mirador!M24+Juno!M24+Plural!M24+Soliver!M24</f>
        <v>0</v>
      </c>
      <c r="N24" s="7">
        <f>Origens!N24+Nautic!N24+Masia!N24+'Camp Nou'!N24+Tarraco!N24+Mirador!N24+Juno!N24+Plural!N24+Soliver!N24</f>
        <v>0</v>
      </c>
      <c r="O24" s="7">
        <f t="shared" si="0"/>
        <v>-10584.57</v>
      </c>
    </row>
    <row r="25" spans="2:16" x14ac:dyDescent="0.25">
      <c r="B25" s="4" t="s">
        <v>28</v>
      </c>
      <c r="C25" s="7">
        <f>Origens!C25+Nautic!C25+Masia!C25+'Camp Nou'!C25+Tarraco!C25+Mirador!C25+Juno!C25+Plural!C25+Soliver!C25</f>
        <v>-933.97</v>
      </c>
      <c r="D25" s="7">
        <f>Origens!D25+Nautic!D25+Masia!D25+'Camp Nou'!D25+Tarraco!D25+Mirador!D25+Juno!D25+Plural!D25+Soliver!D25</f>
        <v>-323.96000000000004</v>
      </c>
      <c r="E25" s="7">
        <f>Origens!E25+Nautic!E25+Masia!E25+'Camp Nou'!E25+Tarraco!E25+Mirador!E25+Juno!E25+Plural!E25+Soliver!E25</f>
        <v>-1628.25</v>
      </c>
      <c r="F25" s="7">
        <f>Origens!F25+Nautic!F25+Masia!F25+'Camp Nou'!F25+Tarraco!F25+Mirador!F25+Juno!F25+Plural!F25+Soliver!F25</f>
        <v>-2089.79</v>
      </c>
      <c r="G25" s="7">
        <f>Origens!G25+Nautic!G25+Masia!G25+'Camp Nou'!G25+Tarraco!G25+Mirador!G25+Juno!G25+Plural!G25+Soliver!G25</f>
        <v>-1248.74</v>
      </c>
      <c r="H25" s="7">
        <f>Origens!H25+Nautic!H25+Masia!H25+'Camp Nou'!H25+Tarraco!H25+Mirador!H25+Juno!H25+Plural!H25+Soliver!H25</f>
        <v>0</v>
      </c>
      <c r="I25" s="7">
        <f>Origens!I25+Nautic!I25+Masia!I25+'Camp Nou'!I25+Tarraco!I25+Mirador!I25+Juno!I25+Plural!I25+Soliver!I25</f>
        <v>0</v>
      </c>
      <c r="J25" s="7">
        <f>Origens!J25+Nautic!J25+Masia!J25+'Camp Nou'!J25+Tarraco!J25+Mirador!J25+Juno!J25+Plural!J25+Soliver!J25</f>
        <v>0</v>
      </c>
      <c r="K25" s="7">
        <f>Origens!K25+Nautic!K25+Masia!K25+'Camp Nou'!K25+Tarraco!K25+Mirador!K25+Juno!K25+Plural!K25+Soliver!K25</f>
        <v>0</v>
      </c>
      <c r="L25" s="7">
        <f>Origens!L25+Nautic!L25+Masia!L25+'Camp Nou'!L25+Tarraco!L25+Mirador!L25+Juno!L25+Plural!L25+Soliver!L25</f>
        <v>0</v>
      </c>
      <c r="M25" s="7">
        <f>Origens!M25+Nautic!M25+Masia!M25+'Camp Nou'!M25+Tarraco!M25+Mirador!M25+Juno!M25+Plural!M25+Soliver!M25</f>
        <v>0</v>
      </c>
      <c r="N25" s="7">
        <f>Origens!N25+Nautic!N25+Masia!N25+'Camp Nou'!N25+Tarraco!N25+Mirador!N25+Juno!N25+Plural!N25+Soliver!N25</f>
        <v>0</v>
      </c>
      <c r="O25" s="7">
        <f t="shared" si="0"/>
        <v>-6224.71</v>
      </c>
    </row>
    <row r="26" spans="2:16" x14ac:dyDescent="0.25">
      <c r="B26" s="4" t="s">
        <v>29</v>
      </c>
      <c r="C26" s="7">
        <f>Origens!C26+Nautic!C26+Masia!C26+'Camp Nou'!C26+Tarraco!C26+Mirador!C26+Juno!C26+Plural!C26+Soliver!C26</f>
        <v>-2608.3199999999997</v>
      </c>
      <c r="D26" s="7">
        <f>Origens!D26+Nautic!D26+Masia!D26+'Camp Nou'!D26+Tarraco!D26+Mirador!D26+Juno!D26+Plural!D26+Soliver!D26</f>
        <v>-18705.140000000003</v>
      </c>
      <c r="E26" s="7">
        <f>Origens!E26+Nautic!E26+Masia!E26+'Camp Nou'!E26+Tarraco!E26+Mirador!E26+Juno!E26+Plural!E26+Soliver!E26</f>
        <v>-18519.59</v>
      </c>
      <c r="F26" s="7">
        <f>Origens!F26+Nautic!F26+Masia!F26+'Camp Nou'!F26+Tarraco!F26+Mirador!F26+Juno!F26+Plural!F26+Soliver!F26</f>
        <v>-24633.47</v>
      </c>
      <c r="G26" s="7">
        <f>Origens!G26+Nautic!G26+Masia!G26+'Camp Nou'!G26+Tarraco!G26+Mirador!G26+Juno!G26+Plural!G26+Soliver!G26</f>
        <v>-18492.400000000001</v>
      </c>
      <c r="H26" s="7">
        <f>Origens!H26+Nautic!H26+Masia!H26+'Camp Nou'!H26+Tarraco!H26+Mirador!H26+Juno!H26+Plural!H26+Soliver!H26</f>
        <v>0</v>
      </c>
      <c r="I26" s="7">
        <f>Origens!I26+Nautic!I26+Masia!I26+'Camp Nou'!I26+Tarraco!I26+Mirador!I26+Juno!I26+Plural!I26+Soliver!I26</f>
        <v>0</v>
      </c>
      <c r="J26" s="7">
        <f>Origens!J26+Nautic!J26+Masia!J26+'Camp Nou'!J26+Tarraco!J26+Mirador!J26+Juno!J26+Plural!J26+Soliver!J26</f>
        <v>0</v>
      </c>
      <c r="K26" s="7">
        <f>Origens!K26+Nautic!K26+Masia!K26+'Camp Nou'!K26+Tarraco!K26+Mirador!K26+Juno!K26+Plural!K26+Soliver!K26</f>
        <v>0</v>
      </c>
      <c r="L26" s="7">
        <f>Origens!L26+Nautic!L26+Masia!L26+'Camp Nou'!L26+Tarraco!L26+Mirador!L26+Juno!L26+Plural!L26+Soliver!L26</f>
        <v>0</v>
      </c>
      <c r="M26" s="7">
        <f>Origens!M26+Nautic!M26+Masia!M26+'Camp Nou'!M26+Tarraco!M26+Mirador!M26+Juno!M26+Plural!M26+Soliver!M26</f>
        <v>0</v>
      </c>
      <c r="N26" s="7">
        <f>Origens!N26+Nautic!N26+Masia!N26+'Camp Nou'!N26+Tarraco!N26+Mirador!N26+Juno!N26+Plural!N26+Soliver!N26</f>
        <v>0</v>
      </c>
      <c r="O26" s="7">
        <f t="shared" si="0"/>
        <v>-82958.920000000013</v>
      </c>
    </row>
    <row r="27" spans="2:16" x14ac:dyDescent="0.25">
      <c r="B27" s="4" t="s">
        <v>30</v>
      </c>
      <c r="C27" s="7">
        <f>Origens!C27+Nautic!C27+Masia!C27+'Camp Nou'!C27+Tarraco!C27+Mirador!C27+Juno!C27+Plural!C27+Soliver!C27</f>
        <v>-8475.7999999999993</v>
      </c>
      <c r="D27" s="7">
        <f>Origens!D27+Nautic!D27+Masia!D27+'Camp Nou'!D27+Tarraco!D27+Mirador!D27+Juno!D27+Plural!D27+Soliver!D27</f>
        <v>-9647.14</v>
      </c>
      <c r="E27" s="7">
        <f>Origens!E27+Nautic!E27+Masia!E27+'Camp Nou'!E27+Tarraco!E27+Mirador!E27+Juno!E27+Plural!E27+Soliver!E27</f>
        <v>-10462.609999999999</v>
      </c>
      <c r="F27" s="7">
        <f>Origens!F27+Nautic!F27+Masia!F27+'Camp Nou'!F27+Tarraco!F27+Mirador!F27+Juno!F27+Plural!F27+Soliver!F27</f>
        <v>-12036.849999999999</v>
      </c>
      <c r="G27" s="7">
        <f>Origens!G27+Nautic!G27+Masia!G27+'Camp Nou'!G27+Tarraco!G27+Mirador!G27+Juno!G27+Plural!G27+Soliver!G27</f>
        <v>-8484.39</v>
      </c>
      <c r="H27" s="7">
        <f>Origens!H27+Nautic!H27+Masia!H27+'Camp Nou'!H27+Tarraco!H27+Mirador!H27+Juno!H27+Plural!H27+Soliver!H27</f>
        <v>0</v>
      </c>
      <c r="I27" s="7">
        <f>Origens!I27+Nautic!I27+Masia!I27+'Camp Nou'!I27+Tarraco!I27+Mirador!I27+Juno!I27+Plural!I27+Soliver!I27</f>
        <v>0</v>
      </c>
      <c r="J27" s="7">
        <f>Origens!J27+Nautic!J27+Masia!J27+'Camp Nou'!J27+Tarraco!J27+Mirador!J27+Juno!J27+Plural!J27+Soliver!J27</f>
        <v>0</v>
      </c>
      <c r="K27" s="7">
        <f>Origens!K27+Nautic!K27+Masia!K27+'Camp Nou'!K27+Tarraco!K27+Mirador!K27+Juno!K27+Plural!K27+Soliver!K27</f>
        <v>0</v>
      </c>
      <c r="L27" s="7">
        <f>Origens!L27+Nautic!L27+Masia!L27+'Camp Nou'!L27+Tarraco!L27+Mirador!L27+Juno!L27+Plural!L27+Soliver!L27</f>
        <v>0</v>
      </c>
      <c r="M27" s="7">
        <f>Origens!M27+Nautic!M27+Masia!M27+'Camp Nou'!M27+Tarraco!M27+Mirador!M27+Juno!M27+Plural!M27+Soliver!M27</f>
        <v>0</v>
      </c>
      <c r="N27" s="7">
        <f>Origens!N27+Nautic!N27+Masia!N27+'Camp Nou'!N27+Tarraco!N27+Mirador!N27+Juno!N27+Plural!N27+Soliver!N27</f>
        <v>0</v>
      </c>
      <c r="O27" s="7">
        <f t="shared" si="0"/>
        <v>-49106.789999999994</v>
      </c>
    </row>
    <row r="28" spans="2:16" x14ac:dyDescent="0.25">
      <c r="B28" s="4" t="s">
        <v>31</v>
      </c>
      <c r="C28" s="7">
        <f>Origens!C28+Nautic!C28+Masia!C28+'Camp Nou'!C28+Tarraco!C28+Mirador!C28+Juno!C28+Plural!C28+Soliver!C28</f>
        <v>-809.55</v>
      </c>
      <c r="D28" s="7">
        <f>Origens!D28+Nautic!D28+Masia!D28+'Camp Nou'!D28+Tarraco!D28+Mirador!D28+Juno!D28+Plural!D28+Soliver!D28</f>
        <v>-2533.33</v>
      </c>
      <c r="E28" s="7">
        <f>Origens!E28+Nautic!E28+Masia!E28+'Camp Nou'!E28+Tarraco!E28+Mirador!E28+Juno!E28+Plural!E28+Soliver!E28</f>
        <v>-2533.33</v>
      </c>
      <c r="F28" s="7">
        <f>Origens!F28+Nautic!F28+Masia!F28+'Camp Nou'!F28+Tarraco!F28+Mirador!F28+Juno!F28+Plural!F28+Soliver!F28</f>
        <v>-2879.9</v>
      </c>
      <c r="G28" s="7">
        <f>Origens!G28+Nautic!G28+Masia!G28+'Camp Nou'!G28+Tarraco!G28+Mirador!G28+Juno!G28+Plural!G28+Soliver!G28</f>
        <v>-2891.37</v>
      </c>
      <c r="H28" s="7">
        <f>Origens!H28+Nautic!H28+Masia!H28+'Camp Nou'!H28+Tarraco!H28+Mirador!H28+Juno!H28+Plural!H28+Soliver!H28</f>
        <v>0</v>
      </c>
      <c r="I28" s="7">
        <f>Origens!I28+Nautic!I28+Masia!I28+'Camp Nou'!I28+Tarraco!I28+Mirador!I28+Juno!I28+Plural!I28+Soliver!I28</f>
        <v>0</v>
      </c>
      <c r="J28" s="7">
        <f>Origens!J28+Nautic!J28+Masia!J28+'Camp Nou'!J28+Tarraco!J28+Mirador!J28+Juno!J28+Plural!J28+Soliver!J28</f>
        <v>0</v>
      </c>
      <c r="K28" s="7">
        <f>Origens!K28+Nautic!K28+Masia!K28+'Camp Nou'!K28+Tarraco!K28+Mirador!K28+Juno!K28+Plural!K28+Soliver!K28</f>
        <v>0</v>
      </c>
      <c r="L28" s="7">
        <f>Origens!L28+Nautic!L28+Masia!L28+'Camp Nou'!L28+Tarraco!L28+Mirador!L28+Juno!L28+Plural!L28+Soliver!L28</f>
        <v>0</v>
      </c>
      <c r="M28" s="7">
        <f>Origens!M28+Nautic!M28+Masia!M28+'Camp Nou'!M28+Tarraco!M28+Mirador!M28+Juno!M28+Plural!M28+Soliver!M28</f>
        <v>0</v>
      </c>
      <c r="N28" s="7">
        <f>Origens!N28+Nautic!N28+Masia!N28+'Camp Nou'!N28+Tarraco!N28+Mirador!N28+Juno!N28+Plural!N28+Soliver!N28</f>
        <v>0</v>
      </c>
      <c r="O28" s="7">
        <f t="shared" si="0"/>
        <v>-11647.48</v>
      </c>
    </row>
    <row r="29" spans="2:16" x14ac:dyDescent="0.25">
      <c r="B29" s="4" t="s">
        <v>32</v>
      </c>
      <c r="C29" s="7">
        <f>Origens!C29+Nautic!C29+Masia!C29+'Camp Nou'!C29+Tarraco!C29+Mirador!C29+Juno!C29+Plural!C29+Soliver!C29</f>
        <v>0</v>
      </c>
      <c r="D29" s="7">
        <f>Origens!D29+Nautic!D29+Masia!D29+'Camp Nou'!D29+Tarraco!D29+Mirador!D29+Juno!D29+Plural!D29+Soliver!D29</f>
        <v>0</v>
      </c>
      <c r="E29" s="7">
        <f>Origens!E29+Nautic!E29+Masia!E29+'Camp Nou'!E29+Tarraco!E29+Mirador!E29+Juno!E29+Plural!E29+Soliver!E29</f>
        <v>0</v>
      </c>
      <c r="F29" s="7">
        <f>Origens!F29+Nautic!F29+Masia!F29+'Camp Nou'!F29+Tarraco!F29+Mirador!F29+Juno!F29+Plural!F29+Soliver!F29</f>
        <v>0</v>
      </c>
      <c r="G29" s="7">
        <f>Origens!G29+Nautic!G29+Masia!G29+'Camp Nou'!G29+Tarraco!G29+Mirador!G29+Juno!G29+Plural!G29+Soliver!G29</f>
        <v>0</v>
      </c>
      <c r="H29" s="7">
        <f>Origens!H29+Nautic!H29+Masia!H29+'Camp Nou'!H29+Tarraco!H29+Mirador!H29+Juno!H29+Plural!H29+Soliver!H29</f>
        <v>0</v>
      </c>
      <c r="I29" s="7">
        <f>Origens!I29+Nautic!I29+Masia!I29+'Camp Nou'!I29+Tarraco!I29+Mirador!I29+Juno!I29+Plural!I29+Soliver!I29</f>
        <v>0</v>
      </c>
      <c r="J29" s="7">
        <f>Origens!J29+Nautic!J29+Masia!J29+'Camp Nou'!J29+Tarraco!J29+Mirador!J29+Juno!J29+Plural!J29+Soliver!J29</f>
        <v>0</v>
      </c>
      <c r="K29" s="7">
        <f>Origens!K29+Nautic!K29+Masia!K29+'Camp Nou'!K29+Tarraco!K29+Mirador!K29+Juno!K29+Plural!K29+Soliver!K29</f>
        <v>0</v>
      </c>
      <c r="L29" s="7">
        <f>Origens!L29+Nautic!L29+Masia!L29+'Camp Nou'!L29+Tarraco!L29+Mirador!L29+Juno!L29+Plural!L29+Soliver!L29</f>
        <v>0</v>
      </c>
      <c r="M29" s="7">
        <f>Origens!M29+Nautic!M29+Masia!M29+'Camp Nou'!M29+Tarraco!M29+Mirador!M29+Juno!M29+Plural!M29+Soliver!M29</f>
        <v>0</v>
      </c>
      <c r="N29" s="7">
        <f>Origens!N29+Nautic!N29+Masia!N29+'Camp Nou'!N29+Tarraco!N29+Mirador!N29+Juno!N29+Plural!N29+Soliver!N29</f>
        <v>0</v>
      </c>
      <c r="O29" s="7">
        <f t="shared" si="0"/>
        <v>0</v>
      </c>
    </row>
    <row r="30" spans="2:16" x14ac:dyDescent="0.25">
      <c r="B30" s="4" t="s">
        <v>33</v>
      </c>
      <c r="C30" s="7">
        <f>Origens!C30+Nautic!C30+Masia!C30+'Camp Nou'!C30+Tarraco!C30+Mirador!C30+Juno!C30+Plural!C30+Soliver!C30</f>
        <v>0</v>
      </c>
      <c r="D30" s="7">
        <f>Origens!D30+Nautic!D30+Masia!D30+'Camp Nou'!D30+Tarraco!D30+Mirador!D30+Juno!D30+Plural!D30+Soliver!D30</f>
        <v>0</v>
      </c>
      <c r="E30" s="7">
        <f>Origens!E30+Nautic!E30+Masia!E30+'Camp Nou'!E30+Tarraco!E30+Mirador!E30+Juno!E30+Plural!E30+Soliver!E30</f>
        <v>0</v>
      </c>
      <c r="F30" s="7">
        <f>Origens!F30+Nautic!F30+Masia!F30+'Camp Nou'!F30+Tarraco!F30+Mirador!F30+Juno!F30+Plural!F30+Soliver!F30</f>
        <v>0</v>
      </c>
      <c r="G30" s="7">
        <f>Origens!G30+Nautic!G30+Masia!G30+'Camp Nou'!G30+Tarraco!G30+Mirador!G30+Juno!G30+Plural!G30+Soliver!G30</f>
        <v>0</v>
      </c>
      <c r="H30" s="7">
        <f>Origens!H30+Nautic!H30+Masia!H30+'Camp Nou'!H30+Tarraco!H30+Mirador!H30+Juno!H30+Plural!H30+Soliver!H30</f>
        <v>0</v>
      </c>
      <c r="I30" s="7">
        <f>Origens!I30+Nautic!I30+Masia!I30+'Camp Nou'!I30+Tarraco!I30+Mirador!I30+Juno!I30+Plural!I30+Soliver!I30</f>
        <v>0</v>
      </c>
      <c r="J30" s="7">
        <f>Origens!J30+Nautic!J30+Masia!J30+'Camp Nou'!J30+Tarraco!J30+Mirador!J30+Juno!J30+Plural!J30+Soliver!J30</f>
        <v>0</v>
      </c>
      <c r="K30" s="7">
        <f>Origens!K30+Nautic!K30+Masia!K30+'Camp Nou'!K30+Tarraco!K30+Mirador!K30+Juno!K30+Plural!K30+Soliver!K30</f>
        <v>0</v>
      </c>
      <c r="L30" s="7">
        <f>Origens!L30+Nautic!L30+Masia!L30+'Camp Nou'!L30+Tarraco!L30+Mirador!L30+Juno!L30+Plural!L30+Soliver!L30</f>
        <v>0</v>
      </c>
      <c r="M30" s="7">
        <f>Origens!M30+Nautic!M30+Masia!M30+'Camp Nou'!M30+Tarraco!M30+Mirador!M30+Juno!M30+Plural!M30+Soliver!M30</f>
        <v>0</v>
      </c>
      <c r="N30" s="7">
        <f>Origens!N30+Nautic!N30+Masia!N30+'Camp Nou'!N30+Tarraco!N30+Mirador!N30+Juno!N30+Plural!N30+Soliver!N30</f>
        <v>0</v>
      </c>
      <c r="O30" s="7">
        <f t="shared" si="0"/>
        <v>0</v>
      </c>
    </row>
    <row r="31" spans="2:16" x14ac:dyDescent="0.25">
      <c r="B31" s="4" t="s">
        <v>34</v>
      </c>
      <c r="C31" s="9">
        <f>Origens!C31+Nautic!C31+Masia!C31+'Camp Nou'!C31+Tarraco!C31+Mirador!C31+Juno!C31+Plural!C31+Soliver!C31</f>
        <v>-51343.979999999996</v>
      </c>
      <c r="D31" s="9">
        <f>Origens!D31+Nautic!D31+Masia!D31+'Camp Nou'!D31+Tarraco!D31+Mirador!D31+Juno!D31+Plural!D31+Soliver!D31</f>
        <v>-79048.850000000006</v>
      </c>
      <c r="E31" s="9">
        <f>Origens!E31+Nautic!E31+Masia!E31+'Camp Nou'!E31+Tarraco!E31+Mirador!E31+Juno!E31+Plural!E31+Soliver!E31</f>
        <v>-90936.44</v>
      </c>
      <c r="F31" s="9">
        <f>Origens!F31+Nautic!F31+Masia!F31+'Camp Nou'!F31+Tarraco!F31+Mirador!F31+Juno!F31+Plural!F31+Soliver!F31</f>
        <v>-113125.03</v>
      </c>
      <c r="G31" s="9">
        <f>Origens!G31+Nautic!G31+Masia!G31+'Camp Nou'!G31+Tarraco!G31+Mirador!G31+Juno!G31+Plural!G31+Soliver!G31</f>
        <v>-98869.41</v>
      </c>
      <c r="H31" s="9">
        <f>Origens!H31+Nautic!H31+Masia!H31+'Camp Nou'!H31+Tarraco!H31+Mirador!H31+Juno!H31+Plural!H31+Soliver!H31</f>
        <v>0</v>
      </c>
      <c r="I31" s="9">
        <f>Origens!I31+Nautic!I31+Masia!I31+'Camp Nou'!I31+Tarraco!I31+Mirador!I31+Juno!I31+Plural!I31+Soliver!I31</f>
        <v>0</v>
      </c>
      <c r="J31" s="9">
        <f>Origens!J31+Nautic!J31+Masia!J31+'Camp Nou'!J31+Tarraco!J31+Mirador!J31+Juno!J31+Plural!J31+Soliver!J31</f>
        <v>0</v>
      </c>
      <c r="K31" s="9">
        <f>Origens!K31+Nautic!K31+Masia!K31+'Camp Nou'!K31+Tarraco!K31+Mirador!K31+Juno!K31+Plural!K31+Soliver!K31</f>
        <v>0</v>
      </c>
      <c r="L31" s="9">
        <f>Origens!L31+Nautic!L31+Masia!L31+'Camp Nou'!L31+Tarraco!L31+Mirador!L31+Juno!L31+Plural!L31+Soliver!L31</f>
        <v>0</v>
      </c>
      <c r="M31" s="9">
        <f>Origens!M31+Nautic!M31+Masia!M31+'Camp Nou'!M31+Tarraco!M31+Mirador!M31+Juno!M31+Plural!M31+Soliver!M31</f>
        <v>0</v>
      </c>
      <c r="N31" s="9">
        <f>Origens!N31+Nautic!N31+Masia!N31+'Camp Nou'!N31+Tarraco!N31+Mirador!N31+Juno!N31+Plural!N31+Soliver!N31</f>
        <v>0</v>
      </c>
      <c r="O31" s="9">
        <f t="shared" si="0"/>
        <v>-433323.71000000008</v>
      </c>
      <c r="P31" s="12">
        <f>O31/$O$7</f>
        <v>-0.16070882279543974</v>
      </c>
    </row>
    <row r="32" spans="2:16" x14ac:dyDescent="0.25">
      <c r="B32" s="4" t="s">
        <v>35</v>
      </c>
      <c r="C32" s="7">
        <f>Origens!C32+Nautic!C32+Masia!C32+'Camp Nou'!C32+Tarraco!C32+Mirador!C32+Juno!C32+Plural!C32+Soliver!C32</f>
        <v>-310073.11</v>
      </c>
      <c r="D32" s="7">
        <f>Origens!D32+Nautic!D32+Masia!D32+'Camp Nou'!D32+Tarraco!D32+Mirador!D32+Juno!D32+Plural!D32+Soliver!D32</f>
        <v>-348931.78</v>
      </c>
      <c r="E32" s="7">
        <f>Origens!E32+Nautic!E32+Masia!E32+'Camp Nou'!E32+Tarraco!E32+Mirador!E32+Juno!E32+Plural!E32+Soliver!E32</f>
        <v>-364605.83</v>
      </c>
      <c r="F32" s="7">
        <f>Origens!F32+Nautic!F32+Masia!F32+'Camp Nou'!F32+Tarraco!F32+Mirador!F32+Juno!F32+Plural!F32+Soliver!F32</f>
        <v>-399341.73999999993</v>
      </c>
      <c r="G32" s="7">
        <f>Origens!G32+Nautic!G32+Masia!G32+'Camp Nou'!G32+Tarraco!G32+Mirador!G32+Juno!G32+Plural!G32+Soliver!G32</f>
        <v>-393021.10000000003</v>
      </c>
      <c r="H32" s="7">
        <f>Origens!H32+Nautic!H32+Masia!H32+'Camp Nou'!H32+Tarraco!H32+Mirador!H32+Juno!H32+Plural!H32+Soliver!H32</f>
        <v>0</v>
      </c>
      <c r="I32" s="7">
        <f>Origens!I32+Nautic!I32+Masia!I32+'Camp Nou'!I32+Tarraco!I32+Mirador!I32+Juno!I32+Plural!I32+Soliver!I32</f>
        <v>0</v>
      </c>
      <c r="J32" s="7">
        <f>Origens!J32+Nautic!J32+Masia!J32+'Camp Nou'!J32+Tarraco!J32+Mirador!J32+Juno!J32+Plural!J32+Soliver!J32</f>
        <v>0</v>
      </c>
      <c r="K32" s="7">
        <f>Origens!K32+Nautic!K32+Masia!K32+'Camp Nou'!K32+Tarraco!K32+Mirador!K32+Juno!K32+Plural!K32+Soliver!K32</f>
        <v>0</v>
      </c>
      <c r="L32" s="7">
        <f>Origens!L32+Nautic!L32+Masia!L32+'Camp Nou'!L32+Tarraco!L32+Mirador!L32+Juno!L32+Plural!L32+Soliver!L32</f>
        <v>0</v>
      </c>
      <c r="M32" s="7">
        <f>Origens!M32+Nautic!M32+Masia!M32+'Camp Nou'!M32+Tarraco!M32+Mirador!M32+Juno!M32+Plural!M32+Soliver!M32</f>
        <v>0</v>
      </c>
      <c r="N32" s="7">
        <f>Origens!N32+Nautic!N32+Masia!N32+'Camp Nou'!N32+Tarraco!N32+Mirador!N32+Juno!N32+Plural!N32+Soliver!N32</f>
        <v>0</v>
      </c>
      <c r="O32" s="7">
        <f t="shared" si="0"/>
        <v>-1815973.56</v>
      </c>
    </row>
    <row r="33" spans="2:16" x14ac:dyDescent="0.25">
      <c r="B33" s="4" t="s">
        <v>36</v>
      </c>
      <c r="C33" s="9">
        <f>C7+(C12+C18+C31)</f>
        <v>-35480.599999999977</v>
      </c>
      <c r="D33" s="9">
        <f t="shared" ref="D33:N33" si="1">D7+(D12+D18+D31)</f>
        <v>-22708.569999999949</v>
      </c>
      <c r="E33" s="9">
        <f t="shared" si="1"/>
        <v>44368.5</v>
      </c>
      <c r="F33" s="9">
        <f t="shared" si="1"/>
        <v>-4660.9899999999907</v>
      </c>
      <c r="G33" s="9">
        <f t="shared" si="1"/>
        <v>45760.400000000023</v>
      </c>
      <c r="H33" s="9">
        <f t="shared" si="1"/>
        <v>0</v>
      </c>
      <c r="I33" s="9">
        <f t="shared" si="1"/>
        <v>0</v>
      </c>
      <c r="J33" s="9">
        <f t="shared" si="1"/>
        <v>0</v>
      </c>
      <c r="K33" s="9">
        <f t="shared" si="1"/>
        <v>0</v>
      </c>
      <c r="L33" s="9">
        <f t="shared" si="1"/>
        <v>0</v>
      </c>
      <c r="M33" s="9">
        <f t="shared" si="1"/>
        <v>0</v>
      </c>
      <c r="N33" s="9">
        <f t="shared" si="1"/>
        <v>0</v>
      </c>
      <c r="O33" s="6">
        <f t="shared" si="0"/>
        <v>27278.740000000107</v>
      </c>
      <c r="P33" s="12">
        <f>O33/$O$7</f>
        <v>1.0116995889153839E-2</v>
      </c>
    </row>
    <row r="34" spans="2:16" x14ac:dyDescent="0.25">
      <c r="B34" s="4" t="s">
        <v>37</v>
      </c>
      <c r="C34" s="10">
        <f>C33</f>
        <v>-35480.599999999977</v>
      </c>
      <c r="D34" s="10">
        <f>C34+D33</f>
        <v>-58189.169999999925</v>
      </c>
      <c r="E34" s="10">
        <f t="shared" ref="E34:G34" si="2">D34+E33</f>
        <v>-13820.669999999925</v>
      </c>
      <c r="F34" s="10">
        <f t="shared" si="2"/>
        <v>-18481.659999999916</v>
      </c>
      <c r="G34" s="10">
        <f t="shared" si="2"/>
        <v>27278.740000000107</v>
      </c>
      <c r="H34" s="10"/>
      <c r="I34" s="10"/>
      <c r="J34" s="10"/>
      <c r="K34" s="10"/>
      <c r="L34" s="10"/>
      <c r="M34" s="10"/>
      <c r="N34" s="10"/>
      <c r="O34" s="10"/>
    </row>
  </sheetData>
  <conditionalFormatting sqref="O33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C33:N33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DBA9-618F-4441-BBCC-01D1F7A5F0B1}">
  <dimension ref="B1:P34"/>
  <sheetViews>
    <sheetView workbookViewId="0">
      <selection activeCell="D23" sqref="D23"/>
    </sheetView>
  </sheetViews>
  <sheetFormatPr baseColWidth="10" defaultRowHeight="15" x14ac:dyDescent="0.25"/>
  <cols>
    <col min="1" max="1" width="6.42578125" customWidth="1"/>
    <col min="2" max="2" width="33" style="3" customWidth="1"/>
    <col min="3" max="7" width="15.7109375" customWidth="1"/>
    <col min="14" max="14" width="15.140625" customWidth="1"/>
    <col min="15" max="15" width="16" customWidth="1"/>
  </cols>
  <sheetData>
    <row r="1" spans="2:16" x14ac:dyDescent="0.25">
      <c r="B1" s="1" t="s">
        <v>54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38</v>
      </c>
      <c r="I1" s="2" t="s">
        <v>39</v>
      </c>
      <c r="J1" s="2" t="s">
        <v>40</v>
      </c>
      <c r="K1" s="2" t="s">
        <v>41</v>
      </c>
      <c r="L1" s="2" t="s">
        <v>42</v>
      </c>
      <c r="M1" s="2" t="s">
        <v>43</v>
      </c>
      <c r="N1" s="2" t="s">
        <v>44</v>
      </c>
      <c r="O1" s="2" t="s">
        <v>45</v>
      </c>
      <c r="P1" s="2" t="s">
        <v>55</v>
      </c>
    </row>
    <row r="2" spans="2:16" x14ac:dyDescent="0.25">
      <c r="C2" s="7">
        <v>0</v>
      </c>
      <c r="D2" s="7">
        <v>0</v>
      </c>
      <c r="E2" s="7">
        <v>0</v>
      </c>
      <c r="F2" s="7">
        <v>0</v>
      </c>
      <c r="G2" s="7">
        <v>0</v>
      </c>
      <c r="H2" s="7"/>
      <c r="I2" s="7"/>
      <c r="J2" s="7"/>
      <c r="K2" s="7"/>
      <c r="L2" s="7"/>
      <c r="M2" s="7"/>
      <c r="N2" s="7"/>
      <c r="O2" s="7"/>
    </row>
    <row r="3" spans="2:16" x14ac:dyDescent="0.25">
      <c r="B3" s="4" t="s">
        <v>6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/>
      <c r="I3" s="7"/>
      <c r="J3" s="7"/>
      <c r="K3" s="7"/>
      <c r="L3" s="7"/>
      <c r="M3" s="7"/>
      <c r="N3" s="7"/>
      <c r="O3" s="7">
        <f t="shared" ref="O3:O33" si="0">SUM(C3:N3)</f>
        <v>0</v>
      </c>
    </row>
    <row r="4" spans="2:16" x14ac:dyDescent="0.25">
      <c r="B4" s="4" t="s">
        <v>7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/>
      <c r="I4" s="7"/>
      <c r="J4" s="7"/>
      <c r="K4" s="7"/>
      <c r="L4" s="7"/>
      <c r="M4" s="7"/>
      <c r="N4" s="7"/>
      <c r="O4" s="7">
        <f t="shared" si="0"/>
        <v>0</v>
      </c>
    </row>
    <row r="5" spans="2:16" x14ac:dyDescent="0.25">
      <c r="B5" s="4" t="s">
        <v>8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/>
      <c r="I5" s="7"/>
      <c r="J5" s="7"/>
      <c r="K5" s="7"/>
      <c r="L5" s="7"/>
      <c r="M5" s="7"/>
      <c r="N5" s="7"/>
      <c r="O5" s="7">
        <f t="shared" si="0"/>
        <v>0</v>
      </c>
    </row>
    <row r="6" spans="2:16" x14ac:dyDescent="0.25">
      <c r="B6" s="4" t="s">
        <v>9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/>
      <c r="I6" s="7"/>
      <c r="J6" s="7"/>
      <c r="K6" s="7"/>
      <c r="L6" s="7"/>
      <c r="M6" s="7"/>
      <c r="N6" s="7"/>
      <c r="O6" s="7">
        <f t="shared" si="0"/>
        <v>0</v>
      </c>
    </row>
    <row r="7" spans="2:16" x14ac:dyDescent="0.25">
      <c r="B7" s="4" t="s">
        <v>10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/>
      <c r="I7" s="9"/>
      <c r="J7" s="9"/>
      <c r="K7" s="9"/>
      <c r="L7" s="9"/>
      <c r="M7" s="9"/>
      <c r="N7" s="9"/>
      <c r="O7" s="9">
        <f t="shared" si="0"/>
        <v>0</v>
      </c>
    </row>
    <row r="8" spans="2:16" x14ac:dyDescent="0.25">
      <c r="B8" s="4" t="s">
        <v>11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/>
      <c r="I8" s="7"/>
      <c r="J8" s="7"/>
      <c r="K8" s="7"/>
      <c r="L8" s="7"/>
      <c r="M8" s="7"/>
      <c r="N8" s="7"/>
      <c r="O8" s="7">
        <f t="shared" si="0"/>
        <v>0</v>
      </c>
    </row>
    <row r="9" spans="2:16" x14ac:dyDescent="0.25">
      <c r="B9" s="4" t="s">
        <v>12</v>
      </c>
      <c r="C9" s="7">
        <v>-20.34</v>
      </c>
      <c r="D9" s="7">
        <v>0</v>
      </c>
      <c r="E9" s="7">
        <v>0</v>
      </c>
      <c r="F9" s="7">
        <v>-61.13</v>
      </c>
      <c r="G9" s="7">
        <v>0</v>
      </c>
      <c r="H9" s="7"/>
      <c r="I9" s="7"/>
      <c r="J9" s="7"/>
      <c r="K9" s="7"/>
      <c r="L9" s="7"/>
      <c r="M9" s="7"/>
      <c r="N9" s="7"/>
      <c r="O9" s="7">
        <f t="shared" si="0"/>
        <v>-81.47</v>
      </c>
    </row>
    <row r="10" spans="2:16" x14ac:dyDescent="0.25">
      <c r="B10" s="4" t="s">
        <v>13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/>
      <c r="I10" s="7"/>
      <c r="J10" s="7"/>
      <c r="K10" s="7"/>
      <c r="L10" s="7"/>
      <c r="M10" s="7"/>
      <c r="N10" s="7"/>
      <c r="O10" s="7">
        <f t="shared" si="0"/>
        <v>0</v>
      </c>
    </row>
    <row r="11" spans="2:16" x14ac:dyDescent="0.25">
      <c r="B11" s="4" t="s">
        <v>14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/>
      <c r="I11" s="7"/>
      <c r="J11" s="7"/>
      <c r="K11" s="7"/>
      <c r="L11" s="7"/>
      <c r="M11" s="7"/>
      <c r="N11" s="7"/>
      <c r="O11" s="7">
        <f t="shared" si="0"/>
        <v>0</v>
      </c>
    </row>
    <row r="12" spans="2:16" x14ac:dyDescent="0.25">
      <c r="B12" s="4" t="s">
        <v>15</v>
      </c>
      <c r="C12" s="9">
        <v>-20.34</v>
      </c>
      <c r="D12" s="9">
        <v>0</v>
      </c>
      <c r="E12" s="9">
        <v>0</v>
      </c>
      <c r="F12" s="9">
        <v>-61.13</v>
      </c>
      <c r="G12" s="9">
        <v>0</v>
      </c>
      <c r="H12" s="9">
        <f t="shared" ref="D12:N12" si="1">SUM(H8:H11)</f>
        <v>0</v>
      </c>
      <c r="I12" s="9">
        <f t="shared" si="1"/>
        <v>0</v>
      </c>
      <c r="J12" s="9">
        <f t="shared" si="1"/>
        <v>0</v>
      </c>
      <c r="K12" s="9">
        <f t="shared" si="1"/>
        <v>0</v>
      </c>
      <c r="L12" s="9">
        <f t="shared" si="1"/>
        <v>0</v>
      </c>
      <c r="M12" s="9">
        <f t="shared" si="1"/>
        <v>0</v>
      </c>
      <c r="N12" s="9">
        <f t="shared" si="1"/>
        <v>0</v>
      </c>
      <c r="O12" s="9">
        <f t="shared" si="0"/>
        <v>-81.47</v>
      </c>
      <c r="P12" s="12"/>
    </row>
    <row r="13" spans="2:16" x14ac:dyDescent="0.25">
      <c r="B13" s="4" t="s">
        <v>16</v>
      </c>
      <c r="C13" s="7">
        <v>-20.34</v>
      </c>
      <c r="D13" s="7">
        <v>0</v>
      </c>
      <c r="E13" s="7">
        <v>0</v>
      </c>
      <c r="F13" s="7">
        <v>-61.13</v>
      </c>
      <c r="G13" s="7">
        <v>0</v>
      </c>
      <c r="H13" s="7"/>
      <c r="I13" s="7"/>
      <c r="J13" s="7"/>
      <c r="K13" s="7"/>
      <c r="L13" s="7"/>
      <c r="M13" s="7"/>
      <c r="N13" s="7"/>
      <c r="O13" s="7">
        <f t="shared" si="0"/>
        <v>-81.47</v>
      </c>
    </row>
    <row r="14" spans="2:16" x14ac:dyDescent="0.25">
      <c r="B14" s="4" t="s">
        <v>17</v>
      </c>
      <c r="C14" s="7">
        <f>-21004.96-20000</f>
        <v>-41004.959999999999</v>
      </c>
      <c r="D14" s="7">
        <v>-46147.75</v>
      </c>
      <c r="E14" s="7">
        <v>-41882.21</v>
      </c>
      <c r="F14" s="7">
        <v>-46036.45</v>
      </c>
      <c r="G14" s="7">
        <v>-39907.270000000004</v>
      </c>
      <c r="H14" s="7"/>
      <c r="I14" s="7"/>
      <c r="J14" s="7"/>
      <c r="K14" s="7"/>
      <c r="L14" s="7"/>
      <c r="M14" s="7"/>
      <c r="N14" s="7"/>
      <c r="O14" s="7">
        <f t="shared" si="0"/>
        <v>-214978.64</v>
      </c>
    </row>
    <row r="15" spans="2:16" x14ac:dyDescent="0.25">
      <c r="B15" s="4" t="s">
        <v>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/>
      <c r="I15" s="7"/>
      <c r="J15" s="7"/>
      <c r="K15" s="7"/>
      <c r="L15" s="7"/>
      <c r="M15" s="7"/>
      <c r="N15" s="7"/>
      <c r="O15" s="7">
        <f t="shared" si="0"/>
        <v>0</v>
      </c>
    </row>
    <row r="16" spans="2:16" x14ac:dyDescent="0.25">
      <c r="B16" s="4" t="s">
        <v>19</v>
      </c>
      <c r="C16" s="7">
        <v>-6888.25</v>
      </c>
      <c r="D16" s="7">
        <v>-8533.59</v>
      </c>
      <c r="E16" s="7">
        <v>-6706.46</v>
      </c>
      <c r="F16" s="7">
        <v>-8045.88</v>
      </c>
      <c r="G16" s="7">
        <v>-6794.11</v>
      </c>
      <c r="H16" s="7"/>
      <c r="I16" s="7"/>
      <c r="J16" s="7"/>
      <c r="K16" s="7"/>
      <c r="L16" s="7"/>
      <c r="M16" s="7"/>
      <c r="N16" s="7"/>
      <c r="O16" s="7">
        <f t="shared" si="0"/>
        <v>-36968.29</v>
      </c>
    </row>
    <row r="17" spans="2:16" x14ac:dyDescent="0.25">
      <c r="B17" s="4" t="s">
        <v>20</v>
      </c>
      <c r="C17" s="7">
        <f>-365.6</f>
        <v>-365.6</v>
      </c>
      <c r="D17" s="7">
        <v>-404.51</v>
      </c>
      <c r="E17" s="7">
        <v>-428.1</v>
      </c>
      <c r="F17" s="7">
        <v>-498.84</v>
      </c>
      <c r="G17" s="7">
        <v>-533.02</v>
      </c>
      <c r="H17" s="7"/>
      <c r="I17" s="7"/>
      <c r="J17" s="7"/>
      <c r="K17" s="7"/>
      <c r="L17" s="7"/>
      <c r="M17" s="7"/>
      <c r="N17" s="7"/>
      <c r="O17" s="7">
        <f t="shared" si="0"/>
        <v>-2230.0699999999997</v>
      </c>
    </row>
    <row r="18" spans="2:16" x14ac:dyDescent="0.25">
      <c r="B18" s="4" t="s">
        <v>21</v>
      </c>
      <c r="C18" s="9">
        <f>SUM(C14:C17)</f>
        <v>-48258.81</v>
      </c>
      <c r="D18" s="9">
        <f t="shared" ref="D18:N18" si="2">SUM(D14:D17)</f>
        <v>-55085.85</v>
      </c>
      <c r="E18" s="9">
        <f t="shared" si="2"/>
        <v>-49016.77</v>
      </c>
      <c r="F18" s="9">
        <f t="shared" si="2"/>
        <v>-54581.169999999991</v>
      </c>
      <c r="G18" s="9">
        <f t="shared" si="2"/>
        <v>-47234.400000000001</v>
      </c>
      <c r="H18" s="9">
        <f t="shared" si="2"/>
        <v>0</v>
      </c>
      <c r="I18" s="9">
        <f t="shared" si="2"/>
        <v>0</v>
      </c>
      <c r="J18" s="9">
        <f t="shared" si="2"/>
        <v>0</v>
      </c>
      <c r="K18" s="9">
        <f t="shared" si="2"/>
        <v>0</v>
      </c>
      <c r="L18" s="9">
        <f t="shared" si="2"/>
        <v>0</v>
      </c>
      <c r="M18" s="9">
        <f t="shared" si="2"/>
        <v>0</v>
      </c>
      <c r="N18" s="9">
        <f t="shared" si="2"/>
        <v>0</v>
      </c>
      <c r="O18" s="9">
        <f t="shared" si="0"/>
        <v>-254176.99999999997</v>
      </c>
      <c r="P18" s="12"/>
    </row>
    <row r="19" spans="2:16" x14ac:dyDescent="0.25">
      <c r="B19" s="4" t="s">
        <v>22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/>
      <c r="I19" s="7"/>
      <c r="J19" s="7"/>
      <c r="K19" s="7"/>
      <c r="L19" s="7"/>
      <c r="M19" s="7"/>
      <c r="N19" s="7"/>
      <c r="O19" s="7">
        <f t="shared" si="0"/>
        <v>0</v>
      </c>
    </row>
    <row r="20" spans="2:16" x14ac:dyDescent="0.25">
      <c r="B20" s="4" t="s">
        <v>23</v>
      </c>
      <c r="C20" s="7">
        <v>0</v>
      </c>
      <c r="D20" s="7">
        <v>0</v>
      </c>
      <c r="E20" s="7">
        <v>-243.11</v>
      </c>
      <c r="F20" s="7">
        <v>0</v>
      </c>
      <c r="G20" s="7">
        <v>0</v>
      </c>
      <c r="H20" s="7"/>
      <c r="I20" s="7"/>
      <c r="J20" s="7"/>
      <c r="K20" s="7"/>
      <c r="L20" s="7"/>
      <c r="M20" s="7"/>
      <c r="N20" s="7"/>
      <c r="O20" s="7">
        <f t="shared" si="0"/>
        <v>-243.11</v>
      </c>
    </row>
    <row r="21" spans="2:16" x14ac:dyDescent="0.25">
      <c r="B21" s="4" t="s">
        <v>24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/>
      <c r="I21" s="7"/>
      <c r="J21" s="7"/>
      <c r="K21" s="7"/>
      <c r="L21" s="7"/>
      <c r="M21" s="7"/>
      <c r="N21" s="7"/>
      <c r="O21" s="7">
        <f t="shared" si="0"/>
        <v>0</v>
      </c>
    </row>
    <row r="22" spans="2:16" x14ac:dyDescent="0.25">
      <c r="B22" s="4" t="s">
        <v>25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/>
      <c r="I22" s="7"/>
      <c r="J22" s="7"/>
      <c r="K22" s="7"/>
      <c r="L22" s="7"/>
      <c r="M22" s="7"/>
      <c r="N22" s="7"/>
      <c r="O22" s="7">
        <f t="shared" si="0"/>
        <v>0</v>
      </c>
    </row>
    <row r="23" spans="2:16" x14ac:dyDescent="0.25">
      <c r="B23" s="4" t="s">
        <v>26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/>
      <c r="I23" s="7"/>
      <c r="J23" s="7"/>
      <c r="K23" s="7"/>
      <c r="L23" s="7"/>
      <c r="M23" s="7"/>
      <c r="N23" s="7"/>
      <c r="O23" s="7">
        <f t="shared" si="0"/>
        <v>0</v>
      </c>
    </row>
    <row r="24" spans="2:16" x14ac:dyDescent="0.25">
      <c r="B24" s="4" t="s">
        <v>27</v>
      </c>
      <c r="C24" s="7">
        <v>0</v>
      </c>
      <c r="D24" s="7">
        <v>0</v>
      </c>
      <c r="E24" s="7">
        <v>-137.07</v>
      </c>
      <c r="F24" s="7">
        <v>0</v>
      </c>
      <c r="G24" s="7">
        <v>0</v>
      </c>
      <c r="H24" s="7"/>
      <c r="I24" s="7"/>
      <c r="J24" s="7"/>
      <c r="K24" s="7"/>
      <c r="L24" s="7"/>
      <c r="M24" s="7"/>
      <c r="N24" s="7"/>
      <c r="O24" s="7">
        <f t="shared" si="0"/>
        <v>-137.07</v>
      </c>
    </row>
    <row r="25" spans="2:16" x14ac:dyDescent="0.25">
      <c r="B25" s="4" t="s">
        <v>28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/>
      <c r="I25" s="7"/>
      <c r="J25" s="7"/>
      <c r="K25" s="7"/>
      <c r="L25" s="7"/>
      <c r="M25" s="7"/>
      <c r="N25" s="7"/>
      <c r="O25" s="7">
        <f t="shared" si="0"/>
        <v>0</v>
      </c>
    </row>
    <row r="26" spans="2:16" x14ac:dyDescent="0.25">
      <c r="B26" s="4" t="s">
        <v>29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/>
      <c r="I26" s="7"/>
      <c r="J26" s="7"/>
      <c r="K26" s="7"/>
      <c r="L26" s="7"/>
      <c r="M26" s="7"/>
      <c r="N26" s="7"/>
      <c r="O26" s="7">
        <f t="shared" si="0"/>
        <v>0</v>
      </c>
    </row>
    <row r="27" spans="2:16" x14ac:dyDescent="0.25">
      <c r="B27" s="4" t="s">
        <v>30</v>
      </c>
      <c r="C27" s="7">
        <v>0</v>
      </c>
      <c r="D27" s="7">
        <v>0</v>
      </c>
      <c r="E27" s="7">
        <v>0</v>
      </c>
      <c r="F27" s="7">
        <v>-120</v>
      </c>
      <c r="G27" s="7">
        <v>-120</v>
      </c>
      <c r="H27" s="7"/>
      <c r="I27" s="7"/>
      <c r="J27" s="7"/>
      <c r="K27" s="7"/>
      <c r="L27" s="7"/>
      <c r="M27" s="7"/>
      <c r="N27" s="7"/>
      <c r="O27" s="7">
        <f t="shared" si="0"/>
        <v>-240</v>
      </c>
    </row>
    <row r="28" spans="2:16" x14ac:dyDescent="0.25">
      <c r="B28" s="4" t="s">
        <v>31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/>
      <c r="I28" s="7"/>
      <c r="J28" s="7"/>
      <c r="K28" s="7"/>
      <c r="L28" s="7"/>
      <c r="M28" s="7"/>
      <c r="N28" s="7"/>
      <c r="O28" s="7">
        <f t="shared" si="0"/>
        <v>0</v>
      </c>
    </row>
    <row r="29" spans="2:16" x14ac:dyDescent="0.25">
      <c r="B29" s="4" t="s">
        <v>32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/>
      <c r="I29" s="7"/>
      <c r="J29" s="7"/>
      <c r="K29" s="7"/>
      <c r="L29" s="7"/>
      <c r="M29" s="7"/>
      <c r="N29" s="7"/>
      <c r="O29" s="7">
        <f t="shared" si="0"/>
        <v>0</v>
      </c>
    </row>
    <row r="30" spans="2:16" x14ac:dyDescent="0.25">
      <c r="B30" s="4" t="s">
        <v>33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/>
      <c r="I30" s="7"/>
      <c r="J30" s="7"/>
      <c r="K30" s="7"/>
      <c r="L30" s="7"/>
      <c r="M30" s="7"/>
      <c r="N30" s="7"/>
      <c r="O30" s="7">
        <f t="shared" si="0"/>
        <v>0</v>
      </c>
    </row>
    <row r="31" spans="2:16" x14ac:dyDescent="0.25">
      <c r="B31" s="4" t="s">
        <v>34</v>
      </c>
      <c r="C31" s="9">
        <f>SUM(C19:C30)</f>
        <v>0</v>
      </c>
      <c r="D31" s="9">
        <f t="shared" ref="D31:N31" si="3">SUM(D19:D30)</f>
        <v>0</v>
      </c>
      <c r="E31" s="9">
        <f t="shared" si="3"/>
        <v>-380.18</v>
      </c>
      <c r="F31" s="9">
        <f t="shared" si="3"/>
        <v>-120</v>
      </c>
      <c r="G31" s="9">
        <f t="shared" si="3"/>
        <v>-120</v>
      </c>
      <c r="H31" s="9">
        <f t="shared" si="3"/>
        <v>0</v>
      </c>
      <c r="I31" s="9">
        <f t="shared" si="3"/>
        <v>0</v>
      </c>
      <c r="J31" s="9">
        <f t="shared" si="3"/>
        <v>0</v>
      </c>
      <c r="K31" s="9">
        <f t="shared" si="3"/>
        <v>0</v>
      </c>
      <c r="L31" s="9">
        <f t="shared" si="3"/>
        <v>0</v>
      </c>
      <c r="M31" s="9">
        <f t="shared" si="3"/>
        <v>0</v>
      </c>
      <c r="N31" s="9">
        <f t="shared" si="3"/>
        <v>0</v>
      </c>
      <c r="O31" s="9">
        <f t="shared" si="0"/>
        <v>-620.18000000000006</v>
      </c>
      <c r="P31" s="12"/>
    </row>
    <row r="32" spans="2:16" x14ac:dyDescent="0.25">
      <c r="B32" s="4" t="s">
        <v>35</v>
      </c>
      <c r="C32" s="7">
        <f>C31+C18</f>
        <v>-48258.81</v>
      </c>
      <c r="D32" s="7">
        <f t="shared" ref="D32:N32" si="4">D31+D18</f>
        <v>-55085.85</v>
      </c>
      <c r="E32" s="7">
        <f t="shared" si="4"/>
        <v>-49396.95</v>
      </c>
      <c r="F32" s="7">
        <f t="shared" si="4"/>
        <v>-54701.169999999991</v>
      </c>
      <c r="G32" s="7">
        <f t="shared" si="4"/>
        <v>-47354.400000000001</v>
      </c>
      <c r="H32" s="7">
        <f t="shared" si="4"/>
        <v>0</v>
      </c>
      <c r="I32" s="7">
        <f t="shared" si="4"/>
        <v>0</v>
      </c>
      <c r="J32" s="7">
        <f t="shared" si="4"/>
        <v>0</v>
      </c>
      <c r="K32" s="7">
        <f t="shared" si="4"/>
        <v>0</v>
      </c>
      <c r="L32" s="7">
        <f t="shared" si="4"/>
        <v>0</v>
      </c>
      <c r="M32" s="7">
        <f t="shared" si="4"/>
        <v>0</v>
      </c>
      <c r="N32" s="7">
        <f t="shared" si="4"/>
        <v>0</v>
      </c>
      <c r="O32" s="7">
        <f t="shared" si="0"/>
        <v>-254797.17999999996</v>
      </c>
    </row>
    <row r="33" spans="2:16" x14ac:dyDescent="0.25">
      <c r="B33" s="4" t="s">
        <v>36</v>
      </c>
      <c r="C33" s="9">
        <f>C7+(C12+C18+C31)</f>
        <v>-48279.149999999994</v>
      </c>
      <c r="D33" s="9">
        <f t="shared" ref="D33:N33" si="5">D7+(D12+D18+D31)</f>
        <v>-55085.85</v>
      </c>
      <c r="E33" s="9">
        <f t="shared" si="5"/>
        <v>-49396.95</v>
      </c>
      <c r="F33" s="9">
        <f t="shared" si="5"/>
        <v>-54762.299999999988</v>
      </c>
      <c r="G33" s="9">
        <f t="shared" si="5"/>
        <v>-47354.400000000001</v>
      </c>
      <c r="H33" s="9">
        <f t="shared" si="5"/>
        <v>0</v>
      </c>
      <c r="I33" s="9">
        <f t="shared" si="5"/>
        <v>0</v>
      </c>
      <c r="J33" s="9">
        <f t="shared" si="5"/>
        <v>0</v>
      </c>
      <c r="K33" s="9">
        <f t="shared" si="5"/>
        <v>0</v>
      </c>
      <c r="L33" s="9">
        <f t="shared" si="5"/>
        <v>0</v>
      </c>
      <c r="M33" s="9">
        <f t="shared" si="5"/>
        <v>0</v>
      </c>
      <c r="N33" s="9">
        <f t="shared" si="5"/>
        <v>0</v>
      </c>
      <c r="O33" s="9">
        <f t="shared" si="0"/>
        <v>-254878.65</v>
      </c>
      <c r="P33" s="12"/>
    </row>
    <row r="34" spans="2:16" x14ac:dyDescent="0.25">
      <c r="B34" s="4" t="s">
        <v>37</v>
      </c>
      <c r="C34" s="10">
        <f>C33</f>
        <v>-48279.149999999994</v>
      </c>
      <c r="D34" s="10">
        <f>C34+D33</f>
        <v>-103365</v>
      </c>
      <c r="E34" s="10">
        <f t="shared" ref="E34:H34" si="6">D34+E33</f>
        <v>-152761.95000000001</v>
      </c>
      <c r="F34" s="10">
        <f t="shared" si="6"/>
        <v>-207524.25</v>
      </c>
      <c r="G34" s="10">
        <f t="shared" si="6"/>
        <v>-254878.65</v>
      </c>
      <c r="H34" s="10"/>
      <c r="I34" s="10"/>
      <c r="J34" s="10"/>
      <c r="K34" s="10"/>
      <c r="L34" s="10"/>
      <c r="M34" s="10"/>
      <c r="N34" s="10"/>
      <c r="O34" s="10"/>
    </row>
  </sheetData>
  <conditionalFormatting sqref="O33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C33:N3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Origens</vt:lpstr>
      <vt:lpstr>Nautic</vt:lpstr>
      <vt:lpstr>Masia</vt:lpstr>
      <vt:lpstr>Camp Nou</vt:lpstr>
      <vt:lpstr>Tarraco</vt:lpstr>
      <vt:lpstr>Mirador</vt:lpstr>
      <vt:lpstr>Juno</vt:lpstr>
      <vt:lpstr>FDLC</vt:lpstr>
      <vt:lpstr>Plural</vt:lpstr>
      <vt:lpstr>Soliver</vt:lpstr>
      <vt:lpstr>REST</vt:lpstr>
      <vt:lpstr>Departament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- CAL BLAY</dc:creator>
  <cp:lastModifiedBy>Oriol Puig - CAL BLAY</cp:lastModifiedBy>
  <dcterms:created xsi:type="dcterms:W3CDTF">2026-06-29T13:43:21Z</dcterms:created>
  <dcterms:modified xsi:type="dcterms:W3CDTF">2026-06-29T15:19:46Z</dcterms:modified>
</cp:coreProperties>
</file>